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drawings/drawing5.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workbookPassword="EFFF" lockStructure="1"/>
  <bookViews>
    <workbookView visibility="visible" minimized="0" showHorizontalScroll="1" showVerticalScroll="1" showSheetTabs="1" tabRatio="600" firstSheet="0" activeTab="0" autoFilterDateGrouping="1"/>
  </bookViews>
  <sheets>
    <sheet xmlns:r="http://schemas.openxmlformats.org/officeDocument/2006/relationships" name="دليل الاستخدام" sheetId="1" state="visible" r:id="rId1"/>
    <sheet xmlns:r="http://schemas.openxmlformats.org/officeDocument/2006/relationships" name="الاستراتيجية" sheetId="2" state="visible" r:id="rId2"/>
    <sheet xmlns:r="http://schemas.openxmlformats.org/officeDocument/2006/relationships" name="المؤشرات الحيوية" sheetId="3" state="visible" r:id="rId3"/>
    <sheet xmlns:r="http://schemas.openxmlformats.org/officeDocument/2006/relationships" name="خريطة الاستراتيجية" sheetId="4" state="visible" r:id="rId4"/>
    <sheet xmlns:r="http://schemas.openxmlformats.org/officeDocument/2006/relationships" name="الخارطة التنفيذية" sheetId="5" state="visible" r:id="rId5"/>
    <sheet xmlns:r="http://schemas.openxmlformats.org/officeDocument/2006/relationships" name="لوحة الإدارة التنفيذية" sheetId="6" state="visible" r:id="rId6"/>
    <sheet xmlns:r="http://schemas.openxmlformats.org/officeDocument/2006/relationships" name="سجل المبادرات" sheetId="7" state="visible" r:id="rId7"/>
    <sheet xmlns:r="http://schemas.openxmlformats.org/officeDocument/2006/relationships" name="الحوكمة" sheetId="8" state="visible" r:id="rId8"/>
    <sheet xmlns:r="http://schemas.openxmlformats.org/officeDocument/2006/relationships" name="فحص السلامة" sheetId="9" state="visible" r:id="rId9"/>
    <sheet xmlns:r="http://schemas.openxmlformats.org/officeDocument/2006/relationships" name="الإدارة التنفيذية · المؤشرات" sheetId="10" state="visible" r:id="rId10"/>
    <sheet xmlns:r="http://schemas.openxmlformats.org/officeDocument/2006/relationships" name="الامتياز · المؤشرات" sheetId="11" state="visible" r:id="rId11"/>
    <sheet xmlns:r="http://schemas.openxmlformats.org/officeDocument/2006/relationships" name="الامتياز · الموظفون" sheetId="12" state="visible" r:id="rId12"/>
    <sheet xmlns:r="http://schemas.openxmlformats.org/officeDocument/2006/relationships" name="الامتياز · مدير الإدارة" sheetId="13" state="visible" r:id="rId13"/>
    <sheet xmlns:r="http://schemas.openxmlformats.org/officeDocument/2006/relationships" name="الامتياز · مسؤول الامتياز" sheetId="14" state="visible" r:id="rId14"/>
    <sheet xmlns:r="http://schemas.openxmlformats.org/officeDocument/2006/relationships" name="الامتياز · المراقب الميداني" sheetId="15" state="visible" r:id="rId15"/>
    <sheet xmlns:r="http://schemas.openxmlformats.org/officeDocument/2006/relationships" name="الامتياز · مسؤول التعاقدات" sheetId="16" state="visible" r:id="rId16"/>
    <sheet xmlns:r="http://schemas.openxmlformats.org/officeDocument/2006/relationships" name="الامتياز · الموظف الإداري" sheetId="17" state="visible" r:id="rId17"/>
    <sheet xmlns:r="http://schemas.openxmlformats.org/officeDocument/2006/relationships" name="التشغيل · المؤشرات" sheetId="18" state="visible" r:id="rId18"/>
    <sheet xmlns:r="http://schemas.openxmlformats.org/officeDocument/2006/relationships" name="التشغيل · مدير المحطة" sheetId="19" state="visible" r:id="rId19"/>
    <sheet xmlns:r="http://schemas.openxmlformats.org/officeDocument/2006/relationships" name="التشغيل · مشرف ميداني" sheetId="20" state="visible" r:id="rId20"/>
    <sheet xmlns:r="http://schemas.openxmlformats.org/officeDocument/2006/relationships" name="التشغيل · عامل التعبئة" sheetId="21" state="visible" r:id="rId21"/>
    <sheet xmlns:r="http://schemas.openxmlformats.org/officeDocument/2006/relationships" name="الاستثمار · المؤشرات" sheetId="22" state="visible" r:id="rId22"/>
    <sheet xmlns:r="http://schemas.openxmlformats.org/officeDocument/2006/relationships" name="الاستثمار · مدير الإدارة" sheetId="23" state="visible" r:id="rId23"/>
    <sheet xmlns:r="http://schemas.openxmlformats.org/officeDocument/2006/relationships" name="العقار · المؤشرات" sheetId="24" state="visible" r:id="rId24"/>
    <sheet xmlns:r="http://schemas.openxmlformats.org/officeDocument/2006/relationships" name="العقار · مدير الإدارة" sheetId="25" state="visible" r:id="rId25"/>
    <sheet xmlns:r="http://schemas.openxmlformats.org/officeDocument/2006/relationships" name="التقنية الرقمية · المؤشرات" sheetId="26" state="visible" r:id="rId26"/>
    <sheet xmlns:r="http://schemas.openxmlformats.org/officeDocument/2006/relationships" name="التقنية · مدير الإدارة" sheetId="27" state="visible" r:id="rId27"/>
    <sheet xmlns:r="http://schemas.openxmlformats.org/officeDocument/2006/relationships" name="الموارد البشرية · المؤشرات" sheetId="28" state="visible" r:id="rId28"/>
    <sheet xmlns:r="http://schemas.openxmlformats.org/officeDocument/2006/relationships" name="الموارد البشرية · مدير الإدارة" sheetId="29" state="visible" r:id="rId29"/>
    <sheet xmlns:r="http://schemas.openxmlformats.org/officeDocument/2006/relationships" name="قاموس المؤشرات" sheetId="30" state="visible" r:id="rId30"/>
    <sheet xmlns:r="http://schemas.openxmlformats.org/officeDocument/2006/relationships" name="سجل المخاطر" sheetId="31" state="visible" r:id="rId31"/>
    <sheet xmlns:r="http://schemas.openxmlformats.org/officeDocument/2006/relationships" name="سجل الإجراءات" sheetId="32" state="visible" r:id="rId32"/>
    <sheet xmlns:r="http://schemas.openxmlformats.org/officeDocument/2006/relationships" name="قاعدة المؤشرات" sheetId="33" state="visible" r:id="rId33"/>
    <sheet xmlns:r="http://schemas.openxmlformats.org/officeDocument/2006/relationships" name="التسويق · المؤشرات" sheetId="34" state="visible" r:id="rId34"/>
  </sheets>
  <definedNames/>
  <calcPr calcId="124519" fullCalcOnLoad="1"/>
</workbook>
</file>

<file path=xl/styles.xml><?xml version="1.0" encoding="utf-8"?>
<styleSheet xmlns="http://schemas.openxmlformats.org/spreadsheetml/2006/main">
  <numFmts count="2">
    <numFmt numFmtId="164" formatCode="#,##0 &quot;ر.س&quot;"/>
    <numFmt numFmtId="165" formatCode="0.0"/>
  </numFmts>
  <fonts count="35">
    <font>
      <name val="Calibri"/>
      <family val="2"/>
      <color theme="1"/>
      <sz val="11"/>
      <scheme val="minor"/>
    </font>
    <font>
      <name val="Arial"/>
      <b val="1"/>
      <color rgb="0058595B"/>
      <sz val="17"/>
    </font>
    <font>
      <name val="Arial"/>
      <color rgb="00000000"/>
      <sz val="11"/>
    </font>
    <font>
      <name val="Arial"/>
      <b val="1"/>
      <color rgb="00000000"/>
      <sz val="11"/>
    </font>
    <font>
      <name val="Arial"/>
      <b val="1"/>
      <color rgb="00FFFFFF"/>
      <sz val="16"/>
    </font>
    <font>
      <name val="Arial"/>
      <b val="1"/>
      <color rgb="00FFFFFF"/>
      <sz val="11"/>
    </font>
    <font>
      <name val="Arial"/>
      <b val="1"/>
      <color rgb="00FFFFFF"/>
      <sz val="12"/>
    </font>
    <font>
      <name val="Arial"/>
      <color rgb="00FFFFFF"/>
      <sz val="11"/>
    </font>
    <font>
      <name val="Arial"/>
      <b val="1"/>
      <color rgb="0058595B"/>
      <sz val="12"/>
    </font>
    <font>
      <name val="Arial"/>
      <b val="1"/>
      <color rgb="00808285"/>
      <sz val="11"/>
    </font>
    <font>
      <name val="Arial"/>
      <b val="1"/>
      <color rgb="00FFFFFF"/>
      <sz val="15"/>
    </font>
    <font>
      <name val="Arial"/>
      <color rgb="0058595B"/>
      <sz val="10"/>
    </font>
    <font>
      <name val="Arial"/>
      <b val="1"/>
      <color rgb="00FFFFFF"/>
      <sz val="10"/>
    </font>
    <font>
      <name val="Arial"/>
      <b val="1"/>
      <color rgb="00000000"/>
      <sz val="10"/>
    </font>
    <font>
      <name val="Arial"/>
      <color rgb="00000000"/>
      <sz val="10"/>
    </font>
    <font>
      <name val="Arial"/>
      <color rgb="00595959"/>
      <sz val="9"/>
    </font>
    <font>
      <name val="Arial"/>
      <b val="1"/>
      <color rgb="0058595B"/>
      <sz val="10"/>
    </font>
    <font>
      <name val="Arial"/>
      <b val="1"/>
      <color rgb="00808285"/>
      <sz val="10"/>
    </font>
    <font>
      <name val="Arial"/>
      <color rgb="00000000"/>
      <sz val="9"/>
    </font>
    <font>
      <name val="Arial"/>
      <b val="1"/>
      <color rgb="00F47A21"/>
      <sz val="11"/>
    </font>
    <font>
      <name val="Arial"/>
      <b val="1"/>
      <color rgb="00F47A21"/>
      <sz val="12"/>
    </font>
    <font>
      <name val="Arial"/>
      <b val="1"/>
      <color rgb="00FFFFFF"/>
      <sz val="14"/>
    </font>
    <font>
      <name val="Arial"/>
      <b val="1"/>
      <color rgb="0058595B"/>
      <sz val="9"/>
    </font>
    <font>
      <name val="Arial"/>
      <b val="1"/>
      <color rgb="00FFFFFF"/>
      <sz val="18"/>
    </font>
    <font>
      <name val="Arial"/>
      <color rgb="00808080"/>
      <sz val="9"/>
    </font>
    <font>
      <name val="Arial"/>
      <b val="1"/>
      <color rgb="0058595B"/>
      <sz val="30"/>
    </font>
    <font>
      <name val="Arial"/>
      <b val="1"/>
      <color rgb="0058595B"/>
      <sz val="22"/>
    </font>
    <font>
      <name val="Arial"/>
      <b val="1"/>
      <color rgb="0058595B"/>
      <sz val="11"/>
    </font>
    <font>
      <name val="Arial"/>
      <color rgb="0058595B"/>
      <sz val="9"/>
    </font>
    <font>
      <name val="Arial"/>
      <b val="1"/>
      <color rgb="00F47A21"/>
      <sz val="13"/>
    </font>
    <font>
      <name val="Arial"/>
      <b val="1"/>
      <color rgb="00FFFFFF"/>
      <sz val="17"/>
    </font>
    <font>
      <name val="Arial"/>
      <b val="1"/>
      <color rgb="00F47A21"/>
      <sz val="26"/>
    </font>
    <font>
      <name val="Arial"/>
      <b val="1"/>
      <color rgb="0058595B"/>
      <sz val="28"/>
    </font>
    <font>
      <name val="Arial"/>
      <color rgb="00000000"/>
      <sz val="8"/>
    </font>
    <font>
      <name val="Arial"/>
      <color rgb="00808080"/>
      <sz val="10"/>
    </font>
  </fonts>
  <fills count="10">
    <fill>
      <patternFill/>
    </fill>
    <fill>
      <patternFill patternType="gray125"/>
    </fill>
    <fill>
      <patternFill patternType="solid">
        <fgColor rgb="0058595B"/>
      </patternFill>
    </fill>
    <fill>
      <patternFill patternType="solid">
        <fgColor rgb="00808285"/>
      </patternFill>
    </fill>
    <fill>
      <patternFill patternType="solid">
        <fgColor rgb="00FDE3D1"/>
      </patternFill>
    </fill>
    <fill>
      <patternFill patternType="solid">
        <fgColor rgb="00C6EFCE"/>
      </patternFill>
    </fill>
    <fill>
      <patternFill patternType="solid">
        <fgColor rgb="00F47A21"/>
      </patternFill>
    </fill>
    <fill>
      <patternFill patternType="solid">
        <fgColor rgb="00F8CBAD"/>
      </patternFill>
    </fill>
    <fill>
      <patternFill patternType="solid">
        <fgColor rgb="00A7A9AC"/>
      </patternFill>
    </fill>
    <fill>
      <patternFill patternType="solid">
        <fgColor rgb="00538135"/>
      </patternFill>
    </fill>
  </fills>
  <borders count="9">
    <border>
      <left/>
      <right/>
      <top/>
      <bottom/>
      <diagonal/>
    </border>
    <border>
      <left style="thin">
        <color rgb="00BFBFBF"/>
      </left>
      <right style="thin">
        <color rgb="00BFBFBF"/>
      </right>
      <top style="thin">
        <color rgb="00BFBFBF"/>
      </top>
      <bottom style="thin">
        <color rgb="00BFBFBF"/>
      </bottom>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4">
    <xf numFmtId="0" fontId="0" fillId="0" borderId="0" pivotButton="0" quotePrefix="0" xfId="0"/>
    <xf numFmtId="0" fontId="1" fillId="0" borderId="0" applyAlignment="1" pivotButton="0" quotePrefix="0" xfId="0">
      <alignment horizontal="right" vertical="center"/>
    </xf>
    <xf numFmtId="0" fontId="2" fillId="0" borderId="0" applyAlignment="1" pivotButton="0" quotePrefix="0" xfId="0">
      <alignment horizontal="right" vertical="center" wrapText="1"/>
    </xf>
    <xf numFmtId="0" fontId="3" fillId="0" borderId="0" applyAlignment="1" pivotButton="0" quotePrefix="0" xfId="0">
      <alignment horizontal="right" vertical="center" wrapText="1"/>
    </xf>
    <xf numFmtId="0" fontId="4" fillId="2" borderId="0" applyAlignment="1" pivotButton="0" quotePrefix="0" xfId="0">
      <alignment horizontal="center" vertical="center"/>
    </xf>
    <xf numFmtId="0" fontId="5" fillId="3" borderId="1" applyAlignment="1" pivotButton="0" quotePrefix="0" xfId="0">
      <alignment horizontal="center" vertical="center" wrapText="1"/>
    </xf>
    <xf numFmtId="0" fontId="2" fillId="3" borderId="1" applyAlignment="1" pivotButton="0" quotePrefix="0" xfId="0">
      <alignment horizontal="right" vertical="center" wrapText="1"/>
    </xf>
    <xf numFmtId="0" fontId="6" fillId="3" borderId="1" applyAlignment="1" pivotButton="0" quotePrefix="0" xfId="0">
      <alignment horizontal="right" vertical="center" wrapText="1"/>
    </xf>
    <xf numFmtId="0" fontId="7" fillId="3" borderId="1" applyAlignment="1" pivotButton="0" quotePrefix="0" xfId="0">
      <alignment horizontal="right" vertical="center" wrapText="1"/>
    </xf>
    <xf numFmtId="0" fontId="5" fillId="3" borderId="1" applyAlignment="1" pivotButton="0" quotePrefix="0" xfId="0">
      <alignment horizontal="right" vertical="center" wrapText="1"/>
    </xf>
    <xf numFmtId="0" fontId="2" fillId="0" borderId="1" applyAlignment="1" pivotButton="0" quotePrefix="0" xfId="0">
      <alignment horizontal="right" vertical="center" wrapText="1"/>
    </xf>
    <xf numFmtId="0" fontId="8" fillId="0" borderId="1" applyAlignment="1" pivotButton="0" quotePrefix="0" xfId="0">
      <alignment horizontal="right" vertical="center" wrapText="1"/>
    </xf>
    <xf numFmtId="0" fontId="9" fillId="0" borderId="1" applyAlignment="1" pivotButton="0" quotePrefix="0" xfId="0">
      <alignment horizontal="right" vertical="center" wrapText="1"/>
    </xf>
    <xf numFmtId="0" fontId="30" fillId="2" borderId="0" applyAlignment="1" pivotButton="0" quotePrefix="0" xfId="0">
      <alignment horizontal="center" vertical="center"/>
    </xf>
    <xf numFmtId="0" fontId="6" fillId="6" borderId="1" applyAlignment="1" pivotButton="0" quotePrefix="0" xfId="0">
      <alignment horizontal="center" vertical="center" wrapText="1"/>
    </xf>
    <xf numFmtId="0" fontId="6" fillId="3" borderId="1" applyAlignment="1" pivotButton="0" quotePrefix="0" xfId="0">
      <alignment horizontal="center" vertical="center" wrapText="1"/>
    </xf>
    <xf numFmtId="3" fontId="31" fillId="0" borderId="1" applyAlignment="1" pivotButton="0" quotePrefix="0" xfId="0">
      <alignment horizontal="center" vertical="center" wrapText="1"/>
    </xf>
    <xf numFmtId="0" fontId="13" fillId="0" borderId="1" applyAlignment="1" pivotButton="0" quotePrefix="0" xfId="0">
      <alignment horizontal="center" vertical="center" wrapText="1"/>
    </xf>
    <xf numFmtId="9" fontId="32"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6" fillId="8"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right" vertical="center" wrapText="1"/>
    </xf>
    <xf numFmtId="9" fontId="16" fillId="0" borderId="1" applyAlignment="1" pivotButton="0" quotePrefix="0" xfId="0">
      <alignment horizontal="center" vertical="center" wrapText="1"/>
    </xf>
    <xf numFmtId="0" fontId="16" fillId="4" borderId="0" applyAlignment="1" pivotButton="0" quotePrefix="0" xfId="0">
      <alignment horizontal="center" vertical="center" wrapText="1"/>
    </xf>
    <xf numFmtId="9" fontId="20" fillId="0" borderId="1" applyAlignment="1" pivotButton="0" quotePrefix="0" xfId="0">
      <alignment horizontal="center" vertical="center" wrapText="1"/>
    </xf>
    <xf numFmtId="0" fontId="27" fillId="0" borderId="1" applyAlignment="1" pivotButton="0" quotePrefix="0" xfId="0">
      <alignment horizontal="center" vertical="center" wrapText="1"/>
    </xf>
    <xf numFmtId="0" fontId="34" fillId="0" borderId="1" applyAlignment="1" pivotButton="0" quotePrefix="0" xfId="0">
      <alignment horizontal="right" vertical="center" wrapText="1"/>
    </xf>
    <xf numFmtId="0" fontId="10" fillId="2" borderId="0" applyAlignment="1" pivotButton="0" quotePrefix="0" xfId="0">
      <alignment horizontal="center" vertical="center"/>
    </xf>
    <xf numFmtId="0" fontId="28" fillId="4" borderId="0" applyAlignment="1" pivotButton="0" quotePrefix="0" xfId="0">
      <alignment horizontal="center" vertical="center"/>
    </xf>
    <xf numFmtId="0" fontId="12" fillId="3" borderId="1" applyAlignment="1" pivotButton="0" quotePrefix="0" xfId="0">
      <alignment horizontal="center" vertical="center" wrapText="1"/>
    </xf>
    <xf numFmtId="0" fontId="27" fillId="0" borderId="1" applyAlignment="1" pivotButton="0" quotePrefix="0" xfId="0">
      <alignment horizontal="right" vertical="center" wrapText="1"/>
    </xf>
    <xf numFmtId="0" fontId="3" fillId="5" borderId="1" applyAlignment="1" pivotButton="0" quotePrefix="0" xfId="0">
      <alignment horizontal="center" vertical="center" wrapText="1"/>
    </xf>
    <xf numFmtId="9" fontId="27" fillId="0" borderId="1" applyAlignment="1" pivotButton="0" quotePrefix="0" xfId="0">
      <alignment horizontal="center" vertical="center" wrapText="1"/>
    </xf>
    <xf numFmtId="0" fontId="5" fillId="9" borderId="1" applyAlignment="1" pivotButton="0" quotePrefix="0" xfId="0">
      <alignment horizontal="right" vertical="center" wrapText="1"/>
    </xf>
    <xf numFmtId="0" fontId="24" fillId="0" borderId="0" applyAlignment="1" pivotButton="0" quotePrefix="0" xfId="0">
      <alignment horizontal="right" vertical="center" wrapText="1"/>
    </xf>
    <xf numFmtId="0" fontId="23" fillId="2" borderId="0" applyAlignment="1" pivotButton="0" quotePrefix="0" xfId="0">
      <alignment horizontal="center" vertical="center"/>
    </xf>
    <xf numFmtId="0" fontId="12" fillId="6" borderId="1" applyAlignment="1" pivotButton="0" quotePrefix="0" xfId="0">
      <alignment horizontal="right" vertical="center" wrapText="1"/>
    </xf>
    <xf numFmtId="0" fontId="2" fillId="5" borderId="1" applyAlignment="1" applyProtection="1" pivotButton="0" quotePrefix="0" xfId="0">
      <alignment horizontal="center" vertical="center" wrapText="1"/>
      <protection locked="0" hidden="0"/>
    </xf>
    <xf numFmtId="0" fontId="3" fillId="4" borderId="1" applyAlignment="1" pivotButton="0" quotePrefix="0" xfId="0">
      <alignment horizontal="center" vertical="center" wrapText="1"/>
    </xf>
    <xf numFmtId="0" fontId="3" fillId="7" borderId="1" applyAlignment="1" pivotButton="0" quotePrefix="0" xfId="0">
      <alignment horizontal="center" vertical="center" wrapText="1"/>
    </xf>
    <xf numFmtId="0" fontId="6" fillId="2" borderId="1" applyAlignment="1" pivotButton="0" quotePrefix="0" xfId="0">
      <alignment horizontal="center" vertical="center" wrapText="1"/>
    </xf>
    <xf numFmtId="0" fontId="0" fillId="0" borderId="7" pivotButton="0" quotePrefix="0" xfId="0"/>
    <xf numFmtId="0" fontId="0" fillId="0" borderId="8" pivotButton="0" quotePrefix="0" xfId="0"/>
    <xf numFmtId="9" fontId="25" fillId="0" borderId="1" applyAlignment="1" pivotButton="0" quotePrefix="0" xfId="0">
      <alignment horizontal="center" vertical="center" wrapText="1"/>
    </xf>
    <xf numFmtId="0" fontId="26" fillId="0" borderId="1" applyAlignment="1" pivotButton="0" quotePrefix="0" xfId="0">
      <alignment horizontal="center" vertical="center" wrapText="1"/>
    </xf>
    <xf numFmtId="0" fontId="5" fillId="8" borderId="1" applyAlignment="1" pivotButton="0" quotePrefix="0" xfId="0">
      <alignment horizontal="center" vertical="center" wrapText="1"/>
    </xf>
    <xf numFmtId="0" fontId="0" fillId="0" borderId="4" pivotButton="0" quotePrefix="0" xfId="0"/>
    <xf numFmtId="0" fontId="3" fillId="0" borderId="1" applyAlignment="1" pivotButton="0" quotePrefix="0" xfId="0">
      <alignment horizontal="right" vertical="center" wrapText="1"/>
    </xf>
    <xf numFmtId="0" fontId="3" fillId="0" borderId="1" applyAlignment="1" pivotButton="0" quotePrefix="0" xfId="0">
      <alignment horizontal="center" vertical="center" wrapText="1"/>
    </xf>
    <xf numFmtId="0" fontId="11" fillId="4" borderId="0" applyAlignment="1" pivotButton="0" quotePrefix="0" xfId="0">
      <alignment horizontal="center" vertical="center"/>
    </xf>
    <xf numFmtId="0" fontId="2" fillId="5" borderId="1" applyAlignment="1" applyProtection="1" pivotButton="0" quotePrefix="0" xfId="0">
      <alignment horizontal="right" vertical="center" wrapText="1"/>
      <protection locked="0" hidden="0"/>
    </xf>
    <xf numFmtId="164" fontId="2" fillId="5" borderId="1" applyAlignment="1" applyProtection="1" pivotButton="0" quotePrefix="0" xfId="0">
      <alignment horizontal="center" vertical="center" wrapText="1"/>
      <protection locked="0" hidden="0"/>
    </xf>
    <xf numFmtId="9" fontId="2" fillId="5" borderId="1" applyAlignment="1" applyProtection="1" pivotButton="0" quotePrefix="0" xfId="0">
      <alignment horizontal="center" vertical="center" wrapText="1"/>
      <protection locked="0" hidden="0"/>
    </xf>
    <xf numFmtId="0" fontId="12" fillId="8" borderId="1" applyAlignment="1" pivotButton="0" quotePrefix="0" xfId="0">
      <alignment horizontal="center" vertical="center" wrapText="1"/>
    </xf>
    <xf numFmtId="0" fontId="11" fillId="4" borderId="1" applyAlignment="1" pivotButton="0" quotePrefix="0" xfId="0">
      <alignment horizontal="right" vertical="center" wrapText="1"/>
    </xf>
    <xf numFmtId="0" fontId="14" fillId="0" borderId="1" applyAlignment="1" pivotButton="0" quotePrefix="0" xfId="0">
      <alignment horizontal="right" vertical="center"/>
    </xf>
    <xf numFmtId="0" fontId="24" fillId="0" borderId="1" applyAlignment="1" pivotButton="0" quotePrefix="0" xfId="0">
      <alignment horizontal="right" vertical="center" wrapText="1"/>
    </xf>
    <xf numFmtId="0" fontId="16" fillId="0" borderId="1" applyAlignment="1" pivotButton="0" quotePrefix="0" xfId="0">
      <alignment horizontal="center" vertical="center" wrapText="1"/>
    </xf>
    <xf numFmtId="9" fontId="13" fillId="0" borderId="1" applyAlignment="1" pivotButton="0" quotePrefix="0" xfId="0">
      <alignment horizontal="center" vertical="center" wrapText="1"/>
    </xf>
    <xf numFmtId="0" fontId="2" fillId="0" borderId="1" applyAlignment="1" pivotButton="0" quotePrefix="0" xfId="0">
      <alignment horizontal="center" vertical="center" wrapText="1"/>
    </xf>
    <xf numFmtId="3" fontId="2" fillId="0" borderId="1" applyAlignment="1" pivotButton="0" quotePrefix="0" xfId="0">
      <alignment horizontal="center" vertical="center" wrapText="1"/>
    </xf>
    <xf numFmtId="0" fontId="15" fillId="0" borderId="1" applyAlignment="1" pivotButton="0" quotePrefix="0" xfId="0">
      <alignment horizontal="center" vertical="center" wrapText="1"/>
    </xf>
    <xf numFmtId="3" fontId="2" fillId="5" borderId="1" applyAlignment="1" applyProtection="1" pivotButton="0" quotePrefix="0" xfId="0">
      <alignment horizontal="center" vertical="center"/>
      <protection locked="0" hidden="0"/>
    </xf>
    <xf numFmtId="3" fontId="13" fillId="0" borderId="1" applyAlignment="1" pivotButton="0" quotePrefix="0" xfId="0">
      <alignment horizontal="center" vertical="center" wrapText="1"/>
    </xf>
    <xf numFmtId="0" fontId="17" fillId="0" borderId="1" applyAlignment="1" pivotButton="0" quotePrefix="0" xfId="0">
      <alignment horizontal="center" vertical="center" wrapText="1"/>
    </xf>
    <xf numFmtId="3" fontId="2" fillId="5" borderId="1" applyAlignment="1" applyProtection="1" pivotButton="0" quotePrefix="0" xfId="0">
      <alignment horizontal="center" vertical="center" wrapText="1"/>
      <protection locked="0" hidden="0"/>
    </xf>
    <xf numFmtId="3" fontId="16" fillId="0" borderId="1" applyAlignment="1" pivotButton="0" quotePrefix="0" xfId="0">
      <alignment horizontal="center" vertical="center" wrapText="1"/>
    </xf>
    <xf numFmtId="0" fontId="18" fillId="0" borderId="1" applyAlignment="1" pivotButton="0" quotePrefix="0" xfId="0">
      <alignment horizontal="center" vertical="center" wrapText="1"/>
    </xf>
    <xf numFmtId="164" fontId="2" fillId="5" borderId="1" applyAlignment="1" applyProtection="1" pivotButton="0" quotePrefix="0" xfId="0">
      <alignment horizontal="center" vertical="center"/>
      <protection locked="0" hidden="0"/>
    </xf>
    <xf numFmtId="164" fontId="13" fillId="0" borderId="1" applyAlignment="1" pivotButton="0" quotePrefix="0" xfId="0">
      <alignment horizontal="center" vertical="center" wrapText="1"/>
    </xf>
    <xf numFmtId="164" fontId="2" fillId="0" borderId="1" applyAlignment="1" pivotButton="0" quotePrefix="0" xfId="0">
      <alignment horizontal="center" vertical="center" wrapText="1"/>
    </xf>
    <xf numFmtId="164" fontId="16" fillId="0" borderId="1" applyAlignment="1" pivotButton="0" quotePrefix="0" xfId="0">
      <alignment horizontal="center" vertical="center" wrapText="1"/>
    </xf>
    <xf numFmtId="9" fontId="2" fillId="5" borderId="1" applyAlignment="1" applyProtection="1" pivotButton="0" quotePrefix="0" xfId="0">
      <alignment horizontal="center" vertical="center"/>
      <protection locked="0" hidden="0"/>
    </xf>
    <xf numFmtId="9" fontId="2" fillId="0" borderId="1" applyAlignment="1" pivotButton="0" quotePrefix="0" xfId="0">
      <alignment horizontal="center" vertical="center" wrapText="1"/>
    </xf>
    <xf numFmtId="165" fontId="2" fillId="0" borderId="1" applyAlignment="1" pivotButton="0" quotePrefix="0" xfId="0">
      <alignment horizontal="center" vertical="center" wrapText="1"/>
    </xf>
    <xf numFmtId="165" fontId="2" fillId="5" borderId="1" applyAlignment="1" applyProtection="1" pivotButton="0" quotePrefix="0" xfId="0">
      <alignment horizontal="center" vertical="center"/>
      <protection locked="0" hidden="0"/>
    </xf>
    <xf numFmtId="165" fontId="13" fillId="0" borderId="1" applyAlignment="1" pivotButton="0" quotePrefix="0" xfId="0">
      <alignment horizontal="center" vertical="center" wrapText="1"/>
    </xf>
    <xf numFmtId="165" fontId="2" fillId="5" borderId="1" applyAlignment="1" applyProtection="1" pivotButton="0" quotePrefix="0" xfId="0">
      <alignment horizontal="center" vertical="center" wrapText="1"/>
      <protection locked="0" hidden="0"/>
    </xf>
    <xf numFmtId="165" fontId="16" fillId="0" borderId="1" applyAlignment="1" pivotButton="0" quotePrefix="0" xfId="0">
      <alignment horizontal="center" vertical="center" wrapText="1"/>
    </xf>
    <xf numFmtId="0" fontId="2" fillId="2" borderId="1" applyAlignment="1" pivotButton="0" quotePrefix="0" xfId="0">
      <alignment horizontal="right" vertical="center" wrapText="1"/>
    </xf>
    <xf numFmtId="0" fontId="5" fillId="2" borderId="1" applyAlignment="1" pivotButton="0" quotePrefix="0" xfId="0">
      <alignment horizontal="center" vertical="center" wrapText="1"/>
    </xf>
    <xf numFmtId="9" fontId="19" fillId="2" borderId="1" applyAlignment="1" pivotButton="0" quotePrefix="0" xfId="0">
      <alignment horizontal="center" vertical="center" wrapText="1"/>
    </xf>
    <xf numFmtId="9" fontId="20" fillId="2" borderId="1" applyAlignment="1" pivotButton="0" quotePrefix="0" xfId="0">
      <alignment horizontal="center" vertical="center" wrapText="1"/>
    </xf>
    <xf numFmtId="0" fontId="21" fillId="2" borderId="0" applyAlignment="1" pivotButton="0" quotePrefix="0" xfId="0">
      <alignment horizontal="center" vertical="center"/>
    </xf>
    <xf numFmtId="0" fontId="13" fillId="0" borderId="1" applyAlignment="1" pivotButton="0" quotePrefix="0" xfId="0">
      <alignment horizontal="right" vertical="center" wrapText="1"/>
    </xf>
    <xf numFmtId="0" fontId="0" fillId="0" borderId="8" applyProtection="1" pivotButton="0" quotePrefix="0" xfId="0">
      <protection locked="0" hidden="0"/>
    </xf>
    <xf numFmtId="0" fontId="0" fillId="0" borderId="7" applyProtection="1" pivotButton="0" quotePrefix="0" xfId="0">
      <protection locked="0" hidden="0"/>
    </xf>
    <xf numFmtId="0" fontId="15" fillId="0" borderId="1" applyAlignment="1" pivotButton="0" quotePrefix="0" xfId="0">
      <alignment horizontal="right" vertical="center" wrapText="1"/>
    </xf>
    <xf numFmtId="9" fontId="5" fillId="2" borderId="1" applyAlignment="1" pivotButton="0" quotePrefix="0" xfId="0">
      <alignment horizontal="center" vertical="center" wrapText="1"/>
    </xf>
    <xf numFmtId="9" fontId="29" fillId="2" borderId="1" applyAlignment="1" pivotButton="0" quotePrefix="0" xfId="0">
      <alignment horizontal="center" vertical="center" wrapText="1"/>
    </xf>
    <xf numFmtId="0" fontId="18" fillId="0" borderId="1" applyAlignment="1" pivotButton="0" quotePrefix="0" xfId="0">
      <alignment horizontal="right" vertical="center" wrapText="1"/>
    </xf>
    <xf numFmtId="0" fontId="33" fillId="0" borderId="1" applyAlignment="1" pivotButton="0" quotePrefix="0" xfId="0">
      <alignment horizontal="right" vertical="center" wrapText="1"/>
    </xf>
    <xf numFmtId="9" fontId="22"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styles" Target="styles.xml" Id="rId35"/><Relationship Type="http://schemas.openxmlformats.org/officeDocument/2006/relationships/theme" Target="theme/theme1.xml" Id="rId3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الأداء حسب الركائز</a:t>
            </a:r>
          </a:p>
        </rich>
      </tx>
    </title>
    <plotArea>
      <barChart>
        <barDir val="col"/>
        <grouping val="clustered"/>
        <ser>
          <idx val="0"/>
          <order val="0"/>
          <spPr>
            <a:solidFill xmlns:a="http://schemas.openxmlformats.org/drawingml/2006/main">
              <a:srgbClr val="F47A21"/>
            </a:solidFill>
            <a:ln xmlns:a="http://schemas.openxmlformats.org/drawingml/2006/main">
              <a:prstDash val="solid"/>
            </a:ln>
          </spPr>
          <cat>
            <numRef>
              <f>'لوحة الإدارة التنفيذية'!$H$6:$H$8</f>
            </numRef>
          </cat>
          <val>
            <numRef>
              <f>'لوحة الإدارة التنفيذية'!$I$6:$I$8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numFmt formatCode="0%" sourceLinked="0"/>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الأداء حسب الإدارة</a:t>
            </a:r>
          </a:p>
        </rich>
      </tx>
    </title>
    <plotArea>
      <barChart>
        <barDir val="bar"/>
        <grouping val="clustered"/>
        <ser>
          <idx val="0"/>
          <order val="0"/>
          <spPr>
            <a:solidFill xmlns:a="http://schemas.openxmlformats.org/drawingml/2006/main">
              <a:srgbClr val="808285"/>
            </a:solidFill>
            <a:ln xmlns:a="http://schemas.openxmlformats.org/drawingml/2006/main">
              <a:prstDash val="solid"/>
            </a:ln>
          </spPr>
          <cat>
            <numRef>
              <f>'لوحة الإدارة التنفيذية'!$B$11:$B$18</f>
            </numRef>
          </cat>
          <val>
            <numRef>
              <f>'لوحة الإدارة التنفيذية'!$C$11:$C$18</f>
            </numRef>
          </val>
        </ser>
        <gapWidth val="150"/>
        <axId val="10"/>
        <axId val="100"/>
      </barChart>
      <catAx>
        <axId val="10"/>
        <scaling>
          <orientation val="minMax"/>
        </scaling>
        <axPos val="l"/>
        <numFmt formatCode="0%" sourceLinked="0"/>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image" Target="/xl/media/image4.png" Id="rId3"/></Relationships>
</file>

<file path=xl/drawings/_rels/drawing5.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1</col>
      <colOff>0</colOff>
      <row>0</row>
      <rowOff>0</rowOff>
    </from>
    <ext cx="2381250" cy="6191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1</col>
      <colOff>0</colOff>
      <row>0</row>
      <rowOff>0</rowOff>
    </from>
    <ext cx="1905000" cy="495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1</col>
      <colOff>0</colOff>
      <row>0</row>
      <rowOff>0</rowOff>
    </from>
    <ext cx="20002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11</col>
      <colOff>0</colOff>
      <row>3</row>
      <rowOff>0</rowOff>
    </from>
    <ext cx="3960000" cy="23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17</row>
      <rowOff>0</rowOff>
    </from>
    <ext cx="39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0</row>
      <rowOff>0</rowOff>
    </from>
    <ext cx="2000250" cy="51435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0</row>
      <rowOff>0</rowOff>
    </from>
    <ext cx="1905000" cy="495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8.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sheetPr>
  <dimension ref="B2:B10"/>
  <sheetViews>
    <sheetView showGridLines="0" rightToLeft="1" workbookViewId="0">
      <selection activeCell="A1" sqref="A1"/>
    </sheetView>
  </sheetViews>
  <sheetFormatPr baseColWidth="8" defaultRowHeight="15"/>
  <cols>
    <col width="3" customWidth="1" min="1" max="1"/>
    <col width="110" customWidth="1" min="2" max="2"/>
  </cols>
  <sheetData>
    <row r="1" ht="56" customHeight="1"/>
    <row r="2">
      <c r="B2" s="1" t="inlineStr">
        <is>
          <t>درب · المنظومة الاستراتيجية لمؤشرات الأداء 2026 — قطاع المحطات والعقار</t>
        </is>
      </c>
    </row>
    <row r="3" ht="8" customHeight="1">
      <c r="B3" s="2" t="inlineStr"/>
    </row>
    <row r="4" ht="30" customHeight="1">
      <c r="B4" s="3" t="inlineStr">
        <is>
          <t>🧭 الفكرة  —  ملف واحد يتدرّج من فوق لتحت: الركائز الخمسية ← مستهدفات 2026 ← الخارطة التنفيذية ← مؤشرات كل إدارة ← تقييم كل موظف. كل المؤشرات تغذّي نفس اللوحة عبر «قاعدة المؤشرات».</t>
        </is>
      </c>
    </row>
    <row r="5" ht="30" customHeight="1">
      <c r="B5" s="3" t="inlineStr">
        <is>
          <t>🟩 خلايا الإدخال  —  الخلايا الخضراء فقط قابلة للتعديل — يدخل فيها المسؤول أرقامه الشهرية. باقي الخلايا (المؤشر/المستهدف/المعادلة) مقفولة ومحمية.</t>
        </is>
      </c>
    </row>
    <row r="6" ht="30" customHeight="1">
      <c r="B6" s="3" t="inlineStr">
        <is>
          <t>🔢 المعادلات  —  نسبة التحقيق وYTD والحالة والدرجات تُحسب آلياً بمعادلات حقيقية، وتصعد تلقائياً للمشروع والركيزة.</t>
        </is>
      </c>
    </row>
    <row r="7" ht="30" customHeight="1">
      <c r="B7" s="3" t="inlineStr">
        <is>
          <t>🔒 الحماية  —  كل شيت محمي بكلمة مرور: darb2026  — لفك الحماية مؤقتاً: مراجعة ← حماية الورقة ← أدخل كلمة المرور.</t>
        </is>
      </c>
    </row>
    <row r="8" ht="30" customHeight="1">
      <c r="B8" s="3" t="inlineStr">
        <is>
          <t>👤 الصلاحيات  —  عند التوزيع: كل مسؤول يُمنح صلاحية الإدخال على نطاق خلاياه الخضراء فقط (Allow Edit Ranges / صلاحيات SharePoint). الهيكل والمستهدفات مقفولة للجميع.</t>
        </is>
      </c>
    </row>
    <row r="9" ht="30" customHeight="1">
      <c r="B9" s="3" t="inlineStr">
        <is>
          <t>📊 الحالة  —  ✅ محقق = 100%+   |   🟡 قريب = 85%–99%   |   🔴 تحت الهدف = أقل من 85%   |   — = بانتظار إدخال / مستهدف وصفي.</t>
        </is>
      </c>
    </row>
    <row r="10" ht="30" customHeight="1">
      <c r="B10" s="3" t="inlineStr">
        <is>
          <t>🏢 الإدارات  —  الامتياز التجاري · التشغيل والمحطات · الاستثمار · العقار — كلها في نفس الملف وتغذّي نفس اللوحة التنفيذية.</t>
        </is>
      </c>
    </row>
  </sheetData>
  <sheetProtection selectLockedCells="1" selectUnlockedCells="1" sheet="1" objects="0" insertRows="1" insertHyperlinks="1" autoFilter="1" scenarios="0" formatColumns="1" deleteColumns="1" insertColumns="1" pivotTables="1" deleteRows="1" formatCells="0" formatRows="1" sort="1" password="EFFF"/>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2:D16"/>
  <sheetViews>
    <sheetView showGridLines="0" rightToLeft="1" workbookViewId="0">
      <selection activeCell="A1" sqref="A1"/>
    </sheetView>
  </sheetViews>
  <sheetFormatPr baseColWidth="8" defaultRowHeight="15"/>
  <cols>
    <col width="3" customWidth="1" min="1" max="1"/>
    <col width="26" customWidth="1" min="2" max="2"/>
    <col width="42" customWidth="1" min="3" max="3"/>
    <col width="30" customWidth="1" min="4" max="4"/>
  </cols>
  <sheetData>
    <row r="1" ht="46" customHeight="1"/>
    <row r="2" ht="32" customHeight="1">
      <c r="B2" s="4" t="inlineStr">
        <is>
          <t>ركائز واستراتيجية درب 2026 — قطاع المحطات والعقار</t>
        </is>
      </c>
    </row>
    <row r="4">
      <c r="A4" s="5" t="inlineStr"/>
      <c r="B4" s="5" t="inlineStr">
        <is>
          <t>الركيزة (5 سنوات) / الهدف</t>
        </is>
      </c>
      <c r="C4" s="5" t="inlineStr">
        <is>
          <t>الوصف</t>
        </is>
      </c>
      <c r="D4" s="5" t="inlineStr">
        <is>
          <t>مستهدف 2026</t>
        </is>
      </c>
    </row>
    <row r="5" ht="26" customHeight="1">
      <c r="A5" s="6" t="inlineStr"/>
      <c r="B5" s="7" t="inlineStr">
        <is>
          <t>النمو</t>
        </is>
      </c>
      <c r="C5" s="8" t="inlineStr">
        <is>
          <t>التوسع في المواقع وزيادة الوصول للعملاء وتنمية الإيرادات.</t>
        </is>
      </c>
      <c r="D5" s="9" t="inlineStr"/>
    </row>
    <row r="6" ht="26" customHeight="1">
      <c r="A6" s="10" t="inlineStr"/>
      <c r="B6" s="11" t="inlineStr">
        <is>
          <t>التوسع في المواقع</t>
        </is>
      </c>
      <c r="C6" s="10" t="inlineStr">
        <is>
          <t>افتتاح وتشغيل محطات جديدة.</t>
        </is>
      </c>
      <c r="D6" s="12" t="inlineStr">
        <is>
          <t>التشغيل: 85 محطة · الامتياز: 150 محطة</t>
        </is>
      </c>
    </row>
    <row r="7" ht="26" customHeight="1">
      <c r="A7" s="10" t="inlineStr"/>
      <c r="B7" s="11" t="inlineStr">
        <is>
          <t>الامتياز والعقود</t>
        </is>
      </c>
      <c r="C7" s="10" t="inlineStr">
        <is>
          <t>تنمية الإيرادات عبر الامتياز والاستثمار.</t>
        </is>
      </c>
      <c r="D7" s="12" t="inlineStr">
        <is>
          <t>الامتياز: 167 عقد · الاستثمار: 190 عقد</t>
        </is>
      </c>
    </row>
    <row r="8" ht="26" customHeight="1">
      <c r="A8" s="10" t="inlineStr"/>
      <c r="B8" s="11" t="inlineStr">
        <is>
          <t>زيادة وصول العملاء</t>
        </is>
      </c>
      <c r="C8" s="10" t="inlineStr">
        <is>
          <t>رفع المبيعات والتغطية الجغرافية.</t>
        </is>
      </c>
      <c r="D8" s="12" t="inlineStr">
        <is>
          <t>718.8M لتر · 13 منطقة · 59 مدينة</t>
        </is>
      </c>
    </row>
    <row r="9" ht="26" customHeight="1">
      <c r="A9" s="6" t="inlineStr"/>
      <c r="B9" s="7" t="inlineStr">
        <is>
          <t>الابتكار</t>
        </is>
      </c>
      <c r="C9" s="8" t="inlineStr">
        <is>
          <t>مشاريع جديدة وتحول تقني وتطوير الهوية.</t>
        </is>
      </c>
      <c r="D9" s="9" t="inlineStr"/>
    </row>
    <row r="10" ht="26" customHeight="1">
      <c r="A10" s="10" t="inlineStr"/>
      <c r="B10" s="11" t="inlineStr">
        <is>
          <t>الهوية والتصاميم</t>
        </is>
      </c>
      <c r="C10" s="10" t="inlineStr">
        <is>
          <t>تطبيق الهوية المؤسسية في المحطات.</t>
        </is>
      </c>
      <c r="D10" s="12" t="inlineStr">
        <is>
          <t>التزام 55% بالهوية</t>
        </is>
      </c>
    </row>
    <row r="11" ht="26" customHeight="1">
      <c r="A11" s="10" t="inlineStr"/>
      <c r="B11" s="11" t="inlineStr">
        <is>
          <t>التحول التقني وساحات درب</t>
        </is>
      </c>
      <c r="C11" s="10" t="inlineStr">
        <is>
          <t>أتمتة المحطات وتطوير ساحات درب وتطبيق تانكي.</t>
        </is>
      </c>
      <c r="D11" s="12" t="inlineStr">
        <is>
          <t>أتمتة 90% · تأجير ساحة درب ≥80%</t>
        </is>
      </c>
    </row>
    <row r="12" ht="26" customHeight="1">
      <c r="A12" s="6" t="inlineStr"/>
      <c r="B12" s="7" t="inlineStr">
        <is>
          <t>الاستدامة</t>
        </is>
      </c>
      <c r="C12" s="8" t="inlineStr">
        <is>
          <t>جودة التشغيل وتجربة العميل والاستثمار في الموظفين.</t>
        </is>
      </c>
      <c r="D12" s="9" t="inlineStr"/>
    </row>
    <row r="13" ht="26" customHeight="1">
      <c r="A13" s="10" t="inlineStr"/>
      <c r="B13" s="11" t="inlineStr">
        <is>
          <t>تجربة العملاء</t>
        </is>
      </c>
      <c r="C13" s="10" t="inlineStr">
        <is>
          <t>رفع الرضا وجودة التجربة.</t>
        </is>
      </c>
      <c r="D13" s="12" t="inlineStr">
        <is>
          <t>قوقل ≥4.5–4.7 · CSAT ≥90%</t>
        </is>
      </c>
    </row>
    <row r="14" ht="26" customHeight="1">
      <c r="A14" s="10" t="inlineStr"/>
      <c r="B14" s="11" t="inlineStr">
        <is>
          <t>جودة التشغيل</t>
        </is>
      </c>
      <c r="C14" s="10" t="inlineStr">
        <is>
          <t>كفاءة وجودة عمليات المحطات.</t>
        </is>
      </c>
      <c r="D14" s="12" t="inlineStr">
        <is>
          <t>جاهزية 99% · سلامة 100%</t>
        </is>
      </c>
    </row>
    <row r="15" ht="26" customHeight="1">
      <c r="A15" s="10" t="inlineStr"/>
      <c r="B15" s="11" t="inlineStr">
        <is>
          <t>منظومة التأجير (العقار)</t>
        </is>
      </c>
      <c r="C15" s="10" t="inlineStr">
        <is>
          <t>الإشغال والتحصيل واستدامة المستأجرين.</t>
        </is>
      </c>
      <c r="D15" s="12" t="inlineStr">
        <is>
          <t>إشغال ≥60% · 246 علامة · تحصيل 95%+</t>
        </is>
      </c>
    </row>
    <row r="16" ht="26" customHeight="1">
      <c r="A16" s="10" t="inlineStr"/>
      <c r="B16" s="11" t="inlineStr">
        <is>
          <t>الاستثمار في الموظفين</t>
        </is>
      </c>
      <c r="C16" s="10" t="inlineStr">
        <is>
          <t>التطوير والاستبقاء.</t>
        </is>
      </c>
      <c r="D16" s="12" t="inlineStr">
        <is>
          <t>استبقاء الشركاء 90%+</t>
        </is>
      </c>
    </row>
  </sheetData>
  <sheetProtection selectLockedCells="1" selectUnlockedCells="1" sheet="1" objects="0" insertRows="1" insertHyperlinks="1" autoFilter="1" scenarios="0" formatColumns="1" deleteColumns="1" insertColumns="1" pivotTables="1" deleteRows="1" formatCells="0" formatRows="1" sort="1" password="EFFF"/>
  <mergeCells count="1">
    <mergeCell ref="B2:D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H22"/>
  <sheetViews>
    <sheetView showGridLines="0" rightToLeft="1" workbookViewId="0">
      <selection activeCell="A1" sqref="A1"/>
    </sheetView>
  </sheetViews>
  <sheetFormatPr baseColWidth="8" defaultRowHeight="15"/>
  <cols>
    <col width="3" customWidth="1" min="1" max="1"/>
    <col width="16" customWidth="1" min="2" max="2"/>
    <col width="18" customWidth="1" min="3" max="3"/>
    <col width="40" customWidth="1" min="4" max="4"/>
    <col width="16" customWidth="1" min="5" max="5"/>
    <col width="14" customWidth="1" min="6" max="6"/>
    <col width="12" customWidth="1" min="7" max="7"/>
    <col width="14" customWidth="1" min="8" max="8"/>
  </cols>
  <sheetData>
    <row r="1" ht="48" customHeight="1"/>
    <row r="2" ht="34" customHeight="1">
      <c r="B2" s="13" t="inlineStr">
        <is>
          <t>المؤشرات الحيوية — النجمة الشمالية والمؤشرات الاستراتيجية القليلة</t>
        </is>
      </c>
    </row>
    <row r="4">
      <c r="B4" s="14" t="inlineStr">
        <is>
          <t>🌟 النجمة الشمالية — إجمالي مبيعات الوقود (لتر)</t>
        </is>
      </c>
      <c r="E4" s="15" t="inlineStr">
        <is>
          <t>نسبة تحقيق النجمة الشمالية</t>
        </is>
      </c>
    </row>
    <row r="5" ht="28" customHeight="1">
      <c r="B5" s="16">
        <f>'الامتياز · المؤشرات'!U6</f>
        <v/>
      </c>
      <c r="D5" s="17" t="inlineStr">
        <is>
          <t>المستهدف 2026</t>
        </is>
      </c>
      <c r="E5" s="18">
        <f>'الامتياز · المؤشرات'!V6</f>
        <v/>
      </c>
    </row>
    <row r="6">
      <c r="D6" s="19">
        <f>'الامتياز · المؤشرات'!H6</f>
        <v/>
      </c>
    </row>
    <row r="8" ht="26" customHeight="1">
      <c r="B8" s="5" t="inlineStr">
        <is>
          <t>الركيزة</t>
        </is>
      </c>
      <c r="C8" s="5" t="inlineStr">
        <is>
          <t>الإدارة</t>
        </is>
      </c>
      <c r="D8" s="5" t="inlineStr">
        <is>
          <t>المؤشر</t>
        </is>
      </c>
      <c r="E8" s="5" t="inlineStr">
        <is>
          <t>المستهدف</t>
        </is>
      </c>
      <c r="F8" s="5" t="inlineStr">
        <is>
          <t>YTD</t>
        </is>
      </c>
      <c r="G8" s="5" t="inlineStr">
        <is>
          <t>الإنجاز</t>
        </is>
      </c>
      <c r="H8" s="5" t="inlineStr">
        <is>
          <t>الحالة</t>
        </is>
      </c>
    </row>
    <row r="9" ht="24" customHeight="1">
      <c r="B9" s="20" t="inlineStr">
        <is>
          <t>النمو</t>
        </is>
      </c>
      <c r="C9" s="21" t="inlineStr">
        <is>
          <t>الامتياز</t>
        </is>
      </c>
      <c r="D9" s="22">
        <f>'الامتياز · المؤشرات'!C6</f>
        <v/>
      </c>
      <c r="E9" s="21">
        <f>'الامتياز · المؤشرات'!H6</f>
        <v/>
      </c>
      <c r="F9" s="17">
        <f>'الامتياز · المؤشرات'!U6</f>
        <v/>
      </c>
      <c r="G9" s="23">
        <f>'الامتياز · المؤشرات'!V6</f>
        <v/>
      </c>
      <c r="H9" s="17">
        <f>'الامتياز · المؤشرات'!W6</f>
        <v/>
      </c>
    </row>
    <row r="10" ht="24" customHeight="1">
      <c r="C10" s="21" t="inlineStr">
        <is>
          <t>الامتياز</t>
        </is>
      </c>
      <c r="D10" s="22">
        <f>'الامتياز · المؤشرات'!C4</f>
        <v/>
      </c>
      <c r="E10" s="21">
        <f>'الامتياز · المؤشرات'!H4</f>
        <v/>
      </c>
      <c r="F10" s="17">
        <f>'الامتياز · المؤشرات'!U4</f>
        <v/>
      </c>
      <c r="G10" s="23">
        <f>'الامتياز · المؤشرات'!V4</f>
        <v/>
      </c>
      <c r="H10" s="17">
        <f>'الامتياز · المؤشرات'!W4</f>
        <v/>
      </c>
    </row>
    <row r="11" ht="24" customHeight="1">
      <c r="C11" s="21" t="inlineStr">
        <is>
          <t>الامتياز</t>
        </is>
      </c>
      <c r="D11" s="22">
        <f>'الامتياز · المؤشرات'!C5</f>
        <v/>
      </c>
      <c r="E11" s="21">
        <f>'الامتياز · المؤشرات'!H5</f>
        <v/>
      </c>
      <c r="F11" s="17">
        <f>'الامتياز · المؤشرات'!U5</f>
        <v/>
      </c>
      <c r="G11" s="23">
        <f>'الامتياز · المؤشرات'!V5</f>
        <v/>
      </c>
      <c r="H11" s="17">
        <f>'الامتياز · المؤشرات'!W5</f>
        <v/>
      </c>
    </row>
    <row r="12" ht="24" customHeight="1">
      <c r="C12" s="21" t="inlineStr">
        <is>
          <t>الاستثمار</t>
        </is>
      </c>
      <c r="D12" s="22">
        <f>'الاستثمار · المؤشرات'!C4</f>
        <v/>
      </c>
      <c r="E12" s="21">
        <f>'الاستثمار · المؤشرات'!H4</f>
        <v/>
      </c>
      <c r="F12" s="17">
        <f>'الاستثمار · المؤشرات'!U4</f>
        <v/>
      </c>
      <c r="G12" s="23">
        <f>'الاستثمار · المؤشرات'!V4</f>
        <v/>
      </c>
      <c r="H12" s="17">
        <f>'الاستثمار · المؤشرات'!W4</f>
        <v/>
      </c>
    </row>
    <row r="13" ht="24" customHeight="1">
      <c r="B13" s="20" t="inlineStr">
        <is>
          <t>الابتكار</t>
        </is>
      </c>
      <c r="C13" s="21" t="inlineStr">
        <is>
          <t>الامتياز</t>
        </is>
      </c>
      <c r="D13" s="22">
        <f>'الامتياز · المؤشرات'!C24</f>
        <v/>
      </c>
      <c r="E13" s="21">
        <f>'الامتياز · المؤشرات'!H24</f>
        <v/>
      </c>
      <c r="F13" s="17">
        <f>'الامتياز · المؤشرات'!U24</f>
        <v/>
      </c>
      <c r="G13" s="23">
        <f>'الامتياز · المؤشرات'!V24</f>
        <v/>
      </c>
      <c r="H13" s="17">
        <f>'الامتياز · المؤشرات'!W24</f>
        <v/>
      </c>
    </row>
    <row r="14" ht="24" customHeight="1">
      <c r="C14" s="21" t="inlineStr">
        <is>
          <t>العقار</t>
        </is>
      </c>
      <c r="D14" s="22">
        <f>'العقار · المؤشرات'!C12</f>
        <v/>
      </c>
      <c r="E14" s="21">
        <f>'العقار · المؤشرات'!H12</f>
        <v/>
      </c>
      <c r="F14" s="17">
        <f>'العقار · المؤشرات'!U12</f>
        <v/>
      </c>
      <c r="G14" s="23">
        <f>'العقار · المؤشرات'!V12</f>
        <v/>
      </c>
      <c r="H14" s="17">
        <f>'العقار · المؤشرات'!W12</f>
        <v/>
      </c>
    </row>
    <row r="15" ht="24" customHeight="1">
      <c r="C15" s="21" t="inlineStr">
        <is>
          <t>التقنية الرقمية</t>
        </is>
      </c>
      <c r="D15" s="22">
        <f>'التقنية الرقمية · المؤشرات'!C4</f>
        <v/>
      </c>
      <c r="E15" s="21">
        <f>'التقنية الرقمية · المؤشرات'!H4</f>
        <v/>
      </c>
      <c r="F15" s="17">
        <f>'التقنية الرقمية · المؤشرات'!U4</f>
        <v/>
      </c>
      <c r="G15" s="23">
        <f>'التقنية الرقمية · المؤشرات'!V4</f>
        <v/>
      </c>
      <c r="H15" s="17">
        <f>'التقنية الرقمية · المؤشرات'!W4</f>
        <v/>
      </c>
    </row>
    <row r="16" ht="24" customHeight="1">
      <c r="B16" s="20" t="inlineStr">
        <is>
          <t>الاستدامة</t>
        </is>
      </c>
      <c r="C16" s="21" t="inlineStr">
        <is>
          <t>الامتياز</t>
        </is>
      </c>
      <c r="D16" s="22">
        <f>'الامتياز · المؤشرات'!C12</f>
        <v/>
      </c>
      <c r="E16" s="21">
        <f>'الامتياز · المؤشرات'!H12</f>
        <v/>
      </c>
      <c r="F16" s="17">
        <f>'الامتياز · المؤشرات'!U12</f>
        <v/>
      </c>
      <c r="G16" s="23">
        <f>'الامتياز · المؤشرات'!V12</f>
        <v/>
      </c>
      <c r="H16" s="17">
        <f>'الامتياز · المؤشرات'!W12</f>
        <v/>
      </c>
    </row>
    <row r="17" ht="24" customHeight="1">
      <c r="C17" s="21" t="inlineStr">
        <is>
          <t>الامتياز</t>
        </is>
      </c>
      <c r="D17" s="22">
        <f>'الامتياز · المؤشرات'!C17</f>
        <v/>
      </c>
      <c r="E17" s="21">
        <f>'الامتياز · المؤشرات'!H17</f>
        <v/>
      </c>
      <c r="F17" s="17">
        <f>'الامتياز · المؤشرات'!U17</f>
        <v/>
      </c>
      <c r="G17" s="23">
        <f>'الامتياز · المؤشرات'!V17</f>
        <v/>
      </c>
      <c r="H17" s="17">
        <f>'الامتياز · المؤشرات'!W17</f>
        <v/>
      </c>
    </row>
    <row r="18" ht="24" customHeight="1">
      <c r="C18" s="21" t="inlineStr">
        <is>
          <t>الامتياز</t>
        </is>
      </c>
      <c r="D18" s="22">
        <f>'الامتياز · المؤشرات'!C32</f>
        <v/>
      </c>
      <c r="E18" s="21">
        <f>'الامتياز · المؤشرات'!H32</f>
        <v/>
      </c>
      <c r="F18" s="17">
        <f>'الامتياز · المؤشرات'!U32</f>
        <v/>
      </c>
      <c r="G18" s="23">
        <f>'الامتياز · المؤشرات'!V32</f>
        <v/>
      </c>
      <c r="H18" s="17">
        <f>'الامتياز · المؤشرات'!W32</f>
        <v/>
      </c>
    </row>
    <row r="19" ht="24" customHeight="1">
      <c r="C19" s="21" t="inlineStr">
        <is>
          <t>العقار</t>
        </is>
      </c>
      <c r="D19" s="22">
        <f>'العقار · المؤشرات'!C7</f>
        <v/>
      </c>
      <c r="E19" s="21">
        <f>'العقار · المؤشرات'!H7</f>
        <v/>
      </c>
      <c r="F19" s="17">
        <f>'العقار · المؤشرات'!U7</f>
        <v/>
      </c>
      <c r="G19" s="23">
        <f>'العقار · المؤشرات'!V7</f>
        <v/>
      </c>
      <c r="H19" s="17">
        <f>'العقار · المؤشرات'!W7</f>
        <v/>
      </c>
    </row>
    <row r="20" ht="24" customHeight="1">
      <c r="C20" s="21" t="inlineStr">
        <is>
          <t>العقار</t>
        </is>
      </c>
      <c r="D20" s="22">
        <f>'العقار · المؤشرات'!C19</f>
        <v/>
      </c>
      <c r="E20" s="21">
        <f>'العقار · المؤشرات'!H19</f>
        <v/>
      </c>
      <c r="F20" s="17">
        <f>'العقار · المؤشرات'!U19</f>
        <v/>
      </c>
      <c r="G20" s="23">
        <f>'العقار · المؤشرات'!V19</f>
        <v/>
      </c>
      <c r="H20" s="17">
        <f>'العقار · المؤشرات'!W19</f>
        <v/>
      </c>
    </row>
    <row r="21" ht="24" customHeight="1">
      <c r="C21" s="21" t="inlineStr">
        <is>
          <t>الاستثمار</t>
        </is>
      </c>
      <c r="D21" s="22">
        <f>'الاستثمار · المؤشرات'!C11</f>
        <v/>
      </c>
      <c r="E21" s="21">
        <f>'الاستثمار · المؤشرات'!H11</f>
        <v/>
      </c>
      <c r="F21" s="17">
        <f>'الاستثمار · المؤشرات'!U11</f>
        <v/>
      </c>
      <c r="G21" s="23">
        <f>'الاستثمار · المؤشرات'!V11</f>
        <v/>
      </c>
      <c r="H21" s="17">
        <f>'الاستثمار · المؤشرات'!W11</f>
        <v/>
      </c>
    </row>
    <row r="22" ht="24" customHeight="1">
      <c r="C22" s="21" t="inlineStr">
        <is>
          <t>الموارد البشرية</t>
        </is>
      </c>
      <c r="D22" s="22">
        <f>'الموارد البشرية · المؤشرات'!C4</f>
        <v/>
      </c>
      <c r="E22" s="21">
        <f>'الموارد البشرية · المؤشرات'!H4</f>
        <v/>
      </c>
      <c r="F22" s="17">
        <f>'الموارد البشرية · المؤشرات'!U4</f>
        <v/>
      </c>
      <c r="G22" s="23">
        <f>'الموارد البشرية · المؤشرات'!V4</f>
        <v/>
      </c>
      <c r="H22" s="17">
        <f>'الموارد البشرية · المؤشرات'!W4</f>
        <v/>
      </c>
    </row>
  </sheetData>
  <sheetProtection selectLockedCells="1" selectUnlockedCells="1" sheet="1" objects="0" insertRows="1" insertHyperlinks="1" autoFilter="1" scenarios="0" formatColumns="1" deleteColumns="1" insertColumns="1" pivotTables="1" deleteRows="1" formatCells="0" formatRows="1" sort="1" password="EFFF"/>
  <mergeCells count="8">
    <mergeCell ref="B9:B12"/>
    <mergeCell ref="E4:H4"/>
    <mergeCell ref="B5:C6"/>
    <mergeCell ref="B4:D4"/>
    <mergeCell ref="B13:B15"/>
    <mergeCell ref="B2:H2"/>
    <mergeCell ref="B16:B22"/>
    <mergeCell ref="E5:H6"/>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E10"/>
  <sheetViews>
    <sheetView showGridLines="0" rightToLeft="1" workbookViewId="0">
      <selection activeCell="A1" sqref="A1"/>
    </sheetView>
  </sheetViews>
  <sheetFormatPr baseColWidth="8" defaultRowHeight="15"/>
  <cols>
    <col width="3" customWidth="1" min="1" max="1"/>
    <col width="24" customWidth="1" min="2" max="2"/>
    <col width="16" customWidth="1" min="3" max="3"/>
    <col width="16" customWidth="1" min="4" max="4"/>
    <col width="52" customWidth="1" min="5" max="5"/>
  </cols>
  <sheetData>
    <row r="2" ht="30" customHeight="1">
      <c r="B2" s="4" t="inlineStr">
        <is>
          <t>خريطة الاستراتيجية — منظورات Balanced Scorecard</t>
        </is>
      </c>
    </row>
    <row r="3">
      <c r="B3" s="24" t="inlineStr">
        <is>
          <t>سلسلة القيمة (سبب ← أثر):  التعلّم والنمو  →  العمليات الداخلية  →  العملاء  →  النتائج المالية</t>
        </is>
      </c>
    </row>
    <row r="4">
      <c r="B4" s="5" t="inlineStr">
        <is>
          <t>المنظور</t>
        </is>
      </c>
      <c r="C4" s="5" t="inlineStr">
        <is>
          <t>الأداء (مباشر)</t>
        </is>
      </c>
      <c r="D4" s="5" t="inlineStr">
        <is>
          <t>عدد المؤشرات</t>
        </is>
      </c>
      <c r="E4" s="5" t="inlineStr">
        <is>
          <t>أبرز المؤشرات/الأهداف</t>
        </is>
      </c>
    </row>
    <row r="5" ht="34" customHeight="1">
      <c r="B5" s="20" t="inlineStr">
        <is>
          <t>النتائج المالية</t>
        </is>
      </c>
      <c r="C5" s="25">
        <f>IFERROR(AVERAGEIFS('قاعدة المؤشرات'!$F$4:$F$134,'قاعدة المؤشرات'!$H$4:$H$134,"مالي"),"—")</f>
        <v/>
      </c>
      <c r="D5" s="26">
        <f>COUNTIF('قاعدة المؤشرات'!$H$4:$H$134,"مالي")</f>
        <v/>
      </c>
      <c r="E5" s="22" t="inlineStr">
        <is>
          <t>الإيرادات · التحصيل · الهامش · العائد على الاستثمار</t>
        </is>
      </c>
    </row>
    <row r="6" ht="34" customHeight="1">
      <c r="B6" s="20" t="inlineStr">
        <is>
          <t>العملاء</t>
        </is>
      </c>
      <c r="C6" s="25">
        <f>IFERROR(AVERAGEIFS('قاعدة المؤشرات'!$F$4:$F$134,'قاعدة المؤشرات'!$H$4:$H$134,"العملاء"),"—")</f>
        <v/>
      </c>
      <c r="D6" s="26">
        <f>COUNTIF('قاعدة المؤشرات'!$H$4:$H$134,"العملاء")</f>
        <v/>
      </c>
      <c r="E6" s="22" t="inlineStr">
        <is>
          <t>CSAT · تقييم قوقل · رضا المستأجرين · حل الشكاوى</t>
        </is>
      </c>
    </row>
    <row r="7" ht="34" customHeight="1">
      <c r="B7" s="20" t="inlineStr">
        <is>
          <t>العمليات الداخلية</t>
        </is>
      </c>
      <c r="C7" s="25">
        <f>IFERROR(AVERAGEIFS('قاعدة المؤشرات'!$F$4:$F$134,'قاعدة المؤشرات'!$H$4:$H$134,"العمليات الداخلية"),"—")</f>
        <v/>
      </c>
      <c r="D7" s="26">
        <f>COUNTIF('قاعدة المؤشرات'!$H$4:$H$134,"العمليات الداخلية")</f>
        <v/>
      </c>
      <c r="E7" s="22" t="inlineStr">
        <is>
          <t>الجاهزية · السلامة · الجودة · الزيارات · العقود</t>
        </is>
      </c>
    </row>
    <row r="8" ht="34" customHeight="1">
      <c r="B8" s="20" t="inlineStr">
        <is>
          <t>التعلّم والنمو</t>
        </is>
      </c>
      <c r="C8" s="25">
        <f>IFERROR(AVERAGEIFS('قاعدة المؤشرات'!$F$4:$F$134,'قاعدة المؤشرات'!$H$4:$H$134,"التعلّم والنمو"),"—")</f>
        <v/>
      </c>
      <c r="D8" s="26">
        <f>COUNTIF('قاعدة المؤشرات'!$H$4:$H$134,"التعلّم والنمو")</f>
        <v/>
      </c>
      <c r="E8" s="22" t="inlineStr">
        <is>
          <t>التدريب · الاستبقاء · الأتمتة · الهوية · المشاريع الجديدة</t>
        </is>
      </c>
    </row>
    <row r="10">
      <c r="B10" s="27" t="inlineStr">
        <is>
          <t>⬆️ كل طبقة تُمكّن الطبقة التي فوقها — الاستثمار في التعلّم والعمليات يقود تجربة العميل ثم النتائج المالية.</t>
        </is>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B10:E10"/>
    <mergeCell ref="B3:E3"/>
    <mergeCell ref="B2:E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0"/>
  <sheetViews>
    <sheetView showGridLines="0" rightToLeft="1" workbookViewId="0">
      <selection activeCell="A1" sqref="A1"/>
    </sheetView>
  </sheetViews>
  <sheetFormatPr baseColWidth="8" defaultRowHeight="15"/>
  <cols>
    <col width="4" customWidth="1" min="1" max="1"/>
    <col width="15" customWidth="1" min="2" max="2"/>
    <col width="26" customWidth="1" min="3" max="3"/>
    <col width="30" customWidth="1" min="4" max="4"/>
    <col width="40" customWidth="1" min="5" max="5"/>
    <col width="14" customWidth="1" min="6" max="6"/>
    <col width="18" customWidth="1" min="7" max="7"/>
  </cols>
  <sheetData>
    <row r="1" ht="30" customHeight="1">
      <c r="A1" s="28" t="inlineStr">
        <is>
          <t>الخارطة التنفيذية 2026 — مشاريع الشركة وربطها بالمؤشرات (المحطات والعقار)</t>
        </is>
      </c>
    </row>
    <row r="2">
      <c r="A2" s="29" t="inlineStr">
        <is>
          <t>المصدر: «رؤية وأهداف 2026» — سحور درب  ·  التغطية: ✅ مرتبط 🟡 جزئي 🔴 فجوة  ·  أداء المؤشرات آلي من قاعدة المؤشرات</t>
        </is>
      </c>
    </row>
    <row r="3" ht="30" customHeight="1">
      <c r="A3" s="30" t="inlineStr">
        <is>
          <t>#</t>
        </is>
      </c>
      <c r="B3" s="30" t="inlineStr">
        <is>
          <t>الركيزة</t>
        </is>
      </c>
      <c r="C3" s="30" t="inlineStr">
        <is>
          <t>المشروع</t>
        </is>
      </c>
      <c r="D3" s="30" t="inlineStr">
        <is>
          <t>الإدارة المسؤولة</t>
        </is>
      </c>
      <c r="E3" s="30" t="inlineStr">
        <is>
          <t>المؤشرات المرتبطة</t>
        </is>
      </c>
      <c r="F3" s="30" t="inlineStr">
        <is>
          <t>التغطية</t>
        </is>
      </c>
      <c r="G3" s="30" t="inlineStr">
        <is>
          <t>أداء المؤشرات (مباشر)</t>
        </is>
      </c>
    </row>
    <row r="4" ht="30" customHeight="1">
      <c r="A4" s="17" t="n">
        <v>1</v>
      </c>
      <c r="B4" s="15" t="inlineStr">
        <is>
          <t>النمو</t>
        </is>
      </c>
      <c r="C4" s="31" t="inlineStr">
        <is>
          <t>التوسع في المواقع</t>
        </is>
      </c>
      <c r="D4" s="22" t="inlineStr">
        <is>
          <t>التشغيل + الامتياز + الاستثمار</t>
        </is>
      </c>
      <c r="E4" s="22" t="inlineStr">
        <is>
          <t>محطات مشغّلة (85+150) · 190 عقد استثماري</t>
        </is>
      </c>
      <c r="F4" s="32" t="inlineStr">
        <is>
          <t>✅ مرتبط</t>
        </is>
      </c>
      <c r="G4" s="33">
        <f>IF(COUNTIFS('قاعدة المؤشرات'!$E$4:$E$134,"التوسع في المواقع")=0,"—",IFERROR(AVERAGEIFS('قاعدة المؤشرات'!$F$4:$F$134,'قاعدة المؤشرات'!$E$4:$E$134,"التوسع في المواقع"),"—"))</f>
        <v/>
      </c>
    </row>
    <row r="5" ht="30" customHeight="1">
      <c r="A5" s="17" t="n">
        <v>2</v>
      </c>
      <c r="C5" s="31" t="inlineStr">
        <is>
          <t>الامتياز التجاري</t>
        </is>
      </c>
      <c r="D5" s="22" t="inlineStr">
        <is>
          <t>الامتياز التجاري</t>
        </is>
      </c>
      <c r="E5" s="22" t="inlineStr">
        <is>
          <t>عقود الامتياز (167) · الإيرادات والهامش</t>
        </is>
      </c>
      <c r="F5" s="32" t="inlineStr">
        <is>
          <t>✅ مرتبط</t>
        </is>
      </c>
      <c r="G5" s="33">
        <f>IF(COUNTIFS('قاعدة المؤشرات'!$E$4:$E$134,"الامتياز التجاري")=0,"—",IFERROR(AVERAGEIFS('قاعدة المؤشرات'!$F$4:$F$134,'قاعدة المؤشرات'!$E$4:$E$134,"الامتياز التجاري"),"—"))</f>
        <v/>
      </c>
    </row>
    <row r="6" ht="30" customHeight="1">
      <c r="A6" s="17" t="n">
        <v>3</v>
      </c>
      <c r="C6" s="31" t="inlineStr">
        <is>
          <t>زيادة وصول العملاء</t>
        </is>
      </c>
      <c r="D6" s="22" t="inlineStr">
        <is>
          <t>الامتياز + التشغيل + العقار</t>
        </is>
      </c>
      <c r="E6" s="22" t="inlineStr">
        <is>
          <t>مبيعات الوقود · نمو المبيعات · LEADS</t>
        </is>
      </c>
      <c r="F6" s="32" t="inlineStr">
        <is>
          <t>✅ مرتبط</t>
        </is>
      </c>
      <c r="G6" s="33">
        <f>IF(COUNTIFS('قاعدة المؤشرات'!$E$4:$E$134,"زيادة وصول العملاء")=0,"—",IFERROR(AVERAGEIFS('قاعدة المؤشرات'!$F$4:$F$134,'قاعدة المؤشرات'!$E$4:$E$134,"زيادة وصول العملاء"),"—"))</f>
        <v/>
      </c>
    </row>
    <row r="7" ht="30" customHeight="1">
      <c r="A7" s="17" t="n">
        <v>4</v>
      </c>
      <c r="B7" s="15" t="inlineStr">
        <is>
          <t>الابتكار</t>
        </is>
      </c>
      <c r="C7" s="31" t="inlineStr">
        <is>
          <t>إطلاق مشاريع جديدة</t>
        </is>
      </c>
      <c r="D7" s="22" t="inlineStr">
        <is>
          <t>التسويق + العقار</t>
        </is>
      </c>
      <c r="E7" s="22" t="inlineStr">
        <is>
          <t>المعارض · الاتفاقيات الاستراتيجية · الشراكات</t>
        </is>
      </c>
      <c r="F7" s="32" t="inlineStr">
        <is>
          <t>✅ مرتبط</t>
        </is>
      </c>
      <c r="G7" s="33">
        <f>IF(COUNTIFS('قاعدة المؤشرات'!$E$4:$E$134,"إطلاق مشاريع جديدة")=0,"—",IFERROR(AVERAGEIFS('قاعدة المؤشرات'!$F$4:$F$134,'قاعدة المؤشرات'!$E$4:$E$134,"إطلاق مشاريع جديدة"),"—"))</f>
        <v/>
      </c>
    </row>
    <row r="8" ht="30" customHeight="1">
      <c r="A8" s="17" t="n">
        <v>5</v>
      </c>
      <c r="C8" s="31" t="inlineStr">
        <is>
          <t>تطوير التصاميم والهوية</t>
        </is>
      </c>
      <c r="D8" s="22" t="inlineStr">
        <is>
          <t>التسويق (الدعاية والإعلان)</t>
        </is>
      </c>
      <c r="E8" s="22" t="inlineStr">
        <is>
          <t>التزام الهوية البصرية · جودة التصميم</t>
        </is>
      </c>
      <c r="F8" s="32" t="inlineStr">
        <is>
          <t>✅ مرتبط</t>
        </is>
      </c>
      <c r="G8" s="33">
        <f>IF(COUNTIFS('قاعدة المؤشرات'!$E$4:$E$134,"تطوير التصاميم والهوية")=0,"—",IFERROR(AVERAGEIFS('قاعدة المؤشرات'!$F$4:$F$134,'قاعدة المؤشرات'!$E$4:$E$134,"تطوير التصاميم والهوية"),"—"))</f>
        <v/>
      </c>
    </row>
    <row r="9" ht="30" customHeight="1">
      <c r="A9" s="17" t="n">
        <v>6</v>
      </c>
      <c r="C9" s="31" t="inlineStr">
        <is>
          <t>التحول التقني</t>
        </is>
      </c>
      <c r="D9" s="22" t="inlineStr">
        <is>
          <t>التقنية الرقمية + التشغيل</t>
        </is>
      </c>
      <c r="E9" s="22" t="inlineStr">
        <is>
          <t>أتمتة العمليات · جاهزية الأنظمة · المعيار الشامل</t>
        </is>
      </c>
      <c r="F9" s="32" t="inlineStr">
        <is>
          <t>✅ مرتبط</t>
        </is>
      </c>
      <c r="G9" s="33">
        <f>IF(COUNTIFS('قاعدة المؤشرات'!$E$4:$E$134,"التحول التقني")=0,"—",IFERROR(AVERAGEIFS('قاعدة المؤشرات'!$F$4:$F$134,'قاعدة المؤشرات'!$E$4:$E$134,"التحول التقني"),"—"))</f>
        <v/>
      </c>
    </row>
    <row r="10" ht="30" customHeight="1">
      <c r="A10" s="17" t="n">
        <v>7</v>
      </c>
      <c r="C10" s="31" t="inlineStr">
        <is>
          <t>ساحات درب</t>
        </is>
      </c>
      <c r="D10" s="22" t="inlineStr">
        <is>
          <t>العقار</t>
        </is>
      </c>
      <c r="E10" s="22" t="inlineStr">
        <is>
          <t>تأجير ساحة درب (≥80%) · 6 علامات جديدة</t>
        </is>
      </c>
      <c r="F10" s="32" t="inlineStr">
        <is>
          <t>✅ مرتبط</t>
        </is>
      </c>
      <c r="G10" s="33">
        <f>IF(COUNTIFS('قاعدة المؤشرات'!$E$4:$E$134,"ساحات درب")=0,"—",IFERROR(AVERAGEIFS('قاعدة المؤشرات'!$F$4:$F$134,'قاعدة المؤشرات'!$E$4:$E$134,"ساحات درب"),"—"))</f>
        <v/>
      </c>
    </row>
    <row r="11" ht="30" customHeight="1">
      <c r="A11" s="17" t="n">
        <v>8</v>
      </c>
      <c r="C11" s="31" t="inlineStr">
        <is>
          <t>تطبيق «تانكي»</t>
        </is>
      </c>
      <c r="D11" s="22" t="inlineStr">
        <is>
          <t>التقنية الرقمية</t>
        </is>
      </c>
      <c r="E11" s="22" t="inlineStr">
        <is>
          <t>MAU · التنزيلات · المعاملات الرقمية · الرضا</t>
        </is>
      </c>
      <c r="F11" s="32" t="inlineStr">
        <is>
          <t>✅ مرتبط</t>
        </is>
      </c>
      <c r="G11" s="33">
        <f>IF(COUNTIFS('قاعدة المؤشرات'!$E$4:$E$134,"تطبيق «تانكي»")=0,"—",IFERROR(AVERAGEIFS('قاعدة المؤشرات'!$F$4:$F$134,'قاعدة المؤشرات'!$E$4:$E$134,"تطبيق «تانكي»"),"—"))</f>
        <v/>
      </c>
    </row>
    <row r="12" ht="30" customHeight="1">
      <c r="A12" s="17" t="n">
        <v>9</v>
      </c>
      <c r="B12" s="15" t="inlineStr">
        <is>
          <t>الاستدامة</t>
        </is>
      </c>
      <c r="C12" s="31" t="inlineStr">
        <is>
          <t>تعزيز تجربة العملاء</t>
        </is>
      </c>
      <c r="D12" s="22" t="inlineStr">
        <is>
          <t>الامتياز + التشغيل + العقار + الاستثمار</t>
        </is>
      </c>
      <c r="E12" s="22" t="inlineStr">
        <is>
          <t>CSAT · قوقل · الشكاوى · رضا المستأجرين</t>
        </is>
      </c>
      <c r="F12" s="32" t="inlineStr">
        <is>
          <t>✅ مرتبط</t>
        </is>
      </c>
      <c r="G12" s="33">
        <f>IF(COUNTIFS('قاعدة المؤشرات'!$E$4:$E$134,"تعزيز تجربة العملاء")=0,"—",IFERROR(AVERAGEIFS('قاعدة المؤشرات'!$F$4:$F$134,'قاعدة المؤشرات'!$E$4:$E$134,"تعزيز تجربة العملاء"),"—"))</f>
        <v/>
      </c>
    </row>
    <row r="13" ht="30" customHeight="1">
      <c r="A13" s="17" t="n">
        <v>10</v>
      </c>
      <c r="C13" s="31" t="inlineStr">
        <is>
          <t>جودة التشغيل</t>
        </is>
      </c>
      <c r="D13" s="22" t="inlineStr">
        <is>
          <t>التشغيل + الامتياز + الاستثمار</t>
        </is>
      </c>
      <c r="E13" s="22" t="inlineStr">
        <is>
          <t>جاهزية 99% · السلامة 100% · الصيانة</t>
        </is>
      </c>
      <c r="F13" s="32" t="inlineStr">
        <is>
          <t>✅ مرتبط</t>
        </is>
      </c>
      <c r="G13" s="33">
        <f>IF(COUNTIFS('قاعدة المؤشرات'!$E$4:$E$134,"جودة التشغيل")=0,"—",IFERROR(AVERAGEIFS('قاعدة المؤشرات'!$F$4:$F$134,'قاعدة المؤشرات'!$E$4:$E$134,"جودة التشغيل"),"—"))</f>
        <v/>
      </c>
    </row>
    <row r="14" ht="30" customHeight="1">
      <c r="A14" s="17" t="n">
        <v>11</v>
      </c>
      <c r="C14" s="31" t="inlineStr">
        <is>
          <t>منظومة التأجير</t>
        </is>
      </c>
      <c r="D14" s="22" t="inlineStr">
        <is>
          <t>العقار</t>
        </is>
      </c>
      <c r="E14" s="22" t="inlineStr">
        <is>
          <t>الإشغال (≥60%) · 68 وحدة/شهر · التحصيل</t>
        </is>
      </c>
      <c r="F14" s="32" t="inlineStr">
        <is>
          <t>✅ مرتبط</t>
        </is>
      </c>
      <c r="G14" s="33">
        <f>IF(COUNTIFS('قاعدة المؤشرات'!$E$4:$E$134,"منظومة التأجير")=0,"—",IFERROR(AVERAGEIFS('قاعدة المؤشرات'!$F$4:$F$134,'قاعدة المؤشرات'!$E$4:$E$134,"منظومة التأجير"),"—"))</f>
        <v/>
      </c>
    </row>
    <row r="15" ht="30" customHeight="1">
      <c r="A15" s="17" t="n">
        <v>12</v>
      </c>
      <c r="C15" s="31" t="inlineStr">
        <is>
          <t>الاستثمار في الموظفين</t>
        </is>
      </c>
      <c r="D15" s="22" t="inlineStr">
        <is>
          <t>الموارد البشرية</t>
        </is>
      </c>
      <c r="E15" s="22" t="inlineStr">
        <is>
          <t>الاستبقاء · التدريب · eNPS · السعودة</t>
        </is>
      </c>
      <c r="F15" s="32" t="inlineStr">
        <is>
          <t>✅ مرتبط</t>
        </is>
      </c>
      <c r="G15" s="33">
        <f>IF(COUNTIFS('قاعدة المؤشرات'!$E$4:$E$134,"الاستثمار في الموظفين")=0,"—",IFERROR(AVERAGEIFS('قاعدة المؤشرات'!$F$4:$F$134,'قاعدة المؤشرات'!$E$4:$E$134,"الاستثمار في الموظفين"),"—"))</f>
        <v/>
      </c>
    </row>
    <row r="17">
      <c r="B17" s="34" t="inlineStr">
        <is>
          <t>✅ كل مشاريع الخارطة أصبحت مغطّاة بمؤشرات وإدارات مسؤولة (التقنية الرقمية + الموارد البشرية + التسويق) · لا فجوات.</t>
        </is>
      </c>
    </row>
    <row r="18" ht="24" customHeight="1">
      <c r="B18" s="22" t="inlineStr">
        <is>
          <t>✅ تطوير التصاميم والهوية — يملكه التسويق (الدعاية والإعلان + التزام الهوية البصرية).</t>
        </is>
      </c>
    </row>
    <row r="19" ht="24" customHeight="1">
      <c r="B19" s="22" t="inlineStr">
        <is>
          <t>✅ إطلاق مشاريع جديدة — يغذّيه التسويق (المعارض + الاتفاقيات الاستراتيجية) والعقار (الشراكات).</t>
        </is>
      </c>
    </row>
    <row r="20" ht="24" customHeight="1">
      <c r="B20" s="22" t="inlineStr">
        <is>
          <t>📌 توصية: تثبيت خطوط الأساس 2025 والأوزان لكل مؤشر، وإدخال المُحقَّق الفعلي من منصة درب.</t>
        </is>
      </c>
    </row>
  </sheetData>
  <sheetProtection selectLockedCells="1" selectUnlockedCells="1" sheet="1" objects="0" insertRows="1" insertHyperlinks="1" autoFilter="1" scenarios="0" formatColumns="1" deleteColumns="1" insertColumns="1" pivotTables="1" deleteRows="1" formatCells="0" formatRows="1" sort="1" password="EFFF"/>
  <mergeCells count="9">
    <mergeCell ref="B19:G19"/>
    <mergeCell ref="B20:G20"/>
    <mergeCell ref="A1:G1"/>
    <mergeCell ref="B4:B6"/>
    <mergeCell ref="B17:G17"/>
    <mergeCell ref="B12:B15"/>
    <mergeCell ref="A2:G2"/>
    <mergeCell ref="B18:G18"/>
    <mergeCell ref="B7:B1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1:P18"/>
  <sheetViews>
    <sheetView showGridLines="0" rightToLeft="1" workbookViewId="0">
      <selection activeCell="A1" sqref="A1"/>
    </sheetView>
  </sheetViews>
  <sheetFormatPr baseColWidth="8" defaultRowHeight="15"/>
  <cols>
    <col width="3" customWidth="1" min="1" max="1"/>
    <col width="30" customWidth="1" min="2" max="2"/>
    <col width="16" customWidth="1" min="3" max="3"/>
    <col width="16" customWidth="1" min="4" max="4"/>
    <col width="16" customWidth="1" min="5" max="5"/>
    <col width="16" customWidth="1" min="6" max="6"/>
    <col width="26" customWidth="1" min="8" max="8"/>
    <col width="14" customWidth="1" min="9" max="9"/>
    <col width="14" customWidth="1" min="10" max="10"/>
    <col width="22" customWidth="1" min="15" max="15"/>
    <col width="10" customWidth="1" min="16" max="16"/>
  </cols>
  <sheetData>
    <row r="1" ht="48" customHeight="1">
      <c r="O1" s="35" t="inlineStr">
        <is>
          <t>اضبط الشهر لتفعيل التنبؤ والانحراف ↙</t>
        </is>
      </c>
    </row>
    <row r="2" ht="38" customHeight="1">
      <c r="B2" s="36" t="inlineStr">
        <is>
          <t>درب · لوحة الإدارة التنفيذية 2026 — المحطات والعقار</t>
        </is>
      </c>
      <c r="O2" s="37" t="inlineStr">
        <is>
          <t>🗓️ الأشهر المكتملة (شهر التقرير):</t>
        </is>
      </c>
      <c r="P2" s="38" t="n"/>
    </row>
    <row r="4" ht="22" customHeight="1">
      <c r="B4" s="5" t="inlineStr">
        <is>
          <t>مؤشر الإنجاز العام للشركة</t>
        </is>
      </c>
      <c r="D4" s="32" t="inlineStr">
        <is>
          <t>✅ محقق</t>
        </is>
      </c>
      <c r="E4" s="39" t="inlineStr">
        <is>
          <t>🟡 قريب</t>
        </is>
      </c>
      <c r="F4" s="40" t="inlineStr">
        <is>
          <t>🔴 تحت الهدف</t>
        </is>
      </c>
      <c r="H4" s="41" t="inlineStr">
        <is>
          <t>الأداء حسب الركائز (5 سنوات)</t>
        </is>
      </c>
      <c r="I4" s="42" t="n"/>
      <c r="J4" s="43" t="n"/>
    </row>
    <row r="5" ht="30" customHeight="1">
      <c r="B5" s="44">
        <f>IFERROR(AVERAGE('قاعدة المؤشرات'!$F$4:$F$134),0)</f>
        <v/>
      </c>
      <c r="D5" s="45">
        <f>COUNTIF('قاعدة المؤشرات'!$G$4:$G$134,"✅ محقق")</f>
        <v/>
      </c>
      <c r="E5" s="45">
        <f>COUNTIF('قاعدة المؤشرات'!$G$4:$G$134,"🟡 قريب")</f>
        <v/>
      </c>
      <c r="F5" s="45">
        <f>COUNTIF('قاعدة المؤشرات'!$G$4:$G$134,"🔴 تحت الهدف")</f>
        <v/>
      </c>
      <c r="H5" s="46" t="inlineStr">
        <is>
          <t>الركيزة</t>
        </is>
      </c>
      <c r="I5" s="46" t="inlineStr">
        <is>
          <t>الإنجاز</t>
        </is>
      </c>
      <c r="J5" s="46" t="inlineStr">
        <is>
          <t>الحالة</t>
        </is>
      </c>
    </row>
    <row r="6">
      <c r="D6" s="47" t="n"/>
      <c r="E6" s="47" t="n"/>
      <c r="F6" s="47" t="n"/>
      <c r="H6" s="48" t="inlineStr">
        <is>
          <t>النمو</t>
        </is>
      </c>
      <c r="I6" s="33">
        <f>IFERROR(AVERAGEIFS('قاعدة المؤشرات'!$F$4:$F$134,'قاعدة المؤشرات'!$D$4:$D$134,"النمو"),"—")</f>
        <v/>
      </c>
      <c r="J6" s="49">
        <f>IF(ISNUMBER(I6),IF(I6&gt;=1,"✅",IF(I6&gt;=0.85,"🟡","🔴")),"—")</f>
        <v/>
      </c>
    </row>
    <row r="7">
      <c r="H7" s="48" t="inlineStr">
        <is>
          <t>الابتكار</t>
        </is>
      </c>
      <c r="I7" s="33">
        <f>IFERROR(AVERAGEIFS('قاعدة المؤشرات'!$F$4:$F$134,'قاعدة المؤشرات'!$D$4:$D$134,"الابتكار"),"—")</f>
        <v/>
      </c>
      <c r="J7" s="49">
        <f>IF(ISNUMBER(I7),IF(I7&gt;=1,"✅",IF(I7&gt;=0.85,"🟡","🔴")),"—")</f>
        <v/>
      </c>
    </row>
    <row r="8">
      <c r="H8" s="48" t="inlineStr">
        <is>
          <t>الاستدامة</t>
        </is>
      </c>
      <c r="I8" s="33">
        <f>IFERROR(AVERAGEIFS('قاعدة المؤشرات'!$F$4:$F$134,'قاعدة المؤشرات'!$D$4:$D$134,"الاستدامة"),"—")</f>
        <v/>
      </c>
      <c r="J8" s="49">
        <f>IF(ISNUMBER(I8),IF(I8&gt;=1,"✅",IF(I8&gt;=0.85,"🟡","🔴")),"—")</f>
        <v/>
      </c>
    </row>
    <row r="9">
      <c r="B9" s="15" t="inlineStr">
        <is>
          <t>الأداء حسب الإدارة (تغذّي نفس اللوحة)</t>
        </is>
      </c>
      <c r="C9" s="42" t="n"/>
      <c r="D9" s="43" t="n"/>
    </row>
    <row r="10">
      <c r="B10" s="46" t="inlineStr">
        <is>
          <t>الإدارة</t>
        </is>
      </c>
      <c r="C10" s="46" t="inlineStr">
        <is>
          <t>الإنجاز</t>
        </is>
      </c>
      <c r="D10" s="46" t="inlineStr">
        <is>
          <t>الحالة</t>
        </is>
      </c>
    </row>
    <row r="11">
      <c r="B11" s="22" t="inlineStr">
        <is>
          <t>الإدارة التنفيذية</t>
        </is>
      </c>
      <c r="C11" s="23">
        <f>IFERROR(AVERAGEIFS('قاعدة المؤشرات'!$F$4:$F$134,'قاعدة المؤشرات'!$B$4:$B$134,"الإدارة التنفيذية"),"—")</f>
        <v/>
      </c>
      <c r="D11" s="17">
        <f>IF(ISNUMBER(C11),IF(C11&gt;=1,"✅ محقق",IF(C11&gt;=0.85,"🟡 قريب","🔴 تحت الهدف")),"—")</f>
        <v/>
      </c>
    </row>
    <row r="12">
      <c r="B12" s="22" t="inlineStr">
        <is>
          <t>الامتياز التجاري</t>
        </is>
      </c>
      <c r="C12" s="23">
        <f>IFERROR(AVERAGEIFS('قاعدة المؤشرات'!$F$4:$F$134,'قاعدة المؤشرات'!$B$4:$B$134,"الامتياز التجاري"),"—")</f>
        <v/>
      </c>
      <c r="D12" s="17">
        <f>IF(ISNUMBER(C12),IF(C12&gt;=1,"✅ محقق",IF(C12&gt;=0.85,"🟡 قريب","🔴 تحت الهدف")),"—")</f>
        <v/>
      </c>
    </row>
    <row r="13">
      <c r="B13" s="22" t="inlineStr">
        <is>
          <t>التشغيل والمحطات</t>
        </is>
      </c>
      <c r="C13" s="23">
        <f>IFERROR(AVERAGEIFS('قاعدة المؤشرات'!$F$4:$F$134,'قاعدة المؤشرات'!$B$4:$B$134,"التشغيل والمحطات"),"—")</f>
        <v/>
      </c>
      <c r="D13" s="17">
        <f>IF(ISNUMBER(C13),IF(C13&gt;=1,"✅ محقق",IF(C13&gt;=0.85,"🟡 قريب","🔴 تحت الهدف")),"—")</f>
        <v/>
      </c>
    </row>
    <row r="14">
      <c r="B14" s="22" t="inlineStr">
        <is>
          <t>الاستثمار</t>
        </is>
      </c>
      <c r="C14" s="23">
        <f>IFERROR(AVERAGEIFS('قاعدة المؤشرات'!$F$4:$F$134,'قاعدة المؤشرات'!$B$4:$B$134,"الاستثمار"),"—")</f>
        <v/>
      </c>
      <c r="D14" s="17">
        <f>IF(ISNUMBER(C14),IF(C14&gt;=1,"✅ محقق",IF(C14&gt;=0.85,"🟡 قريب","🔴 تحت الهدف")),"—")</f>
        <v/>
      </c>
    </row>
    <row r="15">
      <c r="B15" s="22" t="inlineStr">
        <is>
          <t>العقار</t>
        </is>
      </c>
      <c r="C15" s="23">
        <f>IFERROR(AVERAGEIFS('قاعدة المؤشرات'!$F$4:$F$134,'قاعدة المؤشرات'!$B$4:$B$134,"العقار"),"—")</f>
        <v/>
      </c>
      <c r="D15" s="17">
        <f>IF(ISNUMBER(C15),IF(C15&gt;=1,"✅ محقق",IF(C15&gt;=0.85,"🟡 قريب","🔴 تحت الهدف")),"—")</f>
        <v/>
      </c>
    </row>
    <row r="16">
      <c r="B16" s="22" t="inlineStr">
        <is>
          <t>التقنية الرقمية</t>
        </is>
      </c>
      <c r="C16" s="23">
        <f>IFERROR(AVERAGEIFS('قاعدة المؤشرات'!$F$4:$F$134,'قاعدة المؤشرات'!$B$4:$B$134,"التقنية الرقمية"),"—")</f>
        <v/>
      </c>
      <c r="D16" s="17">
        <f>IF(ISNUMBER(C16),IF(C16&gt;=1,"✅ محقق",IF(C16&gt;=0.85,"🟡 قريب","🔴 تحت الهدف")),"—")</f>
        <v/>
      </c>
    </row>
    <row r="17">
      <c r="B17" s="22" t="inlineStr">
        <is>
          <t>الموارد البشرية</t>
        </is>
      </c>
      <c r="C17" s="23">
        <f>IFERROR(AVERAGEIFS('قاعدة المؤشرات'!$F$4:$F$134,'قاعدة المؤشرات'!$B$4:$B$134,"الموارد البشرية"),"—")</f>
        <v/>
      </c>
      <c r="D17" s="17">
        <f>IF(ISNUMBER(C17),IF(C17&gt;=1,"✅ محقق",IF(C17&gt;=0.85,"🟡 قريب","🔴 تحت الهدف")),"—")</f>
        <v/>
      </c>
    </row>
    <row r="18">
      <c r="B18" s="22" t="inlineStr">
        <is>
          <t>التسويق</t>
        </is>
      </c>
      <c r="C18" s="23">
        <f>IFERROR(AVERAGEIFS('قاعدة المؤشرات'!$F$4:$F$134,'قاعدة المؤشرات'!$B$4:$B$134,"التسويق"),"—")</f>
        <v/>
      </c>
      <c r="D18" s="17">
        <f>IF(ISNUMBER(C18),IF(C18&gt;=1,"✅ محقق",IF(C18&gt;=0.85,"🟡 قريب","🔴 تحت الهدف")),"—")</f>
        <v/>
      </c>
    </row>
  </sheetData>
  <sheetProtection selectLockedCells="1" selectUnlockedCells="1" sheet="1" objects="0" insertRows="1" insertHyperlinks="1" autoFilter="1" scenarios="0" formatColumns="1" deleteColumns="1" insertColumns="1" pivotTables="1" deleteRows="1" formatCells="0" formatRows="1" sort="1" password="EFFF"/>
  <mergeCells count="8">
    <mergeCell ref="E5:E6"/>
    <mergeCell ref="B2:F2"/>
    <mergeCell ref="B5:C6"/>
    <mergeCell ref="H4:J4"/>
    <mergeCell ref="B9:D9"/>
    <mergeCell ref="F5:F6"/>
    <mergeCell ref="B4:C4"/>
    <mergeCell ref="D5:D6"/>
  </mergeCells>
  <dataValidations count="1">
    <dataValidation sqref="P2" showDropDown="0" showInputMessage="0" showErrorMessage="0" allowBlank="1" type="whole" operator="between">
      <formula1>0</formula1>
      <formula2>12</formula2>
    </dataValidation>
  </dataValidation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16"/>
  <sheetViews>
    <sheetView showGridLines="0" rightToLeft="1" workbookViewId="0">
      <selection activeCell="A1" sqref="A1"/>
    </sheetView>
  </sheetViews>
  <sheetFormatPr baseColWidth="8" defaultRowHeight="15"/>
  <cols>
    <col width="4" customWidth="1" min="1" max="1"/>
    <col width="34" customWidth="1" min="2" max="2"/>
    <col width="14" customWidth="1" min="3" max="3"/>
    <col width="22" customWidth="1" min="4" max="4"/>
    <col width="24" customWidth="1" min="5" max="5"/>
    <col width="18" customWidth="1" min="6" max="6"/>
    <col width="12" customWidth="1" min="7" max="7"/>
    <col width="12" customWidth="1" min="8" max="8"/>
    <col width="14" customWidth="1" min="9" max="9"/>
    <col width="11" customWidth="1" min="10" max="10"/>
    <col width="14" customWidth="1" min="11" max="11"/>
    <col width="30" customWidth="1" min="12" max="12"/>
  </cols>
  <sheetData>
    <row r="1" ht="28" customHeight="1">
      <c r="A1" s="28" t="inlineStr">
        <is>
          <t>سجل المبادرات وخطط العمل — الجسر بين المؤشرات والتنفيذ</t>
        </is>
      </c>
    </row>
    <row r="2">
      <c r="A2" s="50" t="inlineStr">
        <is>
          <t>🟩 خلايا الإدخال خضراء  ·  كل مبادرة مرتبطة بمشروع/مؤشر  ·  الحالة تُحسب من نسبة الإنجاز</t>
        </is>
      </c>
    </row>
    <row r="3" ht="30" customHeight="1">
      <c r="A3" s="30" t="inlineStr">
        <is>
          <t>#</t>
        </is>
      </c>
      <c r="B3" s="30" t="inlineStr">
        <is>
          <t>المبادرة</t>
        </is>
      </c>
      <c r="C3" s="30" t="inlineStr">
        <is>
          <t>الركيزة</t>
        </is>
      </c>
      <c r="D3" s="30" t="inlineStr">
        <is>
          <t>المشروع المرتبط</t>
        </is>
      </c>
      <c r="E3" s="30" t="inlineStr">
        <is>
          <t>المؤشر/الهدف المرتبط</t>
        </is>
      </c>
      <c r="F3" s="30" t="inlineStr">
        <is>
          <t>المالك</t>
        </is>
      </c>
      <c r="G3" s="30" t="inlineStr">
        <is>
          <t>البداية</t>
        </is>
      </c>
      <c r="H3" s="30" t="inlineStr">
        <is>
          <t>النهاية</t>
        </is>
      </c>
      <c r="I3" s="30" t="inlineStr">
        <is>
          <t>الميزانية</t>
        </is>
      </c>
      <c r="J3" s="30" t="inlineStr">
        <is>
          <t>الإنجاز %</t>
        </is>
      </c>
      <c r="K3" s="30" t="inlineStr">
        <is>
          <t>الحالة</t>
        </is>
      </c>
      <c r="L3" s="30" t="inlineStr">
        <is>
          <t>المعالم/الملاحظات</t>
        </is>
      </c>
    </row>
    <row r="4" ht="26" customHeight="1">
      <c r="A4" s="17" t="n">
        <v>1</v>
      </c>
      <c r="B4" s="51" t="inlineStr">
        <is>
          <t>إطلاق تطبيق «تانكي»</t>
        </is>
      </c>
      <c r="C4" s="38" t="inlineStr">
        <is>
          <t>الابتكار</t>
        </is>
      </c>
      <c r="D4" s="51" t="inlineStr">
        <is>
          <t>تطبيق «تانكي»</t>
        </is>
      </c>
      <c r="E4" s="51" t="inlineStr">
        <is>
          <t>عدد المستخدمين النشطين (MAU)</t>
        </is>
      </c>
      <c r="F4" s="38" t="inlineStr">
        <is>
          <t>التقنية الرقمية</t>
        </is>
      </c>
      <c r="G4" s="38" t="n"/>
      <c r="H4" s="38" t="n"/>
      <c r="I4" s="52" t="n"/>
      <c r="J4" s="53" t="n"/>
      <c r="K4" s="17">
        <f>IF($J4="","—",IF($J4&gt;=1,"✅ مكتملة",IF($J4&gt;0,"🟠 جارية","⚪ لم تبدأ")))</f>
        <v/>
      </c>
      <c r="L4" s="51" t="n"/>
    </row>
    <row r="5" ht="26" customHeight="1">
      <c r="A5" s="17" t="n">
        <v>2</v>
      </c>
      <c r="B5" s="51" t="inlineStr">
        <is>
          <t>برنامج التحول الرقمي وأتمتة العمليات</t>
        </is>
      </c>
      <c r="C5" s="38" t="inlineStr">
        <is>
          <t>الابتكار</t>
        </is>
      </c>
      <c r="D5" s="51" t="inlineStr">
        <is>
          <t>التحول التقني</t>
        </is>
      </c>
      <c r="E5" s="51" t="inlineStr">
        <is>
          <t>نسبة الأتمتة على مستوى الشركة</t>
        </is>
      </c>
      <c r="F5" s="38" t="inlineStr">
        <is>
          <t>التقنية الرقمية</t>
        </is>
      </c>
      <c r="G5" s="38" t="n"/>
      <c r="H5" s="38" t="n"/>
      <c r="I5" s="52" t="n"/>
      <c r="J5" s="53" t="n"/>
      <c r="K5" s="17">
        <f>IF($J5="","—",IF($J5&gt;=1,"✅ مكتملة",IF($J5&gt;0,"🟠 جارية","⚪ لم تبدأ")))</f>
        <v/>
      </c>
      <c r="L5" s="51" t="n"/>
    </row>
    <row r="6" ht="26" customHeight="1">
      <c r="A6" s="17" t="n">
        <v>3</v>
      </c>
      <c r="B6" s="51" t="inlineStr">
        <is>
          <t>برنامج تطوير واستبقاء الموظفين</t>
        </is>
      </c>
      <c r="C6" s="38" t="inlineStr">
        <is>
          <t>الاستدامة</t>
        </is>
      </c>
      <c r="D6" s="51" t="inlineStr">
        <is>
          <t>الاستثمار في الموظفين</t>
        </is>
      </c>
      <c r="E6" s="51" t="inlineStr">
        <is>
          <t>الاستبقاء + eNPS</t>
        </is>
      </c>
      <c r="F6" s="38" t="inlineStr">
        <is>
          <t>الموارد البشرية</t>
        </is>
      </c>
      <c r="G6" s="38" t="n"/>
      <c r="H6" s="38" t="n"/>
      <c r="I6" s="52" t="n"/>
      <c r="J6" s="53" t="n"/>
      <c r="K6" s="17">
        <f>IF($J6="","—",IF($J6&gt;=1,"✅ مكتملة",IF($J6&gt;0,"🟠 جارية","⚪ لم تبدأ")))</f>
        <v/>
      </c>
      <c r="L6" s="51" t="n"/>
    </row>
    <row r="7" ht="26" customHeight="1">
      <c r="A7" s="17" t="n">
        <v>4</v>
      </c>
      <c r="B7" s="51" t="inlineStr">
        <is>
          <t>خطة افتتاح 30 محطة جديدة</t>
        </is>
      </c>
      <c r="C7" s="38" t="inlineStr">
        <is>
          <t>النمو</t>
        </is>
      </c>
      <c r="D7" s="51" t="inlineStr">
        <is>
          <t>التوسع في المواقع</t>
        </is>
      </c>
      <c r="E7" s="51" t="inlineStr">
        <is>
          <t>عدد المحطات المشغّلة</t>
        </is>
      </c>
      <c r="F7" s="38" t="inlineStr">
        <is>
          <t>التشغيل والمحطات</t>
        </is>
      </c>
      <c r="G7" s="38" t="n"/>
      <c r="H7" s="38" t="n"/>
      <c r="I7" s="52" t="n"/>
      <c r="J7" s="53" t="n"/>
      <c r="K7" s="17">
        <f>IF($J7="","—",IF($J7&gt;=1,"✅ مكتملة",IF($J7&gt;0,"🟠 جارية","⚪ لم تبدأ")))</f>
        <v/>
      </c>
      <c r="L7" s="51" t="n"/>
    </row>
    <row r="8" ht="26" customHeight="1">
      <c r="A8" s="17" t="n">
        <v>5</v>
      </c>
      <c r="B8" s="51" t="inlineStr">
        <is>
          <t>حملة استقطاب 167 عقد امتياز</t>
        </is>
      </c>
      <c r="C8" s="38" t="inlineStr">
        <is>
          <t>النمو</t>
        </is>
      </c>
      <c r="D8" s="51" t="inlineStr">
        <is>
          <t>الامتياز التجاري</t>
        </is>
      </c>
      <c r="E8" s="51" t="inlineStr">
        <is>
          <t>عقود الامتياز الجديدة</t>
        </is>
      </c>
      <c r="F8" s="38" t="inlineStr">
        <is>
          <t>الامتياز التجاري</t>
        </is>
      </c>
      <c r="G8" s="38" t="n"/>
      <c r="H8" s="38" t="n"/>
      <c r="I8" s="52" t="n"/>
      <c r="J8" s="53" t="n"/>
      <c r="K8" s="17">
        <f>IF($J8="","—",IF($J8&gt;=1,"✅ مكتملة",IF($J8&gt;0,"🟠 جارية","⚪ لم تبدأ")))</f>
        <v/>
      </c>
      <c r="L8" s="51" t="n"/>
    </row>
    <row r="9" ht="26" customHeight="1">
      <c r="A9" s="17" t="n">
        <v>6</v>
      </c>
      <c r="B9" s="51" t="inlineStr">
        <is>
          <t>تطوير وتشغيل ساحات درب</t>
        </is>
      </c>
      <c r="C9" s="38" t="inlineStr">
        <is>
          <t>الابتكار</t>
        </is>
      </c>
      <c r="D9" s="51" t="inlineStr">
        <is>
          <t>ساحات درب</t>
        </is>
      </c>
      <c r="E9" s="51" t="inlineStr">
        <is>
          <t>نسبة تأجير ساحة درب</t>
        </is>
      </c>
      <c r="F9" s="38" t="inlineStr">
        <is>
          <t>العقار</t>
        </is>
      </c>
      <c r="G9" s="38" t="n"/>
      <c r="H9" s="38" t="n"/>
      <c r="I9" s="52" t="n"/>
      <c r="J9" s="53" t="n"/>
      <c r="K9" s="17">
        <f>IF($J9="","—",IF($J9&gt;=1,"✅ مكتملة",IF($J9&gt;0,"🟠 جارية","⚪ لم تبدأ")))</f>
        <v/>
      </c>
      <c r="L9" s="51" t="n"/>
    </row>
    <row r="10" ht="26" customHeight="1">
      <c r="A10" s="17" t="n">
        <v>7</v>
      </c>
      <c r="B10" s="51" t="inlineStr">
        <is>
          <t>مشروع تطوير الهوية والتصاميم</t>
        </is>
      </c>
      <c r="C10" s="38" t="inlineStr">
        <is>
          <t>الابتكار</t>
        </is>
      </c>
      <c r="D10" s="51" t="inlineStr">
        <is>
          <t>تطوير التصاميم والهوية</t>
        </is>
      </c>
      <c r="E10" s="51" t="inlineStr">
        <is>
          <t>التزام المحطات بالهوية</t>
        </is>
      </c>
      <c r="F10" s="38" t="inlineStr">
        <is>
          <t>التسويق (مقترح)</t>
        </is>
      </c>
      <c r="G10" s="38" t="n"/>
      <c r="H10" s="38" t="n"/>
      <c r="I10" s="52" t="n"/>
      <c r="J10" s="53" t="n"/>
      <c r="K10" s="17">
        <f>IF($J10="","—",IF($J10&gt;=1,"✅ مكتملة",IF($J10&gt;0,"🟠 جارية","⚪ لم تبدأ")))</f>
        <v/>
      </c>
      <c r="L10" s="51" t="n"/>
    </row>
    <row r="11" ht="26" customHeight="1">
      <c r="A11" s="17" t="n">
        <v>8</v>
      </c>
      <c r="B11" s="51" t="n"/>
      <c r="C11" s="38" t="n"/>
      <c r="D11" s="51" t="n"/>
      <c r="E11" s="51" t="n"/>
      <c r="F11" s="38" t="n"/>
      <c r="G11" s="38" t="n"/>
      <c r="H11" s="38" t="n"/>
      <c r="I11" s="52" t="n"/>
      <c r="J11" s="53" t="n"/>
      <c r="K11" s="17">
        <f>IF($J11="","—",IF($J11&gt;=1,"✅ مكتملة",IF($J11&gt;0,"🟠 جارية","⚪ لم تبدأ")))</f>
        <v/>
      </c>
      <c r="L11" s="51" t="n"/>
    </row>
    <row r="12" ht="26" customHeight="1">
      <c r="A12" s="17" t="n">
        <v>9</v>
      </c>
      <c r="B12" s="51" t="n"/>
      <c r="C12" s="38" t="n"/>
      <c r="D12" s="51" t="n"/>
      <c r="E12" s="51" t="n"/>
      <c r="F12" s="38" t="n"/>
      <c r="G12" s="38" t="n"/>
      <c r="H12" s="38" t="n"/>
      <c r="I12" s="52" t="n"/>
      <c r="J12" s="53" t="n"/>
      <c r="K12" s="17">
        <f>IF($J12="","—",IF($J12&gt;=1,"✅ مكتملة",IF($J12&gt;0,"🟠 جارية","⚪ لم تبدأ")))</f>
        <v/>
      </c>
      <c r="L12" s="51" t="n"/>
    </row>
    <row r="13" ht="26" customHeight="1">
      <c r="A13" s="17" t="n">
        <v>10</v>
      </c>
      <c r="B13" s="51" t="n"/>
      <c r="C13" s="38" t="n"/>
      <c r="D13" s="51" t="n"/>
      <c r="E13" s="51" t="n"/>
      <c r="F13" s="38" t="n"/>
      <c r="G13" s="38" t="n"/>
      <c r="H13" s="38" t="n"/>
      <c r="I13" s="52" t="n"/>
      <c r="J13" s="53" t="n"/>
      <c r="K13" s="17">
        <f>IF($J13="","—",IF($J13&gt;=1,"✅ مكتملة",IF($J13&gt;0,"🟠 جارية","⚪ لم تبدأ")))</f>
        <v/>
      </c>
      <c r="L13" s="51" t="n"/>
    </row>
    <row r="14" ht="26" customHeight="1">
      <c r="A14" s="17" t="n">
        <v>11</v>
      </c>
      <c r="B14" s="51" t="n"/>
      <c r="C14" s="38" t="n"/>
      <c r="D14" s="51" t="n"/>
      <c r="E14" s="51" t="n"/>
      <c r="F14" s="38" t="n"/>
      <c r="G14" s="38" t="n"/>
      <c r="H14" s="38" t="n"/>
      <c r="I14" s="52" t="n"/>
      <c r="J14" s="53" t="n"/>
      <c r="K14" s="17">
        <f>IF($J14="","—",IF($J14&gt;=1,"✅ مكتملة",IF($J14&gt;0,"🟠 جارية","⚪ لم تبدأ")))</f>
        <v/>
      </c>
      <c r="L14" s="51" t="n"/>
    </row>
    <row r="15" ht="26" customHeight="1">
      <c r="A15" s="17" t="n">
        <v>12</v>
      </c>
      <c r="B15" s="51" t="n"/>
      <c r="C15" s="38" t="n"/>
      <c r="D15" s="51" t="n"/>
      <c r="E15" s="51" t="n"/>
      <c r="F15" s="38" t="n"/>
      <c r="G15" s="38" t="n"/>
      <c r="H15" s="38" t="n"/>
      <c r="I15" s="52" t="n"/>
      <c r="J15" s="53" t="n"/>
      <c r="K15" s="17">
        <f>IF($J15="","—",IF($J15&gt;=1,"✅ مكتملة",IF($J15&gt;0,"🟠 جارية","⚪ لم تبدأ")))</f>
        <v/>
      </c>
      <c r="L15" s="51" t="n"/>
    </row>
    <row r="16" ht="26" customHeight="1">
      <c r="A16" s="17" t="n">
        <v>13</v>
      </c>
      <c r="B16" s="51" t="n"/>
      <c r="C16" s="38" t="n"/>
      <c r="D16" s="51" t="n"/>
      <c r="E16" s="51" t="n"/>
      <c r="F16" s="38" t="n"/>
      <c r="G16" s="38" t="n"/>
      <c r="H16" s="38" t="n"/>
      <c r="I16" s="52" t="n"/>
      <c r="J16" s="53" t="n"/>
      <c r="K16" s="17">
        <f>IF($J16="","—",IF($J16&gt;=1,"✅ مكتملة",IF($J16&gt;0,"🟠 جارية","⚪ لم تبدأ")))</f>
        <v/>
      </c>
      <c r="L16" s="51" t="n"/>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2:L2"/>
    <mergeCell ref="A1:L1"/>
  </mergeCells>
  <dataValidations count="2">
    <dataValidation sqref="C4 C5 C6 C7 C8 C9 C10 C11 C12 C13 C14 C15 C16" showDropDown="0" showInputMessage="0" showErrorMessage="0" allowBlank="1" type="list">
      <formula1>"النمو,الابتكار,الاستدامة"</formula1>
    </dataValidation>
    <dataValidation sqref="J4 J5 J6 J7 J8 J9 J10 J11 J12 J13 J14 J15 J16" showDropDown="0" showInputMessage="0" showErrorMessage="0" allowBlank="1" type="decimal" operator="between">
      <formula1>0</formula1>
      <formula2>1</formula2>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E26"/>
  <sheetViews>
    <sheetView showGridLines="0" rightToLeft="1" workbookViewId="0">
      <selection activeCell="A1" sqref="A1"/>
    </sheetView>
  </sheetViews>
  <sheetFormatPr baseColWidth="8" defaultRowHeight="15"/>
  <cols>
    <col width="3" customWidth="1" min="1" max="1"/>
    <col width="26" customWidth="1" min="2" max="2"/>
    <col width="26" customWidth="1" min="3" max="3"/>
    <col width="26" customWidth="1" min="4" max="4"/>
    <col width="30" customWidth="1" min="5" max="5"/>
  </cols>
  <sheetData>
    <row r="1" ht="46" customHeight="1"/>
    <row r="2" ht="30" customHeight="1">
      <c r="B2" s="4" t="inlineStr">
        <is>
          <t>حوكمة الأداء — الإيقاع والمسؤوليات وطموحات النمو</t>
        </is>
      </c>
    </row>
    <row r="4">
      <c r="B4" s="7" t="inlineStr">
        <is>
          <t>⏱️ إيقاع المراجعة (Cadence)</t>
        </is>
      </c>
      <c r="C4" s="42" t="n"/>
      <c r="D4" s="42" t="n"/>
      <c r="E4" s="43" t="n"/>
    </row>
    <row r="5">
      <c r="B5" s="54" t="inlineStr">
        <is>
          <t>الدورية</t>
        </is>
      </c>
      <c r="C5" s="54" t="inlineStr">
        <is>
          <t>النشاط</t>
        </is>
      </c>
      <c r="D5" s="54" t="inlineStr">
        <is>
          <t>المسؤول</t>
        </is>
      </c>
      <c r="E5" s="54" t="inlineStr">
        <is>
          <t>المخرج</t>
        </is>
      </c>
    </row>
    <row r="6" ht="30" customHeight="1">
      <c r="B6" s="22" t="inlineStr">
        <is>
          <t>شهري</t>
        </is>
      </c>
      <c r="C6" s="22" t="inlineStr">
        <is>
          <t>مراجعة تشغيلية لمؤشرات كل إدارة</t>
        </is>
      </c>
      <c r="D6" s="22" t="inlineStr">
        <is>
          <t>مدير الإدارة</t>
        </is>
      </c>
      <c r="E6" s="22" t="inlineStr">
        <is>
          <t>إغلاق الأرقام + خطة تصحيح</t>
        </is>
      </c>
    </row>
    <row r="7" ht="30" customHeight="1">
      <c r="B7" s="22" t="inlineStr">
        <is>
          <t>ربع سنوي (QBR)</t>
        </is>
      </c>
      <c r="C7" s="22" t="inlineStr">
        <is>
          <t>مراجعة استراتيجية + تقييم الأفراد + معايرة المستهدفات</t>
        </is>
      </c>
      <c r="D7" s="22" t="inlineStr">
        <is>
          <t>الإدارة التنفيذية</t>
        </is>
      </c>
      <c r="E7" s="22" t="inlineStr">
        <is>
          <t>قرارات + تحديث الأوزان</t>
        </is>
      </c>
    </row>
    <row r="8" ht="30" customHeight="1">
      <c r="B8" s="22" t="inlineStr">
        <is>
          <t>نصف سنوي</t>
        </is>
      </c>
      <c r="C8" s="22" t="inlineStr">
        <is>
          <t>مراجعة الخارطة التنفيذية والمشاريع</t>
        </is>
      </c>
      <c r="D8" s="22" t="inlineStr">
        <is>
          <t>مكتب الاستراتيجية</t>
        </is>
      </c>
      <c r="E8" s="22" t="inlineStr">
        <is>
          <t>تقدّم المشاريع + المخاطر</t>
        </is>
      </c>
    </row>
    <row r="9" ht="30" customHeight="1">
      <c r="B9" s="22" t="inlineStr">
        <is>
          <t>سنوي</t>
        </is>
      </c>
      <c r="C9" s="22" t="inlineStr">
        <is>
          <t>إعادة ضبط OKR وربطها بالركائز الخمسية</t>
        </is>
      </c>
      <c r="D9" s="22" t="inlineStr">
        <is>
          <t>الرئيس التنفيذي</t>
        </is>
      </c>
      <c r="E9" s="22" t="inlineStr">
        <is>
          <t>خطة العام القادم</t>
        </is>
      </c>
    </row>
    <row r="11">
      <c r="B11" s="7" t="inlineStr">
        <is>
          <t>👥 مصفوفة RACI</t>
        </is>
      </c>
      <c r="C11" s="42" t="n"/>
      <c r="D11" s="42" t="n"/>
      <c r="E11" s="43" t="n"/>
    </row>
    <row r="12">
      <c r="B12" s="55" t="inlineStr">
        <is>
          <t>R = منفّذ · A = مُساءل · C = مُستشار · I = مُطّلع</t>
        </is>
      </c>
      <c r="C12" s="42" t="n"/>
      <c r="D12" s="42" t="n"/>
      <c r="E12" s="43" t="n"/>
    </row>
    <row r="13">
      <c r="B13" s="54" t="inlineStr">
        <is>
          <t>المهمة</t>
        </is>
      </c>
      <c r="C13" s="54" t="inlineStr">
        <is>
          <t>المسؤول (A)</t>
        </is>
      </c>
      <c r="D13" s="54" t="inlineStr">
        <is>
          <t>المنفّذ (R)</t>
        </is>
      </c>
      <c r="E13" s="54" t="inlineStr">
        <is>
          <t>يُستشار/يُطّلع</t>
        </is>
      </c>
    </row>
    <row r="14" ht="26" customHeight="1">
      <c r="B14" s="22" t="inlineStr">
        <is>
          <t>إدخال الأرقام الشهرية</t>
        </is>
      </c>
      <c r="C14" s="22" t="inlineStr">
        <is>
          <t>مدير الإدارة</t>
        </is>
      </c>
      <c r="D14" s="22" t="inlineStr">
        <is>
          <t>المسؤول عن المؤشر</t>
        </is>
      </c>
      <c r="E14" s="22" t="inlineStr">
        <is>
          <t>المشرف الميداني (C)</t>
        </is>
      </c>
    </row>
    <row r="15" ht="26" customHeight="1">
      <c r="B15" s="22" t="inlineStr">
        <is>
          <t>اعتماد المستهدفات والأوزان</t>
        </is>
      </c>
      <c r="C15" s="22" t="inlineStr">
        <is>
          <t>الإدارة التنفيذية</t>
        </is>
      </c>
      <c r="D15" s="22" t="inlineStr">
        <is>
          <t>مكتب الاستراتيجية</t>
        </is>
      </c>
      <c r="E15" s="22" t="inlineStr">
        <is>
          <t>مدراء الإدارات (C)</t>
        </is>
      </c>
    </row>
    <row r="16" ht="26" customHeight="1">
      <c r="B16" s="22" t="inlineStr">
        <is>
          <t>تقييم أداء الموظف</t>
        </is>
      </c>
      <c r="C16" s="22" t="inlineStr">
        <is>
          <t>المدير المباشر</t>
        </is>
      </c>
      <c r="D16" s="22" t="inlineStr">
        <is>
          <t>المدير المباشر</t>
        </is>
      </c>
      <c r="E16" s="22" t="inlineStr">
        <is>
          <t>الموارد البشرية (I)</t>
        </is>
      </c>
    </row>
    <row r="17" ht="26" customHeight="1">
      <c r="B17" s="22" t="inlineStr">
        <is>
          <t>تجميع لوحة التنفيذيين</t>
        </is>
      </c>
      <c r="C17" s="22" t="inlineStr">
        <is>
          <t>مكتب الاستراتيجية</t>
        </is>
      </c>
      <c r="D17" s="22" t="inlineStr">
        <is>
          <t>محلل الأداء</t>
        </is>
      </c>
      <c r="E17" s="22" t="inlineStr">
        <is>
          <t>الإدارة التنفيذية (I)</t>
        </is>
      </c>
    </row>
    <row r="19">
      <c r="B19" s="7" t="inlineStr">
        <is>
          <t>🚀 طموحات 3 سنوات (2026 → 2028) — الجسر بين الرؤية الخمسية والسنة</t>
        </is>
      </c>
      <c r="C19" s="42" t="n"/>
      <c r="D19" s="42" t="n"/>
      <c r="E19" s="43" t="n"/>
    </row>
    <row r="20">
      <c r="B20" s="54" t="inlineStr">
        <is>
          <t>الركيزة</t>
        </is>
      </c>
      <c r="C20" s="54" t="inlineStr">
        <is>
          <t>2026</t>
        </is>
      </c>
      <c r="D20" s="54" t="inlineStr">
        <is>
          <t>2027</t>
        </is>
      </c>
      <c r="E20" s="54" t="inlineStr">
        <is>
          <t>2028</t>
        </is>
      </c>
    </row>
    <row r="21" ht="26" customHeight="1">
      <c r="B21" s="22" t="inlineStr">
        <is>
          <t>النمو — المحطات المشغّلة</t>
        </is>
      </c>
      <c r="C21" s="56" t="inlineStr">
        <is>
          <t>85 + 150</t>
        </is>
      </c>
      <c r="D21" s="56" t="inlineStr">
        <is>
          <t>≈ 320</t>
        </is>
      </c>
      <c r="E21" s="56" t="inlineStr">
        <is>
          <t>≈ 450</t>
        </is>
      </c>
    </row>
    <row r="22" ht="26" customHeight="1">
      <c r="B22" s="22" t="inlineStr">
        <is>
          <t>النمو — العقود الجديدة</t>
        </is>
      </c>
      <c r="C22" s="56" t="inlineStr">
        <is>
          <t>167 + 190</t>
        </is>
      </c>
      <c r="D22" s="56" t="inlineStr">
        <is>
          <t>تصاعدي</t>
        </is>
      </c>
      <c r="E22" s="56" t="inlineStr">
        <is>
          <t>تصاعدي</t>
        </is>
      </c>
    </row>
    <row r="23" ht="26" customHeight="1">
      <c r="B23" s="22" t="inlineStr">
        <is>
          <t>الابتكار — أتمتة/تانكي</t>
        </is>
      </c>
      <c r="C23" s="56" t="inlineStr">
        <is>
          <t>إطلاق وتثبيت</t>
        </is>
      </c>
      <c r="D23" s="56" t="inlineStr">
        <is>
          <t>توسّع</t>
        </is>
      </c>
      <c r="E23" s="56" t="inlineStr">
        <is>
          <t>نضج رقمي</t>
        </is>
      </c>
    </row>
    <row r="24" ht="26" customHeight="1">
      <c r="B24" s="22" t="inlineStr">
        <is>
          <t>الاستدامة — رضا وجودة</t>
        </is>
      </c>
      <c r="C24" s="56" t="inlineStr">
        <is>
          <t>CSAT 90% · جاهزية 99%</t>
        </is>
      </c>
      <c r="D24" s="56" t="inlineStr">
        <is>
          <t>الحفاظ والتحسين</t>
        </is>
      </c>
      <c r="E24" s="56" t="inlineStr">
        <is>
          <t>تميّز تشغيلي</t>
        </is>
      </c>
    </row>
    <row r="26">
      <c r="B26" s="57" t="inlineStr">
        <is>
          <t>📌 الأرقام التقديرية للطموحات الثلاثية تحتاج اعتماد الإدارة التنفيذية وربطها بخطوط الأساس 2025.</t>
        </is>
      </c>
      <c r="C26" s="42" t="n"/>
      <c r="D26" s="42" t="n"/>
      <c r="E26" s="43" t="n"/>
    </row>
  </sheetData>
  <sheetProtection selectLockedCells="1" selectUnlockedCells="1" sheet="1" objects="0" insertRows="1" insertHyperlinks="1" autoFilter="1" scenarios="0" formatColumns="1" deleteColumns="1" insertColumns="1" pivotTables="1" deleteRows="1" formatCells="0" formatRows="1" sort="1" password="EFFF"/>
  <mergeCells count="6">
    <mergeCell ref="B26:E26"/>
    <mergeCell ref="B4:E4"/>
    <mergeCell ref="B12:E12"/>
    <mergeCell ref="B11:E11"/>
    <mergeCell ref="B19:E19"/>
    <mergeCell ref="B2:E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D46"/>
  <sheetViews>
    <sheetView showGridLines="0" rightToLeft="1" workbookViewId="0">
      <selection activeCell="A1" sqref="A1"/>
    </sheetView>
  </sheetViews>
  <sheetFormatPr baseColWidth="8" defaultRowHeight="15"/>
  <cols>
    <col width="3" customWidth="1" min="1" max="1"/>
    <col width="40" customWidth="1" min="2" max="2"/>
    <col width="18" customWidth="1" min="3" max="3"/>
    <col width="30" customWidth="1" min="4" max="4"/>
  </cols>
  <sheetData>
    <row r="2" ht="30" customHeight="1">
      <c r="B2" s="4" t="inlineStr">
        <is>
          <t>فحص سلامة المنظومة — تكامل واتساق المؤشرات (آلي)</t>
        </is>
      </c>
    </row>
    <row r="4">
      <c r="B4" s="7" t="inlineStr">
        <is>
          <t>① ملخص عام</t>
        </is>
      </c>
      <c r="C4" s="42" t="n"/>
      <c r="D4" s="43" t="n"/>
    </row>
    <row r="5">
      <c r="B5" s="22" t="inlineStr">
        <is>
          <t>إجمالي المؤشرات في القاعدة</t>
        </is>
      </c>
      <c r="C5" s="58">
        <f>134-3</f>
        <v/>
      </c>
    </row>
    <row r="6">
      <c r="B6" s="22" t="inlineStr">
        <is>
          <t>✅ محقق</t>
        </is>
      </c>
      <c r="C6" s="58">
        <f>COUNTIF('قاعدة المؤشرات'!$G$4:$G$134,"✅ محقق")</f>
        <v/>
      </c>
    </row>
    <row r="7">
      <c r="B7" s="22" t="inlineStr">
        <is>
          <t>🟡 قريب</t>
        </is>
      </c>
      <c r="C7" s="58">
        <f>COUNTIF('قاعدة المؤشرات'!$G$4:$G$134,"🟡 قريب")</f>
        <v/>
      </c>
    </row>
    <row r="8">
      <c r="B8" s="22" t="inlineStr">
        <is>
          <t>🔴 تحت الهدف</t>
        </is>
      </c>
      <c r="C8" s="58">
        <f>COUNTIF('قاعدة المؤشرات'!$G$4:$G$134,"🔴 تحت الهدف")</f>
        <v/>
      </c>
    </row>
    <row r="9">
      <c r="B9" s="22" t="inlineStr">
        <is>
          <t>— بانتظار بيانات</t>
        </is>
      </c>
      <c r="C9" s="58">
        <f>COUNTIF('قاعدة المؤشرات'!$G$4:$G$134,"—")</f>
        <v/>
      </c>
    </row>
    <row r="11">
      <c r="B11" s="7" t="inlineStr">
        <is>
          <t>② تكامل الأوزان لكل إدارة (يجب = 100%)</t>
        </is>
      </c>
      <c r="C11" s="42" t="n"/>
      <c r="D11" s="43" t="n"/>
    </row>
    <row r="12">
      <c r="B12" s="54" t="inlineStr">
        <is>
          <t>الإدارة</t>
        </is>
      </c>
      <c r="C12" s="54" t="inlineStr">
        <is>
          <t>مجموع الأوزان</t>
        </is>
      </c>
      <c r="D12" s="54" t="inlineStr">
        <is>
          <t>النتيجة</t>
        </is>
      </c>
    </row>
    <row r="13">
      <c r="B13" s="22" t="inlineStr">
        <is>
          <t>الإدارة التنفيذية</t>
        </is>
      </c>
      <c r="C13" s="59">
        <f>'الإدارة التنفيذية · المؤشرات'!AB14</f>
        <v/>
      </c>
      <c r="D13" s="17">
        <f>IF(ROUND('الإدارة التنفيذية · المؤشرات'!AB14,3)=1,"✅ سليم","⚠️ يحتاج ضبط")</f>
        <v/>
      </c>
    </row>
    <row r="14">
      <c r="B14" s="22" t="inlineStr">
        <is>
          <t>الامتياز التجاري</t>
        </is>
      </c>
      <c r="C14" s="59">
        <f>'الامتياز · المؤشرات'!AB40</f>
        <v/>
      </c>
      <c r="D14" s="17">
        <f>IF(ROUND('الامتياز · المؤشرات'!AB40,3)=1,"✅ سليم","⚠️ يحتاج ضبط")</f>
        <v/>
      </c>
    </row>
    <row r="15">
      <c r="B15" s="22" t="inlineStr">
        <is>
          <t>التشغيل والمحطات</t>
        </is>
      </c>
      <c r="C15" s="59">
        <f>'التشغيل · المؤشرات'!AB20</f>
        <v/>
      </c>
      <c r="D15" s="17">
        <f>IF(ROUND('التشغيل · المؤشرات'!AB20,3)=1,"✅ سليم","⚠️ يحتاج ضبط")</f>
        <v/>
      </c>
    </row>
    <row r="16">
      <c r="B16" s="22" t="inlineStr">
        <is>
          <t>الاستثمار</t>
        </is>
      </c>
      <c r="C16" s="59">
        <f>'الاستثمار · المؤشرات'!AB28</f>
        <v/>
      </c>
      <c r="D16" s="17">
        <f>IF(ROUND('الاستثمار · المؤشرات'!AB28,3)=1,"✅ سليم","⚠️ يحتاج ضبط")</f>
        <v/>
      </c>
    </row>
    <row r="17">
      <c r="B17" s="22" t="inlineStr">
        <is>
          <t>العقار</t>
        </is>
      </c>
      <c r="C17" s="59">
        <f>'العقار · المؤشرات'!AB20</f>
        <v/>
      </c>
      <c r="D17" s="17">
        <f>IF(ROUND('العقار · المؤشرات'!AB20,3)=1,"✅ سليم","⚠️ يحتاج ضبط")</f>
        <v/>
      </c>
    </row>
    <row r="18">
      <c r="B18" s="22" t="inlineStr">
        <is>
          <t>التقنية الرقمية</t>
        </is>
      </c>
      <c r="C18" s="59">
        <f>'التقنية الرقمية · المؤشرات'!AB12</f>
        <v/>
      </c>
      <c r="D18" s="17">
        <f>IF(ROUND('التقنية الرقمية · المؤشرات'!AB12,3)=1,"✅ سليم","⚠️ يحتاج ضبط")</f>
        <v/>
      </c>
    </row>
    <row r="19">
      <c r="B19" s="22" t="inlineStr">
        <is>
          <t>الموارد البشرية</t>
        </is>
      </c>
      <c r="C19" s="59">
        <f>'الموارد البشرية · المؤشرات'!AB12</f>
        <v/>
      </c>
      <c r="D19" s="17">
        <f>IF(ROUND('الموارد البشرية · المؤشرات'!AB12,3)=1,"✅ سليم","⚠️ يحتاج ضبط")</f>
        <v/>
      </c>
    </row>
    <row r="20">
      <c r="B20" s="22" t="inlineStr">
        <is>
          <t>التسويق</t>
        </is>
      </c>
      <c r="C20" s="59">
        <f>'التسويق · المؤشرات'!AB17</f>
        <v/>
      </c>
      <c r="D20" s="17">
        <f>IF(ROUND('التسويق · المؤشرات'!AB17,3)=1,"✅ سليم","⚠️ يحتاج ضبط")</f>
        <v/>
      </c>
    </row>
    <row r="22">
      <c r="B22" s="7" t="inlineStr">
        <is>
          <t>③ اكتمال خطوط الأساس 2025 (المتبقّي بلا إدخال)</t>
        </is>
      </c>
      <c r="C22" s="42" t="n"/>
      <c r="D22" s="43" t="n"/>
    </row>
    <row r="23">
      <c r="B23" s="54" t="inlineStr">
        <is>
          <t>الإدارة</t>
        </is>
      </c>
      <c r="C23" s="54" t="inlineStr">
        <is>
          <t>مؤشرات بلا خط أساس</t>
        </is>
      </c>
      <c r="D23" s="54" t="inlineStr">
        <is>
          <t>النتيجة</t>
        </is>
      </c>
    </row>
    <row r="24">
      <c r="B24" s="22" t="inlineStr">
        <is>
          <t>الإدارة التنفيذية</t>
        </is>
      </c>
      <c r="C24" s="58">
        <f>COUNTBLANK('الإدارة التنفيذية · المؤشرات'!Z4:Z13)</f>
        <v/>
      </c>
      <c r="D24" s="21">
        <f>IF(COUNTBLANK('الإدارة التنفيذية · المؤشرات'!Z4:Z13)=0,"✅ مكتمل","⏳ "&amp;COUNTBLANK('الإدارة التنفيذية · المؤشرات'!Z4:Z13)&amp;" بانتظار")</f>
        <v/>
      </c>
    </row>
    <row r="25">
      <c r="B25" s="22" t="inlineStr">
        <is>
          <t>الامتياز التجاري</t>
        </is>
      </c>
      <c r="C25" s="58">
        <f>COUNTBLANK('الامتياز · المؤشرات'!Z4:Z39)</f>
        <v/>
      </c>
      <c r="D25" s="21">
        <f>IF(COUNTBLANK('الامتياز · المؤشرات'!Z4:Z39)=0,"✅ مكتمل","⏳ "&amp;COUNTBLANK('الامتياز · المؤشرات'!Z4:Z39)&amp;" بانتظار")</f>
        <v/>
      </c>
    </row>
    <row r="26">
      <c r="B26" s="22" t="inlineStr">
        <is>
          <t>التشغيل والمحطات</t>
        </is>
      </c>
      <c r="C26" s="58">
        <f>COUNTBLANK('التشغيل · المؤشرات'!Z4:Z19)</f>
        <v/>
      </c>
      <c r="D26" s="21">
        <f>IF(COUNTBLANK('التشغيل · المؤشرات'!Z4:Z19)=0,"✅ مكتمل","⏳ "&amp;COUNTBLANK('التشغيل · المؤشرات'!Z4:Z19)&amp;" بانتظار")</f>
        <v/>
      </c>
    </row>
    <row r="27">
      <c r="B27" s="22" t="inlineStr">
        <is>
          <t>الاستثمار</t>
        </is>
      </c>
      <c r="C27" s="58">
        <f>COUNTBLANK('الاستثمار · المؤشرات'!Z4:Z27)</f>
        <v/>
      </c>
      <c r="D27" s="21">
        <f>IF(COUNTBLANK('الاستثمار · المؤشرات'!Z4:Z27)=0,"✅ مكتمل","⏳ "&amp;COUNTBLANK('الاستثمار · المؤشرات'!Z4:Z27)&amp;" بانتظار")</f>
        <v/>
      </c>
    </row>
    <row r="28">
      <c r="B28" s="22" t="inlineStr">
        <is>
          <t>العقار</t>
        </is>
      </c>
      <c r="C28" s="58">
        <f>COUNTBLANK('العقار · المؤشرات'!Z4:Z19)</f>
        <v/>
      </c>
      <c r="D28" s="21">
        <f>IF(COUNTBLANK('العقار · المؤشرات'!Z4:Z19)=0,"✅ مكتمل","⏳ "&amp;COUNTBLANK('العقار · المؤشرات'!Z4:Z19)&amp;" بانتظار")</f>
        <v/>
      </c>
    </row>
    <row r="29">
      <c r="B29" s="22" t="inlineStr">
        <is>
          <t>التقنية الرقمية</t>
        </is>
      </c>
      <c r="C29" s="58">
        <f>COUNTBLANK('التقنية الرقمية · المؤشرات'!Z4:Z11)</f>
        <v/>
      </c>
      <c r="D29" s="21">
        <f>IF(COUNTBLANK('التقنية الرقمية · المؤشرات'!Z4:Z11)=0,"✅ مكتمل","⏳ "&amp;COUNTBLANK('التقنية الرقمية · المؤشرات'!Z4:Z11)&amp;" بانتظار")</f>
        <v/>
      </c>
    </row>
    <row r="30">
      <c r="B30" s="22" t="inlineStr">
        <is>
          <t>الموارد البشرية</t>
        </is>
      </c>
      <c r="C30" s="58">
        <f>COUNTBLANK('الموارد البشرية · المؤشرات'!Z4:Z11)</f>
        <v/>
      </c>
      <c r="D30" s="21">
        <f>IF(COUNTBLANK('الموارد البشرية · المؤشرات'!Z4:Z11)=0,"✅ مكتمل","⏳ "&amp;COUNTBLANK('الموارد البشرية · المؤشرات'!Z4:Z11)&amp;" بانتظار")</f>
        <v/>
      </c>
    </row>
    <row r="31">
      <c r="B31" s="22" t="inlineStr">
        <is>
          <t>التسويق</t>
        </is>
      </c>
      <c r="C31" s="58">
        <f>COUNTBLANK('التسويق · المؤشرات'!Z4:Z16)</f>
        <v/>
      </c>
      <c r="D31" s="21">
        <f>IF(COUNTBLANK('التسويق · المؤشرات'!Z4:Z16)=0,"✅ مكتمل","⏳ "&amp;COUNTBLANK('التسويق · المؤشرات'!Z4:Z16)&amp;" بانتظار")</f>
        <v/>
      </c>
    </row>
    <row r="33">
      <c r="B33" s="7" t="inlineStr">
        <is>
          <t>④ تغطية مشاريع الخارطة بالمؤشرات</t>
        </is>
      </c>
      <c r="C33" s="42" t="n"/>
      <c r="D33" s="43" t="n"/>
    </row>
    <row r="34">
      <c r="B34" s="54" t="inlineStr">
        <is>
          <t>المشروع</t>
        </is>
      </c>
      <c r="C34" s="54" t="inlineStr">
        <is>
          <t>عدد المؤشرات</t>
        </is>
      </c>
      <c r="D34" s="54" t="inlineStr">
        <is>
          <t>النتيجة</t>
        </is>
      </c>
    </row>
    <row r="35">
      <c r="B35" s="22" t="inlineStr">
        <is>
          <t>التوسع في المواقع</t>
        </is>
      </c>
      <c r="C35" s="58">
        <f>COUNTIF('قاعدة المؤشرات'!$E$4:$E$134,"التوسع في المواقع")</f>
        <v/>
      </c>
      <c r="D35" s="17">
        <f>IF(COUNTIF('قاعدة المؤشرات'!$E$4:$E$134,"التوسع في المواقع")=0,"🔴 فجوة — بلا مؤشر","✅ مغطّى")</f>
        <v/>
      </c>
    </row>
    <row r="36">
      <c r="B36" s="22" t="inlineStr">
        <is>
          <t>الامتياز التجاري</t>
        </is>
      </c>
      <c r="C36" s="58">
        <f>COUNTIF('قاعدة المؤشرات'!$E$4:$E$134,"الامتياز التجاري")</f>
        <v/>
      </c>
      <c r="D36" s="17">
        <f>IF(COUNTIF('قاعدة المؤشرات'!$E$4:$E$134,"الامتياز التجاري")=0,"🔴 فجوة — بلا مؤشر","✅ مغطّى")</f>
        <v/>
      </c>
    </row>
    <row r="37">
      <c r="B37" s="22" t="inlineStr">
        <is>
          <t>زيادة وصول العملاء</t>
        </is>
      </c>
      <c r="C37" s="58">
        <f>COUNTIF('قاعدة المؤشرات'!$E$4:$E$134,"زيادة وصول العملاء")</f>
        <v/>
      </c>
      <c r="D37" s="17">
        <f>IF(COUNTIF('قاعدة المؤشرات'!$E$4:$E$134,"زيادة وصول العملاء")=0,"🔴 فجوة — بلا مؤشر","✅ مغطّى")</f>
        <v/>
      </c>
    </row>
    <row r="38">
      <c r="B38" s="22" t="inlineStr">
        <is>
          <t>إطلاق مشاريع جديدة</t>
        </is>
      </c>
      <c r="C38" s="58">
        <f>COUNTIF('قاعدة المؤشرات'!$E$4:$E$134,"إطلاق مشاريع جديدة")</f>
        <v/>
      </c>
      <c r="D38" s="17">
        <f>IF(COUNTIF('قاعدة المؤشرات'!$E$4:$E$134,"إطلاق مشاريع جديدة")=0,"🔴 فجوة — بلا مؤشر","✅ مغطّى")</f>
        <v/>
      </c>
    </row>
    <row r="39">
      <c r="B39" s="22" t="inlineStr">
        <is>
          <t>تطوير التصاميم والهوية</t>
        </is>
      </c>
      <c r="C39" s="58">
        <f>COUNTIF('قاعدة المؤشرات'!$E$4:$E$134,"تطوير التصاميم والهوية")</f>
        <v/>
      </c>
      <c r="D39" s="17">
        <f>IF(COUNTIF('قاعدة المؤشرات'!$E$4:$E$134,"تطوير التصاميم والهوية")=0,"🔴 فجوة — بلا مؤشر","✅ مغطّى")</f>
        <v/>
      </c>
    </row>
    <row r="40">
      <c r="B40" s="22" t="inlineStr">
        <is>
          <t>التحول التقني</t>
        </is>
      </c>
      <c r="C40" s="58">
        <f>COUNTIF('قاعدة المؤشرات'!$E$4:$E$134,"التحول التقني")</f>
        <v/>
      </c>
      <c r="D40" s="17">
        <f>IF(COUNTIF('قاعدة المؤشرات'!$E$4:$E$134,"التحول التقني")=0,"🔴 فجوة — بلا مؤشر","✅ مغطّى")</f>
        <v/>
      </c>
    </row>
    <row r="41">
      <c r="B41" s="22" t="inlineStr">
        <is>
          <t>ساحات درب</t>
        </is>
      </c>
      <c r="C41" s="58">
        <f>COUNTIF('قاعدة المؤشرات'!$E$4:$E$134,"ساحات درب")</f>
        <v/>
      </c>
      <c r="D41" s="17">
        <f>IF(COUNTIF('قاعدة المؤشرات'!$E$4:$E$134,"ساحات درب")=0,"🔴 فجوة — بلا مؤشر","✅ مغطّى")</f>
        <v/>
      </c>
    </row>
    <row r="42">
      <c r="B42" s="22" t="inlineStr">
        <is>
          <t>تطبيق «تانكي»</t>
        </is>
      </c>
      <c r="C42" s="58">
        <f>COUNTIF('قاعدة المؤشرات'!$E$4:$E$134,"تطبيق «تانكي»")</f>
        <v/>
      </c>
      <c r="D42" s="17">
        <f>IF(COUNTIF('قاعدة المؤشرات'!$E$4:$E$134,"تطبيق «تانكي»")=0,"🔴 فجوة — بلا مؤشر","✅ مغطّى")</f>
        <v/>
      </c>
    </row>
    <row r="43">
      <c r="B43" s="22" t="inlineStr">
        <is>
          <t>تعزيز تجربة العملاء</t>
        </is>
      </c>
      <c r="C43" s="58">
        <f>COUNTIF('قاعدة المؤشرات'!$E$4:$E$134,"تعزيز تجربة العملاء")</f>
        <v/>
      </c>
      <c r="D43" s="17">
        <f>IF(COUNTIF('قاعدة المؤشرات'!$E$4:$E$134,"تعزيز تجربة العملاء")=0,"🔴 فجوة — بلا مؤشر","✅ مغطّى")</f>
        <v/>
      </c>
    </row>
    <row r="44">
      <c r="B44" s="22" t="inlineStr">
        <is>
          <t>جودة التشغيل</t>
        </is>
      </c>
      <c r="C44" s="58">
        <f>COUNTIF('قاعدة المؤشرات'!$E$4:$E$134,"جودة التشغيل")</f>
        <v/>
      </c>
      <c r="D44" s="17">
        <f>IF(COUNTIF('قاعدة المؤشرات'!$E$4:$E$134,"جودة التشغيل")=0,"🔴 فجوة — بلا مؤشر","✅ مغطّى")</f>
        <v/>
      </c>
    </row>
    <row r="45">
      <c r="B45" s="22" t="inlineStr">
        <is>
          <t>منظومة التأجير</t>
        </is>
      </c>
      <c r="C45" s="58">
        <f>COUNTIF('قاعدة المؤشرات'!$E$4:$E$134,"منظومة التأجير")</f>
        <v/>
      </c>
      <c r="D45" s="17">
        <f>IF(COUNTIF('قاعدة المؤشرات'!$E$4:$E$134,"منظومة التأجير")=0,"🔴 فجوة — بلا مؤشر","✅ مغطّى")</f>
        <v/>
      </c>
    </row>
    <row r="46">
      <c r="B46" s="22" t="inlineStr">
        <is>
          <t>الاستثمار في الموظفين</t>
        </is>
      </c>
      <c r="C46" s="58">
        <f>COUNTIF('قاعدة المؤشرات'!$E$4:$E$134,"الاستثمار في الموظفين")</f>
        <v/>
      </c>
      <c r="D46" s="17">
        <f>IF(COUNTIF('قاعدة المؤشرات'!$E$4:$E$134,"الاستثمار في الموظفين")=0,"🔴 فجوة — بلا مؤشر","✅ مغطّى")</f>
        <v/>
      </c>
    </row>
  </sheetData>
  <sheetProtection selectLockedCells="1" selectUnlockedCells="1" sheet="1" objects="0" insertRows="1" insertHyperlinks="1" autoFilter="1" scenarios="0" formatColumns="1" deleteColumns="1" insertColumns="1" pivotTables="1" deleteRows="1" formatCells="0" formatRows="1" sort="1" password="EFFF"/>
  <mergeCells count="5">
    <mergeCell ref="B33:D33"/>
    <mergeCell ref="B11:D11"/>
    <mergeCell ref="B22:D22"/>
    <mergeCell ref="B4:D4"/>
    <mergeCell ref="B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H14"/>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الإدارة التنفيذية · بطاقة الأداء المؤسسية 2026  (10 مؤشرات عليا) — مدخلات القيادة التنفيذية</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النمو</t>
        </is>
      </c>
      <c r="C4" s="22" t="inlineStr">
        <is>
          <t>إجمالي المحطات المشغّلة — الشركة (تراكمي)</t>
        </is>
      </c>
      <c r="D4" s="60" t="inlineStr">
        <is>
          <t>محطة</t>
        </is>
      </c>
      <c r="E4" s="60" t="inlineStr">
        <is>
          <t>↑</t>
        </is>
      </c>
      <c r="F4" s="60" t="inlineStr">
        <is>
          <t>LAST</t>
        </is>
      </c>
      <c r="G4" s="61" t="n">
        <v>235</v>
      </c>
      <c r="H4" s="62" t="inlineStr">
        <is>
          <t>≥ 235 محطة</t>
        </is>
      </c>
      <c r="I4" s="63" t="n"/>
      <c r="J4" s="63" t="n"/>
      <c r="K4" s="63" t="n"/>
      <c r="L4" s="63" t="n"/>
      <c r="M4" s="63" t="n"/>
      <c r="N4" s="63" t="n"/>
      <c r="O4" s="63" t="n"/>
      <c r="P4" s="63" t="n"/>
      <c r="Q4" s="63" t="n"/>
      <c r="R4" s="63" t="n"/>
      <c r="S4" s="63" t="n"/>
      <c r="T4" s="63" t="n"/>
      <c r="U4" s="64">
        <f>IF($F4="SUM",IF(COUNT($I4:$T4)=0,"",SUM($I4:$T4)),IF($F4="AVG",IFERROR(AVERAGE($I4:$T4),""),IF($F4="LAST",IFERROR(LOOKUP(2,1/($I4:$T4&lt;&gt;""),$I4:$T4),""),"")))</f>
        <v/>
      </c>
      <c r="V4" s="23">
        <f>IF($G4="","",IF($U4="","",IF($G4=0,IF($U4&lt;=0,1,0),IF($E4="↓",IFERROR($G4/$U4,0),IFERROR($U4/$G4,0)))))</f>
        <v/>
      </c>
      <c r="W4" s="17">
        <f>IF($V4="","—",IF($V4&gt;=1,"✅ محقق",IF($V4&gt;=0.85,"🟡 قريب","🔴 تحت الهدف")))</f>
        <v/>
      </c>
      <c r="X4" s="65" t="inlineStr">
        <is>
          <t>النمو</t>
        </is>
      </c>
      <c r="Y4" s="22" t="inlineStr">
        <is>
          <t>التوسع في المواقع</t>
        </is>
      </c>
      <c r="Z4" s="66" t="n"/>
      <c r="AA4" s="21" t="inlineStr">
        <is>
          <t>🟣 لاحق</t>
        </is>
      </c>
      <c r="AB4" s="53" t="n">
        <v>0.1</v>
      </c>
      <c r="AC4" s="23">
        <f>IF($V4="","",$AB4*MIN($V4,1))</f>
        <v/>
      </c>
      <c r="AD4" s="61">
        <f>IF($G4="","",IF($F4="SUM",IF('لوحة الإدارة التنفيذية'!$P$2="","",$G4/12*'لوحة الإدارة التنفيذية'!$P$2),$G4))</f>
        <v/>
      </c>
      <c r="AE4" s="67">
        <f>IF($F4="SUM",IF(OR('لوحة الإدارة التنفيذية'!$P$2="",'لوحة الإدارة التنفيذية'!$P$2=0),"",IF($U4="","",$U4/'لوحة الإدارة التنفيذية'!$P$2*12)),IF($U4="","",$U4))</f>
        <v/>
      </c>
      <c r="AF4" s="61">
        <f>IF(OR($AE4="",$G4=""),"",$AE4-$G4)</f>
        <v/>
      </c>
      <c r="AG4" s="17">
        <f>IF(OR($AE4="",$G4=""),"—",IF($E4="↓",IF($AE4&lt;=$G4,"🟢 على المسار",IF($AE4&lt;=$G4*1.1,"🟡 متابعة","🔴 خطر")),IF($AE4&gt;=$G4,"🟢 على المسار",IF($AE4&gt;=$G4*0.85,"🟡 متابعة","🔴 خطر"))))</f>
        <v/>
      </c>
      <c r="AH4" s="68" t="inlineStr">
        <is>
          <t>العمليات الداخلية</t>
        </is>
      </c>
    </row>
    <row r="5" ht="26" customHeight="1">
      <c r="A5" s="17" t="n">
        <v>2</v>
      </c>
      <c r="B5" s="22" t="inlineStr">
        <is>
          <t>النمو</t>
        </is>
      </c>
      <c r="C5" s="22" t="inlineStr">
        <is>
          <t>إجمالي العقود الجديدة — الشركة</t>
        </is>
      </c>
      <c r="D5" s="60" t="inlineStr">
        <is>
          <t>عقد</t>
        </is>
      </c>
      <c r="E5" s="60" t="inlineStr">
        <is>
          <t>↑</t>
        </is>
      </c>
      <c r="F5" s="60" t="inlineStr">
        <is>
          <t>SUM</t>
        </is>
      </c>
      <c r="G5" s="61" t="n">
        <v>357</v>
      </c>
      <c r="H5" s="62" t="inlineStr">
        <is>
          <t>357 عقد</t>
        </is>
      </c>
      <c r="I5" s="63" t="n"/>
      <c r="J5" s="63" t="n"/>
      <c r="K5" s="63" t="n"/>
      <c r="L5" s="63" t="n"/>
      <c r="M5" s="63" t="n"/>
      <c r="N5" s="63" t="n"/>
      <c r="O5" s="63" t="n"/>
      <c r="P5" s="63" t="n"/>
      <c r="Q5" s="63" t="n"/>
      <c r="R5" s="63" t="n"/>
      <c r="S5" s="63" t="n"/>
      <c r="T5" s="63" t="n"/>
      <c r="U5" s="64">
        <f>IF($F5="SUM",IF(COUNT($I5:$T5)=0,"",SUM($I5:$T5)),IF($F5="AVG",IFERROR(AVERAGE($I5:$T5),""),IF($F5="LAST",IFERROR(LOOKUP(2,1/($I5:$T5&lt;&gt;""),$I5:$T5),""),"")))</f>
        <v/>
      </c>
      <c r="V5" s="23">
        <f>IF($G5="","",IF($U5="","",IF($G5=0,IF($U5&lt;=0,1,0),IF($E5="↓",IFERROR($G5/$U5,0),IFERROR($U5/$G5,0)))))</f>
        <v/>
      </c>
      <c r="W5" s="17">
        <f>IF($V5="","—",IF($V5&gt;=1,"✅ محقق",IF($V5&gt;=0.85,"🟡 قريب","🔴 تحت الهدف")))</f>
        <v/>
      </c>
      <c r="X5" s="65" t="inlineStr">
        <is>
          <t>النمو</t>
        </is>
      </c>
      <c r="Y5" s="22" t="inlineStr">
        <is>
          <t>الامتياز التجاري</t>
        </is>
      </c>
      <c r="Z5" s="66" t="n"/>
      <c r="AA5" s="21" t="inlineStr">
        <is>
          <t>🟣 لاحق</t>
        </is>
      </c>
      <c r="AB5" s="53" t="n">
        <v>0.1</v>
      </c>
      <c r="AC5" s="23">
        <f>IF($V5="","",$AB5*MIN($V5,1))</f>
        <v/>
      </c>
      <c r="AD5" s="61">
        <f>IF($G5="","",IF($F5="SUM",IF('لوحة الإدارة التنفيذية'!$P$2="","",$G5/12*'لوحة الإدارة التنفيذية'!$P$2),$G5))</f>
        <v/>
      </c>
      <c r="AE5" s="67">
        <f>IF($F5="SUM",IF(OR('لوحة الإدارة التنفيذية'!$P$2="",'لوحة الإدارة التنفيذية'!$P$2=0),"",IF($U5="","",$U5/'لوحة الإدارة التنفيذية'!$P$2*12)),IF($U5="","",$U5))</f>
        <v/>
      </c>
      <c r="AF5" s="61">
        <f>IF(OR($AE5="",$G5=""),"",$AE5-$G5)</f>
        <v/>
      </c>
      <c r="AG5" s="17">
        <f>IF(OR($AE5="",$G5=""),"—",IF($E5="↓",IF($AE5&lt;=$G5,"🟢 على المسار",IF($AE5&lt;=$G5*1.1,"🟡 متابعة","🔴 خطر")),IF($AE5&gt;=$G5,"🟢 على المسار",IF($AE5&gt;=$G5*0.85,"🟡 متابعة","🔴 خطر"))))</f>
        <v/>
      </c>
      <c r="AH5" s="68" t="inlineStr">
        <is>
          <t>العمليات الداخلية</t>
        </is>
      </c>
    </row>
    <row r="6" ht="26" customHeight="1">
      <c r="A6" s="17" t="n">
        <v>3</v>
      </c>
      <c r="B6" s="22" t="inlineStr">
        <is>
          <t>النمو</t>
        </is>
      </c>
      <c r="C6" s="22" t="inlineStr">
        <is>
          <t>إجمالي إيرادات الشركة السنوية</t>
        </is>
      </c>
      <c r="D6" s="60" t="inlineStr">
        <is>
          <t>ر.س</t>
        </is>
      </c>
      <c r="E6" s="60" t="inlineStr">
        <is>
          <t>↑</t>
        </is>
      </c>
      <c r="F6" s="60" t="inlineStr">
        <is>
          <t>SUM</t>
        </is>
      </c>
      <c r="G6" s="60" t="inlineStr"/>
      <c r="H6" s="62" t="inlineStr">
        <is>
          <t>تصاعدي مستمر</t>
        </is>
      </c>
      <c r="I6" s="69" t="n"/>
      <c r="J6" s="69" t="n"/>
      <c r="K6" s="69" t="n"/>
      <c r="L6" s="69" t="n"/>
      <c r="M6" s="69" t="n"/>
      <c r="N6" s="69" t="n"/>
      <c r="O6" s="69" t="n"/>
      <c r="P6" s="69" t="n"/>
      <c r="Q6" s="69" t="n"/>
      <c r="R6" s="69" t="n"/>
      <c r="S6" s="69" t="n"/>
      <c r="T6" s="69" t="n"/>
      <c r="U6" s="70">
        <f>IF($F6="SUM",IF(COUNT($I6:$T6)=0,"",SUM($I6:$T6)),IF($F6="AVG",IFERROR(AVERAGE($I6:$T6),""),IF($F6="LAST",IFERROR(LOOKUP(2,1/($I6:$T6&lt;&gt;""),$I6:$T6),""),"")))</f>
        <v/>
      </c>
      <c r="V6" s="23">
        <f>IF($G6="","",IF($U6="","",IF($G6=0,IF($U6&lt;=0,1,0),IF($E6="↓",IFERROR($G6/$U6,0),IFERROR($U6/$G6,0)))))</f>
        <v/>
      </c>
      <c r="W6" s="17">
        <f>IF($V6="","—",IF($V6&gt;=1,"✅ محقق",IF($V6&gt;=0.85,"🟡 قريب","🔴 تحت الهدف")))</f>
        <v/>
      </c>
      <c r="X6" s="65" t="inlineStr">
        <is>
          <t>النمو</t>
        </is>
      </c>
      <c r="Y6" s="22" t="inlineStr">
        <is>
          <t>زيادة وصول العملاء</t>
        </is>
      </c>
      <c r="Z6" s="52" t="n"/>
      <c r="AA6" s="21" t="inlineStr">
        <is>
          <t>🟣 لاحق</t>
        </is>
      </c>
      <c r="AB6" s="53" t="n">
        <v>0.1</v>
      </c>
      <c r="AC6" s="23">
        <f>IF($V6="","",$AB6*MIN($V6,1))</f>
        <v/>
      </c>
      <c r="AD6" s="71">
        <f>IF($G6="","",IF($F6="SUM",IF('لوحة الإدارة التنفيذية'!$P$2="","",$G6/12*'لوحة الإدارة التنفيذية'!$P$2),$G6))</f>
        <v/>
      </c>
      <c r="AE6" s="72">
        <f>IF($F6="SUM",IF(OR('لوحة الإدارة التنفيذية'!$P$2="",'لوحة الإدارة التنفيذية'!$P$2=0),"",IF($U6="","",$U6/'لوحة الإدارة التنفيذية'!$P$2*12)),IF($U6="","",$U6))</f>
        <v/>
      </c>
      <c r="AF6" s="71">
        <f>IF(OR($AE6="",$G6=""),"",$AE6-$G6)</f>
        <v/>
      </c>
      <c r="AG6" s="17">
        <f>IF(OR($AE6="",$G6=""),"—",IF($E6="↓",IF($AE6&lt;=$G6,"🟢 على المسار",IF($AE6&lt;=$G6*1.1,"🟡 متابعة","🔴 خطر")),IF($AE6&gt;=$G6,"🟢 على المسار",IF($AE6&gt;=$G6*0.85,"🟡 متابعة","🔴 خطر"))))</f>
        <v/>
      </c>
      <c r="AH6" s="68" t="inlineStr">
        <is>
          <t>مالي</t>
        </is>
      </c>
    </row>
    <row r="7" ht="26" customHeight="1">
      <c r="A7" s="17" t="n">
        <v>4</v>
      </c>
      <c r="B7" s="22" t="inlineStr">
        <is>
          <t>النمو</t>
        </is>
      </c>
      <c r="C7" s="22" t="inlineStr">
        <is>
          <t>نسبة نمو إيرادات الشركة (سنوي)</t>
        </is>
      </c>
      <c r="D7" s="60" t="inlineStr">
        <is>
          <t>%</t>
        </is>
      </c>
      <c r="E7" s="60" t="inlineStr">
        <is>
          <t>↑</t>
        </is>
      </c>
      <c r="F7" s="60" t="inlineStr">
        <is>
          <t>AVG</t>
        </is>
      </c>
      <c r="G7" s="60" t="inlineStr"/>
      <c r="H7" s="62" t="inlineStr">
        <is>
          <t>مستهدف تنفيذي</t>
        </is>
      </c>
      <c r="I7" s="73" t="n"/>
      <c r="J7" s="73" t="n"/>
      <c r="K7" s="73" t="n"/>
      <c r="L7" s="73" t="n"/>
      <c r="M7" s="73" t="n"/>
      <c r="N7" s="73" t="n"/>
      <c r="O7" s="73" t="n"/>
      <c r="P7" s="73" t="n"/>
      <c r="Q7" s="73" t="n"/>
      <c r="R7" s="73" t="n"/>
      <c r="S7" s="73" t="n"/>
      <c r="T7" s="73" t="n"/>
      <c r="U7" s="59">
        <f>IF($F7="SUM",IF(COUNT($I7:$T7)=0,"",SUM($I7:$T7)),IF($F7="AVG",IFERROR(AVERAGE($I7:$T7),""),IF($F7="LAST",IFERROR(LOOKUP(2,1/($I7:$T7&lt;&gt;""),$I7:$T7),""),"")))</f>
        <v/>
      </c>
      <c r="V7" s="23">
        <f>IF($G7="","",IF($U7="","",IF($G7=0,IF($U7&lt;=0,1,0),IF($E7="↓",IFERROR($G7/$U7,0),IFERROR($U7/$G7,0)))))</f>
        <v/>
      </c>
      <c r="W7" s="17">
        <f>IF($V7="","—",IF($V7&gt;=1,"✅ محقق",IF($V7&gt;=0.85,"🟡 قريب","🔴 تحت الهدف")))</f>
        <v/>
      </c>
      <c r="X7" s="65" t="inlineStr">
        <is>
          <t>النمو</t>
        </is>
      </c>
      <c r="Y7" s="22" t="inlineStr">
        <is>
          <t>زيادة وصول العملاء</t>
        </is>
      </c>
      <c r="Z7" s="53" t="n"/>
      <c r="AA7" s="21" t="inlineStr">
        <is>
          <t>🔵 قائد</t>
        </is>
      </c>
      <c r="AB7" s="53" t="n">
        <v>0.1</v>
      </c>
      <c r="AC7" s="23">
        <f>IF($V7="","",$AB7*MIN($V7,1))</f>
        <v/>
      </c>
      <c r="AD7" s="74">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4">
        <f>IF(OR($AE7="",$G7=""),"",$AE7-$G7)</f>
        <v/>
      </c>
      <c r="AG7" s="17">
        <f>IF(OR($AE7="",$G7=""),"—",IF($E7="↓",IF($AE7&lt;=$G7,"🟢 على المسار",IF($AE7&lt;=$G7*1.1,"🟡 متابعة","🔴 خطر")),IF($AE7&gt;=$G7,"🟢 على المسار",IF($AE7&gt;=$G7*0.85,"🟡 متابعة","🔴 خطر"))))</f>
        <v/>
      </c>
      <c r="AH7" s="68" t="inlineStr">
        <is>
          <t>مالي</t>
        </is>
      </c>
    </row>
    <row r="8" ht="26" customHeight="1">
      <c r="A8" s="17" t="n">
        <v>5</v>
      </c>
      <c r="B8" s="22" t="inlineStr">
        <is>
          <t>الابتكار</t>
        </is>
      </c>
      <c r="C8" s="22" t="inlineStr">
        <is>
          <t>نسبة إنجاز مشاريع الخارطة التنفيذية</t>
        </is>
      </c>
      <c r="D8" s="60" t="inlineStr">
        <is>
          <t>%</t>
        </is>
      </c>
      <c r="E8" s="60" t="inlineStr">
        <is>
          <t>↑</t>
        </is>
      </c>
      <c r="F8" s="60" t="inlineStr">
        <is>
          <t>LAST</t>
        </is>
      </c>
      <c r="G8" s="74" t="n">
        <v>1</v>
      </c>
      <c r="H8" s="62" t="inlineStr">
        <is>
          <t>100%</t>
        </is>
      </c>
      <c r="I8" s="73" t="n"/>
      <c r="J8" s="73" t="n"/>
      <c r="K8" s="73" t="n"/>
      <c r="L8" s="73" t="n"/>
      <c r="M8" s="73" t="n"/>
      <c r="N8" s="73" t="n"/>
      <c r="O8" s="73" t="n"/>
      <c r="P8" s="73" t="n"/>
      <c r="Q8" s="73" t="n"/>
      <c r="R8" s="73" t="n"/>
      <c r="S8" s="73" t="n"/>
      <c r="T8" s="73" t="n"/>
      <c r="U8" s="59">
        <f>IF($F8="SUM",IF(COUNT($I8:$T8)=0,"",SUM($I8:$T8)),IF($F8="AVG",IFERROR(AVERAGE($I8:$T8),""),IF($F8="LAST",IFERROR(LOOKUP(2,1/($I8:$T8&lt;&gt;""),$I8:$T8),""),"")))</f>
        <v/>
      </c>
      <c r="V8" s="23">
        <f>IF($G8="","",IF($U8="","",IF($G8=0,IF($U8&lt;=0,1,0),IF($E8="↓",IFERROR($G8/$U8,0),IFERROR($U8/$G8,0)))))</f>
        <v/>
      </c>
      <c r="W8" s="17">
        <f>IF($V8="","—",IF($V8&gt;=1,"✅ محقق",IF($V8&gt;=0.85,"🟡 قريب","🔴 تحت الهدف")))</f>
        <v/>
      </c>
      <c r="X8" s="65" t="inlineStr">
        <is>
          <t>الابتكار</t>
        </is>
      </c>
      <c r="Y8" s="22" t="inlineStr">
        <is>
          <t>إطلاق مشاريع جديدة</t>
        </is>
      </c>
      <c r="Z8" s="53" t="n"/>
      <c r="AA8" s="21" t="inlineStr">
        <is>
          <t>🟣 لاحق</t>
        </is>
      </c>
      <c r="AB8" s="53" t="n">
        <v>0.1</v>
      </c>
      <c r="AC8" s="23">
        <f>IF($V8="","",$AB8*MIN($V8,1))</f>
        <v/>
      </c>
      <c r="AD8" s="74">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74">
        <f>IF(OR($AE8="",$G8=""),"",$AE8-$G8)</f>
        <v/>
      </c>
      <c r="AG8" s="17">
        <f>IF(OR($AE8="",$G8=""),"—",IF($E8="↓",IF($AE8&lt;=$G8,"🟢 على المسار",IF($AE8&lt;=$G8*1.1,"🟡 متابعة","🔴 خطر")),IF($AE8&gt;=$G8,"🟢 على المسار",IF($AE8&gt;=$G8*0.85,"🟡 متابعة","🔴 خطر"))))</f>
        <v/>
      </c>
      <c r="AH8" s="68" t="inlineStr">
        <is>
          <t>العمليات الداخلية</t>
        </is>
      </c>
    </row>
    <row r="9" ht="26" customHeight="1">
      <c r="A9" s="17" t="n">
        <v>6</v>
      </c>
      <c r="B9" s="22" t="inlineStr">
        <is>
          <t>الابتكار</t>
        </is>
      </c>
      <c r="C9" s="22" t="inlineStr">
        <is>
          <t>نسبة التحول الرقمي على مستوى الشركة</t>
        </is>
      </c>
      <c r="D9" s="60" t="inlineStr">
        <is>
          <t>%</t>
        </is>
      </c>
      <c r="E9" s="60" t="inlineStr">
        <is>
          <t>↑</t>
        </is>
      </c>
      <c r="F9" s="60" t="inlineStr">
        <is>
          <t>LAST</t>
        </is>
      </c>
      <c r="G9" s="74" t="n">
        <v>0.9</v>
      </c>
      <c r="H9" s="62" t="inlineStr">
        <is>
          <t>≥ 90%</t>
        </is>
      </c>
      <c r="I9" s="73" t="n"/>
      <c r="J9" s="73" t="n"/>
      <c r="K9" s="73" t="n"/>
      <c r="L9" s="73" t="n"/>
      <c r="M9" s="73" t="n"/>
      <c r="N9" s="73" t="n"/>
      <c r="O9" s="73" t="n"/>
      <c r="P9" s="73" t="n"/>
      <c r="Q9" s="73" t="n"/>
      <c r="R9" s="73" t="n"/>
      <c r="S9" s="73" t="n"/>
      <c r="T9" s="73" t="n"/>
      <c r="U9" s="59">
        <f>IF($F9="SUM",IF(COUNT($I9:$T9)=0,"",SUM($I9:$T9)),IF($F9="AVG",IFERROR(AVERAGE($I9:$T9),""),IF($F9="LAST",IFERROR(LOOKUP(2,1/($I9:$T9&lt;&gt;""),$I9:$T9),""),"")))</f>
        <v/>
      </c>
      <c r="V9" s="23">
        <f>IF($G9="","",IF($U9="","",IF($G9=0,IF($U9&lt;=0,1,0),IF($E9="↓",IFERROR($G9/$U9,0),IFERROR($U9/$G9,0)))))</f>
        <v/>
      </c>
      <c r="W9" s="17">
        <f>IF($V9="","—",IF($V9&gt;=1,"✅ محقق",IF($V9&gt;=0.85,"🟡 قريب","🔴 تحت الهدف")))</f>
        <v/>
      </c>
      <c r="X9" s="65" t="inlineStr">
        <is>
          <t>الابتكار</t>
        </is>
      </c>
      <c r="Y9" s="22" t="inlineStr">
        <is>
          <t>التحول التقني</t>
        </is>
      </c>
      <c r="Z9" s="53" t="n"/>
      <c r="AA9" s="21" t="inlineStr">
        <is>
          <t>🟣 لاحق</t>
        </is>
      </c>
      <c r="AB9" s="53" t="n">
        <v>0.1</v>
      </c>
      <c r="AC9" s="23">
        <f>IF($V9="","",$AB9*MIN($V9,1))</f>
        <v/>
      </c>
      <c r="AD9" s="74">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4">
        <f>IF(OR($AE9="",$G9=""),"",$AE9-$G9)</f>
        <v/>
      </c>
      <c r="AG9" s="17">
        <f>IF(OR($AE9="",$G9=""),"—",IF($E9="↓",IF($AE9&lt;=$G9,"🟢 على المسار",IF($AE9&lt;=$G9*1.1,"🟡 متابعة","🔴 خطر")),IF($AE9&gt;=$G9,"🟢 على المسار",IF($AE9&gt;=$G9*0.85,"🟡 متابعة","🔴 خطر"))))</f>
        <v/>
      </c>
      <c r="AH9" s="68" t="inlineStr">
        <is>
          <t>التعلّم والنمو</t>
        </is>
      </c>
    </row>
    <row r="10" ht="26" customHeight="1">
      <c r="A10" s="17" t="n">
        <v>7</v>
      </c>
      <c r="B10" s="22" t="inlineStr">
        <is>
          <t>الاستدامة</t>
        </is>
      </c>
      <c r="C10" s="22" t="inlineStr">
        <is>
          <t>مؤشر رضا العملاء العام (الشركة)</t>
        </is>
      </c>
      <c r="D10" s="60" t="inlineStr">
        <is>
          <t>%</t>
        </is>
      </c>
      <c r="E10" s="60" t="inlineStr">
        <is>
          <t>↑</t>
        </is>
      </c>
      <c r="F10" s="60" t="inlineStr">
        <is>
          <t>AVG</t>
        </is>
      </c>
      <c r="G10" s="74" t="n">
        <v>0.9</v>
      </c>
      <c r="H10" s="62" t="inlineStr">
        <is>
          <t>≥ 90%</t>
        </is>
      </c>
      <c r="I10" s="73" t="n"/>
      <c r="J10" s="73" t="n"/>
      <c r="K10" s="73" t="n"/>
      <c r="L10" s="73" t="n"/>
      <c r="M10" s="73" t="n"/>
      <c r="N10" s="73" t="n"/>
      <c r="O10" s="73" t="n"/>
      <c r="P10" s="73" t="n"/>
      <c r="Q10" s="73" t="n"/>
      <c r="R10" s="73" t="n"/>
      <c r="S10" s="73" t="n"/>
      <c r="T10" s="73" t="n"/>
      <c r="U10" s="59">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is>
          <t>الاستدامة</t>
        </is>
      </c>
      <c r="Y10" s="22" t="inlineStr">
        <is>
          <t>تعزيز تجربة العملاء</t>
        </is>
      </c>
      <c r="Z10" s="53" t="n"/>
      <c r="AA10" s="21" t="inlineStr">
        <is>
          <t>🟣 لاحق</t>
        </is>
      </c>
      <c r="AB10" s="53" t="n">
        <v>0.1</v>
      </c>
      <c r="AC10" s="23">
        <f>IF($V10="","",$AB10*MIN($V10,1))</f>
        <v/>
      </c>
      <c r="AD10" s="74">
        <f>IF($G10="","",IF($F10="SUM",IF('لوحة الإدارة التنفيذية'!$P$2="","",$G10/12*'لوحة الإدارة التنفيذية'!$P$2),$G10))</f>
        <v/>
      </c>
      <c r="AE10" s="23">
        <f>IF($F10="SUM",IF(OR('لوحة الإدارة التنفيذية'!$P$2="",'لوحة الإدارة التنفيذية'!$P$2=0),"",IF($U10="","",$U10/'لوحة الإدارة التنفيذية'!$P$2*12)),IF($U10="","",$U10))</f>
        <v/>
      </c>
      <c r="AF10" s="74">
        <f>IF(OR($AE10="",$G10=""),"",$AE10-$G10)</f>
        <v/>
      </c>
      <c r="AG10" s="17">
        <f>IF(OR($AE10="",$G10=""),"—",IF($E10="↓",IF($AE10&lt;=$G10,"🟢 على المسار",IF($AE10&lt;=$G10*1.1,"🟡 متابعة","🔴 خطر")),IF($AE10&gt;=$G10,"🟢 على المسار",IF($AE10&gt;=$G10*0.85,"🟡 متابعة","🔴 خطر"))))</f>
        <v/>
      </c>
      <c r="AH10" s="68" t="inlineStr">
        <is>
          <t>العملاء</t>
        </is>
      </c>
    </row>
    <row r="11" ht="26" customHeight="1">
      <c r="A11" s="17" t="n">
        <v>8</v>
      </c>
      <c r="B11" s="22" t="inlineStr">
        <is>
          <t>الاستدامة</t>
        </is>
      </c>
      <c r="C11" s="22" t="inlineStr">
        <is>
          <t>مؤشر رضا الموظفين العام (eNPS)</t>
        </is>
      </c>
      <c r="D11" s="60" t="inlineStr">
        <is>
          <t>نقطة</t>
        </is>
      </c>
      <c r="E11" s="60" t="inlineStr">
        <is>
          <t>↑</t>
        </is>
      </c>
      <c r="F11" s="60" t="inlineStr">
        <is>
          <t>AVG</t>
        </is>
      </c>
      <c r="G11" s="75" t="n">
        <v>30</v>
      </c>
      <c r="H11" s="62" t="inlineStr">
        <is>
          <t>≥ 30</t>
        </is>
      </c>
      <c r="I11" s="76" t="n"/>
      <c r="J11" s="76" t="n"/>
      <c r="K11" s="76" t="n"/>
      <c r="L11" s="76" t="n"/>
      <c r="M11" s="76" t="n"/>
      <c r="N11" s="76" t="n"/>
      <c r="O11" s="76" t="n"/>
      <c r="P11" s="76" t="n"/>
      <c r="Q11" s="76" t="n"/>
      <c r="R11" s="76" t="n"/>
      <c r="S11" s="76" t="n"/>
      <c r="T11" s="76" t="n"/>
      <c r="U11" s="77">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is>
          <t>الاستدامة</t>
        </is>
      </c>
      <c r="Y11" s="22" t="inlineStr">
        <is>
          <t>الاستثمار في الموظفين</t>
        </is>
      </c>
      <c r="Z11" s="78" t="n"/>
      <c r="AA11" s="21" t="inlineStr">
        <is>
          <t>🟣 لاحق</t>
        </is>
      </c>
      <c r="AB11" s="53" t="n">
        <v>0.1</v>
      </c>
      <c r="AC11" s="23">
        <f>IF($V11="","",$AB11*MIN($V11,1))</f>
        <v/>
      </c>
      <c r="AD11" s="75">
        <f>IF($G11="","",IF($F11="SUM",IF('لوحة الإدارة التنفيذية'!$P$2="","",$G11/12*'لوحة الإدارة التنفيذية'!$P$2),$G11))</f>
        <v/>
      </c>
      <c r="AE11" s="79">
        <f>IF($F11="SUM",IF(OR('لوحة الإدارة التنفيذية'!$P$2="",'لوحة الإدارة التنفيذية'!$P$2=0),"",IF($U11="","",$U11/'لوحة الإدارة التنفيذية'!$P$2*12)),IF($U11="","",$U11))</f>
        <v/>
      </c>
      <c r="AF11" s="75">
        <f>IF(OR($AE11="",$G11=""),"",$AE11-$G11)</f>
        <v/>
      </c>
      <c r="AG11" s="17">
        <f>IF(OR($AE11="",$G11=""),"—",IF($E11="↓",IF($AE11&lt;=$G11,"🟢 على المسار",IF($AE11&lt;=$G11*1.1,"🟡 متابعة","🔴 خطر")),IF($AE11&gt;=$G11,"🟢 على المسار",IF($AE11&gt;=$G11*0.85,"🟡 متابعة","🔴 خطر"))))</f>
        <v/>
      </c>
      <c r="AH11" s="68" t="inlineStr">
        <is>
          <t>التعلّم والنمو</t>
        </is>
      </c>
    </row>
    <row r="12" ht="26" customHeight="1">
      <c r="A12" s="17" t="n">
        <v>9</v>
      </c>
      <c r="B12" s="22" t="inlineStr">
        <is>
          <t>الاستدامة</t>
        </is>
      </c>
      <c r="C12" s="22" t="inlineStr">
        <is>
          <t>نسبة تحقيق المستهدفات الاستراتيجية العامة</t>
        </is>
      </c>
      <c r="D12" s="60" t="inlineStr">
        <is>
          <t>%</t>
        </is>
      </c>
      <c r="E12" s="60" t="inlineStr">
        <is>
          <t>↑</t>
        </is>
      </c>
      <c r="F12" s="60" t="inlineStr">
        <is>
          <t>AVG</t>
        </is>
      </c>
      <c r="G12" s="74" t="n">
        <v>1</v>
      </c>
      <c r="H12" s="62" t="inlineStr">
        <is>
          <t>100%</t>
        </is>
      </c>
      <c r="I12" s="73" t="n"/>
      <c r="J12" s="73" t="n"/>
      <c r="K12" s="73" t="n"/>
      <c r="L12" s="73" t="n"/>
      <c r="M12" s="73" t="n"/>
      <c r="N12" s="73" t="n"/>
      <c r="O12" s="73" t="n"/>
      <c r="P12" s="73" t="n"/>
      <c r="Q12" s="73" t="n"/>
      <c r="R12" s="73" t="n"/>
      <c r="S12" s="73" t="n"/>
      <c r="T12" s="73" t="n"/>
      <c r="U12" s="59">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is>
          <t>الاستدامة</t>
        </is>
      </c>
      <c r="Y12" s="22" t="inlineStr">
        <is>
          <t>جودة التشغيل</t>
        </is>
      </c>
      <c r="Z12" s="53" t="n"/>
      <c r="AA12" s="21" t="inlineStr">
        <is>
          <t>🟣 لاحق</t>
        </is>
      </c>
      <c r="AB12" s="53" t="n">
        <v>0.1</v>
      </c>
      <c r="AC12" s="23">
        <f>IF($V12="","",$AB12*MIN($V12,1))</f>
        <v/>
      </c>
      <c r="AD12" s="74">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4">
        <f>IF(OR($AE12="",$G12=""),"",$AE12-$G12)</f>
        <v/>
      </c>
      <c r="AG12" s="17">
        <f>IF(OR($AE12="",$G12=""),"—",IF($E12="↓",IF($AE12&lt;=$G12,"🟢 على المسار",IF($AE12&lt;=$G12*1.1,"🟡 متابعة","🔴 خطر")),IF($AE12&gt;=$G12,"🟢 على المسار",IF($AE12&gt;=$G12*0.85,"🟡 متابعة","🔴 خطر"))))</f>
        <v/>
      </c>
      <c r="AH12" s="68" t="inlineStr">
        <is>
          <t>العمليات الداخلية</t>
        </is>
      </c>
    </row>
    <row r="13" ht="26" customHeight="1">
      <c r="A13" s="17" t="n">
        <v>10</v>
      </c>
      <c r="B13" s="22" t="inlineStr">
        <is>
          <t>النمو</t>
        </is>
      </c>
      <c r="C13" s="22" t="inlineStr">
        <is>
          <t>الالتزام بمعايير وزارة الطاقة (تغطية 13 منطقة)</t>
        </is>
      </c>
      <c r="D13" s="60" t="inlineStr">
        <is>
          <t>%</t>
        </is>
      </c>
      <c r="E13" s="60" t="inlineStr">
        <is>
          <t>↑</t>
        </is>
      </c>
      <c r="F13" s="60" t="inlineStr">
        <is>
          <t>LAST</t>
        </is>
      </c>
      <c r="G13" s="74" t="n">
        <v>1</v>
      </c>
      <c r="H13" s="62" t="inlineStr">
        <is>
          <t>100%</t>
        </is>
      </c>
      <c r="I13" s="73" t="n"/>
      <c r="J13" s="73" t="n"/>
      <c r="K13" s="73" t="n"/>
      <c r="L13" s="73" t="n"/>
      <c r="M13" s="73" t="n"/>
      <c r="N13" s="73" t="n"/>
      <c r="O13" s="73" t="n"/>
      <c r="P13" s="73" t="n"/>
      <c r="Q13" s="73" t="n"/>
      <c r="R13" s="73" t="n"/>
      <c r="S13" s="73" t="n"/>
      <c r="T13" s="73" t="n"/>
      <c r="U13" s="59">
        <f>IF($F13="SUM",IF(COUNT($I13:$T13)=0,"",SUM($I13:$T13)),IF($F13="AVG",IFERROR(AVERAGE($I13:$T13),""),IF($F13="LAST",IFERROR(LOOKUP(2,1/($I13:$T13&lt;&gt;""),$I13:$T13),""),"")))</f>
        <v/>
      </c>
      <c r="V13" s="23">
        <f>IF($G13="","",IF($U13="","",IF($G13=0,IF($U13&lt;=0,1,0),IF($E13="↓",IFERROR($G13/$U13,0),IFERROR($U13/$G13,0)))))</f>
        <v/>
      </c>
      <c r="W13" s="17">
        <f>IF($V13="","—",IF($V13&gt;=1,"✅ محقق",IF($V13&gt;=0.85,"🟡 قريب","🔴 تحت الهدف")))</f>
        <v/>
      </c>
      <c r="X13" s="65" t="inlineStr">
        <is>
          <t>النمو</t>
        </is>
      </c>
      <c r="Y13" s="22" t="inlineStr">
        <is>
          <t>التوسع في المواقع</t>
        </is>
      </c>
      <c r="Z13" s="53" t="n"/>
      <c r="AA13" s="21" t="inlineStr">
        <is>
          <t>🟣 لاحق</t>
        </is>
      </c>
      <c r="AB13" s="53" t="n">
        <v>0.1</v>
      </c>
      <c r="AC13" s="23">
        <f>IF($V13="","",$AB13*MIN($V13,1))</f>
        <v/>
      </c>
      <c r="AD13" s="74">
        <f>IF($G13="","",IF($F13="SUM",IF('لوحة الإدارة التنفيذية'!$P$2="","",$G13/12*'لوحة الإدارة التنفيذية'!$P$2),$G13))</f>
        <v/>
      </c>
      <c r="AE13" s="23">
        <f>IF($F13="SUM",IF(OR('لوحة الإدارة التنفيذية'!$P$2="",'لوحة الإدارة التنفيذية'!$P$2=0),"",IF($U13="","",$U13/'لوحة الإدارة التنفيذية'!$P$2*12)),IF($U13="","",$U13))</f>
        <v/>
      </c>
      <c r="AF13" s="74">
        <f>IF(OR($AE13="",$G13=""),"",$AE13-$G13)</f>
        <v/>
      </c>
      <c r="AG13" s="17">
        <f>IF(OR($AE13="",$G13=""),"—",IF($E13="↓",IF($AE13&lt;=$G13,"🟢 على المسار",IF($AE13&lt;=$G13*1.1,"🟡 متابعة","🔴 خطر")),IF($AE13&gt;=$G13,"🟢 على المسار",IF($AE13&gt;=$G13*0.85,"🟡 متابعة","🔴 خطر"))))</f>
        <v/>
      </c>
      <c r="AH13" s="68" t="inlineStr">
        <is>
          <t>العمليات الداخلية</t>
        </is>
      </c>
    </row>
    <row r="14">
      <c r="A14" s="80" t="inlineStr"/>
      <c r="B14" s="81" t="inlineStr">
        <is>
          <t>الإجمالي الموزون للإدارة</t>
        </is>
      </c>
      <c r="AB14" s="82">
        <f>SUM(AB4:AB13)</f>
        <v/>
      </c>
      <c r="AC14" s="83">
        <f>SUM(AC4:AC13)</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A1:AH1"/>
    <mergeCell ref="B14:AA14"/>
  </mergeCells>
  <dataValidations count="1">
    <dataValidation sqref="I4 I5 I6 I7 I8 I9 I10 I11 I12 I13 J4 J5 J6 J7 J8 J9 J10 J11 J12 J13 K4 K5 K6 K7 K8 K9 K10 K11 K12 K13 L4 L5 L6 L7 L8 L9 L10 L11 L12 L13 M4 M5 M6 M7 M8 M9 M10 M11 M12 M13 N4 N5 N6 N7 N8 N9 N10 N11 N12 N13 O4 O5 O6 O7 O8 O9 O10 O11 O12 O13 P4 P5 P6 P7 P8 P9 P10 P11 P12 P13 Q4 Q5 Q6 Q7 Q8 Q9 Q10 Q11 Q12 Q13 R4 R5 R6 R7 R8 R9 R10 R11 R12 R13 S4 S5 S6 S7 S8 S9 S10 S11 S12 S13 T4 T5 T6 T7 T8 T9 T10 T11 T12 T13 Z4 Z5 Z6 Z7 Z8 Z9 Z10 Z11 Z12 Z13"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H40"/>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إدارة الامتياز التجاري والمبيعات · مؤشرات الأداء 2026  (36 مؤشر / 8 محاور)</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النمو والتوسع</t>
        </is>
      </c>
      <c r="C4" s="22" t="inlineStr">
        <is>
          <t>عدد محطات الامتياز المشغّلة (تراكمي)</t>
        </is>
      </c>
      <c r="D4" s="60" t="inlineStr">
        <is>
          <t>محطة</t>
        </is>
      </c>
      <c r="E4" s="60" t="inlineStr">
        <is>
          <t>↑</t>
        </is>
      </c>
      <c r="F4" s="60" t="inlineStr">
        <is>
          <t>LAST</t>
        </is>
      </c>
      <c r="G4" s="61" t="n">
        <v>150</v>
      </c>
      <c r="H4" s="62" t="inlineStr">
        <is>
          <t>150 محطة</t>
        </is>
      </c>
      <c r="I4" s="63" t="n"/>
      <c r="J4" s="63" t="n"/>
      <c r="K4" s="63" t="n"/>
      <c r="L4" s="63" t="n"/>
      <c r="M4" s="63" t="n"/>
      <c r="N4" s="63" t="n"/>
      <c r="O4" s="63" t="n"/>
      <c r="P4" s="63" t="n"/>
      <c r="Q4" s="63" t="n"/>
      <c r="R4" s="63" t="n"/>
      <c r="S4" s="63" t="n"/>
      <c r="T4" s="63" t="n"/>
      <c r="U4" s="64">
        <f>IF($F4="SUM",IF(COUNT($I4:$T4)=0,"",SUM($I4:$T4)),IF($F4="AVG",IFERROR(AVERAGE($I4:$T4),""),IF($F4="LAST",IFERROR(LOOKUP(2,1/($I4:$T4&lt;&gt;""),$I4:$T4),""),"")))</f>
        <v/>
      </c>
      <c r="V4" s="23">
        <f>IF($G4="","",IF($U4="","",IF($G4=0,IF($U4&lt;=0,1,0),IF($E4="↓",IFERROR($G4/$U4,0),IFERROR($U4/$G4,0)))))</f>
        <v/>
      </c>
      <c r="W4" s="17">
        <f>IF($V4="","—",IF($V4&gt;=1,"✅ محقق",IF($V4&gt;=0.85,"🟡 قريب","🔴 تحت الهدف")))</f>
        <v/>
      </c>
      <c r="X4" s="65" t="inlineStr">
        <is>
          <t>النمو</t>
        </is>
      </c>
      <c r="Y4" s="22" t="inlineStr">
        <is>
          <t>التوسع في المواقع</t>
        </is>
      </c>
      <c r="Z4" s="66" t="n"/>
      <c r="AA4" s="21" t="inlineStr">
        <is>
          <t>🔵 قائد</t>
        </is>
      </c>
      <c r="AB4" s="53" t="n">
        <v>0.0278</v>
      </c>
      <c r="AC4" s="23">
        <f>IF($V4="","",$AB4*MIN($V4,1))</f>
        <v/>
      </c>
      <c r="AD4" s="61">
        <f>IF($G4="","",IF($F4="SUM",IF('لوحة الإدارة التنفيذية'!$P$2="","",$G4/12*'لوحة الإدارة التنفيذية'!$P$2),$G4))</f>
        <v/>
      </c>
      <c r="AE4" s="67">
        <f>IF($F4="SUM",IF(OR('لوحة الإدارة التنفيذية'!$P$2="",'لوحة الإدارة التنفيذية'!$P$2=0),"",IF($U4="","",$U4/'لوحة الإدارة التنفيذية'!$P$2*12)),IF($U4="","",$U4))</f>
        <v/>
      </c>
      <c r="AF4" s="61">
        <f>IF(OR($AE4="",$G4=""),"",$AE4-$G4)</f>
        <v/>
      </c>
      <c r="AG4" s="17">
        <f>IF(OR($AE4="",$G4=""),"—",IF($E4="↓",IF($AE4&lt;=$G4,"🟢 على المسار",IF($AE4&lt;=$G4*1.1,"🟡 متابعة","🔴 خطر")),IF($AE4&gt;=$G4,"🟢 على المسار",IF($AE4&gt;=$G4*0.85,"🟡 متابعة","🔴 خطر"))))</f>
        <v/>
      </c>
      <c r="AH4" s="68" t="inlineStr">
        <is>
          <t>العمليات الداخلية</t>
        </is>
      </c>
    </row>
    <row r="5" ht="26" customHeight="1">
      <c r="A5" s="17" t="n">
        <v>2</v>
      </c>
      <c r="B5" s="22" t="inlineStr">
        <is>
          <t>النمو والتوسع</t>
        </is>
      </c>
      <c r="C5" s="22" t="inlineStr">
        <is>
          <t>عدد عقود الامتياز الجديدة الموقّعة</t>
        </is>
      </c>
      <c r="D5" s="60" t="inlineStr">
        <is>
          <t>عقد</t>
        </is>
      </c>
      <c r="E5" s="60" t="inlineStr">
        <is>
          <t>↑</t>
        </is>
      </c>
      <c r="F5" s="60" t="inlineStr">
        <is>
          <t>SUM</t>
        </is>
      </c>
      <c r="G5" s="61" t="n">
        <v>167</v>
      </c>
      <c r="H5" s="62" t="inlineStr">
        <is>
          <t>167 عقد</t>
        </is>
      </c>
      <c r="I5" s="63" t="n"/>
      <c r="J5" s="63" t="n"/>
      <c r="K5" s="63" t="n"/>
      <c r="L5" s="63" t="n"/>
      <c r="M5" s="63" t="n"/>
      <c r="N5" s="63" t="n"/>
      <c r="O5" s="63" t="n"/>
      <c r="P5" s="63" t="n"/>
      <c r="Q5" s="63" t="n"/>
      <c r="R5" s="63" t="n"/>
      <c r="S5" s="63" t="n"/>
      <c r="T5" s="63" t="n"/>
      <c r="U5" s="64">
        <f>IF($F5="SUM",IF(COUNT($I5:$T5)=0,"",SUM($I5:$T5)),IF($F5="AVG",IFERROR(AVERAGE($I5:$T5),""),IF($F5="LAST",IFERROR(LOOKUP(2,1/($I5:$T5&lt;&gt;""),$I5:$T5),""),"")))</f>
        <v/>
      </c>
      <c r="V5" s="23">
        <f>IF($G5="","",IF($U5="","",IF($G5=0,IF($U5&lt;=0,1,0),IF($E5="↓",IFERROR($G5/$U5,0),IFERROR($U5/$G5,0)))))</f>
        <v/>
      </c>
      <c r="W5" s="17">
        <f>IF($V5="","—",IF($V5&gt;=1,"✅ محقق",IF($V5&gt;=0.85,"🟡 قريب","🔴 تحت الهدف")))</f>
        <v/>
      </c>
      <c r="X5" s="65" t="inlineStr">
        <is>
          <t>النمو</t>
        </is>
      </c>
      <c r="Y5" s="22" t="inlineStr">
        <is>
          <t>الامتياز التجاري</t>
        </is>
      </c>
      <c r="Z5" s="66" t="n"/>
      <c r="AA5" s="21" t="inlineStr">
        <is>
          <t>🔵 قائد</t>
        </is>
      </c>
      <c r="AB5" s="53" t="n">
        <v>0.0278</v>
      </c>
      <c r="AC5" s="23">
        <f>IF($V5="","",$AB5*MIN($V5,1))</f>
        <v/>
      </c>
      <c r="AD5" s="61">
        <f>IF($G5="","",IF($F5="SUM",IF('لوحة الإدارة التنفيذية'!$P$2="","",$G5/12*'لوحة الإدارة التنفيذية'!$P$2),$G5))</f>
        <v/>
      </c>
      <c r="AE5" s="67">
        <f>IF($F5="SUM",IF(OR('لوحة الإدارة التنفيذية'!$P$2="",'لوحة الإدارة التنفيذية'!$P$2=0),"",IF($U5="","",$U5/'لوحة الإدارة التنفيذية'!$P$2*12)),IF($U5="","",$U5))</f>
        <v/>
      </c>
      <c r="AF5" s="61">
        <f>IF(OR($AE5="",$G5=""),"",$AE5-$G5)</f>
        <v/>
      </c>
      <c r="AG5" s="17">
        <f>IF(OR($AE5="",$G5=""),"—",IF($E5="↓",IF($AE5&lt;=$G5,"🟢 على المسار",IF($AE5&lt;=$G5*1.1,"🟡 متابعة","🔴 خطر")),IF($AE5&gt;=$G5,"🟢 على المسار",IF($AE5&gt;=$G5*0.85,"🟡 متابعة","🔴 خطر"))))</f>
        <v/>
      </c>
      <c r="AH5" s="68" t="inlineStr">
        <is>
          <t>العمليات الداخلية</t>
        </is>
      </c>
    </row>
    <row r="6" ht="26" customHeight="1">
      <c r="A6" s="17" t="n">
        <v>3</v>
      </c>
      <c r="B6" s="22" t="inlineStr">
        <is>
          <t>المبيعات والأداء التجاري</t>
        </is>
      </c>
      <c r="C6" s="22" t="inlineStr">
        <is>
          <t>إجمالي مبيعات وقود محطات الامتياز</t>
        </is>
      </c>
      <c r="D6" s="60" t="inlineStr">
        <is>
          <t>لتر</t>
        </is>
      </c>
      <c r="E6" s="60" t="inlineStr">
        <is>
          <t>↑</t>
        </is>
      </c>
      <c r="F6" s="60" t="inlineStr">
        <is>
          <t>SUM</t>
        </is>
      </c>
      <c r="G6" s="61" t="n">
        <v>718838077</v>
      </c>
      <c r="H6" s="62" t="inlineStr">
        <is>
          <t>718.8M لتر</t>
        </is>
      </c>
      <c r="I6" s="63" t="n"/>
      <c r="J6" s="63" t="n"/>
      <c r="K6" s="63" t="n"/>
      <c r="L6" s="63" t="n"/>
      <c r="M6" s="63" t="n"/>
      <c r="N6" s="63" t="n"/>
      <c r="O6" s="63" t="n"/>
      <c r="P6" s="63" t="n"/>
      <c r="Q6" s="63" t="n"/>
      <c r="R6" s="63" t="n"/>
      <c r="S6" s="63" t="n"/>
      <c r="T6" s="63" t="n"/>
      <c r="U6" s="64">
        <f>IF($F6="SUM",IF(COUNT($I6:$T6)=0,"",SUM($I6:$T6)),IF($F6="AVG",IFERROR(AVERAGE($I6:$T6),""),IF($F6="LAST",IFERROR(LOOKUP(2,1/($I6:$T6&lt;&gt;""),$I6:$T6),""),"")))</f>
        <v/>
      </c>
      <c r="V6" s="23">
        <f>IF($G6="","",IF($U6="","",IF($G6=0,IF($U6&lt;=0,1,0),IF($E6="↓",IFERROR($G6/$U6,0),IFERROR($U6/$G6,0)))))</f>
        <v/>
      </c>
      <c r="W6" s="17">
        <f>IF($V6="","—",IF($V6&gt;=1,"✅ محقق",IF($V6&gt;=0.85,"🟡 قريب","🔴 تحت الهدف")))</f>
        <v/>
      </c>
      <c r="X6" s="65" t="inlineStr">
        <is>
          <t>النمو</t>
        </is>
      </c>
      <c r="Y6" s="22" t="inlineStr">
        <is>
          <t>زيادة وصول العملاء</t>
        </is>
      </c>
      <c r="Z6" s="66" t="n"/>
      <c r="AA6" s="21" t="inlineStr">
        <is>
          <t>🔵 قائد</t>
        </is>
      </c>
      <c r="AB6" s="53" t="n">
        <v>0.0278</v>
      </c>
      <c r="AC6" s="23">
        <f>IF($V6="","",$AB6*MIN($V6,1))</f>
        <v/>
      </c>
      <c r="AD6" s="61">
        <f>IF($G6="","",IF($F6="SUM",IF('لوحة الإدارة التنفيذية'!$P$2="","",$G6/12*'لوحة الإدارة التنفيذية'!$P$2),$G6))</f>
        <v/>
      </c>
      <c r="AE6" s="67">
        <f>IF($F6="SUM",IF(OR('لوحة الإدارة التنفيذية'!$P$2="",'لوحة الإدارة التنفيذية'!$P$2=0),"",IF($U6="","",$U6/'لوحة الإدارة التنفيذية'!$P$2*12)),IF($U6="","",$U6))</f>
        <v/>
      </c>
      <c r="AF6" s="61">
        <f>IF(OR($AE6="",$G6=""),"",$AE6-$G6)</f>
        <v/>
      </c>
      <c r="AG6" s="17">
        <f>IF(OR($AE6="",$G6=""),"—",IF($E6="↓",IF($AE6&lt;=$G6,"🟢 على المسار",IF($AE6&lt;=$G6*1.1,"🟡 متابعة","🔴 خطر")),IF($AE6&gt;=$G6,"🟢 على المسار",IF($AE6&gt;=$G6*0.85,"🟡 متابعة","🔴 خطر"))))</f>
        <v/>
      </c>
      <c r="AH6" s="68" t="inlineStr">
        <is>
          <t>مالي</t>
        </is>
      </c>
    </row>
    <row r="7" ht="26" customHeight="1">
      <c r="A7" s="17" t="n">
        <v>4</v>
      </c>
      <c r="B7" s="22" t="inlineStr">
        <is>
          <t>المبيعات والأداء التجاري</t>
        </is>
      </c>
      <c r="C7" s="22" t="inlineStr">
        <is>
          <t>نسبة المحطات التي حققت مستهدف المبيعات</t>
        </is>
      </c>
      <c r="D7" s="60" t="inlineStr">
        <is>
          <t>%</t>
        </is>
      </c>
      <c r="E7" s="60" t="inlineStr">
        <is>
          <t>↑</t>
        </is>
      </c>
      <c r="F7" s="60" t="inlineStr">
        <is>
          <t>AVG</t>
        </is>
      </c>
      <c r="G7" s="74" t="n">
        <v>0.9</v>
      </c>
      <c r="H7" s="62" t="inlineStr">
        <is>
          <t>90%+</t>
        </is>
      </c>
      <c r="I7" s="73" t="n"/>
      <c r="J7" s="73" t="n"/>
      <c r="K7" s="73" t="n"/>
      <c r="L7" s="73" t="n"/>
      <c r="M7" s="73" t="n"/>
      <c r="N7" s="73" t="n"/>
      <c r="O7" s="73" t="n"/>
      <c r="P7" s="73" t="n"/>
      <c r="Q7" s="73" t="n"/>
      <c r="R7" s="73" t="n"/>
      <c r="S7" s="73" t="n"/>
      <c r="T7" s="73" t="n"/>
      <c r="U7" s="59">
        <f>IF($F7="SUM",IF(COUNT($I7:$T7)=0,"",SUM($I7:$T7)),IF($F7="AVG",IFERROR(AVERAGE($I7:$T7),""),IF($F7="LAST",IFERROR(LOOKUP(2,1/($I7:$T7&lt;&gt;""),$I7:$T7),""),"")))</f>
        <v/>
      </c>
      <c r="V7" s="23">
        <f>IF($G7="","",IF($U7="","",IF($G7=0,IF($U7&lt;=0,1,0),IF($E7="↓",IFERROR($G7/$U7,0),IFERROR($U7/$G7,0)))))</f>
        <v/>
      </c>
      <c r="W7" s="17">
        <f>IF($V7="","—",IF($V7&gt;=1,"✅ محقق",IF($V7&gt;=0.85,"🟡 قريب","🔴 تحت الهدف")))</f>
        <v/>
      </c>
      <c r="X7" s="65" t="inlineStr">
        <is>
          <t>النمو</t>
        </is>
      </c>
      <c r="Y7" s="22" t="inlineStr">
        <is>
          <t>زيادة وصول العملاء</t>
        </is>
      </c>
      <c r="Z7" s="53" t="n"/>
      <c r="AA7" s="21" t="inlineStr">
        <is>
          <t>🔵 قائد</t>
        </is>
      </c>
      <c r="AB7" s="53" t="n">
        <v>0.0278</v>
      </c>
      <c r="AC7" s="23">
        <f>IF($V7="","",$AB7*MIN($V7,1))</f>
        <v/>
      </c>
      <c r="AD7" s="74">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4">
        <f>IF(OR($AE7="",$G7=""),"",$AE7-$G7)</f>
        <v/>
      </c>
      <c r="AG7" s="17">
        <f>IF(OR($AE7="",$G7=""),"—",IF($E7="↓",IF($AE7&lt;=$G7,"🟢 على المسار",IF($AE7&lt;=$G7*1.1,"🟡 متابعة","🔴 خطر")),IF($AE7&gt;=$G7,"🟢 على المسار",IF($AE7&gt;=$G7*0.85,"🟡 متابعة","🔴 خطر"))))</f>
        <v/>
      </c>
      <c r="AH7" s="68" t="inlineStr">
        <is>
          <t>مالي</t>
        </is>
      </c>
    </row>
    <row r="8" ht="26" customHeight="1">
      <c r="A8" s="17" t="n">
        <v>5</v>
      </c>
      <c r="B8" s="22" t="inlineStr">
        <is>
          <t>المبيعات والأداء التجاري</t>
        </is>
      </c>
      <c r="C8" s="22" t="inlineStr">
        <is>
          <t>متوسط مبيعات المحطة الواحدة شهرياً</t>
        </is>
      </c>
      <c r="D8" s="60" t="inlineStr">
        <is>
          <t>لتر/محطة</t>
        </is>
      </c>
      <c r="E8" s="60" t="inlineStr">
        <is>
          <t>↑</t>
        </is>
      </c>
      <c r="F8" s="60" t="inlineStr">
        <is>
          <t>AVG</t>
        </is>
      </c>
      <c r="G8" s="60" t="inlineStr"/>
      <c r="H8" s="62" t="inlineStr">
        <is>
          <t>+10% نمو شهري</t>
        </is>
      </c>
      <c r="I8" s="63" t="n"/>
      <c r="J8" s="63" t="n"/>
      <c r="K8" s="63" t="n"/>
      <c r="L8" s="63" t="n"/>
      <c r="M8" s="63" t="n"/>
      <c r="N8" s="63" t="n"/>
      <c r="O8" s="63" t="n"/>
      <c r="P8" s="63" t="n"/>
      <c r="Q8" s="63" t="n"/>
      <c r="R8" s="63" t="n"/>
      <c r="S8" s="63" t="n"/>
      <c r="T8" s="63" t="n"/>
      <c r="U8" s="64">
        <f>IF($F8="SUM",IF(COUNT($I8:$T8)=0,"",SUM($I8:$T8)),IF($F8="AVG",IFERROR(AVERAGE($I8:$T8),""),IF($F8="LAST",IFERROR(LOOKUP(2,1/($I8:$T8&lt;&gt;""),$I8:$T8),""),"")))</f>
        <v/>
      </c>
      <c r="V8" s="23">
        <f>IF($G8="","",IF($U8="","",IF($G8=0,IF($U8&lt;=0,1,0),IF($E8="↓",IFERROR($G8/$U8,0),IFERROR($U8/$G8,0)))))</f>
        <v/>
      </c>
      <c r="W8" s="17">
        <f>IF($V8="","—",IF($V8&gt;=1,"✅ محقق",IF($V8&gt;=0.85,"🟡 قريب","🔴 تحت الهدف")))</f>
        <v/>
      </c>
      <c r="X8" s="65" t="inlineStr">
        <is>
          <t>النمو</t>
        </is>
      </c>
      <c r="Y8" s="22" t="inlineStr">
        <is>
          <t>زيادة وصول العملاء</t>
        </is>
      </c>
      <c r="Z8" s="66" t="n"/>
      <c r="AA8" s="21" t="inlineStr">
        <is>
          <t>🔵 قائد</t>
        </is>
      </c>
      <c r="AB8" s="53" t="n">
        <v>0.0278</v>
      </c>
      <c r="AC8" s="23">
        <f>IF($V8="","",$AB8*MIN($V8,1))</f>
        <v/>
      </c>
      <c r="AD8" s="61">
        <f>IF($G8="","",IF($F8="SUM",IF('لوحة الإدارة التنفيذية'!$P$2="","",$G8/12*'لوحة الإدارة التنفيذية'!$P$2),$G8))</f>
        <v/>
      </c>
      <c r="AE8" s="67">
        <f>IF($F8="SUM",IF(OR('لوحة الإدارة التنفيذية'!$P$2="",'لوحة الإدارة التنفيذية'!$P$2=0),"",IF($U8="","",$U8/'لوحة الإدارة التنفيذية'!$P$2*12)),IF($U8="","",$U8))</f>
        <v/>
      </c>
      <c r="AF8" s="61">
        <f>IF(OR($AE8="",$G8=""),"",$AE8-$G8)</f>
        <v/>
      </c>
      <c r="AG8" s="17">
        <f>IF(OR($AE8="",$G8=""),"—",IF($E8="↓",IF($AE8&lt;=$G8,"🟢 على المسار",IF($AE8&lt;=$G8*1.1,"🟡 متابعة","🔴 خطر")),IF($AE8&gt;=$G8,"🟢 على المسار",IF($AE8&gt;=$G8*0.85,"🟡 متابعة","🔴 خطر"))))</f>
        <v/>
      </c>
      <c r="AH8" s="68" t="inlineStr">
        <is>
          <t>مالي</t>
        </is>
      </c>
    </row>
    <row r="9" ht="26" customHeight="1">
      <c r="A9" s="17" t="n">
        <v>6</v>
      </c>
      <c r="B9" s="22" t="inlineStr">
        <is>
          <t>المبيعات والأداء التجاري</t>
        </is>
      </c>
      <c r="C9" s="22" t="inlineStr">
        <is>
          <t>نسبة تأجير وحدات الامتياز</t>
        </is>
      </c>
      <c r="D9" s="60" t="inlineStr">
        <is>
          <t>%</t>
        </is>
      </c>
      <c r="E9" s="60" t="inlineStr">
        <is>
          <t>↑</t>
        </is>
      </c>
      <c r="F9" s="60" t="inlineStr">
        <is>
          <t>AVG</t>
        </is>
      </c>
      <c r="G9" s="74" t="n">
        <v>0.7</v>
      </c>
      <c r="H9" s="62" t="inlineStr">
        <is>
          <t>70%</t>
        </is>
      </c>
      <c r="I9" s="73" t="n"/>
      <c r="J9" s="73" t="n"/>
      <c r="K9" s="73" t="n"/>
      <c r="L9" s="73" t="n"/>
      <c r="M9" s="73" t="n"/>
      <c r="N9" s="73" t="n"/>
      <c r="O9" s="73" t="n"/>
      <c r="P9" s="73" t="n"/>
      <c r="Q9" s="73" t="n"/>
      <c r="R9" s="73" t="n"/>
      <c r="S9" s="73" t="n"/>
      <c r="T9" s="73" t="n"/>
      <c r="U9" s="59">
        <f>IF($F9="SUM",IF(COUNT($I9:$T9)=0,"",SUM($I9:$T9)),IF($F9="AVG",IFERROR(AVERAGE($I9:$T9),""),IF($F9="LAST",IFERROR(LOOKUP(2,1/($I9:$T9&lt;&gt;""),$I9:$T9),""),"")))</f>
        <v/>
      </c>
      <c r="V9" s="23">
        <f>IF($G9="","",IF($U9="","",IF($G9=0,IF($U9&lt;=0,1,0),IF($E9="↓",IFERROR($G9/$U9,0),IFERROR($U9/$G9,0)))))</f>
        <v/>
      </c>
      <c r="W9" s="17">
        <f>IF($V9="","—",IF($V9&gt;=1,"✅ محقق",IF($V9&gt;=0.85,"🟡 قريب","🔴 تحت الهدف")))</f>
        <v/>
      </c>
      <c r="X9" s="65" t="inlineStr">
        <is>
          <t>الاستدامة</t>
        </is>
      </c>
      <c r="Y9" s="22" t="inlineStr">
        <is>
          <t>منظومة التأجير</t>
        </is>
      </c>
      <c r="Z9" s="53" t="n"/>
      <c r="AA9" s="21" t="inlineStr">
        <is>
          <t>🟣 لاحق</t>
        </is>
      </c>
      <c r="AB9" s="53" t="n">
        <v>0.0278</v>
      </c>
      <c r="AC9" s="23">
        <f>IF($V9="","",$AB9*MIN($V9,1))</f>
        <v/>
      </c>
      <c r="AD9" s="74">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4">
        <f>IF(OR($AE9="",$G9=""),"",$AE9-$G9)</f>
        <v/>
      </c>
      <c r="AG9" s="17">
        <f>IF(OR($AE9="",$G9=""),"—",IF($E9="↓",IF($AE9&lt;=$G9,"🟢 على المسار",IF($AE9&lt;=$G9*1.1,"🟡 متابعة","🔴 خطر")),IF($AE9&gt;=$G9,"🟢 على المسار",IF($AE9&gt;=$G9*0.85,"🟡 متابعة","🔴 خطر"))))</f>
        <v/>
      </c>
      <c r="AH9" s="68" t="inlineStr">
        <is>
          <t>العمليات الداخلية</t>
        </is>
      </c>
    </row>
    <row r="10" ht="26" customHeight="1">
      <c r="A10" s="17" t="n">
        <v>7</v>
      </c>
      <c r="B10" s="22" t="inlineStr">
        <is>
          <t>الأداء المالي</t>
        </is>
      </c>
      <c r="C10" s="22" t="inlineStr">
        <is>
          <t>إجمالي إيرادات إدارة الامتياز</t>
        </is>
      </c>
      <c r="D10" s="60" t="inlineStr">
        <is>
          <t>ر.س</t>
        </is>
      </c>
      <c r="E10" s="60" t="inlineStr">
        <is>
          <t>↑</t>
        </is>
      </c>
      <c r="F10" s="60" t="inlineStr">
        <is>
          <t>SUM</t>
        </is>
      </c>
      <c r="G10" s="60" t="inlineStr"/>
      <c r="H10" s="62" t="inlineStr">
        <is>
          <t>تصاعدي مستمر</t>
        </is>
      </c>
      <c r="I10" s="69" t="n"/>
      <c r="J10" s="69" t="n"/>
      <c r="K10" s="69" t="n"/>
      <c r="L10" s="69" t="n"/>
      <c r="M10" s="69" t="n"/>
      <c r="N10" s="69" t="n"/>
      <c r="O10" s="69" t="n"/>
      <c r="P10" s="69" t="n"/>
      <c r="Q10" s="69" t="n"/>
      <c r="R10" s="69" t="n"/>
      <c r="S10" s="69" t="n"/>
      <c r="T10" s="69" t="n"/>
      <c r="U10" s="70">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is>
          <t>النمو</t>
        </is>
      </c>
      <c r="Y10" s="22" t="inlineStr">
        <is>
          <t>الامتياز التجاري</t>
        </is>
      </c>
      <c r="Z10" s="52" t="n"/>
      <c r="AA10" s="21" t="inlineStr">
        <is>
          <t>🟣 لاحق</t>
        </is>
      </c>
      <c r="AB10" s="53" t="n">
        <v>0.0278</v>
      </c>
      <c r="AC10" s="23">
        <f>IF($V10="","",$AB10*MIN($V10,1))</f>
        <v/>
      </c>
      <c r="AD10" s="71">
        <f>IF($G10="","",IF($F10="SUM",IF('لوحة الإدارة التنفيذية'!$P$2="","",$G10/12*'لوحة الإدارة التنفيذية'!$P$2),$G10))</f>
        <v/>
      </c>
      <c r="AE10" s="72">
        <f>IF($F10="SUM",IF(OR('لوحة الإدارة التنفيذية'!$P$2="",'لوحة الإدارة التنفيذية'!$P$2=0),"",IF($U10="","",$U10/'لوحة الإدارة التنفيذية'!$P$2*12)),IF($U10="","",$U10))</f>
        <v/>
      </c>
      <c r="AF10" s="71">
        <f>IF(OR($AE10="",$G10=""),"",$AE10-$G10)</f>
        <v/>
      </c>
      <c r="AG10" s="17">
        <f>IF(OR($AE10="",$G10=""),"—",IF($E10="↓",IF($AE10&lt;=$G10,"🟢 على المسار",IF($AE10&lt;=$G10*1.1,"🟡 متابعة","🔴 خطر")),IF($AE10&gt;=$G10,"🟢 على المسار",IF($AE10&gt;=$G10*0.85,"🟡 متابعة","🔴 خطر"))))</f>
        <v/>
      </c>
      <c r="AH10" s="68" t="inlineStr">
        <is>
          <t>مالي</t>
        </is>
      </c>
    </row>
    <row r="11" ht="26" customHeight="1">
      <c r="A11" s="17" t="n">
        <v>8</v>
      </c>
      <c r="B11" s="22" t="inlineStr">
        <is>
          <t>الأداء المالي</t>
        </is>
      </c>
      <c r="C11" s="22" t="inlineStr">
        <is>
          <t>رفع هامش الربحية للامتياز</t>
        </is>
      </c>
      <c r="D11" s="60" t="inlineStr">
        <is>
          <t>هللة/لتر</t>
        </is>
      </c>
      <c r="E11" s="60" t="inlineStr">
        <is>
          <t>↑</t>
        </is>
      </c>
      <c r="F11" s="60" t="inlineStr">
        <is>
          <t>AVG</t>
        </is>
      </c>
      <c r="G11" s="75" t="n">
        <v>1.8</v>
      </c>
      <c r="H11" s="62" t="inlineStr">
        <is>
          <t>+1.8 هللة/لتر</t>
        </is>
      </c>
      <c r="I11" s="76" t="n"/>
      <c r="J11" s="76" t="n"/>
      <c r="K11" s="76" t="n"/>
      <c r="L11" s="76" t="n"/>
      <c r="M11" s="76" t="n"/>
      <c r="N11" s="76" t="n"/>
      <c r="O11" s="76" t="n"/>
      <c r="P11" s="76" t="n"/>
      <c r="Q11" s="76" t="n"/>
      <c r="R11" s="76" t="n"/>
      <c r="S11" s="76" t="n"/>
      <c r="T11" s="76" t="n"/>
      <c r="U11" s="77">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is>
          <t>النمو</t>
        </is>
      </c>
      <c r="Y11" s="22" t="inlineStr">
        <is>
          <t>الامتياز التجاري</t>
        </is>
      </c>
      <c r="Z11" s="78" t="n"/>
      <c r="AA11" s="21" t="inlineStr">
        <is>
          <t>🟣 لاحق</t>
        </is>
      </c>
      <c r="AB11" s="53" t="n">
        <v>0.0278</v>
      </c>
      <c r="AC11" s="23">
        <f>IF($V11="","",$AB11*MIN($V11,1))</f>
        <v/>
      </c>
      <c r="AD11" s="75">
        <f>IF($G11="","",IF($F11="SUM",IF('لوحة الإدارة التنفيذية'!$P$2="","",$G11/12*'لوحة الإدارة التنفيذية'!$P$2),$G11))</f>
        <v/>
      </c>
      <c r="AE11" s="79">
        <f>IF($F11="SUM",IF(OR('لوحة الإدارة التنفيذية'!$P$2="",'لوحة الإدارة التنفيذية'!$P$2=0),"",IF($U11="","",$U11/'لوحة الإدارة التنفيذية'!$P$2*12)),IF($U11="","",$U11))</f>
        <v/>
      </c>
      <c r="AF11" s="75">
        <f>IF(OR($AE11="",$G11=""),"",$AE11-$G11)</f>
        <v/>
      </c>
      <c r="AG11" s="17">
        <f>IF(OR($AE11="",$G11=""),"—",IF($E11="↓",IF($AE11&lt;=$G11,"🟢 على المسار",IF($AE11&lt;=$G11*1.1,"🟡 متابعة","🔴 خطر")),IF($AE11&gt;=$G11,"🟢 على المسار",IF($AE11&gt;=$G11*0.85,"🟡 متابعة","🔴 خطر"))))</f>
        <v/>
      </c>
      <c r="AH11" s="68" t="inlineStr">
        <is>
          <t>مالي</t>
        </is>
      </c>
    </row>
    <row r="12" ht="26" customHeight="1">
      <c r="A12" s="17" t="n">
        <v>9</v>
      </c>
      <c r="B12" s="22" t="inlineStr">
        <is>
          <t>الأداء المالي</t>
        </is>
      </c>
      <c r="C12" s="22" t="inlineStr">
        <is>
          <t>نسبة التحصيل المالي من شركاء الامتياز</t>
        </is>
      </c>
      <c r="D12" s="60" t="inlineStr">
        <is>
          <t>%</t>
        </is>
      </c>
      <c r="E12" s="60" t="inlineStr">
        <is>
          <t>↑</t>
        </is>
      </c>
      <c r="F12" s="60" t="inlineStr">
        <is>
          <t>AVG</t>
        </is>
      </c>
      <c r="G12" s="74" t="n">
        <v>0.95</v>
      </c>
      <c r="H12" s="62" t="inlineStr">
        <is>
          <t>95%+</t>
        </is>
      </c>
      <c r="I12" s="73" t="n"/>
      <c r="J12" s="73" t="n"/>
      <c r="K12" s="73" t="n"/>
      <c r="L12" s="73" t="n"/>
      <c r="M12" s="73" t="n"/>
      <c r="N12" s="73" t="n"/>
      <c r="O12" s="73" t="n"/>
      <c r="P12" s="73" t="n"/>
      <c r="Q12" s="73" t="n"/>
      <c r="R12" s="73" t="n"/>
      <c r="S12" s="73" t="n"/>
      <c r="T12" s="73" t="n"/>
      <c r="U12" s="59">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is>
          <t>الاستدامة</t>
        </is>
      </c>
      <c r="Y12" s="22" t="inlineStr">
        <is>
          <t>جودة التشغيل</t>
        </is>
      </c>
      <c r="Z12" s="53" t="n"/>
      <c r="AA12" s="21" t="inlineStr">
        <is>
          <t>🟣 لاحق</t>
        </is>
      </c>
      <c r="AB12" s="53" t="n">
        <v>0.0278</v>
      </c>
      <c r="AC12" s="23">
        <f>IF($V12="","",$AB12*MIN($V12,1))</f>
        <v/>
      </c>
      <c r="AD12" s="74">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4">
        <f>IF(OR($AE12="",$G12=""),"",$AE12-$G12)</f>
        <v/>
      </c>
      <c r="AG12" s="17">
        <f>IF(OR($AE12="",$G12=""),"—",IF($E12="↓",IF($AE12&lt;=$G12,"🟢 على المسار",IF($AE12&lt;=$G12*1.1,"🟡 متابعة","🔴 خطر")),IF($AE12&gt;=$G12,"🟢 على المسار",IF($AE12&gt;=$G12*0.85,"🟡 متابعة","🔴 خطر"))))</f>
        <v/>
      </c>
      <c r="AH12" s="68" t="inlineStr">
        <is>
          <t>مالي</t>
        </is>
      </c>
    </row>
    <row r="13" ht="26" customHeight="1">
      <c r="A13" s="17" t="n">
        <v>10</v>
      </c>
      <c r="B13" s="22" t="inlineStr">
        <is>
          <t>الأداء المالي</t>
        </is>
      </c>
      <c r="C13" s="22" t="inlineStr">
        <is>
          <t>متوسط أيام التحصيل (DSO)</t>
        </is>
      </c>
      <c r="D13" s="60" t="inlineStr">
        <is>
          <t>يوم</t>
        </is>
      </c>
      <c r="E13" s="60" t="inlineStr">
        <is>
          <t>↓</t>
        </is>
      </c>
      <c r="F13" s="60" t="inlineStr">
        <is>
          <t>AVG</t>
        </is>
      </c>
      <c r="G13" s="75" t="n">
        <v>30</v>
      </c>
      <c r="H13" s="62" t="inlineStr">
        <is>
          <t>≤ 30 يوم</t>
        </is>
      </c>
      <c r="I13" s="76" t="n"/>
      <c r="J13" s="76" t="n"/>
      <c r="K13" s="76" t="n"/>
      <c r="L13" s="76" t="n"/>
      <c r="M13" s="76" t="n"/>
      <c r="N13" s="76" t="n"/>
      <c r="O13" s="76" t="n"/>
      <c r="P13" s="76" t="n"/>
      <c r="Q13" s="76" t="n"/>
      <c r="R13" s="76" t="n"/>
      <c r="S13" s="76" t="n"/>
      <c r="T13" s="76" t="n"/>
      <c r="U13" s="77">
        <f>IF($F13="SUM",IF(COUNT($I13:$T13)=0,"",SUM($I13:$T13)),IF($F13="AVG",IFERROR(AVERAGE($I13:$T13),""),IF($F13="LAST",IFERROR(LOOKUP(2,1/($I13:$T13&lt;&gt;""),$I13:$T13),""),"")))</f>
        <v/>
      </c>
      <c r="V13" s="23">
        <f>IF($G13="","",IF($U13="","",IF($G13=0,IF($U13&lt;=0,1,0),IF($E13="↓",IFERROR($G13/$U13,0),IFERROR($U13/$G13,0)))))</f>
        <v/>
      </c>
      <c r="W13" s="17">
        <f>IF($V13="","—",IF($V13&gt;=1,"✅ محقق",IF($V13&gt;=0.85,"🟡 قريب","🔴 تحت الهدف")))</f>
        <v/>
      </c>
      <c r="X13" s="65" t="inlineStr">
        <is>
          <t>الاستدامة</t>
        </is>
      </c>
      <c r="Y13" s="22" t="inlineStr">
        <is>
          <t>جودة التشغيل</t>
        </is>
      </c>
      <c r="Z13" s="78" t="n"/>
      <c r="AA13" s="21" t="inlineStr">
        <is>
          <t>🟣 لاحق</t>
        </is>
      </c>
      <c r="AB13" s="53" t="n">
        <v>0.0278</v>
      </c>
      <c r="AC13" s="23">
        <f>IF($V13="","",$AB13*MIN($V13,1))</f>
        <v/>
      </c>
      <c r="AD13" s="75">
        <f>IF($G13="","",IF($F13="SUM",IF('لوحة الإدارة التنفيذية'!$P$2="","",$G13/12*'لوحة الإدارة التنفيذية'!$P$2),$G13))</f>
        <v/>
      </c>
      <c r="AE13" s="79">
        <f>IF($F13="SUM",IF(OR('لوحة الإدارة التنفيذية'!$P$2="",'لوحة الإدارة التنفيذية'!$P$2=0),"",IF($U13="","",$U13/'لوحة الإدارة التنفيذية'!$P$2*12)),IF($U13="","",$U13))</f>
        <v/>
      </c>
      <c r="AF13" s="75">
        <f>IF(OR($AE13="",$G13=""),"",$AE13-$G13)</f>
        <v/>
      </c>
      <c r="AG13" s="17">
        <f>IF(OR($AE13="",$G13=""),"—",IF($E13="↓",IF($AE13&lt;=$G13,"🟢 على المسار",IF($AE13&lt;=$G13*1.1,"🟡 متابعة","🔴 خطر")),IF($AE13&gt;=$G13,"🟢 على المسار",IF($AE13&gt;=$G13*0.85,"🟡 متابعة","🔴 خطر"))))</f>
        <v/>
      </c>
      <c r="AH13" s="68" t="inlineStr">
        <is>
          <t>مالي</t>
        </is>
      </c>
    </row>
    <row r="14" ht="26" customHeight="1">
      <c r="A14" s="17" t="n">
        <v>11</v>
      </c>
      <c r="B14" s="22" t="inlineStr">
        <is>
          <t>الأداء المالي</t>
        </is>
      </c>
      <c r="C14" s="22" t="inlineStr">
        <is>
          <t>إجمالي المستحقات المتأخرة (+30 يوم)</t>
        </is>
      </c>
      <c r="D14" s="60" t="inlineStr">
        <is>
          <t>ر.س</t>
        </is>
      </c>
      <c r="E14" s="60" t="inlineStr">
        <is>
          <t>↓</t>
        </is>
      </c>
      <c r="F14" s="60" t="inlineStr">
        <is>
          <t>LAST</t>
        </is>
      </c>
      <c r="G14" s="60" t="inlineStr"/>
      <c r="H14" s="62" t="inlineStr">
        <is>
          <t>تراجع مستمر</t>
        </is>
      </c>
      <c r="I14" s="69" t="n"/>
      <c r="J14" s="69" t="n"/>
      <c r="K14" s="69" t="n"/>
      <c r="L14" s="69" t="n"/>
      <c r="M14" s="69" t="n"/>
      <c r="N14" s="69" t="n"/>
      <c r="O14" s="69" t="n"/>
      <c r="P14" s="69" t="n"/>
      <c r="Q14" s="69" t="n"/>
      <c r="R14" s="69" t="n"/>
      <c r="S14" s="69" t="n"/>
      <c r="T14" s="69" t="n"/>
      <c r="U14" s="70">
        <f>IF($F14="SUM",IF(COUNT($I14:$T14)=0,"",SUM($I14:$T14)),IF($F14="AVG",IFERROR(AVERAGE($I14:$T14),""),IF($F14="LAST",IFERROR(LOOKUP(2,1/($I14:$T14&lt;&gt;""),$I14:$T14),""),"")))</f>
        <v/>
      </c>
      <c r="V14" s="23">
        <f>IF($G14="","",IF($U14="","",IF($G14=0,IF($U14&lt;=0,1,0),IF($E14="↓",IFERROR($G14/$U14,0),IFERROR($U14/$G14,0)))))</f>
        <v/>
      </c>
      <c r="W14" s="17">
        <f>IF($V14="","—",IF($V14&gt;=1,"✅ محقق",IF($V14&gt;=0.85,"🟡 قريب","🔴 تحت الهدف")))</f>
        <v/>
      </c>
      <c r="X14" s="65" t="inlineStr">
        <is>
          <t>الاستدامة</t>
        </is>
      </c>
      <c r="Y14" s="22" t="inlineStr">
        <is>
          <t>جودة التشغيل</t>
        </is>
      </c>
      <c r="Z14" s="52" t="n"/>
      <c r="AA14" s="21" t="inlineStr">
        <is>
          <t>🟣 لاحق</t>
        </is>
      </c>
      <c r="AB14" s="53" t="n">
        <v>0.0278</v>
      </c>
      <c r="AC14" s="23">
        <f>IF($V14="","",$AB14*MIN($V14,1))</f>
        <v/>
      </c>
      <c r="AD14" s="71">
        <f>IF($G14="","",IF($F14="SUM",IF('لوحة الإدارة التنفيذية'!$P$2="","",$G14/12*'لوحة الإدارة التنفيذية'!$P$2),$G14))</f>
        <v/>
      </c>
      <c r="AE14" s="72">
        <f>IF($F14="SUM",IF(OR('لوحة الإدارة التنفيذية'!$P$2="",'لوحة الإدارة التنفيذية'!$P$2=0),"",IF($U14="","",$U14/'لوحة الإدارة التنفيذية'!$P$2*12)),IF($U14="","",$U14))</f>
        <v/>
      </c>
      <c r="AF14" s="71">
        <f>IF(OR($AE14="",$G14=""),"",$AE14-$G14)</f>
        <v/>
      </c>
      <c r="AG14" s="17">
        <f>IF(OR($AE14="",$G14=""),"—",IF($E14="↓",IF($AE14&lt;=$G14,"🟢 على المسار",IF($AE14&lt;=$G14*1.1,"🟡 متابعة","🔴 خطر")),IF($AE14&gt;=$G14,"🟢 على المسار",IF($AE14&gt;=$G14*0.85,"🟡 متابعة","🔴 خطر"))))</f>
        <v/>
      </c>
      <c r="AH14" s="68" t="inlineStr">
        <is>
          <t>مالي</t>
        </is>
      </c>
    </row>
    <row r="15" ht="26" customHeight="1">
      <c r="A15" s="17" t="n">
        <v>12</v>
      </c>
      <c r="B15" s="22" t="inlineStr">
        <is>
          <t>الأداء المالي</t>
        </is>
      </c>
      <c r="C15" s="22" t="inlineStr">
        <is>
          <t>نسبة الشركاء الملتزمين بمواعيد السداد</t>
        </is>
      </c>
      <c r="D15" s="60" t="inlineStr">
        <is>
          <t>%</t>
        </is>
      </c>
      <c r="E15" s="60" t="inlineStr">
        <is>
          <t>↑</t>
        </is>
      </c>
      <c r="F15" s="60" t="inlineStr">
        <is>
          <t>AVG</t>
        </is>
      </c>
      <c r="G15" s="74" t="n">
        <v>0.9</v>
      </c>
      <c r="H15" s="62" t="inlineStr">
        <is>
          <t>90%+</t>
        </is>
      </c>
      <c r="I15" s="73" t="n"/>
      <c r="J15" s="73" t="n"/>
      <c r="K15" s="73" t="n"/>
      <c r="L15" s="73" t="n"/>
      <c r="M15" s="73" t="n"/>
      <c r="N15" s="73" t="n"/>
      <c r="O15" s="73" t="n"/>
      <c r="P15" s="73" t="n"/>
      <c r="Q15" s="73" t="n"/>
      <c r="R15" s="73" t="n"/>
      <c r="S15" s="73" t="n"/>
      <c r="T15" s="73" t="n"/>
      <c r="U15" s="59">
        <f>IF($F15="SUM",IF(COUNT($I15:$T15)=0,"",SUM($I15:$T15)),IF($F15="AVG",IFERROR(AVERAGE($I15:$T15),""),IF($F15="LAST",IFERROR(LOOKUP(2,1/($I15:$T15&lt;&gt;""),$I15:$T15),""),"")))</f>
        <v/>
      </c>
      <c r="V15" s="23">
        <f>IF($G15="","",IF($U15="","",IF($G15=0,IF($U15&lt;=0,1,0),IF($E15="↓",IFERROR($G15/$U15,0),IFERROR($U15/$G15,0)))))</f>
        <v/>
      </c>
      <c r="W15" s="17">
        <f>IF($V15="","—",IF($V15&gt;=1,"✅ محقق",IF($V15&gt;=0.85,"🟡 قريب","🔴 تحت الهدف")))</f>
        <v/>
      </c>
      <c r="X15" s="65" t="inlineStr">
        <is>
          <t>الاستدامة</t>
        </is>
      </c>
      <c r="Y15" s="22" t="inlineStr">
        <is>
          <t>جودة التشغيل</t>
        </is>
      </c>
      <c r="Z15" s="53" t="n"/>
      <c r="AA15" s="21" t="inlineStr">
        <is>
          <t>🟣 لاحق</t>
        </is>
      </c>
      <c r="AB15" s="53" t="n">
        <v>0.0278</v>
      </c>
      <c r="AC15" s="23">
        <f>IF($V15="","",$AB15*MIN($V15,1))</f>
        <v/>
      </c>
      <c r="AD15" s="74">
        <f>IF($G15="","",IF($F15="SUM",IF('لوحة الإدارة التنفيذية'!$P$2="","",$G15/12*'لوحة الإدارة التنفيذية'!$P$2),$G15))</f>
        <v/>
      </c>
      <c r="AE15" s="23">
        <f>IF($F15="SUM",IF(OR('لوحة الإدارة التنفيذية'!$P$2="",'لوحة الإدارة التنفيذية'!$P$2=0),"",IF($U15="","",$U15/'لوحة الإدارة التنفيذية'!$P$2*12)),IF($U15="","",$U15))</f>
        <v/>
      </c>
      <c r="AF15" s="74">
        <f>IF(OR($AE15="",$G15=""),"",$AE15-$G15)</f>
        <v/>
      </c>
      <c r="AG15" s="17">
        <f>IF(OR($AE15="",$G15=""),"—",IF($E15="↓",IF($AE15&lt;=$G15,"🟢 على المسار",IF($AE15&lt;=$G15*1.1,"🟡 متابعة","🔴 خطر")),IF($AE15&gt;=$G15,"🟢 على المسار",IF($AE15&gt;=$G15*0.85,"🟡 متابعة","🔴 خطر"))))</f>
        <v/>
      </c>
      <c r="AH15" s="68" t="inlineStr">
        <is>
          <t>مالي</t>
        </is>
      </c>
    </row>
    <row r="16" ht="26" customHeight="1">
      <c r="A16" s="17" t="n">
        <v>13</v>
      </c>
      <c r="B16" s="22" t="inlineStr">
        <is>
          <t>الأداء المالي</t>
        </is>
      </c>
      <c r="C16" s="22" t="inlineStr">
        <is>
          <t>معدل دوران رأس المال (أيام الدورة)</t>
        </is>
      </c>
      <c r="D16" s="60" t="inlineStr">
        <is>
          <t>يوم</t>
        </is>
      </c>
      <c r="E16" s="60" t="inlineStr">
        <is>
          <t>↓</t>
        </is>
      </c>
      <c r="F16" s="60" t="inlineStr">
        <is>
          <t>AVG</t>
        </is>
      </c>
      <c r="G16" s="75" t="n">
        <v>5</v>
      </c>
      <c r="H16" s="62" t="inlineStr">
        <is>
          <t>≤ 5 أيام</t>
        </is>
      </c>
      <c r="I16" s="76" t="n"/>
      <c r="J16" s="76" t="n"/>
      <c r="K16" s="76" t="n"/>
      <c r="L16" s="76" t="n"/>
      <c r="M16" s="76" t="n"/>
      <c r="N16" s="76" t="n"/>
      <c r="O16" s="76" t="n"/>
      <c r="P16" s="76" t="n"/>
      <c r="Q16" s="76" t="n"/>
      <c r="R16" s="76" t="n"/>
      <c r="S16" s="76" t="n"/>
      <c r="T16" s="76" t="n"/>
      <c r="U16" s="77">
        <f>IF($F16="SUM",IF(COUNT($I16:$T16)=0,"",SUM($I16:$T16)),IF($F16="AVG",IFERROR(AVERAGE($I16:$T16),""),IF($F16="LAST",IFERROR(LOOKUP(2,1/($I16:$T16&lt;&gt;""),$I16:$T16),""),"")))</f>
        <v/>
      </c>
      <c r="V16" s="23">
        <f>IF($G16="","",IF($U16="","",IF($G16=0,IF($U16&lt;=0,1,0),IF($E16="↓",IFERROR($G16/$U16,0),IFERROR($U16/$G16,0)))))</f>
        <v/>
      </c>
      <c r="W16" s="17">
        <f>IF($V16="","—",IF($V16&gt;=1,"✅ محقق",IF($V16&gt;=0.85,"🟡 قريب","🔴 تحت الهدف")))</f>
        <v/>
      </c>
      <c r="X16" s="65" t="inlineStr">
        <is>
          <t>الاستدامة</t>
        </is>
      </c>
      <c r="Y16" s="22" t="inlineStr">
        <is>
          <t>جودة التشغيل</t>
        </is>
      </c>
      <c r="Z16" s="78" t="n"/>
      <c r="AA16" s="21" t="inlineStr">
        <is>
          <t>🟣 لاحق</t>
        </is>
      </c>
      <c r="AB16" s="53" t="n">
        <v>0.0278</v>
      </c>
      <c r="AC16" s="23">
        <f>IF($V16="","",$AB16*MIN($V16,1))</f>
        <v/>
      </c>
      <c r="AD16" s="75">
        <f>IF($G16="","",IF($F16="SUM",IF('لوحة الإدارة التنفيذية'!$P$2="","",$G16/12*'لوحة الإدارة التنفيذية'!$P$2),$G16))</f>
        <v/>
      </c>
      <c r="AE16" s="79">
        <f>IF($F16="SUM",IF(OR('لوحة الإدارة التنفيذية'!$P$2="",'لوحة الإدارة التنفيذية'!$P$2=0),"",IF($U16="","",$U16/'لوحة الإدارة التنفيذية'!$P$2*12)),IF($U16="","",$U16))</f>
        <v/>
      </c>
      <c r="AF16" s="75">
        <f>IF(OR($AE16="",$G16=""),"",$AE16-$G16)</f>
        <v/>
      </c>
      <c r="AG16" s="17">
        <f>IF(OR($AE16="",$G16=""),"—",IF($E16="↓",IF($AE16&lt;=$G16,"🟢 على المسار",IF($AE16&lt;=$G16*1.1,"🟡 متابعة","🔴 خطر")),IF($AE16&gt;=$G16,"🟢 على المسار",IF($AE16&gt;=$G16*0.85,"🟡 متابعة","🔴 خطر"))))</f>
        <v/>
      </c>
      <c r="AH16" s="68" t="inlineStr">
        <is>
          <t>مالي</t>
        </is>
      </c>
    </row>
    <row r="17" ht="26" customHeight="1">
      <c r="A17" s="17" t="n">
        <v>14</v>
      </c>
      <c r="B17" s="22" t="inlineStr">
        <is>
          <t>التشغيل والجودة</t>
        </is>
      </c>
      <c r="C17" s="22" t="inlineStr">
        <is>
          <t>نسبة جاهزية محطات الامتياز (صفر انقطاع)</t>
        </is>
      </c>
      <c r="D17" s="60" t="inlineStr">
        <is>
          <t>%</t>
        </is>
      </c>
      <c r="E17" s="60" t="inlineStr">
        <is>
          <t>↑</t>
        </is>
      </c>
      <c r="F17" s="60" t="inlineStr">
        <is>
          <t>AVG</t>
        </is>
      </c>
      <c r="G17" s="74" t="n">
        <v>0.99</v>
      </c>
      <c r="H17" s="62" t="inlineStr">
        <is>
          <t>99%+</t>
        </is>
      </c>
      <c r="I17" s="73" t="n"/>
      <c r="J17" s="73" t="n"/>
      <c r="K17" s="73" t="n"/>
      <c r="L17" s="73" t="n"/>
      <c r="M17" s="73" t="n"/>
      <c r="N17" s="73" t="n"/>
      <c r="O17" s="73" t="n"/>
      <c r="P17" s="73" t="n"/>
      <c r="Q17" s="73" t="n"/>
      <c r="R17" s="73" t="n"/>
      <c r="S17" s="73" t="n"/>
      <c r="T17" s="73" t="n"/>
      <c r="U17" s="59">
        <f>IF($F17="SUM",IF(COUNT($I17:$T17)=0,"",SUM($I17:$T17)),IF($F17="AVG",IFERROR(AVERAGE($I17:$T17),""),IF($F17="LAST",IFERROR(LOOKUP(2,1/($I17:$T17&lt;&gt;""),$I17:$T17),""),"")))</f>
        <v/>
      </c>
      <c r="V17" s="23">
        <f>IF($G17="","",IF($U17="","",IF($G17=0,IF($U17&lt;=0,1,0),IF($E17="↓",IFERROR($G17/$U17,0),IFERROR($U17/$G17,0)))))</f>
        <v/>
      </c>
      <c r="W17" s="17">
        <f>IF($V17="","—",IF($V17&gt;=1,"✅ محقق",IF($V17&gt;=0.85,"🟡 قريب","🔴 تحت الهدف")))</f>
        <v/>
      </c>
      <c r="X17" s="65" t="inlineStr">
        <is>
          <t>الاستدامة</t>
        </is>
      </c>
      <c r="Y17" s="22" t="inlineStr">
        <is>
          <t>جودة التشغيل</t>
        </is>
      </c>
      <c r="Z17" s="53" t="n"/>
      <c r="AA17" s="21" t="inlineStr">
        <is>
          <t>🟣 لاحق</t>
        </is>
      </c>
      <c r="AB17" s="53" t="n">
        <v>0.0278</v>
      </c>
      <c r="AC17" s="23">
        <f>IF($V17="","",$AB17*MIN($V17,1))</f>
        <v/>
      </c>
      <c r="AD17" s="74">
        <f>IF($G17="","",IF($F17="SUM",IF('لوحة الإدارة التنفيذية'!$P$2="","",$G17/12*'لوحة الإدارة التنفيذية'!$P$2),$G17))</f>
        <v/>
      </c>
      <c r="AE17" s="23">
        <f>IF($F17="SUM",IF(OR('لوحة الإدارة التنفيذية'!$P$2="",'لوحة الإدارة التنفيذية'!$P$2=0),"",IF($U17="","",$U17/'لوحة الإدارة التنفيذية'!$P$2*12)),IF($U17="","",$U17))</f>
        <v/>
      </c>
      <c r="AF17" s="74">
        <f>IF(OR($AE17="",$G17=""),"",$AE17-$G17)</f>
        <v/>
      </c>
      <c r="AG17" s="17">
        <f>IF(OR($AE17="",$G17=""),"—",IF($E17="↓",IF($AE17&lt;=$G17,"🟢 على المسار",IF($AE17&lt;=$G17*1.1,"🟡 متابعة","🔴 خطر")),IF($AE17&gt;=$G17,"🟢 على المسار",IF($AE17&gt;=$G17*0.85,"🟡 متابعة","🔴 خطر"))))</f>
        <v/>
      </c>
      <c r="AH17" s="68" t="inlineStr">
        <is>
          <t>العمليات الداخلية</t>
        </is>
      </c>
    </row>
    <row r="18" ht="26" customHeight="1">
      <c r="A18" s="17" t="n">
        <v>15</v>
      </c>
      <c r="B18" s="22" t="inlineStr">
        <is>
          <t>التشغيل والجودة</t>
        </is>
      </c>
      <c r="C18" s="22" t="inlineStr">
        <is>
          <t>عدد حالات انقطاع الوقود الموثّقة</t>
        </is>
      </c>
      <c r="D18" s="60" t="inlineStr">
        <is>
          <t>حالة</t>
        </is>
      </c>
      <c r="E18" s="60" t="inlineStr">
        <is>
          <t>↓</t>
        </is>
      </c>
      <c r="F18" s="60" t="inlineStr">
        <is>
          <t>SUM</t>
        </is>
      </c>
      <c r="G18" s="61" t="n">
        <v>0</v>
      </c>
      <c r="H18" s="62" t="inlineStr">
        <is>
          <t>0 حالة</t>
        </is>
      </c>
      <c r="I18" s="63" t="n"/>
      <c r="J18" s="63" t="n"/>
      <c r="K18" s="63" t="n"/>
      <c r="L18" s="63" t="n"/>
      <c r="M18" s="63" t="n"/>
      <c r="N18" s="63" t="n"/>
      <c r="O18" s="63" t="n"/>
      <c r="P18" s="63" t="n"/>
      <c r="Q18" s="63" t="n"/>
      <c r="R18" s="63" t="n"/>
      <c r="S18" s="63" t="n"/>
      <c r="T18" s="63" t="n"/>
      <c r="U18" s="64">
        <f>IF($F18="SUM",IF(COUNT($I18:$T18)=0,"",SUM($I18:$T18)),IF($F18="AVG",IFERROR(AVERAGE($I18:$T18),""),IF($F18="LAST",IFERROR(LOOKUP(2,1/($I18:$T18&lt;&gt;""),$I18:$T18),""),"")))</f>
        <v/>
      </c>
      <c r="V18" s="23">
        <f>IF($G18="","",IF($U18="","",IF($G18=0,IF($U18&lt;=0,1,0),IF($E18="↓",IFERROR($G18/$U18,0),IFERROR($U18/$G18,0)))))</f>
        <v/>
      </c>
      <c r="W18" s="17">
        <f>IF($V18="","—",IF($V18&gt;=1,"✅ محقق",IF($V18&gt;=0.85,"🟡 قريب","🔴 تحت الهدف")))</f>
        <v/>
      </c>
      <c r="X18" s="65" t="inlineStr">
        <is>
          <t>الاستدامة</t>
        </is>
      </c>
      <c r="Y18" s="22" t="inlineStr">
        <is>
          <t>جودة التشغيل</t>
        </is>
      </c>
      <c r="Z18" s="66" t="n"/>
      <c r="AA18" s="21" t="inlineStr">
        <is>
          <t>🔵 قائد</t>
        </is>
      </c>
      <c r="AB18" s="53" t="n">
        <v>0.0278</v>
      </c>
      <c r="AC18" s="23">
        <f>IF($V18="","",$AB18*MIN($V18,1))</f>
        <v/>
      </c>
      <c r="AD18" s="61">
        <f>IF($G18="","",IF($F18="SUM",IF('لوحة الإدارة التنفيذية'!$P$2="","",$G18/12*'لوحة الإدارة التنفيذية'!$P$2),$G18))</f>
        <v/>
      </c>
      <c r="AE18" s="67">
        <f>IF($F18="SUM",IF(OR('لوحة الإدارة التنفيذية'!$P$2="",'لوحة الإدارة التنفيذية'!$P$2=0),"",IF($U18="","",$U18/'لوحة الإدارة التنفيذية'!$P$2*12)),IF($U18="","",$U18))</f>
        <v/>
      </c>
      <c r="AF18" s="61">
        <f>IF(OR($AE18="",$G18=""),"",$AE18-$G18)</f>
        <v/>
      </c>
      <c r="AG18" s="17">
        <f>IF(OR($AE18="",$G18=""),"—",IF($E18="↓",IF($AE18&lt;=$G18,"🟢 على المسار",IF($AE18&lt;=$G18*1.1,"🟡 متابعة","🔴 خطر")),IF($AE18&gt;=$G18,"🟢 على المسار",IF($AE18&gt;=$G18*0.85,"🟡 متابعة","🔴 خطر"))))</f>
        <v/>
      </c>
      <c r="AH18" s="68" t="inlineStr">
        <is>
          <t>العمليات الداخلية</t>
        </is>
      </c>
    </row>
    <row r="19" ht="26" customHeight="1">
      <c r="A19" s="17" t="n">
        <v>16</v>
      </c>
      <c r="B19" s="22" t="inlineStr">
        <is>
          <t>التشغيل والجودة</t>
        </is>
      </c>
      <c r="C19" s="22" t="inlineStr">
        <is>
          <t>نسبة إغلاق ملاحظات الجودة الميدانية</t>
        </is>
      </c>
      <c r="D19" s="60" t="inlineStr">
        <is>
          <t>%</t>
        </is>
      </c>
      <c r="E19" s="60" t="inlineStr">
        <is>
          <t>↑</t>
        </is>
      </c>
      <c r="F19" s="60" t="inlineStr">
        <is>
          <t>AVG</t>
        </is>
      </c>
      <c r="G19" s="74" t="n">
        <v>0.95</v>
      </c>
      <c r="H19" s="62" t="inlineStr">
        <is>
          <t>95%+</t>
        </is>
      </c>
      <c r="I19" s="73" t="n"/>
      <c r="J19" s="73" t="n"/>
      <c r="K19" s="73" t="n"/>
      <c r="L19" s="73" t="n"/>
      <c r="M19" s="73" t="n"/>
      <c r="N19" s="73" t="n"/>
      <c r="O19" s="73" t="n"/>
      <c r="P19" s="73" t="n"/>
      <c r="Q19" s="73" t="n"/>
      <c r="R19" s="73" t="n"/>
      <c r="S19" s="73" t="n"/>
      <c r="T19" s="73" t="n"/>
      <c r="U19" s="59">
        <f>IF($F19="SUM",IF(COUNT($I19:$T19)=0,"",SUM($I19:$T19)),IF($F19="AVG",IFERROR(AVERAGE($I19:$T19),""),IF($F19="LAST",IFERROR(LOOKUP(2,1/($I19:$T19&lt;&gt;""),$I19:$T19),""),"")))</f>
        <v/>
      </c>
      <c r="V19" s="23">
        <f>IF($G19="","",IF($U19="","",IF($G19=0,IF($U19&lt;=0,1,0),IF($E19="↓",IFERROR($G19/$U19,0),IFERROR($U19/$G19,0)))))</f>
        <v/>
      </c>
      <c r="W19" s="17">
        <f>IF($V19="","—",IF($V19&gt;=1,"✅ محقق",IF($V19&gt;=0.85,"🟡 قريب","🔴 تحت الهدف")))</f>
        <v/>
      </c>
      <c r="X19" s="65" t="inlineStr">
        <is>
          <t>الاستدامة</t>
        </is>
      </c>
      <c r="Y19" s="22" t="inlineStr">
        <is>
          <t>جودة التشغيل</t>
        </is>
      </c>
      <c r="Z19" s="53" t="n"/>
      <c r="AA19" s="21" t="inlineStr">
        <is>
          <t>🟣 لاحق</t>
        </is>
      </c>
      <c r="AB19" s="53" t="n">
        <v>0.0278</v>
      </c>
      <c r="AC19" s="23">
        <f>IF($V19="","",$AB19*MIN($V19,1))</f>
        <v/>
      </c>
      <c r="AD19" s="74">
        <f>IF($G19="","",IF($F19="SUM",IF('لوحة الإدارة التنفيذية'!$P$2="","",$G19/12*'لوحة الإدارة التنفيذية'!$P$2),$G19))</f>
        <v/>
      </c>
      <c r="AE19" s="23">
        <f>IF($F19="SUM",IF(OR('لوحة الإدارة التنفيذية'!$P$2="",'لوحة الإدارة التنفيذية'!$P$2=0),"",IF($U19="","",$U19/'لوحة الإدارة التنفيذية'!$P$2*12)),IF($U19="","",$U19))</f>
        <v/>
      </c>
      <c r="AF19" s="74">
        <f>IF(OR($AE19="",$G19=""),"",$AE19-$G19)</f>
        <v/>
      </c>
      <c r="AG19" s="17">
        <f>IF(OR($AE19="",$G19=""),"—",IF($E19="↓",IF($AE19&lt;=$G19,"🟢 على المسار",IF($AE19&lt;=$G19*1.1,"🟡 متابعة","🔴 خطر")),IF($AE19&gt;=$G19,"🟢 على المسار",IF($AE19&gt;=$G19*0.85,"🟡 متابعة","🔴 خطر"))))</f>
        <v/>
      </c>
      <c r="AH19" s="68" t="inlineStr">
        <is>
          <t>العمليات الداخلية</t>
        </is>
      </c>
    </row>
    <row r="20" ht="26" customHeight="1">
      <c r="A20" s="17" t="n">
        <v>17</v>
      </c>
      <c r="B20" s="22" t="inlineStr">
        <is>
          <t>التشغيل والجودة</t>
        </is>
      </c>
      <c r="C20" s="22" t="inlineStr">
        <is>
          <t>متوسط درجة تقييم جودة المحطة (قائمة التحقق)</t>
        </is>
      </c>
      <c r="D20" s="60" t="inlineStr">
        <is>
          <t>درجة/100</t>
        </is>
      </c>
      <c r="E20" s="60" t="inlineStr">
        <is>
          <t>↑</t>
        </is>
      </c>
      <c r="F20" s="60" t="inlineStr">
        <is>
          <t>AVG</t>
        </is>
      </c>
      <c r="G20" s="75" t="n">
        <v>85</v>
      </c>
      <c r="H20" s="62" t="inlineStr">
        <is>
          <t>85+</t>
        </is>
      </c>
      <c r="I20" s="76" t="n"/>
      <c r="J20" s="76" t="n"/>
      <c r="K20" s="76" t="n"/>
      <c r="L20" s="76" t="n"/>
      <c r="M20" s="76" t="n"/>
      <c r="N20" s="76" t="n"/>
      <c r="O20" s="76" t="n"/>
      <c r="P20" s="76" t="n"/>
      <c r="Q20" s="76" t="n"/>
      <c r="R20" s="76" t="n"/>
      <c r="S20" s="76" t="n"/>
      <c r="T20" s="76" t="n"/>
      <c r="U20" s="77">
        <f>IF($F20="SUM",IF(COUNT($I20:$T20)=0,"",SUM($I20:$T20)),IF($F20="AVG",IFERROR(AVERAGE($I20:$T20),""),IF($F20="LAST",IFERROR(LOOKUP(2,1/($I20:$T20&lt;&gt;""),$I20:$T20),""),"")))</f>
        <v/>
      </c>
      <c r="V20" s="23">
        <f>IF($G20="","",IF($U20="","",IF($G20=0,IF($U20&lt;=0,1,0),IF($E20="↓",IFERROR($G20/$U20,0),IFERROR($U20/$G20,0)))))</f>
        <v/>
      </c>
      <c r="W20" s="17">
        <f>IF($V20="","—",IF($V20&gt;=1,"✅ محقق",IF($V20&gt;=0.85,"🟡 قريب","🔴 تحت الهدف")))</f>
        <v/>
      </c>
      <c r="X20" s="65" t="inlineStr">
        <is>
          <t>الاستدامة</t>
        </is>
      </c>
      <c r="Y20" s="22" t="inlineStr">
        <is>
          <t>جودة التشغيل</t>
        </is>
      </c>
      <c r="Z20" s="78" t="n"/>
      <c r="AA20" s="21" t="inlineStr">
        <is>
          <t>🟣 لاحق</t>
        </is>
      </c>
      <c r="AB20" s="53" t="n">
        <v>0.0278</v>
      </c>
      <c r="AC20" s="23">
        <f>IF($V20="","",$AB20*MIN($V20,1))</f>
        <v/>
      </c>
      <c r="AD20" s="75">
        <f>IF($G20="","",IF($F20="SUM",IF('لوحة الإدارة التنفيذية'!$P$2="","",$G20/12*'لوحة الإدارة التنفيذية'!$P$2),$G20))</f>
        <v/>
      </c>
      <c r="AE20" s="79">
        <f>IF($F20="SUM",IF(OR('لوحة الإدارة التنفيذية'!$P$2="",'لوحة الإدارة التنفيذية'!$P$2=0),"",IF($U20="","",$U20/'لوحة الإدارة التنفيذية'!$P$2*12)),IF($U20="","",$U20))</f>
        <v/>
      </c>
      <c r="AF20" s="75">
        <f>IF(OR($AE20="",$G20=""),"",$AE20-$G20)</f>
        <v/>
      </c>
      <c r="AG20" s="17">
        <f>IF(OR($AE20="",$G20=""),"—",IF($E20="↓",IF($AE20&lt;=$G20,"🟢 على المسار",IF($AE20&lt;=$G20*1.1,"🟡 متابعة","🔴 خطر")),IF($AE20&gt;=$G20,"🟢 على المسار",IF($AE20&gt;=$G20*0.85,"🟡 متابعة","🔴 خطر"))))</f>
        <v/>
      </c>
      <c r="AH20" s="68" t="inlineStr">
        <is>
          <t>العمليات الداخلية</t>
        </is>
      </c>
    </row>
    <row r="21" ht="26" customHeight="1">
      <c r="A21" s="17" t="n">
        <v>18</v>
      </c>
      <c r="B21" s="22" t="inlineStr">
        <is>
          <t>التشغيل والجودة</t>
        </is>
      </c>
      <c r="C21" s="22" t="inlineStr">
        <is>
          <t>نسبة تنفيذ الزيارات الميدانية المجدولة</t>
        </is>
      </c>
      <c r="D21" s="60" t="inlineStr">
        <is>
          <t>%</t>
        </is>
      </c>
      <c r="E21" s="60" t="inlineStr">
        <is>
          <t>↑</t>
        </is>
      </c>
      <c r="F21" s="60" t="inlineStr">
        <is>
          <t>AVG</t>
        </is>
      </c>
      <c r="G21" s="74" t="n">
        <v>1</v>
      </c>
      <c r="H21" s="62" t="inlineStr">
        <is>
          <t>100%</t>
        </is>
      </c>
      <c r="I21" s="73" t="n"/>
      <c r="J21" s="73" t="n"/>
      <c r="K21" s="73" t="n"/>
      <c r="L21" s="73" t="n"/>
      <c r="M21" s="73" t="n"/>
      <c r="N21" s="73" t="n"/>
      <c r="O21" s="73" t="n"/>
      <c r="P21" s="73" t="n"/>
      <c r="Q21" s="73" t="n"/>
      <c r="R21" s="73" t="n"/>
      <c r="S21" s="73" t="n"/>
      <c r="T21" s="73" t="n"/>
      <c r="U21" s="59">
        <f>IF($F21="SUM",IF(COUNT($I21:$T21)=0,"",SUM($I21:$T21)),IF($F21="AVG",IFERROR(AVERAGE($I21:$T21),""),IF($F21="LAST",IFERROR(LOOKUP(2,1/($I21:$T21&lt;&gt;""),$I21:$T21),""),"")))</f>
        <v/>
      </c>
      <c r="V21" s="23">
        <f>IF($G21="","",IF($U21="","",IF($G21=0,IF($U21&lt;=0,1,0),IF($E21="↓",IFERROR($G21/$U21,0),IFERROR($U21/$G21,0)))))</f>
        <v/>
      </c>
      <c r="W21" s="17">
        <f>IF($V21="","—",IF($V21&gt;=1,"✅ محقق",IF($V21&gt;=0.85,"🟡 قريب","🔴 تحت الهدف")))</f>
        <v/>
      </c>
      <c r="X21" s="65" t="inlineStr">
        <is>
          <t>الاستدامة</t>
        </is>
      </c>
      <c r="Y21" s="22" t="inlineStr">
        <is>
          <t>جودة التشغيل</t>
        </is>
      </c>
      <c r="Z21" s="53" t="n"/>
      <c r="AA21" s="21" t="inlineStr">
        <is>
          <t>🔵 قائد</t>
        </is>
      </c>
      <c r="AB21" s="53" t="n">
        <v>0.0278</v>
      </c>
      <c r="AC21" s="23">
        <f>IF($V21="","",$AB21*MIN($V21,1))</f>
        <v/>
      </c>
      <c r="AD21" s="74">
        <f>IF($G21="","",IF($F21="SUM",IF('لوحة الإدارة التنفيذية'!$P$2="","",$G21/12*'لوحة الإدارة التنفيذية'!$P$2),$G21))</f>
        <v/>
      </c>
      <c r="AE21" s="23">
        <f>IF($F21="SUM",IF(OR('لوحة الإدارة التنفيذية'!$P$2="",'لوحة الإدارة التنفيذية'!$P$2=0),"",IF($U21="","",$U21/'لوحة الإدارة التنفيذية'!$P$2*12)),IF($U21="","",$U21))</f>
        <v/>
      </c>
      <c r="AF21" s="74">
        <f>IF(OR($AE21="",$G21=""),"",$AE21-$G21)</f>
        <v/>
      </c>
      <c r="AG21" s="17">
        <f>IF(OR($AE21="",$G21=""),"—",IF($E21="↓",IF($AE21&lt;=$G21,"🟢 على المسار",IF($AE21&lt;=$G21*1.1,"🟡 متابعة","🔴 خطر")),IF($AE21&gt;=$G21,"🟢 على المسار",IF($AE21&gt;=$G21*0.85,"🟡 متابعة","🔴 خطر"))))</f>
        <v/>
      </c>
      <c r="AH21" s="68" t="inlineStr">
        <is>
          <t>العمليات الداخلية</t>
        </is>
      </c>
    </row>
    <row r="22" ht="26" customHeight="1">
      <c r="A22" s="17" t="n">
        <v>19</v>
      </c>
      <c r="B22" s="22" t="inlineStr">
        <is>
          <t>التشغيل والجودة</t>
        </is>
      </c>
      <c r="C22" s="22" t="inlineStr">
        <is>
          <t>نسبة المحطات المستوفية لمعايير السلامة</t>
        </is>
      </c>
      <c r="D22" s="60" t="inlineStr">
        <is>
          <t>%</t>
        </is>
      </c>
      <c r="E22" s="60" t="inlineStr">
        <is>
          <t>↑</t>
        </is>
      </c>
      <c r="F22" s="60" t="inlineStr">
        <is>
          <t>AVG</t>
        </is>
      </c>
      <c r="G22" s="74" t="n">
        <v>1</v>
      </c>
      <c r="H22" s="62" t="inlineStr">
        <is>
          <t>100%</t>
        </is>
      </c>
      <c r="I22" s="73" t="n"/>
      <c r="J22" s="73" t="n"/>
      <c r="K22" s="73" t="n"/>
      <c r="L22" s="73" t="n"/>
      <c r="M22" s="73" t="n"/>
      <c r="N22" s="73" t="n"/>
      <c r="O22" s="73" t="n"/>
      <c r="P22" s="73" t="n"/>
      <c r="Q22" s="73" t="n"/>
      <c r="R22" s="73" t="n"/>
      <c r="S22" s="73" t="n"/>
      <c r="T22" s="73" t="n"/>
      <c r="U22" s="59">
        <f>IF($F22="SUM",IF(COUNT($I22:$T22)=0,"",SUM($I22:$T22)),IF($F22="AVG",IFERROR(AVERAGE($I22:$T22),""),IF($F22="LAST",IFERROR(LOOKUP(2,1/($I22:$T22&lt;&gt;""),$I22:$T22),""),"")))</f>
        <v/>
      </c>
      <c r="V22" s="23">
        <f>IF($G22="","",IF($U22="","",IF($G22=0,IF($U22&lt;=0,1,0),IF($E22="↓",IFERROR($G22/$U22,0),IFERROR($U22/$G22,0)))))</f>
        <v/>
      </c>
      <c r="W22" s="17">
        <f>IF($V22="","—",IF($V22&gt;=1,"✅ محقق",IF($V22&gt;=0.85,"🟡 قريب","🔴 تحت الهدف")))</f>
        <v/>
      </c>
      <c r="X22" s="65" t="inlineStr">
        <is>
          <t>الاستدامة</t>
        </is>
      </c>
      <c r="Y22" s="22" t="inlineStr">
        <is>
          <t>جودة التشغيل</t>
        </is>
      </c>
      <c r="Z22" s="53" t="n"/>
      <c r="AA22" s="21" t="inlineStr">
        <is>
          <t>🟣 لاحق</t>
        </is>
      </c>
      <c r="AB22" s="53" t="n">
        <v>0.0278</v>
      </c>
      <c r="AC22" s="23">
        <f>IF($V22="","",$AB22*MIN($V22,1))</f>
        <v/>
      </c>
      <c r="AD22" s="74">
        <f>IF($G22="","",IF($F22="SUM",IF('لوحة الإدارة التنفيذية'!$P$2="","",$G22/12*'لوحة الإدارة التنفيذية'!$P$2),$G22))</f>
        <v/>
      </c>
      <c r="AE22" s="23">
        <f>IF($F22="SUM",IF(OR('لوحة الإدارة التنفيذية'!$P$2="",'لوحة الإدارة التنفيذية'!$P$2=0),"",IF($U22="","",$U22/'لوحة الإدارة التنفيذية'!$P$2*12)),IF($U22="","",$U22))</f>
        <v/>
      </c>
      <c r="AF22" s="74">
        <f>IF(OR($AE22="",$G22=""),"",$AE22-$G22)</f>
        <v/>
      </c>
      <c r="AG22" s="17">
        <f>IF(OR($AE22="",$G22=""),"—",IF($E22="↓",IF($AE22&lt;=$G22,"🟢 على المسار",IF($AE22&lt;=$G22*1.1,"🟡 متابعة","🔴 خطر")),IF($AE22&gt;=$G22,"🟢 على المسار",IF($AE22&gt;=$G22*0.85,"🟡 متابعة","🔴 خطر"))))</f>
        <v/>
      </c>
      <c r="AH22" s="68" t="inlineStr">
        <is>
          <t>العمليات الداخلية</t>
        </is>
      </c>
    </row>
    <row r="23" ht="26" customHeight="1">
      <c r="A23" s="17" t="n">
        <v>20</v>
      </c>
      <c r="B23" s="22" t="inlineStr">
        <is>
          <t>التشغيل والجودة</t>
        </is>
      </c>
      <c r="C23" s="22" t="inlineStr">
        <is>
          <t>متوسط وقت معالجة البلاغات التشغيلية</t>
        </is>
      </c>
      <c r="D23" s="60" t="inlineStr">
        <is>
          <t>ساعة</t>
        </is>
      </c>
      <c r="E23" s="60" t="inlineStr">
        <is>
          <t>↓</t>
        </is>
      </c>
      <c r="F23" s="60" t="inlineStr">
        <is>
          <t>AVG</t>
        </is>
      </c>
      <c r="G23" s="75" t="n">
        <v>24</v>
      </c>
      <c r="H23" s="62" t="inlineStr">
        <is>
          <t>≤ 24 ساعة</t>
        </is>
      </c>
      <c r="I23" s="76" t="n"/>
      <c r="J23" s="76" t="n"/>
      <c r="K23" s="76" t="n"/>
      <c r="L23" s="76" t="n"/>
      <c r="M23" s="76" t="n"/>
      <c r="N23" s="76" t="n"/>
      <c r="O23" s="76" t="n"/>
      <c r="P23" s="76" t="n"/>
      <c r="Q23" s="76" t="n"/>
      <c r="R23" s="76" t="n"/>
      <c r="S23" s="76" t="n"/>
      <c r="T23" s="76" t="n"/>
      <c r="U23" s="77">
        <f>IF($F23="SUM",IF(COUNT($I23:$T23)=0,"",SUM($I23:$T23)),IF($F23="AVG",IFERROR(AVERAGE($I23:$T23),""),IF($F23="LAST",IFERROR(LOOKUP(2,1/($I23:$T23&lt;&gt;""),$I23:$T23),""),"")))</f>
        <v/>
      </c>
      <c r="V23" s="23">
        <f>IF($G23="","",IF($U23="","",IF($G23=0,IF($U23&lt;=0,1,0),IF($E23="↓",IFERROR($G23/$U23,0),IFERROR($U23/$G23,0)))))</f>
        <v/>
      </c>
      <c r="W23" s="17">
        <f>IF($V23="","—",IF($V23&gt;=1,"✅ محقق",IF($V23&gt;=0.85,"🟡 قريب","🔴 تحت الهدف")))</f>
        <v/>
      </c>
      <c r="X23" s="65" t="inlineStr">
        <is>
          <t>الاستدامة</t>
        </is>
      </c>
      <c r="Y23" s="22" t="inlineStr">
        <is>
          <t>جودة التشغيل</t>
        </is>
      </c>
      <c r="Z23" s="78" t="n"/>
      <c r="AA23" s="21" t="inlineStr">
        <is>
          <t>🟣 لاحق</t>
        </is>
      </c>
      <c r="AB23" s="53" t="n">
        <v>0.0278</v>
      </c>
      <c r="AC23" s="23">
        <f>IF($V23="","",$AB23*MIN($V23,1))</f>
        <v/>
      </c>
      <c r="AD23" s="75">
        <f>IF($G23="","",IF($F23="SUM",IF('لوحة الإدارة التنفيذية'!$P$2="","",$G23/12*'لوحة الإدارة التنفيذية'!$P$2),$G23))</f>
        <v/>
      </c>
      <c r="AE23" s="79">
        <f>IF($F23="SUM",IF(OR('لوحة الإدارة التنفيذية'!$P$2="",'لوحة الإدارة التنفيذية'!$P$2=0),"",IF($U23="","",$U23/'لوحة الإدارة التنفيذية'!$P$2*12)),IF($U23="","",$U23))</f>
        <v/>
      </c>
      <c r="AF23" s="75">
        <f>IF(OR($AE23="",$G23=""),"",$AE23-$G23)</f>
        <v/>
      </c>
      <c r="AG23" s="17">
        <f>IF(OR($AE23="",$G23=""),"—",IF($E23="↓",IF($AE23&lt;=$G23,"🟢 على المسار",IF($AE23&lt;=$G23*1.1,"🟡 متابعة","🔴 خطر")),IF($AE23&gt;=$G23,"🟢 على المسار",IF($AE23&gt;=$G23*0.85,"🟡 متابعة","🔴 خطر"))))</f>
        <v/>
      </c>
      <c r="AH23" s="68" t="inlineStr">
        <is>
          <t>العمليات الداخلية</t>
        </is>
      </c>
    </row>
    <row r="24" ht="26" customHeight="1">
      <c r="A24" s="17" t="n">
        <v>21</v>
      </c>
      <c r="B24" s="22" t="inlineStr">
        <is>
          <t>التشغيل والجودة</t>
        </is>
      </c>
      <c r="C24" s="22" t="inlineStr">
        <is>
          <t>نسبة أتمتة محطات الامتياز</t>
        </is>
      </c>
      <c r="D24" s="60" t="inlineStr">
        <is>
          <t>%</t>
        </is>
      </c>
      <c r="E24" s="60" t="inlineStr">
        <is>
          <t>↑</t>
        </is>
      </c>
      <c r="F24" s="60" t="inlineStr">
        <is>
          <t>LAST</t>
        </is>
      </c>
      <c r="G24" s="74" t="n">
        <v>0.9</v>
      </c>
      <c r="H24" s="62" t="inlineStr">
        <is>
          <t>90%</t>
        </is>
      </c>
      <c r="I24" s="73" t="n"/>
      <c r="J24" s="73" t="n"/>
      <c r="K24" s="73" t="n"/>
      <c r="L24" s="73" t="n"/>
      <c r="M24" s="73" t="n"/>
      <c r="N24" s="73" t="n"/>
      <c r="O24" s="73" t="n"/>
      <c r="P24" s="73" t="n"/>
      <c r="Q24" s="73" t="n"/>
      <c r="R24" s="73" t="n"/>
      <c r="S24" s="73" t="n"/>
      <c r="T24" s="73" t="n"/>
      <c r="U24" s="59">
        <f>IF($F24="SUM",IF(COUNT($I24:$T24)=0,"",SUM($I24:$T24)),IF($F24="AVG",IFERROR(AVERAGE($I24:$T24),""),IF($F24="LAST",IFERROR(LOOKUP(2,1/($I24:$T24&lt;&gt;""),$I24:$T24),""),"")))</f>
        <v/>
      </c>
      <c r="V24" s="23">
        <f>IF($G24="","",IF($U24="","",IF($G24=0,IF($U24&lt;=0,1,0),IF($E24="↓",IFERROR($G24/$U24,0),IFERROR($U24/$G24,0)))))</f>
        <v/>
      </c>
      <c r="W24" s="17">
        <f>IF($V24="","—",IF($V24&gt;=1,"✅ محقق",IF($V24&gt;=0.85,"🟡 قريب","🔴 تحت الهدف")))</f>
        <v/>
      </c>
      <c r="X24" s="65" t="inlineStr">
        <is>
          <t>الابتكار</t>
        </is>
      </c>
      <c r="Y24" s="22" t="inlineStr">
        <is>
          <t>التحول التقني</t>
        </is>
      </c>
      <c r="Z24" s="53" t="n"/>
      <c r="AA24" s="21" t="inlineStr">
        <is>
          <t>🟣 لاحق</t>
        </is>
      </c>
      <c r="AB24" s="53" t="n">
        <v>0.0278</v>
      </c>
      <c r="AC24" s="23">
        <f>IF($V24="","",$AB24*MIN($V24,1))</f>
        <v/>
      </c>
      <c r="AD24" s="74">
        <f>IF($G24="","",IF($F24="SUM",IF('لوحة الإدارة التنفيذية'!$P$2="","",$G24/12*'لوحة الإدارة التنفيذية'!$P$2),$G24))</f>
        <v/>
      </c>
      <c r="AE24" s="23">
        <f>IF($F24="SUM",IF(OR('لوحة الإدارة التنفيذية'!$P$2="",'لوحة الإدارة التنفيذية'!$P$2=0),"",IF($U24="","",$U24/'لوحة الإدارة التنفيذية'!$P$2*12)),IF($U24="","",$U24))</f>
        <v/>
      </c>
      <c r="AF24" s="74">
        <f>IF(OR($AE24="",$G24=""),"",$AE24-$G24)</f>
        <v/>
      </c>
      <c r="AG24" s="17">
        <f>IF(OR($AE24="",$G24=""),"—",IF($E24="↓",IF($AE24&lt;=$G24,"🟢 على المسار",IF($AE24&lt;=$G24*1.1,"🟡 متابعة","🔴 خطر")),IF($AE24&gt;=$G24,"🟢 على المسار",IF($AE24&gt;=$G24*0.85,"🟡 متابعة","🔴 خطر"))))</f>
        <v/>
      </c>
      <c r="AH24" s="68" t="inlineStr">
        <is>
          <t>التعلّم والنمو</t>
        </is>
      </c>
    </row>
    <row r="25" ht="26" customHeight="1">
      <c r="A25" s="17" t="n">
        <v>22</v>
      </c>
      <c r="B25" s="22" t="inlineStr">
        <is>
          <t>التشغيل والجودة</t>
        </is>
      </c>
      <c r="C25" s="22" t="inlineStr">
        <is>
          <t>نسبة تطبيق المعيار الشامل داخل المحطات</t>
        </is>
      </c>
      <c r="D25" s="60" t="inlineStr">
        <is>
          <t>%</t>
        </is>
      </c>
      <c r="E25" s="60" t="inlineStr">
        <is>
          <t>↑</t>
        </is>
      </c>
      <c r="F25" s="60" t="inlineStr">
        <is>
          <t>LAST</t>
        </is>
      </c>
      <c r="G25" s="74" t="n">
        <v>0.3</v>
      </c>
      <c r="H25" s="62" t="inlineStr">
        <is>
          <t>30%</t>
        </is>
      </c>
      <c r="I25" s="73" t="n"/>
      <c r="J25" s="73" t="n"/>
      <c r="K25" s="73" t="n"/>
      <c r="L25" s="73" t="n"/>
      <c r="M25" s="73" t="n"/>
      <c r="N25" s="73" t="n"/>
      <c r="O25" s="73" t="n"/>
      <c r="P25" s="73" t="n"/>
      <c r="Q25" s="73" t="n"/>
      <c r="R25" s="73" t="n"/>
      <c r="S25" s="73" t="n"/>
      <c r="T25" s="73" t="n"/>
      <c r="U25" s="59">
        <f>IF($F25="SUM",IF(COUNT($I25:$T25)=0,"",SUM($I25:$T25)),IF($F25="AVG",IFERROR(AVERAGE($I25:$T25),""),IF($F25="LAST",IFERROR(LOOKUP(2,1/($I25:$T25&lt;&gt;""),$I25:$T25),""),"")))</f>
        <v/>
      </c>
      <c r="V25" s="23">
        <f>IF($G25="","",IF($U25="","",IF($G25=0,IF($U25&lt;=0,1,0),IF($E25="↓",IFERROR($G25/$U25,0),IFERROR($U25/$G25,0)))))</f>
        <v/>
      </c>
      <c r="W25" s="17">
        <f>IF($V25="","—",IF($V25&gt;=1,"✅ محقق",IF($V25&gt;=0.85,"🟡 قريب","🔴 تحت الهدف")))</f>
        <v/>
      </c>
      <c r="X25" s="65" t="inlineStr">
        <is>
          <t>الابتكار</t>
        </is>
      </c>
      <c r="Y25" s="22" t="inlineStr">
        <is>
          <t>التحول التقني</t>
        </is>
      </c>
      <c r="Z25" s="53" t="n"/>
      <c r="AA25" s="21" t="inlineStr">
        <is>
          <t>🟣 لاحق</t>
        </is>
      </c>
      <c r="AB25" s="53" t="n">
        <v>0.0278</v>
      </c>
      <c r="AC25" s="23">
        <f>IF($V25="","",$AB25*MIN($V25,1))</f>
        <v/>
      </c>
      <c r="AD25" s="74">
        <f>IF($G25="","",IF($F25="SUM",IF('لوحة الإدارة التنفيذية'!$P$2="","",$G25/12*'لوحة الإدارة التنفيذية'!$P$2),$G25))</f>
        <v/>
      </c>
      <c r="AE25" s="23">
        <f>IF($F25="SUM",IF(OR('لوحة الإدارة التنفيذية'!$P$2="",'لوحة الإدارة التنفيذية'!$P$2=0),"",IF($U25="","",$U25/'لوحة الإدارة التنفيذية'!$P$2*12)),IF($U25="","",$U25))</f>
        <v/>
      </c>
      <c r="AF25" s="74">
        <f>IF(OR($AE25="",$G25=""),"",$AE25-$G25)</f>
        <v/>
      </c>
      <c r="AG25" s="17">
        <f>IF(OR($AE25="",$G25=""),"—",IF($E25="↓",IF($AE25&lt;=$G25,"🟢 على المسار",IF($AE25&lt;=$G25*1.1,"🟡 متابعة","🔴 خطر")),IF($AE25&gt;=$G25,"🟢 على المسار",IF($AE25&gt;=$G25*0.85,"🟡 متابعة","🔴 خطر"))))</f>
        <v/>
      </c>
      <c r="AH25" s="68" t="inlineStr">
        <is>
          <t>العمليات الداخلية</t>
        </is>
      </c>
    </row>
    <row r="26" ht="26" customHeight="1">
      <c r="A26" s="17" t="n">
        <v>23</v>
      </c>
      <c r="B26" s="22" t="inlineStr">
        <is>
          <t>الهوية والتسويق</t>
        </is>
      </c>
      <c r="C26" s="22" t="inlineStr">
        <is>
          <t>نسبة التزام المحطات بالهوية المؤسسية</t>
        </is>
      </c>
      <c r="D26" s="60" t="inlineStr">
        <is>
          <t>%</t>
        </is>
      </c>
      <c r="E26" s="60" t="inlineStr">
        <is>
          <t>↑</t>
        </is>
      </c>
      <c r="F26" s="60" t="inlineStr">
        <is>
          <t>LAST</t>
        </is>
      </c>
      <c r="G26" s="74" t="n">
        <v>0.55</v>
      </c>
      <c r="H26" s="62" t="inlineStr">
        <is>
          <t>55%</t>
        </is>
      </c>
      <c r="I26" s="73" t="n"/>
      <c r="J26" s="73" t="n"/>
      <c r="K26" s="73" t="n"/>
      <c r="L26" s="73" t="n"/>
      <c r="M26" s="73" t="n"/>
      <c r="N26" s="73" t="n"/>
      <c r="O26" s="73" t="n"/>
      <c r="P26" s="73" t="n"/>
      <c r="Q26" s="73" t="n"/>
      <c r="R26" s="73" t="n"/>
      <c r="S26" s="73" t="n"/>
      <c r="T26" s="73" t="n"/>
      <c r="U26" s="59">
        <f>IF($F26="SUM",IF(COUNT($I26:$T26)=0,"",SUM($I26:$T26)),IF($F26="AVG",IFERROR(AVERAGE($I26:$T26),""),IF($F26="LAST",IFERROR(LOOKUP(2,1/($I26:$T26&lt;&gt;""),$I26:$T26),""),"")))</f>
        <v/>
      </c>
      <c r="V26" s="23">
        <f>IF($G26="","",IF($U26="","",IF($G26=0,IF($U26&lt;=0,1,0),IF($E26="↓",IFERROR($G26/$U26,0),IFERROR($U26/$G26,0)))))</f>
        <v/>
      </c>
      <c r="W26" s="17">
        <f>IF($V26="","—",IF($V26&gt;=1,"✅ محقق",IF($V26&gt;=0.85,"🟡 قريب","🔴 تحت الهدف")))</f>
        <v/>
      </c>
      <c r="X26" s="65" t="inlineStr">
        <is>
          <t>الابتكار</t>
        </is>
      </c>
      <c r="Y26" s="22" t="inlineStr">
        <is>
          <t>تطوير التصاميم والهوية</t>
        </is>
      </c>
      <c r="Z26" s="53" t="n"/>
      <c r="AA26" s="21" t="inlineStr">
        <is>
          <t>🟣 لاحق</t>
        </is>
      </c>
      <c r="AB26" s="53" t="n">
        <v>0.0278</v>
      </c>
      <c r="AC26" s="23">
        <f>IF($V26="","",$AB26*MIN($V26,1))</f>
        <v/>
      </c>
      <c r="AD26" s="74">
        <f>IF($G26="","",IF($F26="SUM",IF('لوحة الإدارة التنفيذية'!$P$2="","",$G26/12*'لوحة الإدارة التنفيذية'!$P$2),$G26))</f>
        <v/>
      </c>
      <c r="AE26" s="23">
        <f>IF($F26="SUM",IF(OR('لوحة الإدارة التنفيذية'!$P$2="",'لوحة الإدارة التنفيذية'!$P$2=0),"",IF($U26="","",$U26/'لوحة الإدارة التنفيذية'!$P$2*12)),IF($U26="","",$U26))</f>
        <v/>
      </c>
      <c r="AF26" s="74">
        <f>IF(OR($AE26="",$G26=""),"",$AE26-$G26)</f>
        <v/>
      </c>
      <c r="AG26" s="17">
        <f>IF(OR($AE26="",$G26=""),"—",IF($E26="↓",IF($AE26&lt;=$G26,"🟢 على المسار",IF($AE26&lt;=$G26*1.1,"🟡 متابعة","🔴 خطر")),IF($AE26&gt;=$G26,"🟢 على المسار",IF($AE26&gt;=$G26*0.85,"🟡 متابعة","🔴 خطر"))))</f>
        <v/>
      </c>
      <c r="AH26" s="68" t="inlineStr">
        <is>
          <t>التعلّم والنمو</t>
        </is>
      </c>
    </row>
    <row r="27" ht="26" customHeight="1">
      <c r="A27" s="17" t="n">
        <v>24</v>
      </c>
      <c r="B27" s="22" t="inlineStr">
        <is>
          <t>التوسع الإقليمي</t>
        </is>
      </c>
      <c r="C27" s="22" t="inlineStr">
        <is>
          <t>نسبة العقود التي تغطي المناطق الـ13</t>
        </is>
      </c>
      <c r="D27" s="60" t="inlineStr">
        <is>
          <t>%</t>
        </is>
      </c>
      <c r="E27" s="60" t="inlineStr">
        <is>
          <t>↑</t>
        </is>
      </c>
      <c r="F27" s="60" t="inlineStr">
        <is>
          <t>LAST</t>
        </is>
      </c>
      <c r="G27" s="74" t="n">
        <v>1</v>
      </c>
      <c r="H27" s="62" t="inlineStr">
        <is>
          <t>100%</t>
        </is>
      </c>
      <c r="I27" s="73" t="n"/>
      <c r="J27" s="73" t="n"/>
      <c r="K27" s="73" t="n"/>
      <c r="L27" s="73" t="n"/>
      <c r="M27" s="73" t="n"/>
      <c r="N27" s="73" t="n"/>
      <c r="O27" s="73" t="n"/>
      <c r="P27" s="73" t="n"/>
      <c r="Q27" s="73" t="n"/>
      <c r="R27" s="73" t="n"/>
      <c r="S27" s="73" t="n"/>
      <c r="T27" s="73" t="n"/>
      <c r="U27" s="59">
        <f>IF($F27="SUM",IF(COUNT($I27:$T27)=0,"",SUM($I27:$T27)),IF($F27="AVG",IFERROR(AVERAGE($I27:$T27),""),IF($F27="LAST",IFERROR(LOOKUP(2,1/($I27:$T27&lt;&gt;""),$I27:$T27),""),"")))</f>
        <v/>
      </c>
      <c r="V27" s="23">
        <f>IF($G27="","",IF($U27="","",IF($G27=0,IF($U27&lt;=0,1,0),IF($E27="↓",IFERROR($G27/$U27,0),IFERROR($U27/$G27,0)))))</f>
        <v/>
      </c>
      <c r="W27" s="17">
        <f>IF($V27="","—",IF($V27&gt;=1,"✅ محقق",IF($V27&gt;=0.85,"🟡 قريب","🔴 تحت الهدف")))</f>
        <v/>
      </c>
      <c r="X27" s="65" t="inlineStr">
        <is>
          <t>النمو</t>
        </is>
      </c>
      <c r="Y27" s="22" t="inlineStr">
        <is>
          <t>التوسع في المواقع</t>
        </is>
      </c>
      <c r="Z27" s="53" t="n"/>
      <c r="AA27" s="21" t="inlineStr">
        <is>
          <t>🟣 لاحق</t>
        </is>
      </c>
      <c r="AB27" s="53" t="n">
        <v>0.0278</v>
      </c>
      <c r="AC27" s="23">
        <f>IF($V27="","",$AB27*MIN($V27,1))</f>
        <v/>
      </c>
      <c r="AD27" s="74">
        <f>IF($G27="","",IF($F27="SUM",IF('لوحة الإدارة التنفيذية'!$P$2="","",$G27/12*'لوحة الإدارة التنفيذية'!$P$2),$G27))</f>
        <v/>
      </c>
      <c r="AE27" s="23">
        <f>IF($F27="SUM",IF(OR('لوحة الإدارة التنفيذية'!$P$2="",'لوحة الإدارة التنفيذية'!$P$2=0),"",IF($U27="","",$U27/'لوحة الإدارة التنفيذية'!$P$2*12)),IF($U27="","",$U27))</f>
        <v/>
      </c>
      <c r="AF27" s="74">
        <f>IF(OR($AE27="",$G27=""),"",$AE27-$G27)</f>
        <v/>
      </c>
      <c r="AG27" s="17">
        <f>IF(OR($AE27="",$G27=""),"—",IF($E27="↓",IF($AE27&lt;=$G27,"🟢 على المسار",IF($AE27&lt;=$G27*1.1,"🟡 متابعة","🔴 خطر")),IF($AE27&gt;=$G27,"🟢 على المسار",IF($AE27&gt;=$G27*0.85,"🟡 متابعة","🔴 خطر"))))</f>
        <v/>
      </c>
      <c r="AH27" s="68" t="inlineStr">
        <is>
          <t>العمليات الداخلية</t>
        </is>
      </c>
    </row>
    <row r="28" ht="26" customHeight="1">
      <c r="A28" s="17" t="n">
        <v>25</v>
      </c>
      <c r="B28" s="22" t="inlineStr">
        <is>
          <t>التوسع الإقليمي</t>
        </is>
      </c>
      <c r="C28" s="22" t="inlineStr">
        <is>
          <t>نسبة العقود في الـ12 مدينة الرئيسية</t>
        </is>
      </c>
      <c r="D28" s="60" t="inlineStr">
        <is>
          <t>%</t>
        </is>
      </c>
      <c r="E28" s="60" t="inlineStr">
        <is>
          <t>↓</t>
        </is>
      </c>
      <c r="F28" s="60" t="inlineStr">
        <is>
          <t>LAST</t>
        </is>
      </c>
      <c r="G28" s="74" t="n">
        <v>0.4</v>
      </c>
      <c r="H28" s="62" t="inlineStr">
        <is>
          <t>&lt; 40%</t>
        </is>
      </c>
      <c r="I28" s="73" t="n"/>
      <c r="J28" s="73" t="n"/>
      <c r="K28" s="73" t="n"/>
      <c r="L28" s="73" t="n"/>
      <c r="M28" s="73" t="n"/>
      <c r="N28" s="73" t="n"/>
      <c r="O28" s="73" t="n"/>
      <c r="P28" s="73" t="n"/>
      <c r="Q28" s="73" t="n"/>
      <c r="R28" s="73" t="n"/>
      <c r="S28" s="73" t="n"/>
      <c r="T28" s="73" t="n"/>
      <c r="U28" s="59">
        <f>IF($F28="SUM",IF(COUNT($I28:$T28)=0,"",SUM($I28:$T28)),IF($F28="AVG",IFERROR(AVERAGE($I28:$T28),""),IF($F28="LAST",IFERROR(LOOKUP(2,1/($I28:$T28&lt;&gt;""),$I28:$T28),""),"")))</f>
        <v/>
      </c>
      <c r="V28" s="23">
        <f>IF($G28="","",IF($U28="","",IF($G28=0,IF($U28&lt;=0,1,0),IF($E28="↓",IFERROR($G28/$U28,0),IFERROR($U28/$G28,0)))))</f>
        <v/>
      </c>
      <c r="W28" s="17">
        <f>IF($V28="","—",IF($V28&gt;=1,"✅ محقق",IF($V28&gt;=0.85,"🟡 قريب","🔴 تحت الهدف")))</f>
        <v/>
      </c>
      <c r="X28" s="65" t="inlineStr">
        <is>
          <t>النمو</t>
        </is>
      </c>
      <c r="Y28" s="22" t="inlineStr">
        <is>
          <t>التوسع في المواقع</t>
        </is>
      </c>
      <c r="Z28" s="53" t="n"/>
      <c r="AA28" s="21" t="inlineStr">
        <is>
          <t>🟣 لاحق</t>
        </is>
      </c>
      <c r="AB28" s="53" t="n">
        <v>0.0278</v>
      </c>
      <c r="AC28" s="23">
        <f>IF($V28="","",$AB28*MIN($V28,1))</f>
        <v/>
      </c>
      <c r="AD28" s="74">
        <f>IF($G28="","",IF($F28="SUM",IF('لوحة الإدارة التنفيذية'!$P$2="","",$G28/12*'لوحة الإدارة التنفيذية'!$P$2),$G28))</f>
        <v/>
      </c>
      <c r="AE28" s="23">
        <f>IF($F28="SUM",IF(OR('لوحة الإدارة التنفيذية'!$P$2="",'لوحة الإدارة التنفيذية'!$P$2=0),"",IF($U28="","",$U28/'لوحة الإدارة التنفيذية'!$P$2*12)),IF($U28="","",$U28))</f>
        <v/>
      </c>
      <c r="AF28" s="74">
        <f>IF(OR($AE28="",$G28=""),"",$AE28-$G28)</f>
        <v/>
      </c>
      <c r="AG28" s="17">
        <f>IF(OR($AE28="",$G28=""),"—",IF($E28="↓",IF($AE28&lt;=$G28,"🟢 على المسار",IF($AE28&lt;=$G28*1.1,"🟡 متابعة","🔴 خطر")),IF($AE28&gt;=$G28,"🟢 على المسار",IF($AE28&gt;=$G28*0.85,"🟡 متابعة","🔴 خطر"))))</f>
        <v/>
      </c>
      <c r="AH28" s="68" t="inlineStr">
        <is>
          <t>العمليات الداخلية</t>
        </is>
      </c>
    </row>
    <row r="29" ht="26" customHeight="1">
      <c r="A29" s="17" t="n">
        <v>26</v>
      </c>
      <c r="B29" s="22" t="inlineStr">
        <is>
          <t>التوسع الإقليمي</t>
        </is>
      </c>
      <c r="C29" s="22" t="inlineStr">
        <is>
          <t>نسبة العقود خارج المدن الرئيسية</t>
        </is>
      </c>
      <c r="D29" s="60" t="inlineStr">
        <is>
          <t>%</t>
        </is>
      </c>
      <c r="E29" s="60" t="inlineStr">
        <is>
          <t>↑</t>
        </is>
      </c>
      <c r="F29" s="60" t="inlineStr">
        <is>
          <t>LAST</t>
        </is>
      </c>
      <c r="G29" s="74" t="n">
        <v>0.6</v>
      </c>
      <c r="H29" s="62" t="inlineStr">
        <is>
          <t>&gt; 60%</t>
        </is>
      </c>
      <c r="I29" s="73" t="n"/>
      <c r="J29" s="73" t="n"/>
      <c r="K29" s="73" t="n"/>
      <c r="L29" s="73" t="n"/>
      <c r="M29" s="73" t="n"/>
      <c r="N29" s="73" t="n"/>
      <c r="O29" s="73" t="n"/>
      <c r="P29" s="73" t="n"/>
      <c r="Q29" s="73" t="n"/>
      <c r="R29" s="73" t="n"/>
      <c r="S29" s="73" t="n"/>
      <c r="T29" s="73" t="n"/>
      <c r="U29" s="59">
        <f>IF($F29="SUM",IF(COUNT($I29:$T29)=0,"",SUM($I29:$T29)),IF($F29="AVG",IFERROR(AVERAGE($I29:$T29),""),IF($F29="LAST",IFERROR(LOOKUP(2,1/($I29:$T29&lt;&gt;""),$I29:$T29),""),"")))</f>
        <v/>
      </c>
      <c r="V29" s="23">
        <f>IF($G29="","",IF($U29="","",IF($G29=0,IF($U29&lt;=0,1,0),IF($E29="↓",IFERROR($G29/$U29,0),IFERROR($U29/$G29,0)))))</f>
        <v/>
      </c>
      <c r="W29" s="17">
        <f>IF($V29="","—",IF($V29&gt;=1,"✅ محقق",IF($V29&gt;=0.85,"🟡 قريب","🔴 تحت الهدف")))</f>
        <v/>
      </c>
      <c r="X29" s="65" t="inlineStr">
        <is>
          <t>النمو</t>
        </is>
      </c>
      <c r="Y29" s="22" t="inlineStr">
        <is>
          <t>التوسع في المواقع</t>
        </is>
      </c>
      <c r="Z29" s="53" t="n"/>
      <c r="AA29" s="21" t="inlineStr">
        <is>
          <t>🟣 لاحق</t>
        </is>
      </c>
      <c r="AB29" s="53" t="n">
        <v>0.0278</v>
      </c>
      <c r="AC29" s="23">
        <f>IF($V29="","",$AB29*MIN($V29,1))</f>
        <v/>
      </c>
      <c r="AD29" s="74">
        <f>IF($G29="","",IF($F29="SUM",IF('لوحة الإدارة التنفيذية'!$P$2="","",$G29/12*'لوحة الإدارة التنفيذية'!$P$2),$G29))</f>
        <v/>
      </c>
      <c r="AE29" s="23">
        <f>IF($F29="SUM",IF(OR('لوحة الإدارة التنفيذية'!$P$2="",'لوحة الإدارة التنفيذية'!$P$2=0),"",IF($U29="","",$U29/'لوحة الإدارة التنفيذية'!$P$2*12)),IF($U29="","",$U29))</f>
        <v/>
      </c>
      <c r="AF29" s="74">
        <f>IF(OR($AE29="",$G29=""),"",$AE29-$G29)</f>
        <v/>
      </c>
      <c r="AG29" s="17">
        <f>IF(OR($AE29="",$G29=""),"—",IF($E29="↓",IF($AE29&lt;=$G29,"🟢 على المسار",IF($AE29&lt;=$G29*1.1,"🟡 متابعة","🔴 خطر")),IF($AE29&gt;=$G29,"🟢 على المسار",IF($AE29&gt;=$G29*0.85,"🟡 متابعة","🔴 خطر"))))</f>
        <v/>
      </c>
      <c r="AH29" s="68" t="inlineStr">
        <is>
          <t>العمليات الداخلية</t>
        </is>
      </c>
    </row>
    <row r="30" ht="26" customHeight="1">
      <c r="A30" s="17" t="n">
        <v>27</v>
      </c>
      <c r="B30" s="22" t="inlineStr">
        <is>
          <t>التوسع الإقليمي</t>
        </is>
      </c>
      <c r="C30" s="22" t="inlineStr">
        <is>
          <t>نسبة العقود على الطرق الإقليمية</t>
        </is>
      </c>
      <c r="D30" s="60" t="inlineStr">
        <is>
          <t>%</t>
        </is>
      </c>
      <c r="E30" s="60" t="inlineStr">
        <is>
          <t>↑</t>
        </is>
      </c>
      <c r="F30" s="60" t="inlineStr">
        <is>
          <t>LAST</t>
        </is>
      </c>
      <c r="G30" s="74" t="n">
        <v>0.25</v>
      </c>
      <c r="H30" s="62" t="inlineStr">
        <is>
          <t>&gt; 25%</t>
        </is>
      </c>
      <c r="I30" s="73" t="n"/>
      <c r="J30" s="73" t="n"/>
      <c r="K30" s="73" t="n"/>
      <c r="L30" s="73" t="n"/>
      <c r="M30" s="73" t="n"/>
      <c r="N30" s="73" t="n"/>
      <c r="O30" s="73" t="n"/>
      <c r="P30" s="73" t="n"/>
      <c r="Q30" s="73" t="n"/>
      <c r="R30" s="73" t="n"/>
      <c r="S30" s="73" t="n"/>
      <c r="T30" s="73" t="n"/>
      <c r="U30" s="59">
        <f>IF($F30="SUM",IF(COUNT($I30:$T30)=0,"",SUM($I30:$T30)),IF($F30="AVG",IFERROR(AVERAGE($I30:$T30),""),IF($F30="LAST",IFERROR(LOOKUP(2,1/($I30:$T30&lt;&gt;""),$I30:$T30),""),"")))</f>
        <v/>
      </c>
      <c r="V30" s="23">
        <f>IF($G30="","",IF($U30="","",IF($G30=0,IF($U30&lt;=0,1,0),IF($E30="↓",IFERROR($G30/$U30,0),IFERROR($U30/$G30,0)))))</f>
        <v/>
      </c>
      <c r="W30" s="17">
        <f>IF($V30="","—",IF($V30&gt;=1,"✅ محقق",IF($V30&gt;=0.85,"🟡 قريب","🔴 تحت الهدف")))</f>
        <v/>
      </c>
      <c r="X30" s="65" t="inlineStr">
        <is>
          <t>النمو</t>
        </is>
      </c>
      <c r="Y30" s="22" t="inlineStr">
        <is>
          <t>التوسع في المواقع</t>
        </is>
      </c>
      <c r="Z30" s="53" t="n"/>
      <c r="AA30" s="21" t="inlineStr">
        <is>
          <t>🟣 لاحق</t>
        </is>
      </c>
      <c r="AB30" s="53" t="n">
        <v>0.0278</v>
      </c>
      <c r="AC30" s="23">
        <f>IF($V30="","",$AB30*MIN($V30,1))</f>
        <v/>
      </c>
      <c r="AD30" s="74">
        <f>IF($G30="","",IF($F30="SUM",IF('لوحة الإدارة التنفيذية'!$P$2="","",$G30/12*'لوحة الإدارة التنفيذية'!$P$2),$G30))</f>
        <v/>
      </c>
      <c r="AE30" s="23">
        <f>IF($F30="SUM",IF(OR('لوحة الإدارة التنفيذية'!$P$2="",'لوحة الإدارة التنفيذية'!$P$2=0),"",IF($U30="","",$U30/'لوحة الإدارة التنفيذية'!$P$2*12)),IF($U30="","",$U30))</f>
        <v/>
      </c>
      <c r="AF30" s="74">
        <f>IF(OR($AE30="",$G30=""),"",$AE30-$G30)</f>
        <v/>
      </c>
      <c r="AG30" s="17">
        <f>IF(OR($AE30="",$G30=""),"—",IF($E30="↓",IF($AE30&lt;=$G30,"🟢 على المسار",IF($AE30&lt;=$G30*1.1,"🟡 متابعة","🔴 خطر")),IF($AE30&gt;=$G30,"🟢 على المسار",IF($AE30&gt;=$G30*0.85,"🟡 متابعة","🔴 خطر"))))</f>
        <v/>
      </c>
      <c r="AH30" s="68" t="inlineStr">
        <is>
          <t>العمليات الداخلية</t>
        </is>
      </c>
    </row>
    <row r="31" ht="26" customHeight="1">
      <c r="A31" s="17" t="n">
        <v>28</v>
      </c>
      <c r="B31" s="22" t="inlineStr">
        <is>
          <t>تجربة العملاء والشركاء</t>
        </is>
      </c>
      <c r="C31" s="22" t="inlineStr">
        <is>
          <t>متوسط تقييم المحطات على خرائط قوقل</t>
        </is>
      </c>
      <c r="D31" s="60" t="inlineStr">
        <is>
          <t>نجمة/5</t>
        </is>
      </c>
      <c r="E31" s="60" t="inlineStr">
        <is>
          <t>↑</t>
        </is>
      </c>
      <c r="F31" s="60" t="inlineStr">
        <is>
          <t>AVG</t>
        </is>
      </c>
      <c r="G31" s="75" t="n">
        <v>4.7</v>
      </c>
      <c r="H31" s="62" t="inlineStr">
        <is>
          <t>≥ 4.7 نجمة</t>
        </is>
      </c>
      <c r="I31" s="76" t="n"/>
      <c r="J31" s="76" t="n"/>
      <c r="K31" s="76" t="n"/>
      <c r="L31" s="76" t="n"/>
      <c r="M31" s="76" t="n"/>
      <c r="N31" s="76" t="n"/>
      <c r="O31" s="76" t="n"/>
      <c r="P31" s="76" t="n"/>
      <c r="Q31" s="76" t="n"/>
      <c r="R31" s="76" t="n"/>
      <c r="S31" s="76" t="n"/>
      <c r="T31" s="76" t="n"/>
      <c r="U31" s="77">
        <f>IF($F31="SUM",IF(COUNT($I31:$T31)=0,"",SUM($I31:$T31)),IF($F31="AVG",IFERROR(AVERAGE($I31:$T31),""),IF($F31="LAST",IFERROR(LOOKUP(2,1/($I31:$T31&lt;&gt;""),$I31:$T31),""),"")))</f>
        <v/>
      </c>
      <c r="V31" s="23">
        <f>IF($G31="","",IF($U31="","",IF($G31=0,IF($U31&lt;=0,1,0),IF($E31="↓",IFERROR($G31/$U31,0),IFERROR($U31/$G31,0)))))</f>
        <v/>
      </c>
      <c r="W31" s="17">
        <f>IF($V31="","—",IF($V31&gt;=1,"✅ محقق",IF($V31&gt;=0.85,"🟡 قريب","🔴 تحت الهدف")))</f>
        <v/>
      </c>
      <c r="X31" s="65" t="inlineStr">
        <is>
          <t>الاستدامة</t>
        </is>
      </c>
      <c r="Y31" s="22" t="inlineStr">
        <is>
          <t>تعزيز تجربة العملاء</t>
        </is>
      </c>
      <c r="Z31" s="78" t="n"/>
      <c r="AA31" s="21" t="inlineStr">
        <is>
          <t>🟣 لاحق</t>
        </is>
      </c>
      <c r="AB31" s="53" t="n">
        <v>0.0278</v>
      </c>
      <c r="AC31" s="23">
        <f>IF($V31="","",$AB31*MIN($V31,1))</f>
        <v/>
      </c>
      <c r="AD31" s="75">
        <f>IF($G31="","",IF($F31="SUM",IF('لوحة الإدارة التنفيذية'!$P$2="","",$G31/12*'لوحة الإدارة التنفيذية'!$P$2),$G31))</f>
        <v/>
      </c>
      <c r="AE31" s="79">
        <f>IF($F31="SUM",IF(OR('لوحة الإدارة التنفيذية'!$P$2="",'لوحة الإدارة التنفيذية'!$P$2=0),"",IF($U31="","",$U31/'لوحة الإدارة التنفيذية'!$P$2*12)),IF($U31="","",$U31))</f>
        <v/>
      </c>
      <c r="AF31" s="75">
        <f>IF(OR($AE31="",$G31=""),"",$AE31-$G31)</f>
        <v/>
      </c>
      <c r="AG31" s="17">
        <f>IF(OR($AE31="",$G31=""),"—",IF($E31="↓",IF($AE31&lt;=$G31,"🟢 على المسار",IF($AE31&lt;=$G31*1.1,"🟡 متابعة","🔴 خطر")),IF($AE31&gt;=$G31,"🟢 على المسار",IF($AE31&gt;=$G31*0.85,"🟡 متابعة","🔴 خطر"))))</f>
        <v/>
      </c>
      <c r="AH31" s="68" t="inlineStr">
        <is>
          <t>العملاء</t>
        </is>
      </c>
    </row>
    <row r="32" ht="26" customHeight="1">
      <c r="A32" s="17" t="n">
        <v>29</v>
      </c>
      <c r="B32" s="22" t="inlineStr">
        <is>
          <t>تجربة العملاء والشركاء</t>
        </is>
      </c>
      <c r="C32" s="22" t="inlineStr">
        <is>
          <t>معدل رضا شركاء الامتياز (CSAT)</t>
        </is>
      </c>
      <c r="D32" s="60" t="inlineStr">
        <is>
          <t>%</t>
        </is>
      </c>
      <c r="E32" s="60" t="inlineStr">
        <is>
          <t>↑</t>
        </is>
      </c>
      <c r="F32" s="60" t="inlineStr">
        <is>
          <t>AVG</t>
        </is>
      </c>
      <c r="G32" s="74" t="n">
        <v>0.9</v>
      </c>
      <c r="H32" s="62" t="inlineStr">
        <is>
          <t>90%+</t>
        </is>
      </c>
      <c r="I32" s="73" t="n"/>
      <c r="J32" s="73" t="n"/>
      <c r="K32" s="73" t="n"/>
      <c r="L32" s="73" t="n"/>
      <c r="M32" s="73" t="n"/>
      <c r="N32" s="73" t="n"/>
      <c r="O32" s="73" t="n"/>
      <c r="P32" s="73" t="n"/>
      <c r="Q32" s="73" t="n"/>
      <c r="R32" s="73" t="n"/>
      <c r="S32" s="73" t="n"/>
      <c r="T32" s="73" t="n"/>
      <c r="U32" s="59">
        <f>IF($F32="SUM",IF(COUNT($I32:$T32)=0,"",SUM($I32:$T32)),IF($F32="AVG",IFERROR(AVERAGE($I32:$T32),""),IF($F32="LAST",IFERROR(LOOKUP(2,1/($I32:$T32&lt;&gt;""),$I32:$T32),""),"")))</f>
        <v/>
      </c>
      <c r="V32" s="23">
        <f>IF($G32="","",IF($U32="","",IF($G32=0,IF($U32&lt;=0,1,0),IF($E32="↓",IFERROR($G32/$U32,0),IFERROR($U32/$G32,0)))))</f>
        <v/>
      </c>
      <c r="W32" s="17">
        <f>IF($V32="","—",IF($V32&gt;=1,"✅ محقق",IF($V32&gt;=0.85,"🟡 قريب","🔴 تحت الهدف")))</f>
        <v/>
      </c>
      <c r="X32" s="65" t="inlineStr">
        <is>
          <t>الاستدامة</t>
        </is>
      </c>
      <c r="Y32" s="22" t="inlineStr">
        <is>
          <t>تعزيز تجربة العملاء</t>
        </is>
      </c>
      <c r="Z32" s="53" t="n"/>
      <c r="AA32" s="21" t="inlineStr">
        <is>
          <t>🟣 لاحق</t>
        </is>
      </c>
      <c r="AB32" s="53" t="n">
        <v>0.0278</v>
      </c>
      <c r="AC32" s="23">
        <f>IF($V32="","",$AB32*MIN($V32,1))</f>
        <v/>
      </c>
      <c r="AD32" s="74">
        <f>IF($G32="","",IF($F32="SUM",IF('لوحة الإدارة التنفيذية'!$P$2="","",$G32/12*'لوحة الإدارة التنفيذية'!$P$2),$G32))</f>
        <v/>
      </c>
      <c r="AE32" s="23">
        <f>IF($F32="SUM",IF(OR('لوحة الإدارة التنفيذية'!$P$2="",'لوحة الإدارة التنفيذية'!$P$2=0),"",IF($U32="","",$U32/'لوحة الإدارة التنفيذية'!$P$2*12)),IF($U32="","",$U32))</f>
        <v/>
      </c>
      <c r="AF32" s="74">
        <f>IF(OR($AE32="",$G32=""),"",$AE32-$G32)</f>
        <v/>
      </c>
      <c r="AG32" s="17">
        <f>IF(OR($AE32="",$G32=""),"—",IF($E32="↓",IF($AE32&lt;=$G32,"🟢 على المسار",IF($AE32&lt;=$G32*1.1,"🟡 متابعة","🔴 خطر")),IF($AE32&gt;=$G32,"🟢 على المسار",IF($AE32&gt;=$G32*0.85,"🟡 متابعة","🔴 خطر"))))</f>
        <v/>
      </c>
      <c r="AH32" s="68" t="inlineStr">
        <is>
          <t>العملاء</t>
        </is>
      </c>
    </row>
    <row r="33" ht="26" customHeight="1">
      <c r="A33" s="17" t="n">
        <v>30</v>
      </c>
      <c r="B33" s="22" t="inlineStr">
        <is>
          <t>تجربة العملاء والشركاء</t>
        </is>
      </c>
      <c r="C33" s="22" t="inlineStr">
        <is>
          <t>نسبة حل الشكاوى خلال المدة المحددة</t>
        </is>
      </c>
      <c r="D33" s="60" t="inlineStr">
        <is>
          <t>%</t>
        </is>
      </c>
      <c r="E33" s="60" t="inlineStr">
        <is>
          <t>↑</t>
        </is>
      </c>
      <c r="F33" s="60" t="inlineStr">
        <is>
          <t>AVG</t>
        </is>
      </c>
      <c r="G33" s="74" t="n">
        <v>0.95</v>
      </c>
      <c r="H33" s="62" t="inlineStr">
        <is>
          <t>95%+</t>
        </is>
      </c>
      <c r="I33" s="73" t="n"/>
      <c r="J33" s="73" t="n"/>
      <c r="K33" s="73" t="n"/>
      <c r="L33" s="73" t="n"/>
      <c r="M33" s="73" t="n"/>
      <c r="N33" s="73" t="n"/>
      <c r="O33" s="73" t="n"/>
      <c r="P33" s="73" t="n"/>
      <c r="Q33" s="73" t="n"/>
      <c r="R33" s="73" t="n"/>
      <c r="S33" s="73" t="n"/>
      <c r="T33" s="73" t="n"/>
      <c r="U33" s="59">
        <f>IF($F33="SUM",IF(COUNT($I33:$T33)=0,"",SUM($I33:$T33)),IF($F33="AVG",IFERROR(AVERAGE($I33:$T33),""),IF($F33="LAST",IFERROR(LOOKUP(2,1/($I33:$T33&lt;&gt;""),$I33:$T33),""),"")))</f>
        <v/>
      </c>
      <c r="V33" s="23">
        <f>IF($G33="","",IF($U33="","",IF($G33=0,IF($U33&lt;=0,1,0),IF($E33="↓",IFERROR($G33/$U33,0),IFERROR($U33/$G33,0)))))</f>
        <v/>
      </c>
      <c r="W33" s="17">
        <f>IF($V33="","—",IF($V33&gt;=1,"✅ محقق",IF($V33&gt;=0.85,"🟡 قريب","🔴 تحت الهدف")))</f>
        <v/>
      </c>
      <c r="X33" s="65" t="inlineStr">
        <is>
          <t>الاستدامة</t>
        </is>
      </c>
      <c r="Y33" s="22" t="inlineStr">
        <is>
          <t>تعزيز تجربة العملاء</t>
        </is>
      </c>
      <c r="Z33" s="53" t="n"/>
      <c r="AA33" s="21" t="inlineStr">
        <is>
          <t>🟣 لاحق</t>
        </is>
      </c>
      <c r="AB33" s="53" t="n">
        <v>0.0278</v>
      </c>
      <c r="AC33" s="23">
        <f>IF($V33="","",$AB33*MIN($V33,1))</f>
        <v/>
      </c>
      <c r="AD33" s="74">
        <f>IF($G33="","",IF($F33="SUM",IF('لوحة الإدارة التنفيذية'!$P$2="","",$G33/12*'لوحة الإدارة التنفيذية'!$P$2),$G33))</f>
        <v/>
      </c>
      <c r="AE33" s="23">
        <f>IF($F33="SUM",IF(OR('لوحة الإدارة التنفيذية'!$P$2="",'لوحة الإدارة التنفيذية'!$P$2=0),"",IF($U33="","",$U33/'لوحة الإدارة التنفيذية'!$P$2*12)),IF($U33="","",$U33))</f>
        <v/>
      </c>
      <c r="AF33" s="74">
        <f>IF(OR($AE33="",$G33=""),"",$AE33-$G33)</f>
        <v/>
      </c>
      <c r="AG33" s="17">
        <f>IF(OR($AE33="",$G33=""),"—",IF($E33="↓",IF($AE33&lt;=$G33,"🟢 على المسار",IF($AE33&lt;=$G33*1.1,"🟡 متابعة","🔴 خطر")),IF($AE33&gt;=$G33,"🟢 على المسار",IF($AE33&gt;=$G33*0.85,"🟡 متابعة","🔴 خطر"))))</f>
        <v/>
      </c>
      <c r="AH33" s="68" t="inlineStr">
        <is>
          <t>العملاء</t>
        </is>
      </c>
    </row>
    <row r="34" ht="26" customHeight="1">
      <c r="A34" s="17" t="n">
        <v>31</v>
      </c>
      <c r="B34" s="22" t="inlineStr">
        <is>
          <t>تجربة العملاء والشركاء</t>
        </is>
      </c>
      <c r="C34" s="22" t="inlineStr">
        <is>
          <t>نسبة انخفاض الشكاوى التشغيلية والإدارية</t>
        </is>
      </c>
      <c r="D34" s="60" t="inlineStr">
        <is>
          <t>%</t>
        </is>
      </c>
      <c r="E34" s="60" t="inlineStr">
        <is>
          <t>↑</t>
        </is>
      </c>
      <c r="F34" s="60" t="inlineStr">
        <is>
          <t>AVG</t>
        </is>
      </c>
      <c r="G34" s="60" t="inlineStr"/>
      <c r="H34" s="62" t="inlineStr">
        <is>
          <t>-30%</t>
        </is>
      </c>
      <c r="I34" s="73" t="n"/>
      <c r="J34" s="73" t="n"/>
      <c r="K34" s="73" t="n"/>
      <c r="L34" s="73" t="n"/>
      <c r="M34" s="73" t="n"/>
      <c r="N34" s="73" t="n"/>
      <c r="O34" s="73" t="n"/>
      <c r="P34" s="73" t="n"/>
      <c r="Q34" s="73" t="n"/>
      <c r="R34" s="73" t="n"/>
      <c r="S34" s="73" t="n"/>
      <c r="T34" s="73" t="n"/>
      <c r="U34" s="59">
        <f>IF($F34="SUM",IF(COUNT($I34:$T34)=0,"",SUM($I34:$T34)),IF($F34="AVG",IFERROR(AVERAGE($I34:$T34),""),IF($F34="LAST",IFERROR(LOOKUP(2,1/($I34:$T34&lt;&gt;""),$I34:$T34),""),"")))</f>
        <v/>
      </c>
      <c r="V34" s="23">
        <f>IF($G34="","",IF($U34="","",IF($G34=0,IF($U34&lt;=0,1,0),IF($E34="↓",IFERROR($G34/$U34,0),IFERROR($U34/$G34,0)))))</f>
        <v/>
      </c>
      <c r="W34" s="17">
        <f>IF($V34="","—",IF($V34&gt;=1,"✅ محقق",IF($V34&gt;=0.85,"🟡 قريب","🔴 تحت الهدف")))</f>
        <v/>
      </c>
      <c r="X34" s="65" t="inlineStr">
        <is>
          <t>الاستدامة</t>
        </is>
      </c>
      <c r="Y34" s="22" t="inlineStr">
        <is>
          <t>تعزيز تجربة العملاء</t>
        </is>
      </c>
      <c r="Z34" s="53" t="n"/>
      <c r="AA34" s="21" t="inlineStr">
        <is>
          <t>🟣 لاحق</t>
        </is>
      </c>
      <c r="AB34" s="53" t="n">
        <v>0.0278</v>
      </c>
      <c r="AC34" s="23">
        <f>IF($V34="","",$AB34*MIN($V34,1))</f>
        <v/>
      </c>
      <c r="AD34" s="74">
        <f>IF($G34="","",IF($F34="SUM",IF('لوحة الإدارة التنفيذية'!$P$2="","",$G34/12*'لوحة الإدارة التنفيذية'!$P$2),$G34))</f>
        <v/>
      </c>
      <c r="AE34" s="23">
        <f>IF($F34="SUM",IF(OR('لوحة الإدارة التنفيذية'!$P$2="",'لوحة الإدارة التنفيذية'!$P$2=0),"",IF($U34="","",$U34/'لوحة الإدارة التنفيذية'!$P$2*12)),IF($U34="","",$U34))</f>
        <v/>
      </c>
      <c r="AF34" s="74">
        <f>IF(OR($AE34="",$G34=""),"",$AE34-$G34)</f>
        <v/>
      </c>
      <c r="AG34" s="17">
        <f>IF(OR($AE34="",$G34=""),"—",IF($E34="↓",IF($AE34&lt;=$G34,"🟢 على المسار",IF($AE34&lt;=$G34*1.1,"🟡 متابعة","🔴 خطر")),IF($AE34&gt;=$G34,"🟢 على المسار",IF($AE34&gt;=$G34*0.85,"🟡 متابعة","🔴 خطر"))))</f>
        <v/>
      </c>
      <c r="AH34" s="68" t="inlineStr">
        <is>
          <t>العملاء</t>
        </is>
      </c>
    </row>
    <row r="35" ht="26" customHeight="1">
      <c r="A35" s="17" t="n">
        <v>32</v>
      </c>
      <c r="B35" s="22" t="inlineStr">
        <is>
          <t>استدامة الشراكة والامتثال</t>
        </is>
      </c>
      <c r="C35" s="22" t="inlineStr">
        <is>
          <t>نسبة استدامة أصحاب الامتياز (Retention)</t>
        </is>
      </c>
      <c r="D35" s="60" t="inlineStr">
        <is>
          <t>%</t>
        </is>
      </c>
      <c r="E35" s="60" t="inlineStr">
        <is>
          <t>↑</t>
        </is>
      </c>
      <c r="F35" s="60" t="inlineStr">
        <is>
          <t>LAST</t>
        </is>
      </c>
      <c r="G35" s="74" t="n">
        <v>0.9</v>
      </c>
      <c r="H35" s="62" t="inlineStr">
        <is>
          <t>90%</t>
        </is>
      </c>
      <c r="I35" s="73" t="n"/>
      <c r="J35" s="73" t="n"/>
      <c r="K35" s="73" t="n"/>
      <c r="L35" s="73" t="n"/>
      <c r="M35" s="73" t="n"/>
      <c r="N35" s="73" t="n"/>
      <c r="O35" s="73" t="n"/>
      <c r="P35" s="73" t="n"/>
      <c r="Q35" s="73" t="n"/>
      <c r="R35" s="73" t="n"/>
      <c r="S35" s="73" t="n"/>
      <c r="T35" s="73" t="n"/>
      <c r="U35" s="59">
        <f>IF($F35="SUM",IF(COUNT($I35:$T35)=0,"",SUM($I35:$T35)),IF($F35="AVG",IFERROR(AVERAGE($I35:$T35),""),IF($F35="LAST",IFERROR(LOOKUP(2,1/($I35:$T35&lt;&gt;""),$I35:$T35),""),"")))</f>
        <v/>
      </c>
      <c r="V35" s="23">
        <f>IF($G35="","",IF($U35="","",IF($G35=0,IF($U35&lt;=0,1,0),IF($E35="↓",IFERROR($G35/$U35,0),IFERROR($U35/$G35,0)))))</f>
        <v/>
      </c>
      <c r="W35" s="17">
        <f>IF($V35="","—",IF($V35&gt;=1,"✅ محقق",IF($V35&gt;=0.85,"🟡 قريب","🔴 تحت الهدف")))</f>
        <v/>
      </c>
      <c r="X35" s="65" t="inlineStr">
        <is>
          <t>الاستدامة</t>
        </is>
      </c>
      <c r="Y35" s="22" t="inlineStr">
        <is>
          <t>تعزيز تجربة العملاء</t>
        </is>
      </c>
      <c r="Z35" s="53" t="n"/>
      <c r="AA35" s="21" t="inlineStr">
        <is>
          <t>🟣 لاحق</t>
        </is>
      </c>
      <c r="AB35" s="53" t="n">
        <v>0.0278</v>
      </c>
      <c r="AC35" s="23">
        <f>IF($V35="","",$AB35*MIN($V35,1))</f>
        <v/>
      </c>
      <c r="AD35" s="74">
        <f>IF($G35="","",IF($F35="SUM",IF('لوحة الإدارة التنفيذية'!$P$2="","",$G35/12*'لوحة الإدارة التنفيذية'!$P$2),$G35))</f>
        <v/>
      </c>
      <c r="AE35" s="23">
        <f>IF($F35="SUM",IF(OR('لوحة الإدارة التنفيذية'!$P$2="",'لوحة الإدارة التنفيذية'!$P$2=0),"",IF($U35="","",$U35/'لوحة الإدارة التنفيذية'!$P$2*12)),IF($U35="","",$U35))</f>
        <v/>
      </c>
      <c r="AF35" s="74">
        <f>IF(OR($AE35="",$G35=""),"",$AE35-$G35)</f>
        <v/>
      </c>
      <c r="AG35" s="17">
        <f>IF(OR($AE35="",$G35=""),"—",IF($E35="↓",IF($AE35&lt;=$G35,"🟢 على المسار",IF($AE35&lt;=$G35*1.1,"🟡 متابعة","🔴 خطر")),IF($AE35&gt;=$G35,"🟢 على المسار",IF($AE35&gt;=$G35*0.85,"🟡 متابعة","🔴 خطر"))))</f>
        <v/>
      </c>
      <c r="AH35" s="68" t="inlineStr">
        <is>
          <t>العمليات الداخلية</t>
        </is>
      </c>
    </row>
    <row r="36" ht="26" customHeight="1">
      <c r="A36" s="17" t="n">
        <v>33</v>
      </c>
      <c r="B36" s="22" t="inlineStr">
        <is>
          <t>استدامة الشراكة والامتثال</t>
        </is>
      </c>
      <c r="C36" s="22" t="inlineStr">
        <is>
          <t>نسبة زيادة عدد أصحاب الامتياز</t>
        </is>
      </c>
      <c r="D36" s="60" t="inlineStr">
        <is>
          <t>%</t>
        </is>
      </c>
      <c r="E36" s="60" t="inlineStr">
        <is>
          <t>↑</t>
        </is>
      </c>
      <c r="F36" s="60" t="inlineStr">
        <is>
          <t>LAST</t>
        </is>
      </c>
      <c r="G36" s="74" t="n">
        <v>1</v>
      </c>
      <c r="H36" s="62" t="inlineStr">
        <is>
          <t>100% نمو</t>
        </is>
      </c>
      <c r="I36" s="73" t="n"/>
      <c r="J36" s="73" t="n"/>
      <c r="K36" s="73" t="n"/>
      <c r="L36" s="73" t="n"/>
      <c r="M36" s="73" t="n"/>
      <c r="N36" s="73" t="n"/>
      <c r="O36" s="73" t="n"/>
      <c r="P36" s="73" t="n"/>
      <c r="Q36" s="73" t="n"/>
      <c r="R36" s="73" t="n"/>
      <c r="S36" s="73" t="n"/>
      <c r="T36" s="73" t="n"/>
      <c r="U36" s="59">
        <f>IF($F36="SUM",IF(COUNT($I36:$T36)=0,"",SUM($I36:$T36)),IF($F36="AVG",IFERROR(AVERAGE($I36:$T36),""),IF($F36="LAST",IFERROR(LOOKUP(2,1/($I36:$T36&lt;&gt;""),$I36:$T36),""),"")))</f>
        <v/>
      </c>
      <c r="V36" s="23">
        <f>IF($G36="","",IF($U36="","",IF($G36=0,IF($U36&lt;=0,1,0),IF($E36="↓",IFERROR($G36/$U36,0),IFERROR($U36/$G36,0)))))</f>
        <v/>
      </c>
      <c r="W36" s="17">
        <f>IF($V36="","—",IF($V36&gt;=1,"✅ محقق",IF($V36&gt;=0.85,"🟡 قريب","🔴 تحت الهدف")))</f>
        <v/>
      </c>
      <c r="X36" s="65" t="inlineStr">
        <is>
          <t>الاستدامة</t>
        </is>
      </c>
      <c r="Y36" s="22" t="inlineStr">
        <is>
          <t>تعزيز تجربة العملاء</t>
        </is>
      </c>
      <c r="Z36" s="53" t="n"/>
      <c r="AA36" s="21" t="inlineStr">
        <is>
          <t>🔵 قائد</t>
        </is>
      </c>
      <c r="AB36" s="53" t="n">
        <v>0.0278</v>
      </c>
      <c r="AC36" s="23">
        <f>IF($V36="","",$AB36*MIN($V36,1))</f>
        <v/>
      </c>
      <c r="AD36" s="74">
        <f>IF($G36="","",IF($F36="SUM",IF('لوحة الإدارة التنفيذية'!$P$2="","",$G36/12*'لوحة الإدارة التنفيذية'!$P$2),$G36))</f>
        <v/>
      </c>
      <c r="AE36" s="23">
        <f>IF($F36="SUM",IF(OR('لوحة الإدارة التنفيذية'!$P$2="",'لوحة الإدارة التنفيذية'!$P$2=0),"",IF($U36="","",$U36/'لوحة الإدارة التنفيذية'!$P$2*12)),IF($U36="","",$U36))</f>
        <v/>
      </c>
      <c r="AF36" s="74">
        <f>IF(OR($AE36="",$G36=""),"",$AE36-$G36)</f>
        <v/>
      </c>
      <c r="AG36" s="17">
        <f>IF(OR($AE36="",$G36=""),"—",IF($E36="↓",IF($AE36&lt;=$G36,"🟢 على المسار",IF($AE36&lt;=$G36*1.1,"🟡 متابعة","🔴 خطر")),IF($AE36&gt;=$G36,"🟢 على المسار",IF($AE36&gt;=$G36*0.85,"🟡 متابعة","🔴 خطر"))))</f>
        <v/>
      </c>
      <c r="AH36" s="68" t="inlineStr">
        <is>
          <t>العمليات الداخلية</t>
        </is>
      </c>
    </row>
    <row r="37" ht="26" customHeight="1">
      <c r="A37" s="17" t="n">
        <v>34</v>
      </c>
      <c r="B37" s="22" t="inlineStr">
        <is>
          <t>استدامة الشراكة والامتثال</t>
        </is>
      </c>
      <c r="C37" s="22" t="inlineStr">
        <is>
          <t>نسبة اكتمال المستندات النظامية قبل التوقيع</t>
        </is>
      </c>
      <c r="D37" s="60" t="inlineStr">
        <is>
          <t>%</t>
        </is>
      </c>
      <c r="E37" s="60" t="inlineStr">
        <is>
          <t>↑</t>
        </is>
      </c>
      <c r="F37" s="60" t="inlineStr">
        <is>
          <t>AVG</t>
        </is>
      </c>
      <c r="G37" s="74" t="n">
        <v>1</v>
      </c>
      <c r="H37" s="62" t="inlineStr">
        <is>
          <t>100%</t>
        </is>
      </c>
      <c r="I37" s="73" t="n"/>
      <c r="J37" s="73" t="n"/>
      <c r="K37" s="73" t="n"/>
      <c r="L37" s="73" t="n"/>
      <c r="M37" s="73" t="n"/>
      <c r="N37" s="73" t="n"/>
      <c r="O37" s="73" t="n"/>
      <c r="P37" s="73" t="n"/>
      <c r="Q37" s="73" t="n"/>
      <c r="R37" s="73" t="n"/>
      <c r="S37" s="73" t="n"/>
      <c r="T37" s="73" t="n"/>
      <c r="U37" s="59">
        <f>IF($F37="SUM",IF(COUNT($I37:$T37)=0,"",SUM($I37:$T37)),IF($F37="AVG",IFERROR(AVERAGE($I37:$T37),""),IF($F37="LAST",IFERROR(LOOKUP(2,1/($I37:$T37&lt;&gt;""),$I37:$T37),""),"")))</f>
        <v/>
      </c>
      <c r="V37" s="23">
        <f>IF($G37="","",IF($U37="","",IF($G37=0,IF($U37&lt;=0,1,0),IF($E37="↓",IFERROR($G37/$U37,0),IFERROR($U37/$G37,0)))))</f>
        <v/>
      </c>
      <c r="W37" s="17">
        <f>IF($V37="","—",IF($V37&gt;=1,"✅ محقق",IF($V37&gt;=0.85,"🟡 قريب","🔴 تحت الهدف")))</f>
        <v/>
      </c>
      <c r="X37" s="65" t="inlineStr">
        <is>
          <t>الاستدامة</t>
        </is>
      </c>
      <c r="Y37" s="22" t="inlineStr">
        <is>
          <t>جودة التشغيل</t>
        </is>
      </c>
      <c r="Z37" s="53" t="n"/>
      <c r="AA37" s="21" t="inlineStr">
        <is>
          <t>🟣 لاحق</t>
        </is>
      </c>
      <c r="AB37" s="53" t="n">
        <v>0.0278</v>
      </c>
      <c r="AC37" s="23">
        <f>IF($V37="","",$AB37*MIN($V37,1))</f>
        <v/>
      </c>
      <c r="AD37" s="74">
        <f>IF($G37="","",IF($F37="SUM",IF('لوحة الإدارة التنفيذية'!$P$2="","",$G37/12*'لوحة الإدارة التنفيذية'!$P$2),$G37))</f>
        <v/>
      </c>
      <c r="AE37" s="23">
        <f>IF($F37="SUM",IF(OR('لوحة الإدارة التنفيذية'!$P$2="",'لوحة الإدارة التنفيذية'!$P$2=0),"",IF($U37="","",$U37/'لوحة الإدارة التنفيذية'!$P$2*12)),IF($U37="","",$U37))</f>
        <v/>
      </c>
      <c r="AF37" s="74">
        <f>IF(OR($AE37="",$G37=""),"",$AE37-$G37)</f>
        <v/>
      </c>
      <c r="AG37" s="17">
        <f>IF(OR($AE37="",$G37=""),"—",IF($E37="↓",IF($AE37&lt;=$G37,"🟢 على المسار",IF($AE37&lt;=$G37*1.1,"🟡 متابعة","🔴 خطر")),IF($AE37&gt;=$G37,"🟢 على المسار",IF($AE37&gt;=$G37*0.85,"🟡 متابعة","🔴 خطر"))))</f>
        <v/>
      </c>
      <c r="AH37" s="68" t="inlineStr">
        <is>
          <t>العمليات الداخلية</t>
        </is>
      </c>
    </row>
    <row r="38" ht="26" customHeight="1">
      <c r="A38" s="17" t="n">
        <v>35</v>
      </c>
      <c r="B38" s="22" t="inlineStr">
        <is>
          <t>استدامة الشراكة والامتثال</t>
        </is>
      </c>
      <c r="C38" s="22" t="inlineStr">
        <is>
          <t>متوسط مدة إغلاق عقد الامتياز</t>
        </is>
      </c>
      <c r="D38" s="60" t="inlineStr">
        <is>
          <t>أسبوع</t>
        </is>
      </c>
      <c r="E38" s="60" t="inlineStr">
        <is>
          <t>↓</t>
        </is>
      </c>
      <c r="F38" s="60" t="inlineStr">
        <is>
          <t>AVG</t>
        </is>
      </c>
      <c r="G38" s="75" t="n">
        <v>1</v>
      </c>
      <c r="H38" s="62" t="inlineStr">
        <is>
          <t>≤ أسبوع</t>
        </is>
      </c>
      <c r="I38" s="76" t="n"/>
      <c r="J38" s="76" t="n"/>
      <c r="K38" s="76" t="n"/>
      <c r="L38" s="76" t="n"/>
      <c r="M38" s="76" t="n"/>
      <c r="N38" s="76" t="n"/>
      <c r="O38" s="76" t="n"/>
      <c r="P38" s="76" t="n"/>
      <c r="Q38" s="76" t="n"/>
      <c r="R38" s="76" t="n"/>
      <c r="S38" s="76" t="n"/>
      <c r="T38" s="76" t="n"/>
      <c r="U38" s="77">
        <f>IF($F38="SUM",IF(COUNT($I38:$T38)=0,"",SUM($I38:$T38)),IF($F38="AVG",IFERROR(AVERAGE($I38:$T38),""),IF($F38="LAST",IFERROR(LOOKUP(2,1/($I38:$T38&lt;&gt;""),$I38:$T38),""),"")))</f>
        <v/>
      </c>
      <c r="V38" s="23">
        <f>IF($G38="","",IF($U38="","",IF($G38=0,IF($U38&lt;=0,1,0),IF($E38="↓",IFERROR($G38/$U38,0),IFERROR($U38/$G38,0)))))</f>
        <v/>
      </c>
      <c r="W38" s="17">
        <f>IF($V38="","—",IF($V38&gt;=1,"✅ محقق",IF($V38&gt;=0.85,"🟡 قريب","🔴 تحت الهدف")))</f>
        <v/>
      </c>
      <c r="X38" s="65" t="inlineStr">
        <is>
          <t>النمو</t>
        </is>
      </c>
      <c r="Y38" s="22" t="inlineStr">
        <is>
          <t>الامتياز التجاري</t>
        </is>
      </c>
      <c r="Z38" s="78" t="n"/>
      <c r="AA38" s="21" t="inlineStr">
        <is>
          <t>🟣 لاحق</t>
        </is>
      </c>
      <c r="AB38" s="53" t="n">
        <v>0.0278</v>
      </c>
      <c r="AC38" s="23">
        <f>IF($V38="","",$AB38*MIN($V38,1))</f>
        <v/>
      </c>
      <c r="AD38" s="75">
        <f>IF($G38="","",IF($F38="SUM",IF('لوحة الإدارة التنفيذية'!$P$2="","",$G38/12*'لوحة الإدارة التنفيذية'!$P$2),$G38))</f>
        <v/>
      </c>
      <c r="AE38" s="79">
        <f>IF($F38="SUM",IF(OR('لوحة الإدارة التنفيذية'!$P$2="",'لوحة الإدارة التنفيذية'!$P$2=0),"",IF($U38="","",$U38/'لوحة الإدارة التنفيذية'!$P$2*12)),IF($U38="","",$U38))</f>
        <v/>
      </c>
      <c r="AF38" s="75">
        <f>IF(OR($AE38="",$G38=""),"",$AE38-$G38)</f>
        <v/>
      </c>
      <c r="AG38" s="17">
        <f>IF(OR($AE38="",$G38=""),"—",IF($E38="↓",IF($AE38&lt;=$G38,"🟢 على المسار",IF($AE38&lt;=$G38*1.1,"🟡 متابعة","🔴 خطر")),IF($AE38&gt;=$G38,"🟢 على المسار",IF($AE38&gt;=$G38*0.85,"🟡 متابعة","🔴 خطر"))))</f>
        <v/>
      </c>
      <c r="AH38" s="68" t="inlineStr">
        <is>
          <t>العمليات الداخلية</t>
        </is>
      </c>
    </row>
    <row r="39" ht="26" customHeight="1">
      <c r="A39" s="17" t="n">
        <v>36</v>
      </c>
      <c r="B39" s="22" t="inlineStr">
        <is>
          <t>استدامة الشراكة والامتثال</t>
        </is>
      </c>
      <c r="C39" s="22" t="inlineStr">
        <is>
          <t>نسبة إنجاز التقارير الدورية في موعدها</t>
        </is>
      </c>
      <c r="D39" s="60" t="inlineStr">
        <is>
          <t>%</t>
        </is>
      </c>
      <c r="E39" s="60" t="inlineStr">
        <is>
          <t>↑</t>
        </is>
      </c>
      <c r="F39" s="60" t="inlineStr">
        <is>
          <t>AVG</t>
        </is>
      </c>
      <c r="G39" s="74" t="n">
        <v>1</v>
      </c>
      <c r="H39" s="62" t="inlineStr">
        <is>
          <t>100%</t>
        </is>
      </c>
      <c r="I39" s="73" t="n"/>
      <c r="J39" s="73" t="n"/>
      <c r="K39" s="73" t="n"/>
      <c r="L39" s="73" t="n"/>
      <c r="M39" s="73" t="n"/>
      <c r="N39" s="73" t="n"/>
      <c r="O39" s="73" t="n"/>
      <c r="P39" s="73" t="n"/>
      <c r="Q39" s="73" t="n"/>
      <c r="R39" s="73" t="n"/>
      <c r="S39" s="73" t="n"/>
      <c r="T39" s="73" t="n"/>
      <c r="U39" s="59">
        <f>IF($F39="SUM",IF(COUNT($I39:$T39)=0,"",SUM($I39:$T39)),IF($F39="AVG",IFERROR(AVERAGE($I39:$T39),""),IF($F39="LAST",IFERROR(LOOKUP(2,1/($I39:$T39&lt;&gt;""),$I39:$T39),""),"")))</f>
        <v/>
      </c>
      <c r="V39" s="23">
        <f>IF($G39="","",IF($U39="","",IF($G39=0,IF($U39&lt;=0,1,0),IF($E39="↓",IFERROR($G39/$U39,0),IFERROR($U39/$G39,0)))))</f>
        <v/>
      </c>
      <c r="W39" s="17">
        <f>IF($V39="","—",IF($V39&gt;=1,"✅ محقق",IF($V39&gt;=0.85,"🟡 قريب","🔴 تحت الهدف")))</f>
        <v/>
      </c>
      <c r="X39" s="65" t="inlineStr">
        <is>
          <t>الاستدامة</t>
        </is>
      </c>
      <c r="Y39" s="22" t="inlineStr">
        <is>
          <t>جودة التشغيل</t>
        </is>
      </c>
      <c r="Z39" s="53" t="n"/>
      <c r="AA39" s="21" t="inlineStr">
        <is>
          <t>🟣 لاحق</t>
        </is>
      </c>
      <c r="AB39" s="53" t="n">
        <v>0.0278</v>
      </c>
      <c r="AC39" s="23">
        <f>IF($V39="","",$AB39*MIN($V39,1))</f>
        <v/>
      </c>
      <c r="AD39" s="74">
        <f>IF($G39="","",IF($F39="SUM",IF('لوحة الإدارة التنفيذية'!$P$2="","",$G39/12*'لوحة الإدارة التنفيذية'!$P$2),$G39))</f>
        <v/>
      </c>
      <c r="AE39" s="23">
        <f>IF($F39="SUM",IF(OR('لوحة الإدارة التنفيذية'!$P$2="",'لوحة الإدارة التنفيذية'!$P$2=0),"",IF($U39="","",$U39/'لوحة الإدارة التنفيذية'!$P$2*12)),IF($U39="","",$U39))</f>
        <v/>
      </c>
      <c r="AF39" s="74">
        <f>IF(OR($AE39="",$G39=""),"",$AE39-$G39)</f>
        <v/>
      </c>
      <c r="AG39" s="17">
        <f>IF(OR($AE39="",$G39=""),"—",IF($E39="↓",IF($AE39&lt;=$G39,"🟢 على المسار",IF($AE39&lt;=$G39*1.1,"🟡 متابعة","🔴 خطر")),IF($AE39&gt;=$G39,"🟢 على المسار",IF($AE39&gt;=$G39*0.85,"🟡 متابعة","🔴 خطر"))))</f>
        <v/>
      </c>
      <c r="AH39" s="68" t="inlineStr">
        <is>
          <t>العمليات الداخلية</t>
        </is>
      </c>
    </row>
    <row r="40">
      <c r="A40" s="80" t="inlineStr"/>
      <c r="B40" s="81" t="inlineStr">
        <is>
          <t>الإجمالي الموزون للإدارة</t>
        </is>
      </c>
      <c r="AB40" s="82">
        <f>SUM(AB4:AB39)</f>
        <v/>
      </c>
      <c r="AC40" s="83">
        <f>SUM(AC4:AC39)</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B40:AA40"/>
    <mergeCell ref="A1:AH1"/>
  </mergeCells>
  <dataValidations count="1">
    <dataValidation sqref="I4 I5 I6 I7 I8 I9 I10 I11 I12 I13 I14 I15 I16 I17 I18 I19 I20 I21 I22 I23 I24 I25 I26 I27 I28 I29 I30 I31 I32 I33 I34 I35 I36 I37 I38 I39 J4 J5 J6 J7 J8 J9 J10 J11 J12 J13 J14 J15 J16 J17 J18 J19 J20 J21 J22 J23 J24 J25 J26 J27 J28 J29 J30 J31 J32 J33 J34 J35 J36 J37 J38 J39 K4 K5 K6 K7 K8 K9 K10 K11 K12 K13 K14 K15 K16 K17 K18 K19 K20 K21 K22 K23 K24 K25 K26 K27 K28 K29 K30 K31 K32 K33 K34 K35 K36 K37 K38 K39 L4 L5 L6 L7 L8 L9 L10 L11 L12 L13 L14 L15 L16 L17 L18 L19 L20 L21 L22 L23 L24 L25 L26 L27 L28 L29 L30 L31 L32 L33 L34 L35 L36 L37 L38 L39 M4 M5 M6 M7 M8 M9 M10 M11 M12 M13 M14 M15 M16 M17 M18 M19 M20 M21 M22 M23 M24 M25 M26 M27 M28 M29 M30 M31 M32 M33 M34 M35 M36 M37 M38 M39 N4 N5 N6 N7 N8 N9 N10 N11 N12 N13 N14 N15 N16 N17 N18 N19 N20 N21 N22 N23 N24 N25 N26 N27 N28 N29 N30 N31 N32 N33 N34 N35 N36 N37 N38 N39 O4 O5 O6 O7 O8 O9 O10 O11 O12 O13 O14 O15 O16 O17 O18 O19 O20 O21 O22 O23 O24 O25 O26 O27 O28 O29 O30 O31 O32 O33 O34 O35 O36 O37 O38 O39 P4 P5 P6 P7 P8 P9 P10 P11 P12 P13 P14 P15 P16 P17 P18 P19 P20 P21 P22 P23 P24 P25 P26 P27 P28 P29 P30 P31 P32 P33 P34 P35 P36 P37 P38 P39 Q4 Q5 Q6 Q7 Q8 Q9 Q10 Q11 Q12 Q13 Q14 Q15 Q16 Q17 Q18 Q19 Q20 Q21 Q22 Q23 Q24 Q25 Q26 Q27 Q28 Q29 Q30 Q31 Q32 Q33 Q34 Q35 Q36 Q37 Q38 Q39 R4 R5 R6 R7 R8 R9 R10 R11 R12 R13 R14 R15 R16 R17 R18 R19 R20 R21 R22 R23 R24 R25 R26 R27 R28 R29 R30 R31 R32 R33 R34 R35 R36 R37 R38 R39 S4 S5 S6 S7 S8 S9 S10 S11 S12 S13 S14 S15 S16 S17 S18 S19 S20 S21 S22 S23 S24 S25 S26 S27 S28 S29 S30 S31 S32 S33 S34 S35 S36 S37 S38 S39 T4 T5 T6 T7 T8 T9 T10 T11 T12 T13 T14 T15 T16 T17 T18 T19 T20 T21 T22 T23 T24 T25 T26 T27 T28 T29 T30 T31 T32 T33 T34 T35 T36 T37 T38 T39 Z4 Z5 Z6 Z7 Z8 Z9 Z10 Z11 Z12 Z13 Z14 Z15 Z16 Z17 Z18 Z19 Z20 Z21 Z22 Z23 Z24 Z25 Z26 Z27 Z28 Z29 Z30 Z31 Z32 Z33 Z34 Z35 Z36 Z37 Z38 Z39"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B2:E61"/>
  <sheetViews>
    <sheetView showGridLines="0" rightToLeft="1" workbookViewId="0">
      <selection activeCell="A1" sqref="A1"/>
    </sheetView>
  </sheetViews>
  <sheetFormatPr baseColWidth="8" defaultRowHeight="15"/>
  <cols>
    <col width="3" customWidth="1" min="1" max="1"/>
    <col width="22" customWidth="1" min="2" max="2"/>
    <col width="46" customWidth="1" min="3" max="3"/>
    <col width="12" customWidth="1" min="4" max="4"/>
    <col width="4" customWidth="1" min="5" max="5"/>
  </cols>
  <sheetData>
    <row r="2" ht="28" customHeight="1">
      <c r="B2" s="28" t="inlineStr">
        <is>
          <t>إدارة الامتياز · مؤشرات كل موظف (مرجع الربط)</t>
        </is>
      </c>
    </row>
    <row r="4">
      <c r="B4" s="7" t="inlineStr">
        <is>
          <t>علاء عزت  —  أخصائي امتياز — عقود واستقطاب  ·  4 مؤشر</t>
        </is>
      </c>
    </row>
    <row r="5">
      <c r="B5" s="54" t="inlineStr">
        <is>
          <t>المؤشر</t>
        </is>
      </c>
      <c r="C5" s="54" t="inlineStr">
        <is>
          <t>الأولوية</t>
        </is>
      </c>
      <c r="D5" s="54" t="inlineStr">
        <is>
          <t>●/○</t>
        </is>
      </c>
    </row>
    <row r="6">
      <c r="B6" s="22" t="inlineStr">
        <is>
          <t>عدد عقود الامتياز الجديدة الموقّعة</t>
        </is>
      </c>
      <c r="C6" s="21" t="inlineStr">
        <is>
          <t>🔴 رئيسي</t>
        </is>
      </c>
      <c r="D6" s="49" t="inlineStr">
        <is>
          <t>●</t>
        </is>
      </c>
    </row>
    <row r="7">
      <c r="B7" s="22" t="inlineStr">
        <is>
          <t>عدد محطات الامتياز المشغّلة (تراكمي)</t>
        </is>
      </c>
      <c r="C7" s="21" t="inlineStr">
        <is>
          <t>🔴 رئيسي</t>
        </is>
      </c>
      <c r="D7" s="49" t="inlineStr">
        <is>
          <t>●</t>
        </is>
      </c>
    </row>
    <row r="8">
      <c r="B8" s="22" t="inlineStr">
        <is>
          <t>نسبة تحويل الفرص إلى عقود موقّعة</t>
        </is>
      </c>
      <c r="C8" s="21" t="inlineStr">
        <is>
          <t>🔴 رئيسي</t>
        </is>
      </c>
      <c r="D8" s="49" t="inlineStr">
        <is>
          <t>●</t>
        </is>
      </c>
    </row>
    <row r="9">
      <c r="B9" s="22" t="inlineStr">
        <is>
          <t>نسبة استدامة أصحاب الامتياز</t>
        </is>
      </c>
      <c r="C9" s="21" t="inlineStr">
        <is>
          <t>🔴 رئيسي</t>
        </is>
      </c>
      <c r="D9" s="49" t="inlineStr">
        <is>
          <t>●</t>
        </is>
      </c>
    </row>
    <row r="11">
      <c r="B11" s="7" t="inlineStr">
        <is>
          <t>أنس أبو طوق  —  مراقب ميداني — هوية وبنية تحتية  ·  4 مؤشر</t>
        </is>
      </c>
    </row>
    <row r="12">
      <c r="B12" s="54" t="inlineStr">
        <is>
          <t>المؤشر</t>
        </is>
      </c>
      <c r="C12" s="54" t="inlineStr">
        <is>
          <t>الأولوية</t>
        </is>
      </c>
      <c r="D12" s="54" t="inlineStr">
        <is>
          <t>●/○</t>
        </is>
      </c>
    </row>
    <row r="13">
      <c r="B13" s="22" t="inlineStr">
        <is>
          <t>نسبة جاهزية محطات الامتياز</t>
        </is>
      </c>
      <c r="C13" s="21" t="inlineStr">
        <is>
          <t>🔴 رئيسي</t>
        </is>
      </c>
      <c r="D13" s="49" t="inlineStr">
        <is>
          <t>●</t>
        </is>
      </c>
    </row>
    <row r="14">
      <c r="B14" s="22" t="inlineStr">
        <is>
          <t>نسبة إغلاق ملاحظات الجودة الميدانية</t>
        </is>
      </c>
      <c r="C14" s="21" t="inlineStr">
        <is>
          <t>🔴 رئيسي</t>
        </is>
      </c>
      <c r="D14" s="49" t="inlineStr">
        <is>
          <t>●</t>
        </is>
      </c>
    </row>
    <row r="15">
      <c r="B15" s="22" t="inlineStr">
        <is>
          <t>نسبة المحطات المستوفية لمعايير السلامة</t>
        </is>
      </c>
      <c r="C15" s="21" t="inlineStr">
        <is>
          <t>🔴 رئيسي</t>
        </is>
      </c>
      <c r="D15" s="49" t="inlineStr">
        <is>
          <t>●</t>
        </is>
      </c>
    </row>
    <row r="16">
      <c r="B16" s="22" t="inlineStr">
        <is>
          <t>نسبة التزام المحطات بالهوية المؤسسية</t>
        </is>
      </c>
      <c r="C16" s="21" t="inlineStr">
        <is>
          <t>🔴 رئيسي</t>
        </is>
      </c>
      <c r="D16" s="49" t="inlineStr">
        <is>
          <t>●</t>
        </is>
      </c>
    </row>
    <row r="18">
      <c r="B18" s="7" t="inlineStr">
        <is>
          <t>حمدي عبد الجليل  —  أخصائي امتياز — زيارات واستقطاب  ·  3 مؤشر</t>
        </is>
      </c>
    </row>
    <row r="19">
      <c r="B19" s="54" t="inlineStr">
        <is>
          <t>المؤشر</t>
        </is>
      </c>
      <c r="C19" s="54" t="inlineStr">
        <is>
          <t>الأولوية</t>
        </is>
      </c>
      <c r="D19" s="54" t="inlineStr">
        <is>
          <t>●/○</t>
        </is>
      </c>
    </row>
    <row r="20">
      <c r="B20" s="22" t="inlineStr">
        <is>
          <t>نسبة تنفيذ الزيارات الميدانية المجدولة</t>
        </is>
      </c>
      <c r="C20" s="21" t="inlineStr">
        <is>
          <t>🔴 رئيسي</t>
        </is>
      </c>
      <c r="D20" s="49" t="inlineStr">
        <is>
          <t>●</t>
        </is>
      </c>
    </row>
    <row r="21">
      <c r="B21" s="22" t="inlineStr">
        <is>
          <t>عدد عقود الامتياز الجديدة الموقّعة</t>
        </is>
      </c>
      <c r="C21" s="21" t="inlineStr">
        <is>
          <t>🔴 رئيسي</t>
        </is>
      </c>
      <c r="D21" s="49" t="inlineStr">
        <is>
          <t>○</t>
        </is>
      </c>
    </row>
    <row r="22">
      <c r="B22" s="22" t="inlineStr">
        <is>
          <t>متوسط درجة تقييم جودة المحطة</t>
        </is>
      </c>
      <c r="C22" s="21" t="inlineStr">
        <is>
          <t>🔴 رئيسي</t>
        </is>
      </c>
      <c r="D22" s="49" t="inlineStr">
        <is>
          <t>○</t>
        </is>
      </c>
    </row>
    <row r="24">
      <c r="B24" s="7" t="inlineStr">
        <is>
          <t>رغد الجندي  —  أخصائية امتياز — تسويق ومالية  ·  4 مؤشر</t>
        </is>
      </c>
    </row>
    <row r="25">
      <c r="B25" s="54" t="inlineStr">
        <is>
          <t>المؤشر</t>
        </is>
      </c>
      <c r="C25" s="54" t="inlineStr">
        <is>
          <t>الأولوية</t>
        </is>
      </c>
      <c r="D25" s="54" t="inlineStr">
        <is>
          <t>●/○</t>
        </is>
      </c>
    </row>
    <row r="26">
      <c r="B26" s="22" t="inlineStr">
        <is>
          <t>إجمالي إيرادات إدارة الامتياز</t>
        </is>
      </c>
      <c r="C26" s="21" t="inlineStr">
        <is>
          <t>🔴 رئيسي</t>
        </is>
      </c>
      <c r="D26" s="49" t="inlineStr">
        <is>
          <t>●</t>
        </is>
      </c>
    </row>
    <row r="27">
      <c r="B27" s="22" t="inlineStr">
        <is>
          <t>نسبة التحصيل المالي من شركاء الامتياز</t>
        </is>
      </c>
      <c r="C27" s="21" t="inlineStr">
        <is>
          <t>🔴 رئيسي</t>
        </is>
      </c>
      <c r="D27" s="49" t="inlineStr">
        <is>
          <t>●</t>
        </is>
      </c>
    </row>
    <row r="28">
      <c r="B28" s="22" t="inlineStr">
        <is>
          <t>متوسط تقييم المحطات على خرائط قوقل</t>
        </is>
      </c>
      <c r="C28" s="21" t="inlineStr">
        <is>
          <t>🔴 رئيسي</t>
        </is>
      </c>
      <c r="D28" s="49" t="inlineStr">
        <is>
          <t>●</t>
        </is>
      </c>
    </row>
    <row r="29">
      <c r="B29" s="22" t="inlineStr">
        <is>
          <t>عدد الحملات التسويقية الميدانية</t>
        </is>
      </c>
      <c r="C29" s="21" t="inlineStr">
        <is>
          <t>🟠 مهم</t>
        </is>
      </c>
      <c r="D29" s="49" t="inlineStr">
        <is>
          <t>●</t>
        </is>
      </c>
    </row>
    <row r="31">
      <c r="B31" s="7" t="inlineStr">
        <is>
          <t>إدريس الوائلي  —  أخصائي امتياز — تقارير وتنسيق مالي  ·  3 مؤشر</t>
        </is>
      </c>
    </row>
    <row r="32">
      <c r="B32" s="54" t="inlineStr">
        <is>
          <t>المؤشر</t>
        </is>
      </c>
      <c r="C32" s="54" t="inlineStr">
        <is>
          <t>الأولوية</t>
        </is>
      </c>
      <c r="D32" s="54" t="inlineStr">
        <is>
          <t>●/○</t>
        </is>
      </c>
    </row>
    <row r="33">
      <c r="B33" s="22" t="inlineStr">
        <is>
          <t>متوسط أيام التحصيل (DSO)</t>
        </is>
      </c>
      <c r="C33" s="21" t="inlineStr">
        <is>
          <t>🟠 مهم</t>
        </is>
      </c>
      <c r="D33" s="49" t="inlineStr">
        <is>
          <t>●</t>
        </is>
      </c>
    </row>
    <row r="34">
      <c r="B34" s="22" t="inlineStr">
        <is>
          <t>إجمالي المستحقات المتأخرة (+30 يوم)</t>
        </is>
      </c>
      <c r="C34" s="21" t="inlineStr">
        <is>
          <t>🟠 مهم</t>
        </is>
      </c>
      <c r="D34" s="49" t="inlineStr">
        <is>
          <t>●</t>
        </is>
      </c>
    </row>
    <row r="35">
      <c r="B35" s="22" t="inlineStr">
        <is>
          <t>نسبة إنجاز التقارير الدورية في موعدها</t>
        </is>
      </c>
      <c r="C35" s="21" t="inlineStr">
        <is>
          <t>🟠 مهم</t>
        </is>
      </c>
      <c r="D35" s="49" t="inlineStr">
        <is>
          <t>●</t>
        </is>
      </c>
    </row>
    <row r="37">
      <c r="B37" s="7" t="inlineStr">
        <is>
          <t>أحمد رمضان  —  أخصائي امتياز — Dynamics ومتابعة نظام  ·  2 مؤشر</t>
        </is>
      </c>
    </row>
    <row r="38">
      <c r="B38" s="54" t="inlineStr">
        <is>
          <t>المؤشر</t>
        </is>
      </c>
      <c r="C38" s="54" t="inlineStr">
        <is>
          <t>الأولوية</t>
        </is>
      </c>
      <c r="D38" s="54" t="inlineStr">
        <is>
          <t>●/○</t>
        </is>
      </c>
    </row>
    <row r="39">
      <c r="B39" s="22" t="inlineStr">
        <is>
          <t>نسبة اكتمال المستندات النظامية قبل التوقيع</t>
        </is>
      </c>
      <c r="C39" s="21" t="inlineStr">
        <is>
          <t>🟠 مهم</t>
        </is>
      </c>
      <c r="D39" s="49" t="inlineStr">
        <is>
          <t>○</t>
        </is>
      </c>
    </row>
    <row r="40">
      <c r="B40" s="22" t="inlineStr">
        <is>
          <t>نسبة إنجاز التقارير الدورية في موعدها</t>
        </is>
      </c>
      <c r="C40" s="21" t="inlineStr">
        <is>
          <t>🟠 مهم</t>
        </is>
      </c>
      <c r="D40" s="49" t="inlineStr">
        <is>
          <t>○</t>
        </is>
      </c>
    </row>
    <row r="42">
      <c r="B42" s="7" t="inlineStr">
        <is>
          <t>عبدالسلام الوالي  —  أخصائي امتياز — عمليات ومخزون  ·  2 مؤشر</t>
        </is>
      </c>
    </row>
    <row r="43">
      <c r="B43" s="54" t="inlineStr">
        <is>
          <t>المؤشر</t>
        </is>
      </c>
      <c r="C43" s="54" t="inlineStr">
        <is>
          <t>الأولوية</t>
        </is>
      </c>
      <c r="D43" s="54" t="inlineStr">
        <is>
          <t>●/○</t>
        </is>
      </c>
    </row>
    <row r="44">
      <c r="B44" s="22" t="inlineStr">
        <is>
          <t>عدد حالات انقطاع الوقود الموثّقة</t>
        </is>
      </c>
      <c r="C44" s="21" t="inlineStr">
        <is>
          <t>🔴 رئيسي</t>
        </is>
      </c>
      <c r="D44" s="49" t="inlineStr">
        <is>
          <t>●</t>
        </is>
      </c>
    </row>
    <row r="45">
      <c r="B45" s="22" t="inlineStr">
        <is>
          <t>متوسط وقت معالجة البلاغات التشغيلية</t>
        </is>
      </c>
      <c r="C45" s="21" t="inlineStr">
        <is>
          <t>🟠 مهم</t>
        </is>
      </c>
      <c r="D45" s="49" t="inlineStr">
        <is>
          <t>●</t>
        </is>
      </c>
    </row>
    <row r="47">
      <c r="B47" s="7" t="inlineStr">
        <is>
          <t>المعتصم المصعبي  —  أخصائي امتياز — عمليات ومبيعات  ·  2 مؤشر</t>
        </is>
      </c>
    </row>
    <row r="48">
      <c r="B48" s="54" t="inlineStr">
        <is>
          <t>المؤشر</t>
        </is>
      </c>
      <c r="C48" s="54" t="inlineStr">
        <is>
          <t>الأولوية</t>
        </is>
      </c>
      <c r="D48" s="54" t="inlineStr">
        <is>
          <t>●/○</t>
        </is>
      </c>
    </row>
    <row r="49">
      <c r="B49" s="22" t="inlineStr">
        <is>
          <t>متوسط مبيعات المحطة الواحدة شهرياً</t>
        </is>
      </c>
      <c r="C49" s="21" t="inlineStr">
        <is>
          <t>🟠 مهم</t>
        </is>
      </c>
      <c r="D49" s="49" t="inlineStr">
        <is>
          <t>●</t>
        </is>
      </c>
    </row>
    <row r="50">
      <c r="B50" s="22" t="inlineStr">
        <is>
          <t>إجمالي مبيعات وقود محطات الامتياز</t>
        </is>
      </c>
      <c r="C50" s="21" t="inlineStr">
        <is>
          <t>🔴 رئيسي</t>
        </is>
      </c>
      <c r="D50" s="49" t="inlineStr">
        <is>
          <t>○</t>
        </is>
      </c>
    </row>
    <row r="52">
      <c r="B52" s="7" t="inlineStr">
        <is>
          <t>يحيى العدله  —  أخصائي امتياز — تسجيل وتوثيق  ·  2 مؤشر</t>
        </is>
      </c>
    </row>
    <row r="53">
      <c r="B53" s="54" t="inlineStr">
        <is>
          <t>المؤشر</t>
        </is>
      </c>
      <c r="C53" s="54" t="inlineStr">
        <is>
          <t>الأولوية</t>
        </is>
      </c>
      <c r="D53" s="54" t="inlineStr">
        <is>
          <t>●/○</t>
        </is>
      </c>
    </row>
    <row r="54">
      <c r="B54" s="22" t="inlineStr">
        <is>
          <t>نسبة اكتمال المستندات النظامية قبل التوقيع</t>
        </is>
      </c>
      <c r="C54" s="21" t="inlineStr">
        <is>
          <t>🟠 مهم</t>
        </is>
      </c>
      <c r="D54" s="49" t="inlineStr">
        <is>
          <t>●</t>
        </is>
      </c>
    </row>
    <row r="55">
      <c r="B55" s="22" t="inlineStr">
        <is>
          <t>نسبة حل الشكاوى خلال المدة المحددة</t>
        </is>
      </c>
      <c r="C55" s="21" t="inlineStr">
        <is>
          <t>🟠 مهم</t>
        </is>
      </c>
      <c r="D55" s="49" t="inlineStr">
        <is>
          <t>○</t>
        </is>
      </c>
    </row>
    <row r="57">
      <c r="B57" s="7" t="inlineStr">
        <is>
          <t>إسماعيل سندي  —  أخصائي امتياز — تواصل عملاء وتأجير  ·  3 مؤشر</t>
        </is>
      </c>
    </row>
    <row r="58">
      <c r="B58" s="54" t="inlineStr">
        <is>
          <t>المؤشر</t>
        </is>
      </c>
      <c r="C58" s="54" t="inlineStr">
        <is>
          <t>الأولوية</t>
        </is>
      </c>
      <c r="D58" s="54" t="inlineStr">
        <is>
          <t>●/○</t>
        </is>
      </c>
    </row>
    <row r="59">
      <c r="B59" s="22" t="inlineStr">
        <is>
          <t>معدل رضا شركاء الامتياز (CSAT)</t>
        </is>
      </c>
      <c r="C59" s="21" t="inlineStr">
        <is>
          <t>🔴 رئيسي</t>
        </is>
      </c>
      <c r="D59" s="49" t="inlineStr">
        <is>
          <t>●</t>
        </is>
      </c>
    </row>
    <row r="60">
      <c r="B60" s="22" t="inlineStr">
        <is>
          <t>نسبة حل الشكاوى خلال المدة المحددة</t>
        </is>
      </c>
      <c r="C60" s="21" t="inlineStr">
        <is>
          <t>🟠 مهم</t>
        </is>
      </c>
      <c r="D60" s="49" t="inlineStr">
        <is>
          <t>●</t>
        </is>
      </c>
    </row>
    <row r="61">
      <c r="B61" s="22" t="inlineStr">
        <is>
          <t>نسبة انخفاض الشكاوى التشغيلية والإدارية</t>
        </is>
      </c>
      <c r="C61" s="21" t="inlineStr">
        <is>
          <t>🟠 مهم</t>
        </is>
      </c>
      <c r="D61" s="49" t="inlineStr">
        <is>
          <t>●</t>
        </is>
      </c>
    </row>
  </sheetData>
  <sheetProtection selectLockedCells="1" selectUnlockedCells="1" sheet="1" objects="0" insertRows="1" insertHyperlinks="1" autoFilter="1" scenarios="0" formatColumns="1" deleteColumns="1" insertColumns="1" pivotTables="1" deleteRows="1" formatCells="0" formatRows="1" sort="1" password="EFFF"/>
  <mergeCells count="11">
    <mergeCell ref="B31:E31"/>
    <mergeCell ref="B18:E18"/>
    <mergeCell ref="B57:E57"/>
    <mergeCell ref="B4:E4"/>
    <mergeCell ref="B52:E52"/>
    <mergeCell ref="B11:E11"/>
    <mergeCell ref="B24:E24"/>
    <mergeCell ref="B2:E2"/>
    <mergeCell ref="B37:E37"/>
    <mergeCell ref="B47:E47"/>
    <mergeCell ref="B42:E4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23"/>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4" t="inlineStr">
        <is>
          <t>إدارة الامتياز التجاري · نموذج تقييم الأداء — مدير إدارة الامتياز التجاري</t>
        </is>
      </c>
    </row>
    <row r="2">
      <c r="A2" s="50" t="inlineStr">
        <is>
          <t>الكود: FM-01  ·  ربع سنوي  ·  🟩 أدخل «نسبة التحقيق» فقط — الدرجة تُحسب تلقائياً</t>
        </is>
      </c>
    </row>
    <row r="3">
      <c r="A3" s="85" t="inlineStr">
        <is>
          <t>اسم الموظف:</t>
        </is>
      </c>
      <c r="B3" s="51" t="inlineStr"/>
      <c r="C3" s="86" t="n"/>
      <c r="D3" s="85" t="inlineStr">
        <is>
          <t>القسم: الامتياز التجاري</t>
        </is>
      </c>
      <c r="E3" s="51" t="inlineStr"/>
      <c r="F3" s="87" t="n"/>
      <c r="G3" s="86" t="n"/>
    </row>
    <row r="4">
      <c r="A4" s="85" t="inlineStr">
        <is>
          <t>المدير المباشر:</t>
        </is>
      </c>
      <c r="B4" s="51" t="inlineStr"/>
      <c r="C4" s="86" t="n"/>
      <c r="D4" s="85" t="inlineStr">
        <is>
          <t>الربع / السنة:</t>
        </is>
      </c>
      <c r="E4" s="51" t="inlineStr"/>
      <c r="F4" s="87" t="n"/>
      <c r="G4" s="86" t="n"/>
    </row>
    <row r="5">
      <c r="A5" s="85" t="inlineStr">
        <is>
          <t>تاريخ التقييم:</t>
        </is>
      </c>
      <c r="B5" s="51" t="inlineStr"/>
      <c r="C5" s="86" t="n"/>
      <c r="D5" s="85" t="inlineStr">
        <is>
          <t>حالة التقييم:</t>
        </is>
      </c>
      <c r="E5" s="51" t="inlineStr"/>
      <c r="F5" s="87" t="n"/>
      <c r="G5" s="86"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عدد محطات الامتياز الجديدة</t>
        </is>
      </c>
      <c r="C7" s="74" t="n">
        <v>0.15</v>
      </c>
      <c r="D7" s="88" t="inlineStr">
        <is>
          <t>100%+ من المحطات المستهدفة</t>
        </is>
      </c>
      <c r="E7" s="53" t="n"/>
      <c r="F7" s="23">
        <f>C7*MIN(E7,1)</f>
        <v/>
      </c>
      <c r="G7" s="51" t="inlineStr"/>
    </row>
    <row r="8" ht="28" customHeight="1">
      <c r="A8" s="17" t="n">
        <v>2</v>
      </c>
      <c r="B8" s="22" t="inlineStr">
        <is>
          <t>إجمالي مبيعات محطات الامتياز</t>
        </is>
      </c>
      <c r="C8" s="74" t="n">
        <v>0.15</v>
      </c>
      <c r="D8" s="88" t="inlineStr">
        <is>
          <t>100%+ من مستهدف المبيعات الربعي</t>
        </is>
      </c>
      <c r="E8" s="53" t="n"/>
      <c r="F8" s="23">
        <f>C8*MIN(E8,1)</f>
        <v/>
      </c>
      <c r="G8" s="51" t="inlineStr"/>
    </row>
    <row r="9" ht="28" customHeight="1">
      <c r="A9" s="17" t="n">
        <v>3</v>
      </c>
      <c r="B9" s="22" t="inlineStr">
        <is>
          <t>استمرارية تزويد الوقود</t>
        </is>
      </c>
      <c r="C9" s="74" t="n">
        <v>0.1</v>
      </c>
      <c r="D9" s="88" t="inlineStr">
        <is>
          <t>0 حالات انقطاع</t>
        </is>
      </c>
      <c r="E9" s="53" t="n"/>
      <c r="F9" s="23">
        <f>C9*MIN(E9,1)</f>
        <v/>
      </c>
      <c r="G9" s="51" t="inlineStr"/>
    </row>
    <row r="10" ht="28" customHeight="1">
      <c r="A10" s="17" t="n">
        <v>4</v>
      </c>
      <c r="B10" s="22" t="inlineStr">
        <is>
          <t>نسبة التحصيل المالي</t>
        </is>
      </c>
      <c r="C10" s="74" t="n">
        <v>0.15</v>
      </c>
      <c r="D10" s="88" t="inlineStr">
        <is>
          <t>100%+ من المستحقات الربعية</t>
        </is>
      </c>
      <c r="E10" s="53" t="n"/>
      <c r="F10" s="23">
        <f>C10*MIN(E10,1)</f>
        <v/>
      </c>
      <c r="G10" s="51" t="inlineStr"/>
    </row>
    <row r="11" ht="28" customHeight="1">
      <c r="A11" s="17" t="n">
        <v>5</v>
      </c>
      <c r="B11" s="22" t="inlineStr">
        <is>
          <t>الالتزام بالهوية المؤسسية</t>
        </is>
      </c>
      <c r="C11" s="74" t="n">
        <v>0.15</v>
      </c>
      <c r="D11" s="88" t="inlineStr">
        <is>
          <t>70%+ من المحطات ملتزمة</t>
        </is>
      </c>
      <c r="E11" s="53" t="n"/>
      <c r="F11" s="23">
        <f>C11*MIN(E11,1)</f>
        <v/>
      </c>
      <c r="G11" s="51" t="inlineStr"/>
    </row>
    <row r="12" ht="28" customHeight="1">
      <c r="A12" s="17" t="n">
        <v>6</v>
      </c>
      <c r="B12" s="22" t="inlineStr">
        <is>
          <t>انخفاض عدد الشكاوى</t>
        </is>
      </c>
      <c r="C12" s="74" t="n">
        <v>0.1</v>
      </c>
      <c r="D12" s="88" t="inlineStr">
        <is>
          <t>خفض 20%+ عن الربع السابق</t>
        </is>
      </c>
      <c r="E12" s="53" t="n"/>
      <c r="F12" s="23">
        <f>C12*MIN(E12,1)</f>
        <v/>
      </c>
      <c r="G12" s="51" t="inlineStr"/>
    </row>
    <row r="13" ht="28" customHeight="1">
      <c r="A13" s="17" t="n">
        <v>7</v>
      </c>
      <c r="B13" s="22" t="inlineStr">
        <is>
          <t>تقييمات خرائط قوقل</t>
        </is>
      </c>
      <c r="C13" s="74" t="n">
        <v>0.1</v>
      </c>
      <c r="D13" s="88" t="inlineStr">
        <is>
          <t>4.7 – 5</t>
        </is>
      </c>
      <c r="E13" s="53" t="n"/>
      <c r="F13" s="23">
        <f>C13*MIN(E13,1)</f>
        <v/>
      </c>
      <c r="G13" s="51" t="inlineStr"/>
    </row>
    <row r="14" ht="28" customHeight="1">
      <c r="A14" s="17" t="n">
        <v>8</v>
      </c>
      <c r="B14" s="22" t="inlineStr">
        <is>
          <t>انتظام وجودة التقارير</t>
        </is>
      </c>
      <c r="C14" s="74" t="n">
        <v>0.1</v>
      </c>
      <c r="D14" s="88" t="inlineStr">
        <is>
          <t>100% في موعدها</t>
        </is>
      </c>
      <c r="E14" s="53" t="n"/>
      <c r="F14" s="23">
        <f>C14*MIN(E14,1)</f>
        <v/>
      </c>
      <c r="G14" s="51" t="inlineStr"/>
    </row>
    <row r="15">
      <c r="A15" s="80" t="inlineStr"/>
      <c r="B15" s="81" t="inlineStr">
        <is>
          <t>المجموع الكلي</t>
        </is>
      </c>
      <c r="C15" s="89">
        <f>SUM(C7:C14)</f>
        <v/>
      </c>
      <c r="D15" s="80" t="inlineStr"/>
      <c r="E15" s="81" t="inlineStr">
        <is>
          <t>الدرجة:</t>
        </is>
      </c>
      <c r="F15" s="90">
        <f>SUM(F7:F14)</f>
        <v/>
      </c>
      <c r="G15" s="80" t="inlineStr"/>
    </row>
    <row r="16">
      <c r="B16" s="5" t="inlineStr">
        <is>
          <t>التقدير</t>
        </is>
      </c>
      <c r="C16" s="26">
        <f>IF(F15&gt;=0.9,"ممتاز",IF(F15&gt;=0.8,"جيد جداً",IF(F15&gt;=0.7,"جيد",IF(F15&gt;=0.6,"مقبول","ضعيف"))))</f>
        <v/>
      </c>
      <c r="D16" s="43" t="n"/>
    </row>
    <row r="18">
      <c r="B18" s="5" t="inlineStr">
        <is>
          <t>سلّم التقييم</t>
        </is>
      </c>
      <c r="C18" s="42" t="n"/>
      <c r="D18" s="43" t="n"/>
    </row>
    <row r="19">
      <c r="B19" s="17" t="inlineStr">
        <is>
          <t>ممتاز</t>
        </is>
      </c>
      <c r="C19" s="21" t="inlineStr">
        <is>
          <t>90% – 100%</t>
        </is>
      </c>
      <c r="D19" s="22" t="inlineStr">
        <is>
          <t>تجاوز المستهدف</t>
        </is>
      </c>
    </row>
    <row r="20">
      <c r="B20" s="17" t="inlineStr">
        <is>
          <t>جيد جداً</t>
        </is>
      </c>
      <c r="C20" s="21" t="inlineStr">
        <is>
          <t>80% – 89%</t>
        </is>
      </c>
      <c r="D20" s="22" t="inlineStr">
        <is>
          <t>حقق المستهدف تقريباً</t>
        </is>
      </c>
    </row>
    <row r="21">
      <c r="B21" s="17" t="inlineStr">
        <is>
          <t>جيد</t>
        </is>
      </c>
      <c r="C21" s="21" t="inlineStr">
        <is>
          <t>70% – 79%</t>
        </is>
      </c>
      <c r="D21" s="22" t="inlineStr">
        <is>
          <t>حقق معظم المستهدفات</t>
        </is>
      </c>
    </row>
    <row r="22">
      <c r="B22" s="17" t="inlineStr">
        <is>
          <t>مقبول</t>
        </is>
      </c>
      <c r="C22" s="21" t="inlineStr">
        <is>
          <t>60% – 69%</t>
        </is>
      </c>
      <c r="D22" s="22" t="inlineStr">
        <is>
          <t>يحتاج تحسين</t>
        </is>
      </c>
    </row>
    <row r="23">
      <c r="B23" s="17" t="inlineStr">
        <is>
          <t>ضعيف</t>
        </is>
      </c>
      <c r="C23" s="21" t="inlineStr">
        <is>
          <t>أقل من 60%</t>
        </is>
      </c>
      <c r="D23"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6:D16"/>
    <mergeCell ref="B3:C3"/>
    <mergeCell ref="B5:C5"/>
    <mergeCell ref="E5:G5"/>
    <mergeCell ref="B18:D18"/>
    <mergeCell ref="A2:G2"/>
    <mergeCell ref="E4:G4"/>
    <mergeCell ref="E3:G3"/>
    <mergeCell ref="B4:C4"/>
  </mergeCells>
  <dataValidations count="1">
    <dataValidation sqref="E7 E8 E9 E10 E11 E12 E13 E14"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21"/>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4" t="inlineStr">
        <is>
          <t>إدارة الامتياز التجاري · نموذج تقييم الأداء — مسؤول الامتياز التجاري</t>
        </is>
      </c>
    </row>
    <row r="2">
      <c r="A2" s="50" t="inlineStr">
        <is>
          <t>الكود: FM-02  ·  ربع سنوي  ·  🟩 أدخل «نسبة التحقيق» فقط — الدرجة تُحسب تلقائياً</t>
        </is>
      </c>
    </row>
    <row r="3">
      <c r="A3" s="85" t="inlineStr">
        <is>
          <t>اسم الموظف:</t>
        </is>
      </c>
      <c r="B3" s="51" t="inlineStr"/>
      <c r="C3" s="86" t="n"/>
      <c r="D3" s="85" t="inlineStr">
        <is>
          <t>القسم: الامتياز التجاري</t>
        </is>
      </c>
      <c r="E3" s="51" t="inlineStr"/>
      <c r="F3" s="87" t="n"/>
      <c r="G3" s="86" t="n"/>
    </row>
    <row r="4">
      <c r="A4" s="85" t="inlineStr">
        <is>
          <t>المدير المباشر:</t>
        </is>
      </c>
      <c r="B4" s="51" t="inlineStr"/>
      <c r="C4" s="86" t="n"/>
      <c r="D4" s="85" t="inlineStr">
        <is>
          <t>الربع / السنة:</t>
        </is>
      </c>
      <c r="E4" s="51" t="inlineStr"/>
      <c r="F4" s="87" t="n"/>
      <c r="G4" s="86" t="n"/>
    </row>
    <row r="5">
      <c r="A5" s="85" t="inlineStr">
        <is>
          <t>تاريخ التقييم:</t>
        </is>
      </c>
      <c r="B5" s="51" t="inlineStr"/>
      <c r="C5" s="86" t="n"/>
      <c r="D5" s="85" t="inlineStr">
        <is>
          <t>حالة التقييم:</t>
        </is>
      </c>
      <c r="E5" s="51" t="inlineStr"/>
      <c r="F5" s="87" t="n"/>
      <c r="G5" s="86"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المتابعة مع عملاء الامتياز</t>
        </is>
      </c>
      <c r="C7" s="74" t="n">
        <v>0.3</v>
      </c>
      <c r="D7" s="88" t="inlineStr">
        <is>
          <t>متابعة مستمرة 100%</t>
        </is>
      </c>
      <c r="E7" s="53" t="n"/>
      <c r="F7" s="23">
        <f>C7*MIN(E7,1)</f>
        <v/>
      </c>
      <c r="G7" s="51" t="inlineStr"/>
    </row>
    <row r="8" ht="28" customHeight="1">
      <c r="A8" s="17" t="n">
        <v>2</v>
      </c>
      <c r="B8" s="22" t="inlineStr">
        <is>
          <t>عدم انقطاع المحطات من الوقود</t>
        </is>
      </c>
      <c r="C8" s="74" t="n">
        <v>0.35</v>
      </c>
      <c r="D8" s="88" t="inlineStr">
        <is>
          <t>0 حالات انقطاع</t>
        </is>
      </c>
      <c r="E8" s="53" t="n"/>
      <c r="F8" s="23">
        <f>C8*MIN(E8,1)</f>
        <v/>
      </c>
      <c r="G8" s="51" t="inlineStr"/>
    </row>
    <row r="9" ht="28" customHeight="1">
      <c r="A9" s="17" t="n">
        <v>3</v>
      </c>
      <c r="B9" s="22" t="inlineStr">
        <is>
          <t>متابعة طلبات وتوريد الوقود</t>
        </is>
      </c>
      <c r="C9" s="74" t="n">
        <v>0.1</v>
      </c>
      <c r="D9" s="88" t="inlineStr">
        <is>
          <t>100% متابعة يومية</t>
        </is>
      </c>
      <c r="E9" s="53" t="n"/>
      <c r="F9" s="23">
        <f>C9*MIN(E9,1)</f>
        <v/>
      </c>
      <c r="G9" s="51" t="inlineStr"/>
    </row>
    <row r="10" ht="28" customHeight="1">
      <c r="A10" s="17" t="n">
        <v>4</v>
      </c>
      <c r="B10" s="22" t="inlineStr">
        <is>
          <t>إجمالي مبيعات المحطات</t>
        </is>
      </c>
      <c r="C10" s="74" t="n">
        <v>0.1</v>
      </c>
      <c r="D10" s="88" t="inlineStr">
        <is>
          <t>تحقيق هدف المبيعات</t>
        </is>
      </c>
      <c r="E10" s="53" t="n"/>
      <c r="F10" s="23">
        <f>C10*MIN(E10,1)</f>
        <v/>
      </c>
      <c r="G10" s="51" t="inlineStr"/>
    </row>
    <row r="11" ht="28" customHeight="1">
      <c r="A11" s="17" t="n">
        <v>5</v>
      </c>
      <c r="B11" s="22" t="inlineStr">
        <is>
          <t>التحصيل المالي</t>
        </is>
      </c>
      <c r="C11" s="74" t="n">
        <v>0.1</v>
      </c>
      <c r="D11" s="88" t="inlineStr">
        <is>
          <t>100% خلال الربع</t>
        </is>
      </c>
      <c r="E11" s="53" t="n"/>
      <c r="F11" s="23">
        <f>C11*MIN(E11,1)</f>
        <v/>
      </c>
      <c r="G11" s="51" t="inlineStr"/>
    </row>
    <row r="12" ht="28" customHeight="1">
      <c r="A12" s="17" t="n">
        <v>6</v>
      </c>
      <c r="B12" s="22" t="inlineStr">
        <is>
          <t>التقارير الدورية الشاملة</t>
        </is>
      </c>
      <c r="C12" s="74" t="n">
        <v>0.05</v>
      </c>
      <c r="D12" s="88" t="inlineStr">
        <is>
          <t>100% في مواعيدها</t>
        </is>
      </c>
      <c r="E12" s="53" t="n"/>
      <c r="F12" s="23">
        <f>C12*MIN(E12,1)</f>
        <v/>
      </c>
      <c r="G12" s="51" t="inlineStr"/>
    </row>
    <row r="13">
      <c r="A13" s="80" t="inlineStr"/>
      <c r="B13" s="81" t="inlineStr">
        <is>
          <t>المجموع الكلي</t>
        </is>
      </c>
      <c r="C13" s="89">
        <f>SUM(C7:C12)</f>
        <v/>
      </c>
      <c r="D13" s="80" t="inlineStr"/>
      <c r="E13" s="81" t="inlineStr">
        <is>
          <t>الدرجة:</t>
        </is>
      </c>
      <c r="F13" s="90">
        <f>SUM(F7:F12)</f>
        <v/>
      </c>
      <c r="G13" s="80" t="inlineStr"/>
    </row>
    <row r="14">
      <c r="B14" s="5" t="inlineStr">
        <is>
          <t>التقدير</t>
        </is>
      </c>
      <c r="C14" s="26">
        <f>IF(F13&gt;=0.9,"ممتاز",IF(F13&gt;=0.8,"جيد جداً",IF(F13&gt;=0.7,"جيد",IF(F13&gt;=0.6,"مقبول","ضعيف"))))</f>
        <v/>
      </c>
      <c r="D14" s="43" t="n"/>
    </row>
    <row r="16">
      <c r="B16" s="5" t="inlineStr">
        <is>
          <t>سلّم التقييم</t>
        </is>
      </c>
      <c r="C16" s="42" t="n"/>
      <c r="D16" s="43" t="n"/>
    </row>
    <row r="17">
      <c r="B17" s="17" t="inlineStr">
        <is>
          <t>ممتاز</t>
        </is>
      </c>
      <c r="C17" s="21" t="inlineStr">
        <is>
          <t>90% – 100%</t>
        </is>
      </c>
      <c r="D17" s="22" t="inlineStr">
        <is>
          <t>تجاوز المستهدف</t>
        </is>
      </c>
    </row>
    <row r="18">
      <c r="B18" s="17" t="inlineStr">
        <is>
          <t>جيد جداً</t>
        </is>
      </c>
      <c r="C18" s="21" t="inlineStr">
        <is>
          <t>80% – 89%</t>
        </is>
      </c>
      <c r="D18" s="22" t="inlineStr">
        <is>
          <t>حقق المستهدف تقريباً</t>
        </is>
      </c>
    </row>
    <row r="19">
      <c r="B19" s="17" t="inlineStr">
        <is>
          <t>جيد</t>
        </is>
      </c>
      <c r="C19" s="21" t="inlineStr">
        <is>
          <t>70% – 79%</t>
        </is>
      </c>
      <c r="D19" s="22" t="inlineStr">
        <is>
          <t>حقق معظم المستهدفات</t>
        </is>
      </c>
    </row>
    <row r="20">
      <c r="B20" s="17" t="inlineStr">
        <is>
          <t>مقبول</t>
        </is>
      </c>
      <c r="C20" s="21" t="inlineStr">
        <is>
          <t>60% – 69%</t>
        </is>
      </c>
      <c r="D20" s="22" t="inlineStr">
        <is>
          <t>يحتاج تحسين</t>
        </is>
      </c>
    </row>
    <row r="21">
      <c r="B21" s="17" t="inlineStr">
        <is>
          <t>ضعيف</t>
        </is>
      </c>
      <c r="C21" s="21" t="inlineStr">
        <is>
          <t>أقل من 60%</t>
        </is>
      </c>
      <c r="D21"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B3:C3"/>
    <mergeCell ref="B5:C5"/>
    <mergeCell ref="E5:G5"/>
    <mergeCell ref="C14:D14"/>
    <mergeCell ref="A2:G2"/>
    <mergeCell ref="E4:G4"/>
    <mergeCell ref="E3:G3"/>
    <mergeCell ref="B4:C4"/>
    <mergeCell ref="B16:D16"/>
  </mergeCells>
  <dataValidations count="1">
    <dataValidation sqref="E7 E8 E9 E10 E11 E12"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1"/>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4" t="inlineStr">
        <is>
          <t>إدارة الامتياز التجاري · نموذج تقييم الأداء — المراقب الميداني</t>
        </is>
      </c>
    </row>
    <row r="2">
      <c r="A2" s="50" t="inlineStr">
        <is>
          <t>الكود: FM-03  ·  ربع سنوي  ·  🟩 أدخل «نسبة التحقيق» فقط — الدرجة تُحسب تلقائياً</t>
        </is>
      </c>
    </row>
    <row r="3">
      <c r="A3" s="85" t="inlineStr">
        <is>
          <t>اسم الموظف:</t>
        </is>
      </c>
      <c r="B3" s="51" t="inlineStr"/>
      <c r="C3" s="86" t="n"/>
      <c r="D3" s="85" t="inlineStr">
        <is>
          <t>القسم: الامتياز التجاري</t>
        </is>
      </c>
      <c r="E3" s="51" t="inlineStr"/>
      <c r="F3" s="87" t="n"/>
      <c r="G3" s="86" t="n"/>
    </row>
    <row r="4">
      <c r="A4" s="85" t="inlineStr">
        <is>
          <t>المدير المباشر:</t>
        </is>
      </c>
      <c r="B4" s="51" t="inlineStr"/>
      <c r="C4" s="86" t="n"/>
      <c r="D4" s="85" t="inlineStr">
        <is>
          <t>الربع / السنة:</t>
        </is>
      </c>
      <c r="E4" s="51" t="inlineStr"/>
      <c r="F4" s="87" t="n"/>
      <c r="G4" s="86" t="n"/>
    </row>
    <row r="5">
      <c r="A5" s="85" t="inlineStr">
        <is>
          <t>تاريخ التقييم:</t>
        </is>
      </c>
      <c r="B5" s="51" t="inlineStr"/>
      <c r="C5" s="86" t="n"/>
      <c r="D5" s="85" t="inlineStr">
        <is>
          <t>حالة التقييم:</t>
        </is>
      </c>
      <c r="E5" s="51" t="inlineStr"/>
      <c r="F5" s="87" t="n"/>
      <c r="G5" s="86"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عدد الزيارات الميدانية المنفذة</t>
        </is>
      </c>
      <c r="C7" s="74" t="n">
        <v>0.3</v>
      </c>
      <c r="D7" s="88" t="inlineStr">
        <is>
          <t>100% من الزيارات المجدولة</t>
        </is>
      </c>
      <c r="E7" s="53" t="n"/>
      <c r="F7" s="23">
        <f>C7*MIN(E7,1)</f>
        <v/>
      </c>
      <c r="G7" s="51" t="inlineStr"/>
    </row>
    <row r="8" ht="28" customHeight="1">
      <c r="A8" s="17" t="n">
        <v>2</v>
      </c>
      <c r="B8" s="22" t="inlineStr">
        <is>
          <t>متابعة تطبيق الهوية المؤسسية</t>
        </is>
      </c>
      <c r="C8" s="74" t="n">
        <v>0.2</v>
      </c>
      <c r="D8" s="88" t="inlineStr">
        <is>
          <t>100% دون ملاحظات متكررة</t>
        </is>
      </c>
      <c r="E8" s="53" t="n"/>
      <c r="F8" s="23">
        <f>C8*MIN(E8,1)</f>
        <v/>
      </c>
      <c r="G8" s="51" t="inlineStr"/>
    </row>
    <row r="9" ht="28" customHeight="1">
      <c r="A9" s="17" t="n">
        <v>3</v>
      </c>
      <c r="B9" s="22" t="inlineStr">
        <is>
          <t>تقارير الجودة الميدانية والـChecklist</t>
        </is>
      </c>
      <c r="C9" s="74" t="n">
        <v>0.2</v>
      </c>
      <c r="D9" s="88" t="inlineStr">
        <is>
          <t>100% رفع التقارير</t>
        </is>
      </c>
      <c r="E9" s="53" t="n"/>
      <c r="F9" s="23">
        <f>C9*MIN(E9,1)</f>
        <v/>
      </c>
      <c r="G9" s="51" t="inlineStr"/>
    </row>
    <row r="10" ht="28" customHeight="1">
      <c r="A10" s="17" t="n">
        <v>4</v>
      </c>
      <c r="B10" s="22" t="inlineStr">
        <is>
          <t>متابعة العلامات التجارية</t>
        </is>
      </c>
      <c r="C10" s="74" t="n">
        <v>0.1</v>
      </c>
      <c r="D10" s="88" t="inlineStr">
        <is>
          <t>100% حسب الجدول</t>
        </is>
      </c>
      <c r="E10" s="53" t="n"/>
      <c r="F10" s="23">
        <f>C10*MIN(E10,1)</f>
        <v/>
      </c>
      <c r="G10" s="51" t="inlineStr"/>
    </row>
    <row r="11" ht="28" customHeight="1">
      <c r="A11" s="17" t="n">
        <v>5</v>
      </c>
      <c r="B11" s="22" t="inlineStr">
        <is>
          <t>تطبيق معايير السلامة الميدانية</t>
        </is>
      </c>
      <c r="C11" s="74" t="n">
        <v>0.1</v>
      </c>
      <c r="D11" s="88" t="inlineStr">
        <is>
          <t>100%</t>
        </is>
      </c>
      <c r="E11" s="53" t="n"/>
      <c r="F11" s="23">
        <f>C11*MIN(E11,1)</f>
        <v/>
      </c>
      <c r="G11" s="51" t="inlineStr"/>
    </row>
    <row r="12" ht="28" customHeight="1">
      <c r="A12" s="17" t="n">
        <v>6</v>
      </c>
      <c r="B12" s="22" t="inlineStr">
        <is>
          <t>متابعة الشكاوى وإغلاقها</t>
        </is>
      </c>
      <c r="C12" s="74" t="n">
        <v>0.1</v>
      </c>
      <c r="D12" s="88" t="inlineStr">
        <is>
          <t>الاستجابة خلال 24 ساعة</t>
        </is>
      </c>
      <c r="E12" s="53" t="n"/>
      <c r="F12" s="23">
        <f>C12*MIN(E12,1)</f>
        <v/>
      </c>
      <c r="G12" s="51" t="inlineStr"/>
    </row>
    <row r="13">
      <c r="A13" s="80" t="inlineStr"/>
      <c r="B13" s="81" t="inlineStr">
        <is>
          <t>المجموع الكلي</t>
        </is>
      </c>
      <c r="C13" s="89">
        <f>SUM(C7:C12)</f>
        <v/>
      </c>
      <c r="D13" s="80" t="inlineStr"/>
      <c r="E13" s="81" t="inlineStr">
        <is>
          <t>الدرجة:</t>
        </is>
      </c>
      <c r="F13" s="90">
        <f>SUM(F7:F12)</f>
        <v/>
      </c>
      <c r="G13" s="80" t="inlineStr"/>
    </row>
    <row r="14">
      <c r="B14" s="5" t="inlineStr">
        <is>
          <t>التقدير</t>
        </is>
      </c>
      <c r="C14" s="26">
        <f>IF(F13&gt;=0.9,"ممتاز",IF(F13&gt;=0.8,"جيد جداً",IF(F13&gt;=0.7,"جيد",IF(F13&gt;=0.6,"مقبول","ضعيف"))))</f>
        <v/>
      </c>
      <c r="D14" s="43" t="n"/>
    </row>
    <row r="16">
      <c r="B16" s="5" t="inlineStr">
        <is>
          <t>سلّم التقييم</t>
        </is>
      </c>
      <c r="C16" s="42" t="n"/>
      <c r="D16" s="43" t="n"/>
    </row>
    <row r="17">
      <c r="B17" s="17" t="inlineStr">
        <is>
          <t>ممتاز</t>
        </is>
      </c>
      <c r="C17" s="21" t="inlineStr">
        <is>
          <t>90% – 100%</t>
        </is>
      </c>
      <c r="D17" s="22" t="inlineStr">
        <is>
          <t>تجاوز المستهدف</t>
        </is>
      </c>
    </row>
    <row r="18">
      <c r="B18" s="17" t="inlineStr">
        <is>
          <t>جيد جداً</t>
        </is>
      </c>
      <c r="C18" s="21" t="inlineStr">
        <is>
          <t>80% – 89%</t>
        </is>
      </c>
      <c r="D18" s="22" t="inlineStr">
        <is>
          <t>حقق المستهدف تقريباً</t>
        </is>
      </c>
    </row>
    <row r="19">
      <c r="B19" s="17" t="inlineStr">
        <is>
          <t>جيد</t>
        </is>
      </c>
      <c r="C19" s="21" t="inlineStr">
        <is>
          <t>70% – 79%</t>
        </is>
      </c>
      <c r="D19" s="22" t="inlineStr">
        <is>
          <t>حقق معظم المستهدفات</t>
        </is>
      </c>
    </row>
    <row r="20">
      <c r="B20" s="17" t="inlineStr">
        <is>
          <t>مقبول</t>
        </is>
      </c>
      <c r="C20" s="21" t="inlineStr">
        <is>
          <t>60% – 69%</t>
        </is>
      </c>
      <c r="D20" s="22" t="inlineStr">
        <is>
          <t>يحتاج تحسين</t>
        </is>
      </c>
    </row>
    <row r="21">
      <c r="B21" s="17" t="inlineStr">
        <is>
          <t>ضعيف</t>
        </is>
      </c>
      <c r="C21" s="21" t="inlineStr">
        <is>
          <t>أقل من 60%</t>
        </is>
      </c>
      <c r="D21"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B3:C3"/>
    <mergeCell ref="B5:C5"/>
    <mergeCell ref="E5:G5"/>
    <mergeCell ref="C14:D14"/>
    <mergeCell ref="A2:G2"/>
    <mergeCell ref="E4:G4"/>
    <mergeCell ref="E3:G3"/>
    <mergeCell ref="B4:C4"/>
    <mergeCell ref="B16:D16"/>
  </mergeCells>
  <dataValidations count="1">
    <dataValidation sqref="E7 E8 E9 E10 E11 E12"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22"/>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4" t="inlineStr">
        <is>
          <t>إدارة الامتياز التجاري · نموذج تقييم الأداء — مسؤول التعاقدات</t>
        </is>
      </c>
    </row>
    <row r="2">
      <c r="A2" s="50" t="inlineStr">
        <is>
          <t>الكود: FM-04  ·  ربع سنوي  ·  🟩 أدخل «نسبة التحقيق» فقط — الدرجة تُحسب تلقائياً</t>
        </is>
      </c>
    </row>
    <row r="3">
      <c r="A3" s="85" t="inlineStr">
        <is>
          <t>اسم الموظف:</t>
        </is>
      </c>
      <c r="B3" s="51" t="inlineStr"/>
      <c r="C3" s="86" t="n"/>
      <c r="D3" s="85" t="inlineStr">
        <is>
          <t>القسم: الامتياز التجاري</t>
        </is>
      </c>
      <c r="E3" s="51" t="inlineStr"/>
      <c r="F3" s="87" t="n"/>
      <c r="G3" s="86" t="n"/>
    </row>
    <row r="4">
      <c r="A4" s="85" t="inlineStr">
        <is>
          <t>المدير المباشر:</t>
        </is>
      </c>
      <c r="B4" s="51" t="inlineStr"/>
      <c r="C4" s="86" t="n"/>
      <c r="D4" s="85" t="inlineStr">
        <is>
          <t>الربع / السنة:</t>
        </is>
      </c>
      <c r="E4" s="51" t="inlineStr"/>
      <c r="F4" s="87" t="n"/>
      <c r="G4" s="86" t="n"/>
    </row>
    <row r="5">
      <c r="A5" s="85" t="inlineStr">
        <is>
          <t>تاريخ التقييم:</t>
        </is>
      </c>
      <c r="B5" s="51" t="inlineStr"/>
      <c r="C5" s="86" t="n"/>
      <c r="D5" s="85" t="inlineStr">
        <is>
          <t>حالة التقييم:</t>
        </is>
      </c>
      <c r="E5" s="51" t="inlineStr"/>
      <c r="F5" s="87" t="n"/>
      <c r="G5" s="86"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جودة التفاوض مع العملاء</t>
        </is>
      </c>
      <c r="C7" s="74" t="n">
        <v>0.2</v>
      </c>
      <c r="D7" s="88" t="inlineStr">
        <is>
          <t>98% توافق مع المستهدفات</t>
        </is>
      </c>
      <c r="E7" s="53" t="n"/>
      <c r="F7" s="23">
        <f>C7*MIN(E7,1)</f>
        <v/>
      </c>
      <c r="G7" s="51" t="inlineStr"/>
    </row>
    <row r="8" ht="28" customHeight="1">
      <c r="A8" s="17" t="n">
        <v>2</v>
      </c>
      <c r="B8" s="22" t="inlineStr">
        <is>
          <t>اكتمال المستندات النظامية قبل التوقيع</t>
        </is>
      </c>
      <c r="C8" s="74" t="n">
        <v>0.15</v>
      </c>
      <c r="D8" s="88" t="inlineStr">
        <is>
          <t>100%</t>
        </is>
      </c>
      <c r="E8" s="53" t="n"/>
      <c r="F8" s="23">
        <f>C8*MIN(E8,1)</f>
        <v/>
      </c>
      <c r="G8" s="51" t="inlineStr"/>
    </row>
    <row r="9" ht="28" customHeight="1">
      <c r="A9" s="17" t="n">
        <v>3</v>
      </c>
      <c r="B9" s="22" t="inlineStr">
        <is>
          <t>سرعة إنجاز إجراءات العقد</t>
        </is>
      </c>
      <c r="C9" s="74" t="n">
        <v>0.3</v>
      </c>
      <c r="D9" s="88" t="inlineStr">
        <is>
          <t>خلال يومي عمل 100%</t>
        </is>
      </c>
      <c r="E9" s="53" t="n"/>
      <c r="F9" s="23">
        <f>C9*MIN(E9,1)</f>
        <v/>
      </c>
      <c r="G9" s="51" t="inlineStr"/>
    </row>
    <row r="10" ht="28" customHeight="1">
      <c r="A10" s="17" t="n">
        <v>4</v>
      </c>
      <c r="B10" s="22" t="inlineStr">
        <is>
          <t>أرشفة العقود الإلكترونية</t>
        </is>
      </c>
      <c r="C10" s="74" t="n">
        <v>0.1</v>
      </c>
      <c r="D10" s="88" t="inlineStr">
        <is>
          <t>خلال 48 ساعة 100%</t>
        </is>
      </c>
      <c r="E10" s="53" t="n"/>
      <c r="F10" s="23">
        <f>C10*MIN(E10,1)</f>
        <v/>
      </c>
      <c r="G10" s="51" t="inlineStr"/>
    </row>
    <row r="11" ht="28" customHeight="1">
      <c r="A11" s="17" t="n">
        <v>5</v>
      </c>
      <c r="B11" s="22" t="inlineStr">
        <is>
          <t>متابعة تنفيذ بنود العقد</t>
        </is>
      </c>
      <c r="C11" s="74" t="n">
        <v>0.1</v>
      </c>
      <c r="D11" s="88" t="inlineStr">
        <is>
          <t>100%</t>
        </is>
      </c>
      <c r="E11" s="53" t="n"/>
      <c r="F11" s="23">
        <f>C11*MIN(E11,1)</f>
        <v/>
      </c>
      <c r="G11" s="51" t="inlineStr"/>
    </row>
    <row r="12" ht="28" customHeight="1">
      <c r="A12" s="17" t="n">
        <v>6</v>
      </c>
      <c r="B12" s="22" t="inlineStr">
        <is>
          <t>مدى رضا العملاء</t>
        </is>
      </c>
      <c r="C12" s="74" t="n">
        <v>0.1</v>
      </c>
      <c r="D12" s="88" t="inlineStr">
        <is>
          <t>95% رضا</t>
        </is>
      </c>
      <c r="E12" s="53" t="n"/>
      <c r="F12" s="23">
        <f>C12*MIN(E12,1)</f>
        <v/>
      </c>
      <c r="G12" s="51" t="inlineStr"/>
    </row>
    <row r="13" ht="28" customHeight="1">
      <c r="A13" s="17" t="n">
        <v>7</v>
      </c>
      <c r="B13" s="22" t="inlineStr">
        <is>
          <t>تحديث قاعدة بيانات العملاء</t>
        </is>
      </c>
      <c r="C13" s="74" t="n">
        <v>0.05</v>
      </c>
      <c r="D13" s="88" t="inlineStr">
        <is>
          <t>100% دوري</t>
        </is>
      </c>
      <c r="E13" s="53" t="n"/>
      <c r="F13" s="23">
        <f>C13*MIN(E13,1)</f>
        <v/>
      </c>
      <c r="G13" s="51" t="inlineStr"/>
    </row>
    <row r="14">
      <c r="A14" s="80" t="inlineStr"/>
      <c r="B14" s="81" t="inlineStr">
        <is>
          <t>المجموع الكلي</t>
        </is>
      </c>
      <c r="C14" s="89">
        <f>SUM(C7:C13)</f>
        <v/>
      </c>
      <c r="D14" s="80" t="inlineStr"/>
      <c r="E14" s="81" t="inlineStr">
        <is>
          <t>الدرجة:</t>
        </is>
      </c>
      <c r="F14" s="90">
        <f>SUM(F7:F13)</f>
        <v/>
      </c>
      <c r="G14" s="80" t="inlineStr"/>
    </row>
    <row r="15">
      <c r="B15" s="5" t="inlineStr">
        <is>
          <t>التقدير</t>
        </is>
      </c>
      <c r="C15" s="26">
        <f>IF(F14&gt;=0.9,"ممتاز",IF(F14&gt;=0.8,"جيد جداً",IF(F14&gt;=0.7,"جيد",IF(F14&gt;=0.6,"مقبول","ضعيف"))))</f>
        <v/>
      </c>
      <c r="D15" s="43" t="n"/>
    </row>
    <row r="17">
      <c r="B17" s="5" t="inlineStr">
        <is>
          <t>سلّم التقييم</t>
        </is>
      </c>
      <c r="C17" s="42" t="n"/>
      <c r="D17" s="43" t="n"/>
    </row>
    <row r="18">
      <c r="B18" s="17" t="inlineStr">
        <is>
          <t>ممتاز</t>
        </is>
      </c>
      <c r="C18" s="21" t="inlineStr">
        <is>
          <t>90% – 100%</t>
        </is>
      </c>
      <c r="D18" s="22" t="inlineStr">
        <is>
          <t>تجاوز المستهدف</t>
        </is>
      </c>
    </row>
    <row r="19">
      <c r="B19" s="17" t="inlineStr">
        <is>
          <t>جيد جداً</t>
        </is>
      </c>
      <c r="C19" s="21" t="inlineStr">
        <is>
          <t>80% – 89%</t>
        </is>
      </c>
      <c r="D19" s="22" t="inlineStr">
        <is>
          <t>حقق المستهدف تقريباً</t>
        </is>
      </c>
    </row>
    <row r="20">
      <c r="B20" s="17" t="inlineStr">
        <is>
          <t>جيد</t>
        </is>
      </c>
      <c r="C20" s="21" t="inlineStr">
        <is>
          <t>70% – 79%</t>
        </is>
      </c>
      <c r="D20" s="22" t="inlineStr">
        <is>
          <t>حقق معظم المستهدفات</t>
        </is>
      </c>
    </row>
    <row r="21">
      <c r="B21" s="17" t="inlineStr">
        <is>
          <t>مقبول</t>
        </is>
      </c>
      <c r="C21" s="21" t="inlineStr">
        <is>
          <t>60% – 69%</t>
        </is>
      </c>
      <c r="D21" s="22" t="inlineStr">
        <is>
          <t>يحتاج تحسين</t>
        </is>
      </c>
    </row>
    <row r="22">
      <c r="B22" s="17" t="inlineStr">
        <is>
          <t>ضعيف</t>
        </is>
      </c>
      <c r="C22" s="21" t="inlineStr">
        <is>
          <t>أقل من 60%</t>
        </is>
      </c>
      <c r="D22"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5:D15"/>
    <mergeCell ref="B3:C3"/>
    <mergeCell ref="B5:C5"/>
    <mergeCell ref="E5:G5"/>
    <mergeCell ref="B17:D17"/>
    <mergeCell ref="A2:G2"/>
    <mergeCell ref="E4:G4"/>
    <mergeCell ref="E3:G3"/>
    <mergeCell ref="B4:C4"/>
  </mergeCells>
  <dataValidations count="1">
    <dataValidation sqref="E7 E8 E9 E10 E11 E12 E13"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20"/>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4" t="inlineStr">
        <is>
          <t>إدارة الامتياز التجاري · نموذج تقييم الأداء — الموظف الإداري</t>
        </is>
      </c>
    </row>
    <row r="2">
      <c r="A2" s="50" t="inlineStr">
        <is>
          <t>الكود: FM-05  ·  ربع سنوي  ·  🟩 أدخل «نسبة التحقيق» فقط — الدرجة تُحسب تلقائياً</t>
        </is>
      </c>
    </row>
    <row r="3">
      <c r="A3" s="85" t="inlineStr">
        <is>
          <t>اسم الموظف:</t>
        </is>
      </c>
      <c r="B3" s="51" t="inlineStr"/>
      <c r="C3" s="86" t="n"/>
      <c r="D3" s="85" t="inlineStr">
        <is>
          <t>القسم: الامتياز التجاري</t>
        </is>
      </c>
      <c r="E3" s="51" t="inlineStr"/>
      <c r="F3" s="87" t="n"/>
      <c r="G3" s="86" t="n"/>
    </row>
    <row r="4">
      <c r="A4" s="85" t="inlineStr">
        <is>
          <t>المدير المباشر:</t>
        </is>
      </c>
      <c r="B4" s="51" t="inlineStr"/>
      <c r="C4" s="86" t="n"/>
      <c r="D4" s="85" t="inlineStr">
        <is>
          <t>الربع / السنة:</t>
        </is>
      </c>
      <c r="E4" s="51" t="inlineStr"/>
      <c r="F4" s="87" t="n"/>
      <c r="G4" s="86" t="n"/>
    </row>
    <row r="5">
      <c r="A5" s="85" t="inlineStr">
        <is>
          <t>تاريخ التقييم:</t>
        </is>
      </c>
      <c r="B5" s="51" t="inlineStr"/>
      <c r="C5" s="86" t="n"/>
      <c r="D5" s="85" t="inlineStr">
        <is>
          <t>حالة التقييم:</t>
        </is>
      </c>
      <c r="E5" s="51" t="inlineStr"/>
      <c r="F5" s="87" t="n"/>
      <c r="G5" s="86"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دقة وسرعة إعداد التقارير الدورية</t>
        </is>
      </c>
      <c r="C7" s="74" t="n">
        <v>0.3</v>
      </c>
      <c r="D7" s="88" t="inlineStr">
        <is>
          <t>100% في الوقت المحدد</t>
        </is>
      </c>
      <c r="E7" s="53" t="n"/>
      <c r="F7" s="23">
        <f>C7*MIN(E7,1)</f>
        <v/>
      </c>
      <c r="G7" s="51" t="inlineStr"/>
    </row>
    <row r="8" ht="28" customHeight="1">
      <c r="A8" s="17" t="n">
        <v>2</v>
      </c>
      <c r="B8" s="22" t="inlineStr">
        <is>
          <t>متابعة الشكاوى وحالات العملاء</t>
        </is>
      </c>
      <c r="C8" s="74" t="n">
        <v>0.3</v>
      </c>
      <c r="D8" s="88" t="inlineStr">
        <is>
          <t>100% حتى الإغلاق</t>
        </is>
      </c>
      <c r="E8" s="53" t="n"/>
      <c r="F8" s="23">
        <f>C8*MIN(E8,1)</f>
        <v/>
      </c>
      <c r="G8" s="51" t="inlineStr"/>
    </row>
    <row r="9" ht="28" customHeight="1">
      <c r="A9" s="17" t="n">
        <v>3</v>
      </c>
      <c r="B9" s="22" t="inlineStr">
        <is>
          <t>متابعة عمولات تأجير الوحدات</t>
        </is>
      </c>
      <c r="C9" s="74" t="n">
        <v>0.2</v>
      </c>
      <c r="D9" s="88" t="inlineStr">
        <is>
          <t>100%</t>
        </is>
      </c>
      <c r="E9" s="53" t="n"/>
      <c r="F9" s="23">
        <f>C9*MIN(E9,1)</f>
        <v/>
      </c>
      <c r="G9" s="51" t="inlineStr"/>
    </row>
    <row r="10" ht="28" customHeight="1">
      <c r="A10" s="17" t="n">
        <v>4</v>
      </c>
      <c r="B10" s="22" t="inlineStr">
        <is>
          <t>تحديث بيانات العملاء والمحطات</t>
        </is>
      </c>
      <c r="C10" s="74" t="n">
        <v>0.1</v>
      </c>
      <c r="D10" s="88" t="inlineStr">
        <is>
          <t>100% دقة</t>
        </is>
      </c>
      <c r="E10" s="53" t="n"/>
      <c r="F10" s="23">
        <f>C10*MIN(E10,1)</f>
        <v/>
      </c>
      <c r="G10" s="51" t="inlineStr"/>
    </row>
    <row r="11" ht="28" customHeight="1">
      <c r="A11" s="17" t="n">
        <v>5</v>
      </c>
      <c r="B11" s="22" t="inlineStr">
        <is>
          <t>إعداد المراسلات الرسمية</t>
        </is>
      </c>
      <c r="C11" s="74" t="n">
        <v>0.1</v>
      </c>
      <c r="D11" s="88" t="inlineStr">
        <is>
          <t>100% في الوقت المحدد</t>
        </is>
      </c>
      <c r="E11" s="53" t="n"/>
      <c r="F11" s="23">
        <f>C11*MIN(E11,1)</f>
        <v/>
      </c>
      <c r="G11" s="51" t="inlineStr"/>
    </row>
    <row r="12">
      <c r="A12" s="80" t="inlineStr"/>
      <c r="B12" s="81" t="inlineStr">
        <is>
          <t>المجموع الكلي</t>
        </is>
      </c>
      <c r="C12" s="89">
        <f>SUM(C7:C11)</f>
        <v/>
      </c>
      <c r="D12" s="80" t="inlineStr"/>
      <c r="E12" s="81" t="inlineStr">
        <is>
          <t>الدرجة:</t>
        </is>
      </c>
      <c r="F12" s="90">
        <f>SUM(F7:F11)</f>
        <v/>
      </c>
      <c r="G12" s="80" t="inlineStr"/>
    </row>
    <row r="13">
      <c r="B13" s="5" t="inlineStr">
        <is>
          <t>التقدير</t>
        </is>
      </c>
      <c r="C13" s="26">
        <f>IF(F12&gt;=0.9,"ممتاز",IF(F12&gt;=0.8,"جيد جداً",IF(F12&gt;=0.7,"جيد",IF(F12&gt;=0.6,"مقبول","ضعيف"))))</f>
        <v/>
      </c>
      <c r="D13" s="43" t="n"/>
    </row>
    <row r="15">
      <c r="B15" s="5" t="inlineStr">
        <is>
          <t>سلّم التقييم</t>
        </is>
      </c>
      <c r="C15" s="42" t="n"/>
      <c r="D15" s="43" t="n"/>
    </row>
    <row r="16">
      <c r="B16" s="17" t="inlineStr">
        <is>
          <t>ممتاز</t>
        </is>
      </c>
      <c r="C16" s="21" t="inlineStr">
        <is>
          <t>90% – 100%</t>
        </is>
      </c>
      <c r="D16" s="22" t="inlineStr">
        <is>
          <t>تجاوز المستهدف</t>
        </is>
      </c>
    </row>
    <row r="17">
      <c r="B17" s="17" t="inlineStr">
        <is>
          <t>جيد جداً</t>
        </is>
      </c>
      <c r="C17" s="21" t="inlineStr">
        <is>
          <t>80% – 89%</t>
        </is>
      </c>
      <c r="D17" s="22" t="inlineStr">
        <is>
          <t>حقق المستهدف تقريباً</t>
        </is>
      </c>
    </row>
    <row r="18">
      <c r="B18" s="17" t="inlineStr">
        <is>
          <t>جيد</t>
        </is>
      </c>
      <c r="C18" s="21" t="inlineStr">
        <is>
          <t>70% – 79%</t>
        </is>
      </c>
      <c r="D18" s="22" t="inlineStr">
        <is>
          <t>حقق معظم المستهدفات</t>
        </is>
      </c>
    </row>
    <row r="19">
      <c r="B19" s="17" t="inlineStr">
        <is>
          <t>مقبول</t>
        </is>
      </c>
      <c r="C19" s="21" t="inlineStr">
        <is>
          <t>60% – 69%</t>
        </is>
      </c>
      <c r="D19" s="22" t="inlineStr">
        <is>
          <t>يحتاج تحسين</t>
        </is>
      </c>
    </row>
    <row r="20">
      <c r="B20" s="17" t="inlineStr">
        <is>
          <t>ضعيف</t>
        </is>
      </c>
      <c r="C20" s="21" t="inlineStr">
        <is>
          <t>أقل من 60%</t>
        </is>
      </c>
      <c r="D20"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B3:C3"/>
    <mergeCell ref="B5:C5"/>
    <mergeCell ref="E5:G5"/>
    <mergeCell ref="A2:G2"/>
    <mergeCell ref="E4:G4"/>
    <mergeCell ref="C13:D13"/>
    <mergeCell ref="E3:G3"/>
    <mergeCell ref="B15:D15"/>
    <mergeCell ref="B4:C4"/>
  </mergeCells>
  <dataValidations count="1">
    <dataValidation sqref="E7 E8 E9 E10 E11"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H20"/>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إدارة التشغيل والمحطات · مؤشرات الأداء 2026  (16 مؤشر / 7 محاور)</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النمو</t>
        </is>
      </c>
      <c r="C4" s="22" t="inlineStr">
        <is>
          <t>عدد المحطات المشغّلة (تراكمي)</t>
        </is>
      </c>
      <c r="D4" s="60" t="inlineStr">
        <is>
          <t>محطة</t>
        </is>
      </c>
      <c r="E4" s="60" t="inlineStr">
        <is>
          <t>↑</t>
        </is>
      </c>
      <c r="F4" s="60" t="inlineStr">
        <is>
          <t>LAST</t>
        </is>
      </c>
      <c r="G4" s="61" t="n">
        <v>85</v>
      </c>
      <c r="H4" s="62" t="inlineStr">
        <is>
          <t>85 محطة</t>
        </is>
      </c>
      <c r="I4" s="63" t="n"/>
      <c r="J4" s="63" t="n"/>
      <c r="K4" s="63" t="n"/>
      <c r="L4" s="63" t="n"/>
      <c r="M4" s="63" t="n"/>
      <c r="N4" s="63" t="n"/>
      <c r="O4" s="63" t="n"/>
      <c r="P4" s="63" t="n"/>
      <c r="Q4" s="63" t="n"/>
      <c r="R4" s="63" t="n"/>
      <c r="S4" s="63" t="n"/>
      <c r="T4" s="63" t="n"/>
      <c r="U4" s="64">
        <f>IF($F4="SUM",IF(COUNT($I4:$T4)=0,"",SUM($I4:$T4)),IF($F4="AVG",IFERROR(AVERAGE($I4:$T4),""),IF($F4="LAST",IFERROR(LOOKUP(2,1/($I4:$T4&lt;&gt;""),$I4:$T4),""),"")))</f>
        <v/>
      </c>
      <c r="V4" s="23">
        <f>IF($G4="","",IF($U4="","",IF($G4=0,IF($U4&lt;=0,1,0),IF($E4="↓",IFERROR($G4/$U4,0),IFERROR($U4/$G4,0)))))</f>
        <v/>
      </c>
      <c r="W4" s="17">
        <f>IF($V4="","—",IF($V4&gt;=1,"✅ محقق",IF($V4&gt;=0.85,"🟡 قريب","🔴 تحت الهدف")))</f>
        <v/>
      </c>
      <c r="X4" s="65" t="inlineStr">
        <is>
          <t>النمو</t>
        </is>
      </c>
      <c r="Y4" s="22" t="inlineStr">
        <is>
          <t>التوسع في المواقع</t>
        </is>
      </c>
      <c r="Z4" s="66" t="n"/>
      <c r="AA4" s="21" t="inlineStr">
        <is>
          <t>🔵 قائد</t>
        </is>
      </c>
      <c r="AB4" s="53" t="n">
        <v>0.0625</v>
      </c>
      <c r="AC4" s="23">
        <f>IF($V4="","",$AB4*MIN($V4,1))</f>
        <v/>
      </c>
      <c r="AD4" s="61">
        <f>IF($G4="","",IF($F4="SUM",IF('لوحة الإدارة التنفيذية'!$P$2="","",$G4/12*'لوحة الإدارة التنفيذية'!$P$2),$G4))</f>
        <v/>
      </c>
      <c r="AE4" s="67">
        <f>IF($F4="SUM",IF(OR('لوحة الإدارة التنفيذية'!$P$2="",'لوحة الإدارة التنفيذية'!$P$2=0),"",IF($U4="","",$U4/'لوحة الإدارة التنفيذية'!$P$2*12)),IF($U4="","",$U4))</f>
        <v/>
      </c>
      <c r="AF4" s="61">
        <f>IF(OR($AE4="",$G4=""),"",$AE4-$G4)</f>
        <v/>
      </c>
      <c r="AG4" s="17">
        <f>IF(OR($AE4="",$G4=""),"—",IF($E4="↓",IF($AE4&lt;=$G4,"🟢 على المسار",IF($AE4&lt;=$G4*1.1,"🟡 متابعة","🔴 خطر")),IF($AE4&gt;=$G4,"🟢 على المسار",IF($AE4&gt;=$G4*0.85,"🟡 متابعة","🔴 خطر"))))</f>
        <v/>
      </c>
      <c r="AH4" s="68" t="inlineStr">
        <is>
          <t>العمليات الداخلية</t>
        </is>
      </c>
    </row>
    <row r="5" ht="26" customHeight="1">
      <c r="A5" s="17" t="n">
        <v>2</v>
      </c>
      <c r="B5" s="22" t="inlineStr">
        <is>
          <t>الربحية</t>
        </is>
      </c>
      <c r="C5" s="22" t="inlineStr">
        <is>
          <t>نمو مبيعات بنزين 91 مقارنة بالعام السابق</t>
        </is>
      </c>
      <c r="D5" s="60" t="inlineStr">
        <is>
          <t>%</t>
        </is>
      </c>
      <c r="E5" s="60" t="inlineStr">
        <is>
          <t>↑</t>
        </is>
      </c>
      <c r="F5" s="60" t="inlineStr">
        <is>
          <t>AVG</t>
        </is>
      </c>
      <c r="G5" s="60" t="inlineStr"/>
      <c r="H5" s="62" t="inlineStr">
        <is>
          <t>يُحدد لاحقاً</t>
        </is>
      </c>
      <c r="I5" s="73" t="n"/>
      <c r="J5" s="73" t="n"/>
      <c r="K5" s="73" t="n"/>
      <c r="L5" s="73" t="n"/>
      <c r="M5" s="73" t="n"/>
      <c r="N5" s="73" t="n"/>
      <c r="O5" s="73" t="n"/>
      <c r="P5" s="73" t="n"/>
      <c r="Q5" s="73" t="n"/>
      <c r="R5" s="73" t="n"/>
      <c r="S5" s="73" t="n"/>
      <c r="T5" s="73" t="n"/>
      <c r="U5" s="59">
        <f>IF($F5="SUM",IF(COUNT($I5:$T5)=0,"",SUM($I5:$T5)),IF($F5="AVG",IFERROR(AVERAGE($I5:$T5),""),IF($F5="LAST",IFERROR(LOOKUP(2,1/($I5:$T5&lt;&gt;""),$I5:$T5),""),"")))</f>
        <v/>
      </c>
      <c r="V5" s="23">
        <f>IF($G5="","",IF($U5="","",IF($G5=0,IF($U5&lt;=0,1,0),IF($E5="↓",IFERROR($G5/$U5,0),IFERROR($U5/$G5,0)))))</f>
        <v/>
      </c>
      <c r="W5" s="17">
        <f>IF($V5="","—",IF($V5&gt;=1,"✅ محقق",IF($V5&gt;=0.85,"🟡 قريب","🔴 تحت الهدف")))</f>
        <v/>
      </c>
      <c r="X5" s="65" t="inlineStr">
        <is>
          <t>النمو</t>
        </is>
      </c>
      <c r="Y5" s="22" t="inlineStr">
        <is>
          <t>زيادة وصول العملاء</t>
        </is>
      </c>
      <c r="Z5" s="53" t="n"/>
      <c r="AA5" s="21" t="inlineStr">
        <is>
          <t>🔵 قائد</t>
        </is>
      </c>
      <c r="AB5" s="53" t="n">
        <v>0.0625</v>
      </c>
      <c r="AC5" s="23">
        <f>IF($V5="","",$AB5*MIN($V5,1))</f>
        <v/>
      </c>
      <c r="AD5" s="74">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74">
        <f>IF(OR($AE5="",$G5=""),"",$AE5-$G5)</f>
        <v/>
      </c>
      <c r="AG5" s="17">
        <f>IF(OR($AE5="",$G5=""),"—",IF($E5="↓",IF($AE5&lt;=$G5,"🟢 على المسار",IF($AE5&lt;=$G5*1.1,"🟡 متابعة","🔴 خطر")),IF($AE5&gt;=$G5,"🟢 على المسار",IF($AE5&gt;=$G5*0.85,"🟡 متابعة","🔴 خطر"))))</f>
        <v/>
      </c>
      <c r="AH5" s="68" t="inlineStr">
        <is>
          <t>مالي</t>
        </is>
      </c>
    </row>
    <row r="6" ht="26" customHeight="1">
      <c r="A6" s="17" t="n">
        <v>3</v>
      </c>
      <c r="B6" s="22" t="inlineStr">
        <is>
          <t>الربحية</t>
        </is>
      </c>
      <c r="C6" s="22" t="inlineStr">
        <is>
          <t>نمو مبيعات بنزين 95 مقارنة بالعام السابق</t>
        </is>
      </c>
      <c r="D6" s="60" t="inlineStr">
        <is>
          <t>%</t>
        </is>
      </c>
      <c r="E6" s="60" t="inlineStr">
        <is>
          <t>↑</t>
        </is>
      </c>
      <c r="F6" s="60" t="inlineStr">
        <is>
          <t>AVG</t>
        </is>
      </c>
      <c r="G6" s="60" t="inlineStr"/>
      <c r="H6" s="62" t="inlineStr">
        <is>
          <t>يُحدد لاحقاً</t>
        </is>
      </c>
      <c r="I6" s="73" t="n"/>
      <c r="J6" s="73" t="n"/>
      <c r="K6" s="73" t="n"/>
      <c r="L6" s="73" t="n"/>
      <c r="M6" s="73" t="n"/>
      <c r="N6" s="73" t="n"/>
      <c r="O6" s="73" t="n"/>
      <c r="P6" s="73" t="n"/>
      <c r="Q6" s="73" t="n"/>
      <c r="R6" s="73" t="n"/>
      <c r="S6" s="73" t="n"/>
      <c r="T6" s="73" t="n"/>
      <c r="U6" s="59">
        <f>IF($F6="SUM",IF(COUNT($I6:$T6)=0,"",SUM($I6:$T6)),IF($F6="AVG",IFERROR(AVERAGE($I6:$T6),""),IF($F6="LAST",IFERROR(LOOKUP(2,1/($I6:$T6&lt;&gt;""),$I6:$T6),""),"")))</f>
        <v/>
      </c>
      <c r="V6" s="23">
        <f>IF($G6="","",IF($U6="","",IF($G6=0,IF($U6&lt;=0,1,0),IF($E6="↓",IFERROR($G6/$U6,0),IFERROR($U6/$G6,0)))))</f>
        <v/>
      </c>
      <c r="W6" s="17">
        <f>IF($V6="","—",IF($V6&gt;=1,"✅ محقق",IF($V6&gt;=0.85,"🟡 قريب","🔴 تحت الهدف")))</f>
        <v/>
      </c>
      <c r="X6" s="65" t="inlineStr">
        <is>
          <t>النمو</t>
        </is>
      </c>
      <c r="Y6" s="22" t="inlineStr">
        <is>
          <t>زيادة وصول العملاء</t>
        </is>
      </c>
      <c r="Z6" s="53" t="n"/>
      <c r="AA6" s="21" t="inlineStr">
        <is>
          <t>🔵 قائد</t>
        </is>
      </c>
      <c r="AB6" s="53" t="n">
        <v>0.0625</v>
      </c>
      <c r="AC6" s="23">
        <f>IF($V6="","",$AB6*MIN($V6,1))</f>
        <v/>
      </c>
      <c r="AD6" s="74">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74">
        <f>IF(OR($AE6="",$G6=""),"",$AE6-$G6)</f>
        <v/>
      </c>
      <c r="AG6" s="17">
        <f>IF(OR($AE6="",$G6=""),"—",IF($E6="↓",IF($AE6&lt;=$G6,"🟢 على المسار",IF($AE6&lt;=$G6*1.1,"🟡 متابعة","🔴 خطر")),IF($AE6&gt;=$G6,"🟢 على المسار",IF($AE6&gt;=$G6*0.85,"🟡 متابعة","🔴 خطر"))))</f>
        <v/>
      </c>
      <c r="AH6" s="68" t="inlineStr">
        <is>
          <t>مالي</t>
        </is>
      </c>
    </row>
    <row r="7" ht="26" customHeight="1">
      <c r="A7" s="17" t="n">
        <v>4</v>
      </c>
      <c r="B7" s="22" t="inlineStr">
        <is>
          <t>الربحية</t>
        </is>
      </c>
      <c r="C7" s="22" t="inlineStr">
        <is>
          <t>نمو مبيعات بنزين 98 مقارنة بالعام السابق</t>
        </is>
      </c>
      <c r="D7" s="60" t="inlineStr">
        <is>
          <t>%</t>
        </is>
      </c>
      <c r="E7" s="60" t="inlineStr">
        <is>
          <t>↑</t>
        </is>
      </c>
      <c r="F7" s="60" t="inlineStr">
        <is>
          <t>AVG</t>
        </is>
      </c>
      <c r="G7" s="60" t="inlineStr"/>
      <c r="H7" s="62" t="inlineStr">
        <is>
          <t>يُحدد لاحقاً</t>
        </is>
      </c>
      <c r="I7" s="73" t="n"/>
      <c r="J7" s="73" t="n"/>
      <c r="K7" s="73" t="n"/>
      <c r="L7" s="73" t="n"/>
      <c r="M7" s="73" t="n"/>
      <c r="N7" s="73" t="n"/>
      <c r="O7" s="73" t="n"/>
      <c r="P7" s="73" t="n"/>
      <c r="Q7" s="73" t="n"/>
      <c r="R7" s="73" t="n"/>
      <c r="S7" s="73" t="n"/>
      <c r="T7" s="73" t="n"/>
      <c r="U7" s="59">
        <f>IF($F7="SUM",IF(COUNT($I7:$T7)=0,"",SUM($I7:$T7)),IF($F7="AVG",IFERROR(AVERAGE($I7:$T7),""),IF($F7="LAST",IFERROR(LOOKUP(2,1/($I7:$T7&lt;&gt;""),$I7:$T7),""),"")))</f>
        <v/>
      </c>
      <c r="V7" s="23">
        <f>IF($G7="","",IF($U7="","",IF($G7=0,IF($U7&lt;=0,1,0),IF($E7="↓",IFERROR($G7/$U7,0),IFERROR($U7/$G7,0)))))</f>
        <v/>
      </c>
      <c r="W7" s="17">
        <f>IF($V7="","—",IF($V7&gt;=1,"✅ محقق",IF($V7&gt;=0.85,"🟡 قريب","🔴 تحت الهدف")))</f>
        <v/>
      </c>
      <c r="X7" s="65" t="inlineStr">
        <is>
          <t>النمو</t>
        </is>
      </c>
      <c r="Y7" s="22" t="inlineStr">
        <is>
          <t>زيادة وصول العملاء</t>
        </is>
      </c>
      <c r="Z7" s="53" t="n"/>
      <c r="AA7" s="21" t="inlineStr">
        <is>
          <t>🔵 قائد</t>
        </is>
      </c>
      <c r="AB7" s="53" t="n">
        <v>0.0625</v>
      </c>
      <c r="AC7" s="23">
        <f>IF($V7="","",$AB7*MIN($V7,1))</f>
        <v/>
      </c>
      <c r="AD7" s="74">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4">
        <f>IF(OR($AE7="",$G7=""),"",$AE7-$G7)</f>
        <v/>
      </c>
      <c r="AG7" s="17">
        <f>IF(OR($AE7="",$G7=""),"—",IF($E7="↓",IF($AE7&lt;=$G7,"🟢 على المسار",IF($AE7&lt;=$G7*1.1,"🟡 متابعة","🔴 خطر")),IF($AE7&gt;=$G7,"🟢 على المسار",IF($AE7&gt;=$G7*0.85,"🟡 متابعة","🔴 خطر"))))</f>
        <v/>
      </c>
      <c r="AH7" s="68" t="inlineStr">
        <is>
          <t>مالي</t>
        </is>
      </c>
    </row>
    <row r="8" ht="26" customHeight="1">
      <c r="A8" s="17" t="n">
        <v>5</v>
      </c>
      <c r="B8" s="22" t="inlineStr">
        <is>
          <t>الربحية</t>
        </is>
      </c>
      <c r="C8" s="22" t="inlineStr">
        <is>
          <t>نمو مبيعات الديزل مقارنة بالعام السابق</t>
        </is>
      </c>
      <c r="D8" s="60" t="inlineStr">
        <is>
          <t>%</t>
        </is>
      </c>
      <c r="E8" s="60" t="inlineStr">
        <is>
          <t>↑</t>
        </is>
      </c>
      <c r="F8" s="60" t="inlineStr">
        <is>
          <t>AVG</t>
        </is>
      </c>
      <c r="G8" s="60" t="inlineStr"/>
      <c r="H8" s="62" t="inlineStr">
        <is>
          <t>يُحدد لاحقاً</t>
        </is>
      </c>
      <c r="I8" s="73" t="n"/>
      <c r="J8" s="73" t="n"/>
      <c r="K8" s="73" t="n"/>
      <c r="L8" s="73" t="n"/>
      <c r="M8" s="73" t="n"/>
      <c r="N8" s="73" t="n"/>
      <c r="O8" s="73" t="n"/>
      <c r="P8" s="73" t="n"/>
      <c r="Q8" s="73" t="n"/>
      <c r="R8" s="73" t="n"/>
      <c r="S8" s="73" t="n"/>
      <c r="T8" s="73" t="n"/>
      <c r="U8" s="59">
        <f>IF($F8="SUM",IF(COUNT($I8:$T8)=0,"",SUM($I8:$T8)),IF($F8="AVG",IFERROR(AVERAGE($I8:$T8),""),IF($F8="LAST",IFERROR(LOOKUP(2,1/($I8:$T8&lt;&gt;""),$I8:$T8),""),"")))</f>
        <v/>
      </c>
      <c r="V8" s="23">
        <f>IF($G8="","",IF($U8="","",IF($G8=0,IF($U8&lt;=0,1,0),IF($E8="↓",IFERROR($G8/$U8,0),IFERROR($U8/$G8,0)))))</f>
        <v/>
      </c>
      <c r="W8" s="17">
        <f>IF($V8="","—",IF($V8&gt;=1,"✅ محقق",IF($V8&gt;=0.85,"🟡 قريب","🔴 تحت الهدف")))</f>
        <v/>
      </c>
      <c r="X8" s="65" t="inlineStr">
        <is>
          <t>النمو</t>
        </is>
      </c>
      <c r="Y8" s="22" t="inlineStr">
        <is>
          <t>زيادة وصول العملاء</t>
        </is>
      </c>
      <c r="Z8" s="53" t="n"/>
      <c r="AA8" s="21" t="inlineStr">
        <is>
          <t>🔵 قائد</t>
        </is>
      </c>
      <c r="AB8" s="53" t="n">
        <v>0.0625</v>
      </c>
      <c r="AC8" s="23">
        <f>IF($V8="","",$AB8*MIN($V8,1))</f>
        <v/>
      </c>
      <c r="AD8" s="74">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74">
        <f>IF(OR($AE8="",$G8=""),"",$AE8-$G8)</f>
        <v/>
      </c>
      <c r="AG8" s="17">
        <f>IF(OR($AE8="",$G8=""),"—",IF($E8="↓",IF($AE8&lt;=$G8,"🟢 على المسار",IF($AE8&lt;=$G8*1.1,"🟡 متابعة","🔴 خطر")),IF($AE8&gt;=$G8,"🟢 على المسار",IF($AE8&gt;=$G8*0.85,"🟡 متابعة","🔴 خطر"))))</f>
        <v/>
      </c>
      <c r="AH8" s="68" t="inlineStr">
        <is>
          <t>مالي</t>
        </is>
      </c>
    </row>
    <row r="9" ht="26" customHeight="1">
      <c r="A9" s="17" t="n">
        <v>6</v>
      </c>
      <c r="B9" s="22" t="inlineStr">
        <is>
          <t>حماية الإيراد</t>
        </is>
      </c>
      <c r="C9" s="22" t="inlineStr">
        <is>
          <t>نسبة جاهزية المحطة الشاملة (Uptime)</t>
        </is>
      </c>
      <c r="D9" s="60" t="inlineStr">
        <is>
          <t>%</t>
        </is>
      </c>
      <c r="E9" s="60" t="inlineStr">
        <is>
          <t>↑</t>
        </is>
      </c>
      <c r="F9" s="60" t="inlineStr">
        <is>
          <t>AVG</t>
        </is>
      </c>
      <c r="G9" s="74" t="n">
        <v>0.99</v>
      </c>
      <c r="H9" s="62" t="inlineStr">
        <is>
          <t>99%+</t>
        </is>
      </c>
      <c r="I9" s="73" t="n"/>
      <c r="J9" s="73" t="n"/>
      <c r="K9" s="73" t="n"/>
      <c r="L9" s="73" t="n"/>
      <c r="M9" s="73" t="n"/>
      <c r="N9" s="73" t="n"/>
      <c r="O9" s="73" t="n"/>
      <c r="P9" s="73" t="n"/>
      <c r="Q9" s="73" t="n"/>
      <c r="R9" s="73" t="n"/>
      <c r="S9" s="73" t="n"/>
      <c r="T9" s="73" t="n"/>
      <c r="U9" s="59">
        <f>IF($F9="SUM",IF(COUNT($I9:$T9)=0,"",SUM($I9:$T9)),IF($F9="AVG",IFERROR(AVERAGE($I9:$T9),""),IF($F9="LAST",IFERROR(LOOKUP(2,1/($I9:$T9&lt;&gt;""),$I9:$T9),""),"")))</f>
        <v/>
      </c>
      <c r="V9" s="23">
        <f>IF($G9="","",IF($U9="","",IF($G9=0,IF($U9&lt;=0,1,0),IF($E9="↓",IFERROR($G9/$U9,0),IFERROR($U9/$G9,0)))))</f>
        <v/>
      </c>
      <c r="W9" s="17">
        <f>IF($V9="","—",IF($V9&gt;=1,"✅ محقق",IF($V9&gt;=0.85,"🟡 قريب","🔴 تحت الهدف")))</f>
        <v/>
      </c>
      <c r="X9" s="65" t="inlineStr">
        <is>
          <t>الاستدامة</t>
        </is>
      </c>
      <c r="Y9" s="22" t="inlineStr">
        <is>
          <t>جودة التشغيل</t>
        </is>
      </c>
      <c r="Z9" s="53" t="n"/>
      <c r="AA9" s="21" t="inlineStr">
        <is>
          <t>🟣 لاحق</t>
        </is>
      </c>
      <c r="AB9" s="53" t="n">
        <v>0.0625</v>
      </c>
      <c r="AC9" s="23">
        <f>IF($V9="","",$AB9*MIN($V9,1))</f>
        <v/>
      </c>
      <c r="AD9" s="74">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4">
        <f>IF(OR($AE9="",$G9=""),"",$AE9-$G9)</f>
        <v/>
      </c>
      <c r="AG9" s="17">
        <f>IF(OR($AE9="",$G9=""),"—",IF($E9="↓",IF($AE9&lt;=$G9,"🟢 على المسار",IF($AE9&lt;=$G9*1.1,"🟡 متابعة","🔴 خطر")),IF($AE9&gt;=$G9,"🟢 على المسار",IF($AE9&gt;=$G9*0.85,"🟡 متابعة","🔴 خطر"))))</f>
        <v/>
      </c>
      <c r="AH9" s="68" t="inlineStr">
        <is>
          <t>العمليات الداخلية</t>
        </is>
      </c>
    </row>
    <row r="10" ht="26" customHeight="1">
      <c r="A10" s="17" t="n">
        <v>7</v>
      </c>
      <c r="B10" s="22" t="inlineStr">
        <is>
          <t>حماية الإيراد</t>
        </is>
      </c>
      <c r="C10" s="22" t="inlineStr">
        <is>
          <t>نسبة المضخات العاملة</t>
        </is>
      </c>
      <c r="D10" s="60" t="inlineStr">
        <is>
          <t>%</t>
        </is>
      </c>
      <c r="E10" s="60" t="inlineStr">
        <is>
          <t>↑</t>
        </is>
      </c>
      <c r="F10" s="60" t="inlineStr">
        <is>
          <t>AVG</t>
        </is>
      </c>
      <c r="G10" s="74" t="n">
        <v>0.97</v>
      </c>
      <c r="H10" s="62" t="inlineStr">
        <is>
          <t>≥ 97%</t>
        </is>
      </c>
      <c r="I10" s="73" t="n"/>
      <c r="J10" s="73" t="n"/>
      <c r="K10" s="73" t="n"/>
      <c r="L10" s="73" t="n"/>
      <c r="M10" s="73" t="n"/>
      <c r="N10" s="73" t="n"/>
      <c r="O10" s="73" t="n"/>
      <c r="P10" s="73" t="n"/>
      <c r="Q10" s="73" t="n"/>
      <c r="R10" s="73" t="n"/>
      <c r="S10" s="73" t="n"/>
      <c r="T10" s="73" t="n"/>
      <c r="U10" s="59">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is>
          <t>الاستدامة</t>
        </is>
      </c>
      <c r="Y10" s="22" t="inlineStr">
        <is>
          <t>جودة التشغيل</t>
        </is>
      </c>
      <c r="Z10" s="53" t="n"/>
      <c r="AA10" s="21" t="inlineStr">
        <is>
          <t>🟣 لاحق</t>
        </is>
      </c>
      <c r="AB10" s="53" t="n">
        <v>0.0625</v>
      </c>
      <c r="AC10" s="23">
        <f>IF($V10="","",$AB10*MIN($V10,1))</f>
        <v/>
      </c>
      <c r="AD10" s="74">
        <f>IF($G10="","",IF($F10="SUM",IF('لوحة الإدارة التنفيذية'!$P$2="","",$G10/12*'لوحة الإدارة التنفيذية'!$P$2),$G10))</f>
        <v/>
      </c>
      <c r="AE10" s="23">
        <f>IF($F10="SUM",IF(OR('لوحة الإدارة التنفيذية'!$P$2="",'لوحة الإدارة التنفيذية'!$P$2=0),"",IF($U10="","",$U10/'لوحة الإدارة التنفيذية'!$P$2*12)),IF($U10="","",$U10))</f>
        <v/>
      </c>
      <c r="AF10" s="74">
        <f>IF(OR($AE10="",$G10=""),"",$AE10-$G10)</f>
        <v/>
      </c>
      <c r="AG10" s="17">
        <f>IF(OR($AE10="",$G10=""),"—",IF($E10="↓",IF($AE10&lt;=$G10,"🟢 على المسار",IF($AE10&lt;=$G10*1.1,"🟡 متابعة","🔴 خطر")),IF($AE10&gt;=$G10,"🟢 على المسار",IF($AE10&gt;=$G10*0.85,"🟡 متابعة","🔴 خطر"))))</f>
        <v/>
      </c>
      <c r="AH10" s="68" t="inlineStr">
        <is>
          <t>العمليات الداخلية</t>
        </is>
      </c>
    </row>
    <row r="11" ht="26" customHeight="1">
      <c r="A11" s="17" t="n">
        <v>8</v>
      </c>
      <c r="B11" s="22" t="inlineStr">
        <is>
          <t>ضغط التكلفة</t>
        </is>
      </c>
      <c r="C11" s="22" t="inlineStr">
        <is>
          <t>تكلفة التشغيل لكل لتر مباع</t>
        </is>
      </c>
      <c r="D11" s="60" t="inlineStr">
        <is>
          <t>هللة/لتر</t>
        </is>
      </c>
      <c r="E11" s="60" t="inlineStr">
        <is>
          <t>↓</t>
        </is>
      </c>
      <c r="F11" s="60" t="inlineStr">
        <is>
          <t>AVG</t>
        </is>
      </c>
      <c r="G11" s="60" t="inlineStr"/>
      <c r="H11" s="62" t="inlineStr">
        <is>
          <t>خفض ≥5% سنوياً</t>
        </is>
      </c>
      <c r="I11" s="76" t="n"/>
      <c r="J11" s="76" t="n"/>
      <c r="K11" s="76" t="n"/>
      <c r="L11" s="76" t="n"/>
      <c r="M11" s="76" t="n"/>
      <c r="N11" s="76" t="n"/>
      <c r="O11" s="76" t="n"/>
      <c r="P11" s="76" t="n"/>
      <c r="Q11" s="76" t="n"/>
      <c r="R11" s="76" t="n"/>
      <c r="S11" s="76" t="n"/>
      <c r="T11" s="76" t="n"/>
      <c r="U11" s="77">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is>
          <t>الاستدامة</t>
        </is>
      </c>
      <c r="Y11" s="22" t="inlineStr">
        <is>
          <t>جودة التشغيل</t>
        </is>
      </c>
      <c r="Z11" s="78" t="n"/>
      <c r="AA11" s="21" t="inlineStr">
        <is>
          <t>🟣 لاحق</t>
        </is>
      </c>
      <c r="AB11" s="53" t="n">
        <v>0.0625</v>
      </c>
      <c r="AC11" s="23">
        <f>IF($V11="","",$AB11*MIN($V11,1))</f>
        <v/>
      </c>
      <c r="AD11" s="75">
        <f>IF($G11="","",IF($F11="SUM",IF('لوحة الإدارة التنفيذية'!$P$2="","",$G11/12*'لوحة الإدارة التنفيذية'!$P$2),$G11))</f>
        <v/>
      </c>
      <c r="AE11" s="79">
        <f>IF($F11="SUM",IF(OR('لوحة الإدارة التنفيذية'!$P$2="",'لوحة الإدارة التنفيذية'!$P$2=0),"",IF($U11="","",$U11/'لوحة الإدارة التنفيذية'!$P$2*12)),IF($U11="","",$U11))</f>
        <v/>
      </c>
      <c r="AF11" s="75">
        <f>IF(OR($AE11="",$G11=""),"",$AE11-$G11)</f>
        <v/>
      </c>
      <c r="AG11" s="17">
        <f>IF(OR($AE11="",$G11=""),"—",IF($E11="↓",IF($AE11&lt;=$G11,"🟢 على المسار",IF($AE11&lt;=$G11*1.1,"🟡 متابعة","🔴 خطر")),IF($AE11&gt;=$G11,"🟢 على المسار",IF($AE11&gt;=$G11*0.85,"🟡 متابعة","🔴 خطر"))))</f>
        <v/>
      </c>
      <c r="AH11" s="68" t="inlineStr">
        <is>
          <t>مالي</t>
        </is>
      </c>
    </row>
    <row r="12" ht="26" customHeight="1">
      <c r="A12" s="17" t="n">
        <v>9</v>
      </c>
      <c r="B12" s="22" t="inlineStr">
        <is>
          <t>حماية الأصول</t>
        </is>
      </c>
      <c r="C12" s="22" t="inlineStr">
        <is>
          <t>نسبة الصيانة الوقائية المنفذة في موعدها</t>
        </is>
      </c>
      <c r="D12" s="60" t="inlineStr">
        <is>
          <t>%</t>
        </is>
      </c>
      <c r="E12" s="60" t="inlineStr">
        <is>
          <t>↑</t>
        </is>
      </c>
      <c r="F12" s="60" t="inlineStr">
        <is>
          <t>AVG</t>
        </is>
      </c>
      <c r="G12" s="74" t="n">
        <v>0.95</v>
      </c>
      <c r="H12" s="62" t="inlineStr">
        <is>
          <t>≥ 95%</t>
        </is>
      </c>
      <c r="I12" s="73" t="n"/>
      <c r="J12" s="73" t="n"/>
      <c r="K12" s="73" t="n"/>
      <c r="L12" s="73" t="n"/>
      <c r="M12" s="73" t="n"/>
      <c r="N12" s="73" t="n"/>
      <c r="O12" s="73" t="n"/>
      <c r="P12" s="73" t="n"/>
      <c r="Q12" s="73" t="n"/>
      <c r="R12" s="73" t="n"/>
      <c r="S12" s="73" t="n"/>
      <c r="T12" s="73" t="n"/>
      <c r="U12" s="59">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is>
          <t>الاستدامة</t>
        </is>
      </c>
      <c r="Y12" s="22" t="inlineStr">
        <is>
          <t>جودة التشغيل</t>
        </is>
      </c>
      <c r="Z12" s="53" t="n"/>
      <c r="AA12" s="21" t="inlineStr">
        <is>
          <t>🟣 لاحق</t>
        </is>
      </c>
      <c r="AB12" s="53" t="n">
        <v>0.0625</v>
      </c>
      <c r="AC12" s="23">
        <f>IF($V12="","",$AB12*MIN($V12,1))</f>
        <v/>
      </c>
      <c r="AD12" s="74">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4">
        <f>IF(OR($AE12="",$G12=""),"",$AE12-$G12)</f>
        <v/>
      </c>
      <c r="AG12" s="17">
        <f>IF(OR($AE12="",$G12=""),"—",IF($E12="↓",IF($AE12&lt;=$G12,"🟢 على المسار",IF($AE12&lt;=$G12*1.1,"🟡 متابعة","🔴 خطر")),IF($AE12&gt;=$G12,"🟢 على المسار",IF($AE12&gt;=$G12*0.85,"🟡 متابعة","🔴 خطر"))))</f>
        <v/>
      </c>
      <c r="AH12" s="68" t="inlineStr">
        <is>
          <t>العمليات الداخلية</t>
        </is>
      </c>
    </row>
    <row r="13" ht="26" customHeight="1">
      <c r="A13" s="17" t="n">
        <v>10</v>
      </c>
      <c r="B13" s="22" t="inlineStr">
        <is>
          <t>تجربة العميل</t>
        </is>
      </c>
      <c r="C13" s="22" t="inlineStr">
        <is>
          <t>نسبة انخفاض الشكاوى مقارنة بالشهر السابق</t>
        </is>
      </c>
      <c r="D13" s="60" t="inlineStr">
        <is>
          <t>%</t>
        </is>
      </c>
      <c r="E13" s="60" t="inlineStr">
        <is>
          <t>↑</t>
        </is>
      </c>
      <c r="F13" s="60" t="inlineStr">
        <is>
          <t>AVG</t>
        </is>
      </c>
      <c r="G13" s="60" t="inlineStr"/>
      <c r="H13" s="62" t="inlineStr">
        <is>
          <t>−30%</t>
        </is>
      </c>
      <c r="I13" s="73" t="n"/>
      <c r="J13" s="73" t="n"/>
      <c r="K13" s="73" t="n"/>
      <c r="L13" s="73" t="n"/>
      <c r="M13" s="73" t="n"/>
      <c r="N13" s="73" t="n"/>
      <c r="O13" s="73" t="n"/>
      <c r="P13" s="73" t="n"/>
      <c r="Q13" s="73" t="n"/>
      <c r="R13" s="73" t="n"/>
      <c r="S13" s="73" t="n"/>
      <c r="T13" s="73" t="n"/>
      <c r="U13" s="59">
        <f>IF($F13="SUM",IF(COUNT($I13:$T13)=0,"",SUM($I13:$T13)),IF($F13="AVG",IFERROR(AVERAGE($I13:$T13),""),IF($F13="LAST",IFERROR(LOOKUP(2,1/($I13:$T13&lt;&gt;""),$I13:$T13),""),"")))</f>
        <v/>
      </c>
      <c r="V13" s="23">
        <f>IF($G13="","",IF($U13="","",IF($G13=0,IF($U13&lt;=0,1,0),IF($E13="↓",IFERROR($G13/$U13,0),IFERROR($U13/$G13,0)))))</f>
        <v/>
      </c>
      <c r="W13" s="17">
        <f>IF($V13="","—",IF($V13&gt;=1,"✅ محقق",IF($V13&gt;=0.85,"🟡 قريب","🔴 تحت الهدف")))</f>
        <v/>
      </c>
      <c r="X13" s="65" t="inlineStr">
        <is>
          <t>الاستدامة</t>
        </is>
      </c>
      <c r="Y13" s="22" t="inlineStr">
        <is>
          <t>تعزيز تجربة العملاء</t>
        </is>
      </c>
      <c r="Z13" s="53" t="n"/>
      <c r="AA13" s="21" t="inlineStr">
        <is>
          <t>🟣 لاحق</t>
        </is>
      </c>
      <c r="AB13" s="53" t="n">
        <v>0.0625</v>
      </c>
      <c r="AC13" s="23">
        <f>IF($V13="","",$AB13*MIN($V13,1))</f>
        <v/>
      </c>
      <c r="AD13" s="74">
        <f>IF($G13="","",IF($F13="SUM",IF('لوحة الإدارة التنفيذية'!$P$2="","",$G13/12*'لوحة الإدارة التنفيذية'!$P$2),$G13))</f>
        <v/>
      </c>
      <c r="AE13" s="23">
        <f>IF($F13="SUM",IF(OR('لوحة الإدارة التنفيذية'!$P$2="",'لوحة الإدارة التنفيذية'!$P$2=0),"",IF($U13="","",$U13/'لوحة الإدارة التنفيذية'!$P$2*12)),IF($U13="","",$U13))</f>
        <v/>
      </c>
      <c r="AF13" s="74">
        <f>IF(OR($AE13="",$G13=""),"",$AE13-$G13)</f>
        <v/>
      </c>
      <c r="AG13" s="17">
        <f>IF(OR($AE13="",$G13=""),"—",IF($E13="↓",IF($AE13&lt;=$G13,"🟢 على المسار",IF($AE13&lt;=$G13*1.1,"🟡 متابعة","🔴 خطر")),IF($AE13&gt;=$G13,"🟢 على المسار",IF($AE13&gt;=$G13*0.85,"🟡 متابعة","🔴 خطر"))))</f>
        <v/>
      </c>
      <c r="AH13" s="68" t="inlineStr">
        <is>
          <t>العملاء</t>
        </is>
      </c>
    </row>
    <row r="14" ht="26" customHeight="1">
      <c r="A14" s="17" t="n">
        <v>11</v>
      </c>
      <c r="B14" s="22" t="inlineStr">
        <is>
          <t>تجربة العميل</t>
        </is>
      </c>
      <c r="C14" s="22" t="inlineStr">
        <is>
          <t>تقييم Google Maps للمحطات</t>
        </is>
      </c>
      <c r="D14" s="60" t="inlineStr">
        <is>
          <t>نجمة/5</t>
        </is>
      </c>
      <c r="E14" s="60" t="inlineStr">
        <is>
          <t>↑</t>
        </is>
      </c>
      <c r="F14" s="60" t="inlineStr">
        <is>
          <t>AVG</t>
        </is>
      </c>
      <c r="G14" s="75" t="n">
        <v>4.5</v>
      </c>
      <c r="H14" s="62" t="inlineStr">
        <is>
          <t>≥ 4.5</t>
        </is>
      </c>
      <c r="I14" s="76" t="n"/>
      <c r="J14" s="76" t="n"/>
      <c r="K14" s="76" t="n"/>
      <c r="L14" s="76" t="n"/>
      <c r="M14" s="76" t="n"/>
      <c r="N14" s="76" t="n"/>
      <c r="O14" s="76" t="n"/>
      <c r="P14" s="76" t="n"/>
      <c r="Q14" s="76" t="n"/>
      <c r="R14" s="76" t="n"/>
      <c r="S14" s="76" t="n"/>
      <c r="T14" s="76" t="n"/>
      <c r="U14" s="77">
        <f>IF($F14="SUM",IF(COUNT($I14:$T14)=0,"",SUM($I14:$T14)),IF($F14="AVG",IFERROR(AVERAGE($I14:$T14),""),IF($F14="LAST",IFERROR(LOOKUP(2,1/($I14:$T14&lt;&gt;""),$I14:$T14),""),"")))</f>
        <v/>
      </c>
      <c r="V14" s="23">
        <f>IF($G14="","",IF($U14="","",IF($G14=0,IF($U14&lt;=0,1,0),IF($E14="↓",IFERROR($G14/$U14,0),IFERROR($U14/$G14,0)))))</f>
        <v/>
      </c>
      <c r="W14" s="17">
        <f>IF($V14="","—",IF($V14&gt;=1,"✅ محقق",IF($V14&gt;=0.85,"🟡 قريب","🔴 تحت الهدف")))</f>
        <v/>
      </c>
      <c r="X14" s="65" t="inlineStr">
        <is>
          <t>الاستدامة</t>
        </is>
      </c>
      <c r="Y14" s="22" t="inlineStr">
        <is>
          <t>تعزيز تجربة العملاء</t>
        </is>
      </c>
      <c r="Z14" s="78" t="n"/>
      <c r="AA14" s="21" t="inlineStr">
        <is>
          <t>🟣 لاحق</t>
        </is>
      </c>
      <c r="AB14" s="53" t="n">
        <v>0.0625</v>
      </c>
      <c r="AC14" s="23">
        <f>IF($V14="","",$AB14*MIN($V14,1))</f>
        <v/>
      </c>
      <c r="AD14" s="75">
        <f>IF($G14="","",IF($F14="SUM",IF('لوحة الإدارة التنفيذية'!$P$2="","",$G14/12*'لوحة الإدارة التنفيذية'!$P$2),$G14))</f>
        <v/>
      </c>
      <c r="AE14" s="79">
        <f>IF($F14="SUM",IF(OR('لوحة الإدارة التنفيذية'!$P$2="",'لوحة الإدارة التنفيذية'!$P$2=0),"",IF($U14="","",$U14/'لوحة الإدارة التنفيذية'!$P$2*12)),IF($U14="","",$U14))</f>
        <v/>
      </c>
      <c r="AF14" s="75">
        <f>IF(OR($AE14="",$G14=""),"",$AE14-$G14)</f>
        <v/>
      </c>
      <c r="AG14" s="17">
        <f>IF(OR($AE14="",$G14=""),"—",IF($E14="↓",IF($AE14&lt;=$G14,"🟢 على المسار",IF($AE14&lt;=$G14*1.1,"🟡 متابعة","🔴 خطر")),IF($AE14&gt;=$G14,"🟢 على المسار",IF($AE14&gt;=$G14*0.85,"🟡 متابعة","🔴 خطر"))))</f>
        <v/>
      </c>
      <c r="AH14" s="68" t="inlineStr">
        <is>
          <t>العمليات الداخلية</t>
        </is>
      </c>
    </row>
    <row r="15" ht="26" customHeight="1">
      <c r="A15" s="17" t="n">
        <v>12</v>
      </c>
      <c r="B15" s="22" t="inlineStr">
        <is>
          <t>تجربة العميل</t>
        </is>
      </c>
      <c r="C15" s="22" t="inlineStr">
        <is>
          <t>سرعة تعبئة الوقود</t>
        </is>
      </c>
      <c r="D15" s="60" t="inlineStr">
        <is>
          <t>دقيقة</t>
        </is>
      </c>
      <c r="E15" s="60" t="inlineStr">
        <is>
          <t>↓</t>
        </is>
      </c>
      <c r="F15" s="60" t="inlineStr">
        <is>
          <t>AVG</t>
        </is>
      </c>
      <c r="G15" s="75" t="n">
        <v>3</v>
      </c>
      <c r="H15" s="62" t="inlineStr">
        <is>
          <t>≤ 3 دقائق</t>
        </is>
      </c>
      <c r="I15" s="76" t="n"/>
      <c r="J15" s="76" t="n"/>
      <c r="K15" s="76" t="n"/>
      <c r="L15" s="76" t="n"/>
      <c r="M15" s="76" t="n"/>
      <c r="N15" s="76" t="n"/>
      <c r="O15" s="76" t="n"/>
      <c r="P15" s="76" t="n"/>
      <c r="Q15" s="76" t="n"/>
      <c r="R15" s="76" t="n"/>
      <c r="S15" s="76" t="n"/>
      <c r="T15" s="76" t="n"/>
      <c r="U15" s="77">
        <f>IF($F15="SUM",IF(COUNT($I15:$T15)=0,"",SUM($I15:$T15)),IF($F15="AVG",IFERROR(AVERAGE($I15:$T15),""),IF($F15="LAST",IFERROR(LOOKUP(2,1/($I15:$T15&lt;&gt;""),$I15:$T15),""),"")))</f>
        <v/>
      </c>
      <c r="V15" s="23">
        <f>IF($G15="","",IF($U15="","",IF($G15=0,IF($U15&lt;=0,1,0),IF($E15="↓",IFERROR($G15/$U15,0),IFERROR($U15/$G15,0)))))</f>
        <v/>
      </c>
      <c r="W15" s="17">
        <f>IF($V15="","—",IF($V15&gt;=1,"✅ محقق",IF($V15&gt;=0.85,"🟡 قريب","🔴 تحت الهدف")))</f>
        <v/>
      </c>
      <c r="X15" s="65" t="inlineStr">
        <is>
          <t>الاستدامة</t>
        </is>
      </c>
      <c r="Y15" s="22" t="inlineStr">
        <is>
          <t>تعزيز تجربة العملاء</t>
        </is>
      </c>
      <c r="Z15" s="78" t="n"/>
      <c r="AA15" s="21" t="inlineStr">
        <is>
          <t>🟣 لاحق</t>
        </is>
      </c>
      <c r="AB15" s="53" t="n">
        <v>0.0625</v>
      </c>
      <c r="AC15" s="23">
        <f>IF($V15="","",$AB15*MIN($V15,1))</f>
        <v/>
      </c>
      <c r="AD15" s="75">
        <f>IF($G15="","",IF($F15="SUM",IF('لوحة الإدارة التنفيذية'!$P$2="","",$G15/12*'لوحة الإدارة التنفيذية'!$P$2),$G15))</f>
        <v/>
      </c>
      <c r="AE15" s="79">
        <f>IF($F15="SUM",IF(OR('لوحة الإدارة التنفيذية'!$P$2="",'لوحة الإدارة التنفيذية'!$P$2=0),"",IF($U15="","",$U15/'لوحة الإدارة التنفيذية'!$P$2*12)),IF($U15="","",$U15))</f>
        <v/>
      </c>
      <c r="AF15" s="75">
        <f>IF(OR($AE15="",$G15=""),"",$AE15-$G15)</f>
        <v/>
      </c>
      <c r="AG15" s="17">
        <f>IF(OR($AE15="",$G15=""),"—",IF($E15="↓",IF($AE15&lt;=$G15,"🟢 على المسار",IF($AE15&lt;=$G15*1.1,"🟡 متابعة","🔴 خطر")),IF($AE15&gt;=$G15,"🟢 على المسار",IF($AE15&gt;=$G15*0.85,"🟡 متابعة","🔴 خطر"))))</f>
        <v/>
      </c>
      <c r="AH15" s="68" t="inlineStr">
        <is>
          <t>العمليات الداخلية</t>
        </is>
      </c>
    </row>
    <row r="16" ht="26" customHeight="1">
      <c r="A16" s="17" t="n">
        <v>13</v>
      </c>
      <c r="B16" s="22" t="inlineStr">
        <is>
          <t>تجربة العميل</t>
        </is>
      </c>
      <c r="C16" s="22" t="inlineStr">
        <is>
          <t>دقة التعبئة بدون أخطاء</t>
        </is>
      </c>
      <c r="D16" s="60" t="inlineStr">
        <is>
          <t>%</t>
        </is>
      </c>
      <c r="E16" s="60" t="inlineStr">
        <is>
          <t>↑</t>
        </is>
      </c>
      <c r="F16" s="60" t="inlineStr">
        <is>
          <t>AVG</t>
        </is>
      </c>
      <c r="G16" s="74" t="n">
        <v>0.99</v>
      </c>
      <c r="H16" s="62" t="inlineStr">
        <is>
          <t>≥ 99%</t>
        </is>
      </c>
      <c r="I16" s="73" t="n"/>
      <c r="J16" s="73" t="n"/>
      <c r="K16" s="73" t="n"/>
      <c r="L16" s="73" t="n"/>
      <c r="M16" s="73" t="n"/>
      <c r="N16" s="73" t="n"/>
      <c r="O16" s="73" t="n"/>
      <c r="P16" s="73" t="n"/>
      <c r="Q16" s="73" t="n"/>
      <c r="R16" s="73" t="n"/>
      <c r="S16" s="73" t="n"/>
      <c r="T16" s="73" t="n"/>
      <c r="U16" s="59">
        <f>IF($F16="SUM",IF(COUNT($I16:$T16)=0,"",SUM($I16:$T16)),IF($F16="AVG",IFERROR(AVERAGE($I16:$T16),""),IF($F16="LAST",IFERROR(LOOKUP(2,1/($I16:$T16&lt;&gt;""),$I16:$T16),""),"")))</f>
        <v/>
      </c>
      <c r="V16" s="23">
        <f>IF($G16="","",IF($U16="","",IF($G16=0,IF($U16&lt;=0,1,0),IF($E16="↓",IFERROR($G16/$U16,0),IFERROR($U16/$G16,0)))))</f>
        <v/>
      </c>
      <c r="W16" s="17">
        <f>IF($V16="","—",IF($V16&gt;=1,"✅ محقق",IF($V16&gt;=0.85,"🟡 قريب","🔴 تحت الهدف")))</f>
        <v/>
      </c>
      <c r="X16" s="65" t="inlineStr">
        <is>
          <t>الاستدامة</t>
        </is>
      </c>
      <c r="Y16" s="22" t="inlineStr">
        <is>
          <t>جودة التشغيل</t>
        </is>
      </c>
      <c r="Z16" s="53" t="n"/>
      <c r="AA16" s="21" t="inlineStr">
        <is>
          <t>🟣 لاحق</t>
        </is>
      </c>
      <c r="AB16" s="53" t="n">
        <v>0.0625</v>
      </c>
      <c r="AC16" s="23">
        <f>IF($V16="","",$AB16*MIN($V16,1))</f>
        <v/>
      </c>
      <c r="AD16" s="74">
        <f>IF($G16="","",IF($F16="SUM",IF('لوحة الإدارة التنفيذية'!$P$2="","",$G16/12*'لوحة الإدارة التنفيذية'!$P$2),$G16))</f>
        <v/>
      </c>
      <c r="AE16" s="23">
        <f>IF($F16="SUM",IF(OR('لوحة الإدارة التنفيذية'!$P$2="",'لوحة الإدارة التنفيذية'!$P$2=0),"",IF($U16="","",$U16/'لوحة الإدارة التنفيذية'!$P$2*12)),IF($U16="","",$U16))</f>
        <v/>
      </c>
      <c r="AF16" s="74">
        <f>IF(OR($AE16="",$G16=""),"",$AE16-$G16)</f>
        <v/>
      </c>
      <c r="AG16" s="17">
        <f>IF(OR($AE16="",$G16=""),"—",IF($E16="↓",IF($AE16&lt;=$G16,"🟢 على المسار",IF($AE16&lt;=$G16*1.1,"🟡 متابعة","🔴 خطر")),IF($AE16&gt;=$G16,"🟢 على المسار",IF($AE16&gt;=$G16*0.85,"🟡 متابعة","🔴 خطر"))))</f>
        <v/>
      </c>
      <c r="AH16" s="68" t="inlineStr">
        <is>
          <t>العمليات الداخلية</t>
        </is>
      </c>
    </row>
    <row r="17" ht="26" customHeight="1">
      <c r="A17" s="17" t="n">
        <v>14</v>
      </c>
      <c r="B17" s="22" t="inlineStr">
        <is>
          <t>تجربة العميل</t>
        </is>
      </c>
      <c r="C17" s="22" t="inlineStr">
        <is>
          <t>تطبيق المعيار الشامل في المحطات</t>
        </is>
      </c>
      <c r="D17" s="60" t="inlineStr">
        <is>
          <t>%</t>
        </is>
      </c>
      <c r="E17" s="60" t="inlineStr">
        <is>
          <t>↑</t>
        </is>
      </c>
      <c r="F17" s="60" t="inlineStr">
        <is>
          <t>LAST</t>
        </is>
      </c>
      <c r="G17" s="74" t="n">
        <v>0.8</v>
      </c>
      <c r="H17" s="62" t="inlineStr">
        <is>
          <t>≥ 80%</t>
        </is>
      </c>
      <c r="I17" s="73" t="n"/>
      <c r="J17" s="73" t="n"/>
      <c r="K17" s="73" t="n"/>
      <c r="L17" s="73" t="n"/>
      <c r="M17" s="73" t="n"/>
      <c r="N17" s="73" t="n"/>
      <c r="O17" s="73" t="n"/>
      <c r="P17" s="73" t="n"/>
      <c r="Q17" s="73" t="n"/>
      <c r="R17" s="73" t="n"/>
      <c r="S17" s="73" t="n"/>
      <c r="T17" s="73" t="n"/>
      <c r="U17" s="59">
        <f>IF($F17="SUM",IF(COUNT($I17:$T17)=0,"",SUM($I17:$T17)),IF($F17="AVG",IFERROR(AVERAGE($I17:$T17),""),IF($F17="LAST",IFERROR(LOOKUP(2,1/($I17:$T17&lt;&gt;""),$I17:$T17),""),"")))</f>
        <v/>
      </c>
      <c r="V17" s="23">
        <f>IF($G17="","",IF($U17="","",IF($G17=0,IF($U17&lt;=0,1,0),IF($E17="↓",IFERROR($G17/$U17,0),IFERROR($U17/$G17,0)))))</f>
        <v/>
      </c>
      <c r="W17" s="17">
        <f>IF($V17="","—",IF($V17&gt;=1,"✅ محقق",IF($V17&gt;=0.85,"🟡 قريب","🔴 تحت الهدف")))</f>
        <v/>
      </c>
      <c r="X17" s="65" t="inlineStr">
        <is>
          <t>الابتكار</t>
        </is>
      </c>
      <c r="Y17" s="22" t="inlineStr">
        <is>
          <t>التحول التقني</t>
        </is>
      </c>
      <c r="Z17" s="53" t="n"/>
      <c r="AA17" s="21" t="inlineStr">
        <is>
          <t>🟣 لاحق</t>
        </is>
      </c>
      <c r="AB17" s="53" t="n">
        <v>0.0625</v>
      </c>
      <c r="AC17" s="23">
        <f>IF($V17="","",$AB17*MIN($V17,1))</f>
        <v/>
      </c>
      <c r="AD17" s="74">
        <f>IF($G17="","",IF($F17="SUM",IF('لوحة الإدارة التنفيذية'!$P$2="","",$G17/12*'لوحة الإدارة التنفيذية'!$P$2),$G17))</f>
        <v/>
      </c>
      <c r="AE17" s="23">
        <f>IF($F17="SUM",IF(OR('لوحة الإدارة التنفيذية'!$P$2="",'لوحة الإدارة التنفيذية'!$P$2=0),"",IF($U17="","",$U17/'لوحة الإدارة التنفيذية'!$P$2*12)),IF($U17="","",$U17))</f>
        <v/>
      </c>
      <c r="AF17" s="74">
        <f>IF(OR($AE17="",$G17=""),"",$AE17-$G17)</f>
        <v/>
      </c>
      <c r="AG17" s="17">
        <f>IF(OR($AE17="",$G17=""),"—",IF($E17="↓",IF($AE17&lt;=$G17,"🟢 على المسار",IF($AE17&lt;=$G17*1.1,"🟡 متابعة","🔴 خطر")),IF($AE17&gt;=$G17,"🟢 على المسار",IF($AE17&gt;=$G17*0.85,"🟡 متابعة","🔴 خطر"))))</f>
        <v/>
      </c>
      <c r="AH17" s="68" t="inlineStr">
        <is>
          <t>العمليات الداخلية</t>
        </is>
      </c>
    </row>
    <row r="18" ht="26" customHeight="1">
      <c r="A18" s="17" t="n">
        <v>15</v>
      </c>
      <c r="B18" s="22" t="inlineStr">
        <is>
          <t>السلامة</t>
        </is>
      </c>
      <c r="C18" s="22" t="inlineStr">
        <is>
          <t>الالتزام بمعايير السلامة داخل المحطة</t>
        </is>
      </c>
      <c r="D18" s="60" t="inlineStr">
        <is>
          <t>%</t>
        </is>
      </c>
      <c r="E18" s="60" t="inlineStr">
        <is>
          <t>↑</t>
        </is>
      </c>
      <c r="F18" s="60" t="inlineStr">
        <is>
          <t>AVG</t>
        </is>
      </c>
      <c r="G18" s="74" t="n">
        <v>1</v>
      </c>
      <c r="H18" s="62" t="inlineStr">
        <is>
          <t>100%</t>
        </is>
      </c>
      <c r="I18" s="73" t="n"/>
      <c r="J18" s="73" t="n"/>
      <c r="K18" s="73" t="n"/>
      <c r="L18" s="73" t="n"/>
      <c r="M18" s="73" t="n"/>
      <c r="N18" s="73" t="n"/>
      <c r="O18" s="73" t="n"/>
      <c r="P18" s="73" t="n"/>
      <c r="Q18" s="73" t="n"/>
      <c r="R18" s="73" t="n"/>
      <c r="S18" s="73" t="n"/>
      <c r="T18" s="73" t="n"/>
      <c r="U18" s="59">
        <f>IF($F18="SUM",IF(COUNT($I18:$T18)=0,"",SUM($I18:$T18)),IF($F18="AVG",IFERROR(AVERAGE($I18:$T18),""),IF($F18="LAST",IFERROR(LOOKUP(2,1/($I18:$T18&lt;&gt;""),$I18:$T18),""),"")))</f>
        <v/>
      </c>
      <c r="V18" s="23">
        <f>IF($G18="","",IF($U18="","",IF($G18=0,IF($U18&lt;=0,1,0),IF($E18="↓",IFERROR($G18/$U18,0),IFERROR($U18/$G18,0)))))</f>
        <v/>
      </c>
      <c r="W18" s="17">
        <f>IF($V18="","—",IF($V18&gt;=1,"✅ محقق",IF($V18&gt;=0.85,"🟡 قريب","🔴 تحت الهدف")))</f>
        <v/>
      </c>
      <c r="X18" s="65" t="inlineStr">
        <is>
          <t>الاستدامة</t>
        </is>
      </c>
      <c r="Y18" s="22" t="inlineStr">
        <is>
          <t>جودة التشغيل</t>
        </is>
      </c>
      <c r="Z18" s="53" t="n"/>
      <c r="AA18" s="21" t="inlineStr">
        <is>
          <t>🟣 لاحق</t>
        </is>
      </c>
      <c r="AB18" s="53" t="n">
        <v>0.0625</v>
      </c>
      <c r="AC18" s="23">
        <f>IF($V18="","",$AB18*MIN($V18,1))</f>
        <v/>
      </c>
      <c r="AD18" s="74">
        <f>IF($G18="","",IF($F18="SUM",IF('لوحة الإدارة التنفيذية'!$P$2="","",$G18/12*'لوحة الإدارة التنفيذية'!$P$2),$G18))</f>
        <v/>
      </c>
      <c r="AE18" s="23">
        <f>IF($F18="SUM",IF(OR('لوحة الإدارة التنفيذية'!$P$2="",'لوحة الإدارة التنفيذية'!$P$2=0),"",IF($U18="","",$U18/'لوحة الإدارة التنفيذية'!$P$2*12)),IF($U18="","",$U18))</f>
        <v/>
      </c>
      <c r="AF18" s="74">
        <f>IF(OR($AE18="",$G18=""),"",$AE18-$G18)</f>
        <v/>
      </c>
      <c r="AG18" s="17">
        <f>IF(OR($AE18="",$G18=""),"—",IF($E18="↓",IF($AE18&lt;=$G18,"🟢 على المسار",IF($AE18&lt;=$G18*1.1,"🟡 متابعة","🔴 خطر")),IF($AE18&gt;=$G18,"🟢 على المسار",IF($AE18&gt;=$G18*0.85,"🟡 متابعة","🔴 خطر"))))</f>
        <v/>
      </c>
      <c r="AH18" s="68" t="inlineStr">
        <is>
          <t>العمليات الداخلية</t>
        </is>
      </c>
    </row>
    <row r="19" ht="26" customHeight="1">
      <c r="A19" s="17" t="n">
        <v>16</v>
      </c>
      <c r="B19" s="22" t="inlineStr">
        <is>
          <t>البيئة</t>
        </is>
      </c>
      <c r="C19" s="22" t="inlineStr">
        <is>
          <t>التشجير داخل المحطة (معيار الوزارة)</t>
        </is>
      </c>
      <c r="D19" s="60" t="inlineStr">
        <is>
          <t>%</t>
        </is>
      </c>
      <c r="E19" s="60" t="inlineStr">
        <is>
          <t>↑</t>
        </is>
      </c>
      <c r="F19" s="60" t="inlineStr">
        <is>
          <t>LAST</t>
        </is>
      </c>
      <c r="G19" s="74" t="n">
        <v>1</v>
      </c>
      <c r="H19" s="62" t="inlineStr">
        <is>
          <t>100%</t>
        </is>
      </c>
      <c r="I19" s="73" t="n"/>
      <c r="J19" s="73" t="n"/>
      <c r="K19" s="73" t="n"/>
      <c r="L19" s="73" t="n"/>
      <c r="M19" s="73" t="n"/>
      <c r="N19" s="73" t="n"/>
      <c r="O19" s="73" t="n"/>
      <c r="P19" s="73" t="n"/>
      <c r="Q19" s="73" t="n"/>
      <c r="R19" s="73" t="n"/>
      <c r="S19" s="73" t="n"/>
      <c r="T19" s="73" t="n"/>
      <c r="U19" s="59">
        <f>IF($F19="SUM",IF(COUNT($I19:$T19)=0,"",SUM($I19:$T19)),IF($F19="AVG",IFERROR(AVERAGE($I19:$T19),""),IF($F19="LAST",IFERROR(LOOKUP(2,1/($I19:$T19&lt;&gt;""),$I19:$T19),""),"")))</f>
        <v/>
      </c>
      <c r="V19" s="23">
        <f>IF($G19="","",IF($U19="","",IF($G19=0,IF($U19&lt;=0,1,0),IF($E19="↓",IFERROR($G19/$U19,0),IFERROR($U19/$G19,0)))))</f>
        <v/>
      </c>
      <c r="W19" s="17">
        <f>IF($V19="","—",IF($V19&gt;=1,"✅ محقق",IF($V19&gt;=0.85,"🟡 قريب","🔴 تحت الهدف")))</f>
        <v/>
      </c>
      <c r="X19" s="65" t="inlineStr">
        <is>
          <t>الاستدامة</t>
        </is>
      </c>
      <c r="Y19" s="22" t="inlineStr">
        <is>
          <t>جودة التشغيل</t>
        </is>
      </c>
      <c r="Z19" s="53" t="n"/>
      <c r="AA19" s="21" t="inlineStr">
        <is>
          <t>🟣 لاحق</t>
        </is>
      </c>
      <c r="AB19" s="53" t="n">
        <v>0.0625</v>
      </c>
      <c r="AC19" s="23">
        <f>IF($V19="","",$AB19*MIN($V19,1))</f>
        <v/>
      </c>
      <c r="AD19" s="74">
        <f>IF($G19="","",IF($F19="SUM",IF('لوحة الإدارة التنفيذية'!$P$2="","",$G19/12*'لوحة الإدارة التنفيذية'!$P$2),$G19))</f>
        <v/>
      </c>
      <c r="AE19" s="23">
        <f>IF($F19="SUM",IF(OR('لوحة الإدارة التنفيذية'!$P$2="",'لوحة الإدارة التنفيذية'!$P$2=0),"",IF($U19="","",$U19/'لوحة الإدارة التنفيذية'!$P$2*12)),IF($U19="","",$U19))</f>
        <v/>
      </c>
      <c r="AF19" s="74">
        <f>IF(OR($AE19="",$G19=""),"",$AE19-$G19)</f>
        <v/>
      </c>
      <c r="AG19" s="17">
        <f>IF(OR($AE19="",$G19=""),"—",IF($E19="↓",IF($AE19&lt;=$G19,"🟢 على المسار",IF($AE19&lt;=$G19*1.1,"🟡 متابعة","🔴 خطر")),IF($AE19&gt;=$G19,"🟢 على المسار",IF($AE19&gt;=$G19*0.85,"🟡 متابعة","🔴 خطر"))))</f>
        <v/>
      </c>
      <c r="AH19" s="68" t="inlineStr">
        <is>
          <t>العمليات الداخلية</t>
        </is>
      </c>
    </row>
    <row r="20">
      <c r="A20" s="80" t="inlineStr"/>
      <c r="B20" s="81" t="inlineStr">
        <is>
          <t>الإجمالي الموزون للإدارة</t>
        </is>
      </c>
      <c r="AB20" s="82">
        <f>SUM(AB4:AB19)</f>
        <v/>
      </c>
      <c r="AC20" s="83">
        <f>SUM(AC4:AC19)</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A1:AH1"/>
    <mergeCell ref="B20:AA20"/>
  </mergeCells>
  <dataValidations count="1">
    <dataValidation sqref="I4 I5 I6 I7 I8 I9 I10 I11 I12 I13 I14 I15 I16 I17 I18 I19 J4 J5 J6 J7 J8 J9 J10 J11 J12 J13 J14 J15 J16 J17 J18 J19 K4 K5 K6 K7 K8 K9 K10 K11 K12 K13 K14 K15 K16 K17 K18 K19 L4 L5 L6 L7 L8 L9 L10 L11 L12 L13 L14 L15 L16 L17 L18 L19 M4 M5 M6 M7 M8 M9 M10 M11 M12 M13 M14 M15 M16 M17 M18 M19 N4 N5 N6 N7 N8 N9 N10 N11 N12 N13 N14 N15 N16 N17 N18 N19 O4 O5 O6 O7 O8 O9 O10 O11 O12 O13 O14 O15 O16 O17 O18 O19 P4 P5 P6 P7 P8 P9 P10 P11 P12 P13 P14 P15 P16 P17 P18 P19 Q4 Q5 Q6 Q7 Q8 Q9 Q10 Q11 Q12 Q13 Q14 Q15 Q16 Q17 Q18 Q19 R4 R5 R6 R7 R8 R9 R10 R11 R12 R13 R14 R15 R16 R17 R18 R19 S4 S5 S6 S7 S8 S9 S10 S11 S12 S13 S14 S15 S16 S17 S18 S19 T4 T5 T6 T7 T8 T9 T10 T11 T12 T13 T14 T15 T16 T17 T18 T19 Z4 Z5 Z6 Z7 Z8 Z9 Z10 Z11 Z12 Z13 Z14 Z15 Z16 Z17 Z18 Z19"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H18"/>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مؤشرات الأداء — مدير المحطة (شهري · SOP-OM-02/13)</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الرقابة المالية</t>
        </is>
      </c>
      <c r="C4" s="22" t="inlineStr">
        <is>
          <t>تنفيذ جرد الوردية مرتين يومياً</t>
        </is>
      </c>
      <c r="D4" s="60" t="inlineStr">
        <is>
          <t>%</t>
        </is>
      </c>
      <c r="E4" s="60" t="inlineStr">
        <is>
          <t>↑</t>
        </is>
      </c>
      <c r="F4" s="60" t="inlineStr">
        <is>
          <t>AVG</t>
        </is>
      </c>
      <c r="G4" s="74" t="n">
        <v>1</v>
      </c>
      <c r="H4" s="62" t="inlineStr">
        <is>
          <t>100%</t>
        </is>
      </c>
      <c r="I4" s="73" t="n"/>
      <c r="J4" s="73" t="n"/>
      <c r="K4" s="73" t="n"/>
      <c r="L4" s="73" t="n"/>
      <c r="M4" s="73" t="n"/>
      <c r="N4" s="73" t="n"/>
      <c r="O4" s="73" t="n"/>
      <c r="P4" s="73" t="n"/>
      <c r="Q4" s="73" t="n"/>
      <c r="R4" s="73" t="n"/>
      <c r="S4" s="73" t="n"/>
      <c r="T4" s="73" t="n"/>
      <c r="U4" s="59">
        <f>IF($F4="SUM",IF(COUNT($I4:$T4)=0,"",SUM($I4:$T4)),IF($F4="AVG",IFERROR(AVERAGE($I4:$T4),""),IF($F4="LAST",IFERROR(LOOKUP(2,1/($I4:$T4&lt;&gt;""),$I4:$T4),""),"")))</f>
        <v/>
      </c>
      <c r="V4" s="23">
        <f>IF($G4="","",IF($U4="","",IF($G4=0,IF($U4&lt;=0,1,0),IF($E4="↓",IFERROR($G4/$U4,0),IFERROR($U4/$G4,0)))))</f>
        <v/>
      </c>
      <c r="W4" s="17">
        <f>IF($V4="","—",IF($V4&gt;=1,"✅ محقق",IF($V4&gt;=0.85,"🟡 قريب","🔴 تحت الهدف")))</f>
        <v/>
      </c>
      <c r="X4" s="65" t="inlineStr"/>
      <c r="Y4" s="22" t="inlineStr"/>
      <c r="Z4" s="53" t="n"/>
      <c r="AA4" s="21" t="inlineStr">
        <is>
          <t>🟣 لاحق</t>
        </is>
      </c>
      <c r="AB4" s="53" t="n">
        <v>0.07140000000000001</v>
      </c>
      <c r="AC4" s="23">
        <f>IF($V4="","",$AB4*MIN($V4,1))</f>
        <v/>
      </c>
      <c r="AD4" s="74">
        <f>IF($G4="","",IF($F4="SUM",IF('لوحة الإدارة التنفيذية'!$P$2="","",$G4/12*'لوحة الإدارة التنفيذية'!$P$2),$G4))</f>
        <v/>
      </c>
      <c r="AE4" s="23">
        <f>IF($F4="SUM",IF(OR('لوحة الإدارة التنفيذية'!$P$2="",'لوحة الإدارة التنفيذية'!$P$2=0),"",IF($U4="","",$U4/'لوحة الإدارة التنفيذية'!$P$2*12)),IF($U4="","",$U4))</f>
        <v/>
      </c>
      <c r="AF4" s="74">
        <f>IF(OR($AE4="",$G4=""),"",$AE4-$G4)</f>
        <v/>
      </c>
      <c r="AG4" s="17">
        <f>IF(OR($AE4="",$G4=""),"—",IF($E4="↓",IF($AE4&lt;=$G4,"🟢 على المسار",IF($AE4&lt;=$G4*1.1,"🟡 متابعة","🔴 خطر")),IF($AE4&gt;=$G4,"🟢 على المسار",IF($AE4&gt;=$G4*0.85,"🟡 متابعة","🔴 خطر"))))</f>
        <v/>
      </c>
      <c r="AH4" s="68" t="inlineStr">
        <is>
          <t>العمليات الداخلية</t>
        </is>
      </c>
    </row>
    <row r="5" ht="26" customHeight="1">
      <c r="A5" s="17" t="n">
        <v>2</v>
      </c>
      <c r="B5" s="22" t="inlineStr">
        <is>
          <t>الرقابة المالية</t>
        </is>
      </c>
      <c r="C5" s="22" t="inlineStr">
        <is>
          <t>تسليم حصيلة المبيعات في الموعد</t>
        </is>
      </c>
      <c r="D5" s="60" t="inlineStr">
        <is>
          <t>%</t>
        </is>
      </c>
      <c r="E5" s="60" t="inlineStr">
        <is>
          <t>↑</t>
        </is>
      </c>
      <c r="F5" s="60" t="inlineStr">
        <is>
          <t>AVG</t>
        </is>
      </c>
      <c r="G5" s="74" t="n">
        <v>1</v>
      </c>
      <c r="H5" s="62" t="inlineStr">
        <is>
          <t>100%</t>
        </is>
      </c>
      <c r="I5" s="73" t="n"/>
      <c r="J5" s="73" t="n"/>
      <c r="K5" s="73" t="n"/>
      <c r="L5" s="73" t="n"/>
      <c r="M5" s="73" t="n"/>
      <c r="N5" s="73" t="n"/>
      <c r="O5" s="73" t="n"/>
      <c r="P5" s="73" t="n"/>
      <c r="Q5" s="73" t="n"/>
      <c r="R5" s="73" t="n"/>
      <c r="S5" s="73" t="n"/>
      <c r="T5" s="73" t="n"/>
      <c r="U5" s="59">
        <f>IF($F5="SUM",IF(COUNT($I5:$T5)=0,"",SUM($I5:$T5)),IF($F5="AVG",IFERROR(AVERAGE($I5:$T5),""),IF($F5="LAST",IFERROR(LOOKUP(2,1/($I5:$T5&lt;&gt;""),$I5:$T5),""),"")))</f>
        <v/>
      </c>
      <c r="V5" s="23">
        <f>IF($G5="","",IF($U5="","",IF($G5=0,IF($U5&lt;=0,1,0),IF($E5="↓",IFERROR($G5/$U5,0),IFERROR($U5/$G5,0)))))</f>
        <v/>
      </c>
      <c r="W5" s="17">
        <f>IF($V5="","—",IF($V5&gt;=1,"✅ محقق",IF($V5&gt;=0.85,"🟡 قريب","🔴 تحت الهدف")))</f>
        <v/>
      </c>
      <c r="X5" s="65" t="inlineStr"/>
      <c r="Y5" s="22" t="inlineStr"/>
      <c r="Z5" s="53" t="n"/>
      <c r="AA5" s="21" t="inlineStr">
        <is>
          <t>🔵 قائد</t>
        </is>
      </c>
      <c r="AB5" s="53" t="n">
        <v>0.07140000000000001</v>
      </c>
      <c r="AC5" s="23">
        <f>IF($V5="","",$AB5*MIN($V5,1))</f>
        <v/>
      </c>
      <c r="AD5" s="74">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74">
        <f>IF(OR($AE5="",$G5=""),"",$AE5-$G5)</f>
        <v/>
      </c>
      <c r="AG5" s="17">
        <f>IF(OR($AE5="",$G5=""),"—",IF($E5="↓",IF($AE5&lt;=$G5,"🟢 على المسار",IF($AE5&lt;=$G5*1.1,"🟡 متابعة","🔴 خطر")),IF($AE5&gt;=$G5,"🟢 على المسار",IF($AE5&gt;=$G5*0.85,"🟡 متابعة","🔴 خطر"))))</f>
        <v/>
      </c>
      <c r="AH5" s="68" t="inlineStr">
        <is>
          <t>مالي</t>
        </is>
      </c>
    </row>
    <row r="6" ht="26" customHeight="1">
      <c r="A6" s="17" t="n">
        <v>3</v>
      </c>
      <c r="B6" s="22" t="inlineStr">
        <is>
          <t>الرقابة المالية</t>
        </is>
      </c>
      <c r="C6" s="22" t="inlineStr">
        <is>
          <t>التطابق بين POS والنقدية</t>
        </is>
      </c>
      <c r="D6" s="60" t="inlineStr">
        <is>
          <t>%</t>
        </is>
      </c>
      <c r="E6" s="60" t="inlineStr">
        <is>
          <t>↑</t>
        </is>
      </c>
      <c r="F6" s="60" t="inlineStr">
        <is>
          <t>AVG</t>
        </is>
      </c>
      <c r="G6" s="74" t="n">
        <v>1</v>
      </c>
      <c r="H6" s="62" t="inlineStr">
        <is>
          <t>100%</t>
        </is>
      </c>
      <c r="I6" s="73" t="n"/>
      <c r="J6" s="73" t="n"/>
      <c r="K6" s="73" t="n"/>
      <c r="L6" s="73" t="n"/>
      <c r="M6" s="73" t="n"/>
      <c r="N6" s="73" t="n"/>
      <c r="O6" s="73" t="n"/>
      <c r="P6" s="73" t="n"/>
      <c r="Q6" s="73" t="n"/>
      <c r="R6" s="73" t="n"/>
      <c r="S6" s="73" t="n"/>
      <c r="T6" s="73" t="n"/>
      <c r="U6" s="59">
        <f>IF($F6="SUM",IF(COUNT($I6:$T6)=0,"",SUM($I6:$T6)),IF($F6="AVG",IFERROR(AVERAGE($I6:$T6),""),IF($F6="LAST",IFERROR(LOOKUP(2,1/($I6:$T6&lt;&gt;""),$I6:$T6),""),"")))</f>
        <v/>
      </c>
      <c r="V6" s="23">
        <f>IF($G6="","",IF($U6="","",IF($G6=0,IF($U6&lt;=0,1,0),IF($E6="↓",IFERROR($G6/$U6,0),IFERROR($U6/$G6,0)))))</f>
        <v/>
      </c>
      <c r="W6" s="17">
        <f>IF($V6="","—",IF($V6&gt;=1,"✅ محقق",IF($V6&gt;=0.85,"🟡 قريب","🔴 تحت الهدف")))</f>
        <v/>
      </c>
      <c r="X6" s="65" t="inlineStr"/>
      <c r="Y6" s="22" t="inlineStr"/>
      <c r="Z6" s="53" t="n"/>
      <c r="AA6" s="21" t="inlineStr">
        <is>
          <t>🟣 لاحق</t>
        </is>
      </c>
      <c r="AB6" s="53" t="n">
        <v>0.07140000000000001</v>
      </c>
      <c r="AC6" s="23">
        <f>IF($V6="","",$AB6*MIN($V6,1))</f>
        <v/>
      </c>
      <c r="AD6" s="74">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74">
        <f>IF(OR($AE6="",$G6=""),"",$AE6-$G6)</f>
        <v/>
      </c>
      <c r="AG6" s="17">
        <f>IF(OR($AE6="",$G6=""),"—",IF($E6="↓",IF($AE6&lt;=$G6,"🟢 على المسار",IF($AE6&lt;=$G6*1.1,"🟡 متابعة","🔴 خطر")),IF($AE6&gt;=$G6,"🟢 على المسار",IF($AE6&gt;=$G6*0.85,"🟡 متابعة","🔴 خطر"))))</f>
        <v/>
      </c>
      <c r="AH6" s="68" t="inlineStr">
        <is>
          <t>العمليات الداخلية</t>
        </is>
      </c>
    </row>
    <row r="7" ht="26" customHeight="1">
      <c r="A7" s="17" t="n">
        <v>4</v>
      </c>
      <c r="B7" s="22" t="inlineStr">
        <is>
          <t>الرقابة المالية</t>
        </is>
      </c>
      <c r="C7" s="22" t="inlineStr">
        <is>
          <t>حالات عدم تطابق غير مبررة</t>
        </is>
      </c>
      <c r="D7" s="60" t="inlineStr">
        <is>
          <t>حالة</t>
        </is>
      </c>
      <c r="E7" s="60" t="inlineStr">
        <is>
          <t>↓</t>
        </is>
      </c>
      <c r="F7" s="60" t="inlineStr">
        <is>
          <t>SUM</t>
        </is>
      </c>
      <c r="G7" s="61" t="n">
        <v>0</v>
      </c>
      <c r="H7" s="62" t="inlineStr">
        <is>
          <t>0 حالة</t>
        </is>
      </c>
      <c r="I7" s="63" t="n"/>
      <c r="J7" s="63" t="n"/>
      <c r="K7" s="63" t="n"/>
      <c r="L7" s="63" t="n"/>
      <c r="M7" s="63" t="n"/>
      <c r="N7" s="63" t="n"/>
      <c r="O7" s="63" t="n"/>
      <c r="P7" s="63" t="n"/>
      <c r="Q7" s="63" t="n"/>
      <c r="R7" s="63" t="n"/>
      <c r="S7" s="63" t="n"/>
      <c r="T7" s="63" t="n"/>
      <c r="U7" s="64">
        <f>IF($F7="SUM",IF(COUNT($I7:$T7)=0,"",SUM($I7:$T7)),IF($F7="AVG",IFERROR(AVERAGE($I7:$T7),""),IF($F7="LAST",IFERROR(LOOKUP(2,1/($I7:$T7&lt;&gt;""),$I7:$T7),""),"")))</f>
        <v/>
      </c>
      <c r="V7" s="23">
        <f>IF($G7="","",IF($U7="","",IF($G7=0,IF($U7&lt;=0,1,0),IF($E7="↓",IFERROR($G7/$U7,0),IFERROR($U7/$G7,0)))))</f>
        <v/>
      </c>
      <c r="W7" s="17">
        <f>IF($V7="","—",IF($V7&gt;=1,"✅ محقق",IF($V7&gt;=0.85,"🟡 قريب","🔴 تحت الهدف")))</f>
        <v/>
      </c>
      <c r="X7" s="65" t="inlineStr"/>
      <c r="Y7" s="22" t="inlineStr"/>
      <c r="Z7" s="66" t="n"/>
      <c r="AA7" s="21" t="inlineStr">
        <is>
          <t>🟣 لاحق</t>
        </is>
      </c>
      <c r="AB7" s="53" t="n">
        <v>0.07140000000000001</v>
      </c>
      <c r="AC7" s="23">
        <f>IF($V7="","",$AB7*MIN($V7,1))</f>
        <v/>
      </c>
      <c r="AD7" s="61">
        <f>IF($G7="","",IF($F7="SUM",IF('لوحة الإدارة التنفيذية'!$P$2="","",$G7/12*'لوحة الإدارة التنفيذية'!$P$2),$G7))</f>
        <v/>
      </c>
      <c r="AE7" s="67">
        <f>IF($F7="SUM",IF(OR('لوحة الإدارة التنفيذية'!$P$2="",'لوحة الإدارة التنفيذية'!$P$2=0),"",IF($U7="","",$U7/'لوحة الإدارة التنفيذية'!$P$2*12)),IF($U7="","",$U7))</f>
        <v/>
      </c>
      <c r="AF7" s="61">
        <f>IF(OR($AE7="",$G7=""),"",$AE7-$G7)</f>
        <v/>
      </c>
      <c r="AG7" s="17">
        <f>IF(OR($AE7="",$G7=""),"—",IF($E7="↓",IF($AE7&lt;=$G7,"🟢 على المسار",IF($AE7&lt;=$G7*1.1,"🟡 متابعة","🔴 خطر")),IF($AE7&gt;=$G7,"🟢 على المسار",IF($AE7&gt;=$G7*0.85,"🟡 متابعة","🔴 خطر"))))</f>
        <v/>
      </c>
      <c r="AH7" s="68" t="inlineStr">
        <is>
          <t>العمليات الداخلية</t>
        </is>
      </c>
    </row>
    <row r="8" ht="26" customHeight="1">
      <c r="A8" s="17" t="n">
        <v>5</v>
      </c>
      <c r="B8" s="22" t="inlineStr">
        <is>
          <t>توريد الوقود</t>
        </is>
      </c>
      <c r="C8" s="22" t="inlineStr">
        <is>
          <t>دقة قياس مستوى الخزان يومياً</t>
        </is>
      </c>
      <c r="D8" s="60" t="inlineStr">
        <is>
          <t>%</t>
        </is>
      </c>
      <c r="E8" s="60" t="inlineStr">
        <is>
          <t>↑</t>
        </is>
      </c>
      <c r="F8" s="60" t="inlineStr">
        <is>
          <t>AVG</t>
        </is>
      </c>
      <c r="G8" s="74" t="n">
        <v>1</v>
      </c>
      <c r="H8" s="62" t="inlineStr">
        <is>
          <t>100%</t>
        </is>
      </c>
      <c r="I8" s="73" t="n"/>
      <c r="J8" s="73" t="n"/>
      <c r="K8" s="73" t="n"/>
      <c r="L8" s="73" t="n"/>
      <c r="M8" s="73" t="n"/>
      <c r="N8" s="73" t="n"/>
      <c r="O8" s="73" t="n"/>
      <c r="P8" s="73" t="n"/>
      <c r="Q8" s="73" t="n"/>
      <c r="R8" s="73" t="n"/>
      <c r="S8" s="73" t="n"/>
      <c r="T8" s="73" t="n"/>
      <c r="U8" s="59">
        <f>IF($F8="SUM",IF(COUNT($I8:$T8)=0,"",SUM($I8:$T8)),IF($F8="AVG",IFERROR(AVERAGE($I8:$T8),""),IF($F8="LAST",IFERROR(LOOKUP(2,1/($I8:$T8&lt;&gt;""),$I8:$T8),""),"")))</f>
        <v/>
      </c>
      <c r="V8" s="23">
        <f>IF($G8="","",IF($U8="","",IF($G8=0,IF($U8&lt;=0,1,0),IF($E8="↓",IFERROR($G8/$U8,0),IFERROR($U8/$G8,0)))))</f>
        <v/>
      </c>
      <c r="W8" s="17">
        <f>IF($V8="","—",IF($V8&gt;=1,"✅ محقق",IF($V8&gt;=0.85,"🟡 قريب","🔴 تحت الهدف")))</f>
        <v/>
      </c>
      <c r="X8" s="65" t="inlineStr"/>
      <c r="Y8" s="22" t="inlineStr"/>
      <c r="Z8" s="53" t="n"/>
      <c r="AA8" s="21" t="inlineStr">
        <is>
          <t>🟣 لاحق</t>
        </is>
      </c>
      <c r="AB8" s="53" t="n">
        <v>0.07140000000000001</v>
      </c>
      <c r="AC8" s="23">
        <f>IF($V8="","",$AB8*MIN($V8,1))</f>
        <v/>
      </c>
      <c r="AD8" s="74">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74">
        <f>IF(OR($AE8="",$G8=""),"",$AE8-$G8)</f>
        <v/>
      </c>
      <c r="AG8" s="17">
        <f>IF(OR($AE8="",$G8=""),"—",IF($E8="↓",IF($AE8&lt;=$G8,"🟢 على المسار",IF($AE8&lt;=$G8*1.1,"🟡 متابعة","🔴 خطر")),IF($AE8&gt;=$G8,"🟢 على المسار",IF($AE8&gt;=$G8*0.85,"🟡 متابعة","🔴 خطر"))))</f>
        <v/>
      </c>
      <c r="AH8" s="68" t="inlineStr">
        <is>
          <t>العمليات الداخلية</t>
        </is>
      </c>
    </row>
    <row r="9" ht="26" customHeight="1">
      <c r="A9" s="17" t="n">
        <v>6</v>
      </c>
      <c r="B9" s="22" t="inlineStr">
        <is>
          <t>توريد الوقود</t>
        </is>
      </c>
      <c r="C9" s="22" t="inlineStr">
        <is>
          <t>طلب توريد الوقود قبل نفاده</t>
        </is>
      </c>
      <c r="D9" s="60" t="inlineStr">
        <is>
          <t>%</t>
        </is>
      </c>
      <c r="E9" s="60" t="inlineStr">
        <is>
          <t>↑</t>
        </is>
      </c>
      <c r="F9" s="60" t="inlineStr">
        <is>
          <t>AVG</t>
        </is>
      </c>
      <c r="G9" s="74" t="n">
        <v>1</v>
      </c>
      <c r="H9" s="62" t="inlineStr">
        <is>
          <t>100%</t>
        </is>
      </c>
      <c r="I9" s="73" t="n"/>
      <c r="J9" s="73" t="n"/>
      <c r="K9" s="73" t="n"/>
      <c r="L9" s="73" t="n"/>
      <c r="M9" s="73" t="n"/>
      <c r="N9" s="73" t="n"/>
      <c r="O9" s="73" t="n"/>
      <c r="P9" s="73" t="n"/>
      <c r="Q9" s="73" t="n"/>
      <c r="R9" s="73" t="n"/>
      <c r="S9" s="73" t="n"/>
      <c r="T9" s="73" t="n"/>
      <c r="U9" s="59">
        <f>IF($F9="SUM",IF(COUNT($I9:$T9)=0,"",SUM($I9:$T9)),IF($F9="AVG",IFERROR(AVERAGE($I9:$T9),""),IF($F9="LAST",IFERROR(LOOKUP(2,1/($I9:$T9&lt;&gt;""),$I9:$T9),""),"")))</f>
        <v/>
      </c>
      <c r="V9" s="23">
        <f>IF($G9="","",IF($U9="","",IF($G9=0,IF($U9&lt;=0,1,0),IF($E9="↓",IFERROR($G9/$U9,0),IFERROR($U9/$G9,0)))))</f>
        <v/>
      </c>
      <c r="W9" s="17">
        <f>IF($V9="","—",IF($V9&gt;=1,"✅ محقق",IF($V9&gt;=0.85,"🟡 قريب","🔴 تحت الهدف")))</f>
        <v/>
      </c>
      <c r="X9" s="65" t="inlineStr"/>
      <c r="Y9" s="22" t="inlineStr"/>
      <c r="Z9" s="53" t="n"/>
      <c r="AA9" s="21" t="inlineStr">
        <is>
          <t>🔵 قائد</t>
        </is>
      </c>
      <c r="AB9" s="53" t="n">
        <v>0.07140000000000001</v>
      </c>
      <c r="AC9" s="23">
        <f>IF($V9="","",$AB9*MIN($V9,1))</f>
        <v/>
      </c>
      <c r="AD9" s="74">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4">
        <f>IF(OR($AE9="",$G9=""),"",$AE9-$G9)</f>
        <v/>
      </c>
      <c r="AG9" s="17">
        <f>IF(OR($AE9="",$G9=""),"—",IF($E9="↓",IF($AE9&lt;=$G9,"🟢 على المسار",IF($AE9&lt;=$G9*1.1,"🟡 متابعة","🔴 خطر")),IF($AE9&gt;=$G9,"🟢 على المسار",IF($AE9&gt;=$G9*0.85,"🟡 متابعة","🔴 خطر"))))</f>
        <v/>
      </c>
      <c r="AH9" s="68" t="inlineStr">
        <is>
          <t>العمليات الداخلية</t>
        </is>
      </c>
    </row>
    <row r="10" ht="26" customHeight="1">
      <c r="A10" s="17" t="n">
        <v>7</v>
      </c>
      <c r="B10" s="22" t="inlineStr">
        <is>
          <t>توريد الوقود</t>
        </is>
      </c>
      <c r="C10" s="22" t="inlineStr">
        <is>
          <t>حالات انقطاع الوقود</t>
        </is>
      </c>
      <c r="D10" s="60" t="inlineStr">
        <is>
          <t>حالة</t>
        </is>
      </c>
      <c r="E10" s="60" t="inlineStr">
        <is>
          <t>↓</t>
        </is>
      </c>
      <c r="F10" s="60" t="inlineStr">
        <is>
          <t>SUM</t>
        </is>
      </c>
      <c r="G10" s="61" t="n">
        <v>0</v>
      </c>
      <c r="H10" s="62" t="inlineStr">
        <is>
          <t>0 حالة</t>
        </is>
      </c>
      <c r="I10" s="63" t="n"/>
      <c r="J10" s="63" t="n"/>
      <c r="K10" s="63" t="n"/>
      <c r="L10" s="63" t="n"/>
      <c r="M10" s="63" t="n"/>
      <c r="N10" s="63" t="n"/>
      <c r="O10" s="63" t="n"/>
      <c r="P10" s="63" t="n"/>
      <c r="Q10" s="63" t="n"/>
      <c r="R10" s="63" t="n"/>
      <c r="S10" s="63" t="n"/>
      <c r="T10" s="63" t="n"/>
      <c r="U10" s="64">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c r="Y10" s="22" t="inlineStr"/>
      <c r="Z10" s="66" t="n"/>
      <c r="AA10" s="21" t="inlineStr">
        <is>
          <t>🟣 لاحق</t>
        </is>
      </c>
      <c r="AB10" s="53" t="n">
        <v>0.07140000000000001</v>
      </c>
      <c r="AC10" s="23">
        <f>IF($V10="","",$AB10*MIN($V10,1))</f>
        <v/>
      </c>
      <c r="AD10" s="61">
        <f>IF($G10="","",IF($F10="SUM",IF('لوحة الإدارة التنفيذية'!$P$2="","",$G10/12*'لوحة الإدارة التنفيذية'!$P$2),$G10))</f>
        <v/>
      </c>
      <c r="AE10" s="67">
        <f>IF($F10="SUM",IF(OR('لوحة الإدارة التنفيذية'!$P$2="",'لوحة الإدارة التنفيذية'!$P$2=0),"",IF($U10="","",$U10/'لوحة الإدارة التنفيذية'!$P$2*12)),IF($U10="","",$U10))</f>
        <v/>
      </c>
      <c r="AF10" s="61">
        <f>IF(OR($AE10="",$G10=""),"",$AE10-$G10)</f>
        <v/>
      </c>
      <c r="AG10" s="17">
        <f>IF(OR($AE10="",$G10=""),"—",IF($E10="↓",IF($AE10&lt;=$G10,"🟢 على المسار",IF($AE10&lt;=$G10*1.1,"🟡 متابعة","🔴 خطر")),IF($AE10&gt;=$G10,"🟢 على المسار",IF($AE10&gt;=$G10*0.85,"🟡 متابعة","🔴 خطر"))))</f>
        <v/>
      </c>
      <c r="AH10" s="68" t="inlineStr">
        <is>
          <t>العمليات الداخلية</t>
        </is>
      </c>
    </row>
    <row r="11" ht="26" customHeight="1">
      <c r="A11" s="17" t="n">
        <v>8</v>
      </c>
      <c r="B11" s="22" t="inlineStr">
        <is>
          <t>توريد الوقود</t>
        </is>
      </c>
      <c r="C11" s="22" t="inlineStr">
        <is>
          <t>توثيق تفريغ الوقود (OP-F-36)</t>
        </is>
      </c>
      <c r="D11" s="60" t="inlineStr">
        <is>
          <t>%</t>
        </is>
      </c>
      <c r="E11" s="60" t="inlineStr">
        <is>
          <t>↑</t>
        </is>
      </c>
      <c r="F11" s="60" t="inlineStr">
        <is>
          <t>AVG</t>
        </is>
      </c>
      <c r="G11" s="74" t="n">
        <v>1</v>
      </c>
      <c r="H11" s="62" t="inlineStr">
        <is>
          <t>100%</t>
        </is>
      </c>
      <c r="I11" s="73" t="n"/>
      <c r="J11" s="73" t="n"/>
      <c r="K11" s="73" t="n"/>
      <c r="L11" s="73" t="n"/>
      <c r="M11" s="73" t="n"/>
      <c r="N11" s="73" t="n"/>
      <c r="O11" s="73" t="n"/>
      <c r="P11" s="73" t="n"/>
      <c r="Q11" s="73" t="n"/>
      <c r="R11" s="73" t="n"/>
      <c r="S11" s="73" t="n"/>
      <c r="T11" s="73" t="n"/>
      <c r="U11" s="59">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c r="Y11" s="22" t="inlineStr"/>
      <c r="Z11" s="53" t="n"/>
      <c r="AA11" s="21" t="inlineStr">
        <is>
          <t>🟣 لاحق</t>
        </is>
      </c>
      <c r="AB11" s="53" t="n">
        <v>0.07140000000000001</v>
      </c>
      <c r="AC11" s="23">
        <f>IF($V11="","",$AB11*MIN($V11,1))</f>
        <v/>
      </c>
      <c r="AD11" s="74">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74">
        <f>IF(OR($AE11="",$G11=""),"",$AE11-$G11)</f>
        <v/>
      </c>
      <c r="AG11" s="17">
        <f>IF(OR($AE11="",$G11=""),"—",IF($E11="↓",IF($AE11&lt;=$G11,"🟢 على المسار",IF($AE11&lt;=$G11*1.1,"🟡 متابعة","🔴 خطر")),IF($AE11&gt;=$G11,"🟢 على المسار",IF($AE11&gt;=$G11*0.85,"🟡 متابعة","🔴 خطر"))))</f>
        <v/>
      </c>
      <c r="AH11" s="68" t="inlineStr">
        <is>
          <t>العمليات الداخلية</t>
        </is>
      </c>
    </row>
    <row r="12" ht="26" customHeight="1">
      <c r="A12" s="17" t="n">
        <v>9</v>
      </c>
      <c r="B12" s="22" t="inlineStr">
        <is>
          <t>إدارة الفريق</t>
        </is>
      </c>
      <c r="C12" s="22" t="inlineStr">
        <is>
          <t>الالتزام بزي الفريق ومظهره</t>
        </is>
      </c>
      <c r="D12" s="60" t="inlineStr">
        <is>
          <t>%</t>
        </is>
      </c>
      <c r="E12" s="60" t="inlineStr">
        <is>
          <t>↑</t>
        </is>
      </c>
      <c r="F12" s="60" t="inlineStr">
        <is>
          <t>AVG</t>
        </is>
      </c>
      <c r="G12" s="74" t="n">
        <v>1</v>
      </c>
      <c r="H12" s="62" t="inlineStr">
        <is>
          <t>100%</t>
        </is>
      </c>
      <c r="I12" s="73" t="n"/>
      <c r="J12" s="73" t="n"/>
      <c r="K12" s="73" t="n"/>
      <c r="L12" s="73" t="n"/>
      <c r="M12" s="73" t="n"/>
      <c r="N12" s="73" t="n"/>
      <c r="O12" s="73" t="n"/>
      <c r="P12" s="73" t="n"/>
      <c r="Q12" s="73" t="n"/>
      <c r="R12" s="73" t="n"/>
      <c r="S12" s="73" t="n"/>
      <c r="T12" s="73" t="n"/>
      <c r="U12" s="59">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c r="Y12" s="22" t="inlineStr"/>
      <c r="Z12" s="53" t="n"/>
      <c r="AA12" s="21" t="inlineStr">
        <is>
          <t>🟣 لاحق</t>
        </is>
      </c>
      <c r="AB12" s="53" t="n">
        <v>0.07140000000000001</v>
      </c>
      <c r="AC12" s="23">
        <f>IF($V12="","",$AB12*MIN($V12,1))</f>
        <v/>
      </c>
      <c r="AD12" s="74">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4">
        <f>IF(OR($AE12="",$G12=""),"",$AE12-$G12)</f>
        <v/>
      </c>
      <c r="AG12" s="17">
        <f>IF(OR($AE12="",$G12=""),"—",IF($E12="↓",IF($AE12&lt;=$G12,"🟢 على المسار",IF($AE12&lt;=$G12*1.1,"🟡 متابعة","🔴 خطر")),IF($AE12&gt;=$G12,"🟢 على المسار",IF($AE12&gt;=$G12*0.85,"🟡 متابعة","🔴 خطر"))))</f>
        <v/>
      </c>
      <c r="AH12" s="68" t="inlineStr">
        <is>
          <t>العمليات الداخلية</t>
        </is>
      </c>
    </row>
    <row r="13" ht="26" customHeight="1">
      <c r="A13" s="17" t="n">
        <v>10</v>
      </c>
      <c r="B13" s="22" t="inlineStr">
        <is>
          <t>إدارة الفريق</t>
        </is>
      </c>
      <c r="C13" s="22" t="inlineStr">
        <is>
          <t>توزيع الزي بعهدة موقّعة</t>
        </is>
      </c>
      <c r="D13" s="60" t="inlineStr">
        <is>
          <t>%</t>
        </is>
      </c>
      <c r="E13" s="60" t="inlineStr">
        <is>
          <t>↑</t>
        </is>
      </c>
      <c r="F13" s="60" t="inlineStr">
        <is>
          <t>AVG</t>
        </is>
      </c>
      <c r="G13" s="74" t="n">
        <v>1</v>
      </c>
      <c r="H13" s="62" t="inlineStr">
        <is>
          <t>100%</t>
        </is>
      </c>
      <c r="I13" s="73" t="n"/>
      <c r="J13" s="73" t="n"/>
      <c r="K13" s="73" t="n"/>
      <c r="L13" s="73" t="n"/>
      <c r="M13" s="73" t="n"/>
      <c r="N13" s="73" t="n"/>
      <c r="O13" s="73" t="n"/>
      <c r="P13" s="73" t="n"/>
      <c r="Q13" s="73" t="n"/>
      <c r="R13" s="73" t="n"/>
      <c r="S13" s="73" t="n"/>
      <c r="T13" s="73" t="n"/>
      <c r="U13" s="59">
        <f>IF($F13="SUM",IF(COUNT($I13:$T13)=0,"",SUM($I13:$T13)),IF($F13="AVG",IFERROR(AVERAGE($I13:$T13),""),IF($F13="LAST",IFERROR(LOOKUP(2,1/($I13:$T13&lt;&gt;""),$I13:$T13),""),"")))</f>
        <v/>
      </c>
      <c r="V13" s="23">
        <f>IF($G13="","",IF($U13="","",IF($G13=0,IF($U13&lt;=0,1,0),IF($E13="↓",IFERROR($G13/$U13,0),IFERROR($U13/$G13,0)))))</f>
        <v/>
      </c>
      <c r="W13" s="17">
        <f>IF($V13="","—",IF($V13&gt;=1,"✅ محقق",IF($V13&gt;=0.85,"🟡 قريب","🔴 تحت الهدف")))</f>
        <v/>
      </c>
      <c r="X13" s="65" t="inlineStr"/>
      <c r="Y13" s="22" t="inlineStr"/>
      <c r="Z13" s="53" t="n"/>
      <c r="AA13" s="21" t="inlineStr">
        <is>
          <t>🟣 لاحق</t>
        </is>
      </c>
      <c r="AB13" s="53" t="n">
        <v>0.07140000000000001</v>
      </c>
      <c r="AC13" s="23">
        <f>IF($V13="","",$AB13*MIN($V13,1))</f>
        <v/>
      </c>
      <c r="AD13" s="74">
        <f>IF($G13="","",IF($F13="SUM",IF('لوحة الإدارة التنفيذية'!$P$2="","",$G13/12*'لوحة الإدارة التنفيذية'!$P$2),$G13))</f>
        <v/>
      </c>
      <c r="AE13" s="23">
        <f>IF($F13="SUM",IF(OR('لوحة الإدارة التنفيذية'!$P$2="",'لوحة الإدارة التنفيذية'!$P$2=0),"",IF($U13="","",$U13/'لوحة الإدارة التنفيذية'!$P$2*12)),IF($U13="","",$U13))</f>
        <v/>
      </c>
      <c r="AF13" s="74">
        <f>IF(OR($AE13="",$G13=""),"",$AE13-$G13)</f>
        <v/>
      </c>
      <c r="AG13" s="17">
        <f>IF(OR($AE13="",$G13=""),"—",IF($E13="↓",IF($AE13&lt;=$G13,"🟢 على المسار",IF($AE13&lt;=$G13*1.1,"🟡 متابعة","🔴 خطر")),IF($AE13&gt;=$G13,"🟢 على المسار",IF($AE13&gt;=$G13*0.85,"🟡 متابعة","🔴 خطر"))))</f>
        <v/>
      </c>
      <c r="AH13" s="68" t="inlineStr">
        <is>
          <t>العمليات الداخلية</t>
        </is>
      </c>
    </row>
    <row r="14" ht="26" customHeight="1">
      <c r="A14" s="17" t="n">
        <v>11</v>
      </c>
      <c r="B14" s="22" t="inlineStr">
        <is>
          <t>إدارة الفريق</t>
        </is>
      </c>
      <c r="C14" s="22" t="inlineStr">
        <is>
          <t>تجديد الوثائق والتراخيص مبكراً</t>
        </is>
      </c>
      <c r="D14" s="60" t="inlineStr">
        <is>
          <t>%</t>
        </is>
      </c>
      <c r="E14" s="60" t="inlineStr">
        <is>
          <t>↑</t>
        </is>
      </c>
      <c r="F14" s="60" t="inlineStr">
        <is>
          <t>AVG</t>
        </is>
      </c>
      <c r="G14" s="74" t="n">
        <v>1</v>
      </c>
      <c r="H14" s="62" t="inlineStr">
        <is>
          <t>100%</t>
        </is>
      </c>
      <c r="I14" s="73" t="n"/>
      <c r="J14" s="73" t="n"/>
      <c r="K14" s="73" t="n"/>
      <c r="L14" s="73" t="n"/>
      <c r="M14" s="73" t="n"/>
      <c r="N14" s="73" t="n"/>
      <c r="O14" s="73" t="n"/>
      <c r="P14" s="73" t="n"/>
      <c r="Q14" s="73" t="n"/>
      <c r="R14" s="73" t="n"/>
      <c r="S14" s="73" t="n"/>
      <c r="T14" s="73" t="n"/>
      <c r="U14" s="59">
        <f>IF($F14="SUM",IF(COUNT($I14:$T14)=0,"",SUM($I14:$T14)),IF($F14="AVG",IFERROR(AVERAGE($I14:$T14),""),IF($F14="LAST",IFERROR(LOOKUP(2,1/($I14:$T14&lt;&gt;""),$I14:$T14),""),"")))</f>
        <v/>
      </c>
      <c r="V14" s="23">
        <f>IF($G14="","",IF($U14="","",IF($G14=0,IF($U14&lt;=0,1,0),IF($E14="↓",IFERROR($G14/$U14,0),IFERROR($U14/$G14,0)))))</f>
        <v/>
      </c>
      <c r="W14" s="17">
        <f>IF($V14="","—",IF($V14&gt;=1,"✅ محقق",IF($V14&gt;=0.85,"🟡 قريب","🔴 تحت الهدف")))</f>
        <v/>
      </c>
      <c r="X14" s="65" t="inlineStr"/>
      <c r="Y14" s="22" t="inlineStr"/>
      <c r="Z14" s="53" t="n"/>
      <c r="AA14" s="21" t="inlineStr">
        <is>
          <t>🟣 لاحق</t>
        </is>
      </c>
      <c r="AB14" s="53" t="n">
        <v>0.07140000000000001</v>
      </c>
      <c r="AC14" s="23">
        <f>IF($V14="","",$AB14*MIN($V14,1))</f>
        <v/>
      </c>
      <c r="AD14" s="74">
        <f>IF($G14="","",IF($F14="SUM",IF('لوحة الإدارة التنفيذية'!$P$2="","",$G14/12*'لوحة الإدارة التنفيذية'!$P$2),$G14))</f>
        <v/>
      </c>
      <c r="AE14" s="23">
        <f>IF($F14="SUM",IF(OR('لوحة الإدارة التنفيذية'!$P$2="",'لوحة الإدارة التنفيذية'!$P$2=0),"",IF($U14="","",$U14/'لوحة الإدارة التنفيذية'!$P$2*12)),IF($U14="","",$U14))</f>
        <v/>
      </c>
      <c r="AF14" s="74">
        <f>IF(OR($AE14="",$G14=""),"",$AE14-$G14)</f>
        <v/>
      </c>
      <c r="AG14" s="17">
        <f>IF(OR($AE14="",$G14=""),"—",IF($E14="↓",IF($AE14&lt;=$G14,"🟢 على المسار",IF($AE14&lt;=$G14*1.1,"🟡 متابعة","🔴 خطر")),IF($AE14&gt;=$G14,"🟢 على المسار",IF($AE14&gt;=$G14*0.85,"🟡 متابعة","🔴 خطر"))))</f>
        <v/>
      </c>
      <c r="AH14" s="68" t="inlineStr">
        <is>
          <t>العمليات الداخلية</t>
        </is>
      </c>
    </row>
    <row r="15" ht="26" customHeight="1">
      <c r="A15" s="17" t="n">
        <v>12</v>
      </c>
      <c r="B15" s="22" t="inlineStr">
        <is>
          <t>إدارة الفريق</t>
        </is>
      </c>
      <c r="C15" s="22" t="inlineStr">
        <is>
          <t>الاستجابة لبلاغات الطوارئ والأعطال</t>
        </is>
      </c>
      <c r="D15" s="60" t="inlineStr">
        <is>
          <t>دقيقة</t>
        </is>
      </c>
      <c r="E15" s="60" t="inlineStr">
        <is>
          <t>↓</t>
        </is>
      </c>
      <c r="F15" s="60" t="inlineStr">
        <is>
          <t>AVG</t>
        </is>
      </c>
      <c r="G15" s="75" t="n">
        <v>15</v>
      </c>
      <c r="H15" s="62" t="inlineStr">
        <is>
          <t>≤ 15 د</t>
        </is>
      </c>
      <c r="I15" s="76" t="n"/>
      <c r="J15" s="76" t="n"/>
      <c r="K15" s="76" t="n"/>
      <c r="L15" s="76" t="n"/>
      <c r="M15" s="76" t="n"/>
      <c r="N15" s="76" t="n"/>
      <c r="O15" s="76" t="n"/>
      <c r="P15" s="76" t="n"/>
      <c r="Q15" s="76" t="n"/>
      <c r="R15" s="76" t="n"/>
      <c r="S15" s="76" t="n"/>
      <c r="T15" s="76" t="n"/>
      <c r="U15" s="77">
        <f>IF($F15="SUM",IF(COUNT($I15:$T15)=0,"",SUM($I15:$T15)),IF($F15="AVG",IFERROR(AVERAGE($I15:$T15),""),IF($F15="LAST",IFERROR(LOOKUP(2,1/($I15:$T15&lt;&gt;""),$I15:$T15),""),"")))</f>
        <v/>
      </c>
      <c r="V15" s="23">
        <f>IF($G15="","",IF($U15="","",IF($G15=0,IF($U15&lt;=0,1,0),IF($E15="↓",IFERROR($G15/$U15,0),IFERROR($U15/$G15,0)))))</f>
        <v/>
      </c>
      <c r="W15" s="17">
        <f>IF($V15="","—",IF($V15&gt;=1,"✅ محقق",IF($V15&gt;=0.85,"🟡 قريب","🔴 تحت الهدف")))</f>
        <v/>
      </c>
      <c r="X15" s="65" t="inlineStr"/>
      <c r="Y15" s="22" t="inlineStr"/>
      <c r="Z15" s="78" t="n"/>
      <c r="AA15" s="21" t="inlineStr">
        <is>
          <t>🟣 لاحق</t>
        </is>
      </c>
      <c r="AB15" s="53" t="n">
        <v>0.07140000000000001</v>
      </c>
      <c r="AC15" s="23">
        <f>IF($V15="","",$AB15*MIN($V15,1))</f>
        <v/>
      </c>
      <c r="AD15" s="75">
        <f>IF($G15="","",IF($F15="SUM",IF('لوحة الإدارة التنفيذية'!$P$2="","",$G15/12*'لوحة الإدارة التنفيذية'!$P$2),$G15))</f>
        <v/>
      </c>
      <c r="AE15" s="79">
        <f>IF($F15="SUM",IF(OR('لوحة الإدارة التنفيذية'!$P$2="",'لوحة الإدارة التنفيذية'!$P$2=0),"",IF($U15="","",$U15/'لوحة الإدارة التنفيذية'!$P$2*12)),IF($U15="","",$U15))</f>
        <v/>
      </c>
      <c r="AF15" s="75">
        <f>IF(OR($AE15="",$G15=""),"",$AE15-$G15)</f>
        <v/>
      </c>
      <c r="AG15" s="17">
        <f>IF(OR($AE15="",$G15=""),"—",IF($E15="↓",IF($AE15&lt;=$G15,"🟢 على المسار",IF($AE15&lt;=$G15*1.1,"🟡 متابعة","🔴 خطر")),IF($AE15&gt;=$G15,"🟢 على المسار",IF($AE15&gt;=$G15*0.85,"🟡 متابعة","🔴 خطر"))))</f>
        <v/>
      </c>
      <c r="AH15" s="68" t="inlineStr">
        <is>
          <t>العمليات الداخلية</t>
        </is>
      </c>
    </row>
    <row r="16" ht="26" customHeight="1">
      <c r="A16" s="17" t="n">
        <v>13</v>
      </c>
      <c r="B16" s="22" t="inlineStr">
        <is>
          <t>جودة الخدمة</t>
        </is>
      </c>
      <c r="C16" s="22" t="inlineStr">
        <is>
          <t>نظافة المرافق يومياً</t>
        </is>
      </c>
      <c r="D16" s="60" t="inlineStr">
        <is>
          <t>%</t>
        </is>
      </c>
      <c r="E16" s="60" t="inlineStr">
        <is>
          <t>↑</t>
        </is>
      </c>
      <c r="F16" s="60" t="inlineStr">
        <is>
          <t>AVG</t>
        </is>
      </c>
      <c r="G16" s="74" t="n">
        <v>1</v>
      </c>
      <c r="H16" s="62" t="inlineStr">
        <is>
          <t>100%</t>
        </is>
      </c>
      <c r="I16" s="73" t="n"/>
      <c r="J16" s="73" t="n"/>
      <c r="K16" s="73" t="n"/>
      <c r="L16" s="73" t="n"/>
      <c r="M16" s="73" t="n"/>
      <c r="N16" s="73" t="n"/>
      <c r="O16" s="73" t="n"/>
      <c r="P16" s="73" t="n"/>
      <c r="Q16" s="73" t="n"/>
      <c r="R16" s="73" t="n"/>
      <c r="S16" s="73" t="n"/>
      <c r="T16" s="73" t="n"/>
      <c r="U16" s="59">
        <f>IF($F16="SUM",IF(COUNT($I16:$T16)=0,"",SUM($I16:$T16)),IF($F16="AVG",IFERROR(AVERAGE($I16:$T16),""),IF($F16="LAST",IFERROR(LOOKUP(2,1/($I16:$T16&lt;&gt;""),$I16:$T16),""),"")))</f>
        <v/>
      </c>
      <c r="V16" s="23">
        <f>IF($G16="","",IF($U16="","",IF($G16=0,IF($U16&lt;=0,1,0),IF($E16="↓",IFERROR($G16/$U16,0),IFERROR($U16/$G16,0)))))</f>
        <v/>
      </c>
      <c r="W16" s="17">
        <f>IF($V16="","—",IF($V16&gt;=1,"✅ محقق",IF($V16&gt;=0.85,"🟡 قريب","🔴 تحت الهدف")))</f>
        <v/>
      </c>
      <c r="X16" s="65" t="inlineStr"/>
      <c r="Y16" s="22" t="inlineStr"/>
      <c r="Z16" s="53" t="n"/>
      <c r="AA16" s="21" t="inlineStr">
        <is>
          <t>🟣 لاحق</t>
        </is>
      </c>
      <c r="AB16" s="53" t="n">
        <v>0.07140000000000001</v>
      </c>
      <c r="AC16" s="23">
        <f>IF($V16="","",$AB16*MIN($V16,1))</f>
        <v/>
      </c>
      <c r="AD16" s="74">
        <f>IF($G16="","",IF($F16="SUM",IF('لوحة الإدارة التنفيذية'!$P$2="","",$G16/12*'لوحة الإدارة التنفيذية'!$P$2),$G16))</f>
        <v/>
      </c>
      <c r="AE16" s="23">
        <f>IF($F16="SUM",IF(OR('لوحة الإدارة التنفيذية'!$P$2="",'لوحة الإدارة التنفيذية'!$P$2=0),"",IF($U16="","",$U16/'لوحة الإدارة التنفيذية'!$P$2*12)),IF($U16="","",$U16))</f>
        <v/>
      </c>
      <c r="AF16" s="74">
        <f>IF(OR($AE16="",$G16=""),"",$AE16-$G16)</f>
        <v/>
      </c>
      <c r="AG16" s="17">
        <f>IF(OR($AE16="",$G16=""),"—",IF($E16="↓",IF($AE16&lt;=$G16,"🟢 على المسار",IF($AE16&lt;=$G16*1.1,"🟡 متابعة","🔴 خطر")),IF($AE16&gt;=$G16,"🟢 على المسار",IF($AE16&gt;=$G16*0.85,"🟡 متابعة","🔴 خطر"))))</f>
        <v/>
      </c>
      <c r="AH16" s="68" t="inlineStr">
        <is>
          <t>العمليات الداخلية</t>
        </is>
      </c>
    </row>
    <row r="17" ht="26" customHeight="1">
      <c r="A17" s="17" t="n">
        <v>14</v>
      </c>
      <c r="B17" s="22" t="inlineStr">
        <is>
          <t>جودة الخدمة</t>
        </is>
      </c>
      <c r="C17" s="22" t="inlineStr">
        <is>
          <t>معالجة شكاوى العملاء خلال 24 ساعة</t>
        </is>
      </c>
      <c r="D17" s="60" t="inlineStr">
        <is>
          <t>%</t>
        </is>
      </c>
      <c r="E17" s="60" t="inlineStr">
        <is>
          <t>↑</t>
        </is>
      </c>
      <c r="F17" s="60" t="inlineStr">
        <is>
          <t>AVG</t>
        </is>
      </c>
      <c r="G17" s="74" t="n">
        <v>0.9</v>
      </c>
      <c r="H17" s="62" t="inlineStr">
        <is>
          <t>90%+</t>
        </is>
      </c>
      <c r="I17" s="73" t="n"/>
      <c r="J17" s="73" t="n"/>
      <c r="K17" s="73" t="n"/>
      <c r="L17" s="73" t="n"/>
      <c r="M17" s="73" t="n"/>
      <c r="N17" s="73" t="n"/>
      <c r="O17" s="73" t="n"/>
      <c r="P17" s="73" t="n"/>
      <c r="Q17" s="73" t="n"/>
      <c r="R17" s="73" t="n"/>
      <c r="S17" s="73" t="n"/>
      <c r="T17" s="73" t="n"/>
      <c r="U17" s="59">
        <f>IF($F17="SUM",IF(COUNT($I17:$T17)=0,"",SUM($I17:$T17)),IF($F17="AVG",IFERROR(AVERAGE($I17:$T17),""),IF($F17="LAST",IFERROR(LOOKUP(2,1/($I17:$T17&lt;&gt;""),$I17:$T17),""),"")))</f>
        <v/>
      </c>
      <c r="V17" s="23">
        <f>IF($G17="","",IF($U17="","",IF($G17=0,IF($U17&lt;=0,1,0),IF($E17="↓",IFERROR($G17/$U17,0),IFERROR($U17/$G17,0)))))</f>
        <v/>
      </c>
      <c r="W17" s="17">
        <f>IF($V17="","—",IF($V17&gt;=1,"✅ محقق",IF($V17&gt;=0.85,"🟡 قريب","🔴 تحت الهدف")))</f>
        <v/>
      </c>
      <c r="X17" s="65" t="inlineStr"/>
      <c r="Y17" s="22" t="inlineStr"/>
      <c r="Z17" s="53" t="n"/>
      <c r="AA17" s="21" t="inlineStr">
        <is>
          <t>🟣 لاحق</t>
        </is>
      </c>
      <c r="AB17" s="53" t="n">
        <v>0.07140000000000001</v>
      </c>
      <c r="AC17" s="23">
        <f>IF($V17="","",$AB17*MIN($V17,1))</f>
        <v/>
      </c>
      <c r="AD17" s="74">
        <f>IF($G17="","",IF($F17="SUM",IF('لوحة الإدارة التنفيذية'!$P$2="","",$G17/12*'لوحة الإدارة التنفيذية'!$P$2),$G17))</f>
        <v/>
      </c>
      <c r="AE17" s="23">
        <f>IF($F17="SUM",IF(OR('لوحة الإدارة التنفيذية'!$P$2="",'لوحة الإدارة التنفيذية'!$P$2=0),"",IF($U17="","",$U17/'لوحة الإدارة التنفيذية'!$P$2*12)),IF($U17="","",$U17))</f>
        <v/>
      </c>
      <c r="AF17" s="74">
        <f>IF(OR($AE17="",$G17=""),"",$AE17-$G17)</f>
        <v/>
      </c>
      <c r="AG17" s="17">
        <f>IF(OR($AE17="",$G17=""),"—",IF($E17="↓",IF($AE17&lt;=$G17,"🟢 على المسار",IF($AE17&lt;=$G17*1.1,"🟡 متابعة","🔴 خطر")),IF($AE17&gt;=$G17,"🟢 على المسار",IF($AE17&gt;=$G17*0.85,"🟡 متابعة","🔴 خطر"))))</f>
        <v/>
      </c>
      <c r="AH17" s="68" t="inlineStr">
        <is>
          <t>العملاء</t>
        </is>
      </c>
    </row>
    <row r="18">
      <c r="A18" s="80" t="inlineStr"/>
      <c r="B18" s="81" t="inlineStr">
        <is>
          <t>الإجمالي الموزون للإدارة</t>
        </is>
      </c>
      <c r="AB18" s="82">
        <f>SUM(AB4:AB17)</f>
        <v/>
      </c>
      <c r="AC18" s="83">
        <f>SUM(AC4:AC17)</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B18:AA18"/>
    <mergeCell ref="A1:AH1"/>
  </mergeCells>
  <dataValidations count="1">
    <dataValidation sqref="I4 I5 I6 I7 I8 I9 I10 I11 I12 I13 I14 I15 I16 I17 J4 J5 J6 J7 J8 J9 J10 J11 J12 J13 J14 J15 J16 J17 K4 K5 K6 K7 K8 K9 K10 K11 K12 K13 K14 K15 K16 K17 L4 L5 L6 L7 L8 L9 L10 L11 L12 L13 L14 L15 L16 L17 M4 M5 M6 M7 M8 M9 M10 M11 M12 M13 M14 M15 M16 M17 N4 N5 N6 N7 N8 N9 N10 N11 N12 N13 N14 N15 N16 N17 O4 O5 O6 O7 O8 O9 O10 O11 O12 O13 O14 O15 O16 O17 P4 P5 P6 P7 P8 P9 P10 P11 P12 P13 P14 P15 P16 P17 Q4 Q5 Q6 Q7 Q8 Q9 Q10 Q11 Q12 Q13 Q14 Q15 Q16 Q17 R4 R5 R6 R7 R8 R9 R10 R11 R12 R13 R14 R15 R16 R17 S4 S5 S6 S7 S8 S9 S10 S11 S12 S13 S14 S15 S16 S17 T4 T5 T6 T7 T8 T9 T10 T11 T12 T13 T14 T15 T16 T17 Z4 Z5 Z6 Z7 Z8 Z9 Z10 Z11 Z12 Z13 Z14 Z15 Z16 Z17"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H16"/>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مؤشرات الأداء — مشرف ميداني (شهري · TQM-M-02)</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الزيارات الميدانية</t>
        </is>
      </c>
      <c r="C4" s="22" t="inlineStr">
        <is>
          <t>تنفيذ الزيارات المجدولة كاملاً</t>
        </is>
      </c>
      <c r="D4" s="60" t="inlineStr">
        <is>
          <t>%</t>
        </is>
      </c>
      <c r="E4" s="60" t="inlineStr">
        <is>
          <t>↑</t>
        </is>
      </c>
      <c r="F4" s="60" t="inlineStr">
        <is>
          <t>AVG</t>
        </is>
      </c>
      <c r="G4" s="74" t="n">
        <v>1</v>
      </c>
      <c r="H4" s="62" t="inlineStr">
        <is>
          <t>100%</t>
        </is>
      </c>
      <c r="I4" s="73" t="n"/>
      <c r="J4" s="73" t="n"/>
      <c r="K4" s="73" t="n"/>
      <c r="L4" s="73" t="n"/>
      <c r="M4" s="73" t="n"/>
      <c r="N4" s="73" t="n"/>
      <c r="O4" s="73" t="n"/>
      <c r="P4" s="73" t="n"/>
      <c r="Q4" s="73" t="n"/>
      <c r="R4" s="73" t="n"/>
      <c r="S4" s="73" t="n"/>
      <c r="T4" s="73" t="n"/>
      <c r="U4" s="59">
        <f>IF($F4="SUM",IF(COUNT($I4:$T4)=0,"",SUM($I4:$T4)),IF($F4="AVG",IFERROR(AVERAGE($I4:$T4),""),IF($F4="LAST",IFERROR(LOOKUP(2,1/($I4:$T4&lt;&gt;""),$I4:$T4),""),"")))</f>
        <v/>
      </c>
      <c r="V4" s="23">
        <f>IF($G4="","",IF($U4="","",IF($G4=0,IF($U4&lt;=0,1,0),IF($E4="↓",IFERROR($G4/$U4,0),IFERROR($U4/$G4,0)))))</f>
        <v/>
      </c>
      <c r="W4" s="17">
        <f>IF($V4="","—",IF($V4&gt;=1,"✅ محقق",IF($V4&gt;=0.85,"🟡 قريب","🔴 تحت الهدف")))</f>
        <v/>
      </c>
      <c r="X4" s="65" t="inlineStr"/>
      <c r="Y4" s="22" t="inlineStr"/>
      <c r="Z4" s="53" t="n"/>
      <c r="AA4" s="21" t="inlineStr">
        <is>
          <t>🔵 قائد</t>
        </is>
      </c>
      <c r="AB4" s="53" t="n">
        <v>0.0833</v>
      </c>
      <c r="AC4" s="23">
        <f>IF($V4="","",$AB4*MIN($V4,1))</f>
        <v/>
      </c>
      <c r="AD4" s="74">
        <f>IF($G4="","",IF($F4="SUM",IF('لوحة الإدارة التنفيذية'!$P$2="","",$G4/12*'لوحة الإدارة التنفيذية'!$P$2),$G4))</f>
        <v/>
      </c>
      <c r="AE4" s="23">
        <f>IF($F4="SUM",IF(OR('لوحة الإدارة التنفيذية'!$P$2="",'لوحة الإدارة التنفيذية'!$P$2=0),"",IF($U4="","",$U4/'لوحة الإدارة التنفيذية'!$P$2*12)),IF($U4="","",$U4))</f>
        <v/>
      </c>
      <c r="AF4" s="74">
        <f>IF(OR($AE4="",$G4=""),"",$AE4-$G4)</f>
        <v/>
      </c>
      <c r="AG4" s="17">
        <f>IF(OR($AE4="",$G4=""),"—",IF($E4="↓",IF($AE4&lt;=$G4,"🟢 على المسار",IF($AE4&lt;=$G4*1.1,"🟡 متابعة","🔴 خطر")),IF($AE4&gt;=$G4,"🟢 على المسار",IF($AE4&gt;=$G4*0.85,"🟡 متابعة","🔴 خطر"))))</f>
        <v/>
      </c>
      <c r="AH4" s="68" t="inlineStr">
        <is>
          <t>العمليات الداخلية</t>
        </is>
      </c>
    </row>
    <row r="5" ht="26" customHeight="1">
      <c r="A5" s="17" t="n">
        <v>2</v>
      </c>
      <c r="B5" s="22" t="inlineStr">
        <is>
          <t>الزيارات الميدانية</t>
        </is>
      </c>
      <c r="C5" s="22" t="inlineStr">
        <is>
          <t>رفع تقرير الزيارة خلال 24 ساعة</t>
        </is>
      </c>
      <c r="D5" s="60" t="inlineStr">
        <is>
          <t>%</t>
        </is>
      </c>
      <c r="E5" s="60" t="inlineStr">
        <is>
          <t>↑</t>
        </is>
      </c>
      <c r="F5" s="60" t="inlineStr">
        <is>
          <t>AVG</t>
        </is>
      </c>
      <c r="G5" s="74" t="n">
        <v>1</v>
      </c>
      <c r="H5" s="62" t="inlineStr">
        <is>
          <t>100%</t>
        </is>
      </c>
      <c r="I5" s="73" t="n"/>
      <c r="J5" s="73" t="n"/>
      <c r="K5" s="73" t="n"/>
      <c r="L5" s="73" t="n"/>
      <c r="M5" s="73" t="n"/>
      <c r="N5" s="73" t="n"/>
      <c r="O5" s="73" t="n"/>
      <c r="P5" s="73" t="n"/>
      <c r="Q5" s="73" t="n"/>
      <c r="R5" s="73" t="n"/>
      <c r="S5" s="73" t="n"/>
      <c r="T5" s="73" t="n"/>
      <c r="U5" s="59">
        <f>IF($F5="SUM",IF(COUNT($I5:$T5)=0,"",SUM($I5:$T5)),IF($F5="AVG",IFERROR(AVERAGE($I5:$T5),""),IF($F5="LAST",IFERROR(LOOKUP(2,1/($I5:$T5&lt;&gt;""),$I5:$T5),""),"")))</f>
        <v/>
      </c>
      <c r="V5" s="23">
        <f>IF($G5="","",IF($U5="","",IF($G5=0,IF($U5&lt;=0,1,0),IF($E5="↓",IFERROR($G5/$U5,0),IFERROR($U5/$G5,0)))))</f>
        <v/>
      </c>
      <c r="W5" s="17">
        <f>IF($V5="","—",IF($V5&gt;=1,"✅ محقق",IF($V5&gt;=0.85,"🟡 قريب","🔴 تحت الهدف")))</f>
        <v/>
      </c>
      <c r="X5" s="65" t="inlineStr"/>
      <c r="Y5" s="22" t="inlineStr"/>
      <c r="Z5" s="53" t="n"/>
      <c r="AA5" s="21" t="inlineStr">
        <is>
          <t>🟣 لاحق</t>
        </is>
      </c>
      <c r="AB5" s="53" t="n">
        <v>0.0833</v>
      </c>
      <c r="AC5" s="23">
        <f>IF($V5="","",$AB5*MIN($V5,1))</f>
        <v/>
      </c>
      <c r="AD5" s="74">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74">
        <f>IF(OR($AE5="",$G5=""),"",$AE5-$G5)</f>
        <v/>
      </c>
      <c r="AG5" s="17">
        <f>IF(OR($AE5="",$G5=""),"—",IF($E5="↓",IF($AE5&lt;=$G5,"🟢 على المسار",IF($AE5&lt;=$G5*1.1,"🟡 متابعة","🔴 خطر")),IF($AE5&gt;=$G5,"🟢 على المسار",IF($AE5&gt;=$G5*0.85,"🟡 متابعة","🔴 خطر"))))</f>
        <v/>
      </c>
      <c r="AH5" s="68" t="inlineStr">
        <is>
          <t>العمليات الداخلية</t>
        </is>
      </c>
    </row>
    <row r="6" ht="26" customHeight="1">
      <c r="A6" s="17" t="n">
        <v>3</v>
      </c>
      <c r="B6" s="22" t="inlineStr">
        <is>
          <t>الزيارات الميدانية</t>
        </is>
      </c>
      <c r="C6" s="22" t="inlineStr">
        <is>
          <t>التحقق من جرد الوردية أثناء الزيارة</t>
        </is>
      </c>
      <c r="D6" s="60" t="inlineStr">
        <is>
          <t>%</t>
        </is>
      </c>
      <c r="E6" s="60" t="inlineStr">
        <is>
          <t>↑</t>
        </is>
      </c>
      <c r="F6" s="60" t="inlineStr">
        <is>
          <t>AVG</t>
        </is>
      </c>
      <c r="G6" s="74" t="n">
        <v>1</v>
      </c>
      <c r="H6" s="62" t="inlineStr">
        <is>
          <t>100%</t>
        </is>
      </c>
      <c r="I6" s="73" t="n"/>
      <c r="J6" s="73" t="n"/>
      <c r="K6" s="73" t="n"/>
      <c r="L6" s="73" t="n"/>
      <c r="M6" s="73" t="n"/>
      <c r="N6" s="73" t="n"/>
      <c r="O6" s="73" t="n"/>
      <c r="P6" s="73" t="n"/>
      <c r="Q6" s="73" t="n"/>
      <c r="R6" s="73" t="n"/>
      <c r="S6" s="73" t="n"/>
      <c r="T6" s="73" t="n"/>
      <c r="U6" s="59">
        <f>IF($F6="SUM",IF(COUNT($I6:$T6)=0,"",SUM($I6:$T6)),IF($F6="AVG",IFERROR(AVERAGE($I6:$T6),""),IF($F6="LAST",IFERROR(LOOKUP(2,1/($I6:$T6&lt;&gt;""),$I6:$T6),""),"")))</f>
        <v/>
      </c>
      <c r="V6" s="23">
        <f>IF($G6="","",IF($U6="","",IF($G6=0,IF($U6&lt;=0,1,0),IF($E6="↓",IFERROR($G6/$U6,0),IFERROR($U6/$G6,0)))))</f>
        <v/>
      </c>
      <c r="W6" s="17">
        <f>IF($V6="","—",IF($V6&gt;=1,"✅ محقق",IF($V6&gt;=0.85,"🟡 قريب","🔴 تحت الهدف")))</f>
        <v/>
      </c>
      <c r="X6" s="65" t="inlineStr"/>
      <c r="Y6" s="22" t="inlineStr"/>
      <c r="Z6" s="53" t="n"/>
      <c r="AA6" s="21" t="inlineStr">
        <is>
          <t>🟣 لاحق</t>
        </is>
      </c>
      <c r="AB6" s="53" t="n">
        <v>0.0833</v>
      </c>
      <c r="AC6" s="23">
        <f>IF($V6="","",$AB6*MIN($V6,1))</f>
        <v/>
      </c>
      <c r="AD6" s="74">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74">
        <f>IF(OR($AE6="",$G6=""),"",$AE6-$G6)</f>
        <v/>
      </c>
      <c r="AG6" s="17">
        <f>IF(OR($AE6="",$G6=""),"—",IF($E6="↓",IF($AE6&lt;=$G6,"🟢 على المسار",IF($AE6&lt;=$G6*1.1,"🟡 متابعة","🔴 خطر")),IF($AE6&gt;=$G6,"🟢 على المسار",IF($AE6&gt;=$G6*0.85,"🟡 متابعة","🔴 خطر"))))</f>
        <v/>
      </c>
      <c r="AH6" s="68" t="inlineStr">
        <is>
          <t>العمليات الداخلية</t>
        </is>
      </c>
    </row>
    <row r="7" ht="26" customHeight="1">
      <c r="A7" s="17" t="n">
        <v>4</v>
      </c>
      <c r="B7" s="22" t="inlineStr">
        <is>
          <t>الزيارات الميدانية</t>
        </is>
      </c>
      <c r="C7" s="22" t="inlineStr">
        <is>
          <t>إغلاق ملاحظات الزيارة خلال أسبوع</t>
        </is>
      </c>
      <c r="D7" s="60" t="inlineStr">
        <is>
          <t>%</t>
        </is>
      </c>
      <c r="E7" s="60" t="inlineStr">
        <is>
          <t>↑</t>
        </is>
      </c>
      <c r="F7" s="60" t="inlineStr">
        <is>
          <t>AVG</t>
        </is>
      </c>
      <c r="G7" s="74" t="n">
        <v>0.9</v>
      </c>
      <c r="H7" s="62" t="inlineStr">
        <is>
          <t>90%+</t>
        </is>
      </c>
      <c r="I7" s="73" t="n"/>
      <c r="J7" s="73" t="n"/>
      <c r="K7" s="73" t="n"/>
      <c r="L7" s="73" t="n"/>
      <c r="M7" s="73" t="n"/>
      <c r="N7" s="73" t="n"/>
      <c r="O7" s="73" t="n"/>
      <c r="P7" s="73" t="n"/>
      <c r="Q7" s="73" t="n"/>
      <c r="R7" s="73" t="n"/>
      <c r="S7" s="73" t="n"/>
      <c r="T7" s="73" t="n"/>
      <c r="U7" s="59">
        <f>IF($F7="SUM",IF(COUNT($I7:$T7)=0,"",SUM($I7:$T7)),IF($F7="AVG",IFERROR(AVERAGE($I7:$T7),""),IF($F7="LAST",IFERROR(LOOKUP(2,1/($I7:$T7&lt;&gt;""),$I7:$T7),""),"")))</f>
        <v/>
      </c>
      <c r="V7" s="23">
        <f>IF($G7="","",IF($U7="","",IF($G7=0,IF($U7&lt;=0,1,0),IF($E7="↓",IFERROR($G7/$U7,0),IFERROR($U7/$G7,0)))))</f>
        <v/>
      </c>
      <c r="W7" s="17">
        <f>IF($V7="","—",IF($V7&gt;=1,"✅ محقق",IF($V7&gt;=0.85,"🟡 قريب","🔴 تحت الهدف")))</f>
        <v/>
      </c>
      <c r="X7" s="65" t="inlineStr"/>
      <c r="Y7" s="22" t="inlineStr"/>
      <c r="Z7" s="53" t="n"/>
      <c r="AA7" s="21" t="inlineStr">
        <is>
          <t>🟣 لاحق</t>
        </is>
      </c>
      <c r="AB7" s="53" t="n">
        <v>0.0833</v>
      </c>
      <c r="AC7" s="23">
        <f>IF($V7="","",$AB7*MIN($V7,1))</f>
        <v/>
      </c>
      <c r="AD7" s="74">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4">
        <f>IF(OR($AE7="",$G7=""),"",$AE7-$G7)</f>
        <v/>
      </c>
      <c r="AG7" s="17">
        <f>IF(OR($AE7="",$G7=""),"—",IF($E7="↓",IF($AE7&lt;=$G7,"🟢 على المسار",IF($AE7&lt;=$G7*1.1,"🟡 متابعة","🔴 خطر")),IF($AE7&gt;=$G7,"🟢 على المسار",IF($AE7&gt;=$G7*0.85,"🟡 متابعة","🔴 خطر"))))</f>
        <v/>
      </c>
      <c r="AH7" s="68" t="inlineStr">
        <is>
          <t>العمليات الداخلية</t>
        </is>
      </c>
    </row>
    <row r="8" ht="26" customHeight="1">
      <c r="A8" s="17" t="n">
        <v>5</v>
      </c>
      <c r="B8" s="22" t="inlineStr">
        <is>
          <t>الرقابة والتوريد</t>
        </is>
      </c>
      <c r="C8" s="22" t="inlineStr">
        <is>
          <t>التحقق من تطابق POS والنقدية</t>
        </is>
      </c>
      <c r="D8" s="60" t="inlineStr">
        <is>
          <t>%</t>
        </is>
      </c>
      <c r="E8" s="60" t="inlineStr">
        <is>
          <t>↑</t>
        </is>
      </c>
      <c r="F8" s="60" t="inlineStr">
        <is>
          <t>AVG</t>
        </is>
      </c>
      <c r="G8" s="74" t="n">
        <v>1</v>
      </c>
      <c r="H8" s="62" t="inlineStr">
        <is>
          <t>100%</t>
        </is>
      </c>
      <c r="I8" s="73" t="n"/>
      <c r="J8" s="73" t="n"/>
      <c r="K8" s="73" t="n"/>
      <c r="L8" s="73" t="n"/>
      <c r="M8" s="73" t="n"/>
      <c r="N8" s="73" t="n"/>
      <c r="O8" s="73" t="n"/>
      <c r="P8" s="73" t="n"/>
      <c r="Q8" s="73" t="n"/>
      <c r="R8" s="73" t="n"/>
      <c r="S8" s="73" t="n"/>
      <c r="T8" s="73" t="n"/>
      <c r="U8" s="59">
        <f>IF($F8="SUM",IF(COUNT($I8:$T8)=0,"",SUM($I8:$T8)),IF($F8="AVG",IFERROR(AVERAGE($I8:$T8),""),IF($F8="LAST",IFERROR(LOOKUP(2,1/($I8:$T8&lt;&gt;""),$I8:$T8),""),"")))</f>
        <v/>
      </c>
      <c r="V8" s="23">
        <f>IF($G8="","",IF($U8="","",IF($G8=0,IF($U8&lt;=0,1,0),IF($E8="↓",IFERROR($G8/$U8,0),IFERROR($U8/$G8,0)))))</f>
        <v/>
      </c>
      <c r="W8" s="17">
        <f>IF($V8="","—",IF($V8&gt;=1,"✅ محقق",IF($V8&gt;=0.85,"🟡 قريب","🔴 تحت الهدف")))</f>
        <v/>
      </c>
      <c r="X8" s="65" t="inlineStr"/>
      <c r="Y8" s="22" t="inlineStr"/>
      <c r="Z8" s="53" t="n"/>
      <c r="AA8" s="21" t="inlineStr">
        <is>
          <t>🟣 لاحق</t>
        </is>
      </c>
      <c r="AB8" s="53" t="n">
        <v>0.0833</v>
      </c>
      <c r="AC8" s="23">
        <f>IF($V8="","",$AB8*MIN($V8,1))</f>
        <v/>
      </c>
      <c r="AD8" s="74">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74">
        <f>IF(OR($AE8="",$G8=""),"",$AE8-$G8)</f>
        <v/>
      </c>
      <c r="AG8" s="17">
        <f>IF(OR($AE8="",$G8=""),"—",IF($E8="↓",IF($AE8&lt;=$G8,"🟢 على المسار",IF($AE8&lt;=$G8*1.1,"🟡 متابعة","🔴 خطر")),IF($AE8&gt;=$G8,"🟢 على المسار",IF($AE8&gt;=$G8*0.85,"🟡 متابعة","🔴 خطر"))))</f>
        <v/>
      </c>
      <c r="AH8" s="68" t="inlineStr">
        <is>
          <t>العمليات الداخلية</t>
        </is>
      </c>
    </row>
    <row r="9" ht="26" customHeight="1">
      <c r="A9" s="17" t="n">
        <v>6</v>
      </c>
      <c r="B9" s="22" t="inlineStr">
        <is>
          <t>الرقابة والتوريد</t>
        </is>
      </c>
      <c r="C9" s="22" t="inlineStr">
        <is>
          <t>متابعة طلبات التوريد وتسليم الوقود</t>
        </is>
      </c>
      <c r="D9" s="60" t="inlineStr">
        <is>
          <t>%</t>
        </is>
      </c>
      <c r="E9" s="60" t="inlineStr">
        <is>
          <t>↑</t>
        </is>
      </c>
      <c r="F9" s="60" t="inlineStr">
        <is>
          <t>AVG</t>
        </is>
      </c>
      <c r="G9" s="74" t="n">
        <v>1</v>
      </c>
      <c r="H9" s="62" t="inlineStr">
        <is>
          <t>100%</t>
        </is>
      </c>
      <c r="I9" s="73" t="n"/>
      <c r="J9" s="73" t="n"/>
      <c r="K9" s="73" t="n"/>
      <c r="L9" s="73" t="n"/>
      <c r="M9" s="73" t="n"/>
      <c r="N9" s="73" t="n"/>
      <c r="O9" s="73" t="n"/>
      <c r="P9" s="73" t="n"/>
      <c r="Q9" s="73" t="n"/>
      <c r="R9" s="73" t="n"/>
      <c r="S9" s="73" t="n"/>
      <c r="T9" s="73" t="n"/>
      <c r="U9" s="59">
        <f>IF($F9="SUM",IF(COUNT($I9:$T9)=0,"",SUM($I9:$T9)),IF($F9="AVG",IFERROR(AVERAGE($I9:$T9),""),IF($F9="LAST",IFERROR(LOOKUP(2,1/($I9:$T9&lt;&gt;""),$I9:$T9),""),"")))</f>
        <v/>
      </c>
      <c r="V9" s="23">
        <f>IF($G9="","",IF($U9="","",IF($G9=0,IF($U9&lt;=0,1,0),IF($E9="↓",IFERROR($G9/$U9,0),IFERROR($U9/$G9,0)))))</f>
        <v/>
      </c>
      <c r="W9" s="17">
        <f>IF($V9="","—",IF($V9&gt;=1,"✅ محقق",IF($V9&gt;=0.85,"🟡 قريب","🔴 تحت الهدف")))</f>
        <v/>
      </c>
      <c r="X9" s="65" t="inlineStr"/>
      <c r="Y9" s="22" t="inlineStr"/>
      <c r="Z9" s="53" t="n"/>
      <c r="AA9" s="21" t="inlineStr">
        <is>
          <t>🔵 قائد</t>
        </is>
      </c>
      <c r="AB9" s="53" t="n">
        <v>0.0833</v>
      </c>
      <c r="AC9" s="23">
        <f>IF($V9="","",$AB9*MIN($V9,1))</f>
        <v/>
      </c>
      <c r="AD9" s="74">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4">
        <f>IF(OR($AE9="",$G9=""),"",$AE9-$G9)</f>
        <v/>
      </c>
      <c r="AG9" s="17">
        <f>IF(OR($AE9="",$G9=""),"—",IF($E9="↓",IF($AE9&lt;=$G9,"🟢 على المسار",IF($AE9&lt;=$G9*1.1,"🟡 متابعة","🔴 خطر")),IF($AE9&gt;=$G9,"🟢 على المسار",IF($AE9&gt;=$G9*0.85,"🟡 متابعة","🔴 خطر"))))</f>
        <v/>
      </c>
      <c r="AH9" s="68" t="inlineStr">
        <is>
          <t>العمليات الداخلية</t>
        </is>
      </c>
    </row>
    <row r="10" ht="26" customHeight="1">
      <c r="A10" s="17" t="n">
        <v>7</v>
      </c>
      <c r="B10" s="22" t="inlineStr">
        <is>
          <t>الرقابة والتوريد</t>
        </is>
      </c>
      <c r="C10" s="22" t="inlineStr">
        <is>
          <t>مراجعة نسبة جاهزية المضخات</t>
        </is>
      </c>
      <c r="D10" s="60" t="inlineStr">
        <is>
          <t>%</t>
        </is>
      </c>
      <c r="E10" s="60" t="inlineStr">
        <is>
          <t>↑</t>
        </is>
      </c>
      <c r="F10" s="60" t="inlineStr">
        <is>
          <t>AVG</t>
        </is>
      </c>
      <c r="G10" s="74" t="n">
        <v>0.97</v>
      </c>
      <c r="H10" s="62" t="inlineStr">
        <is>
          <t>≥ 97%</t>
        </is>
      </c>
      <c r="I10" s="73" t="n"/>
      <c r="J10" s="73" t="n"/>
      <c r="K10" s="73" t="n"/>
      <c r="L10" s="73" t="n"/>
      <c r="M10" s="73" t="n"/>
      <c r="N10" s="73" t="n"/>
      <c r="O10" s="73" t="n"/>
      <c r="P10" s="73" t="n"/>
      <c r="Q10" s="73" t="n"/>
      <c r="R10" s="73" t="n"/>
      <c r="S10" s="73" t="n"/>
      <c r="T10" s="73" t="n"/>
      <c r="U10" s="59">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c r="Y10" s="22" t="inlineStr"/>
      <c r="Z10" s="53" t="n"/>
      <c r="AA10" s="21" t="inlineStr">
        <is>
          <t>🟣 لاحق</t>
        </is>
      </c>
      <c r="AB10" s="53" t="n">
        <v>0.0833</v>
      </c>
      <c r="AC10" s="23">
        <f>IF($V10="","",$AB10*MIN($V10,1))</f>
        <v/>
      </c>
      <c r="AD10" s="74">
        <f>IF($G10="","",IF($F10="SUM",IF('لوحة الإدارة التنفيذية'!$P$2="","",$G10/12*'لوحة الإدارة التنفيذية'!$P$2),$G10))</f>
        <v/>
      </c>
      <c r="AE10" s="23">
        <f>IF($F10="SUM",IF(OR('لوحة الإدارة التنفيذية'!$P$2="",'لوحة الإدارة التنفيذية'!$P$2=0),"",IF($U10="","",$U10/'لوحة الإدارة التنفيذية'!$P$2*12)),IF($U10="","",$U10))</f>
        <v/>
      </c>
      <c r="AF10" s="74">
        <f>IF(OR($AE10="",$G10=""),"",$AE10-$G10)</f>
        <v/>
      </c>
      <c r="AG10" s="17">
        <f>IF(OR($AE10="",$G10=""),"—",IF($E10="↓",IF($AE10&lt;=$G10,"🟢 على المسار",IF($AE10&lt;=$G10*1.1,"🟡 متابعة","🔴 خطر")),IF($AE10&gt;=$G10,"🟢 على المسار",IF($AE10&gt;=$G10*0.85,"🟡 متابعة","🔴 خطر"))))</f>
        <v/>
      </c>
      <c r="AH10" s="68" t="inlineStr">
        <is>
          <t>العمليات الداخلية</t>
        </is>
      </c>
    </row>
    <row r="11" ht="26" customHeight="1">
      <c r="A11" s="17" t="n">
        <v>8</v>
      </c>
      <c r="B11" s="22" t="inlineStr">
        <is>
          <t>متابعة الموظفين</t>
        </is>
      </c>
      <c r="C11" s="22" t="inlineStr">
        <is>
          <t>تقييم أداء الموظفين بنموذج OP-F-51</t>
        </is>
      </c>
      <c r="D11" s="60" t="inlineStr">
        <is>
          <t>%</t>
        </is>
      </c>
      <c r="E11" s="60" t="inlineStr">
        <is>
          <t>↑</t>
        </is>
      </c>
      <c r="F11" s="60" t="inlineStr">
        <is>
          <t>AVG</t>
        </is>
      </c>
      <c r="G11" s="74" t="n">
        <v>1</v>
      </c>
      <c r="H11" s="62" t="inlineStr">
        <is>
          <t>100%</t>
        </is>
      </c>
      <c r="I11" s="73" t="n"/>
      <c r="J11" s="73" t="n"/>
      <c r="K11" s="73" t="n"/>
      <c r="L11" s="73" t="n"/>
      <c r="M11" s="73" t="n"/>
      <c r="N11" s="73" t="n"/>
      <c r="O11" s="73" t="n"/>
      <c r="P11" s="73" t="n"/>
      <c r="Q11" s="73" t="n"/>
      <c r="R11" s="73" t="n"/>
      <c r="S11" s="73" t="n"/>
      <c r="T11" s="73" t="n"/>
      <c r="U11" s="59">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c r="Y11" s="22" t="inlineStr"/>
      <c r="Z11" s="53" t="n"/>
      <c r="AA11" s="21" t="inlineStr">
        <is>
          <t>🔵 قائد</t>
        </is>
      </c>
      <c r="AB11" s="53" t="n">
        <v>0.0833</v>
      </c>
      <c r="AC11" s="23">
        <f>IF($V11="","",$AB11*MIN($V11,1))</f>
        <v/>
      </c>
      <c r="AD11" s="74">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74">
        <f>IF(OR($AE11="",$G11=""),"",$AE11-$G11)</f>
        <v/>
      </c>
      <c r="AG11" s="17">
        <f>IF(OR($AE11="",$G11=""),"—",IF($E11="↓",IF($AE11&lt;=$G11,"🟢 على المسار",IF($AE11&lt;=$G11*1.1,"🟡 متابعة","🔴 خطر")),IF($AE11&gt;=$G11,"🟢 على المسار",IF($AE11&gt;=$G11*0.85,"🟡 متابعة","🔴 خطر"))))</f>
        <v/>
      </c>
      <c r="AH11" s="68" t="inlineStr">
        <is>
          <t>التعلّم والنمو</t>
        </is>
      </c>
    </row>
    <row r="12" ht="26" customHeight="1">
      <c r="A12" s="17" t="n">
        <v>9</v>
      </c>
      <c r="B12" s="22" t="inlineStr">
        <is>
          <t>متابعة الموظفين</t>
        </is>
      </c>
      <c r="C12" s="22" t="inlineStr">
        <is>
          <t>متابعة الالتزام بالزي والمظهر</t>
        </is>
      </c>
      <c r="D12" s="60" t="inlineStr">
        <is>
          <t>%</t>
        </is>
      </c>
      <c r="E12" s="60" t="inlineStr">
        <is>
          <t>↑</t>
        </is>
      </c>
      <c r="F12" s="60" t="inlineStr">
        <is>
          <t>AVG</t>
        </is>
      </c>
      <c r="G12" s="74" t="n">
        <v>1</v>
      </c>
      <c r="H12" s="62" t="inlineStr">
        <is>
          <t>100%</t>
        </is>
      </c>
      <c r="I12" s="73" t="n"/>
      <c r="J12" s="73" t="n"/>
      <c r="K12" s="73" t="n"/>
      <c r="L12" s="73" t="n"/>
      <c r="M12" s="73" t="n"/>
      <c r="N12" s="73" t="n"/>
      <c r="O12" s="73" t="n"/>
      <c r="P12" s="73" t="n"/>
      <c r="Q12" s="73" t="n"/>
      <c r="R12" s="73" t="n"/>
      <c r="S12" s="73" t="n"/>
      <c r="T12" s="73" t="n"/>
      <c r="U12" s="59">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c r="Y12" s="22" t="inlineStr"/>
      <c r="Z12" s="53" t="n"/>
      <c r="AA12" s="21" t="inlineStr">
        <is>
          <t>🟣 لاحق</t>
        </is>
      </c>
      <c r="AB12" s="53" t="n">
        <v>0.0833</v>
      </c>
      <c r="AC12" s="23">
        <f>IF($V12="","",$AB12*MIN($V12,1))</f>
        <v/>
      </c>
      <c r="AD12" s="74">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4">
        <f>IF(OR($AE12="",$G12=""),"",$AE12-$G12)</f>
        <v/>
      </c>
      <c r="AG12" s="17">
        <f>IF(OR($AE12="",$G12=""),"—",IF($E12="↓",IF($AE12&lt;=$G12,"🟢 على المسار",IF($AE12&lt;=$G12*1.1,"🟡 متابعة","🔴 خطر")),IF($AE12&gt;=$G12,"🟢 على المسار",IF($AE12&gt;=$G12*0.85,"🟡 متابعة","🔴 خطر"))))</f>
        <v/>
      </c>
      <c r="AH12" s="68" t="inlineStr">
        <is>
          <t>العمليات الداخلية</t>
        </is>
      </c>
    </row>
    <row r="13" ht="26" customHeight="1">
      <c r="A13" s="17" t="n">
        <v>10</v>
      </c>
      <c r="B13" s="22" t="inlineStr">
        <is>
          <t>متابعة الموظفين</t>
        </is>
      </c>
      <c r="C13" s="22" t="inlineStr">
        <is>
          <t>حالات مخالفة السلامة دون إجراء</t>
        </is>
      </c>
      <c r="D13" s="60" t="inlineStr">
        <is>
          <t>حالة</t>
        </is>
      </c>
      <c r="E13" s="60" t="inlineStr">
        <is>
          <t>↓</t>
        </is>
      </c>
      <c r="F13" s="60" t="inlineStr">
        <is>
          <t>SUM</t>
        </is>
      </c>
      <c r="G13" s="61" t="n">
        <v>0</v>
      </c>
      <c r="H13" s="62" t="inlineStr">
        <is>
          <t>0 حالة</t>
        </is>
      </c>
      <c r="I13" s="63" t="n"/>
      <c r="J13" s="63" t="n"/>
      <c r="K13" s="63" t="n"/>
      <c r="L13" s="63" t="n"/>
      <c r="M13" s="63" t="n"/>
      <c r="N13" s="63" t="n"/>
      <c r="O13" s="63" t="n"/>
      <c r="P13" s="63" t="n"/>
      <c r="Q13" s="63" t="n"/>
      <c r="R13" s="63" t="n"/>
      <c r="S13" s="63" t="n"/>
      <c r="T13" s="63" t="n"/>
      <c r="U13" s="64">
        <f>IF($F13="SUM",IF(COUNT($I13:$T13)=0,"",SUM($I13:$T13)),IF($F13="AVG",IFERROR(AVERAGE($I13:$T13),""),IF($F13="LAST",IFERROR(LOOKUP(2,1/($I13:$T13&lt;&gt;""),$I13:$T13),""),"")))</f>
        <v/>
      </c>
      <c r="V13" s="23">
        <f>IF($G13="","",IF($U13="","",IF($G13=0,IF($U13&lt;=0,1,0),IF($E13="↓",IFERROR($G13/$U13,0),IFERROR($U13/$G13,0)))))</f>
        <v/>
      </c>
      <c r="W13" s="17">
        <f>IF($V13="","—",IF($V13&gt;=1,"✅ محقق",IF($V13&gt;=0.85,"🟡 قريب","🔴 تحت الهدف")))</f>
        <v/>
      </c>
      <c r="X13" s="65" t="inlineStr"/>
      <c r="Y13" s="22" t="inlineStr"/>
      <c r="Z13" s="66" t="n"/>
      <c r="AA13" s="21" t="inlineStr">
        <is>
          <t>🟣 لاحق</t>
        </is>
      </c>
      <c r="AB13" s="53" t="n">
        <v>0.0833</v>
      </c>
      <c r="AC13" s="23">
        <f>IF($V13="","",$AB13*MIN($V13,1))</f>
        <v/>
      </c>
      <c r="AD13" s="61">
        <f>IF($G13="","",IF($F13="SUM",IF('لوحة الإدارة التنفيذية'!$P$2="","",$G13/12*'لوحة الإدارة التنفيذية'!$P$2),$G13))</f>
        <v/>
      </c>
      <c r="AE13" s="67">
        <f>IF($F13="SUM",IF(OR('لوحة الإدارة التنفيذية'!$P$2="",'لوحة الإدارة التنفيذية'!$P$2=0),"",IF($U13="","",$U13/'لوحة الإدارة التنفيذية'!$P$2*12)),IF($U13="","",$U13))</f>
        <v/>
      </c>
      <c r="AF13" s="61">
        <f>IF(OR($AE13="",$G13=""),"",$AE13-$G13)</f>
        <v/>
      </c>
      <c r="AG13" s="17">
        <f>IF(OR($AE13="",$G13=""),"—",IF($E13="↓",IF($AE13&lt;=$G13,"🟢 على المسار",IF($AE13&lt;=$G13*1.1,"🟡 متابعة","🔴 خطر")),IF($AE13&gt;=$G13,"🟢 على المسار",IF($AE13&gt;=$G13*0.85,"🟡 متابعة","🔴 خطر"))))</f>
        <v/>
      </c>
      <c r="AH13" s="68" t="inlineStr">
        <is>
          <t>العمليات الداخلية</t>
        </is>
      </c>
    </row>
    <row r="14" ht="26" customHeight="1">
      <c r="A14" s="17" t="n">
        <v>11</v>
      </c>
      <c r="B14" s="22" t="inlineStr">
        <is>
          <t>التقارير</t>
        </is>
      </c>
      <c r="C14" s="22" t="inlineStr">
        <is>
          <t>رفع التقارير الشهرية في موعدها</t>
        </is>
      </c>
      <c r="D14" s="60" t="inlineStr">
        <is>
          <t>%</t>
        </is>
      </c>
      <c r="E14" s="60" t="inlineStr">
        <is>
          <t>↑</t>
        </is>
      </c>
      <c r="F14" s="60" t="inlineStr">
        <is>
          <t>AVG</t>
        </is>
      </c>
      <c r="G14" s="74" t="n">
        <v>1</v>
      </c>
      <c r="H14" s="62" t="inlineStr">
        <is>
          <t>100%</t>
        </is>
      </c>
      <c r="I14" s="73" t="n"/>
      <c r="J14" s="73" t="n"/>
      <c r="K14" s="73" t="n"/>
      <c r="L14" s="73" t="n"/>
      <c r="M14" s="73" t="n"/>
      <c r="N14" s="73" t="n"/>
      <c r="O14" s="73" t="n"/>
      <c r="P14" s="73" t="n"/>
      <c r="Q14" s="73" t="n"/>
      <c r="R14" s="73" t="n"/>
      <c r="S14" s="73" t="n"/>
      <c r="T14" s="73" t="n"/>
      <c r="U14" s="59">
        <f>IF($F14="SUM",IF(COUNT($I14:$T14)=0,"",SUM($I14:$T14)),IF($F14="AVG",IFERROR(AVERAGE($I14:$T14),""),IF($F14="LAST",IFERROR(LOOKUP(2,1/($I14:$T14&lt;&gt;""),$I14:$T14),""),"")))</f>
        <v/>
      </c>
      <c r="V14" s="23">
        <f>IF($G14="","",IF($U14="","",IF($G14=0,IF($U14&lt;=0,1,0),IF($E14="↓",IFERROR($G14/$U14,0),IFERROR($U14/$G14,0)))))</f>
        <v/>
      </c>
      <c r="W14" s="17">
        <f>IF($V14="","—",IF($V14&gt;=1,"✅ محقق",IF($V14&gt;=0.85,"🟡 قريب","🔴 تحت الهدف")))</f>
        <v/>
      </c>
      <c r="X14" s="65" t="inlineStr"/>
      <c r="Y14" s="22" t="inlineStr"/>
      <c r="Z14" s="53" t="n"/>
      <c r="AA14" s="21" t="inlineStr">
        <is>
          <t>🟣 لاحق</t>
        </is>
      </c>
      <c r="AB14" s="53" t="n">
        <v>0.0833</v>
      </c>
      <c r="AC14" s="23">
        <f>IF($V14="","",$AB14*MIN($V14,1))</f>
        <v/>
      </c>
      <c r="AD14" s="74">
        <f>IF($G14="","",IF($F14="SUM",IF('لوحة الإدارة التنفيذية'!$P$2="","",$G14/12*'لوحة الإدارة التنفيذية'!$P$2),$G14))</f>
        <v/>
      </c>
      <c r="AE14" s="23">
        <f>IF($F14="SUM",IF(OR('لوحة الإدارة التنفيذية'!$P$2="",'لوحة الإدارة التنفيذية'!$P$2=0),"",IF($U14="","",$U14/'لوحة الإدارة التنفيذية'!$P$2*12)),IF($U14="","",$U14))</f>
        <v/>
      </c>
      <c r="AF14" s="74">
        <f>IF(OR($AE14="",$G14=""),"",$AE14-$G14)</f>
        <v/>
      </c>
      <c r="AG14" s="17">
        <f>IF(OR($AE14="",$G14=""),"—",IF($E14="↓",IF($AE14&lt;=$G14,"🟢 على المسار",IF($AE14&lt;=$G14*1.1,"🟡 متابعة","🔴 خطر")),IF($AE14&gt;=$G14,"🟢 على المسار",IF($AE14&gt;=$G14*0.85,"🟡 متابعة","🔴 خطر"))))</f>
        <v/>
      </c>
      <c r="AH14" s="68" t="inlineStr">
        <is>
          <t>العمليات الداخلية</t>
        </is>
      </c>
    </row>
    <row r="15" ht="26" customHeight="1">
      <c r="A15" s="17" t="n">
        <v>12</v>
      </c>
      <c r="B15" s="22" t="inlineStr">
        <is>
          <t>التقارير</t>
        </is>
      </c>
      <c r="C15" s="22" t="inlineStr">
        <is>
          <t>متابعة تجديد تراخيص المحطات</t>
        </is>
      </c>
      <c r="D15" s="60" t="inlineStr">
        <is>
          <t>%</t>
        </is>
      </c>
      <c r="E15" s="60" t="inlineStr">
        <is>
          <t>↑</t>
        </is>
      </c>
      <c r="F15" s="60" t="inlineStr">
        <is>
          <t>AVG</t>
        </is>
      </c>
      <c r="G15" s="74" t="n">
        <v>1</v>
      </c>
      <c r="H15" s="62" t="inlineStr">
        <is>
          <t>100%</t>
        </is>
      </c>
      <c r="I15" s="73" t="n"/>
      <c r="J15" s="73" t="n"/>
      <c r="K15" s="73" t="n"/>
      <c r="L15" s="73" t="n"/>
      <c r="M15" s="73" t="n"/>
      <c r="N15" s="73" t="n"/>
      <c r="O15" s="73" t="n"/>
      <c r="P15" s="73" t="n"/>
      <c r="Q15" s="73" t="n"/>
      <c r="R15" s="73" t="n"/>
      <c r="S15" s="73" t="n"/>
      <c r="T15" s="73" t="n"/>
      <c r="U15" s="59">
        <f>IF($F15="SUM",IF(COUNT($I15:$T15)=0,"",SUM($I15:$T15)),IF($F15="AVG",IFERROR(AVERAGE($I15:$T15),""),IF($F15="LAST",IFERROR(LOOKUP(2,1/($I15:$T15&lt;&gt;""),$I15:$T15),""),"")))</f>
        <v/>
      </c>
      <c r="V15" s="23">
        <f>IF($G15="","",IF($U15="","",IF($G15=0,IF($U15&lt;=0,1,0),IF($E15="↓",IFERROR($G15/$U15,0),IFERROR($U15/$G15,0)))))</f>
        <v/>
      </c>
      <c r="W15" s="17">
        <f>IF($V15="","—",IF($V15&gt;=1,"✅ محقق",IF($V15&gt;=0.85,"🟡 قريب","🔴 تحت الهدف")))</f>
        <v/>
      </c>
      <c r="X15" s="65" t="inlineStr"/>
      <c r="Y15" s="22" t="inlineStr"/>
      <c r="Z15" s="53" t="n"/>
      <c r="AA15" s="21" t="inlineStr">
        <is>
          <t>🟣 لاحق</t>
        </is>
      </c>
      <c r="AB15" s="53" t="n">
        <v>0.0833</v>
      </c>
      <c r="AC15" s="23">
        <f>IF($V15="","",$AB15*MIN($V15,1))</f>
        <v/>
      </c>
      <c r="AD15" s="74">
        <f>IF($G15="","",IF($F15="SUM",IF('لوحة الإدارة التنفيذية'!$P$2="","",$G15/12*'لوحة الإدارة التنفيذية'!$P$2),$G15))</f>
        <v/>
      </c>
      <c r="AE15" s="23">
        <f>IF($F15="SUM",IF(OR('لوحة الإدارة التنفيذية'!$P$2="",'لوحة الإدارة التنفيذية'!$P$2=0),"",IF($U15="","",$U15/'لوحة الإدارة التنفيذية'!$P$2*12)),IF($U15="","",$U15))</f>
        <v/>
      </c>
      <c r="AF15" s="74">
        <f>IF(OR($AE15="",$G15=""),"",$AE15-$G15)</f>
        <v/>
      </c>
      <c r="AG15" s="17">
        <f>IF(OR($AE15="",$G15=""),"—",IF($E15="↓",IF($AE15&lt;=$G15,"🟢 على المسار",IF($AE15&lt;=$G15*1.1,"🟡 متابعة","🔴 خطر")),IF($AE15&gt;=$G15,"🟢 على المسار",IF($AE15&gt;=$G15*0.85,"🟡 متابعة","🔴 خطر"))))</f>
        <v/>
      </c>
      <c r="AH15" s="68" t="inlineStr">
        <is>
          <t>العمليات الداخلية</t>
        </is>
      </c>
    </row>
    <row r="16">
      <c r="A16" s="80" t="inlineStr"/>
      <c r="B16" s="81" t="inlineStr">
        <is>
          <t>الإجمالي الموزون للإدارة</t>
        </is>
      </c>
      <c r="AB16" s="82">
        <f>SUM(AB4:AB15)</f>
        <v/>
      </c>
      <c r="AC16" s="83">
        <f>SUM(AC4:AC15)</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A1:AH1"/>
    <mergeCell ref="B16:AA16"/>
  </mergeCells>
  <dataValidations count="1">
    <dataValidation sqref="I4 I5 I6 I7 I8 I9 I10 I11 I12 I13 I14 I15 J4 J5 J6 J7 J8 J9 J10 J11 J12 J13 J14 J15 K4 K5 K6 K7 K8 K9 K10 K11 K12 K13 K14 K15 L4 L5 L6 L7 L8 L9 L10 L11 L12 L13 L14 L15 M4 M5 M6 M7 M8 M9 M10 M11 M12 M13 M14 M15 N4 N5 N6 N7 N8 N9 N10 N11 N12 N13 N14 N15 O4 O5 O6 O7 O8 O9 O10 O11 O12 O13 O14 O15 P4 P5 P6 P7 P8 P9 P10 P11 P12 P13 P14 P15 Q4 Q5 Q6 Q7 Q8 Q9 Q10 Q11 Q12 Q13 Q14 Q15 R4 R5 R6 R7 R8 R9 R10 R11 R12 R13 R14 R15 S4 S5 S6 S7 S8 S9 S10 S11 S12 S13 S14 S15 T4 T5 T6 T7 T8 T9 T10 T11 T12 T13 T14 T15 Z4 Z5 Z6 Z7 Z8 Z9 Z10 Z11 Z12 Z13 Z14 Z15"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H14"/>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مؤشرات الأداء — عامل تعبئة الوقود (شهري · SOP-OM-08)</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الخدمة والسرعة</t>
        </is>
      </c>
      <c r="C4" s="22" t="inlineStr">
        <is>
          <t>وقت تعبئة الوقود للعميل</t>
        </is>
      </c>
      <c r="D4" s="60" t="inlineStr">
        <is>
          <t>دقيقة</t>
        </is>
      </c>
      <c r="E4" s="60" t="inlineStr">
        <is>
          <t>↓</t>
        </is>
      </c>
      <c r="F4" s="60" t="inlineStr">
        <is>
          <t>AVG</t>
        </is>
      </c>
      <c r="G4" s="75" t="n">
        <v>5</v>
      </c>
      <c r="H4" s="62" t="inlineStr">
        <is>
          <t>≤ 5 دقائق</t>
        </is>
      </c>
      <c r="I4" s="76" t="n"/>
      <c r="J4" s="76" t="n"/>
      <c r="K4" s="76" t="n"/>
      <c r="L4" s="76" t="n"/>
      <c r="M4" s="76" t="n"/>
      <c r="N4" s="76" t="n"/>
      <c r="O4" s="76" t="n"/>
      <c r="P4" s="76" t="n"/>
      <c r="Q4" s="76" t="n"/>
      <c r="R4" s="76" t="n"/>
      <c r="S4" s="76" t="n"/>
      <c r="T4" s="76" t="n"/>
      <c r="U4" s="77">
        <f>IF($F4="SUM",IF(COUNT($I4:$T4)=0,"",SUM($I4:$T4)),IF($F4="AVG",IFERROR(AVERAGE($I4:$T4),""),IF($F4="LAST",IFERROR(LOOKUP(2,1/($I4:$T4&lt;&gt;""),$I4:$T4),""),"")))</f>
        <v/>
      </c>
      <c r="V4" s="23">
        <f>IF($G4="","",IF($U4="","",IF($G4=0,IF($U4&lt;=0,1,0),IF($E4="↓",IFERROR($G4/$U4,0),IFERROR($U4/$G4,0)))))</f>
        <v/>
      </c>
      <c r="W4" s="17">
        <f>IF($V4="","—",IF($V4&gt;=1,"✅ محقق",IF($V4&gt;=0.85,"🟡 قريب","🔴 تحت الهدف")))</f>
        <v/>
      </c>
      <c r="X4" s="65" t="inlineStr"/>
      <c r="Y4" s="22" t="inlineStr"/>
      <c r="Z4" s="78" t="n"/>
      <c r="AA4" s="21" t="inlineStr">
        <is>
          <t>🟣 لاحق</t>
        </is>
      </c>
      <c r="AB4" s="53" t="n">
        <v>0.1</v>
      </c>
      <c r="AC4" s="23">
        <f>IF($V4="","",$AB4*MIN($V4,1))</f>
        <v/>
      </c>
      <c r="AD4" s="75">
        <f>IF($G4="","",IF($F4="SUM",IF('لوحة الإدارة التنفيذية'!$P$2="","",$G4/12*'لوحة الإدارة التنفيذية'!$P$2),$G4))</f>
        <v/>
      </c>
      <c r="AE4" s="79">
        <f>IF($F4="SUM",IF(OR('لوحة الإدارة التنفيذية'!$P$2="",'لوحة الإدارة التنفيذية'!$P$2=0),"",IF($U4="","",$U4/'لوحة الإدارة التنفيذية'!$P$2*12)),IF($U4="","",$U4))</f>
        <v/>
      </c>
      <c r="AF4" s="75">
        <f>IF(OR($AE4="",$G4=""),"",$AE4-$G4)</f>
        <v/>
      </c>
      <c r="AG4" s="17">
        <f>IF(OR($AE4="",$G4=""),"—",IF($E4="↓",IF($AE4&lt;=$G4,"🟢 على المسار",IF($AE4&lt;=$G4*1.1,"🟡 متابعة","🔴 خطر")),IF($AE4&gt;=$G4,"🟢 على المسار",IF($AE4&gt;=$G4*0.85,"🟡 متابعة","🔴 خطر"))))</f>
        <v/>
      </c>
      <c r="AH4" s="68" t="inlineStr">
        <is>
          <t>العملاء</t>
        </is>
      </c>
    </row>
    <row r="5" ht="26" customHeight="1">
      <c r="A5" s="17" t="n">
        <v>2</v>
      </c>
      <c r="B5" s="22" t="inlineStr">
        <is>
          <t>الخدمة والسرعة</t>
        </is>
      </c>
      <c r="C5" s="22" t="inlineStr">
        <is>
          <t>الترحيب بالعميل عند الوصول</t>
        </is>
      </c>
      <c r="D5" s="60" t="inlineStr">
        <is>
          <t>%</t>
        </is>
      </c>
      <c r="E5" s="60" t="inlineStr">
        <is>
          <t>↑</t>
        </is>
      </c>
      <c r="F5" s="60" t="inlineStr">
        <is>
          <t>AVG</t>
        </is>
      </c>
      <c r="G5" s="74" t="n">
        <v>1</v>
      </c>
      <c r="H5" s="62" t="inlineStr">
        <is>
          <t>100%</t>
        </is>
      </c>
      <c r="I5" s="73" t="n"/>
      <c r="J5" s="73" t="n"/>
      <c r="K5" s="73" t="n"/>
      <c r="L5" s="73" t="n"/>
      <c r="M5" s="73" t="n"/>
      <c r="N5" s="73" t="n"/>
      <c r="O5" s="73" t="n"/>
      <c r="P5" s="73" t="n"/>
      <c r="Q5" s="73" t="n"/>
      <c r="R5" s="73" t="n"/>
      <c r="S5" s="73" t="n"/>
      <c r="T5" s="73" t="n"/>
      <c r="U5" s="59">
        <f>IF($F5="SUM",IF(COUNT($I5:$T5)=0,"",SUM($I5:$T5)),IF($F5="AVG",IFERROR(AVERAGE($I5:$T5),""),IF($F5="LAST",IFERROR(LOOKUP(2,1/($I5:$T5&lt;&gt;""),$I5:$T5),""),"")))</f>
        <v/>
      </c>
      <c r="V5" s="23">
        <f>IF($G5="","",IF($U5="","",IF($G5=0,IF($U5&lt;=0,1,0),IF($E5="↓",IFERROR($G5/$U5,0),IFERROR($U5/$G5,0)))))</f>
        <v/>
      </c>
      <c r="W5" s="17">
        <f>IF($V5="","—",IF($V5&gt;=1,"✅ محقق",IF($V5&gt;=0.85,"🟡 قريب","🔴 تحت الهدف")))</f>
        <v/>
      </c>
      <c r="X5" s="65" t="inlineStr"/>
      <c r="Y5" s="22" t="inlineStr"/>
      <c r="Z5" s="53" t="n"/>
      <c r="AA5" s="21" t="inlineStr">
        <is>
          <t>🟣 لاحق</t>
        </is>
      </c>
      <c r="AB5" s="53" t="n">
        <v>0.1</v>
      </c>
      <c r="AC5" s="23">
        <f>IF($V5="","",$AB5*MIN($V5,1))</f>
        <v/>
      </c>
      <c r="AD5" s="74">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74">
        <f>IF(OR($AE5="",$G5=""),"",$AE5-$G5)</f>
        <v/>
      </c>
      <c r="AG5" s="17">
        <f>IF(OR($AE5="",$G5=""),"—",IF($E5="↓",IF($AE5&lt;=$G5,"🟢 على المسار",IF($AE5&lt;=$G5*1.1,"🟡 متابعة","🔴 خطر")),IF($AE5&gt;=$G5,"🟢 على المسار",IF($AE5&gt;=$G5*0.85,"🟡 متابعة","🔴 خطر"))))</f>
        <v/>
      </c>
      <c r="AH5" s="68" t="inlineStr">
        <is>
          <t>العملاء</t>
        </is>
      </c>
    </row>
    <row r="6" ht="26" customHeight="1">
      <c r="A6" s="17" t="n">
        <v>3</v>
      </c>
      <c r="B6" s="22" t="inlineStr">
        <is>
          <t>الخدمة والسرعة</t>
        </is>
      </c>
      <c r="C6" s="22" t="inlineStr">
        <is>
          <t>إعادة تركيب غطاء الخزان</t>
        </is>
      </c>
      <c r="D6" s="60" t="inlineStr">
        <is>
          <t>%</t>
        </is>
      </c>
      <c r="E6" s="60" t="inlineStr">
        <is>
          <t>↑</t>
        </is>
      </c>
      <c r="F6" s="60" t="inlineStr">
        <is>
          <t>AVG</t>
        </is>
      </c>
      <c r="G6" s="74" t="n">
        <v>1</v>
      </c>
      <c r="H6" s="62" t="inlineStr">
        <is>
          <t>100%</t>
        </is>
      </c>
      <c r="I6" s="73" t="n"/>
      <c r="J6" s="73" t="n"/>
      <c r="K6" s="73" t="n"/>
      <c r="L6" s="73" t="n"/>
      <c r="M6" s="73" t="n"/>
      <c r="N6" s="73" t="n"/>
      <c r="O6" s="73" t="n"/>
      <c r="P6" s="73" t="n"/>
      <c r="Q6" s="73" t="n"/>
      <c r="R6" s="73" t="n"/>
      <c r="S6" s="73" t="n"/>
      <c r="T6" s="73" t="n"/>
      <c r="U6" s="59">
        <f>IF($F6="SUM",IF(COUNT($I6:$T6)=0,"",SUM($I6:$T6)),IF($F6="AVG",IFERROR(AVERAGE($I6:$T6),""),IF($F6="LAST",IFERROR(LOOKUP(2,1/($I6:$T6&lt;&gt;""),$I6:$T6),""),"")))</f>
        <v/>
      </c>
      <c r="V6" s="23">
        <f>IF($G6="","",IF($U6="","",IF($G6=0,IF($U6&lt;=0,1,0),IF($E6="↓",IFERROR($G6/$U6,0),IFERROR($U6/$G6,0)))))</f>
        <v/>
      </c>
      <c r="W6" s="17">
        <f>IF($V6="","—",IF($V6&gt;=1,"✅ محقق",IF($V6&gt;=0.85,"🟡 قريب","🔴 تحت الهدف")))</f>
        <v/>
      </c>
      <c r="X6" s="65" t="inlineStr"/>
      <c r="Y6" s="22" t="inlineStr"/>
      <c r="Z6" s="53" t="n"/>
      <c r="AA6" s="21" t="inlineStr">
        <is>
          <t>🟣 لاحق</t>
        </is>
      </c>
      <c r="AB6" s="53" t="n">
        <v>0.1</v>
      </c>
      <c r="AC6" s="23">
        <f>IF($V6="","",$AB6*MIN($V6,1))</f>
        <v/>
      </c>
      <c r="AD6" s="74">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74">
        <f>IF(OR($AE6="",$G6=""),"",$AE6-$G6)</f>
        <v/>
      </c>
      <c r="AG6" s="17">
        <f>IF(OR($AE6="",$G6=""),"—",IF($E6="↓",IF($AE6&lt;=$G6,"🟢 على المسار",IF($AE6&lt;=$G6*1.1,"🟡 متابعة","🔴 خطر")),IF($AE6&gt;=$G6,"🟢 على المسار",IF($AE6&gt;=$G6*0.85,"🟡 متابعة","🔴 خطر"))))</f>
        <v/>
      </c>
      <c r="AH6" s="68" t="inlineStr">
        <is>
          <t>العمليات الداخلية</t>
        </is>
      </c>
    </row>
    <row r="7" ht="26" customHeight="1">
      <c r="A7" s="17" t="n">
        <v>4</v>
      </c>
      <c r="B7" s="22" t="inlineStr">
        <is>
          <t>الخدمة والسرعة</t>
        </is>
      </c>
      <c r="C7" s="22" t="inlineStr">
        <is>
          <t>عرض إيصال الدفع على العميل</t>
        </is>
      </c>
      <c r="D7" s="60" t="inlineStr">
        <is>
          <t>%</t>
        </is>
      </c>
      <c r="E7" s="60" t="inlineStr">
        <is>
          <t>↑</t>
        </is>
      </c>
      <c r="F7" s="60" t="inlineStr">
        <is>
          <t>AVG</t>
        </is>
      </c>
      <c r="G7" s="74" t="n">
        <v>1</v>
      </c>
      <c r="H7" s="62" t="inlineStr">
        <is>
          <t>100%</t>
        </is>
      </c>
      <c r="I7" s="73" t="n"/>
      <c r="J7" s="73" t="n"/>
      <c r="K7" s="73" t="n"/>
      <c r="L7" s="73" t="n"/>
      <c r="M7" s="73" t="n"/>
      <c r="N7" s="73" t="n"/>
      <c r="O7" s="73" t="n"/>
      <c r="P7" s="73" t="n"/>
      <c r="Q7" s="73" t="n"/>
      <c r="R7" s="73" t="n"/>
      <c r="S7" s="73" t="n"/>
      <c r="T7" s="73" t="n"/>
      <c r="U7" s="59">
        <f>IF($F7="SUM",IF(COUNT($I7:$T7)=0,"",SUM($I7:$T7)),IF($F7="AVG",IFERROR(AVERAGE($I7:$T7),""),IF($F7="LAST",IFERROR(LOOKUP(2,1/($I7:$T7&lt;&gt;""),$I7:$T7),""),"")))</f>
        <v/>
      </c>
      <c r="V7" s="23">
        <f>IF($G7="","",IF($U7="","",IF($G7=0,IF($U7&lt;=0,1,0),IF($E7="↓",IFERROR($G7/$U7,0),IFERROR($U7/$G7,0)))))</f>
        <v/>
      </c>
      <c r="W7" s="17">
        <f>IF($V7="","—",IF($V7&gt;=1,"✅ محقق",IF($V7&gt;=0.85,"🟡 قريب","🔴 تحت الهدف")))</f>
        <v/>
      </c>
      <c r="X7" s="65" t="inlineStr"/>
      <c r="Y7" s="22" t="inlineStr"/>
      <c r="Z7" s="53" t="n"/>
      <c r="AA7" s="21" t="inlineStr">
        <is>
          <t>🟣 لاحق</t>
        </is>
      </c>
      <c r="AB7" s="53" t="n">
        <v>0.1</v>
      </c>
      <c r="AC7" s="23">
        <f>IF($V7="","",$AB7*MIN($V7,1))</f>
        <v/>
      </c>
      <c r="AD7" s="74">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4">
        <f>IF(OR($AE7="",$G7=""),"",$AE7-$G7)</f>
        <v/>
      </c>
      <c r="AG7" s="17">
        <f>IF(OR($AE7="",$G7=""),"—",IF($E7="↓",IF($AE7&lt;=$G7,"🟢 على المسار",IF($AE7&lt;=$G7*1.1,"🟡 متابعة","🔴 خطر")),IF($AE7&gt;=$G7,"🟢 على المسار",IF($AE7&gt;=$G7*0.85,"🟡 متابعة","🔴 خطر"))))</f>
        <v/>
      </c>
      <c r="AH7" s="68" t="inlineStr">
        <is>
          <t>العملاء</t>
        </is>
      </c>
    </row>
    <row r="8" ht="26" customHeight="1">
      <c r="A8" s="17" t="n">
        <v>5</v>
      </c>
      <c r="B8" s="22" t="inlineStr">
        <is>
          <t>المظهر والالتزام</t>
        </is>
      </c>
      <c r="C8" s="22" t="inlineStr">
        <is>
          <t>الالتزام بالزي الرسمي كاملاً</t>
        </is>
      </c>
      <c r="D8" s="60" t="inlineStr">
        <is>
          <t>%</t>
        </is>
      </c>
      <c r="E8" s="60" t="inlineStr">
        <is>
          <t>↑</t>
        </is>
      </c>
      <c r="F8" s="60" t="inlineStr">
        <is>
          <t>AVG</t>
        </is>
      </c>
      <c r="G8" s="74" t="n">
        <v>1</v>
      </c>
      <c r="H8" s="62" t="inlineStr">
        <is>
          <t>100%</t>
        </is>
      </c>
      <c r="I8" s="73" t="n"/>
      <c r="J8" s="73" t="n"/>
      <c r="K8" s="73" t="n"/>
      <c r="L8" s="73" t="n"/>
      <c r="M8" s="73" t="n"/>
      <c r="N8" s="73" t="n"/>
      <c r="O8" s="73" t="n"/>
      <c r="P8" s="73" t="n"/>
      <c r="Q8" s="73" t="n"/>
      <c r="R8" s="73" t="n"/>
      <c r="S8" s="73" t="n"/>
      <c r="T8" s="73" t="n"/>
      <c r="U8" s="59">
        <f>IF($F8="SUM",IF(COUNT($I8:$T8)=0,"",SUM($I8:$T8)),IF($F8="AVG",IFERROR(AVERAGE($I8:$T8),""),IF($F8="LAST",IFERROR(LOOKUP(2,1/($I8:$T8&lt;&gt;""),$I8:$T8),""),"")))</f>
        <v/>
      </c>
      <c r="V8" s="23">
        <f>IF($G8="","",IF($U8="","",IF($G8=0,IF($U8&lt;=0,1,0),IF($E8="↓",IFERROR($G8/$U8,0),IFERROR($U8/$G8,0)))))</f>
        <v/>
      </c>
      <c r="W8" s="17">
        <f>IF($V8="","—",IF($V8&gt;=1,"✅ محقق",IF($V8&gt;=0.85,"🟡 قريب","🔴 تحت الهدف")))</f>
        <v/>
      </c>
      <c r="X8" s="65" t="inlineStr"/>
      <c r="Y8" s="22" t="inlineStr"/>
      <c r="Z8" s="53" t="n"/>
      <c r="AA8" s="21" t="inlineStr">
        <is>
          <t>🟣 لاحق</t>
        </is>
      </c>
      <c r="AB8" s="53" t="n">
        <v>0.1</v>
      </c>
      <c r="AC8" s="23">
        <f>IF($V8="","",$AB8*MIN($V8,1))</f>
        <v/>
      </c>
      <c r="AD8" s="74">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74">
        <f>IF(OR($AE8="",$G8=""),"",$AE8-$G8)</f>
        <v/>
      </c>
      <c r="AG8" s="17">
        <f>IF(OR($AE8="",$G8=""),"—",IF($E8="↓",IF($AE8&lt;=$G8,"🟢 على المسار",IF($AE8&lt;=$G8*1.1,"🟡 متابعة","🔴 خطر")),IF($AE8&gt;=$G8,"🟢 على المسار",IF($AE8&gt;=$G8*0.85,"🟡 متابعة","🔴 خطر"))))</f>
        <v/>
      </c>
      <c r="AH8" s="68" t="inlineStr">
        <is>
          <t>العمليات الداخلية</t>
        </is>
      </c>
    </row>
    <row r="9" ht="26" customHeight="1">
      <c r="A9" s="17" t="n">
        <v>6</v>
      </c>
      <c r="B9" s="22" t="inlineStr">
        <is>
          <t>المظهر والالتزام</t>
        </is>
      </c>
      <c r="C9" s="22" t="inlineStr">
        <is>
          <t>النظافة الشخصية والمظهر العام</t>
        </is>
      </c>
      <c r="D9" s="60" t="inlineStr">
        <is>
          <t>%</t>
        </is>
      </c>
      <c r="E9" s="60" t="inlineStr">
        <is>
          <t>↑</t>
        </is>
      </c>
      <c r="F9" s="60" t="inlineStr">
        <is>
          <t>AVG</t>
        </is>
      </c>
      <c r="G9" s="74" t="n">
        <v>1</v>
      </c>
      <c r="H9" s="62" t="inlineStr">
        <is>
          <t>100%</t>
        </is>
      </c>
      <c r="I9" s="73" t="n"/>
      <c r="J9" s="73" t="n"/>
      <c r="K9" s="73" t="n"/>
      <c r="L9" s="73" t="n"/>
      <c r="M9" s="73" t="n"/>
      <c r="N9" s="73" t="n"/>
      <c r="O9" s="73" t="n"/>
      <c r="P9" s="73" t="n"/>
      <c r="Q9" s="73" t="n"/>
      <c r="R9" s="73" t="n"/>
      <c r="S9" s="73" t="n"/>
      <c r="T9" s="73" t="n"/>
      <c r="U9" s="59">
        <f>IF($F9="SUM",IF(COUNT($I9:$T9)=0,"",SUM($I9:$T9)),IF($F9="AVG",IFERROR(AVERAGE($I9:$T9),""),IF($F9="LAST",IFERROR(LOOKUP(2,1/($I9:$T9&lt;&gt;""),$I9:$T9),""),"")))</f>
        <v/>
      </c>
      <c r="V9" s="23">
        <f>IF($G9="","",IF($U9="","",IF($G9=0,IF($U9&lt;=0,1,0),IF($E9="↓",IFERROR($G9/$U9,0),IFERROR($U9/$G9,0)))))</f>
        <v/>
      </c>
      <c r="W9" s="17">
        <f>IF($V9="","—",IF($V9&gt;=1,"✅ محقق",IF($V9&gt;=0.85,"🟡 قريب","🔴 تحت الهدف")))</f>
        <v/>
      </c>
      <c r="X9" s="65" t="inlineStr"/>
      <c r="Y9" s="22" t="inlineStr"/>
      <c r="Z9" s="53" t="n"/>
      <c r="AA9" s="21" t="inlineStr">
        <is>
          <t>🟣 لاحق</t>
        </is>
      </c>
      <c r="AB9" s="53" t="n">
        <v>0.1</v>
      </c>
      <c r="AC9" s="23">
        <f>IF($V9="","",$AB9*MIN($V9,1))</f>
        <v/>
      </c>
      <c r="AD9" s="74">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4">
        <f>IF(OR($AE9="",$G9=""),"",$AE9-$G9)</f>
        <v/>
      </c>
      <c r="AG9" s="17">
        <f>IF(OR($AE9="",$G9=""),"—",IF($E9="↓",IF($AE9&lt;=$G9,"🟢 على المسار",IF($AE9&lt;=$G9*1.1,"🟡 متابعة","🔴 خطر")),IF($AE9&gt;=$G9,"🟢 على المسار",IF($AE9&gt;=$G9*0.85,"🟡 متابعة","🔴 خطر"))))</f>
        <v/>
      </c>
      <c r="AH9" s="68" t="inlineStr">
        <is>
          <t>العمليات الداخلية</t>
        </is>
      </c>
    </row>
    <row r="10" ht="26" customHeight="1">
      <c r="A10" s="17" t="n">
        <v>7</v>
      </c>
      <c r="B10" s="22" t="inlineStr">
        <is>
          <t>المظهر والالتزام</t>
        </is>
      </c>
      <c r="C10" s="22" t="inlineStr">
        <is>
          <t>حالات استخدام الجوال أثناء العمل</t>
        </is>
      </c>
      <c r="D10" s="60" t="inlineStr">
        <is>
          <t>حالة</t>
        </is>
      </c>
      <c r="E10" s="60" t="inlineStr">
        <is>
          <t>↓</t>
        </is>
      </c>
      <c r="F10" s="60" t="inlineStr">
        <is>
          <t>SUM</t>
        </is>
      </c>
      <c r="G10" s="61" t="n">
        <v>0</v>
      </c>
      <c r="H10" s="62" t="inlineStr">
        <is>
          <t>0 حالة</t>
        </is>
      </c>
      <c r="I10" s="63" t="n"/>
      <c r="J10" s="63" t="n"/>
      <c r="K10" s="63" t="n"/>
      <c r="L10" s="63" t="n"/>
      <c r="M10" s="63" t="n"/>
      <c r="N10" s="63" t="n"/>
      <c r="O10" s="63" t="n"/>
      <c r="P10" s="63" t="n"/>
      <c r="Q10" s="63" t="n"/>
      <c r="R10" s="63" t="n"/>
      <c r="S10" s="63" t="n"/>
      <c r="T10" s="63" t="n"/>
      <c r="U10" s="64">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c r="Y10" s="22" t="inlineStr"/>
      <c r="Z10" s="66" t="n"/>
      <c r="AA10" s="21" t="inlineStr">
        <is>
          <t>🟣 لاحق</t>
        </is>
      </c>
      <c r="AB10" s="53" t="n">
        <v>0.1</v>
      </c>
      <c r="AC10" s="23">
        <f>IF($V10="","",$AB10*MIN($V10,1))</f>
        <v/>
      </c>
      <c r="AD10" s="61">
        <f>IF($G10="","",IF($F10="SUM",IF('لوحة الإدارة التنفيذية'!$P$2="","",$G10/12*'لوحة الإدارة التنفيذية'!$P$2),$G10))</f>
        <v/>
      </c>
      <c r="AE10" s="67">
        <f>IF($F10="SUM",IF(OR('لوحة الإدارة التنفيذية'!$P$2="",'لوحة الإدارة التنفيذية'!$P$2=0),"",IF($U10="","",$U10/'لوحة الإدارة التنفيذية'!$P$2*12)),IF($U10="","",$U10))</f>
        <v/>
      </c>
      <c r="AF10" s="61">
        <f>IF(OR($AE10="",$G10=""),"",$AE10-$G10)</f>
        <v/>
      </c>
      <c r="AG10" s="17">
        <f>IF(OR($AE10="",$G10=""),"—",IF($E10="↓",IF($AE10&lt;=$G10,"🟢 على المسار",IF($AE10&lt;=$G10*1.1,"🟡 متابعة","🔴 خطر")),IF($AE10&gt;=$G10,"🟢 على المسار",IF($AE10&gt;=$G10*0.85,"🟡 متابعة","🔴 خطر"))))</f>
        <v/>
      </c>
      <c r="AH10" s="68" t="inlineStr">
        <is>
          <t>العمليات الداخلية</t>
        </is>
      </c>
    </row>
    <row r="11" ht="26" customHeight="1">
      <c r="A11" s="17" t="n">
        <v>8</v>
      </c>
      <c r="B11" s="22" t="inlineStr">
        <is>
          <t>الدقة والسلامة</t>
        </is>
      </c>
      <c r="C11" s="22" t="inlineStr">
        <is>
          <t>دقة نوع الوقود المُضخ</t>
        </is>
      </c>
      <c r="D11" s="60" t="inlineStr">
        <is>
          <t>%</t>
        </is>
      </c>
      <c r="E11" s="60" t="inlineStr">
        <is>
          <t>↑</t>
        </is>
      </c>
      <c r="F11" s="60" t="inlineStr">
        <is>
          <t>AVG</t>
        </is>
      </c>
      <c r="G11" s="74" t="n">
        <v>1</v>
      </c>
      <c r="H11" s="62" t="inlineStr">
        <is>
          <t>100%</t>
        </is>
      </c>
      <c r="I11" s="73" t="n"/>
      <c r="J11" s="73" t="n"/>
      <c r="K11" s="73" t="n"/>
      <c r="L11" s="73" t="n"/>
      <c r="M11" s="73" t="n"/>
      <c r="N11" s="73" t="n"/>
      <c r="O11" s="73" t="n"/>
      <c r="P11" s="73" t="n"/>
      <c r="Q11" s="73" t="n"/>
      <c r="R11" s="73" t="n"/>
      <c r="S11" s="73" t="n"/>
      <c r="T11" s="73" t="n"/>
      <c r="U11" s="59">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c r="Y11" s="22" t="inlineStr"/>
      <c r="Z11" s="53" t="n"/>
      <c r="AA11" s="21" t="inlineStr">
        <is>
          <t>🟣 لاحق</t>
        </is>
      </c>
      <c r="AB11" s="53" t="n">
        <v>0.1</v>
      </c>
      <c r="AC11" s="23">
        <f>IF($V11="","",$AB11*MIN($V11,1))</f>
        <v/>
      </c>
      <c r="AD11" s="74">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74">
        <f>IF(OR($AE11="",$G11=""),"",$AE11-$G11)</f>
        <v/>
      </c>
      <c r="AG11" s="17">
        <f>IF(OR($AE11="",$G11=""),"—",IF($E11="↓",IF($AE11&lt;=$G11,"🟢 على المسار",IF($AE11&lt;=$G11*1.1,"🟡 متابعة","🔴 خطر")),IF($AE11&gt;=$G11,"🟢 على المسار",IF($AE11&gt;=$G11*0.85,"🟡 متابعة","🔴 خطر"))))</f>
        <v/>
      </c>
      <c r="AH11" s="68" t="inlineStr">
        <is>
          <t>العمليات الداخلية</t>
        </is>
      </c>
    </row>
    <row r="12" ht="26" customHeight="1">
      <c r="A12" s="17" t="n">
        <v>9</v>
      </c>
      <c r="B12" s="22" t="inlineStr">
        <is>
          <t>الدقة والسلامة</t>
        </is>
      </c>
      <c r="C12" s="22" t="inlineStr">
        <is>
          <t>إغلاق المضخة عند اكتمال الكمية</t>
        </is>
      </c>
      <c r="D12" s="60" t="inlineStr">
        <is>
          <t>%</t>
        </is>
      </c>
      <c r="E12" s="60" t="inlineStr">
        <is>
          <t>↑</t>
        </is>
      </c>
      <c r="F12" s="60" t="inlineStr">
        <is>
          <t>AVG</t>
        </is>
      </c>
      <c r="G12" s="74" t="n">
        <v>1</v>
      </c>
      <c r="H12" s="62" t="inlineStr">
        <is>
          <t>100%</t>
        </is>
      </c>
      <c r="I12" s="73" t="n"/>
      <c r="J12" s="73" t="n"/>
      <c r="K12" s="73" t="n"/>
      <c r="L12" s="73" t="n"/>
      <c r="M12" s="73" t="n"/>
      <c r="N12" s="73" t="n"/>
      <c r="O12" s="73" t="n"/>
      <c r="P12" s="73" t="n"/>
      <c r="Q12" s="73" t="n"/>
      <c r="R12" s="73" t="n"/>
      <c r="S12" s="73" t="n"/>
      <c r="T12" s="73" t="n"/>
      <c r="U12" s="59">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c r="Y12" s="22" t="inlineStr"/>
      <c r="Z12" s="53" t="n"/>
      <c r="AA12" s="21" t="inlineStr">
        <is>
          <t>🟣 لاحق</t>
        </is>
      </c>
      <c r="AB12" s="53" t="n">
        <v>0.1</v>
      </c>
      <c r="AC12" s="23">
        <f>IF($V12="","",$AB12*MIN($V12,1))</f>
        <v/>
      </c>
      <c r="AD12" s="74">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4">
        <f>IF(OR($AE12="",$G12=""),"",$AE12-$G12)</f>
        <v/>
      </c>
      <c r="AG12" s="17">
        <f>IF(OR($AE12="",$G12=""),"—",IF($E12="↓",IF($AE12&lt;=$G12,"🟢 على المسار",IF($AE12&lt;=$G12*1.1,"🟡 متابعة","🔴 خطر")),IF($AE12&gt;=$G12,"🟢 على المسار",IF($AE12&gt;=$G12*0.85,"🟡 متابعة","🔴 خطر"))))</f>
        <v/>
      </c>
      <c r="AH12" s="68" t="inlineStr">
        <is>
          <t>العمليات الداخلية</t>
        </is>
      </c>
    </row>
    <row r="13" ht="26" customHeight="1">
      <c r="A13" s="17" t="n">
        <v>10</v>
      </c>
      <c r="B13" s="22" t="inlineStr">
        <is>
          <t>الدقة والسلامة</t>
        </is>
      </c>
      <c r="C13" s="22" t="inlineStr">
        <is>
          <t>الالتزام بإجراءات السلامة عند الضخ</t>
        </is>
      </c>
      <c r="D13" s="60" t="inlineStr">
        <is>
          <t>%</t>
        </is>
      </c>
      <c r="E13" s="60" t="inlineStr">
        <is>
          <t>↑</t>
        </is>
      </c>
      <c r="F13" s="60" t="inlineStr">
        <is>
          <t>AVG</t>
        </is>
      </c>
      <c r="G13" s="74" t="n">
        <v>1</v>
      </c>
      <c r="H13" s="62" t="inlineStr">
        <is>
          <t>100%</t>
        </is>
      </c>
      <c r="I13" s="73" t="n"/>
      <c r="J13" s="73" t="n"/>
      <c r="K13" s="73" t="n"/>
      <c r="L13" s="73" t="n"/>
      <c r="M13" s="73" t="n"/>
      <c r="N13" s="73" t="n"/>
      <c r="O13" s="73" t="n"/>
      <c r="P13" s="73" t="n"/>
      <c r="Q13" s="73" t="n"/>
      <c r="R13" s="73" t="n"/>
      <c r="S13" s="73" t="n"/>
      <c r="T13" s="73" t="n"/>
      <c r="U13" s="59">
        <f>IF($F13="SUM",IF(COUNT($I13:$T13)=0,"",SUM($I13:$T13)),IF($F13="AVG",IFERROR(AVERAGE($I13:$T13),""),IF($F13="LAST",IFERROR(LOOKUP(2,1/($I13:$T13&lt;&gt;""),$I13:$T13),""),"")))</f>
        <v/>
      </c>
      <c r="V13" s="23">
        <f>IF($G13="","",IF($U13="","",IF($G13=0,IF($U13&lt;=0,1,0),IF($E13="↓",IFERROR($G13/$U13,0),IFERROR($U13/$G13,0)))))</f>
        <v/>
      </c>
      <c r="W13" s="17">
        <f>IF($V13="","—",IF($V13&gt;=1,"✅ محقق",IF($V13&gt;=0.85,"🟡 قريب","🔴 تحت الهدف")))</f>
        <v/>
      </c>
      <c r="X13" s="65" t="inlineStr"/>
      <c r="Y13" s="22" t="inlineStr"/>
      <c r="Z13" s="53" t="n"/>
      <c r="AA13" s="21" t="inlineStr">
        <is>
          <t>🟣 لاحق</t>
        </is>
      </c>
      <c r="AB13" s="53" t="n">
        <v>0.1</v>
      </c>
      <c r="AC13" s="23">
        <f>IF($V13="","",$AB13*MIN($V13,1))</f>
        <v/>
      </c>
      <c r="AD13" s="74">
        <f>IF($G13="","",IF($F13="SUM",IF('لوحة الإدارة التنفيذية'!$P$2="","",$G13/12*'لوحة الإدارة التنفيذية'!$P$2),$G13))</f>
        <v/>
      </c>
      <c r="AE13" s="23">
        <f>IF($F13="SUM",IF(OR('لوحة الإدارة التنفيذية'!$P$2="",'لوحة الإدارة التنفيذية'!$P$2=0),"",IF($U13="","",$U13/'لوحة الإدارة التنفيذية'!$P$2*12)),IF($U13="","",$U13))</f>
        <v/>
      </c>
      <c r="AF13" s="74">
        <f>IF(OR($AE13="",$G13=""),"",$AE13-$G13)</f>
        <v/>
      </c>
      <c r="AG13" s="17">
        <f>IF(OR($AE13="",$G13=""),"—",IF($E13="↓",IF($AE13&lt;=$G13,"🟢 على المسار",IF($AE13&lt;=$G13*1.1,"🟡 متابعة","🔴 خطر")),IF($AE13&gt;=$G13,"🟢 على المسار",IF($AE13&gt;=$G13*0.85,"🟡 متابعة","🔴 خطر"))))</f>
        <v/>
      </c>
      <c r="AH13" s="68" t="inlineStr">
        <is>
          <t>العمليات الداخلية</t>
        </is>
      </c>
    </row>
    <row r="14">
      <c r="A14" s="80" t="inlineStr"/>
      <c r="B14" s="81" t="inlineStr">
        <is>
          <t>الإجمالي الموزون للإدارة</t>
        </is>
      </c>
      <c r="AB14" s="82">
        <f>SUM(AB4:AB13)</f>
        <v/>
      </c>
      <c r="AC14" s="83">
        <f>SUM(AC4:AC13)</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A1:AH1"/>
    <mergeCell ref="B14:AA14"/>
  </mergeCells>
  <dataValidations count="1">
    <dataValidation sqref="I4 I5 I6 I7 I8 I9 I10 I11 I12 I13 J4 J5 J6 J7 J8 J9 J10 J11 J12 J13 K4 K5 K6 K7 K8 K9 K10 K11 K12 K13 L4 L5 L6 L7 L8 L9 L10 L11 L12 L13 M4 M5 M6 M7 M8 M9 M10 M11 M12 M13 N4 N5 N6 N7 N8 N9 N10 N11 N12 N13 O4 O5 O6 O7 O8 O9 O10 O11 O12 O13 P4 P5 P6 P7 P8 P9 P10 P11 P12 P13 Q4 Q5 Q6 Q7 Q8 Q9 Q10 Q11 Q12 Q13 R4 R5 R6 R7 R8 R9 R10 R11 R12 R13 S4 S5 S6 S7 S8 S9 S10 S11 S12 S13 T4 T5 T6 T7 T8 T9 T10 T11 T12 T13 Z4 Z5 Z6 Z7 Z8 Z9 Z10 Z11 Z12 Z13"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H28"/>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إدارة الاستثمار · مؤشرات الأداء 2026  (24 مؤشر / 6 محاور)</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نمو المحفظة</t>
        </is>
      </c>
      <c r="C4" s="22" t="inlineStr">
        <is>
          <t>إجمالي عقود الاستثمار الجديدة (جميع النماذج)</t>
        </is>
      </c>
      <c r="D4" s="60" t="inlineStr">
        <is>
          <t>عقد</t>
        </is>
      </c>
      <c r="E4" s="60" t="inlineStr">
        <is>
          <t>↑</t>
        </is>
      </c>
      <c r="F4" s="60" t="inlineStr">
        <is>
          <t>SUM</t>
        </is>
      </c>
      <c r="G4" s="61" t="n">
        <v>190</v>
      </c>
      <c r="H4" s="62" t="inlineStr">
        <is>
          <t>190 عقد</t>
        </is>
      </c>
      <c r="I4" s="63" t="n"/>
      <c r="J4" s="63" t="n"/>
      <c r="K4" s="63" t="n"/>
      <c r="L4" s="63" t="n"/>
      <c r="M4" s="63" t="n"/>
      <c r="N4" s="63" t="n"/>
      <c r="O4" s="63" t="n"/>
      <c r="P4" s="63" t="n"/>
      <c r="Q4" s="63" t="n"/>
      <c r="R4" s="63" t="n"/>
      <c r="S4" s="63" t="n"/>
      <c r="T4" s="63" t="n"/>
      <c r="U4" s="64">
        <f>IF($F4="SUM",IF(COUNT($I4:$T4)=0,"",SUM($I4:$T4)),IF($F4="AVG",IFERROR(AVERAGE($I4:$T4),""),IF($F4="LAST",IFERROR(LOOKUP(2,1/($I4:$T4&lt;&gt;""),$I4:$T4),""),"")))</f>
        <v/>
      </c>
      <c r="V4" s="23">
        <f>IF($G4="","",IF($U4="","",IF($G4=0,IF($U4&lt;=0,1,0),IF($E4="↓",IFERROR($G4/$U4,0),IFERROR($U4/$G4,0)))))</f>
        <v/>
      </c>
      <c r="W4" s="17">
        <f>IF($V4="","—",IF($V4&gt;=1,"✅ محقق",IF($V4&gt;=0.85,"🟡 قريب","🔴 تحت الهدف")))</f>
        <v/>
      </c>
      <c r="X4" s="65" t="inlineStr">
        <is>
          <t>النمو</t>
        </is>
      </c>
      <c r="Y4" s="22" t="inlineStr">
        <is>
          <t>التوسع في المواقع</t>
        </is>
      </c>
      <c r="Z4" s="66" t="n"/>
      <c r="AA4" s="21" t="inlineStr">
        <is>
          <t>🟣 لاحق</t>
        </is>
      </c>
      <c r="AB4" s="53" t="n">
        <v>0.0417</v>
      </c>
      <c r="AC4" s="23">
        <f>IF($V4="","",$AB4*MIN($V4,1))</f>
        <v/>
      </c>
      <c r="AD4" s="61">
        <f>IF($G4="","",IF($F4="SUM",IF('لوحة الإدارة التنفيذية'!$P$2="","",$G4/12*'لوحة الإدارة التنفيذية'!$P$2),$G4))</f>
        <v/>
      </c>
      <c r="AE4" s="67">
        <f>IF($F4="SUM",IF(OR('لوحة الإدارة التنفيذية'!$P$2="",'لوحة الإدارة التنفيذية'!$P$2=0),"",IF($U4="","",$U4/'لوحة الإدارة التنفيذية'!$P$2*12)),IF($U4="","",$U4))</f>
        <v/>
      </c>
      <c r="AF4" s="61">
        <f>IF(OR($AE4="",$G4=""),"",$AE4-$G4)</f>
        <v/>
      </c>
      <c r="AG4" s="17">
        <f>IF(OR($AE4="",$G4=""),"—",IF($E4="↓",IF($AE4&lt;=$G4,"🟢 على المسار",IF($AE4&lt;=$G4*1.1,"🟡 متابعة","🔴 خطر")),IF($AE4&gt;=$G4,"🟢 على المسار",IF($AE4&gt;=$G4*0.85,"🟡 متابعة","🔴 خطر"))))</f>
        <v/>
      </c>
      <c r="AH4" s="68" t="inlineStr">
        <is>
          <t>العمليات الداخلية</t>
        </is>
      </c>
    </row>
    <row r="5" ht="26" customHeight="1">
      <c r="A5" s="17" t="n">
        <v>2</v>
      </c>
      <c r="B5" s="22" t="inlineStr">
        <is>
          <t>نمو المحفظة</t>
        </is>
      </c>
      <c r="C5" s="22" t="inlineStr">
        <is>
          <t>عقود الاستثمار العادي الجديدة</t>
        </is>
      </c>
      <c r="D5" s="60" t="inlineStr">
        <is>
          <t>عقد</t>
        </is>
      </c>
      <c r="E5" s="60" t="inlineStr">
        <is>
          <t>↑</t>
        </is>
      </c>
      <c r="F5" s="60" t="inlineStr">
        <is>
          <t>SUM</t>
        </is>
      </c>
      <c r="G5" s="61" t="n">
        <v>90</v>
      </c>
      <c r="H5" s="62" t="inlineStr">
        <is>
          <t>90 عقد</t>
        </is>
      </c>
      <c r="I5" s="63" t="n"/>
      <c r="J5" s="63" t="n"/>
      <c r="K5" s="63" t="n"/>
      <c r="L5" s="63" t="n"/>
      <c r="M5" s="63" t="n"/>
      <c r="N5" s="63" t="n"/>
      <c r="O5" s="63" t="n"/>
      <c r="P5" s="63" t="n"/>
      <c r="Q5" s="63" t="n"/>
      <c r="R5" s="63" t="n"/>
      <c r="S5" s="63" t="n"/>
      <c r="T5" s="63" t="n"/>
      <c r="U5" s="64">
        <f>IF($F5="SUM",IF(COUNT($I5:$T5)=0,"",SUM($I5:$T5)),IF($F5="AVG",IFERROR(AVERAGE($I5:$T5),""),IF($F5="LAST",IFERROR(LOOKUP(2,1/($I5:$T5&lt;&gt;""),$I5:$T5),""),"")))</f>
        <v/>
      </c>
      <c r="V5" s="23">
        <f>IF($G5="","",IF($U5="","",IF($G5=0,IF($U5&lt;=0,1,0),IF($E5="↓",IFERROR($G5/$U5,0),IFERROR($U5/$G5,0)))))</f>
        <v/>
      </c>
      <c r="W5" s="17">
        <f>IF($V5="","—",IF($V5&gt;=1,"✅ محقق",IF($V5&gt;=0.85,"🟡 قريب","🔴 تحت الهدف")))</f>
        <v/>
      </c>
      <c r="X5" s="65" t="inlineStr">
        <is>
          <t>النمو</t>
        </is>
      </c>
      <c r="Y5" s="22" t="inlineStr">
        <is>
          <t>التوسع في المواقع</t>
        </is>
      </c>
      <c r="Z5" s="66" t="n"/>
      <c r="AA5" s="21" t="inlineStr">
        <is>
          <t>🟣 لاحق</t>
        </is>
      </c>
      <c r="AB5" s="53" t="n">
        <v>0.0417</v>
      </c>
      <c r="AC5" s="23">
        <f>IF($V5="","",$AB5*MIN($V5,1))</f>
        <v/>
      </c>
      <c r="AD5" s="61">
        <f>IF($G5="","",IF($F5="SUM",IF('لوحة الإدارة التنفيذية'!$P$2="","",$G5/12*'لوحة الإدارة التنفيذية'!$P$2),$G5))</f>
        <v/>
      </c>
      <c r="AE5" s="67">
        <f>IF($F5="SUM",IF(OR('لوحة الإدارة التنفيذية'!$P$2="",'لوحة الإدارة التنفيذية'!$P$2=0),"",IF($U5="","",$U5/'لوحة الإدارة التنفيذية'!$P$2*12)),IF($U5="","",$U5))</f>
        <v/>
      </c>
      <c r="AF5" s="61">
        <f>IF(OR($AE5="",$G5=""),"",$AE5-$G5)</f>
        <v/>
      </c>
      <c r="AG5" s="17">
        <f>IF(OR($AE5="",$G5=""),"—",IF($E5="↓",IF($AE5&lt;=$G5,"🟢 على المسار",IF($AE5&lt;=$G5*1.1,"🟡 متابعة","🔴 خطر")),IF($AE5&gt;=$G5,"🟢 على المسار",IF($AE5&gt;=$G5*0.85,"🟡 متابعة","🔴 خطر"))))</f>
        <v/>
      </c>
      <c r="AH5" s="68" t="inlineStr">
        <is>
          <t>العمليات الداخلية</t>
        </is>
      </c>
    </row>
    <row r="6" ht="26" customHeight="1">
      <c r="A6" s="17" t="n">
        <v>3</v>
      </c>
      <c r="B6" s="22" t="inlineStr">
        <is>
          <t>نمو المحفظة</t>
        </is>
      </c>
      <c r="C6" s="22" t="inlineStr">
        <is>
          <t>عقود الاستحواذ الجديدة</t>
        </is>
      </c>
      <c r="D6" s="60" t="inlineStr">
        <is>
          <t>عقد</t>
        </is>
      </c>
      <c r="E6" s="60" t="inlineStr">
        <is>
          <t>↑</t>
        </is>
      </c>
      <c r="F6" s="60" t="inlineStr">
        <is>
          <t>SUM</t>
        </is>
      </c>
      <c r="G6" s="61" t="n">
        <v>100</v>
      </c>
      <c r="H6" s="62" t="inlineStr">
        <is>
          <t>100 عقد</t>
        </is>
      </c>
      <c r="I6" s="63" t="n"/>
      <c r="J6" s="63" t="n"/>
      <c r="K6" s="63" t="n"/>
      <c r="L6" s="63" t="n"/>
      <c r="M6" s="63" t="n"/>
      <c r="N6" s="63" t="n"/>
      <c r="O6" s="63" t="n"/>
      <c r="P6" s="63" t="n"/>
      <c r="Q6" s="63" t="n"/>
      <c r="R6" s="63" t="n"/>
      <c r="S6" s="63" t="n"/>
      <c r="T6" s="63" t="n"/>
      <c r="U6" s="64">
        <f>IF($F6="SUM",IF(COUNT($I6:$T6)=0,"",SUM($I6:$T6)),IF($F6="AVG",IFERROR(AVERAGE($I6:$T6),""),IF($F6="LAST",IFERROR(LOOKUP(2,1/($I6:$T6&lt;&gt;""),$I6:$T6),""),"")))</f>
        <v/>
      </c>
      <c r="V6" s="23">
        <f>IF($G6="","",IF($U6="","",IF($G6=0,IF($U6&lt;=0,1,0),IF($E6="↓",IFERROR($G6/$U6,0),IFERROR($U6/$G6,0)))))</f>
        <v/>
      </c>
      <c r="W6" s="17">
        <f>IF($V6="","—",IF($V6&gt;=1,"✅ محقق",IF($V6&gt;=0.85,"🟡 قريب","🔴 تحت الهدف")))</f>
        <v/>
      </c>
      <c r="X6" s="65" t="inlineStr">
        <is>
          <t>النمو</t>
        </is>
      </c>
      <c r="Y6" s="22" t="inlineStr">
        <is>
          <t>التوسع في المواقع</t>
        </is>
      </c>
      <c r="Z6" s="66" t="n"/>
      <c r="AA6" s="21" t="inlineStr">
        <is>
          <t>🟣 لاحق</t>
        </is>
      </c>
      <c r="AB6" s="53" t="n">
        <v>0.0417</v>
      </c>
      <c r="AC6" s="23">
        <f>IF($V6="","",$AB6*MIN($V6,1))</f>
        <v/>
      </c>
      <c r="AD6" s="61">
        <f>IF($G6="","",IF($F6="SUM",IF('لوحة الإدارة التنفيذية'!$P$2="","",$G6/12*'لوحة الإدارة التنفيذية'!$P$2),$G6))</f>
        <v/>
      </c>
      <c r="AE6" s="67">
        <f>IF($F6="SUM",IF(OR('لوحة الإدارة التنفيذية'!$P$2="",'لوحة الإدارة التنفيذية'!$P$2=0),"",IF($U6="","",$U6/'لوحة الإدارة التنفيذية'!$P$2*12)),IF($U6="","",$U6))</f>
        <v/>
      </c>
      <c r="AF6" s="61">
        <f>IF(OR($AE6="",$G6=""),"",$AE6-$G6)</f>
        <v/>
      </c>
      <c r="AG6" s="17">
        <f>IF(OR($AE6="",$G6=""),"—",IF($E6="↓",IF($AE6&lt;=$G6,"🟢 على المسار",IF($AE6&lt;=$G6*1.1,"🟡 متابعة","🔴 خطر")),IF($AE6&gt;=$G6,"🟢 على المسار",IF($AE6&gt;=$G6*0.85,"🟡 متابعة","🔴 خطر"))))</f>
        <v/>
      </c>
      <c r="AH6" s="68" t="inlineStr">
        <is>
          <t>العمليات الداخلية</t>
        </is>
      </c>
    </row>
    <row r="7" ht="26" customHeight="1">
      <c r="A7" s="17" t="n">
        <v>4</v>
      </c>
      <c r="B7" s="22" t="inlineStr">
        <is>
          <t>نمو المحفظة</t>
        </is>
      </c>
      <c r="C7" s="22" t="inlineStr">
        <is>
          <t>المحطات المستحوَذ عليها المشغّلة (تراكمي)</t>
        </is>
      </c>
      <c r="D7" s="60" t="inlineStr">
        <is>
          <t>محطة</t>
        </is>
      </c>
      <c r="E7" s="60" t="inlineStr">
        <is>
          <t>↑</t>
        </is>
      </c>
      <c r="F7" s="60" t="inlineStr">
        <is>
          <t>LAST</t>
        </is>
      </c>
      <c r="G7" s="61" t="n">
        <v>120</v>
      </c>
      <c r="H7" s="62" t="inlineStr">
        <is>
          <t>120 محطة</t>
        </is>
      </c>
      <c r="I7" s="63" t="n"/>
      <c r="J7" s="63" t="n"/>
      <c r="K7" s="63" t="n"/>
      <c r="L7" s="63" t="n"/>
      <c r="M7" s="63" t="n"/>
      <c r="N7" s="63" t="n"/>
      <c r="O7" s="63" t="n"/>
      <c r="P7" s="63" t="n"/>
      <c r="Q7" s="63" t="n"/>
      <c r="R7" s="63" t="n"/>
      <c r="S7" s="63" t="n"/>
      <c r="T7" s="63" t="n"/>
      <c r="U7" s="64">
        <f>IF($F7="SUM",IF(COUNT($I7:$T7)=0,"",SUM($I7:$T7)),IF($F7="AVG",IFERROR(AVERAGE($I7:$T7),""),IF($F7="LAST",IFERROR(LOOKUP(2,1/($I7:$T7&lt;&gt;""),$I7:$T7),""),"")))</f>
        <v/>
      </c>
      <c r="V7" s="23">
        <f>IF($G7="","",IF($U7="","",IF($G7=0,IF($U7&lt;=0,1,0),IF($E7="↓",IFERROR($G7/$U7,0),IFERROR($U7/$G7,0)))))</f>
        <v/>
      </c>
      <c r="W7" s="17">
        <f>IF($V7="","—",IF($V7&gt;=1,"✅ محقق",IF($V7&gt;=0.85,"🟡 قريب","🔴 تحت الهدف")))</f>
        <v/>
      </c>
      <c r="X7" s="65" t="inlineStr">
        <is>
          <t>النمو</t>
        </is>
      </c>
      <c r="Y7" s="22" t="inlineStr">
        <is>
          <t>التوسع في المواقع</t>
        </is>
      </c>
      <c r="Z7" s="66" t="n"/>
      <c r="AA7" s="21" t="inlineStr">
        <is>
          <t>🟣 لاحق</t>
        </is>
      </c>
      <c r="AB7" s="53" t="n">
        <v>0.0417</v>
      </c>
      <c r="AC7" s="23">
        <f>IF($V7="","",$AB7*MIN($V7,1))</f>
        <v/>
      </c>
      <c r="AD7" s="61">
        <f>IF($G7="","",IF($F7="SUM",IF('لوحة الإدارة التنفيذية'!$P$2="","",$G7/12*'لوحة الإدارة التنفيذية'!$P$2),$G7))</f>
        <v/>
      </c>
      <c r="AE7" s="67">
        <f>IF($F7="SUM",IF(OR('لوحة الإدارة التنفيذية'!$P$2="",'لوحة الإدارة التنفيذية'!$P$2=0),"",IF($U7="","",$U7/'لوحة الإدارة التنفيذية'!$P$2*12)),IF($U7="","",$U7))</f>
        <v/>
      </c>
      <c r="AF7" s="61">
        <f>IF(OR($AE7="",$G7=""),"",$AE7-$G7)</f>
        <v/>
      </c>
      <c r="AG7" s="17">
        <f>IF(OR($AE7="",$G7=""),"—",IF($E7="↓",IF($AE7&lt;=$G7,"🟢 على المسار",IF($AE7&lt;=$G7*1.1,"🟡 متابعة","🔴 خطر")),IF($AE7&gt;=$G7,"🟢 على المسار",IF($AE7&gt;=$G7*0.85,"🟡 متابعة","🔴 خطر"))))</f>
        <v/>
      </c>
      <c r="AH7" s="68" t="inlineStr">
        <is>
          <t>العمليات الداخلية</t>
        </is>
      </c>
    </row>
    <row r="8" ht="26" customHeight="1">
      <c r="A8" s="17" t="n">
        <v>5</v>
      </c>
      <c r="B8" s="22" t="inlineStr">
        <is>
          <t>نمو المحفظة</t>
        </is>
      </c>
      <c r="C8" s="22" t="inlineStr">
        <is>
          <t>عقود تأجير الأرض الجديدة</t>
        </is>
      </c>
      <c r="D8" s="60" t="inlineStr">
        <is>
          <t>عقد</t>
        </is>
      </c>
      <c r="E8" s="60" t="inlineStr">
        <is>
          <t>↑</t>
        </is>
      </c>
      <c r="F8" s="60" t="inlineStr">
        <is>
          <t>SUM</t>
        </is>
      </c>
      <c r="G8" s="61" t="n">
        <v>11</v>
      </c>
      <c r="H8" s="62" t="inlineStr">
        <is>
          <t>11 عقد</t>
        </is>
      </c>
      <c r="I8" s="63" t="n"/>
      <c r="J8" s="63" t="n"/>
      <c r="K8" s="63" t="n"/>
      <c r="L8" s="63" t="n"/>
      <c r="M8" s="63" t="n"/>
      <c r="N8" s="63" t="n"/>
      <c r="O8" s="63" t="n"/>
      <c r="P8" s="63" t="n"/>
      <c r="Q8" s="63" t="n"/>
      <c r="R8" s="63" t="n"/>
      <c r="S8" s="63" t="n"/>
      <c r="T8" s="63" t="n"/>
      <c r="U8" s="64">
        <f>IF($F8="SUM",IF(COUNT($I8:$T8)=0,"",SUM($I8:$T8)),IF($F8="AVG",IFERROR(AVERAGE($I8:$T8),""),IF($F8="LAST",IFERROR(LOOKUP(2,1/($I8:$T8&lt;&gt;""),$I8:$T8),""),"")))</f>
        <v/>
      </c>
      <c r="V8" s="23">
        <f>IF($G8="","",IF($U8="","",IF($G8=0,IF($U8&lt;=0,1,0),IF($E8="↓",IFERROR($G8/$U8,0),IFERROR($U8/$G8,0)))))</f>
        <v/>
      </c>
      <c r="W8" s="17">
        <f>IF($V8="","—",IF($V8&gt;=1,"✅ محقق",IF($V8&gt;=0.85,"🟡 قريب","🔴 تحت الهدف")))</f>
        <v/>
      </c>
      <c r="X8" s="65" t="inlineStr">
        <is>
          <t>النمو</t>
        </is>
      </c>
      <c r="Y8" s="22" t="inlineStr">
        <is>
          <t>التوسع في المواقع</t>
        </is>
      </c>
      <c r="Z8" s="66" t="n"/>
      <c r="AA8" s="21" t="inlineStr">
        <is>
          <t>🟣 لاحق</t>
        </is>
      </c>
      <c r="AB8" s="53" t="n">
        <v>0.0417</v>
      </c>
      <c r="AC8" s="23">
        <f>IF($V8="","",$AB8*MIN($V8,1))</f>
        <v/>
      </c>
      <c r="AD8" s="61">
        <f>IF($G8="","",IF($F8="SUM",IF('لوحة الإدارة التنفيذية'!$P$2="","",$G8/12*'لوحة الإدارة التنفيذية'!$P$2),$G8))</f>
        <v/>
      </c>
      <c r="AE8" s="67">
        <f>IF($F8="SUM",IF(OR('لوحة الإدارة التنفيذية'!$P$2="",'لوحة الإدارة التنفيذية'!$P$2=0),"",IF($U8="","",$U8/'لوحة الإدارة التنفيذية'!$P$2*12)),IF($U8="","",$U8))</f>
        <v/>
      </c>
      <c r="AF8" s="61">
        <f>IF(OR($AE8="",$G8=""),"",$AE8-$G8)</f>
        <v/>
      </c>
      <c r="AG8" s="17">
        <f>IF(OR($AE8="",$G8=""),"—",IF($E8="↓",IF($AE8&lt;=$G8,"🟢 على المسار",IF($AE8&lt;=$G8*1.1,"🟡 متابعة","🔴 خطر")),IF($AE8&gt;=$G8,"🟢 على المسار",IF($AE8&gt;=$G8*0.85,"🟡 متابعة","🔴 خطر"))))</f>
        <v/>
      </c>
      <c r="AH8" s="68" t="inlineStr">
        <is>
          <t>العمليات الداخلية</t>
        </is>
      </c>
    </row>
    <row r="9" ht="26" customHeight="1">
      <c r="A9" s="17" t="n">
        <v>6</v>
      </c>
      <c r="B9" s="22" t="inlineStr">
        <is>
          <t>نمو المحفظة</t>
        </is>
      </c>
      <c r="C9" s="22" t="inlineStr">
        <is>
          <t>عقود إيجار المحطة الجديدة</t>
        </is>
      </c>
      <c r="D9" s="60" t="inlineStr">
        <is>
          <t>عقد</t>
        </is>
      </c>
      <c r="E9" s="60" t="inlineStr">
        <is>
          <t>↑</t>
        </is>
      </c>
      <c r="F9" s="60" t="inlineStr">
        <is>
          <t>SUM</t>
        </is>
      </c>
      <c r="G9" s="61" t="n">
        <v>12</v>
      </c>
      <c r="H9" s="62" t="inlineStr">
        <is>
          <t>12 عقد</t>
        </is>
      </c>
      <c r="I9" s="63" t="n"/>
      <c r="J9" s="63" t="n"/>
      <c r="K9" s="63" t="n"/>
      <c r="L9" s="63" t="n"/>
      <c r="M9" s="63" t="n"/>
      <c r="N9" s="63" t="n"/>
      <c r="O9" s="63" t="n"/>
      <c r="P9" s="63" t="n"/>
      <c r="Q9" s="63" t="n"/>
      <c r="R9" s="63" t="n"/>
      <c r="S9" s="63" t="n"/>
      <c r="T9" s="63" t="n"/>
      <c r="U9" s="64">
        <f>IF($F9="SUM",IF(COUNT($I9:$T9)=0,"",SUM($I9:$T9)),IF($F9="AVG",IFERROR(AVERAGE($I9:$T9),""),IF($F9="LAST",IFERROR(LOOKUP(2,1/($I9:$T9&lt;&gt;""),$I9:$T9),""),"")))</f>
        <v/>
      </c>
      <c r="V9" s="23">
        <f>IF($G9="","",IF($U9="","",IF($G9=0,IF($U9&lt;=0,1,0),IF($E9="↓",IFERROR($G9/$U9,0),IFERROR($U9/$G9,0)))))</f>
        <v/>
      </c>
      <c r="W9" s="17">
        <f>IF($V9="","—",IF($V9&gt;=1,"✅ محقق",IF($V9&gt;=0.85,"🟡 قريب","🔴 تحت الهدف")))</f>
        <v/>
      </c>
      <c r="X9" s="65" t="inlineStr">
        <is>
          <t>النمو</t>
        </is>
      </c>
      <c r="Y9" s="22" t="inlineStr">
        <is>
          <t>التوسع في المواقع</t>
        </is>
      </c>
      <c r="Z9" s="66" t="n"/>
      <c r="AA9" s="21" t="inlineStr">
        <is>
          <t>🟣 لاحق</t>
        </is>
      </c>
      <c r="AB9" s="53" t="n">
        <v>0.0417</v>
      </c>
      <c r="AC9" s="23">
        <f>IF($V9="","",$AB9*MIN($V9,1))</f>
        <v/>
      </c>
      <c r="AD9" s="61">
        <f>IF($G9="","",IF($F9="SUM",IF('لوحة الإدارة التنفيذية'!$P$2="","",$G9/12*'لوحة الإدارة التنفيذية'!$P$2),$G9))</f>
        <v/>
      </c>
      <c r="AE9" s="67">
        <f>IF($F9="SUM",IF(OR('لوحة الإدارة التنفيذية'!$P$2="",'لوحة الإدارة التنفيذية'!$P$2=0),"",IF($U9="","",$U9/'لوحة الإدارة التنفيذية'!$P$2*12)),IF($U9="","",$U9))</f>
        <v/>
      </c>
      <c r="AF9" s="61">
        <f>IF(OR($AE9="",$G9=""),"",$AE9-$G9)</f>
        <v/>
      </c>
      <c r="AG9" s="17">
        <f>IF(OR($AE9="",$G9=""),"—",IF($E9="↓",IF($AE9&lt;=$G9,"🟢 على المسار",IF($AE9&lt;=$G9*1.1,"🟡 متابعة","🔴 خطر")),IF($AE9&gt;=$G9,"🟢 على المسار",IF($AE9&gt;=$G9*0.85,"🟡 متابعة","🔴 خطر"))))</f>
        <v/>
      </c>
      <c r="AH9" s="68" t="inlineStr">
        <is>
          <t>العمليات الداخلية</t>
        </is>
      </c>
    </row>
    <row r="10" ht="26" customHeight="1">
      <c r="A10" s="17" t="n">
        <v>7</v>
      </c>
      <c r="B10" s="22" t="inlineStr">
        <is>
          <t>نمو المحفظة</t>
        </is>
      </c>
      <c r="C10" s="22" t="inlineStr">
        <is>
          <t>عقود تشغيل المحطة الجديدة</t>
        </is>
      </c>
      <c r="D10" s="60" t="inlineStr">
        <is>
          <t>عقد</t>
        </is>
      </c>
      <c r="E10" s="60" t="inlineStr">
        <is>
          <t>↑</t>
        </is>
      </c>
      <c r="F10" s="60" t="inlineStr">
        <is>
          <t>SUM</t>
        </is>
      </c>
      <c r="G10" s="61" t="n">
        <v>68</v>
      </c>
      <c r="H10" s="62" t="inlineStr">
        <is>
          <t>68 عقد</t>
        </is>
      </c>
      <c r="I10" s="63" t="n"/>
      <c r="J10" s="63" t="n"/>
      <c r="K10" s="63" t="n"/>
      <c r="L10" s="63" t="n"/>
      <c r="M10" s="63" t="n"/>
      <c r="N10" s="63" t="n"/>
      <c r="O10" s="63" t="n"/>
      <c r="P10" s="63" t="n"/>
      <c r="Q10" s="63" t="n"/>
      <c r="R10" s="63" t="n"/>
      <c r="S10" s="63" t="n"/>
      <c r="T10" s="63" t="n"/>
      <c r="U10" s="64">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is>
          <t>النمو</t>
        </is>
      </c>
      <c r="Y10" s="22" t="inlineStr">
        <is>
          <t>التوسع في المواقع</t>
        </is>
      </c>
      <c r="Z10" s="66" t="n"/>
      <c r="AA10" s="21" t="inlineStr">
        <is>
          <t>🟣 لاحق</t>
        </is>
      </c>
      <c r="AB10" s="53" t="n">
        <v>0.0417</v>
      </c>
      <c r="AC10" s="23">
        <f>IF($V10="","",$AB10*MIN($V10,1))</f>
        <v/>
      </c>
      <c r="AD10" s="61">
        <f>IF($G10="","",IF($F10="SUM",IF('لوحة الإدارة التنفيذية'!$P$2="","",$G10/12*'لوحة الإدارة التنفيذية'!$P$2),$G10))</f>
        <v/>
      </c>
      <c r="AE10" s="67">
        <f>IF($F10="SUM",IF(OR('لوحة الإدارة التنفيذية'!$P$2="",'لوحة الإدارة التنفيذية'!$P$2=0),"",IF($U10="","",$U10/'لوحة الإدارة التنفيذية'!$P$2*12)),IF($U10="","",$U10))</f>
        <v/>
      </c>
      <c r="AF10" s="61">
        <f>IF(OR($AE10="",$G10=""),"",$AE10-$G10)</f>
        <v/>
      </c>
      <c r="AG10" s="17">
        <f>IF(OR($AE10="",$G10=""),"—",IF($E10="↓",IF($AE10&lt;=$G10,"🟢 على المسار",IF($AE10&lt;=$G10*1.1,"🟡 متابعة","🔴 خطر")),IF($AE10&gt;=$G10,"🟢 على المسار",IF($AE10&gt;=$G10*0.85,"🟡 متابعة","🔴 خطر"))))</f>
        <v/>
      </c>
      <c r="AH10" s="68" t="inlineStr">
        <is>
          <t>العمليات الداخلية</t>
        </is>
      </c>
    </row>
    <row r="11" ht="26" customHeight="1">
      <c r="A11" s="17" t="n">
        <v>8</v>
      </c>
      <c r="B11" s="22" t="inlineStr">
        <is>
          <t>الربحية وجودة الموقع</t>
        </is>
      </c>
      <c r="C11" s="22" t="inlineStr">
        <is>
          <t>نسبة المواقع المعتمدة ذات العائد المجدي</t>
        </is>
      </c>
      <c r="D11" s="60" t="inlineStr">
        <is>
          <t>%</t>
        </is>
      </c>
      <c r="E11" s="60" t="inlineStr">
        <is>
          <t>↑</t>
        </is>
      </c>
      <c r="F11" s="60" t="inlineStr">
        <is>
          <t>AVG</t>
        </is>
      </c>
      <c r="G11" s="74" t="n">
        <v>0.8</v>
      </c>
      <c r="H11" s="62" t="inlineStr">
        <is>
          <t>80%+</t>
        </is>
      </c>
      <c r="I11" s="73" t="n"/>
      <c r="J11" s="73" t="n"/>
      <c r="K11" s="73" t="n"/>
      <c r="L11" s="73" t="n"/>
      <c r="M11" s="73" t="n"/>
      <c r="N11" s="73" t="n"/>
      <c r="O11" s="73" t="n"/>
      <c r="P11" s="73" t="n"/>
      <c r="Q11" s="73" t="n"/>
      <c r="R11" s="73" t="n"/>
      <c r="S11" s="73" t="n"/>
      <c r="T11" s="73" t="n"/>
      <c r="U11" s="59">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is>
          <t>الاستدامة</t>
        </is>
      </c>
      <c r="Y11" s="22" t="inlineStr">
        <is>
          <t>جودة التشغيل</t>
        </is>
      </c>
      <c r="Z11" s="53" t="n"/>
      <c r="AA11" s="21" t="inlineStr">
        <is>
          <t>🟣 لاحق</t>
        </is>
      </c>
      <c r="AB11" s="53" t="n">
        <v>0.0417</v>
      </c>
      <c r="AC11" s="23">
        <f>IF($V11="","",$AB11*MIN($V11,1))</f>
        <v/>
      </c>
      <c r="AD11" s="74">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74">
        <f>IF(OR($AE11="",$G11=""),"",$AE11-$G11)</f>
        <v/>
      </c>
      <c r="AG11" s="17">
        <f>IF(OR($AE11="",$G11=""),"—",IF($E11="↓",IF($AE11&lt;=$G11,"🟢 على المسار",IF($AE11&lt;=$G11*1.1,"🟡 متابعة","🔴 خطر")),IF($AE11&gt;=$G11,"🟢 على المسار",IF($AE11&gt;=$G11*0.85,"🟡 متابعة","🔴 خطر"))))</f>
        <v/>
      </c>
      <c r="AH11" s="68" t="inlineStr">
        <is>
          <t>مالي</t>
        </is>
      </c>
    </row>
    <row r="12" ht="26" customHeight="1">
      <c r="A12" s="17" t="n">
        <v>9</v>
      </c>
      <c r="B12" s="22" t="inlineStr">
        <is>
          <t>الربحية وجودة الموقع</t>
        </is>
      </c>
      <c r="C12" s="22" t="inlineStr">
        <is>
          <t>متوسط فترة استرداد رأس المال</t>
        </is>
      </c>
      <c r="D12" s="60" t="inlineStr">
        <is>
          <t>سنة</t>
        </is>
      </c>
      <c r="E12" s="60" t="inlineStr">
        <is>
          <t>↓</t>
        </is>
      </c>
      <c r="F12" s="60" t="inlineStr">
        <is>
          <t>AVG</t>
        </is>
      </c>
      <c r="G12" s="75" t="n">
        <v>5</v>
      </c>
      <c r="H12" s="62" t="inlineStr">
        <is>
          <t>≤ 5 سنوات</t>
        </is>
      </c>
      <c r="I12" s="76" t="n"/>
      <c r="J12" s="76" t="n"/>
      <c r="K12" s="76" t="n"/>
      <c r="L12" s="76" t="n"/>
      <c r="M12" s="76" t="n"/>
      <c r="N12" s="76" t="n"/>
      <c r="O12" s="76" t="n"/>
      <c r="P12" s="76" t="n"/>
      <c r="Q12" s="76" t="n"/>
      <c r="R12" s="76" t="n"/>
      <c r="S12" s="76" t="n"/>
      <c r="T12" s="76" t="n"/>
      <c r="U12" s="77">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is>
          <t>الاستدامة</t>
        </is>
      </c>
      <c r="Y12" s="22" t="inlineStr">
        <is>
          <t>جودة التشغيل</t>
        </is>
      </c>
      <c r="Z12" s="78" t="n"/>
      <c r="AA12" s="21" t="inlineStr">
        <is>
          <t>🟣 لاحق</t>
        </is>
      </c>
      <c r="AB12" s="53" t="n">
        <v>0.0417</v>
      </c>
      <c r="AC12" s="23">
        <f>IF($V12="","",$AB12*MIN($V12,1))</f>
        <v/>
      </c>
      <c r="AD12" s="75">
        <f>IF($G12="","",IF($F12="SUM",IF('لوحة الإدارة التنفيذية'!$P$2="","",$G12/12*'لوحة الإدارة التنفيذية'!$P$2),$G12))</f>
        <v/>
      </c>
      <c r="AE12" s="79">
        <f>IF($F12="SUM",IF(OR('لوحة الإدارة التنفيذية'!$P$2="",'لوحة الإدارة التنفيذية'!$P$2=0),"",IF($U12="","",$U12/'لوحة الإدارة التنفيذية'!$P$2*12)),IF($U12="","",$U12))</f>
        <v/>
      </c>
      <c r="AF12" s="75">
        <f>IF(OR($AE12="",$G12=""),"",$AE12-$G12)</f>
        <v/>
      </c>
      <c r="AG12" s="17">
        <f>IF(OR($AE12="",$G12=""),"—",IF($E12="↓",IF($AE12&lt;=$G12,"🟢 على المسار",IF($AE12&lt;=$G12*1.1,"🟡 متابعة","🔴 خطر")),IF($AE12&gt;=$G12,"🟢 على المسار",IF($AE12&gt;=$G12*0.85,"🟡 متابعة","🔴 خطر"))))</f>
        <v/>
      </c>
      <c r="AH12" s="68" t="inlineStr">
        <is>
          <t>مالي</t>
        </is>
      </c>
    </row>
    <row r="13" ht="26" customHeight="1">
      <c r="A13" s="17" t="n">
        <v>10</v>
      </c>
      <c r="B13" s="22" t="inlineStr">
        <is>
          <t>الربحية وجودة الموقع</t>
        </is>
      </c>
      <c r="C13" s="22" t="inlineStr">
        <is>
          <t>متوسط قيمة عقد الإيجار السنوي (أرض)</t>
        </is>
      </c>
      <c r="D13" s="60" t="inlineStr">
        <is>
          <t>ر.س</t>
        </is>
      </c>
      <c r="E13" s="60" t="inlineStr">
        <is>
          <t>↑</t>
        </is>
      </c>
      <c r="F13" s="60" t="inlineStr">
        <is>
          <t>AVG</t>
        </is>
      </c>
      <c r="G13" s="60" t="inlineStr"/>
      <c r="H13" s="62" t="inlineStr">
        <is>
          <t>يُحدد لاحقاً</t>
        </is>
      </c>
      <c r="I13" s="69" t="n"/>
      <c r="J13" s="69" t="n"/>
      <c r="K13" s="69" t="n"/>
      <c r="L13" s="69" t="n"/>
      <c r="M13" s="69" t="n"/>
      <c r="N13" s="69" t="n"/>
      <c r="O13" s="69" t="n"/>
      <c r="P13" s="69" t="n"/>
      <c r="Q13" s="69" t="n"/>
      <c r="R13" s="69" t="n"/>
      <c r="S13" s="69" t="n"/>
      <c r="T13" s="69" t="n"/>
      <c r="U13" s="70">
        <f>IF($F13="SUM",IF(COUNT($I13:$T13)=0,"",SUM($I13:$T13)),IF($F13="AVG",IFERROR(AVERAGE($I13:$T13),""),IF($F13="LAST",IFERROR(LOOKUP(2,1/($I13:$T13&lt;&gt;""),$I13:$T13),""),"")))</f>
        <v/>
      </c>
      <c r="V13" s="23">
        <f>IF($G13="","",IF($U13="","",IF($G13=0,IF($U13&lt;=0,1,0),IF($E13="↓",IFERROR($G13/$U13,0),IFERROR($U13/$G13,0)))))</f>
        <v/>
      </c>
      <c r="W13" s="17">
        <f>IF($V13="","—",IF($V13&gt;=1,"✅ محقق",IF($V13&gt;=0.85,"🟡 قريب","🔴 تحت الهدف")))</f>
        <v/>
      </c>
      <c r="X13" s="65" t="inlineStr">
        <is>
          <t>النمو</t>
        </is>
      </c>
      <c r="Y13" s="22" t="inlineStr">
        <is>
          <t>التوسع في المواقع</t>
        </is>
      </c>
      <c r="Z13" s="52" t="n"/>
      <c r="AA13" s="21" t="inlineStr">
        <is>
          <t>🟣 لاحق</t>
        </is>
      </c>
      <c r="AB13" s="53" t="n">
        <v>0.0417</v>
      </c>
      <c r="AC13" s="23">
        <f>IF($V13="","",$AB13*MIN($V13,1))</f>
        <v/>
      </c>
      <c r="AD13" s="71">
        <f>IF($G13="","",IF($F13="SUM",IF('لوحة الإدارة التنفيذية'!$P$2="","",$G13/12*'لوحة الإدارة التنفيذية'!$P$2),$G13))</f>
        <v/>
      </c>
      <c r="AE13" s="72">
        <f>IF($F13="SUM",IF(OR('لوحة الإدارة التنفيذية'!$P$2="",'لوحة الإدارة التنفيذية'!$P$2=0),"",IF($U13="","",$U13/'لوحة الإدارة التنفيذية'!$P$2*12)),IF($U13="","",$U13))</f>
        <v/>
      </c>
      <c r="AF13" s="71">
        <f>IF(OR($AE13="",$G13=""),"",$AE13-$G13)</f>
        <v/>
      </c>
      <c r="AG13" s="17">
        <f>IF(OR($AE13="",$G13=""),"—",IF($E13="↓",IF($AE13&lt;=$G13,"🟢 على المسار",IF($AE13&lt;=$G13*1.1,"🟡 متابعة","🔴 خطر")),IF($AE13&gt;=$G13,"🟢 على المسار",IF($AE13&gt;=$G13*0.85,"🟡 متابعة","🔴 خطر"))))</f>
        <v/>
      </c>
      <c r="AH13" s="68" t="inlineStr">
        <is>
          <t>مالي</t>
        </is>
      </c>
    </row>
    <row r="14" ht="26" customHeight="1">
      <c r="A14" s="17" t="n">
        <v>11</v>
      </c>
      <c r="B14" s="22" t="inlineStr">
        <is>
          <t>التوسع الإقليمي</t>
        </is>
      </c>
      <c r="C14" s="22" t="inlineStr">
        <is>
          <t>نسبة العقود التي تغطي المناطق الـ13</t>
        </is>
      </c>
      <c r="D14" s="60" t="inlineStr">
        <is>
          <t>%</t>
        </is>
      </c>
      <c r="E14" s="60" t="inlineStr">
        <is>
          <t>↑</t>
        </is>
      </c>
      <c r="F14" s="60" t="inlineStr">
        <is>
          <t>LAST</t>
        </is>
      </c>
      <c r="G14" s="74" t="n">
        <v>1</v>
      </c>
      <c r="H14" s="62" t="inlineStr">
        <is>
          <t>100%</t>
        </is>
      </c>
      <c r="I14" s="73" t="n"/>
      <c r="J14" s="73" t="n"/>
      <c r="K14" s="73" t="n"/>
      <c r="L14" s="73" t="n"/>
      <c r="M14" s="73" t="n"/>
      <c r="N14" s="73" t="n"/>
      <c r="O14" s="73" t="n"/>
      <c r="P14" s="73" t="n"/>
      <c r="Q14" s="73" t="n"/>
      <c r="R14" s="73" t="n"/>
      <c r="S14" s="73" t="n"/>
      <c r="T14" s="73" t="n"/>
      <c r="U14" s="59">
        <f>IF($F14="SUM",IF(COUNT($I14:$T14)=0,"",SUM($I14:$T14)),IF($F14="AVG",IFERROR(AVERAGE($I14:$T14),""),IF($F14="LAST",IFERROR(LOOKUP(2,1/($I14:$T14&lt;&gt;""),$I14:$T14),""),"")))</f>
        <v/>
      </c>
      <c r="V14" s="23">
        <f>IF($G14="","",IF($U14="","",IF($G14=0,IF($U14&lt;=0,1,0),IF($E14="↓",IFERROR($G14/$U14,0),IFERROR($U14/$G14,0)))))</f>
        <v/>
      </c>
      <c r="W14" s="17">
        <f>IF($V14="","—",IF($V14&gt;=1,"✅ محقق",IF($V14&gt;=0.85,"🟡 قريب","🔴 تحت الهدف")))</f>
        <v/>
      </c>
      <c r="X14" s="65" t="inlineStr">
        <is>
          <t>النمو</t>
        </is>
      </c>
      <c r="Y14" s="22" t="inlineStr">
        <is>
          <t>التوسع في المواقع</t>
        </is>
      </c>
      <c r="Z14" s="53" t="n"/>
      <c r="AA14" s="21" t="inlineStr">
        <is>
          <t>🟣 لاحق</t>
        </is>
      </c>
      <c r="AB14" s="53" t="n">
        <v>0.0417</v>
      </c>
      <c r="AC14" s="23">
        <f>IF($V14="","",$AB14*MIN($V14,1))</f>
        <v/>
      </c>
      <c r="AD14" s="74">
        <f>IF($G14="","",IF($F14="SUM",IF('لوحة الإدارة التنفيذية'!$P$2="","",$G14/12*'لوحة الإدارة التنفيذية'!$P$2),$G14))</f>
        <v/>
      </c>
      <c r="AE14" s="23">
        <f>IF($F14="SUM",IF(OR('لوحة الإدارة التنفيذية'!$P$2="",'لوحة الإدارة التنفيذية'!$P$2=0),"",IF($U14="","",$U14/'لوحة الإدارة التنفيذية'!$P$2*12)),IF($U14="","",$U14))</f>
        <v/>
      </c>
      <c r="AF14" s="74">
        <f>IF(OR($AE14="",$G14=""),"",$AE14-$G14)</f>
        <v/>
      </c>
      <c r="AG14" s="17">
        <f>IF(OR($AE14="",$G14=""),"—",IF($E14="↓",IF($AE14&lt;=$G14,"🟢 على المسار",IF($AE14&lt;=$G14*1.1,"🟡 متابعة","🔴 خطر")),IF($AE14&gt;=$G14,"🟢 على المسار",IF($AE14&gt;=$G14*0.85,"🟡 متابعة","🔴 خطر"))))</f>
        <v/>
      </c>
      <c r="AH14" s="68" t="inlineStr">
        <is>
          <t>العمليات الداخلية</t>
        </is>
      </c>
    </row>
    <row r="15" ht="26" customHeight="1">
      <c r="A15" s="17" t="n">
        <v>12</v>
      </c>
      <c r="B15" s="22" t="inlineStr">
        <is>
          <t>التوسع الإقليمي</t>
        </is>
      </c>
      <c r="C15" s="22" t="inlineStr">
        <is>
          <t>نسبة العقود خارج المدن الرئيسية</t>
        </is>
      </c>
      <c r="D15" s="60" t="inlineStr">
        <is>
          <t>%</t>
        </is>
      </c>
      <c r="E15" s="60" t="inlineStr">
        <is>
          <t>↑</t>
        </is>
      </c>
      <c r="F15" s="60" t="inlineStr">
        <is>
          <t>LAST</t>
        </is>
      </c>
      <c r="G15" s="74" t="n">
        <v>0.6</v>
      </c>
      <c r="H15" s="62" t="inlineStr">
        <is>
          <t>&gt; 60%</t>
        </is>
      </c>
      <c r="I15" s="73" t="n"/>
      <c r="J15" s="73" t="n"/>
      <c r="K15" s="73" t="n"/>
      <c r="L15" s="73" t="n"/>
      <c r="M15" s="73" t="n"/>
      <c r="N15" s="73" t="n"/>
      <c r="O15" s="73" t="n"/>
      <c r="P15" s="73" t="n"/>
      <c r="Q15" s="73" t="n"/>
      <c r="R15" s="73" t="n"/>
      <c r="S15" s="73" t="n"/>
      <c r="T15" s="73" t="n"/>
      <c r="U15" s="59">
        <f>IF($F15="SUM",IF(COUNT($I15:$T15)=0,"",SUM($I15:$T15)),IF($F15="AVG",IFERROR(AVERAGE($I15:$T15),""),IF($F15="LAST",IFERROR(LOOKUP(2,1/($I15:$T15&lt;&gt;""),$I15:$T15),""),"")))</f>
        <v/>
      </c>
      <c r="V15" s="23">
        <f>IF($G15="","",IF($U15="","",IF($G15=0,IF($U15&lt;=0,1,0),IF($E15="↓",IFERROR($G15/$U15,0),IFERROR($U15/$G15,0)))))</f>
        <v/>
      </c>
      <c r="W15" s="17">
        <f>IF($V15="","—",IF($V15&gt;=1,"✅ محقق",IF($V15&gt;=0.85,"🟡 قريب","🔴 تحت الهدف")))</f>
        <v/>
      </c>
      <c r="X15" s="65" t="inlineStr">
        <is>
          <t>النمو</t>
        </is>
      </c>
      <c r="Y15" s="22" t="inlineStr">
        <is>
          <t>التوسع في المواقع</t>
        </is>
      </c>
      <c r="Z15" s="53" t="n"/>
      <c r="AA15" s="21" t="inlineStr">
        <is>
          <t>🟣 لاحق</t>
        </is>
      </c>
      <c r="AB15" s="53" t="n">
        <v>0.0417</v>
      </c>
      <c r="AC15" s="23">
        <f>IF($V15="","",$AB15*MIN($V15,1))</f>
        <v/>
      </c>
      <c r="AD15" s="74">
        <f>IF($G15="","",IF($F15="SUM",IF('لوحة الإدارة التنفيذية'!$P$2="","",$G15/12*'لوحة الإدارة التنفيذية'!$P$2),$G15))</f>
        <v/>
      </c>
      <c r="AE15" s="23">
        <f>IF($F15="SUM",IF(OR('لوحة الإدارة التنفيذية'!$P$2="",'لوحة الإدارة التنفيذية'!$P$2=0),"",IF($U15="","",$U15/'لوحة الإدارة التنفيذية'!$P$2*12)),IF($U15="","",$U15))</f>
        <v/>
      </c>
      <c r="AF15" s="74">
        <f>IF(OR($AE15="",$G15=""),"",$AE15-$G15)</f>
        <v/>
      </c>
      <c r="AG15" s="17">
        <f>IF(OR($AE15="",$G15=""),"—",IF($E15="↓",IF($AE15&lt;=$G15,"🟢 على المسار",IF($AE15&lt;=$G15*1.1,"🟡 متابعة","🔴 خطر")),IF($AE15&gt;=$G15,"🟢 على المسار",IF($AE15&gt;=$G15*0.85,"🟡 متابعة","🔴 خطر"))))</f>
        <v/>
      </c>
      <c r="AH15" s="68" t="inlineStr">
        <is>
          <t>العمليات الداخلية</t>
        </is>
      </c>
    </row>
    <row r="16" ht="26" customHeight="1">
      <c r="A16" s="17" t="n">
        <v>13</v>
      </c>
      <c r="B16" s="22" t="inlineStr">
        <is>
          <t>التوسع الإقليمي</t>
        </is>
      </c>
      <c r="C16" s="22" t="inlineStr">
        <is>
          <t>نسبة العقود في الـ12 مدينة الرئيسية</t>
        </is>
      </c>
      <c r="D16" s="60" t="inlineStr">
        <is>
          <t>%</t>
        </is>
      </c>
      <c r="E16" s="60" t="inlineStr">
        <is>
          <t>↓</t>
        </is>
      </c>
      <c r="F16" s="60" t="inlineStr">
        <is>
          <t>LAST</t>
        </is>
      </c>
      <c r="G16" s="74" t="n">
        <v>0.4</v>
      </c>
      <c r="H16" s="62" t="inlineStr">
        <is>
          <t>&lt; 40%</t>
        </is>
      </c>
      <c r="I16" s="73" t="n"/>
      <c r="J16" s="73" t="n"/>
      <c r="K16" s="73" t="n"/>
      <c r="L16" s="73" t="n"/>
      <c r="M16" s="73" t="n"/>
      <c r="N16" s="73" t="n"/>
      <c r="O16" s="73" t="n"/>
      <c r="P16" s="73" t="n"/>
      <c r="Q16" s="73" t="n"/>
      <c r="R16" s="73" t="n"/>
      <c r="S16" s="73" t="n"/>
      <c r="T16" s="73" t="n"/>
      <c r="U16" s="59">
        <f>IF($F16="SUM",IF(COUNT($I16:$T16)=0,"",SUM($I16:$T16)),IF($F16="AVG",IFERROR(AVERAGE($I16:$T16),""),IF($F16="LAST",IFERROR(LOOKUP(2,1/($I16:$T16&lt;&gt;""),$I16:$T16),""),"")))</f>
        <v/>
      </c>
      <c r="V16" s="23">
        <f>IF($G16="","",IF($U16="","",IF($G16=0,IF($U16&lt;=0,1,0),IF($E16="↓",IFERROR($G16/$U16,0),IFERROR($U16/$G16,0)))))</f>
        <v/>
      </c>
      <c r="W16" s="17">
        <f>IF($V16="","—",IF($V16&gt;=1,"✅ محقق",IF($V16&gt;=0.85,"🟡 قريب","🔴 تحت الهدف")))</f>
        <v/>
      </c>
      <c r="X16" s="65" t="inlineStr">
        <is>
          <t>النمو</t>
        </is>
      </c>
      <c r="Y16" s="22" t="inlineStr">
        <is>
          <t>التوسع في المواقع</t>
        </is>
      </c>
      <c r="Z16" s="53" t="n"/>
      <c r="AA16" s="21" t="inlineStr">
        <is>
          <t>🟣 لاحق</t>
        </is>
      </c>
      <c r="AB16" s="53" t="n">
        <v>0.0417</v>
      </c>
      <c r="AC16" s="23">
        <f>IF($V16="","",$AB16*MIN($V16,1))</f>
        <v/>
      </c>
      <c r="AD16" s="74">
        <f>IF($G16="","",IF($F16="SUM",IF('لوحة الإدارة التنفيذية'!$P$2="","",$G16/12*'لوحة الإدارة التنفيذية'!$P$2),$G16))</f>
        <v/>
      </c>
      <c r="AE16" s="23">
        <f>IF($F16="SUM",IF(OR('لوحة الإدارة التنفيذية'!$P$2="",'لوحة الإدارة التنفيذية'!$P$2=0),"",IF($U16="","",$U16/'لوحة الإدارة التنفيذية'!$P$2*12)),IF($U16="","",$U16))</f>
        <v/>
      </c>
      <c r="AF16" s="74">
        <f>IF(OR($AE16="",$G16=""),"",$AE16-$G16)</f>
        <v/>
      </c>
      <c r="AG16" s="17">
        <f>IF(OR($AE16="",$G16=""),"—",IF($E16="↓",IF($AE16&lt;=$G16,"🟢 على المسار",IF($AE16&lt;=$G16*1.1,"🟡 متابعة","🔴 خطر")),IF($AE16&gt;=$G16,"🟢 على المسار",IF($AE16&gt;=$G16*0.85,"🟡 متابعة","🔴 خطر"))))</f>
        <v/>
      </c>
      <c r="AH16" s="68" t="inlineStr">
        <is>
          <t>العمليات الداخلية</t>
        </is>
      </c>
    </row>
    <row r="17" ht="26" customHeight="1">
      <c r="A17" s="17" t="n">
        <v>14</v>
      </c>
      <c r="B17" s="22" t="inlineStr">
        <is>
          <t>التوسع الإقليمي</t>
        </is>
      </c>
      <c r="C17" s="22" t="inlineStr">
        <is>
          <t>نسبة العقود على الطرق الإقليمية</t>
        </is>
      </c>
      <c r="D17" s="60" t="inlineStr">
        <is>
          <t>%</t>
        </is>
      </c>
      <c r="E17" s="60" t="inlineStr">
        <is>
          <t>↑</t>
        </is>
      </c>
      <c r="F17" s="60" t="inlineStr">
        <is>
          <t>LAST</t>
        </is>
      </c>
      <c r="G17" s="74" t="n">
        <v>0.25</v>
      </c>
      <c r="H17" s="62" t="inlineStr">
        <is>
          <t>&gt; 25%</t>
        </is>
      </c>
      <c r="I17" s="73" t="n"/>
      <c r="J17" s="73" t="n"/>
      <c r="K17" s="73" t="n"/>
      <c r="L17" s="73" t="n"/>
      <c r="M17" s="73" t="n"/>
      <c r="N17" s="73" t="n"/>
      <c r="O17" s="73" t="n"/>
      <c r="P17" s="73" t="n"/>
      <c r="Q17" s="73" t="n"/>
      <c r="R17" s="73" t="n"/>
      <c r="S17" s="73" t="n"/>
      <c r="T17" s="73" t="n"/>
      <c r="U17" s="59">
        <f>IF($F17="SUM",IF(COUNT($I17:$T17)=0,"",SUM($I17:$T17)),IF($F17="AVG",IFERROR(AVERAGE($I17:$T17),""),IF($F17="LAST",IFERROR(LOOKUP(2,1/($I17:$T17&lt;&gt;""),$I17:$T17),""),"")))</f>
        <v/>
      </c>
      <c r="V17" s="23">
        <f>IF($G17="","",IF($U17="","",IF($G17=0,IF($U17&lt;=0,1,0),IF($E17="↓",IFERROR($G17/$U17,0),IFERROR($U17/$G17,0)))))</f>
        <v/>
      </c>
      <c r="W17" s="17">
        <f>IF($V17="","—",IF($V17&gt;=1,"✅ محقق",IF($V17&gt;=0.85,"🟡 قريب","🔴 تحت الهدف")))</f>
        <v/>
      </c>
      <c r="X17" s="65" t="inlineStr">
        <is>
          <t>النمو</t>
        </is>
      </c>
      <c r="Y17" s="22" t="inlineStr">
        <is>
          <t>التوسع في المواقع</t>
        </is>
      </c>
      <c r="Z17" s="53" t="n"/>
      <c r="AA17" s="21" t="inlineStr">
        <is>
          <t>🟣 لاحق</t>
        </is>
      </c>
      <c r="AB17" s="53" t="n">
        <v>0.0417</v>
      </c>
      <c r="AC17" s="23">
        <f>IF($V17="","",$AB17*MIN($V17,1))</f>
        <v/>
      </c>
      <c r="AD17" s="74">
        <f>IF($G17="","",IF($F17="SUM",IF('لوحة الإدارة التنفيذية'!$P$2="","",$G17/12*'لوحة الإدارة التنفيذية'!$P$2),$G17))</f>
        <v/>
      </c>
      <c r="AE17" s="23">
        <f>IF($F17="SUM",IF(OR('لوحة الإدارة التنفيذية'!$P$2="",'لوحة الإدارة التنفيذية'!$P$2=0),"",IF($U17="","",$U17/'لوحة الإدارة التنفيذية'!$P$2*12)),IF($U17="","",$U17))</f>
        <v/>
      </c>
      <c r="AF17" s="74">
        <f>IF(OR($AE17="",$G17=""),"",$AE17-$G17)</f>
        <v/>
      </c>
      <c r="AG17" s="17">
        <f>IF(OR($AE17="",$G17=""),"—",IF($E17="↓",IF($AE17&lt;=$G17,"🟢 على المسار",IF($AE17&lt;=$G17*1.1,"🟡 متابعة","🔴 خطر")),IF($AE17&gt;=$G17,"🟢 على المسار",IF($AE17&gt;=$G17*0.85,"🟡 متابعة","🔴 خطر"))))</f>
        <v/>
      </c>
      <c r="AH17" s="68" t="inlineStr">
        <is>
          <t>العمليات الداخلية</t>
        </is>
      </c>
    </row>
    <row r="18" ht="26" customHeight="1">
      <c r="A18" s="17" t="n">
        <v>15</v>
      </c>
      <c r="B18" s="22" t="inlineStr">
        <is>
          <t>كفاءة الدورة</t>
        </is>
      </c>
      <c r="C18" s="22" t="inlineStr">
        <is>
          <t>متوسط مدة إغلاق عقد الاستثمار</t>
        </is>
      </c>
      <c r="D18" s="60" t="inlineStr">
        <is>
          <t>أسبوع</t>
        </is>
      </c>
      <c r="E18" s="60" t="inlineStr">
        <is>
          <t>↓</t>
        </is>
      </c>
      <c r="F18" s="60" t="inlineStr">
        <is>
          <t>AVG</t>
        </is>
      </c>
      <c r="G18" s="75" t="n">
        <v>1</v>
      </c>
      <c r="H18" s="62" t="inlineStr">
        <is>
          <t>≤ أسبوع</t>
        </is>
      </c>
      <c r="I18" s="76" t="n"/>
      <c r="J18" s="76" t="n"/>
      <c r="K18" s="76" t="n"/>
      <c r="L18" s="76" t="n"/>
      <c r="M18" s="76" t="n"/>
      <c r="N18" s="76" t="n"/>
      <c r="O18" s="76" t="n"/>
      <c r="P18" s="76" t="n"/>
      <c r="Q18" s="76" t="n"/>
      <c r="R18" s="76" t="n"/>
      <c r="S18" s="76" t="n"/>
      <c r="T18" s="76" t="n"/>
      <c r="U18" s="77">
        <f>IF($F18="SUM",IF(COUNT($I18:$T18)=0,"",SUM($I18:$T18)),IF($F18="AVG",IFERROR(AVERAGE($I18:$T18),""),IF($F18="LAST",IFERROR(LOOKUP(2,1/($I18:$T18&lt;&gt;""),$I18:$T18),""),"")))</f>
        <v/>
      </c>
      <c r="V18" s="23">
        <f>IF($G18="","",IF($U18="","",IF($G18=0,IF($U18&lt;=0,1,0),IF($E18="↓",IFERROR($G18/$U18,0),IFERROR($U18/$G18,0)))))</f>
        <v/>
      </c>
      <c r="W18" s="17">
        <f>IF($V18="","—",IF($V18&gt;=1,"✅ محقق",IF($V18&gt;=0.85,"🟡 قريب","🔴 تحت الهدف")))</f>
        <v/>
      </c>
      <c r="X18" s="65" t="inlineStr">
        <is>
          <t>النمو</t>
        </is>
      </c>
      <c r="Y18" s="22" t="inlineStr">
        <is>
          <t>التوسع في المواقع</t>
        </is>
      </c>
      <c r="Z18" s="78" t="n"/>
      <c r="AA18" s="21" t="inlineStr">
        <is>
          <t>🟣 لاحق</t>
        </is>
      </c>
      <c r="AB18" s="53" t="n">
        <v>0.0417</v>
      </c>
      <c r="AC18" s="23">
        <f>IF($V18="","",$AB18*MIN($V18,1))</f>
        <v/>
      </c>
      <c r="AD18" s="75">
        <f>IF($G18="","",IF($F18="SUM",IF('لوحة الإدارة التنفيذية'!$P$2="","",$G18/12*'لوحة الإدارة التنفيذية'!$P$2),$G18))</f>
        <v/>
      </c>
      <c r="AE18" s="79">
        <f>IF($F18="SUM",IF(OR('لوحة الإدارة التنفيذية'!$P$2="",'لوحة الإدارة التنفيذية'!$P$2=0),"",IF($U18="","",$U18/'لوحة الإدارة التنفيذية'!$P$2*12)),IF($U18="","",$U18))</f>
        <v/>
      </c>
      <c r="AF18" s="75">
        <f>IF(OR($AE18="",$G18=""),"",$AE18-$G18)</f>
        <v/>
      </c>
      <c r="AG18" s="17">
        <f>IF(OR($AE18="",$G18=""),"—",IF($E18="↓",IF($AE18&lt;=$G18,"🟢 على المسار",IF($AE18&lt;=$G18*1.1,"🟡 متابعة","🔴 خطر")),IF($AE18&gt;=$G18,"🟢 على المسار",IF($AE18&gt;=$G18*0.85,"🟡 متابعة","🔴 خطر"))))</f>
        <v/>
      </c>
      <c r="AH18" s="68" t="inlineStr">
        <is>
          <t>العمليات الداخلية</t>
        </is>
      </c>
    </row>
    <row r="19" ht="26" customHeight="1">
      <c r="A19" s="17" t="n">
        <v>16</v>
      </c>
      <c r="B19" s="22" t="inlineStr">
        <is>
          <t>كفاءة الدورة</t>
        </is>
      </c>
      <c r="C19" s="22" t="inlineStr">
        <is>
          <t>نسبة العقود المتحوّلة لمحطات مشغّلة</t>
        </is>
      </c>
      <c r="D19" s="60" t="inlineStr">
        <is>
          <t>%</t>
        </is>
      </c>
      <c r="E19" s="60" t="inlineStr">
        <is>
          <t>↑</t>
        </is>
      </c>
      <c r="F19" s="60" t="inlineStr">
        <is>
          <t>AVG</t>
        </is>
      </c>
      <c r="G19" s="74" t="n">
        <v>0.3</v>
      </c>
      <c r="H19" s="62" t="inlineStr">
        <is>
          <t>≥ 30%</t>
        </is>
      </c>
      <c r="I19" s="73" t="n"/>
      <c r="J19" s="73" t="n"/>
      <c r="K19" s="73" t="n"/>
      <c r="L19" s="73" t="n"/>
      <c r="M19" s="73" t="n"/>
      <c r="N19" s="73" t="n"/>
      <c r="O19" s="73" t="n"/>
      <c r="P19" s="73" t="n"/>
      <c r="Q19" s="73" t="n"/>
      <c r="R19" s="73" t="n"/>
      <c r="S19" s="73" t="n"/>
      <c r="T19" s="73" t="n"/>
      <c r="U19" s="59">
        <f>IF($F19="SUM",IF(COUNT($I19:$T19)=0,"",SUM($I19:$T19)),IF($F19="AVG",IFERROR(AVERAGE($I19:$T19),""),IF($F19="LAST",IFERROR(LOOKUP(2,1/($I19:$T19&lt;&gt;""),$I19:$T19),""),"")))</f>
        <v/>
      </c>
      <c r="V19" s="23">
        <f>IF($G19="","",IF($U19="","",IF($G19=0,IF($U19&lt;=0,1,0),IF($E19="↓",IFERROR($G19/$U19,0),IFERROR($U19/$G19,0)))))</f>
        <v/>
      </c>
      <c r="W19" s="17">
        <f>IF($V19="","—",IF($V19&gt;=1,"✅ محقق",IF($V19&gt;=0.85,"🟡 قريب","🔴 تحت الهدف")))</f>
        <v/>
      </c>
      <c r="X19" s="65" t="inlineStr">
        <is>
          <t>النمو</t>
        </is>
      </c>
      <c r="Y19" s="22" t="inlineStr">
        <is>
          <t>التوسع في المواقع</t>
        </is>
      </c>
      <c r="Z19" s="53" t="n"/>
      <c r="AA19" s="21" t="inlineStr">
        <is>
          <t>🟣 لاحق</t>
        </is>
      </c>
      <c r="AB19" s="53" t="n">
        <v>0.0417</v>
      </c>
      <c r="AC19" s="23">
        <f>IF($V19="","",$AB19*MIN($V19,1))</f>
        <v/>
      </c>
      <c r="AD19" s="74">
        <f>IF($G19="","",IF($F19="SUM",IF('لوحة الإدارة التنفيذية'!$P$2="","",$G19/12*'لوحة الإدارة التنفيذية'!$P$2),$G19))</f>
        <v/>
      </c>
      <c r="AE19" s="23">
        <f>IF($F19="SUM",IF(OR('لوحة الإدارة التنفيذية'!$P$2="",'لوحة الإدارة التنفيذية'!$P$2=0),"",IF($U19="","",$U19/'لوحة الإدارة التنفيذية'!$P$2*12)),IF($U19="","",$U19))</f>
        <v/>
      </c>
      <c r="AF19" s="74">
        <f>IF(OR($AE19="",$G19=""),"",$AE19-$G19)</f>
        <v/>
      </c>
      <c r="AG19" s="17">
        <f>IF(OR($AE19="",$G19=""),"—",IF($E19="↓",IF($AE19&lt;=$G19,"🟢 على المسار",IF($AE19&lt;=$G19*1.1,"🟡 متابعة","🔴 خطر")),IF($AE19&gt;=$G19,"🟢 على المسار",IF($AE19&gt;=$G19*0.85,"🟡 متابعة","🔴 خطر"))))</f>
        <v/>
      </c>
      <c r="AH19" s="68" t="inlineStr">
        <is>
          <t>العمليات الداخلية</t>
        </is>
      </c>
    </row>
    <row r="20" ht="26" customHeight="1">
      <c r="A20" s="17" t="n">
        <v>17</v>
      </c>
      <c r="B20" s="22" t="inlineStr">
        <is>
          <t>كفاءة الدورة</t>
        </is>
      </c>
      <c r="C20" s="22" t="inlineStr">
        <is>
          <t>نسبة تخفيض إيجار المواقع عالية التكاليف</t>
        </is>
      </c>
      <c r="D20" s="60" t="inlineStr">
        <is>
          <t>%</t>
        </is>
      </c>
      <c r="E20" s="60" t="inlineStr">
        <is>
          <t>↑</t>
        </is>
      </c>
      <c r="F20" s="60" t="inlineStr">
        <is>
          <t>AVG</t>
        </is>
      </c>
      <c r="G20" s="74" t="n">
        <v>0.3</v>
      </c>
      <c r="H20" s="62" t="inlineStr">
        <is>
          <t>≥ 30%</t>
        </is>
      </c>
      <c r="I20" s="73" t="n"/>
      <c r="J20" s="73" t="n"/>
      <c r="K20" s="73" t="n"/>
      <c r="L20" s="73" t="n"/>
      <c r="M20" s="73" t="n"/>
      <c r="N20" s="73" t="n"/>
      <c r="O20" s="73" t="n"/>
      <c r="P20" s="73" t="n"/>
      <c r="Q20" s="73" t="n"/>
      <c r="R20" s="73" t="n"/>
      <c r="S20" s="73" t="n"/>
      <c r="T20" s="73" t="n"/>
      <c r="U20" s="59">
        <f>IF($F20="SUM",IF(COUNT($I20:$T20)=0,"",SUM($I20:$T20)),IF($F20="AVG",IFERROR(AVERAGE($I20:$T20),""),IF($F20="LAST",IFERROR(LOOKUP(2,1/($I20:$T20&lt;&gt;""),$I20:$T20),""),"")))</f>
        <v/>
      </c>
      <c r="V20" s="23">
        <f>IF($G20="","",IF($U20="","",IF($G20=0,IF($U20&lt;=0,1,0),IF($E20="↓",IFERROR($G20/$U20,0),IFERROR($U20/$G20,0)))))</f>
        <v/>
      </c>
      <c r="W20" s="17">
        <f>IF($V20="","—",IF($V20&gt;=1,"✅ محقق",IF($V20&gt;=0.85,"🟡 قريب","🔴 تحت الهدف")))</f>
        <v/>
      </c>
      <c r="X20" s="65" t="inlineStr">
        <is>
          <t>الاستدامة</t>
        </is>
      </c>
      <c r="Y20" s="22" t="inlineStr">
        <is>
          <t>جودة التشغيل</t>
        </is>
      </c>
      <c r="Z20" s="53" t="n"/>
      <c r="AA20" s="21" t="inlineStr">
        <is>
          <t>🟣 لاحق</t>
        </is>
      </c>
      <c r="AB20" s="53" t="n">
        <v>0.0417</v>
      </c>
      <c r="AC20" s="23">
        <f>IF($V20="","",$AB20*MIN($V20,1))</f>
        <v/>
      </c>
      <c r="AD20" s="74">
        <f>IF($G20="","",IF($F20="SUM",IF('لوحة الإدارة التنفيذية'!$P$2="","",$G20/12*'لوحة الإدارة التنفيذية'!$P$2),$G20))</f>
        <v/>
      </c>
      <c r="AE20" s="23">
        <f>IF($F20="SUM",IF(OR('لوحة الإدارة التنفيذية'!$P$2="",'لوحة الإدارة التنفيذية'!$P$2=0),"",IF($U20="","",$U20/'لوحة الإدارة التنفيذية'!$P$2*12)),IF($U20="","",$U20))</f>
        <v/>
      </c>
      <c r="AF20" s="74">
        <f>IF(OR($AE20="",$G20=""),"",$AE20-$G20)</f>
        <v/>
      </c>
      <c r="AG20" s="17">
        <f>IF(OR($AE20="",$G20=""),"—",IF($E20="↓",IF($AE20&lt;=$G20,"🟢 على المسار",IF($AE20&lt;=$G20*1.1,"🟡 متابعة","🔴 خطر")),IF($AE20&gt;=$G20,"🟢 على المسار",IF($AE20&gt;=$G20*0.85,"🟡 متابعة","🔴 خطر"))))</f>
        <v/>
      </c>
      <c r="AH20" s="68" t="inlineStr">
        <is>
          <t>العمليات الداخلية</t>
        </is>
      </c>
    </row>
    <row r="21" ht="26" customHeight="1">
      <c r="A21" s="17" t="n">
        <v>18</v>
      </c>
      <c r="B21" s="22" t="inlineStr">
        <is>
          <t>الامتثال</t>
        </is>
      </c>
      <c r="C21" s="22" t="inlineStr">
        <is>
          <t>نسبة اكتمال المستندات النظامية قبل التوقيع</t>
        </is>
      </c>
      <c r="D21" s="60" t="inlineStr">
        <is>
          <t>%</t>
        </is>
      </c>
      <c r="E21" s="60" t="inlineStr">
        <is>
          <t>↑</t>
        </is>
      </c>
      <c r="F21" s="60" t="inlineStr">
        <is>
          <t>AVG</t>
        </is>
      </c>
      <c r="G21" s="74" t="n">
        <v>1</v>
      </c>
      <c r="H21" s="62" t="inlineStr">
        <is>
          <t>100%</t>
        </is>
      </c>
      <c r="I21" s="73" t="n"/>
      <c r="J21" s="73" t="n"/>
      <c r="K21" s="73" t="n"/>
      <c r="L21" s="73" t="n"/>
      <c r="M21" s="73" t="n"/>
      <c r="N21" s="73" t="n"/>
      <c r="O21" s="73" t="n"/>
      <c r="P21" s="73" t="n"/>
      <c r="Q21" s="73" t="n"/>
      <c r="R21" s="73" t="n"/>
      <c r="S21" s="73" t="n"/>
      <c r="T21" s="73" t="n"/>
      <c r="U21" s="59">
        <f>IF($F21="SUM",IF(COUNT($I21:$T21)=0,"",SUM($I21:$T21)),IF($F21="AVG",IFERROR(AVERAGE($I21:$T21),""),IF($F21="LAST",IFERROR(LOOKUP(2,1/($I21:$T21&lt;&gt;""),$I21:$T21),""),"")))</f>
        <v/>
      </c>
      <c r="V21" s="23">
        <f>IF($G21="","",IF($U21="","",IF($G21=0,IF($U21&lt;=0,1,0),IF($E21="↓",IFERROR($G21/$U21,0),IFERROR($U21/$G21,0)))))</f>
        <v/>
      </c>
      <c r="W21" s="17">
        <f>IF($V21="","—",IF($V21&gt;=1,"✅ محقق",IF($V21&gt;=0.85,"🟡 قريب","🔴 تحت الهدف")))</f>
        <v/>
      </c>
      <c r="X21" s="65" t="inlineStr">
        <is>
          <t>الاستدامة</t>
        </is>
      </c>
      <c r="Y21" s="22" t="inlineStr">
        <is>
          <t>جودة التشغيل</t>
        </is>
      </c>
      <c r="Z21" s="53" t="n"/>
      <c r="AA21" s="21" t="inlineStr">
        <is>
          <t>🟣 لاحق</t>
        </is>
      </c>
      <c r="AB21" s="53" t="n">
        <v>0.0417</v>
      </c>
      <c r="AC21" s="23">
        <f>IF($V21="","",$AB21*MIN($V21,1))</f>
        <v/>
      </c>
      <c r="AD21" s="74">
        <f>IF($G21="","",IF($F21="SUM",IF('لوحة الإدارة التنفيذية'!$P$2="","",$G21/12*'لوحة الإدارة التنفيذية'!$P$2),$G21))</f>
        <v/>
      </c>
      <c r="AE21" s="23">
        <f>IF($F21="SUM",IF(OR('لوحة الإدارة التنفيذية'!$P$2="",'لوحة الإدارة التنفيذية'!$P$2=0),"",IF($U21="","",$U21/'لوحة الإدارة التنفيذية'!$P$2*12)),IF($U21="","",$U21))</f>
        <v/>
      </c>
      <c r="AF21" s="74">
        <f>IF(OR($AE21="",$G21=""),"",$AE21-$G21)</f>
        <v/>
      </c>
      <c r="AG21" s="17">
        <f>IF(OR($AE21="",$G21=""),"—",IF($E21="↓",IF($AE21&lt;=$G21,"🟢 على المسار",IF($AE21&lt;=$G21*1.1,"🟡 متابعة","🔴 خطر")),IF($AE21&gt;=$G21,"🟢 على المسار",IF($AE21&gt;=$G21*0.85,"🟡 متابعة","🔴 خطر"))))</f>
        <v/>
      </c>
      <c r="AH21" s="68" t="inlineStr">
        <is>
          <t>العمليات الداخلية</t>
        </is>
      </c>
    </row>
    <row r="22" ht="26" customHeight="1">
      <c r="A22" s="17" t="n">
        <v>19</v>
      </c>
      <c r="B22" s="22" t="inlineStr">
        <is>
          <t>الامتثال</t>
        </is>
      </c>
      <c r="C22" s="22" t="inlineStr">
        <is>
          <t>نسبة العقود المؤرشفة إلكترونياً خلال 48 ساعة</t>
        </is>
      </c>
      <c r="D22" s="60" t="inlineStr">
        <is>
          <t>%</t>
        </is>
      </c>
      <c r="E22" s="60" t="inlineStr">
        <is>
          <t>↑</t>
        </is>
      </c>
      <c r="F22" s="60" t="inlineStr">
        <is>
          <t>AVG</t>
        </is>
      </c>
      <c r="G22" s="74" t="n">
        <v>0.95</v>
      </c>
      <c r="H22" s="62" t="inlineStr">
        <is>
          <t>95%+</t>
        </is>
      </c>
      <c r="I22" s="73" t="n"/>
      <c r="J22" s="73" t="n"/>
      <c r="K22" s="73" t="n"/>
      <c r="L22" s="73" t="n"/>
      <c r="M22" s="73" t="n"/>
      <c r="N22" s="73" t="n"/>
      <c r="O22" s="73" t="n"/>
      <c r="P22" s="73" t="n"/>
      <c r="Q22" s="73" t="n"/>
      <c r="R22" s="73" t="n"/>
      <c r="S22" s="73" t="n"/>
      <c r="T22" s="73" t="n"/>
      <c r="U22" s="59">
        <f>IF($F22="SUM",IF(COUNT($I22:$T22)=0,"",SUM($I22:$T22)),IF($F22="AVG",IFERROR(AVERAGE($I22:$T22),""),IF($F22="LAST",IFERROR(LOOKUP(2,1/($I22:$T22&lt;&gt;""),$I22:$T22),""),"")))</f>
        <v/>
      </c>
      <c r="V22" s="23">
        <f>IF($G22="","",IF($U22="","",IF($G22=0,IF($U22&lt;=0,1,0),IF($E22="↓",IFERROR($G22/$U22,0),IFERROR($U22/$G22,0)))))</f>
        <v/>
      </c>
      <c r="W22" s="17">
        <f>IF($V22="","—",IF($V22&gt;=1,"✅ محقق",IF($V22&gt;=0.85,"🟡 قريب","🔴 تحت الهدف")))</f>
        <v/>
      </c>
      <c r="X22" s="65" t="inlineStr">
        <is>
          <t>الاستدامة</t>
        </is>
      </c>
      <c r="Y22" s="22" t="inlineStr">
        <is>
          <t>جودة التشغيل</t>
        </is>
      </c>
      <c r="Z22" s="53" t="n"/>
      <c r="AA22" s="21" t="inlineStr">
        <is>
          <t>🟣 لاحق</t>
        </is>
      </c>
      <c r="AB22" s="53" t="n">
        <v>0.0417</v>
      </c>
      <c r="AC22" s="23">
        <f>IF($V22="","",$AB22*MIN($V22,1))</f>
        <v/>
      </c>
      <c r="AD22" s="74">
        <f>IF($G22="","",IF($F22="SUM",IF('لوحة الإدارة التنفيذية'!$P$2="","",$G22/12*'لوحة الإدارة التنفيذية'!$P$2),$G22))</f>
        <v/>
      </c>
      <c r="AE22" s="23">
        <f>IF($F22="SUM",IF(OR('لوحة الإدارة التنفيذية'!$P$2="",'لوحة الإدارة التنفيذية'!$P$2=0),"",IF($U22="","",$U22/'لوحة الإدارة التنفيذية'!$P$2*12)),IF($U22="","",$U22))</f>
        <v/>
      </c>
      <c r="AF22" s="74">
        <f>IF(OR($AE22="",$G22=""),"",$AE22-$G22)</f>
        <v/>
      </c>
      <c r="AG22" s="17">
        <f>IF(OR($AE22="",$G22=""),"—",IF($E22="↓",IF($AE22&lt;=$G22,"🟢 على المسار",IF($AE22&lt;=$G22*1.1,"🟡 متابعة","🔴 خطر")),IF($AE22&gt;=$G22,"🟢 على المسار",IF($AE22&gt;=$G22*0.85,"🟡 متابعة","🔴 خطر"))))</f>
        <v/>
      </c>
      <c r="AH22" s="68" t="inlineStr">
        <is>
          <t>العمليات الداخلية</t>
        </is>
      </c>
    </row>
    <row r="23" ht="26" customHeight="1">
      <c r="A23" s="17" t="n">
        <v>20</v>
      </c>
      <c r="B23" s="22" t="inlineStr">
        <is>
          <t>جودة التعاقد</t>
        </is>
      </c>
      <c r="C23" s="22" t="inlineStr">
        <is>
          <t>جودة التفاوض مع المستثمرين (توافق مع المستهدفات)</t>
        </is>
      </c>
      <c r="D23" s="60" t="inlineStr">
        <is>
          <t>%</t>
        </is>
      </c>
      <c r="E23" s="60" t="inlineStr">
        <is>
          <t>↑</t>
        </is>
      </c>
      <c r="F23" s="60" t="inlineStr">
        <is>
          <t>AVG</t>
        </is>
      </c>
      <c r="G23" s="74" t="n">
        <v>0.98</v>
      </c>
      <c r="H23" s="62" t="inlineStr">
        <is>
          <t>98%</t>
        </is>
      </c>
      <c r="I23" s="73" t="n"/>
      <c r="J23" s="73" t="n"/>
      <c r="K23" s="73" t="n"/>
      <c r="L23" s="73" t="n"/>
      <c r="M23" s="73" t="n"/>
      <c r="N23" s="73" t="n"/>
      <c r="O23" s="73" t="n"/>
      <c r="P23" s="73" t="n"/>
      <c r="Q23" s="73" t="n"/>
      <c r="R23" s="73" t="n"/>
      <c r="S23" s="73" t="n"/>
      <c r="T23" s="73" t="n"/>
      <c r="U23" s="59">
        <f>IF($F23="SUM",IF(COUNT($I23:$T23)=0,"",SUM($I23:$T23)),IF($F23="AVG",IFERROR(AVERAGE($I23:$T23),""),IF($F23="LAST",IFERROR(LOOKUP(2,1/($I23:$T23&lt;&gt;""),$I23:$T23),""),"")))</f>
        <v/>
      </c>
      <c r="V23" s="23">
        <f>IF($G23="","",IF($U23="","",IF($G23=0,IF($U23&lt;=0,1,0),IF($E23="↓",IFERROR($G23/$U23,0),IFERROR($U23/$G23,0)))))</f>
        <v/>
      </c>
      <c r="W23" s="17">
        <f>IF($V23="","—",IF($V23&gt;=1,"✅ محقق",IF($V23&gt;=0.85,"🟡 قريب","🔴 تحت الهدف")))</f>
        <v/>
      </c>
      <c r="X23" s="65" t="inlineStr">
        <is>
          <t>النمو</t>
        </is>
      </c>
      <c r="Y23" s="22" t="inlineStr">
        <is>
          <t>التوسع في المواقع</t>
        </is>
      </c>
      <c r="Z23" s="53" t="n"/>
      <c r="AA23" s="21" t="inlineStr">
        <is>
          <t>🟣 لاحق</t>
        </is>
      </c>
      <c r="AB23" s="53" t="n">
        <v>0.0417</v>
      </c>
      <c r="AC23" s="23">
        <f>IF($V23="","",$AB23*MIN($V23,1))</f>
        <v/>
      </c>
      <c r="AD23" s="74">
        <f>IF($G23="","",IF($F23="SUM",IF('لوحة الإدارة التنفيذية'!$P$2="","",$G23/12*'لوحة الإدارة التنفيذية'!$P$2),$G23))</f>
        <v/>
      </c>
      <c r="AE23" s="23">
        <f>IF($F23="SUM",IF(OR('لوحة الإدارة التنفيذية'!$P$2="",'لوحة الإدارة التنفيذية'!$P$2=0),"",IF($U23="","",$U23/'لوحة الإدارة التنفيذية'!$P$2*12)),IF($U23="","",$U23))</f>
        <v/>
      </c>
      <c r="AF23" s="74">
        <f>IF(OR($AE23="",$G23=""),"",$AE23-$G23)</f>
        <v/>
      </c>
      <c r="AG23" s="17">
        <f>IF(OR($AE23="",$G23=""),"—",IF($E23="↓",IF($AE23&lt;=$G23,"🟢 على المسار",IF($AE23&lt;=$G23*1.1,"🟡 متابعة","🔴 خطر")),IF($AE23&gt;=$G23,"🟢 على المسار",IF($AE23&gt;=$G23*0.85,"🟡 متابعة","🔴 خطر"))))</f>
        <v/>
      </c>
      <c r="AH23" s="68" t="inlineStr">
        <is>
          <t>العمليات الداخلية</t>
        </is>
      </c>
    </row>
    <row r="24" ht="26" customHeight="1">
      <c r="A24" s="17" t="n">
        <v>21</v>
      </c>
      <c r="B24" s="22" t="inlineStr">
        <is>
          <t>جودة التعاقد</t>
        </is>
      </c>
      <c r="C24" s="22" t="inlineStr">
        <is>
          <t>سرعة إنجاز إجراءات التعاقد</t>
        </is>
      </c>
      <c r="D24" s="60" t="inlineStr">
        <is>
          <t>أسبوع</t>
        </is>
      </c>
      <c r="E24" s="60" t="inlineStr">
        <is>
          <t>↓</t>
        </is>
      </c>
      <c r="F24" s="60" t="inlineStr">
        <is>
          <t>AVG</t>
        </is>
      </c>
      <c r="G24" s="75" t="n">
        <v>1</v>
      </c>
      <c r="H24" s="62" t="inlineStr">
        <is>
          <t>≤ أسبوع</t>
        </is>
      </c>
      <c r="I24" s="76" t="n"/>
      <c r="J24" s="76" t="n"/>
      <c r="K24" s="76" t="n"/>
      <c r="L24" s="76" t="n"/>
      <c r="M24" s="76" t="n"/>
      <c r="N24" s="76" t="n"/>
      <c r="O24" s="76" t="n"/>
      <c r="P24" s="76" t="n"/>
      <c r="Q24" s="76" t="n"/>
      <c r="R24" s="76" t="n"/>
      <c r="S24" s="76" t="n"/>
      <c r="T24" s="76" t="n"/>
      <c r="U24" s="77">
        <f>IF($F24="SUM",IF(COUNT($I24:$T24)=0,"",SUM($I24:$T24)),IF($F24="AVG",IFERROR(AVERAGE($I24:$T24),""),IF($F24="LAST",IFERROR(LOOKUP(2,1/($I24:$T24&lt;&gt;""),$I24:$T24),""),"")))</f>
        <v/>
      </c>
      <c r="V24" s="23">
        <f>IF($G24="","",IF($U24="","",IF($G24=0,IF($U24&lt;=0,1,0),IF($E24="↓",IFERROR($G24/$U24,0),IFERROR($U24/$G24,0)))))</f>
        <v/>
      </c>
      <c r="W24" s="17">
        <f>IF($V24="","—",IF($V24&gt;=1,"✅ محقق",IF($V24&gt;=0.85,"🟡 قريب","🔴 تحت الهدف")))</f>
        <v/>
      </c>
      <c r="X24" s="65" t="inlineStr">
        <is>
          <t>النمو</t>
        </is>
      </c>
      <c r="Y24" s="22" t="inlineStr">
        <is>
          <t>التوسع في المواقع</t>
        </is>
      </c>
      <c r="Z24" s="78" t="n"/>
      <c r="AA24" s="21" t="inlineStr">
        <is>
          <t>🟣 لاحق</t>
        </is>
      </c>
      <c r="AB24" s="53" t="n">
        <v>0.0417</v>
      </c>
      <c r="AC24" s="23">
        <f>IF($V24="","",$AB24*MIN($V24,1))</f>
        <v/>
      </c>
      <c r="AD24" s="75">
        <f>IF($G24="","",IF($F24="SUM",IF('لوحة الإدارة التنفيذية'!$P$2="","",$G24/12*'لوحة الإدارة التنفيذية'!$P$2),$G24))</f>
        <v/>
      </c>
      <c r="AE24" s="79">
        <f>IF($F24="SUM",IF(OR('لوحة الإدارة التنفيذية'!$P$2="",'لوحة الإدارة التنفيذية'!$P$2=0),"",IF($U24="","",$U24/'لوحة الإدارة التنفيذية'!$P$2*12)),IF($U24="","",$U24))</f>
        <v/>
      </c>
      <c r="AF24" s="75">
        <f>IF(OR($AE24="",$G24=""),"",$AE24-$G24)</f>
        <v/>
      </c>
      <c r="AG24" s="17">
        <f>IF(OR($AE24="",$G24=""),"—",IF($E24="↓",IF($AE24&lt;=$G24,"🟢 على المسار",IF($AE24&lt;=$G24*1.1,"🟡 متابعة","🔴 خطر")),IF($AE24&gt;=$G24,"🟢 على المسار",IF($AE24&gt;=$G24*0.85,"🟡 متابعة","🔴 خطر"))))</f>
        <v/>
      </c>
      <c r="AH24" s="68" t="inlineStr">
        <is>
          <t>العمليات الداخلية</t>
        </is>
      </c>
    </row>
    <row r="25" ht="26" customHeight="1">
      <c r="A25" s="17" t="n">
        <v>22</v>
      </c>
      <c r="B25" s="22" t="inlineStr">
        <is>
          <t>جودة التعاقد</t>
        </is>
      </c>
      <c r="C25" s="22" t="inlineStr">
        <is>
          <t>مدى رضا المستثمرين وشركاء الاستثمار</t>
        </is>
      </c>
      <c r="D25" s="60" t="inlineStr">
        <is>
          <t>%</t>
        </is>
      </c>
      <c r="E25" s="60" t="inlineStr">
        <is>
          <t>↑</t>
        </is>
      </c>
      <c r="F25" s="60" t="inlineStr">
        <is>
          <t>AVG</t>
        </is>
      </c>
      <c r="G25" s="74" t="n">
        <v>0.8</v>
      </c>
      <c r="H25" s="62" t="inlineStr">
        <is>
          <t>80%+</t>
        </is>
      </c>
      <c r="I25" s="73" t="n"/>
      <c r="J25" s="73" t="n"/>
      <c r="K25" s="73" t="n"/>
      <c r="L25" s="73" t="n"/>
      <c r="M25" s="73" t="n"/>
      <c r="N25" s="73" t="n"/>
      <c r="O25" s="73" t="n"/>
      <c r="P25" s="73" t="n"/>
      <c r="Q25" s="73" t="n"/>
      <c r="R25" s="73" t="n"/>
      <c r="S25" s="73" t="n"/>
      <c r="T25" s="73" t="n"/>
      <c r="U25" s="59">
        <f>IF($F25="SUM",IF(COUNT($I25:$T25)=0,"",SUM($I25:$T25)),IF($F25="AVG",IFERROR(AVERAGE($I25:$T25),""),IF($F25="LAST",IFERROR(LOOKUP(2,1/($I25:$T25&lt;&gt;""),$I25:$T25),""),"")))</f>
        <v/>
      </c>
      <c r="V25" s="23">
        <f>IF($G25="","",IF($U25="","",IF($G25=0,IF($U25&lt;=0,1,0),IF($E25="↓",IFERROR($G25/$U25,0),IFERROR($U25/$G25,0)))))</f>
        <v/>
      </c>
      <c r="W25" s="17">
        <f>IF($V25="","—",IF($V25&gt;=1,"✅ محقق",IF($V25&gt;=0.85,"🟡 قريب","🔴 تحت الهدف")))</f>
        <v/>
      </c>
      <c r="X25" s="65" t="inlineStr">
        <is>
          <t>الاستدامة</t>
        </is>
      </c>
      <c r="Y25" s="22" t="inlineStr">
        <is>
          <t>تعزيز تجربة العملاء</t>
        </is>
      </c>
      <c r="Z25" s="53" t="n"/>
      <c r="AA25" s="21" t="inlineStr">
        <is>
          <t>🟣 لاحق</t>
        </is>
      </c>
      <c r="AB25" s="53" t="n">
        <v>0.0417</v>
      </c>
      <c r="AC25" s="23">
        <f>IF($V25="","",$AB25*MIN($V25,1))</f>
        <v/>
      </c>
      <c r="AD25" s="74">
        <f>IF($G25="","",IF($F25="SUM",IF('لوحة الإدارة التنفيذية'!$P$2="","",$G25/12*'لوحة الإدارة التنفيذية'!$P$2),$G25))</f>
        <v/>
      </c>
      <c r="AE25" s="23">
        <f>IF($F25="SUM",IF(OR('لوحة الإدارة التنفيذية'!$P$2="",'لوحة الإدارة التنفيذية'!$P$2=0),"",IF($U25="","",$U25/'لوحة الإدارة التنفيذية'!$P$2*12)),IF($U25="","",$U25))</f>
        <v/>
      </c>
      <c r="AF25" s="74">
        <f>IF(OR($AE25="",$G25=""),"",$AE25-$G25)</f>
        <v/>
      </c>
      <c r="AG25" s="17">
        <f>IF(OR($AE25="",$G25=""),"—",IF($E25="↓",IF($AE25&lt;=$G25,"🟢 على المسار",IF($AE25&lt;=$G25*1.1,"🟡 متابعة","🔴 خطر")),IF($AE25&gt;=$G25,"🟢 على المسار",IF($AE25&gt;=$G25*0.85,"🟡 متابعة","🔴 خطر"))))</f>
        <v/>
      </c>
      <c r="AH25" s="68" t="inlineStr">
        <is>
          <t>العملاء</t>
        </is>
      </c>
    </row>
    <row r="26" ht="26" customHeight="1">
      <c r="A26" s="17" t="n">
        <v>23</v>
      </c>
      <c r="B26" s="22" t="inlineStr">
        <is>
          <t>جودة التعاقد</t>
        </is>
      </c>
      <c r="C26" s="22" t="inlineStr">
        <is>
          <t>نسبة اكتمال أرشفة ملفات العملاء</t>
        </is>
      </c>
      <c r="D26" s="60" t="inlineStr">
        <is>
          <t>%</t>
        </is>
      </c>
      <c r="E26" s="60" t="inlineStr">
        <is>
          <t>↑</t>
        </is>
      </c>
      <c r="F26" s="60" t="inlineStr">
        <is>
          <t>AVG</t>
        </is>
      </c>
      <c r="G26" s="74" t="n">
        <v>1</v>
      </c>
      <c r="H26" s="62" t="inlineStr">
        <is>
          <t>100%</t>
        </is>
      </c>
      <c r="I26" s="73" t="n"/>
      <c r="J26" s="73" t="n"/>
      <c r="K26" s="73" t="n"/>
      <c r="L26" s="73" t="n"/>
      <c r="M26" s="73" t="n"/>
      <c r="N26" s="73" t="n"/>
      <c r="O26" s="73" t="n"/>
      <c r="P26" s="73" t="n"/>
      <c r="Q26" s="73" t="n"/>
      <c r="R26" s="73" t="n"/>
      <c r="S26" s="73" t="n"/>
      <c r="T26" s="73" t="n"/>
      <c r="U26" s="59">
        <f>IF($F26="SUM",IF(COUNT($I26:$T26)=0,"",SUM($I26:$T26)),IF($F26="AVG",IFERROR(AVERAGE($I26:$T26),""),IF($F26="LAST",IFERROR(LOOKUP(2,1/($I26:$T26&lt;&gt;""),$I26:$T26),""),"")))</f>
        <v/>
      </c>
      <c r="V26" s="23">
        <f>IF($G26="","",IF($U26="","",IF($G26=0,IF($U26&lt;=0,1,0),IF($E26="↓",IFERROR($G26/$U26,0),IFERROR($U26/$G26,0)))))</f>
        <v/>
      </c>
      <c r="W26" s="17">
        <f>IF($V26="","—",IF($V26&gt;=1,"✅ محقق",IF($V26&gt;=0.85,"🟡 قريب","🔴 تحت الهدف")))</f>
        <v/>
      </c>
      <c r="X26" s="65" t="inlineStr">
        <is>
          <t>الاستدامة</t>
        </is>
      </c>
      <c r="Y26" s="22" t="inlineStr">
        <is>
          <t>جودة التشغيل</t>
        </is>
      </c>
      <c r="Z26" s="53" t="n"/>
      <c r="AA26" s="21" t="inlineStr">
        <is>
          <t>🟣 لاحق</t>
        </is>
      </c>
      <c r="AB26" s="53" t="n">
        <v>0.0417</v>
      </c>
      <c r="AC26" s="23">
        <f>IF($V26="","",$AB26*MIN($V26,1))</f>
        <v/>
      </c>
      <c r="AD26" s="74">
        <f>IF($G26="","",IF($F26="SUM",IF('لوحة الإدارة التنفيذية'!$P$2="","",$G26/12*'لوحة الإدارة التنفيذية'!$P$2),$G26))</f>
        <v/>
      </c>
      <c r="AE26" s="23">
        <f>IF($F26="SUM",IF(OR('لوحة الإدارة التنفيذية'!$P$2="",'لوحة الإدارة التنفيذية'!$P$2=0),"",IF($U26="","",$U26/'لوحة الإدارة التنفيذية'!$P$2*12)),IF($U26="","",$U26))</f>
        <v/>
      </c>
      <c r="AF26" s="74">
        <f>IF(OR($AE26="",$G26=""),"",$AE26-$G26)</f>
        <v/>
      </c>
      <c r="AG26" s="17">
        <f>IF(OR($AE26="",$G26=""),"—",IF($E26="↓",IF($AE26&lt;=$G26,"🟢 على المسار",IF($AE26&lt;=$G26*1.1,"🟡 متابعة","🔴 خطر")),IF($AE26&gt;=$G26,"🟢 على المسار",IF($AE26&gt;=$G26*0.85,"🟡 متابعة","🔴 خطر"))))</f>
        <v/>
      </c>
      <c r="AH26" s="68" t="inlineStr">
        <is>
          <t>العملاء</t>
        </is>
      </c>
    </row>
    <row r="27" ht="26" customHeight="1">
      <c r="A27" s="17" t="n">
        <v>24</v>
      </c>
      <c r="B27" s="22" t="inlineStr">
        <is>
          <t>جودة التعاقد</t>
        </is>
      </c>
      <c r="C27" s="22" t="inlineStr">
        <is>
          <t>نسبة إنجاز التقارير الدورية في موعدها</t>
        </is>
      </c>
      <c r="D27" s="60" t="inlineStr">
        <is>
          <t>%</t>
        </is>
      </c>
      <c r="E27" s="60" t="inlineStr">
        <is>
          <t>↑</t>
        </is>
      </c>
      <c r="F27" s="60" t="inlineStr">
        <is>
          <t>AVG</t>
        </is>
      </c>
      <c r="G27" s="74" t="n">
        <v>1</v>
      </c>
      <c r="H27" s="62" t="inlineStr">
        <is>
          <t>100%</t>
        </is>
      </c>
      <c r="I27" s="73" t="n"/>
      <c r="J27" s="73" t="n"/>
      <c r="K27" s="73" t="n"/>
      <c r="L27" s="73" t="n"/>
      <c r="M27" s="73" t="n"/>
      <c r="N27" s="73" t="n"/>
      <c r="O27" s="73" t="n"/>
      <c r="P27" s="73" t="n"/>
      <c r="Q27" s="73" t="n"/>
      <c r="R27" s="73" t="n"/>
      <c r="S27" s="73" t="n"/>
      <c r="T27" s="73" t="n"/>
      <c r="U27" s="59">
        <f>IF($F27="SUM",IF(COUNT($I27:$T27)=0,"",SUM($I27:$T27)),IF($F27="AVG",IFERROR(AVERAGE($I27:$T27),""),IF($F27="LAST",IFERROR(LOOKUP(2,1/($I27:$T27&lt;&gt;""),$I27:$T27),""),"")))</f>
        <v/>
      </c>
      <c r="V27" s="23">
        <f>IF($G27="","",IF($U27="","",IF($G27=0,IF($U27&lt;=0,1,0),IF($E27="↓",IFERROR($G27/$U27,0),IFERROR($U27/$G27,0)))))</f>
        <v/>
      </c>
      <c r="W27" s="17">
        <f>IF($V27="","—",IF($V27&gt;=1,"✅ محقق",IF($V27&gt;=0.85,"🟡 قريب","🔴 تحت الهدف")))</f>
        <v/>
      </c>
      <c r="X27" s="65" t="inlineStr">
        <is>
          <t>الاستدامة</t>
        </is>
      </c>
      <c r="Y27" s="22" t="inlineStr">
        <is>
          <t>جودة التشغيل</t>
        </is>
      </c>
      <c r="Z27" s="53" t="n"/>
      <c r="AA27" s="21" t="inlineStr">
        <is>
          <t>🟣 لاحق</t>
        </is>
      </c>
      <c r="AB27" s="53" t="n">
        <v>0.0417</v>
      </c>
      <c r="AC27" s="23">
        <f>IF($V27="","",$AB27*MIN($V27,1))</f>
        <v/>
      </c>
      <c r="AD27" s="74">
        <f>IF($G27="","",IF($F27="SUM",IF('لوحة الإدارة التنفيذية'!$P$2="","",$G27/12*'لوحة الإدارة التنفيذية'!$P$2),$G27))</f>
        <v/>
      </c>
      <c r="AE27" s="23">
        <f>IF($F27="SUM",IF(OR('لوحة الإدارة التنفيذية'!$P$2="",'لوحة الإدارة التنفيذية'!$P$2=0),"",IF($U27="","",$U27/'لوحة الإدارة التنفيذية'!$P$2*12)),IF($U27="","",$U27))</f>
        <v/>
      </c>
      <c r="AF27" s="74">
        <f>IF(OR($AE27="",$G27=""),"",$AE27-$G27)</f>
        <v/>
      </c>
      <c r="AG27" s="17">
        <f>IF(OR($AE27="",$G27=""),"—",IF($E27="↓",IF($AE27&lt;=$G27,"🟢 على المسار",IF($AE27&lt;=$G27*1.1,"🟡 متابعة","🔴 خطر")),IF($AE27&gt;=$G27,"🟢 على المسار",IF($AE27&gt;=$G27*0.85,"🟡 متابعة","🔴 خطر"))))</f>
        <v/>
      </c>
      <c r="AH27" s="68" t="inlineStr">
        <is>
          <t>العمليات الداخلية</t>
        </is>
      </c>
    </row>
    <row r="28">
      <c r="A28" s="80" t="inlineStr"/>
      <c r="B28" s="81" t="inlineStr">
        <is>
          <t>الإجمالي الموزون للإدارة</t>
        </is>
      </c>
      <c r="AB28" s="82">
        <f>SUM(AB4:AB27)</f>
        <v/>
      </c>
      <c r="AC28" s="83">
        <f>SUM(AC4:AC27)</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B28:AA28"/>
    <mergeCell ref="A2:AH2"/>
    <mergeCell ref="A1:AH1"/>
  </mergeCells>
  <dataValidations count="1">
    <dataValidation sqref="I4 I5 I6 I7 I8 I9 I10 I11 I12 I13 I14 I15 I16 I17 I18 I19 I20 I21 I22 I23 I24 I25 I26 I27 J4 J5 J6 J7 J8 J9 J10 J11 J12 J13 J14 J15 J16 J17 J18 J19 J20 J21 J22 J23 J24 J25 J26 J27 K4 K5 K6 K7 K8 K9 K10 K11 K12 K13 K14 K15 K16 K17 K18 K19 K20 K21 K22 K23 K24 K25 K26 K27 L4 L5 L6 L7 L8 L9 L10 L11 L12 L13 L14 L15 L16 L17 L18 L19 L20 L21 L22 L23 L24 L25 L26 L27 M4 M5 M6 M7 M8 M9 M10 M11 M12 M13 M14 M15 M16 M17 M18 M19 M20 M21 M22 M23 M24 M25 M26 M27 N4 N5 N6 N7 N8 N9 N10 N11 N12 N13 N14 N15 N16 N17 N18 N19 N20 N21 N22 N23 N24 N25 N26 N27 O4 O5 O6 O7 O8 O9 O10 O11 O12 O13 O14 O15 O16 O17 O18 O19 O20 O21 O22 O23 O24 O25 O26 O27 P4 P5 P6 P7 P8 P9 P10 P11 P12 P13 P14 P15 P16 P17 P18 P19 P20 P21 P22 P23 P24 P25 P26 P27 Q4 Q5 Q6 Q7 Q8 Q9 Q10 Q11 Q12 Q13 Q14 Q15 Q16 Q17 Q18 Q19 Q20 Q21 Q22 Q23 Q24 Q25 Q26 Q27 R4 R5 R6 R7 R8 R9 R10 R11 R12 R13 R14 R15 R16 R17 R18 R19 R20 R21 R22 R23 R24 R25 R26 R27 S4 S5 S6 S7 S8 S9 S10 S11 S12 S13 S14 S15 S16 S17 S18 S19 S20 S21 S22 S23 S24 S25 S26 S27 T4 T5 T6 T7 T8 T9 T10 T11 T12 T13 T14 T15 T16 T17 T18 T19 T20 T21 T22 T23 T24 T25 T26 T27 Z4 Z5 Z6 Z7 Z8 Z9 Z10 Z11 Z12 Z13 Z14 Z15 Z16 Z17 Z18 Z19 Z20 Z21 Z22 Z23 Z24 Z25 Z26 Z27"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23"/>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4" t="inlineStr">
        <is>
          <t>إدارة الاستثمار · نموذج تقييم الأداء — مدير إدارة الاستثمار</t>
        </is>
      </c>
    </row>
    <row r="2">
      <c r="A2" s="50" t="inlineStr">
        <is>
          <t>الكود: IM-01  ·  ربع سنوي  ·  🟩 أدخل «نسبة التحقيق» فقط — الدرجة تُحسب تلقائياً</t>
        </is>
      </c>
    </row>
    <row r="3">
      <c r="A3" s="85" t="inlineStr">
        <is>
          <t>اسم الموظف:</t>
        </is>
      </c>
      <c r="B3" s="51" t="inlineStr"/>
      <c r="C3" s="86" t="n"/>
      <c r="D3" s="85" t="inlineStr">
        <is>
          <t>القسم: الاستثمار</t>
        </is>
      </c>
      <c r="E3" s="51" t="inlineStr"/>
      <c r="F3" s="87" t="n"/>
      <c r="G3" s="86" t="n"/>
    </row>
    <row r="4">
      <c r="A4" s="85" t="inlineStr">
        <is>
          <t>المدير المباشر:</t>
        </is>
      </c>
      <c r="B4" s="51" t="inlineStr"/>
      <c r="C4" s="86" t="n"/>
      <c r="D4" s="85" t="inlineStr">
        <is>
          <t>الربع / السنة:</t>
        </is>
      </c>
      <c r="E4" s="51" t="inlineStr"/>
      <c r="F4" s="87" t="n"/>
      <c r="G4" s="86" t="n"/>
    </row>
    <row r="5">
      <c r="A5" s="85" t="inlineStr">
        <is>
          <t>تاريخ التقييم:</t>
        </is>
      </c>
      <c r="B5" s="51" t="inlineStr"/>
      <c r="C5" s="86" t="n"/>
      <c r="D5" s="85" t="inlineStr">
        <is>
          <t>حالة التقييم:</t>
        </is>
      </c>
      <c r="E5" s="51" t="inlineStr"/>
      <c r="F5" s="87" t="n"/>
      <c r="G5" s="86"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عقود الاستثمار الجديدة (190)</t>
        </is>
      </c>
      <c r="C7" s="74" t="n">
        <v>0.2</v>
      </c>
      <c r="D7" s="88" t="inlineStr">
        <is>
          <t>100%+ من المستهدف الربعي</t>
        </is>
      </c>
      <c r="E7" s="53" t="n"/>
      <c r="F7" s="23">
        <f>C7*MIN(E7,1)</f>
        <v/>
      </c>
      <c r="G7" s="51" t="inlineStr"/>
    </row>
    <row r="8" ht="28" customHeight="1">
      <c r="A8" s="17" t="n">
        <v>2</v>
      </c>
      <c r="B8" s="22" t="inlineStr">
        <is>
          <t>نسبة المواقع ذات العائد المجدي</t>
        </is>
      </c>
      <c r="C8" s="74" t="n">
        <v>0.15</v>
      </c>
      <c r="D8" s="88" t="inlineStr">
        <is>
          <t>≥ 80%</t>
        </is>
      </c>
      <c r="E8" s="53" t="n"/>
      <c r="F8" s="23">
        <f>C8*MIN(E8,1)</f>
        <v/>
      </c>
      <c r="G8" s="51" t="inlineStr"/>
    </row>
    <row r="9" ht="28" customHeight="1">
      <c r="A9" s="17" t="n">
        <v>3</v>
      </c>
      <c r="B9" s="22" t="inlineStr">
        <is>
          <t>متوسط فترة استرداد رأس المال</t>
        </is>
      </c>
      <c r="C9" s="74" t="n">
        <v>0.1</v>
      </c>
      <c r="D9" s="88" t="inlineStr">
        <is>
          <t>≤ 5 سنوات</t>
        </is>
      </c>
      <c r="E9" s="53" t="n"/>
      <c r="F9" s="23">
        <f>C9*MIN(E9,1)</f>
        <v/>
      </c>
      <c r="G9" s="51" t="inlineStr"/>
    </row>
    <row r="10" ht="28" customHeight="1">
      <c r="A10" s="17" t="n">
        <v>4</v>
      </c>
      <c r="B10" s="22" t="inlineStr">
        <is>
          <t>التوسع الإقليمي (تغطية 13 منطقة)</t>
        </is>
      </c>
      <c r="C10" s="74" t="n">
        <v>0.15</v>
      </c>
      <c r="D10" s="88" t="inlineStr">
        <is>
          <t>100%</t>
        </is>
      </c>
      <c r="E10" s="53" t="n"/>
      <c r="F10" s="23">
        <f>C10*MIN(E10,1)</f>
        <v/>
      </c>
      <c r="G10" s="51" t="inlineStr"/>
    </row>
    <row r="11" ht="28" customHeight="1">
      <c r="A11" s="17" t="n">
        <v>5</v>
      </c>
      <c r="B11" s="22" t="inlineStr">
        <is>
          <t>متوسط مدة إغلاق عقد الاستثمار</t>
        </is>
      </c>
      <c r="C11" s="74" t="n">
        <v>0.1</v>
      </c>
      <c r="D11" s="88" t="inlineStr">
        <is>
          <t>≤ أسبوع</t>
        </is>
      </c>
      <c r="E11" s="53" t="n"/>
      <c r="F11" s="23">
        <f>C11*MIN(E11,1)</f>
        <v/>
      </c>
      <c r="G11" s="51" t="inlineStr"/>
    </row>
    <row r="12" ht="28" customHeight="1">
      <c r="A12" s="17" t="n">
        <v>6</v>
      </c>
      <c r="B12" s="22" t="inlineStr">
        <is>
          <t>اكتمال المستندات النظامية</t>
        </is>
      </c>
      <c r="C12" s="74" t="n">
        <v>0.1</v>
      </c>
      <c r="D12" s="88" t="inlineStr">
        <is>
          <t>100%</t>
        </is>
      </c>
      <c r="E12" s="53" t="n"/>
      <c r="F12" s="23">
        <f>C12*MIN(E12,1)</f>
        <v/>
      </c>
      <c r="G12" s="51" t="inlineStr"/>
    </row>
    <row r="13" ht="28" customHeight="1">
      <c r="A13" s="17" t="n">
        <v>7</v>
      </c>
      <c r="B13" s="22" t="inlineStr">
        <is>
          <t>رضا المستثمرين وشركاء الاستثمار</t>
        </is>
      </c>
      <c r="C13" s="74" t="n">
        <v>0.1</v>
      </c>
      <c r="D13" s="88" t="inlineStr">
        <is>
          <t>≥ 80%</t>
        </is>
      </c>
      <c r="E13" s="53" t="n"/>
      <c r="F13" s="23">
        <f>C13*MIN(E13,1)</f>
        <v/>
      </c>
      <c r="G13" s="51" t="inlineStr"/>
    </row>
    <row r="14" ht="28" customHeight="1">
      <c r="A14" s="17" t="n">
        <v>8</v>
      </c>
      <c r="B14" s="22" t="inlineStr">
        <is>
          <t>إنجاز التقارير الدورية</t>
        </is>
      </c>
      <c r="C14" s="74" t="n">
        <v>0.1</v>
      </c>
      <c r="D14" s="88" t="inlineStr">
        <is>
          <t>100%</t>
        </is>
      </c>
      <c r="E14" s="53" t="n"/>
      <c r="F14" s="23">
        <f>C14*MIN(E14,1)</f>
        <v/>
      </c>
      <c r="G14" s="51" t="inlineStr"/>
    </row>
    <row r="15">
      <c r="A15" s="80" t="inlineStr"/>
      <c r="B15" s="81" t="inlineStr">
        <is>
          <t>المجموع الكلي</t>
        </is>
      </c>
      <c r="C15" s="89">
        <f>SUM(C7:C14)</f>
        <v/>
      </c>
      <c r="D15" s="80" t="inlineStr"/>
      <c r="E15" s="81" t="inlineStr">
        <is>
          <t>الدرجة:</t>
        </is>
      </c>
      <c r="F15" s="90">
        <f>SUM(F7:F14)</f>
        <v/>
      </c>
      <c r="G15" s="80" t="inlineStr"/>
    </row>
    <row r="16">
      <c r="B16" s="5" t="inlineStr">
        <is>
          <t>التقدير</t>
        </is>
      </c>
      <c r="C16" s="26">
        <f>IF(F15&gt;=0.9,"ممتاز",IF(F15&gt;=0.8,"جيد جداً",IF(F15&gt;=0.7,"جيد",IF(F15&gt;=0.6,"مقبول","ضعيف"))))</f>
        <v/>
      </c>
      <c r="D16" s="43" t="n"/>
    </row>
    <row r="18">
      <c r="B18" s="5" t="inlineStr">
        <is>
          <t>سلّم التقييم</t>
        </is>
      </c>
      <c r="C18" s="42" t="n"/>
      <c r="D18" s="43" t="n"/>
    </row>
    <row r="19">
      <c r="B19" s="17" t="inlineStr">
        <is>
          <t>ممتاز</t>
        </is>
      </c>
      <c r="C19" s="21" t="inlineStr">
        <is>
          <t>90% – 100%</t>
        </is>
      </c>
      <c r="D19" s="22" t="inlineStr">
        <is>
          <t>تجاوز المستهدف</t>
        </is>
      </c>
    </row>
    <row r="20">
      <c r="B20" s="17" t="inlineStr">
        <is>
          <t>جيد جداً</t>
        </is>
      </c>
      <c r="C20" s="21" t="inlineStr">
        <is>
          <t>80% – 89%</t>
        </is>
      </c>
      <c r="D20" s="22" t="inlineStr">
        <is>
          <t>حقق المستهدف تقريباً</t>
        </is>
      </c>
    </row>
    <row r="21">
      <c r="B21" s="17" t="inlineStr">
        <is>
          <t>جيد</t>
        </is>
      </c>
      <c r="C21" s="21" t="inlineStr">
        <is>
          <t>70% – 79%</t>
        </is>
      </c>
      <c r="D21" s="22" t="inlineStr">
        <is>
          <t>حقق معظم المستهدفات</t>
        </is>
      </c>
    </row>
    <row r="22">
      <c r="B22" s="17" t="inlineStr">
        <is>
          <t>مقبول</t>
        </is>
      </c>
      <c r="C22" s="21" t="inlineStr">
        <is>
          <t>60% – 69%</t>
        </is>
      </c>
      <c r="D22" s="22" t="inlineStr">
        <is>
          <t>يحتاج تحسين</t>
        </is>
      </c>
    </row>
    <row r="23">
      <c r="B23" s="17" t="inlineStr">
        <is>
          <t>ضعيف</t>
        </is>
      </c>
      <c r="C23" s="21" t="inlineStr">
        <is>
          <t>أقل من 60%</t>
        </is>
      </c>
      <c r="D23"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6:D16"/>
    <mergeCell ref="B3:C3"/>
    <mergeCell ref="B5:C5"/>
    <mergeCell ref="E5:G5"/>
    <mergeCell ref="B18:D18"/>
    <mergeCell ref="A2:G2"/>
    <mergeCell ref="E4:G4"/>
    <mergeCell ref="E3:G3"/>
    <mergeCell ref="B4:C4"/>
  </mergeCells>
  <dataValidations count="1">
    <dataValidation sqref="E7 E8 E9 E10 E11 E12 E13 E14"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H20"/>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إدارة العقار · مؤشرات الأداء 2026  (16 مؤشر / 6 محاور)</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الإدارة</t>
        </is>
      </c>
      <c r="C4" s="22" t="inlineStr">
        <is>
          <t>نمو الإيرادات الإيجارية</t>
        </is>
      </c>
      <c r="D4" s="60" t="inlineStr">
        <is>
          <t>%</t>
        </is>
      </c>
      <c r="E4" s="60" t="inlineStr">
        <is>
          <t>↑</t>
        </is>
      </c>
      <c r="F4" s="60" t="inlineStr">
        <is>
          <t>AVG</t>
        </is>
      </c>
      <c r="G4" s="74" t="n">
        <v>0.08</v>
      </c>
      <c r="H4" s="62" t="inlineStr">
        <is>
          <t>&gt; 8% سنوياً</t>
        </is>
      </c>
      <c r="I4" s="73" t="n"/>
      <c r="J4" s="73" t="n"/>
      <c r="K4" s="73" t="n"/>
      <c r="L4" s="73" t="n"/>
      <c r="M4" s="73" t="n"/>
      <c r="N4" s="73" t="n"/>
      <c r="O4" s="73" t="n"/>
      <c r="P4" s="73" t="n"/>
      <c r="Q4" s="73" t="n"/>
      <c r="R4" s="73" t="n"/>
      <c r="S4" s="73" t="n"/>
      <c r="T4" s="73" t="n"/>
      <c r="U4" s="59">
        <f>IF($F4="SUM",IF(COUNT($I4:$T4)=0,"",SUM($I4:$T4)),IF($F4="AVG",IFERROR(AVERAGE($I4:$T4),""),IF($F4="LAST",IFERROR(LOOKUP(2,1/($I4:$T4&lt;&gt;""),$I4:$T4),""),"")))</f>
        <v/>
      </c>
      <c r="V4" s="23">
        <f>IF($G4="","",IF($U4="","",IF($G4=0,IF($U4&lt;=0,1,0),IF($E4="↓",IFERROR($G4/$U4,0),IFERROR($U4/$G4,0)))))</f>
        <v/>
      </c>
      <c r="W4" s="17">
        <f>IF($V4="","—",IF($V4&gt;=1,"✅ محقق",IF($V4&gt;=0.85,"🟡 قريب","🔴 تحت الهدف")))</f>
        <v/>
      </c>
      <c r="X4" s="65" t="inlineStr">
        <is>
          <t>الاستدامة</t>
        </is>
      </c>
      <c r="Y4" s="22" t="inlineStr">
        <is>
          <t>منظومة التأجير</t>
        </is>
      </c>
      <c r="Z4" s="53" t="n"/>
      <c r="AA4" s="21" t="inlineStr">
        <is>
          <t>🔵 قائد</t>
        </is>
      </c>
      <c r="AB4" s="53" t="n">
        <v>0.0625</v>
      </c>
      <c r="AC4" s="23">
        <f>IF($V4="","",$AB4*MIN($V4,1))</f>
        <v/>
      </c>
      <c r="AD4" s="74">
        <f>IF($G4="","",IF($F4="SUM",IF('لوحة الإدارة التنفيذية'!$P$2="","",$G4/12*'لوحة الإدارة التنفيذية'!$P$2),$G4))</f>
        <v/>
      </c>
      <c r="AE4" s="23">
        <f>IF($F4="SUM",IF(OR('لوحة الإدارة التنفيذية'!$P$2="",'لوحة الإدارة التنفيذية'!$P$2=0),"",IF($U4="","",$U4/'لوحة الإدارة التنفيذية'!$P$2*12)),IF($U4="","",$U4))</f>
        <v/>
      </c>
      <c r="AF4" s="74">
        <f>IF(OR($AE4="",$G4=""),"",$AE4-$G4)</f>
        <v/>
      </c>
      <c r="AG4" s="17">
        <f>IF(OR($AE4="",$G4=""),"—",IF($E4="↓",IF($AE4&lt;=$G4,"🟢 على المسار",IF($AE4&lt;=$G4*1.1,"🟡 متابعة","🔴 خطر")),IF($AE4&gt;=$G4,"🟢 على المسار",IF($AE4&gt;=$G4*0.85,"🟡 متابعة","🔴 خطر"))))</f>
        <v/>
      </c>
      <c r="AH4" s="68" t="inlineStr">
        <is>
          <t>مالي</t>
        </is>
      </c>
    </row>
    <row r="5" ht="26" customHeight="1">
      <c r="A5" s="17" t="n">
        <v>2</v>
      </c>
      <c r="B5" s="22" t="inlineStr">
        <is>
          <t>الإدارة</t>
        </is>
      </c>
      <c r="C5" s="22" t="inlineStr">
        <is>
          <t>نسبة الالتزام بالعقود</t>
        </is>
      </c>
      <c r="D5" s="60" t="inlineStr">
        <is>
          <t>%</t>
        </is>
      </c>
      <c r="E5" s="60" t="inlineStr">
        <is>
          <t>↑</t>
        </is>
      </c>
      <c r="F5" s="60" t="inlineStr">
        <is>
          <t>AVG</t>
        </is>
      </c>
      <c r="G5" s="74" t="n">
        <v>1</v>
      </c>
      <c r="H5" s="62" t="inlineStr">
        <is>
          <t>100%</t>
        </is>
      </c>
      <c r="I5" s="73" t="n"/>
      <c r="J5" s="73" t="n"/>
      <c r="K5" s="73" t="n"/>
      <c r="L5" s="73" t="n"/>
      <c r="M5" s="73" t="n"/>
      <c r="N5" s="73" t="n"/>
      <c r="O5" s="73" t="n"/>
      <c r="P5" s="73" t="n"/>
      <c r="Q5" s="73" t="n"/>
      <c r="R5" s="73" t="n"/>
      <c r="S5" s="73" t="n"/>
      <c r="T5" s="73" t="n"/>
      <c r="U5" s="59">
        <f>IF($F5="SUM",IF(COUNT($I5:$T5)=0,"",SUM($I5:$T5)),IF($F5="AVG",IFERROR(AVERAGE($I5:$T5),""),IF($F5="LAST",IFERROR(LOOKUP(2,1/($I5:$T5&lt;&gt;""),$I5:$T5),""),"")))</f>
        <v/>
      </c>
      <c r="V5" s="23">
        <f>IF($G5="","",IF($U5="","",IF($G5=0,IF($U5&lt;=0,1,0),IF($E5="↓",IFERROR($G5/$U5,0),IFERROR($U5/$G5,0)))))</f>
        <v/>
      </c>
      <c r="W5" s="17">
        <f>IF($V5="","—",IF($V5&gt;=1,"✅ محقق",IF($V5&gt;=0.85,"🟡 قريب","🔴 تحت الهدف")))</f>
        <v/>
      </c>
      <c r="X5" s="65" t="inlineStr">
        <is>
          <t>الاستدامة</t>
        </is>
      </c>
      <c r="Y5" s="22" t="inlineStr">
        <is>
          <t>منظومة التأجير</t>
        </is>
      </c>
      <c r="Z5" s="53" t="n"/>
      <c r="AA5" s="21" t="inlineStr">
        <is>
          <t>🟣 لاحق</t>
        </is>
      </c>
      <c r="AB5" s="53" t="n">
        <v>0.0625</v>
      </c>
      <c r="AC5" s="23">
        <f>IF($V5="","",$AB5*MIN($V5,1))</f>
        <v/>
      </c>
      <c r="AD5" s="74">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74">
        <f>IF(OR($AE5="",$G5=""),"",$AE5-$G5)</f>
        <v/>
      </c>
      <c r="AG5" s="17">
        <f>IF(OR($AE5="",$G5=""),"—",IF($E5="↓",IF($AE5&lt;=$G5,"🟢 على المسار",IF($AE5&lt;=$G5*1.1,"🟡 متابعة","🔴 خطر")),IF($AE5&gt;=$G5,"🟢 على المسار",IF($AE5&gt;=$G5*0.85,"🟡 متابعة","🔴 خطر"))))</f>
        <v/>
      </c>
      <c r="AH5" s="68" t="inlineStr">
        <is>
          <t>العمليات الداخلية</t>
        </is>
      </c>
    </row>
    <row r="6" ht="26" customHeight="1">
      <c r="A6" s="17" t="n">
        <v>3</v>
      </c>
      <c r="B6" s="22" t="inlineStr">
        <is>
          <t>الإدارة</t>
        </is>
      </c>
      <c r="C6" s="22" t="inlineStr">
        <is>
          <t>نسبة التحصيل</t>
        </is>
      </c>
      <c r="D6" s="60" t="inlineStr">
        <is>
          <t>%</t>
        </is>
      </c>
      <c r="E6" s="60" t="inlineStr">
        <is>
          <t>↑</t>
        </is>
      </c>
      <c r="F6" s="60" t="inlineStr">
        <is>
          <t>AVG</t>
        </is>
      </c>
      <c r="G6" s="74" t="n">
        <v>0.95</v>
      </c>
      <c r="H6" s="62" t="inlineStr">
        <is>
          <t>&gt; 95%</t>
        </is>
      </c>
      <c r="I6" s="73" t="n"/>
      <c r="J6" s="73" t="n"/>
      <c r="K6" s="73" t="n"/>
      <c r="L6" s="73" t="n"/>
      <c r="M6" s="73" t="n"/>
      <c r="N6" s="73" t="n"/>
      <c r="O6" s="73" t="n"/>
      <c r="P6" s="73" t="n"/>
      <c r="Q6" s="73" t="n"/>
      <c r="R6" s="73" t="n"/>
      <c r="S6" s="73" t="n"/>
      <c r="T6" s="73" t="n"/>
      <c r="U6" s="59">
        <f>IF($F6="SUM",IF(COUNT($I6:$T6)=0,"",SUM($I6:$T6)),IF($F6="AVG",IFERROR(AVERAGE($I6:$T6),""),IF($F6="LAST",IFERROR(LOOKUP(2,1/($I6:$T6&lt;&gt;""),$I6:$T6),""),"")))</f>
        <v/>
      </c>
      <c r="V6" s="23">
        <f>IF($G6="","",IF($U6="","",IF($G6=0,IF($U6&lt;=0,1,0),IF($E6="↓",IFERROR($G6/$U6,0),IFERROR($U6/$G6,0)))))</f>
        <v/>
      </c>
      <c r="W6" s="17">
        <f>IF($V6="","—",IF($V6&gt;=1,"✅ محقق",IF($V6&gt;=0.85,"🟡 قريب","🔴 تحت الهدف")))</f>
        <v/>
      </c>
      <c r="X6" s="65" t="inlineStr">
        <is>
          <t>الاستدامة</t>
        </is>
      </c>
      <c r="Y6" s="22" t="inlineStr">
        <is>
          <t>منظومة التأجير</t>
        </is>
      </c>
      <c r="Z6" s="53" t="n"/>
      <c r="AA6" s="21" t="inlineStr">
        <is>
          <t>🟣 لاحق</t>
        </is>
      </c>
      <c r="AB6" s="53" t="n">
        <v>0.0625</v>
      </c>
      <c r="AC6" s="23">
        <f>IF($V6="","",$AB6*MIN($V6,1))</f>
        <v/>
      </c>
      <c r="AD6" s="74">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74">
        <f>IF(OR($AE6="",$G6=""),"",$AE6-$G6)</f>
        <v/>
      </c>
      <c r="AG6" s="17">
        <f>IF(OR($AE6="",$G6=""),"—",IF($E6="↓",IF($AE6&lt;=$G6,"🟢 على المسار",IF($AE6&lt;=$G6*1.1,"🟡 متابعة","🔴 خطر")),IF($AE6&gt;=$G6,"🟢 على المسار",IF($AE6&gt;=$G6*0.85,"🟡 متابعة","🔴 خطر"))))</f>
        <v/>
      </c>
      <c r="AH6" s="68" t="inlineStr">
        <is>
          <t>مالي</t>
        </is>
      </c>
    </row>
    <row r="7" ht="26" customHeight="1">
      <c r="A7" s="17" t="n">
        <v>4</v>
      </c>
      <c r="B7" s="22" t="inlineStr">
        <is>
          <t>التأجير</t>
        </is>
      </c>
      <c r="C7" s="22" t="inlineStr">
        <is>
          <t>نسبة الإشغال</t>
        </is>
      </c>
      <c r="D7" s="60" t="inlineStr">
        <is>
          <t>%</t>
        </is>
      </c>
      <c r="E7" s="60" t="inlineStr">
        <is>
          <t>↑</t>
        </is>
      </c>
      <c r="F7" s="60" t="inlineStr">
        <is>
          <t>AVG</t>
        </is>
      </c>
      <c r="G7" s="74" t="n">
        <v>0.6</v>
      </c>
      <c r="H7" s="62" t="inlineStr">
        <is>
          <t>≥ 60%</t>
        </is>
      </c>
      <c r="I7" s="73" t="n"/>
      <c r="J7" s="73" t="n"/>
      <c r="K7" s="73" t="n"/>
      <c r="L7" s="73" t="n"/>
      <c r="M7" s="73" t="n"/>
      <c r="N7" s="73" t="n"/>
      <c r="O7" s="73" t="n"/>
      <c r="P7" s="73" t="n"/>
      <c r="Q7" s="73" t="n"/>
      <c r="R7" s="73" t="n"/>
      <c r="S7" s="73" t="n"/>
      <c r="T7" s="73" t="n"/>
      <c r="U7" s="59">
        <f>IF($F7="SUM",IF(COUNT($I7:$T7)=0,"",SUM($I7:$T7)),IF($F7="AVG",IFERROR(AVERAGE($I7:$T7),""),IF($F7="LAST",IFERROR(LOOKUP(2,1/($I7:$T7&lt;&gt;""),$I7:$T7),""),"")))</f>
        <v/>
      </c>
      <c r="V7" s="23">
        <f>IF($G7="","",IF($U7="","",IF($G7=0,IF($U7&lt;=0,1,0),IF($E7="↓",IFERROR($G7/$U7,0),IFERROR($U7/$G7,0)))))</f>
        <v/>
      </c>
      <c r="W7" s="17">
        <f>IF($V7="","—",IF($V7&gt;=1,"✅ محقق",IF($V7&gt;=0.85,"🟡 قريب","🔴 تحت الهدف")))</f>
        <v/>
      </c>
      <c r="X7" s="65" t="inlineStr">
        <is>
          <t>الاستدامة</t>
        </is>
      </c>
      <c r="Y7" s="22" t="inlineStr">
        <is>
          <t>منظومة التأجير</t>
        </is>
      </c>
      <c r="Z7" s="53" t="n"/>
      <c r="AA7" s="21" t="inlineStr">
        <is>
          <t>🟣 لاحق</t>
        </is>
      </c>
      <c r="AB7" s="53" t="n">
        <v>0.0625</v>
      </c>
      <c r="AC7" s="23">
        <f>IF($V7="","",$AB7*MIN($V7,1))</f>
        <v/>
      </c>
      <c r="AD7" s="74">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4">
        <f>IF(OR($AE7="",$G7=""),"",$AE7-$G7)</f>
        <v/>
      </c>
      <c r="AG7" s="17">
        <f>IF(OR($AE7="",$G7=""),"—",IF($E7="↓",IF($AE7&lt;=$G7,"🟢 على المسار",IF($AE7&lt;=$G7*1.1,"🟡 متابعة","🔴 خطر")),IF($AE7&gt;=$G7,"🟢 على المسار",IF($AE7&gt;=$G7*0.85,"🟡 متابعة","🔴 خطر"))))</f>
        <v/>
      </c>
      <c r="AH7" s="68" t="inlineStr">
        <is>
          <t>العمليات الداخلية</t>
        </is>
      </c>
    </row>
    <row r="8" ht="26" customHeight="1">
      <c r="A8" s="17" t="n">
        <v>5</v>
      </c>
      <c r="B8" s="22" t="inlineStr">
        <is>
          <t>التأجير</t>
        </is>
      </c>
      <c r="C8" s="22" t="inlineStr">
        <is>
          <t>الوحدات المؤجَّرة شهرياً</t>
        </is>
      </c>
      <c r="D8" s="60" t="inlineStr">
        <is>
          <t>وحدة</t>
        </is>
      </c>
      <c r="E8" s="60" t="inlineStr">
        <is>
          <t>↑</t>
        </is>
      </c>
      <c r="F8" s="60" t="inlineStr">
        <is>
          <t>AVG</t>
        </is>
      </c>
      <c r="G8" s="61" t="n">
        <v>68</v>
      </c>
      <c r="H8" s="62" t="inlineStr">
        <is>
          <t>68 شهرياً</t>
        </is>
      </c>
      <c r="I8" s="63" t="n"/>
      <c r="J8" s="63" t="n"/>
      <c r="K8" s="63" t="n"/>
      <c r="L8" s="63" t="n"/>
      <c r="M8" s="63" t="n"/>
      <c r="N8" s="63" t="n"/>
      <c r="O8" s="63" t="n"/>
      <c r="P8" s="63" t="n"/>
      <c r="Q8" s="63" t="n"/>
      <c r="R8" s="63" t="n"/>
      <c r="S8" s="63" t="n"/>
      <c r="T8" s="63" t="n"/>
      <c r="U8" s="64">
        <f>IF($F8="SUM",IF(COUNT($I8:$T8)=0,"",SUM($I8:$T8)),IF($F8="AVG",IFERROR(AVERAGE($I8:$T8),""),IF($F8="LAST",IFERROR(LOOKUP(2,1/($I8:$T8&lt;&gt;""),$I8:$T8),""),"")))</f>
        <v/>
      </c>
      <c r="V8" s="23">
        <f>IF($G8="","",IF($U8="","",IF($G8=0,IF($U8&lt;=0,1,0),IF($E8="↓",IFERROR($G8/$U8,0),IFERROR($U8/$G8,0)))))</f>
        <v/>
      </c>
      <c r="W8" s="17">
        <f>IF($V8="","—",IF($V8&gt;=1,"✅ محقق",IF($V8&gt;=0.85,"🟡 قريب","🔴 تحت الهدف")))</f>
        <v/>
      </c>
      <c r="X8" s="65" t="inlineStr">
        <is>
          <t>الاستدامة</t>
        </is>
      </c>
      <c r="Y8" s="22" t="inlineStr">
        <is>
          <t>منظومة التأجير</t>
        </is>
      </c>
      <c r="Z8" s="66" t="n"/>
      <c r="AA8" s="21" t="inlineStr">
        <is>
          <t>🟣 لاحق</t>
        </is>
      </c>
      <c r="AB8" s="53" t="n">
        <v>0.0625</v>
      </c>
      <c r="AC8" s="23">
        <f>IF($V8="","",$AB8*MIN($V8,1))</f>
        <v/>
      </c>
      <c r="AD8" s="61">
        <f>IF($G8="","",IF($F8="SUM",IF('لوحة الإدارة التنفيذية'!$P$2="","",$G8/12*'لوحة الإدارة التنفيذية'!$P$2),$G8))</f>
        <v/>
      </c>
      <c r="AE8" s="67">
        <f>IF($F8="SUM",IF(OR('لوحة الإدارة التنفيذية'!$P$2="",'لوحة الإدارة التنفيذية'!$P$2=0),"",IF($U8="","",$U8/'لوحة الإدارة التنفيذية'!$P$2*12)),IF($U8="","",$U8))</f>
        <v/>
      </c>
      <c r="AF8" s="61">
        <f>IF(OR($AE8="",$G8=""),"",$AE8-$G8)</f>
        <v/>
      </c>
      <c r="AG8" s="17">
        <f>IF(OR($AE8="",$G8=""),"—",IF($E8="↓",IF($AE8&lt;=$G8,"🟢 على المسار",IF($AE8&lt;=$G8*1.1,"🟡 متابعة","🔴 خطر")),IF($AE8&gt;=$G8,"🟢 على المسار",IF($AE8&gt;=$G8*0.85,"🟡 متابعة","🔴 خطر"))))</f>
        <v/>
      </c>
      <c r="AH8" s="68" t="inlineStr">
        <is>
          <t>العمليات الداخلية</t>
        </is>
      </c>
    </row>
    <row r="9" ht="26" customHeight="1">
      <c r="A9" s="17" t="n">
        <v>6</v>
      </c>
      <c r="B9" s="22" t="inlineStr">
        <is>
          <t>التأجير</t>
        </is>
      </c>
      <c r="C9" s="22" t="inlineStr">
        <is>
          <t>العملاء المحتملون (LEADS)</t>
        </is>
      </c>
      <c r="D9" s="60" t="inlineStr">
        <is>
          <t>عميل</t>
        </is>
      </c>
      <c r="E9" s="60" t="inlineStr">
        <is>
          <t>↑</t>
        </is>
      </c>
      <c r="F9" s="60" t="inlineStr">
        <is>
          <t>AVG</t>
        </is>
      </c>
      <c r="G9" s="61" t="n">
        <v>680</v>
      </c>
      <c r="H9" s="62" t="inlineStr">
        <is>
          <t>544–680</t>
        </is>
      </c>
      <c r="I9" s="63" t="n"/>
      <c r="J9" s="63" t="n"/>
      <c r="K9" s="63" t="n"/>
      <c r="L9" s="63" t="n"/>
      <c r="M9" s="63" t="n"/>
      <c r="N9" s="63" t="n"/>
      <c r="O9" s="63" t="n"/>
      <c r="P9" s="63" t="n"/>
      <c r="Q9" s="63" t="n"/>
      <c r="R9" s="63" t="n"/>
      <c r="S9" s="63" t="n"/>
      <c r="T9" s="63" t="n"/>
      <c r="U9" s="64">
        <f>IF($F9="SUM",IF(COUNT($I9:$T9)=0,"",SUM($I9:$T9)),IF($F9="AVG",IFERROR(AVERAGE($I9:$T9),""),IF($F9="LAST",IFERROR(LOOKUP(2,1/($I9:$T9&lt;&gt;""),$I9:$T9),""),"")))</f>
        <v/>
      </c>
      <c r="V9" s="23">
        <f>IF($G9="","",IF($U9="","",IF($G9=0,IF($U9&lt;=0,1,0),IF($E9="↓",IFERROR($G9/$U9,0),IFERROR($U9/$G9,0)))))</f>
        <v/>
      </c>
      <c r="W9" s="17">
        <f>IF($V9="","—",IF($V9&gt;=1,"✅ محقق",IF($V9&gt;=0.85,"🟡 قريب","🔴 تحت الهدف")))</f>
        <v/>
      </c>
      <c r="X9" s="65" t="inlineStr">
        <is>
          <t>النمو</t>
        </is>
      </c>
      <c r="Y9" s="22" t="inlineStr">
        <is>
          <t>زيادة وصول العملاء</t>
        </is>
      </c>
      <c r="Z9" s="66" t="n"/>
      <c r="AA9" s="21" t="inlineStr">
        <is>
          <t>🔵 قائد</t>
        </is>
      </c>
      <c r="AB9" s="53" t="n">
        <v>0.0625</v>
      </c>
      <c r="AC9" s="23">
        <f>IF($V9="","",$AB9*MIN($V9,1))</f>
        <v/>
      </c>
      <c r="AD9" s="61">
        <f>IF($G9="","",IF($F9="SUM",IF('لوحة الإدارة التنفيذية'!$P$2="","",$G9/12*'لوحة الإدارة التنفيذية'!$P$2),$G9))</f>
        <v/>
      </c>
      <c r="AE9" s="67">
        <f>IF($F9="SUM",IF(OR('لوحة الإدارة التنفيذية'!$P$2="",'لوحة الإدارة التنفيذية'!$P$2=0),"",IF($U9="","",$U9/'لوحة الإدارة التنفيذية'!$P$2*12)),IF($U9="","",$U9))</f>
        <v/>
      </c>
      <c r="AF9" s="61">
        <f>IF(OR($AE9="",$G9=""),"",$AE9-$G9)</f>
        <v/>
      </c>
      <c r="AG9" s="17">
        <f>IF(OR($AE9="",$G9=""),"—",IF($E9="↓",IF($AE9&lt;=$G9,"🟢 على المسار",IF($AE9&lt;=$G9*1.1,"🟡 متابعة","🔴 خطر")),IF($AE9&gt;=$G9,"🟢 على المسار",IF($AE9&gt;=$G9*0.85,"🟡 متابعة","🔴 خطر"))))</f>
        <v/>
      </c>
      <c r="AH9" s="68" t="inlineStr">
        <is>
          <t>العملاء</t>
        </is>
      </c>
    </row>
    <row r="10" ht="26" customHeight="1">
      <c r="A10" s="17" t="n">
        <v>7</v>
      </c>
      <c r="B10" s="22" t="inlineStr">
        <is>
          <t>التأجير</t>
        </is>
      </c>
      <c r="C10" s="22" t="inlineStr">
        <is>
          <t>معدل التحويل</t>
        </is>
      </c>
      <c r="D10" s="60" t="inlineStr">
        <is>
          <t>%</t>
        </is>
      </c>
      <c r="E10" s="60" t="inlineStr">
        <is>
          <t>↑</t>
        </is>
      </c>
      <c r="F10" s="60" t="inlineStr">
        <is>
          <t>AVG</t>
        </is>
      </c>
      <c r="G10" s="74" t="n">
        <v>0.2</v>
      </c>
      <c r="H10" s="62" t="inlineStr">
        <is>
          <t>15–25%</t>
        </is>
      </c>
      <c r="I10" s="73" t="n"/>
      <c r="J10" s="73" t="n"/>
      <c r="K10" s="73" t="n"/>
      <c r="L10" s="73" t="n"/>
      <c r="M10" s="73" t="n"/>
      <c r="N10" s="73" t="n"/>
      <c r="O10" s="73" t="n"/>
      <c r="P10" s="73" t="n"/>
      <c r="Q10" s="73" t="n"/>
      <c r="R10" s="73" t="n"/>
      <c r="S10" s="73" t="n"/>
      <c r="T10" s="73" t="n"/>
      <c r="U10" s="59">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is>
          <t>النمو</t>
        </is>
      </c>
      <c r="Y10" s="22" t="inlineStr">
        <is>
          <t>زيادة وصول العملاء</t>
        </is>
      </c>
      <c r="Z10" s="53" t="n"/>
      <c r="AA10" s="21" t="inlineStr">
        <is>
          <t>🔵 قائد</t>
        </is>
      </c>
      <c r="AB10" s="53" t="n">
        <v>0.0625</v>
      </c>
      <c r="AC10" s="23">
        <f>IF($V10="","",$AB10*MIN($V10,1))</f>
        <v/>
      </c>
      <c r="AD10" s="74">
        <f>IF($G10="","",IF($F10="SUM",IF('لوحة الإدارة التنفيذية'!$P$2="","",$G10/12*'لوحة الإدارة التنفيذية'!$P$2),$G10))</f>
        <v/>
      </c>
      <c r="AE10" s="23">
        <f>IF($F10="SUM",IF(OR('لوحة الإدارة التنفيذية'!$P$2="",'لوحة الإدارة التنفيذية'!$P$2=0),"",IF($U10="","",$U10/'لوحة الإدارة التنفيذية'!$P$2*12)),IF($U10="","",$U10))</f>
        <v/>
      </c>
      <c r="AF10" s="74">
        <f>IF(OR($AE10="",$G10=""),"",$AE10-$G10)</f>
        <v/>
      </c>
      <c r="AG10" s="17">
        <f>IF(OR($AE10="",$G10=""),"—",IF($E10="↓",IF($AE10&lt;=$G10,"🟢 على المسار",IF($AE10&lt;=$G10*1.1,"🟡 متابعة","🔴 خطر")),IF($AE10&gt;=$G10,"🟢 على المسار",IF($AE10&gt;=$G10*0.85,"🟡 متابعة","🔴 خطر"))))</f>
        <v/>
      </c>
      <c r="AH10" s="68" t="inlineStr">
        <is>
          <t>العمليات الداخلية</t>
        </is>
      </c>
    </row>
    <row r="11" ht="26" customHeight="1">
      <c r="A11" s="17" t="n">
        <v>8</v>
      </c>
      <c r="B11" s="22" t="inlineStr">
        <is>
          <t>التأجير</t>
        </is>
      </c>
      <c r="C11" s="22" t="inlineStr">
        <is>
          <t>زيادة عدد العلامات التجارية</t>
        </is>
      </c>
      <c r="D11" s="60" t="inlineStr">
        <is>
          <t>علامة</t>
        </is>
      </c>
      <c r="E11" s="60" t="inlineStr">
        <is>
          <t>↑</t>
        </is>
      </c>
      <c r="F11" s="60" t="inlineStr">
        <is>
          <t>LAST</t>
        </is>
      </c>
      <c r="G11" s="61" t="n">
        <v>246</v>
      </c>
      <c r="H11" s="62" t="inlineStr">
        <is>
          <t>246 علامة</t>
        </is>
      </c>
      <c r="I11" s="63" t="n"/>
      <c r="J11" s="63" t="n"/>
      <c r="K11" s="63" t="n"/>
      <c r="L11" s="63" t="n"/>
      <c r="M11" s="63" t="n"/>
      <c r="N11" s="63" t="n"/>
      <c r="O11" s="63" t="n"/>
      <c r="P11" s="63" t="n"/>
      <c r="Q11" s="63" t="n"/>
      <c r="R11" s="63" t="n"/>
      <c r="S11" s="63" t="n"/>
      <c r="T11" s="63" t="n"/>
      <c r="U11" s="64">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is>
          <t>الاستدامة</t>
        </is>
      </c>
      <c r="Y11" s="22" t="inlineStr">
        <is>
          <t>منظومة التأجير</t>
        </is>
      </c>
      <c r="Z11" s="66" t="n"/>
      <c r="AA11" s="21" t="inlineStr">
        <is>
          <t>🔵 قائد</t>
        </is>
      </c>
      <c r="AB11" s="53" t="n">
        <v>0.0625</v>
      </c>
      <c r="AC11" s="23">
        <f>IF($V11="","",$AB11*MIN($V11,1))</f>
        <v/>
      </c>
      <c r="AD11" s="61">
        <f>IF($G11="","",IF($F11="SUM",IF('لوحة الإدارة التنفيذية'!$P$2="","",$G11/12*'لوحة الإدارة التنفيذية'!$P$2),$G11))</f>
        <v/>
      </c>
      <c r="AE11" s="67">
        <f>IF($F11="SUM",IF(OR('لوحة الإدارة التنفيذية'!$P$2="",'لوحة الإدارة التنفيذية'!$P$2=0),"",IF($U11="","",$U11/'لوحة الإدارة التنفيذية'!$P$2*12)),IF($U11="","",$U11))</f>
        <v/>
      </c>
      <c r="AF11" s="61">
        <f>IF(OR($AE11="",$G11=""),"",$AE11-$G11)</f>
        <v/>
      </c>
      <c r="AG11" s="17">
        <f>IF(OR($AE11="",$G11=""),"—",IF($E11="↓",IF($AE11&lt;=$G11,"🟢 على المسار",IF($AE11&lt;=$G11*1.1,"🟡 متابعة","🔴 خطر")),IF($AE11&gt;=$G11,"🟢 على المسار",IF($AE11&gt;=$G11*0.85,"🟡 متابعة","🔴 خطر"))))</f>
        <v/>
      </c>
      <c r="AH11" s="68" t="inlineStr">
        <is>
          <t>العمليات الداخلية</t>
        </is>
      </c>
    </row>
    <row r="12" ht="26" customHeight="1">
      <c r="A12" s="17" t="n">
        <v>9</v>
      </c>
      <c r="B12" s="22" t="inlineStr">
        <is>
          <t>الإبداع والتكامل</t>
        </is>
      </c>
      <c r="C12" s="22" t="inlineStr">
        <is>
          <t>نسبة تأجير ساحة درب</t>
        </is>
      </c>
      <c r="D12" s="60" t="inlineStr">
        <is>
          <t>%</t>
        </is>
      </c>
      <c r="E12" s="60" t="inlineStr">
        <is>
          <t>↑</t>
        </is>
      </c>
      <c r="F12" s="60" t="inlineStr">
        <is>
          <t>LAST</t>
        </is>
      </c>
      <c r="G12" s="74" t="n">
        <v>0.8</v>
      </c>
      <c r="H12" s="62" t="inlineStr">
        <is>
          <t>≥ 80%</t>
        </is>
      </c>
      <c r="I12" s="73" t="n"/>
      <c r="J12" s="73" t="n"/>
      <c r="K12" s="73" t="n"/>
      <c r="L12" s="73" t="n"/>
      <c r="M12" s="73" t="n"/>
      <c r="N12" s="73" t="n"/>
      <c r="O12" s="73" t="n"/>
      <c r="P12" s="73" t="n"/>
      <c r="Q12" s="73" t="n"/>
      <c r="R12" s="73" t="n"/>
      <c r="S12" s="73" t="n"/>
      <c r="T12" s="73" t="n"/>
      <c r="U12" s="59">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is>
          <t>الابتكار</t>
        </is>
      </c>
      <c r="Y12" s="22" t="inlineStr">
        <is>
          <t>ساحات درب</t>
        </is>
      </c>
      <c r="Z12" s="53" t="n"/>
      <c r="AA12" s="21" t="inlineStr">
        <is>
          <t>🟣 لاحق</t>
        </is>
      </c>
      <c r="AB12" s="53" t="n">
        <v>0.0625</v>
      </c>
      <c r="AC12" s="23">
        <f>IF($V12="","",$AB12*MIN($V12,1))</f>
        <v/>
      </c>
      <c r="AD12" s="74">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4">
        <f>IF(OR($AE12="",$G12=""),"",$AE12-$G12)</f>
        <v/>
      </c>
      <c r="AG12" s="17">
        <f>IF(OR($AE12="",$G12=""),"—",IF($E12="↓",IF($AE12&lt;=$G12,"🟢 على المسار",IF($AE12&lt;=$G12*1.1,"🟡 متابعة","🔴 خطر")),IF($AE12&gt;=$G12,"🟢 على المسار",IF($AE12&gt;=$G12*0.85,"🟡 متابعة","🔴 خطر"))))</f>
        <v/>
      </c>
      <c r="AH12" s="68" t="inlineStr">
        <is>
          <t>العمليات الداخلية</t>
        </is>
      </c>
    </row>
    <row r="13" ht="26" customHeight="1">
      <c r="A13" s="17" t="n">
        <v>10</v>
      </c>
      <c r="B13" s="22" t="inlineStr">
        <is>
          <t>الإبداع والتكامل</t>
        </is>
      </c>
      <c r="C13" s="22" t="inlineStr">
        <is>
          <t>علامات تجارية جديدة (ساحة درب)</t>
        </is>
      </c>
      <c r="D13" s="60" t="inlineStr">
        <is>
          <t>علامة</t>
        </is>
      </c>
      <c r="E13" s="60" t="inlineStr">
        <is>
          <t>↑</t>
        </is>
      </c>
      <c r="F13" s="60" t="inlineStr">
        <is>
          <t>SUM</t>
        </is>
      </c>
      <c r="G13" s="61" t="n">
        <v>6</v>
      </c>
      <c r="H13" s="62" t="inlineStr">
        <is>
          <t>6 علامات</t>
        </is>
      </c>
      <c r="I13" s="63" t="n"/>
      <c r="J13" s="63" t="n"/>
      <c r="K13" s="63" t="n"/>
      <c r="L13" s="63" t="n"/>
      <c r="M13" s="63" t="n"/>
      <c r="N13" s="63" t="n"/>
      <c r="O13" s="63" t="n"/>
      <c r="P13" s="63" t="n"/>
      <c r="Q13" s="63" t="n"/>
      <c r="R13" s="63" t="n"/>
      <c r="S13" s="63" t="n"/>
      <c r="T13" s="63" t="n"/>
      <c r="U13" s="64">
        <f>IF($F13="SUM",IF(COUNT($I13:$T13)=0,"",SUM($I13:$T13)),IF($F13="AVG",IFERROR(AVERAGE($I13:$T13),""),IF($F13="LAST",IFERROR(LOOKUP(2,1/($I13:$T13&lt;&gt;""),$I13:$T13),""),"")))</f>
        <v/>
      </c>
      <c r="V13" s="23">
        <f>IF($G13="","",IF($U13="","",IF($G13=0,IF($U13&lt;=0,1,0),IF($E13="↓",IFERROR($G13/$U13,0),IFERROR($U13/$G13,0)))))</f>
        <v/>
      </c>
      <c r="W13" s="17">
        <f>IF($V13="","—",IF($V13&gt;=1,"✅ محقق",IF($V13&gt;=0.85,"🟡 قريب","🔴 تحت الهدف")))</f>
        <v/>
      </c>
      <c r="X13" s="65" t="inlineStr">
        <is>
          <t>الابتكار</t>
        </is>
      </c>
      <c r="Y13" s="22" t="inlineStr">
        <is>
          <t>ساحات درب</t>
        </is>
      </c>
      <c r="Z13" s="66" t="n"/>
      <c r="AA13" s="21" t="inlineStr">
        <is>
          <t>🟣 لاحق</t>
        </is>
      </c>
      <c r="AB13" s="53" t="n">
        <v>0.0625</v>
      </c>
      <c r="AC13" s="23">
        <f>IF($V13="","",$AB13*MIN($V13,1))</f>
        <v/>
      </c>
      <c r="AD13" s="61">
        <f>IF($G13="","",IF($F13="SUM",IF('لوحة الإدارة التنفيذية'!$P$2="","",$G13/12*'لوحة الإدارة التنفيذية'!$P$2),$G13))</f>
        <v/>
      </c>
      <c r="AE13" s="67">
        <f>IF($F13="SUM",IF(OR('لوحة الإدارة التنفيذية'!$P$2="",'لوحة الإدارة التنفيذية'!$P$2=0),"",IF($U13="","",$U13/'لوحة الإدارة التنفيذية'!$P$2*12)),IF($U13="","",$U13))</f>
        <v/>
      </c>
      <c r="AF13" s="61">
        <f>IF(OR($AE13="",$G13=""),"",$AE13-$G13)</f>
        <v/>
      </c>
      <c r="AG13" s="17">
        <f>IF(OR($AE13="",$G13=""),"—",IF($E13="↓",IF($AE13&lt;=$G13,"🟢 على المسار",IF($AE13&lt;=$G13*1.1,"🟡 متابعة","🔴 خطر")),IF($AE13&gt;=$G13,"🟢 على المسار",IF($AE13&gt;=$G13*0.85,"🟡 متابعة","🔴 خطر"))))</f>
        <v/>
      </c>
      <c r="AH13" s="68" t="inlineStr">
        <is>
          <t>العمليات الداخلية</t>
        </is>
      </c>
    </row>
    <row r="14" ht="26" customHeight="1">
      <c r="A14" s="17" t="n">
        <v>11</v>
      </c>
      <c r="B14" s="22" t="inlineStr">
        <is>
          <t>الإبداع والتكامل</t>
        </is>
      </c>
      <c r="C14" s="22" t="inlineStr">
        <is>
          <t>الشراكات الاستراتيجية</t>
        </is>
      </c>
      <c r="D14" s="60" t="inlineStr">
        <is>
          <t>شراكة</t>
        </is>
      </c>
      <c r="E14" s="60" t="inlineStr">
        <is>
          <t>↑</t>
        </is>
      </c>
      <c r="F14" s="60" t="inlineStr">
        <is>
          <t>SUM</t>
        </is>
      </c>
      <c r="G14" s="61" t="n">
        <v>5</v>
      </c>
      <c r="H14" s="62" t="inlineStr">
        <is>
          <t>5 شراكات</t>
        </is>
      </c>
      <c r="I14" s="63" t="n"/>
      <c r="J14" s="63" t="n"/>
      <c r="K14" s="63" t="n"/>
      <c r="L14" s="63" t="n"/>
      <c r="M14" s="63" t="n"/>
      <c r="N14" s="63" t="n"/>
      <c r="O14" s="63" t="n"/>
      <c r="P14" s="63" t="n"/>
      <c r="Q14" s="63" t="n"/>
      <c r="R14" s="63" t="n"/>
      <c r="S14" s="63" t="n"/>
      <c r="T14" s="63" t="n"/>
      <c r="U14" s="64">
        <f>IF($F14="SUM",IF(COUNT($I14:$T14)=0,"",SUM($I14:$T14)),IF($F14="AVG",IFERROR(AVERAGE($I14:$T14),""),IF($F14="LAST",IFERROR(LOOKUP(2,1/($I14:$T14&lt;&gt;""),$I14:$T14),""),"")))</f>
        <v/>
      </c>
      <c r="V14" s="23">
        <f>IF($G14="","",IF($U14="","",IF($G14=0,IF($U14&lt;=0,1,0),IF($E14="↓",IFERROR($G14/$U14,0),IFERROR($U14/$G14,0)))))</f>
        <v/>
      </c>
      <c r="W14" s="17">
        <f>IF($V14="","—",IF($V14&gt;=1,"✅ محقق",IF($V14&gt;=0.85,"🟡 قريب","🔴 تحت الهدف")))</f>
        <v/>
      </c>
      <c r="X14" s="65" t="inlineStr">
        <is>
          <t>الابتكار</t>
        </is>
      </c>
      <c r="Y14" s="22" t="inlineStr">
        <is>
          <t>إطلاق مشاريع جديدة</t>
        </is>
      </c>
      <c r="Z14" s="66" t="n"/>
      <c r="AA14" s="21" t="inlineStr">
        <is>
          <t>🟣 لاحق</t>
        </is>
      </c>
      <c r="AB14" s="53" t="n">
        <v>0.0625</v>
      </c>
      <c r="AC14" s="23">
        <f>IF($V14="","",$AB14*MIN($V14,1))</f>
        <v/>
      </c>
      <c r="AD14" s="61">
        <f>IF($G14="","",IF($F14="SUM",IF('لوحة الإدارة التنفيذية'!$P$2="","",$G14/12*'لوحة الإدارة التنفيذية'!$P$2),$G14))</f>
        <v/>
      </c>
      <c r="AE14" s="67">
        <f>IF($F14="SUM",IF(OR('لوحة الإدارة التنفيذية'!$P$2="",'لوحة الإدارة التنفيذية'!$P$2=0),"",IF($U14="","",$U14/'لوحة الإدارة التنفيذية'!$P$2*12)),IF($U14="","",$U14))</f>
        <v/>
      </c>
      <c r="AF14" s="61">
        <f>IF(OR($AE14="",$G14=""),"",$AE14-$G14)</f>
        <v/>
      </c>
      <c r="AG14" s="17">
        <f>IF(OR($AE14="",$G14=""),"—",IF($E14="↓",IF($AE14&lt;=$G14,"🟢 على المسار",IF($AE14&lt;=$G14*1.1,"🟡 متابعة","🔴 خطر")),IF($AE14&gt;=$G14,"🟢 على المسار",IF($AE14&gt;=$G14*0.85,"🟡 متابعة","🔴 خطر"))))</f>
        <v/>
      </c>
      <c r="AH14" s="68" t="inlineStr">
        <is>
          <t>التعلّم والنمو</t>
        </is>
      </c>
    </row>
    <row r="15" ht="26" customHeight="1">
      <c r="A15" s="17" t="n">
        <v>12</v>
      </c>
      <c r="B15" s="22" t="inlineStr">
        <is>
          <t>إدارة الأملاك</t>
        </is>
      </c>
      <c r="C15" s="22" t="inlineStr">
        <is>
          <t>نسبة تجديد العقود</t>
        </is>
      </c>
      <c r="D15" s="60" t="inlineStr">
        <is>
          <t>%</t>
        </is>
      </c>
      <c r="E15" s="60" t="inlineStr">
        <is>
          <t>↑</t>
        </is>
      </c>
      <c r="F15" s="60" t="inlineStr">
        <is>
          <t>AVG</t>
        </is>
      </c>
      <c r="G15" s="74" t="n">
        <v>1</v>
      </c>
      <c r="H15" s="62" t="inlineStr">
        <is>
          <t>100%</t>
        </is>
      </c>
      <c r="I15" s="73" t="n"/>
      <c r="J15" s="73" t="n"/>
      <c r="K15" s="73" t="n"/>
      <c r="L15" s="73" t="n"/>
      <c r="M15" s="73" t="n"/>
      <c r="N15" s="73" t="n"/>
      <c r="O15" s="73" t="n"/>
      <c r="P15" s="73" t="n"/>
      <c r="Q15" s="73" t="n"/>
      <c r="R15" s="73" t="n"/>
      <c r="S15" s="73" t="n"/>
      <c r="T15" s="73" t="n"/>
      <c r="U15" s="59">
        <f>IF($F15="SUM",IF(COUNT($I15:$T15)=0,"",SUM($I15:$T15)),IF($F15="AVG",IFERROR(AVERAGE($I15:$T15),""),IF($F15="LAST",IFERROR(LOOKUP(2,1/($I15:$T15&lt;&gt;""),$I15:$T15),""),"")))</f>
        <v/>
      </c>
      <c r="V15" s="23">
        <f>IF($G15="","",IF($U15="","",IF($G15=0,IF($U15&lt;=0,1,0),IF($E15="↓",IFERROR($G15/$U15,0),IFERROR($U15/$G15,0)))))</f>
        <v/>
      </c>
      <c r="W15" s="17">
        <f>IF($V15="","—",IF($V15&gt;=1,"✅ محقق",IF($V15&gt;=0.85,"🟡 قريب","🔴 تحت الهدف")))</f>
        <v/>
      </c>
      <c r="X15" s="65" t="inlineStr">
        <is>
          <t>الاستدامة</t>
        </is>
      </c>
      <c r="Y15" s="22" t="inlineStr">
        <is>
          <t>منظومة التأجير</t>
        </is>
      </c>
      <c r="Z15" s="53" t="n"/>
      <c r="AA15" s="21" t="inlineStr">
        <is>
          <t>🟣 لاحق</t>
        </is>
      </c>
      <c r="AB15" s="53" t="n">
        <v>0.0625</v>
      </c>
      <c r="AC15" s="23">
        <f>IF($V15="","",$AB15*MIN($V15,1))</f>
        <v/>
      </c>
      <c r="AD15" s="74">
        <f>IF($G15="","",IF($F15="SUM",IF('لوحة الإدارة التنفيذية'!$P$2="","",$G15/12*'لوحة الإدارة التنفيذية'!$P$2),$G15))</f>
        <v/>
      </c>
      <c r="AE15" s="23">
        <f>IF($F15="SUM",IF(OR('لوحة الإدارة التنفيذية'!$P$2="",'لوحة الإدارة التنفيذية'!$P$2=0),"",IF($U15="","",$U15/'لوحة الإدارة التنفيذية'!$P$2*12)),IF($U15="","",$U15))</f>
        <v/>
      </c>
      <c r="AF15" s="74">
        <f>IF(OR($AE15="",$G15=""),"",$AE15-$G15)</f>
        <v/>
      </c>
      <c r="AG15" s="17">
        <f>IF(OR($AE15="",$G15=""),"—",IF($E15="↓",IF($AE15&lt;=$G15,"🟢 على المسار",IF($AE15&lt;=$G15*1.1,"🟡 متابعة","🔴 خطر")),IF($AE15&gt;=$G15,"🟢 على المسار",IF($AE15&gt;=$G15*0.85,"🟡 متابعة","🔴 خطر"))))</f>
        <v/>
      </c>
      <c r="AH15" s="68" t="inlineStr">
        <is>
          <t>العمليات الداخلية</t>
        </is>
      </c>
    </row>
    <row r="16" ht="26" customHeight="1">
      <c r="A16" s="17" t="n">
        <v>13</v>
      </c>
      <c r="B16" s="22" t="inlineStr">
        <is>
          <t>تنسيق المشاريع</t>
        </is>
      </c>
      <c r="C16" s="22" t="inlineStr">
        <is>
          <t>متوسط زمن تسليم الوحدة</t>
        </is>
      </c>
      <c r="D16" s="60" t="inlineStr">
        <is>
          <t>يوم</t>
        </is>
      </c>
      <c r="E16" s="60" t="inlineStr">
        <is>
          <t>↓</t>
        </is>
      </c>
      <c r="F16" s="60" t="inlineStr">
        <is>
          <t>AVG</t>
        </is>
      </c>
      <c r="G16" s="75" t="n">
        <v>7</v>
      </c>
      <c r="H16" s="62" t="inlineStr">
        <is>
          <t>≤ 7 أيام</t>
        </is>
      </c>
      <c r="I16" s="76" t="n"/>
      <c r="J16" s="76" t="n"/>
      <c r="K16" s="76" t="n"/>
      <c r="L16" s="76" t="n"/>
      <c r="M16" s="76" t="n"/>
      <c r="N16" s="76" t="n"/>
      <c r="O16" s="76" t="n"/>
      <c r="P16" s="76" t="n"/>
      <c r="Q16" s="76" t="n"/>
      <c r="R16" s="76" t="n"/>
      <c r="S16" s="76" t="n"/>
      <c r="T16" s="76" t="n"/>
      <c r="U16" s="77">
        <f>IF($F16="SUM",IF(COUNT($I16:$T16)=0,"",SUM($I16:$T16)),IF($F16="AVG",IFERROR(AVERAGE($I16:$T16),""),IF($F16="LAST",IFERROR(LOOKUP(2,1/($I16:$T16&lt;&gt;""),$I16:$T16),""),"")))</f>
        <v/>
      </c>
      <c r="V16" s="23">
        <f>IF($G16="","",IF($U16="","",IF($G16=0,IF($U16&lt;=0,1,0),IF($E16="↓",IFERROR($G16/$U16,0),IFERROR($U16/$G16,0)))))</f>
        <v/>
      </c>
      <c r="W16" s="17">
        <f>IF($V16="","—",IF($V16&gt;=1,"✅ محقق",IF($V16&gt;=0.85,"🟡 قريب","🔴 تحت الهدف")))</f>
        <v/>
      </c>
      <c r="X16" s="65" t="inlineStr">
        <is>
          <t>الاستدامة</t>
        </is>
      </c>
      <c r="Y16" s="22" t="inlineStr">
        <is>
          <t>جودة التشغيل</t>
        </is>
      </c>
      <c r="Z16" s="78" t="n"/>
      <c r="AA16" s="21" t="inlineStr">
        <is>
          <t>🟣 لاحق</t>
        </is>
      </c>
      <c r="AB16" s="53" t="n">
        <v>0.0625</v>
      </c>
      <c r="AC16" s="23">
        <f>IF($V16="","",$AB16*MIN($V16,1))</f>
        <v/>
      </c>
      <c r="AD16" s="75">
        <f>IF($G16="","",IF($F16="SUM",IF('لوحة الإدارة التنفيذية'!$P$2="","",$G16/12*'لوحة الإدارة التنفيذية'!$P$2),$G16))</f>
        <v/>
      </c>
      <c r="AE16" s="79">
        <f>IF($F16="SUM",IF(OR('لوحة الإدارة التنفيذية'!$P$2="",'لوحة الإدارة التنفيذية'!$P$2=0),"",IF($U16="","",$U16/'لوحة الإدارة التنفيذية'!$P$2*12)),IF($U16="","",$U16))</f>
        <v/>
      </c>
      <c r="AF16" s="75">
        <f>IF(OR($AE16="",$G16=""),"",$AE16-$G16)</f>
        <v/>
      </c>
      <c r="AG16" s="17">
        <f>IF(OR($AE16="",$G16=""),"—",IF($E16="↓",IF($AE16&lt;=$G16,"🟢 على المسار",IF($AE16&lt;=$G16*1.1,"🟡 متابعة","🔴 خطر")),IF($AE16&gt;=$G16,"🟢 على المسار",IF($AE16&gt;=$G16*0.85,"🟡 متابعة","🔴 خطر"))))</f>
        <v/>
      </c>
      <c r="AH16" s="68" t="inlineStr">
        <is>
          <t>العمليات الداخلية</t>
        </is>
      </c>
    </row>
    <row r="17" ht="26" customHeight="1">
      <c r="A17" s="17" t="n">
        <v>14</v>
      </c>
      <c r="B17" s="22" t="inlineStr">
        <is>
          <t>تنسيق المشاريع</t>
        </is>
      </c>
      <c r="C17" s="22" t="inlineStr">
        <is>
          <t>نسبة إغلاق الطلبات خلال 3 أسابيع</t>
        </is>
      </c>
      <c r="D17" s="60" t="inlineStr">
        <is>
          <t>%</t>
        </is>
      </c>
      <c r="E17" s="60" t="inlineStr">
        <is>
          <t>↑</t>
        </is>
      </c>
      <c r="F17" s="60" t="inlineStr">
        <is>
          <t>AVG</t>
        </is>
      </c>
      <c r="G17" s="74" t="n">
        <v>0.9</v>
      </c>
      <c r="H17" s="62" t="inlineStr">
        <is>
          <t>&gt; 90%</t>
        </is>
      </c>
      <c r="I17" s="73" t="n"/>
      <c r="J17" s="73" t="n"/>
      <c r="K17" s="73" t="n"/>
      <c r="L17" s="73" t="n"/>
      <c r="M17" s="73" t="n"/>
      <c r="N17" s="73" t="n"/>
      <c r="O17" s="73" t="n"/>
      <c r="P17" s="73" t="n"/>
      <c r="Q17" s="73" t="n"/>
      <c r="R17" s="73" t="n"/>
      <c r="S17" s="73" t="n"/>
      <c r="T17" s="73" t="n"/>
      <c r="U17" s="59">
        <f>IF($F17="SUM",IF(COUNT($I17:$T17)=0,"",SUM($I17:$T17)),IF($F17="AVG",IFERROR(AVERAGE($I17:$T17),""),IF($F17="LAST",IFERROR(LOOKUP(2,1/($I17:$T17&lt;&gt;""),$I17:$T17),""),"")))</f>
        <v/>
      </c>
      <c r="V17" s="23">
        <f>IF($G17="","",IF($U17="","",IF($G17=0,IF($U17&lt;=0,1,0),IF($E17="↓",IFERROR($G17/$U17,0),IFERROR($U17/$G17,0)))))</f>
        <v/>
      </c>
      <c r="W17" s="17">
        <f>IF($V17="","—",IF($V17&gt;=1,"✅ محقق",IF($V17&gt;=0.85,"🟡 قريب","🔴 تحت الهدف")))</f>
        <v/>
      </c>
      <c r="X17" s="65" t="inlineStr">
        <is>
          <t>الاستدامة</t>
        </is>
      </c>
      <c r="Y17" s="22" t="inlineStr">
        <is>
          <t>جودة التشغيل</t>
        </is>
      </c>
      <c r="Z17" s="53" t="n"/>
      <c r="AA17" s="21" t="inlineStr">
        <is>
          <t>🔵 قائد</t>
        </is>
      </c>
      <c r="AB17" s="53" t="n">
        <v>0.0625</v>
      </c>
      <c r="AC17" s="23">
        <f>IF($V17="","",$AB17*MIN($V17,1))</f>
        <v/>
      </c>
      <c r="AD17" s="74">
        <f>IF($G17="","",IF($F17="SUM",IF('لوحة الإدارة التنفيذية'!$P$2="","",$G17/12*'لوحة الإدارة التنفيذية'!$P$2),$G17))</f>
        <v/>
      </c>
      <c r="AE17" s="23">
        <f>IF($F17="SUM",IF(OR('لوحة الإدارة التنفيذية'!$P$2="",'لوحة الإدارة التنفيذية'!$P$2=0),"",IF($U17="","",$U17/'لوحة الإدارة التنفيذية'!$P$2*12)),IF($U17="","",$U17))</f>
        <v/>
      </c>
      <c r="AF17" s="74">
        <f>IF(OR($AE17="",$G17=""),"",$AE17-$G17)</f>
        <v/>
      </c>
      <c r="AG17" s="17">
        <f>IF(OR($AE17="",$G17=""),"—",IF($E17="↓",IF($AE17&lt;=$G17,"🟢 على المسار",IF($AE17&lt;=$G17*1.1,"🟡 متابعة","🔴 خطر")),IF($AE17&gt;=$G17,"🟢 على المسار",IF($AE17&gt;=$G17*0.85,"🟡 متابعة","🔴 خطر"))))</f>
        <v/>
      </c>
      <c r="AH17" s="68" t="inlineStr">
        <is>
          <t>العمليات الداخلية</t>
        </is>
      </c>
    </row>
    <row r="18" ht="26" customHeight="1">
      <c r="A18" s="17" t="n">
        <v>15</v>
      </c>
      <c r="B18" s="22" t="inlineStr">
        <is>
          <t>الجودة والاستدامة</t>
        </is>
      </c>
      <c r="C18" s="22" t="inlineStr">
        <is>
          <t>استدامة المستأجرين (لم يُنهَ مبكراً)</t>
        </is>
      </c>
      <c r="D18" s="60" t="inlineStr">
        <is>
          <t>%</t>
        </is>
      </c>
      <c r="E18" s="60" t="inlineStr">
        <is>
          <t>↑</t>
        </is>
      </c>
      <c r="F18" s="60" t="inlineStr">
        <is>
          <t>AVG</t>
        </is>
      </c>
      <c r="G18" s="74" t="n">
        <v>0.8</v>
      </c>
      <c r="H18" s="62" t="inlineStr">
        <is>
          <t>≥ 80%</t>
        </is>
      </c>
      <c r="I18" s="73" t="n"/>
      <c r="J18" s="73" t="n"/>
      <c r="K18" s="73" t="n"/>
      <c r="L18" s="73" t="n"/>
      <c r="M18" s="73" t="n"/>
      <c r="N18" s="73" t="n"/>
      <c r="O18" s="73" t="n"/>
      <c r="P18" s="73" t="n"/>
      <c r="Q18" s="73" t="n"/>
      <c r="R18" s="73" t="n"/>
      <c r="S18" s="73" t="n"/>
      <c r="T18" s="73" t="n"/>
      <c r="U18" s="59">
        <f>IF($F18="SUM",IF(COUNT($I18:$T18)=0,"",SUM($I18:$T18)),IF($F18="AVG",IFERROR(AVERAGE($I18:$T18),""),IF($F18="LAST",IFERROR(LOOKUP(2,1/($I18:$T18&lt;&gt;""),$I18:$T18),""),"")))</f>
        <v/>
      </c>
      <c r="V18" s="23">
        <f>IF($G18="","",IF($U18="","",IF($G18=0,IF($U18&lt;=0,1,0),IF($E18="↓",IFERROR($G18/$U18,0),IFERROR($U18/$G18,0)))))</f>
        <v/>
      </c>
      <c r="W18" s="17">
        <f>IF($V18="","—",IF($V18&gt;=1,"✅ محقق",IF($V18&gt;=0.85,"🟡 قريب","🔴 تحت الهدف")))</f>
        <v/>
      </c>
      <c r="X18" s="65" t="inlineStr">
        <is>
          <t>الاستدامة</t>
        </is>
      </c>
      <c r="Y18" s="22" t="inlineStr">
        <is>
          <t>تعزيز تجربة العملاء</t>
        </is>
      </c>
      <c r="Z18" s="53" t="n"/>
      <c r="AA18" s="21" t="inlineStr">
        <is>
          <t>🟣 لاحق</t>
        </is>
      </c>
      <c r="AB18" s="53" t="n">
        <v>0.0625</v>
      </c>
      <c r="AC18" s="23">
        <f>IF($V18="","",$AB18*MIN($V18,1))</f>
        <v/>
      </c>
      <c r="AD18" s="74">
        <f>IF($G18="","",IF($F18="SUM",IF('لوحة الإدارة التنفيذية'!$P$2="","",$G18/12*'لوحة الإدارة التنفيذية'!$P$2),$G18))</f>
        <v/>
      </c>
      <c r="AE18" s="23">
        <f>IF($F18="SUM",IF(OR('لوحة الإدارة التنفيذية'!$P$2="",'لوحة الإدارة التنفيذية'!$P$2=0),"",IF($U18="","",$U18/'لوحة الإدارة التنفيذية'!$P$2*12)),IF($U18="","",$U18))</f>
        <v/>
      </c>
      <c r="AF18" s="74">
        <f>IF(OR($AE18="",$G18=""),"",$AE18-$G18)</f>
        <v/>
      </c>
      <c r="AG18" s="17">
        <f>IF(OR($AE18="",$G18=""),"—",IF($E18="↓",IF($AE18&lt;=$G18,"🟢 على المسار",IF($AE18&lt;=$G18*1.1,"🟡 متابعة","🔴 خطر")),IF($AE18&gt;=$G18,"🟢 على المسار",IF($AE18&gt;=$G18*0.85,"🟡 متابعة","🔴 خطر"))))</f>
        <v/>
      </c>
      <c r="AH18" s="68" t="inlineStr">
        <is>
          <t>العملاء</t>
        </is>
      </c>
    </row>
    <row r="19" ht="26" customHeight="1">
      <c r="A19" s="17" t="n">
        <v>16</v>
      </c>
      <c r="B19" s="22" t="inlineStr">
        <is>
          <t>الجودة والاستدامة</t>
        </is>
      </c>
      <c r="C19" s="22" t="inlineStr">
        <is>
          <t>معدل رضا المستأجرين (استبيان ربعي)</t>
        </is>
      </c>
      <c r="D19" s="60" t="inlineStr">
        <is>
          <t>%</t>
        </is>
      </c>
      <c r="E19" s="60" t="inlineStr">
        <is>
          <t>↑</t>
        </is>
      </c>
      <c r="F19" s="60" t="inlineStr">
        <is>
          <t>AVG</t>
        </is>
      </c>
      <c r="G19" s="74" t="n">
        <v>0.9</v>
      </c>
      <c r="H19" s="62" t="inlineStr">
        <is>
          <t>≥ 90%</t>
        </is>
      </c>
      <c r="I19" s="73" t="n"/>
      <c r="J19" s="73" t="n"/>
      <c r="K19" s="73" t="n"/>
      <c r="L19" s="73" t="n"/>
      <c r="M19" s="73" t="n"/>
      <c r="N19" s="73" t="n"/>
      <c r="O19" s="73" t="n"/>
      <c r="P19" s="73" t="n"/>
      <c r="Q19" s="73" t="n"/>
      <c r="R19" s="73" t="n"/>
      <c r="S19" s="73" t="n"/>
      <c r="T19" s="73" t="n"/>
      <c r="U19" s="59">
        <f>IF($F19="SUM",IF(COUNT($I19:$T19)=0,"",SUM($I19:$T19)),IF($F19="AVG",IFERROR(AVERAGE($I19:$T19),""),IF($F19="LAST",IFERROR(LOOKUP(2,1/($I19:$T19&lt;&gt;""),$I19:$T19),""),"")))</f>
        <v/>
      </c>
      <c r="V19" s="23">
        <f>IF($G19="","",IF($U19="","",IF($G19=0,IF($U19&lt;=0,1,0),IF($E19="↓",IFERROR($G19/$U19,0),IFERROR($U19/$G19,0)))))</f>
        <v/>
      </c>
      <c r="W19" s="17">
        <f>IF($V19="","—",IF($V19&gt;=1,"✅ محقق",IF($V19&gt;=0.85,"🟡 قريب","🔴 تحت الهدف")))</f>
        <v/>
      </c>
      <c r="X19" s="65" t="inlineStr">
        <is>
          <t>الاستدامة</t>
        </is>
      </c>
      <c r="Y19" s="22" t="inlineStr">
        <is>
          <t>تعزيز تجربة العملاء</t>
        </is>
      </c>
      <c r="Z19" s="53" t="n"/>
      <c r="AA19" s="21" t="inlineStr">
        <is>
          <t>🟣 لاحق</t>
        </is>
      </c>
      <c r="AB19" s="53" t="n">
        <v>0.0625</v>
      </c>
      <c r="AC19" s="23">
        <f>IF($V19="","",$AB19*MIN($V19,1))</f>
        <v/>
      </c>
      <c r="AD19" s="74">
        <f>IF($G19="","",IF($F19="SUM",IF('لوحة الإدارة التنفيذية'!$P$2="","",$G19/12*'لوحة الإدارة التنفيذية'!$P$2),$G19))</f>
        <v/>
      </c>
      <c r="AE19" s="23">
        <f>IF($F19="SUM",IF(OR('لوحة الإدارة التنفيذية'!$P$2="",'لوحة الإدارة التنفيذية'!$P$2=0),"",IF($U19="","",$U19/'لوحة الإدارة التنفيذية'!$P$2*12)),IF($U19="","",$U19))</f>
        <v/>
      </c>
      <c r="AF19" s="74">
        <f>IF(OR($AE19="",$G19=""),"",$AE19-$G19)</f>
        <v/>
      </c>
      <c r="AG19" s="17">
        <f>IF(OR($AE19="",$G19=""),"—",IF($E19="↓",IF($AE19&lt;=$G19,"🟢 على المسار",IF($AE19&lt;=$G19*1.1,"🟡 متابعة","🔴 خطر")),IF($AE19&gt;=$G19,"🟢 على المسار",IF($AE19&gt;=$G19*0.85,"🟡 متابعة","🔴 خطر"))))</f>
        <v/>
      </c>
      <c r="AH19" s="68" t="inlineStr">
        <is>
          <t>العملاء</t>
        </is>
      </c>
    </row>
    <row r="20">
      <c r="A20" s="80" t="inlineStr"/>
      <c r="B20" s="81" t="inlineStr">
        <is>
          <t>الإجمالي الموزون للإدارة</t>
        </is>
      </c>
      <c r="AB20" s="82">
        <f>SUM(AB4:AB19)</f>
        <v/>
      </c>
      <c r="AC20" s="83">
        <f>SUM(AC4:AC19)</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A1:AH1"/>
    <mergeCell ref="B20:AA20"/>
  </mergeCells>
  <dataValidations count="1">
    <dataValidation sqref="I4 I5 I6 I7 I8 I9 I10 I11 I12 I13 I14 I15 I16 I17 I18 I19 J4 J5 J6 J7 J8 J9 J10 J11 J12 J13 J14 J15 J16 J17 J18 J19 K4 K5 K6 K7 K8 K9 K10 K11 K12 K13 K14 K15 K16 K17 K18 K19 L4 L5 L6 L7 L8 L9 L10 L11 L12 L13 L14 L15 L16 L17 L18 L19 M4 M5 M6 M7 M8 M9 M10 M11 M12 M13 M14 M15 M16 M17 M18 M19 N4 N5 N6 N7 N8 N9 N10 N11 N12 N13 N14 N15 N16 N17 N18 N19 O4 O5 O6 O7 O8 O9 O10 O11 O12 O13 O14 O15 O16 O17 O18 O19 P4 P5 P6 P7 P8 P9 P10 P11 P12 P13 P14 P15 P16 P17 P18 P19 Q4 Q5 Q6 Q7 Q8 Q9 Q10 Q11 Q12 Q13 Q14 Q15 Q16 Q17 Q18 Q19 R4 R5 R6 R7 R8 R9 R10 R11 R12 R13 R14 R15 R16 R17 R18 R19 S4 S5 S6 S7 S8 S9 S10 S11 S12 S13 S14 S15 S16 S17 S18 S19 T4 T5 T6 T7 T8 T9 T10 T11 T12 T13 T14 T15 T16 T17 T18 T19 Z4 Z5 Z6 Z7 Z8 Z9 Z10 Z11 Z12 Z13 Z14 Z15 Z16 Z17 Z18 Z19"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23"/>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4" t="inlineStr">
        <is>
          <t>إدارة العقار · نموذج تقييم الأداء — مدير إدارة العقار</t>
        </is>
      </c>
    </row>
    <row r="2">
      <c r="A2" s="50" t="inlineStr">
        <is>
          <t>الكود: RM-01  ·  ربع سنوي  ·  🟩 أدخل «نسبة التحقيق» فقط — الدرجة تُحسب تلقائياً</t>
        </is>
      </c>
    </row>
    <row r="3">
      <c r="A3" s="85" t="inlineStr">
        <is>
          <t>اسم الموظف:</t>
        </is>
      </c>
      <c r="B3" s="51" t="inlineStr"/>
      <c r="C3" s="86" t="n"/>
      <c r="D3" s="85" t="inlineStr">
        <is>
          <t>القسم: العقار</t>
        </is>
      </c>
      <c r="E3" s="51" t="inlineStr"/>
      <c r="F3" s="87" t="n"/>
      <c r="G3" s="86" t="n"/>
    </row>
    <row r="4">
      <c r="A4" s="85" t="inlineStr">
        <is>
          <t>المدير المباشر:</t>
        </is>
      </c>
      <c r="B4" s="51" t="inlineStr"/>
      <c r="C4" s="86" t="n"/>
      <c r="D4" s="85" t="inlineStr">
        <is>
          <t>الربع / السنة:</t>
        </is>
      </c>
      <c r="E4" s="51" t="inlineStr"/>
      <c r="F4" s="87" t="n"/>
      <c r="G4" s="86" t="n"/>
    </row>
    <row r="5">
      <c r="A5" s="85" t="inlineStr">
        <is>
          <t>تاريخ التقييم:</t>
        </is>
      </c>
      <c r="B5" s="51" t="inlineStr"/>
      <c r="C5" s="86" t="n"/>
      <c r="D5" s="85" t="inlineStr">
        <is>
          <t>حالة التقييم:</t>
        </is>
      </c>
      <c r="E5" s="51" t="inlineStr"/>
      <c r="F5" s="87" t="n"/>
      <c r="G5" s="86"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نمو الإيرادات الإيجارية</t>
        </is>
      </c>
      <c r="C7" s="74" t="n">
        <v>0.15</v>
      </c>
      <c r="D7" s="88" t="inlineStr">
        <is>
          <t>&gt; 8% سنوياً</t>
        </is>
      </c>
      <c r="E7" s="53" t="n"/>
      <c r="F7" s="23">
        <f>C7*MIN(E7,1)</f>
        <v/>
      </c>
      <c r="G7" s="51" t="inlineStr"/>
    </row>
    <row r="8" ht="28" customHeight="1">
      <c r="A8" s="17" t="n">
        <v>2</v>
      </c>
      <c r="B8" s="22" t="inlineStr">
        <is>
          <t>نسبة الإشغال</t>
        </is>
      </c>
      <c r="C8" s="74" t="n">
        <v>0.2</v>
      </c>
      <c r="D8" s="88" t="inlineStr">
        <is>
          <t>≥ 60%</t>
        </is>
      </c>
      <c r="E8" s="53" t="n"/>
      <c r="F8" s="23">
        <f>C8*MIN(E8,1)</f>
        <v/>
      </c>
      <c r="G8" s="51" t="inlineStr"/>
    </row>
    <row r="9" ht="28" customHeight="1">
      <c r="A9" s="17" t="n">
        <v>3</v>
      </c>
      <c r="B9" s="22" t="inlineStr">
        <is>
          <t>نسبة التحصيل</t>
        </is>
      </c>
      <c r="C9" s="74" t="n">
        <v>0.15</v>
      </c>
      <c r="D9" s="88" t="inlineStr">
        <is>
          <t>&gt; 95%</t>
        </is>
      </c>
      <c r="E9" s="53" t="n"/>
      <c r="F9" s="23">
        <f>C9*MIN(E9,1)</f>
        <v/>
      </c>
      <c r="G9" s="51" t="inlineStr"/>
    </row>
    <row r="10" ht="28" customHeight="1">
      <c r="A10" s="17" t="n">
        <v>4</v>
      </c>
      <c r="B10" s="22" t="inlineStr">
        <is>
          <t>الوحدات المؤجَّرة شهرياً</t>
        </is>
      </c>
      <c r="C10" s="74" t="n">
        <v>0.15</v>
      </c>
      <c r="D10" s="88" t="inlineStr">
        <is>
          <t>68 وحدة/شهر</t>
        </is>
      </c>
      <c r="E10" s="53" t="n"/>
      <c r="F10" s="23">
        <f>C10*MIN(E10,1)</f>
        <v/>
      </c>
      <c r="G10" s="51" t="inlineStr"/>
    </row>
    <row r="11" ht="28" customHeight="1">
      <c r="A11" s="17" t="n">
        <v>5</v>
      </c>
      <c r="B11" s="22" t="inlineStr">
        <is>
          <t>نسبة تأجير ساحة درب</t>
        </is>
      </c>
      <c r="C11" s="74" t="n">
        <v>0.1</v>
      </c>
      <c r="D11" s="88" t="inlineStr">
        <is>
          <t>≥ 80%</t>
        </is>
      </c>
      <c r="E11" s="53" t="n"/>
      <c r="F11" s="23">
        <f>C11*MIN(E11,1)</f>
        <v/>
      </c>
      <c r="G11" s="51" t="inlineStr"/>
    </row>
    <row r="12" ht="28" customHeight="1">
      <c r="A12" s="17" t="n">
        <v>6</v>
      </c>
      <c r="B12" s="22" t="inlineStr">
        <is>
          <t>نسبة تجديد العقود</t>
        </is>
      </c>
      <c r="C12" s="74" t="n">
        <v>0.1</v>
      </c>
      <c r="D12" s="88" t="inlineStr">
        <is>
          <t>100%</t>
        </is>
      </c>
      <c r="E12" s="53" t="n"/>
      <c r="F12" s="23">
        <f>C12*MIN(E12,1)</f>
        <v/>
      </c>
      <c r="G12" s="51" t="inlineStr"/>
    </row>
    <row r="13" ht="28" customHeight="1">
      <c r="A13" s="17" t="n">
        <v>7</v>
      </c>
      <c r="B13" s="22" t="inlineStr">
        <is>
          <t>استدامة المستأجرين</t>
        </is>
      </c>
      <c r="C13" s="74" t="n">
        <v>0.1</v>
      </c>
      <c r="D13" s="88" t="inlineStr">
        <is>
          <t>≥ 80%</t>
        </is>
      </c>
      <c r="E13" s="53" t="n"/>
      <c r="F13" s="23">
        <f>C13*MIN(E13,1)</f>
        <v/>
      </c>
      <c r="G13" s="51" t="inlineStr"/>
    </row>
    <row r="14" ht="28" customHeight="1">
      <c r="A14" s="17" t="n">
        <v>8</v>
      </c>
      <c r="B14" s="22" t="inlineStr">
        <is>
          <t>رضا المستأجرين</t>
        </is>
      </c>
      <c r="C14" s="74" t="n">
        <v>0.05</v>
      </c>
      <c r="D14" s="88" t="inlineStr">
        <is>
          <t>≥ 90%</t>
        </is>
      </c>
      <c r="E14" s="53" t="n"/>
      <c r="F14" s="23">
        <f>C14*MIN(E14,1)</f>
        <v/>
      </c>
      <c r="G14" s="51" t="inlineStr"/>
    </row>
    <row r="15">
      <c r="A15" s="80" t="inlineStr"/>
      <c r="B15" s="81" t="inlineStr">
        <is>
          <t>المجموع الكلي</t>
        </is>
      </c>
      <c r="C15" s="89">
        <f>SUM(C7:C14)</f>
        <v/>
      </c>
      <c r="D15" s="80" t="inlineStr"/>
      <c r="E15" s="81" t="inlineStr">
        <is>
          <t>الدرجة:</t>
        </is>
      </c>
      <c r="F15" s="90">
        <f>SUM(F7:F14)</f>
        <v/>
      </c>
      <c r="G15" s="80" t="inlineStr"/>
    </row>
    <row r="16">
      <c r="B16" s="5" t="inlineStr">
        <is>
          <t>التقدير</t>
        </is>
      </c>
      <c r="C16" s="26">
        <f>IF(F15&gt;=0.9,"ممتاز",IF(F15&gt;=0.8,"جيد جداً",IF(F15&gt;=0.7,"جيد",IF(F15&gt;=0.6,"مقبول","ضعيف"))))</f>
        <v/>
      </c>
      <c r="D16" s="43" t="n"/>
    </row>
    <row r="18">
      <c r="B18" s="5" t="inlineStr">
        <is>
          <t>سلّم التقييم</t>
        </is>
      </c>
      <c r="C18" s="42" t="n"/>
      <c r="D18" s="43" t="n"/>
    </row>
    <row r="19">
      <c r="B19" s="17" t="inlineStr">
        <is>
          <t>ممتاز</t>
        </is>
      </c>
      <c r="C19" s="21" t="inlineStr">
        <is>
          <t>90% – 100%</t>
        </is>
      </c>
      <c r="D19" s="22" t="inlineStr">
        <is>
          <t>تجاوز المستهدف</t>
        </is>
      </c>
    </row>
    <row r="20">
      <c r="B20" s="17" t="inlineStr">
        <is>
          <t>جيد جداً</t>
        </is>
      </c>
      <c r="C20" s="21" t="inlineStr">
        <is>
          <t>80% – 89%</t>
        </is>
      </c>
      <c r="D20" s="22" t="inlineStr">
        <is>
          <t>حقق المستهدف تقريباً</t>
        </is>
      </c>
    </row>
    <row r="21">
      <c r="B21" s="17" t="inlineStr">
        <is>
          <t>جيد</t>
        </is>
      </c>
      <c r="C21" s="21" t="inlineStr">
        <is>
          <t>70% – 79%</t>
        </is>
      </c>
      <c r="D21" s="22" t="inlineStr">
        <is>
          <t>حقق معظم المستهدفات</t>
        </is>
      </c>
    </row>
    <row r="22">
      <c r="B22" s="17" t="inlineStr">
        <is>
          <t>مقبول</t>
        </is>
      </c>
      <c r="C22" s="21" t="inlineStr">
        <is>
          <t>60% – 69%</t>
        </is>
      </c>
      <c r="D22" s="22" t="inlineStr">
        <is>
          <t>يحتاج تحسين</t>
        </is>
      </c>
    </row>
    <row r="23">
      <c r="B23" s="17" t="inlineStr">
        <is>
          <t>ضعيف</t>
        </is>
      </c>
      <c r="C23" s="21" t="inlineStr">
        <is>
          <t>أقل من 60%</t>
        </is>
      </c>
      <c r="D23"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6:D16"/>
    <mergeCell ref="B3:C3"/>
    <mergeCell ref="B5:C5"/>
    <mergeCell ref="E5:G5"/>
    <mergeCell ref="B18:D18"/>
    <mergeCell ref="A2:G2"/>
    <mergeCell ref="E4:G4"/>
    <mergeCell ref="E3:G3"/>
    <mergeCell ref="B4:C4"/>
  </mergeCells>
  <dataValidations count="1">
    <dataValidation sqref="E7 E8 E9 E10 E11 E12 E13 E14"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AH12"/>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إدارة التقنية الرقمية · مؤشرات الأداء 2026  (8 مؤشرات) — تانكي والتحول التقني</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منتج تانكي</t>
        </is>
      </c>
      <c r="C4" s="22" t="inlineStr">
        <is>
          <t>عدد مستخدمي تطبيق «تانكي» النشطين شهرياً (MAU)</t>
        </is>
      </c>
      <c r="D4" s="60" t="inlineStr">
        <is>
          <t>مستخدم</t>
        </is>
      </c>
      <c r="E4" s="60" t="inlineStr">
        <is>
          <t>↑</t>
        </is>
      </c>
      <c r="F4" s="60" t="inlineStr">
        <is>
          <t>LAST</t>
        </is>
      </c>
      <c r="G4" s="60" t="inlineStr"/>
      <c r="H4" s="62" t="inlineStr">
        <is>
          <t>يُحدد لاحقاً</t>
        </is>
      </c>
      <c r="I4" s="63" t="n"/>
      <c r="J4" s="63" t="n"/>
      <c r="K4" s="63" t="n"/>
      <c r="L4" s="63" t="n"/>
      <c r="M4" s="63" t="n"/>
      <c r="N4" s="63" t="n"/>
      <c r="O4" s="63" t="n"/>
      <c r="P4" s="63" t="n"/>
      <c r="Q4" s="63" t="n"/>
      <c r="R4" s="63" t="n"/>
      <c r="S4" s="63" t="n"/>
      <c r="T4" s="63" t="n"/>
      <c r="U4" s="64">
        <f>IF($F4="SUM",IF(COUNT($I4:$T4)=0,"",SUM($I4:$T4)),IF($F4="AVG",IFERROR(AVERAGE($I4:$T4),""),IF($F4="LAST",IFERROR(LOOKUP(2,1/($I4:$T4&lt;&gt;""),$I4:$T4),""),"")))</f>
        <v/>
      </c>
      <c r="V4" s="23">
        <f>IF($G4="","",IF($U4="","",IF($G4=0,IF($U4&lt;=0,1,0),IF($E4="↓",IFERROR($G4/$U4,0),IFERROR($U4/$G4,0)))))</f>
        <v/>
      </c>
      <c r="W4" s="17">
        <f>IF($V4="","—",IF($V4&gt;=1,"✅ محقق",IF($V4&gt;=0.85,"🟡 قريب","🔴 تحت الهدف")))</f>
        <v/>
      </c>
      <c r="X4" s="65" t="inlineStr">
        <is>
          <t>الابتكار</t>
        </is>
      </c>
      <c r="Y4" s="22" t="inlineStr">
        <is>
          <t>تطبيق «تانكي»</t>
        </is>
      </c>
      <c r="Z4" s="66" t="n"/>
      <c r="AA4" s="21" t="inlineStr">
        <is>
          <t>🔵 قائد</t>
        </is>
      </c>
      <c r="AB4" s="53" t="n">
        <v>0.125</v>
      </c>
      <c r="AC4" s="23">
        <f>IF($V4="","",$AB4*MIN($V4,1))</f>
        <v/>
      </c>
      <c r="AD4" s="61">
        <f>IF($G4="","",IF($F4="SUM",IF('لوحة الإدارة التنفيذية'!$P$2="","",$G4/12*'لوحة الإدارة التنفيذية'!$P$2),$G4))</f>
        <v/>
      </c>
      <c r="AE4" s="67">
        <f>IF($F4="SUM",IF(OR('لوحة الإدارة التنفيذية'!$P$2="",'لوحة الإدارة التنفيذية'!$P$2=0),"",IF($U4="","",$U4/'لوحة الإدارة التنفيذية'!$P$2*12)),IF($U4="","",$U4))</f>
        <v/>
      </c>
      <c r="AF4" s="61">
        <f>IF(OR($AE4="",$G4=""),"",$AE4-$G4)</f>
        <v/>
      </c>
      <c r="AG4" s="17">
        <f>IF(OR($AE4="",$G4=""),"—",IF($E4="↓",IF($AE4&lt;=$G4,"🟢 على المسار",IF($AE4&lt;=$G4*1.1,"🟡 متابعة","🔴 خطر")),IF($AE4&gt;=$G4,"🟢 على المسار",IF($AE4&gt;=$G4*0.85,"🟡 متابعة","🔴 خطر"))))</f>
        <v/>
      </c>
      <c r="AH4" s="68" t="inlineStr">
        <is>
          <t>التعلّم والنمو</t>
        </is>
      </c>
    </row>
    <row r="5" ht="26" customHeight="1">
      <c r="A5" s="17" t="n">
        <v>2</v>
      </c>
      <c r="B5" s="22" t="inlineStr">
        <is>
          <t>منتج تانكي</t>
        </is>
      </c>
      <c r="C5" s="22" t="inlineStr">
        <is>
          <t>نمو تنزيلات تطبيق تانكي</t>
        </is>
      </c>
      <c r="D5" s="60" t="inlineStr">
        <is>
          <t>%</t>
        </is>
      </c>
      <c r="E5" s="60" t="inlineStr">
        <is>
          <t>↑</t>
        </is>
      </c>
      <c r="F5" s="60" t="inlineStr">
        <is>
          <t>AVG</t>
        </is>
      </c>
      <c r="G5" s="60" t="inlineStr"/>
      <c r="H5" s="62" t="inlineStr">
        <is>
          <t>يُحدد لاحقاً</t>
        </is>
      </c>
      <c r="I5" s="73" t="n"/>
      <c r="J5" s="73" t="n"/>
      <c r="K5" s="73" t="n"/>
      <c r="L5" s="73" t="n"/>
      <c r="M5" s="73" t="n"/>
      <c r="N5" s="73" t="n"/>
      <c r="O5" s="73" t="n"/>
      <c r="P5" s="73" t="n"/>
      <c r="Q5" s="73" t="n"/>
      <c r="R5" s="73" t="n"/>
      <c r="S5" s="73" t="n"/>
      <c r="T5" s="73" t="n"/>
      <c r="U5" s="59">
        <f>IF($F5="SUM",IF(COUNT($I5:$T5)=0,"",SUM($I5:$T5)),IF($F5="AVG",IFERROR(AVERAGE($I5:$T5),""),IF($F5="LAST",IFERROR(LOOKUP(2,1/($I5:$T5&lt;&gt;""),$I5:$T5),""),"")))</f>
        <v/>
      </c>
      <c r="V5" s="23">
        <f>IF($G5="","",IF($U5="","",IF($G5=0,IF($U5&lt;=0,1,0),IF($E5="↓",IFERROR($G5/$U5,0),IFERROR($U5/$G5,0)))))</f>
        <v/>
      </c>
      <c r="W5" s="17">
        <f>IF($V5="","—",IF($V5&gt;=1,"✅ محقق",IF($V5&gt;=0.85,"🟡 قريب","🔴 تحت الهدف")))</f>
        <v/>
      </c>
      <c r="X5" s="65" t="inlineStr">
        <is>
          <t>الابتكار</t>
        </is>
      </c>
      <c r="Y5" s="22" t="inlineStr">
        <is>
          <t>تطبيق «تانكي»</t>
        </is>
      </c>
      <c r="Z5" s="53" t="n"/>
      <c r="AA5" s="21" t="inlineStr">
        <is>
          <t>🔵 قائد</t>
        </is>
      </c>
      <c r="AB5" s="53" t="n">
        <v>0.125</v>
      </c>
      <c r="AC5" s="23">
        <f>IF($V5="","",$AB5*MIN($V5,1))</f>
        <v/>
      </c>
      <c r="AD5" s="74">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74">
        <f>IF(OR($AE5="",$G5=""),"",$AE5-$G5)</f>
        <v/>
      </c>
      <c r="AG5" s="17">
        <f>IF(OR($AE5="",$G5=""),"—",IF($E5="↓",IF($AE5&lt;=$G5,"🟢 على المسار",IF($AE5&lt;=$G5*1.1,"🟡 متابعة","🔴 خطر")),IF($AE5&gt;=$G5,"🟢 على المسار",IF($AE5&gt;=$G5*0.85,"🟡 متابعة","🔴 خطر"))))</f>
        <v/>
      </c>
      <c r="AH5" s="68" t="inlineStr">
        <is>
          <t>التعلّم والنمو</t>
        </is>
      </c>
    </row>
    <row r="6" ht="26" customHeight="1">
      <c r="A6" s="17" t="n">
        <v>3</v>
      </c>
      <c r="B6" s="22" t="inlineStr">
        <is>
          <t>منتج تانكي</t>
        </is>
      </c>
      <c r="C6" s="22" t="inlineStr">
        <is>
          <t>نسبة المعاملات الرقمية عبر تانكي</t>
        </is>
      </c>
      <c r="D6" s="60" t="inlineStr">
        <is>
          <t>%</t>
        </is>
      </c>
      <c r="E6" s="60" t="inlineStr">
        <is>
          <t>↑</t>
        </is>
      </c>
      <c r="F6" s="60" t="inlineStr">
        <is>
          <t>AVG</t>
        </is>
      </c>
      <c r="G6" s="60" t="inlineStr"/>
      <c r="H6" s="62" t="inlineStr">
        <is>
          <t>يُحدد لاحقاً</t>
        </is>
      </c>
      <c r="I6" s="73" t="n"/>
      <c r="J6" s="73" t="n"/>
      <c r="K6" s="73" t="n"/>
      <c r="L6" s="73" t="n"/>
      <c r="M6" s="73" t="n"/>
      <c r="N6" s="73" t="n"/>
      <c r="O6" s="73" t="n"/>
      <c r="P6" s="73" t="n"/>
      <c r="Q6" s="73" t="n"/>
      <c r="R6" s="73" t="n"/>
      <c r="S6" s="73" t="n"/>
      <c r="T6" s="73" t="n"/>
      <c r="U6" s="59">
        <f>IF($F6="SUM",IF(COUNT($I6:$T6)=0,"",SUM($I6:$T6)),IF($F6="AVG",IFERROR(AVERAGE($I6:$T6),""),IF($F6="LAST",IFERROR(LOOKUP(2,1/($I6:$T6&lt;&gt;""),$I6:$T6),""),"")))</f>
        <v/>
      </c>
      <c r="V6" s="23">
        <f>IF($G6="","",IF($U6="","",IF($G6=0,IF($U6&lt;=0,1,0),IF($E6="↓",IFERROR($G6/$U6,0),IFERROR($U6/$G6,0)))))</f>
        <v/>
      </c>
      <c r="W6" s="17">
        <f>IF($V6="","—",IF($V6&gt;=1,"✅ محقق",IF($V6&gt;=0.85,"🟡 قريب","🔴 تحت الهدف")))</f>
        <v/>
      </c>
      <c r="X6" s="65" t="inlineStr">
        <is>
          <t>الابتكار</t>
        </is>
      </c>
      <c r="Y6" s="22" t="inlineStr">
        <is>
          <t>تطبيق «تانكي»</t>
        </is>
      </c>
      <c r="Z6" s="53" t="n"/>
      <c r="AA6" s="21" t="inlineStr">
        <is>
          <t>🟣 لاحق</t>
        </is>
      </c>
      <c r="AB6" s="53" t="n">
        <v>0.125</v>
      </c>
      <c r="AC6" s="23">
        <f>IF($V6="","",$AB6*MIN($V6,1))</f>
        <v/>
      </c>
      <c r="AD6" s="74">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74">
        <f>IF(OR($AE6="",$G6=""),"",$AE6-$G6)</f>
        <v/>
      </c>
      <c r="AG6" s="17">
        <f>IF(OR($AE6="",$G6=""),"—",IF($E6="↓",IF($AE6&lt;=$G6,"🟢 على المسار",IF($AE6&lt;=$G6*1.1,"🟡 متابعة","🔴 خطر")),IF($AE6&gt;=$G6,"🟢 على المسار",IF($AE6&gt;=$G6*0.85,"🟡 متابعة","🔴 خطر"))))</f>
        <v/>
      </c>
      <c r="AH6" s="68" t="inlineStr">
        <is>
          <t>التعلّم والنمو</t>
        </is>
      </c>
    </row>
    <row r="7" ht="26" customHeight="1">
      <c r="A7" s="17" t="n">
        <v>4</v>
      </c>
      <c r="B7" s="22" t="inlineStr">
        <is>
          <t>منتج تانكي</t>
        </is>
      </c>
      <c r="C7" s="22" t="inlineStr">
        <is>
          <t>معدل رضا مستخدمي تطبيق تانكي</t>
        </is>
      </c>
      <c r="D7" s="60" t="inlineStr">
        <is>
          <t>نجمة/5</t>
        </is>
      </c>
      <c r="E7" s="60" t="inlineStr">
        <is>
          <t>↑</t>
        </is>
      </c>
      <c r="F7" s="60" t="inlineStr">
        <is>
          <t>AVG</t>
        </is>
      </c>
      <c r="G7" s="75" t="n">
        <v>4.5</v>
      </c>
      <c r="H7" s="62" t="inlineStr">
        <is>
          <t>≥ 4.5</t>
        </is>
      </c>
      <c r="I7" s="76" t="n"/>
      <c r="J7" s="76" t="n"/>
      <c r="K7" s="76" t="n"/>
      <c r="L7" s="76" t="n"/>
      <c r="M7" s="76" t="n"/>
      <c r="N7" s="76" t="n"/>
      <c r="O7" s="76" t="n"/>
      <c r="P7" s="76" t="n"/>
      <c r="Q7" s="76" t="n"/>
      <c r="R7" s="76" t="n"/>
      <c r="S7" s="76" t="n"/>
      <c r="T7" s="76" t="n"/>
      <c r="U7" s="77">
        <f>IF($F7="SUM",IF(COUNT($I7:$T7)=0,"",SUM($I7:$T7)),IF($F7="AVG",IFERROR(AVERAGE($I7:$T7),""),IF($F7="LAST",IFERROR(LOOKUP(2,1/($I7:$T7&lt;&gt;""),$I7:$T7),""),"")))</f>
        <v/>
      </c>
      <c r="V7" s="23">
        <f>IF($G7="","",IF($U7="","",IF($G7=0,IF($U7&lt;=0,1,0),IF($E7="↓",IFERROR($G7/$U7,0),IFERROR($U7/$G7,0)))))</f>
        <v/>
      </c>
      <c r="W7" s="17">
        <f>IF($V7="","—",IF($V7&gt;=1,"✅ محقق",IF($V7&gt;=0.85,"🟡 قريب","🔴 تحت الهدف")))</f>
        <v/>
      </c>
      <c r="X7" s="65" t="inlineStr">
        <is>
          <t>الابتكار</t>
        </is>
      </c>
      <c r="Y7" s="22" t="inlineStr">
        <is>
          <t>تطبيق «تانكي»</t>
        </is>
      </c>
      <c r="Z7" s="78" t="n"/>
      <c r="AA7" s="21" t="inlineStr">
        <is>
          <t>🟣 لاحق</t>
        </is>
      </c>
      <c r="AB7" s="53" t="n">
        <v>0.125</v>
      </c>
      <c r="AC7" s="23">
        <f>IF($V7="","",$AB7*MIN($V7,1))</f>
        <v/>
      </c>
      <c r="AD7" s="75">
        <f>IF($G7="","",IF($F7="SUM",IF('لوحة الإدارة التنفيذية'!$P$2="","",$G7/12*'لوحة الإدارة التنفيذية'!$P$2),$G7))</f>
        <v/>
      </c>
      <c r="AE7" s="79">
        <f>IF($F7="SUM",IF(OR('لوحة الإدارة التنفيذية'!$P$2="",'لوحة الإدارة التنفيذية'!$P$2=0),"",IF($U7="","",$U7/'لوحة الإدارة التنفيذية'!$P$2*12)),IF($U7="","",$U7))</f>
        <v/>
      </c>
      <c r="AF7" s="75">
        <f>IF(OR($AE7="",$G7=""),"",$AE7-$G7)</f>
        <v/>
      </c>
      <c r="AG7" s="17">
        <f>IF(OR($AE7="",$G7=""),"—",IF($E7="↓",IF($AE7&lt;=$G7,"🟢 على المسار",IF($AE7&lt;=$G7*1.1,"🟡 متابعة","🔴 خطر")),IF($AE7&gt;=$G7,"🟢 على المسار",IF($AE7&gt;=$G7*0.85,"🟡 متابعة","🔴 خطر"))))</f>
        <v/>
      </c>
      <c r="AH7" s="68" t="inlineStr">
        <is>
          <t>التعلّم والنمو</t>
        </is>
      </c>
    </row>
    <row r="8" ht="26" customHeight="1">
      <c r="A8" s="17" t="n">
        <v>5</v>
      </c>
      <c r="B8" s="22" t="inlineStr">
        <is>
          <t>التحول التقني</t>
        </is>
      </c>
      <c r="C8" s="22" t="inlineStr">
        <is>
          <t>نسبة أتمتة العمليات الأساسية (شركة)</t>
        </is>
      </c>
      <c r="D8" s="60" t="inlineStr">
        <is>
          <t>%</t>
        </is>
      </c>
      <c r="E8" s="60" t="inlineStr">
        <is>
          <t>↑</t>
        </is>
      </c>
      <c r="F8" s="60" t="inlineStr">
        <is>
          <t>LAST</t>
        </is>
      </c>
      <c r="G8" s="60" t="inlineStr"/>
      <c r="H8" s="62" t="inlineStr">
        <is>
          <t>يُحدد لاحقاً</t>
        </is>
      </c>
      <c r="I8" s="73" t="n"/>
      <c r="J8" s="73" t="n"/>
      <c r="K8" s="73" t="n"/>
      <c r="L8" s="73" t="n"/>
      <c r="M8" s="73" t="n"/>
      <c r="N8" s="73" t="n"/>
      <c r="O8" s="73" t="n"/>
      <c r="P8" s="73" t="n"/>
      <c r="Q8" s="73" t="n"/>
      <c r="R8" s="73" t="n"/>
      <c r="S8" s="73" t="n"/>
      <c r="T8" s="73" t="n"/>
      <c r="U8" s="59">
        <f>IF($F8="SUM",IF(COUNT($I8:$T8)=0,"",SUM($I8:$T8)),IF($F8="AVG",IFERROR(AVERAGE($I8:$T8),""),IF($F8="LAST",IFERROR(LOOKUP(2,1/($I8:$T8&lt;&gt;""),$I8:$T8),""),"")))</f>
        <v/>
      </c>
      <c r="V8" s="23">
        <f>IF($G8="","",IF($U8="","",IF($G8=0,IF($U8&lt;=0,1,0),IF($E8="↓",IFERROR($G8/$U8,0),IFERROR($U8/$G8,0)))))</f>
        <v/>
      </c>
      <c r="W8" s="17">
        <f>IF($V8="","—",IF($V8&gt;=1,"✅ محقق",IF($V8&gt;=0.85,"🟡 قريب","🔴 تحت الهدف")))</f>
        <v/>
      </c>
      <c r="X8" s="65" t="inlineStr">
        <is>
          <t>الابتكار</t>
        </is>
      </c>
      <c r="Y8" s="22" t="inlineStr">
        <is>
          <t>التحول التقني</t>
        </is>
      </c>
      <c r="Z8" s="53" t="n"/>
      <c r="AA8" s="21" t="inlineStr">
        <is>
          <t>🟣 لاحق</t>
        </is>
      </c>
      <c r="AB8" s="53" t="n">
        <v>0.125</v>
      </c>
      <c r="AC8" s="23">
        <f>IF($V8="","",$AB8*MIN($V8,1))</f>
        <v/>
      </c>
      <c r="AD8" s="74">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74">
        <f>IF(OR($AE8="",$G8=""),"",$AE8-$G8)</f>
        <v/>
      </c>
      <c r="AG8" s="17">
        <f>IF(OR($AE8="",$G8=""),"—",IF($E8="↓",IF($AE8&lt;=$G8,"🟢 على المسار",IF($AE8&lt;=$G8*1.1,"🟡 متابعة","🔴 خطر")),IF($AE8&gt;=$G8,"🟢 على المسار",IF($AE8&gt;=$G8*0.85,"🟡 متابعة","🔴 خطر"))))</f>
        <v/>
      </c>
      <c r="AH8" s="68" t="inlineStr">
        <is>
          <t>التعلّم والنمو</t>
        </is>
      </c>
    </row>
    <row r="9" ht="26" customHeight="1">
      <c r="A9" s="17" t="n">
        <v>6</v>
      </c>
      <c r="B9" s="22" t="inlineStr">
        <is>
          <t>التحول التقني</t>
        </is>
      </c>
      <c r="C9" s="22" t="inlineStr">
        <is>
          <t>نسبة جاهزية الأنظمة (Uptime)</t>
        </is>
      </c>
      <c r="D9" s="60" t="inlineStr">
        <is>
          <t>%</t>
        </is>
      </c>
      <c r="E9" s="60" t="inlineStr">
        <is>
          <t>↑</t>
        </is>
      </c>
      <c r="F9" s="60" t="inlineStr">
        <is>
          <t>AVG</t>
        </is>
      </c>
      <c r="G9" s="74" t="n">
        <v>0.995</v>
      </c>
      <c r="H9" s="62" t="inlineStr">
        <is>
          <t>≥ 99.5%</t>
        </is>
      </c>
      <c r="I9" s="73" t="n"/>
      <c r="J9" s="73" t="n"/>
      <c r="K9" s="73" t="n"/>
      <c r="L9" s="73" t="n"/>
      <c r="M9" s="73" t="n"/>
      <c r="N9" s="73" t="n"/>
      <c r="O9" s="73" t="n"/>
      <c r="P9" s="73" t="n"/>
      <c r="Q9" s="73" t="n"/>
      <c r="R9" s="73" t="n"/>
      <c r="S9" s="73" t="n"/>
      <c r="T9" s="73" t="n"/>
      <c r="U9" s="59">
        <f>IF($F9="SUM",IF(COUNT($I9:$T9)=0,"",SUM($I9:$T9)),IF($F9="AVG",IFERROR(AVERAGE($I9:$T9),""),IF($F9="LAST",IFERROR(LOOKUP(2,1/($I9:$T9&lt;&gt;""),$I9:$T9),""),"")))</f>
        <v/>
      </c>
      <c r="V9" s="23">
        <f>IF($G9="","",IF($U9="","",IF($G9=0,IF($U9&lt;=0,1,0),IF($E9="↓",IFERROR($G9/$U9,0),IFERROR($U9/$G9,0)))))</f>
        <v/>
      </c>
      <c r="W9" s="17">
        <f>IF($V9="","—",IF($V9&gt;=1,"✅ محقق",IF($V9&gt;=0.85,"🟡 قريب","🔴 تحت الهدف")))</f>
        <v/>
      </c>
      <c r="X9" s="65" t="inlineStr">
        <is>
          <t>الابتكار</t>
        </is>
      </c>
      <c r="Y9" s="22" t="inlineStr">
        <is>
          <t>التحول التقني</t>
        </is>
      </c>
      <c r="Z9" s="53" t="n"/>
      <c r="AA9" s="21" t="inlineStr">
        <is>
          <t>🟣 لاحق</t>
        </is>
      </c>
      <c r="AB9" s="53" t="n">
        <v>0.125</v>
      </c>
      <c r="AC9" s="23">
        <f>IF($V9="","",$AB9*MIN($V9,1))</f>
        <v/>
      </c>
      <c r="AD9" s="74">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4">
        <f>IF(OR($AE9="",$G9=""),"",$AE9-$G9)</f>
        <v/>
      </c>
      <c r="AG9" s="17">
        <f>IF(OR($AE9="",$G9=""),"—",IF($E9="↓",IF($AE9&lt;=$G9,"🟢 على المسار",IF($AE9&lt;=$G9*1.1,"🟡 متابعة","🔴 خطر")),IF($AE9&gt;=$G9,"🟢 على المسار",IF($AE9&gt;=$G9*0.85,"🟡 متابعة","🔴 خطر"))))</f>
        <v/>
      </c>
      <c r="AH9" s="68" t="inlineStr">
        <is>
          <t>العمليات الداخلية</t>
        </is>
      </c>
    </row>
    <row r="10" ht="26" customHeight="1">
      <c r="A10" s="17" t="n">
        <v>7</v>
      </c>
      <c r="B10" s="22" t="inlineStr">
        <is>
          <t>التحول التقني</t>
        </is>
      </c>
      <c r="C10" s="22" t="inlineStr">
        <is>
          <t>متوسط زمن حل أعطال الأنظمة</t>
        </is>
      </c>
      <c r="D10" s="60" t="inlineStr">
        <is>
          <t>ساعة</t>
        </is>
      </c>
      <c r="E10" s="60" t="inlineStr">
        <is>
          <t>↓</t>
        </is>
      </c>
      <c r="F10" s="60" t="inlineStr">
        <is>
          <t>AVG</t>
        </is>
      </c>
      <c r="G10" s="75" t="n">
        <v>4</v>
      </c>
      <c r="H10" s="62" t="inlineStr">
        <is>
          <t>≤ 4 ساعات</t>
        </is>
      </c>
      <c r="I10" s="76" t="n"/>
      <c r="J10" s="76" t="n"/>
      <c r="K10" s="76" t="n"/>
      <c r="L10" s="76" t="n"/>
      <c r="M10" s="76" t="n"/>
      <c r="N10" s="76" t="n"/>
      <c r="O10" s="76" t="n"/>
      <c r="P10" s="76" t="n"/>
      <c r="Q10" s="76" t="n"/>
      <c r="R10" s="76" t="n"/>
      <c r="S10" s="76" t="n"/>
      <c r="T10" s="76" t="n"/>
      <c r="U10" s="77">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is>
          <t>الابتكار</t>
        </is>
      </c>
      <c r="Y10" s="22" t="inlineStr">
        <is>
          <t>التحول التقني</t>
        </is>
      </c>
      <c r="Z10" s="78" t="n"/>
      <c r="AA10" s="21" t="inlineStr">
        <is>
          <t>🟣 لاحق</t>
        </is>
      </c>
      <c r="AB10" s="53" t="n">
        <v>0.125</v>
      </c>
      <c r="AC10" s="23">
        <f>IF($V10="","",$AB10*MIN($V10,1))</f>
        <v/>
      </c>
      <c r="AD10" s="75">
        <f>IF($G10="","",IF($F10="SUM",IF('لوحة الإدارة التنفيذية'!$P$2="","",$G10/12*'لوحة الإدارة التنفيذية'!$P$2),$G10))</f>
        <v/>
      </c>
      <c r="AE10" s="79">
        <f>IF($F10="SUM",IF(OR('لوحة الإدارة التنفيذية'!$P$2="",'لوحة الإدارة التنفيذية'!$P$2=0),"",IF($U10="","",$U10/'لوحة الإدارة التنفيذية'!$P$2*12)),IF($U10="","",$U10))</f>
        <v/>
      </c>
      <c r="AF10" s="75">
        <f>IF(OR($AE10="",$G10=""),"",$AE10-$G10)</f>
        <v/>
      </c>
      <c r="AG10" s="17">
        <f>IF(OR($AE10="",$G10=""),"—",IF($E10="↓",IF($AE10&lt;=$G10,"🟢 على المسار",IF($AE10&lt;=$G10*1.1,"🟡 متابعة","🔴 خطر")),IF($AE10&gt;=$G10,"🟢 على المسار",IF($AE10&gt;=$G10*0.85,"🟡 متابعة","🔴 خطر"))))</f>
        <v/>
      </c>
      <c r="AH10" s="68" t="inlineStr">
        <is>
          <t>العمليات الداخلية</t>
        </is>
      </c>
    </row>
    <row r="11" ht="26" customHeight="1">
      <c r="A11" s="17" t="n">
        <v>8</v>
      </c>
      <c r="B11" s="22" t="inlineStr">
        <is>
          <t>التحول التقني</t>
        </is>
      </c>
      <c r="C11" s="22" t="inlineStr">
        <is>
          <t>نسبة المشاريع التقنية المنجزة في الوقت</t>
        </is>
      </c>
      <c r="D11" s="60" t="inlineStr">
        <is>
          <t>%</t>
        </is>
      </c>
      <c r="E11" s="60" t="inlineStr">
        <is>
          <t>↑</t>
        </is>
      </c>
      <c r="F11" s="60" t="inlineStr">
        <is>
          <t>AVG</t>
        </is>
      </c>
      <c r="G11" s="74" t="n">
        <v>0.9</v>
      </c>
      <c r="H11" s="62" t="inlineStr">
        <is>
          <t>≥ 90%</t>
        </is>
      </c>
      <c r="I11" s="73" t="n"/>
      <c r="J11" s="73" t="n"/>
      <c r="K11" s="73" t="n"/>
      <c r="L11" s="73" t="n"/>
      <c r="M11" s="73" t="n"/>
      <c r="N11" s="73" t="n"/>
      <c r="O11" s="73" t="n"/>
      <c r="P11" s="73" t="n"/>
      <c r="Q11" s="73" t="n"/>
      <c r="R11" s="73" t="n"/>
      <c r="S11" s="73" t="n"/>
      <c r="T11" s="73" t="n"/>
      <c r="U11" s="59">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is>
          <t>الابتكار</t>
        </is>
      </c>
      <c r="Y11" s="22" t="inlineStr">
        <is>
          <t>التحول التقني</t>
        </is>
      </c>
      <c r="Z11" s="53" t="n"/>
      <c r="AA11" s="21" t="inlineStr">
        <is>
          <t>🟣 لاحق</t>
        </is>
      </c>
      <c r="AB11" s="53" t="n">
        <v>0.125</v>
      </c>
      <c r="AC11" s="23">
        <f>IF($V11="","",$AB11*MIN($V11,1))</f>
        <v/>
      </c>
      <c r="AD11" s="74">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74">
        <f>IF(OR($AE11="",$G11=""),"",$AE11-$G11)</f>
        <v/>
      </c>
      <c r="AG11" s="17">
        <f>IF(OR($AE11="",$G11=""),"—",IF($E11="↓",IF($AE11&lt;=$G11,"🟢 على المسار",IF($AE11&lt;=$G11*1.1,"🟡 متابعة","🔴 خطر")),IF($AE11&gt;=$G11,"🟢 على المسار",IF($AE11&gt;=$G11*0.85,"🟡 متابعة","🔴 خطر"))))</f>
        <v/>
      </c>
      <c r="AH11" s="68" t="inlineStr">
        <is>
          <t>العمليات الداخلية</t>
        </is>
      </c>
    </row>
    <row r="12">
      <c r="A12" s="80" t="inlineStr"/>
      <c r="B12" s="81" t="inlineStr">
        <is>
          <t>الإجمالي الموزون للإدارة</t>
        </is>
      </c>
      <c r="AB12" s="82">
        <f>SUM(AB4:AB11)</f>
        <v/>
      </c>
      <c r="AC12" s="83">
        <f>SUM(AC4:AC11)</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A1:AH1"/>
    <mergeCell ref="B12:AA12"/>
  </mergeCells>
  <dataValidations count="1">
    <dataValidation sqref="I4 I5 I6 I7 I8 I9 I10 I11 J4 J5 J6 J7 J8 J9 J10 J11 K4 K5 K6 K7 K8 K9 K10 K11 L4 L5 L6 L7 L8 L9 L10 L11 M4 M5 M6 M7 M8 M9 M10 M11 N4 N5 N6 N7 N8 N9 N10 N11 O4 O5 O6 O7 O8 O9 O10 O11 P4 P5 P6 P7 P8 P9 P10 P11 Q4 Q5 Q6 Q7 Q8 Q9 Q10 Q11 R4 R5 R6 R7 R8 R9 R10 R11 S4 S5 S6 S7 S8 S9 S10 S11 T4 T5 T6 T7 T8 T9 T10 T11 Z4 Z5 Z6 Z7 Z8 Z9 Z10 Z11"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G22"/>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4" t="inlineStr">
        <is>
          <t>إدارة التقنية الرقمية · نموذج تقييم الأداء — مدير إدارة التقنية الرقمية</t>
        </is>
      </c>
    </row>
    <row r="2">
      <c r="A2" s="50" t="inlineStr">
        <is>
          <t>الكود: DM-01  ·  ربع سنوي  ·  🟩 أدخل «نسبة التحقيق» فقط — الدرجة تُحسب تلقائياً</t>
        </is>
      </c>
    </row>
    <row r="3">
      <c r="A3" s="85" t="inlineStr">
        <is>
          <t>اسم الموظف:</t>
        </is>
      </c>
      <c r="B3" s="51" t="inlineStr"/>
      <c r="C3" s="86" t="n"/>
      <c r="D3" s="85" t="inlineStr">
        <is>
          <t>القسم: التقنية الرقمية</t>
        </is>
      </c>
      <c r="E3" s="51" t="inlineStr"/>
      <c r="F3" s="87" t="n"/>
      <c r="G3" s="86" t="n"/>
    </row>
    <row r="4">
      <c r="A4" s="85" t="inlineStr">
        <is>
          <t>المدير المباشر:</t>
        </is>
      </c>
      <c r="B4" s="51" t="inlineStr"/>
      <c r="C4" s="86" t="n"/>
      <c r="D4" s="85" t="inlineStr">
        <is>
          <t>الربع / السنة:</t>
        </is>
      </c>
      <c r="E4" s="51" t="inlineStr"/>
      <c r="F4" s="87" t="n"/>
      <c r="G4" s="86" t="n"/>
    </row>
    <row r="5">
      <c r="A5" s="85" t="inlineStr">
        <is>
          <t>تاريخ التقييم:</t>
        </is>
      </c>
      <c r="B5" s="51" t="inlineStr"/>
      <c r="C5" s="86" t="n"/>
      <c r="D5" s="85" t="inlineStr">
        <is>
          <t>حالة التقييم:</t>
        </is>
      </c>
      <c r="E5" s="51" t="inlineStr"/>
      <c r="F5" s="87" t="n"/>
      <c r="G5" s="86"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مستخدمو تطبيق تانكي (MAU)</t>
        </is>
      </c>
      <c r="C7" s="74" t="n">
        <v>0.2</v>
      </c>
      <c r="D7" s="88" t="inlineStr">
        <is>
          <t>مستهدف تصاعدي</t>
        </is>
      </c>
      <c r="E7" s="53" t="n"/>
      <c r="F7" s="23">
        <f>C7*MIN(E7,1)</f>
        <v/>
      </c>
      <c r="G7" s="51" t="inlineStr"/>
    </row>
    <row r="8" ht="28" customHeight="1">
      <c r="A8" s="17" t="n">
        <v>2</v>
      </c>
      <c r="B8" s="22" t="inlineStr">
        <is>
          <t>نسبة المعاملات الرقمية</t>
        </is>
      </c>
      <c r="C8" s="74" t="n">
        <v>0.15</v>
      </c>
      <c r="D8" s="88" t="inlineStr">
        <is>
          <t>تصاعدي</t>
        </is>
      </c>
      <c r="E8" s="53" t="n"/>
      <c r="F8" s="23">
        <f>C8*MIN(E8,1)</f>
        <v/>
      </c>
      <c r="G8" s="51" t="inlineStr"/>
    </row>
    <row r="9" ht="28" customHeight="1">
      <c r="A9" s="17" t="n">
        <v>3</v>
      </c>
      <c r="B9" s="22" t="inlineStr">
        <is>
          <t>نسبة الأتمتة على مستوى الشركة</t>
        </is>
      </c>
      <c r="C9" s="74" t="n">
        <v>0.2</v>
      </c>
      <c r="D9" s="88" t="inlineStr">
        <is>
          <t>≥ 90%</t>
        </is>
      </c>
      <c r="E9" s="53" t="n"/>
      <c r="F9" s="23">
        <f>C9*MIN(E9,1)</f>
        <v/>
      </c>
      <c r="G9" s="51" t="inlineStr"/>
    </row>
    <row r="10" ht="28" customHeight="1">
      <c r="A10" s="17" t="n">
        <v>4</v>
      </c>
      <c r="B10" s="22" t="inlineStr">
        <is>
          <t>جاهزية الأنظمة (Uptime)</t>
        </is>
      </c>
      <c r="C10" s="74" t="n">
        <v>0.15</v>
      </c>
      <c r="D10" s="88" t="inlineStr">
        <is>
          <t>≥ 99.5%</t>
        </is>
      </c>
      <c r="E10" s="53" t="n"/>
      <c r="F10" s="23">
        <f>C10*MIN(E10,1)</f>
        <v/>
      </c>
      <c r="G10" s="51" t="inlineStr"/>
    </row>
    <row r="11" ht="28" customHeight="1">
      <c r="A11" s="17" t="n">
        <v>5</v>
      </c>
      <c r="B11" s="22" t="inlineStr">
        <is>
          <t>متوسط زمن حل الأعطال</t>
        </is>
      </c>
      <c r="C11" s="74" t="n">
        <v>0.1</v>
      </c>
      <c r="D11" s="88" t="inlineStr">
        <is>
          <t>≤ 4 ساعات</t>
        </is>
      </c>
      <c r="E11" s="53" t="n"/>
      <c r="F11" s="23">
        <f>C11*MIN(E11,1)</f>
        <v/>
      </c>
      <c r="G11" s="51" t="inlineStr"/>
    </row>
    <row r="12" ht="28" customHeight="1">
      <c r="A12" s="17" t="n">
        <v>6</v>
      </c>
      <c r="B12" s="22" t="inlineStr">
        <is>
          <t>المشاريع التقنية المنجزة في الوقت</t>
        </is>
      </c>
      <c r="C12" s="74" t="n">
        <v>0.15</v>
      </c>
      <c r="D12" s="88" t="inlineStr">
        <is>
          <t>≥ 90%</t>
        </is>
      </c>
      <c r="E12" s="53" t="n"/>
      <c r="F12" s="23">
        <f>C12*MIN(E12,1)</f>
        <v/>
      </c>
      <c r="G12" s="51" t="inlineStr"/>
    </row>
    <row r="13" ht="28" customHeight="1">
      <c r="A13" s="17" t="n">
        <v>7</v>
      </c>
      <c r="B13" s="22" t="inlineStr">
        <is>
          <t>رضا المستخدمين عن الأنظمة</t>
        </is>
      </c>
      <c r="C13" s="74" t="n">
        <v>0.05</v>
      </c>
      <c r="D13" s="88" t="inlineStr">
        <is>
          <t>≥ 4.5</t>
        </is>
      </c>
      <c r="E13" s="53" t="n"/>
      <c r="F13" s="23">
        <f>C13*MIN(E13,1)</f>
        <v/>
      </c>
      <c r="G13" s="51" t="inlineStr"/>
    </row>
    <row r="14">
      <c r="A14" s="80" t="inlineStr"/>
      <c r="B14" s="81" t="inlineStr">
        <is>
          <t>المجموع الكلي</t>
        </is>
      </c>
      <c r="C14" s="89">
        <f>SUM(C7:C13)</f>
        <v/>
      </c>
      <c r="D14" s="80" t="inlineStr"/>
      <c r="E14" s="81" t="inlineStr">
        <is>
          <t>الدرجة:</t>
        </is>
      </c>
      <c r="F14" s="90">
        <f>SUM(F7:F13)</f>
        <v/>
      </c>
      <c r="G14" s="80" t="inlineStr"/>
    </row>
    <row r="15">
      <c r="B15" s="5" t="inlineStr">
        <is>
          <t>التقدير</t>
        </is>
      </c>
      <c r="C15" s="26">
        <f>IF(F14&gt;=0.9,"ممتاز",IF(F14&gt;=0.8,"جيد جداً",IF(F14&gt;=0.7,"جيد",IF(F14&gt;=0.6,"مقبول","ضعيف"))))</f>
        <v/>
      </c>
      <c r="D15" s="43" t="n"/>
    </row>
    <row r="17">
      <c r="B17" s="5" t="inlineStr">
        <is>
          <t>سلّم التقييم</t>
        </is>
      </c>
      <c r="C17" s="42" t="n"/>
      <c r="D17" s="43" t="n"/>
    </row>
    <row r="18">
      <c r="B18" s="17" t="inlineStr">
        <is>
          <t>ممتاز</t>
        </is>
      </c>
      <c r="C18" s="21" t="inlineStr">
        <is>
          <t>90% – 100%</t>
        </is>
      </c>
      <c r="D18" s="22" t="inlineStr">
        <is>
          <t>تجاوز المستهدف</t>
        </is>
      </c>
    </row>
    <row r="19">
      <c r="B19" s="17" t="inlineStr">
        <is>
          <t>جيد جداً</t>
        </is>
      </c>
      <c r="C19" s="21" t="inlineStr">
        <is>
          <t>80% – 89%</t>
        </is>
      </c>
      <c r="D19" s="22" t="inlineStr">
        <is>
          <t>حقق المستهدف تقريباً</t>
        </is>
      </c>
    </row>
    <row r="20">
      <c r="B20" s="17" t="inlineStr">
        <is>
          <t>جيد</t>
        </is>
      </c>
      <c r="C20" s="21" t="inlineStr">
        <is>
          <t>70% – 79%</t>
        </is>
      </c>
      <c r="D20" s="22" t="inlineStr">
        <is>
          <t>حقق معظم المستهدفات</t>
        </is>
      </c>
    </row>
    <row r="21">
      <c r="B21" s="17" t="inlineStr">
        <is>
          <t>مقبول</t>
        </is>
      </c>
      <c r="C21" s="21" t="inlineStr">
        <is>
          <t>60% – 69%</t>
        </is>
      </c>
      <c r="D21" s="22" t="inlineStr">
        <is>
          <t>يحتاج تحسين</t>
        </is>
      </c>
    </row>
    <row r="22">
      <c r="B22" s="17" t="inlineStr">
        <is>
          <t>ضعيف</t>
        </is>
      </c>
      <c r="C22" s="21" t="inlineStr">
        <is>
          <t>أقل من 60%</t>
        </is>
      </c>
      <c r="D22"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5:D15"/>
    <mergeCell ref="B3:C3"/>
    <mergeCell ref="B5:C5"/>
    <mergeCell ref="E5:G5"/>
    <mergeCell ref="B17:D17"/>
    <mergeCell ref="A2:G2"/>
    <mergeCell ref="E4:G4"/>
    <mergeCell ref="E3:G3"/>
    <mergeCell ref="B4:C4"/>
  </mergeCells>
  <dataValidations count="1">
    <dataValidation sqref="E7 E8 E9 E10 E11 E12 E13"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AH12"/>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إدارة الموارد البشرية · مؤشرات الأداء 2026  (8 مؤشرات) — الاستثمار في الموظفين</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الاستبقاء</t>
        </is>
      </c>
      <c r="C4" s="22" t="inlineStr">
        <is>
          <t>معدل استبقاء الموظفين (Retention)</t>
        </is>
      </c>
      <c r="D4" s="60" t="inlineStr">
        <is>
          <t>%</t>
        </is>
      </c>
      <c r="E4" s="60" t="inlineStr">
        <is>
          <t>↑</t>
        </is>
      </c>
      <c r="F4" s="60" t="inlineStr">
        <is>
          <t>LAST</t>
        </is>
      </c>
      <c r="G4" s="74" t="n">
        <v>0.9</v>
      </c>
      <c r="H4" s="62" t="inlineStr">
        <is>
          <t>≥ 90%</t>
        </is>
      </c>
      <c r="I4" s="73" t="n"/>
      <c r="J4" s="73" t="n"/>
      <c r="K4" s="73" t="n"/>
      <c r="L4" s="73" t="n"/>
      <c r="M4" s="73" t="n"/>
      <c r="N4" s="73" t="n"/>
      <c r="O4" s="73" t="n"/>
      <c r="P4" s="73" t="n"/>
      <c r="Q4" s="73" t="n"/>
      <c r="R4" s="73" t="n"/>
      <c r="S4" s="73" t="n"/>
      <c r="T4" s="73" t="n"/>
      <c r="U4" s="59">
        <f>IF($F4="SUM",IF(COUNT($I4:$T4)=0,"",SUM($I4:$T4)),IF($F4="AVG",IFERROR(AVERAGE($I4:$T4),""),IF($F4="LAST",IFERROR(LOOKUP(2,1/($I4:$T4&lt;&gt;""),$I4:$T4),""),"")))</f>
        <v/>
      </c>
      <c r="V4" s="23">
        <f>IF($G4="","",IF($U4="","",IF($G4=0,IF($U4&lt;=0,1,0),IF($E4="↓",IFERROR($G4/$U4,0),IFERROR($U4/$G4,0)))))</f>
        <v/>
      </c>
      <c r="W4" s="17">
        <f>IF($V4="","—",IF($V4&gt;=1,"✅ محقق",IF($V4&gt;=0.85,"🟡 قريب","🔴 تحت الهدف")))</f>
        <v/>
      </c>
      <c r="X4" s="65" t="inlineStr">
        <is>
          <t>الاستدامة</t>
        </is>
      </c>
      <c r="Y4" s="22" t="inlineStr">
        <is>
          <t>الاستثمار في الموظفين</t>
        </is>
      </c>
      <c r="Z4" s="53" t="n"/>
      <c r="AA4" s="21" t="inlineStr">
        <is>
          <t>🟣 لاحق</t>
        </is>
      </c>
      <c r="AB4" s="53" t="n">
        <v>0.125</v>
      </c>
      <c r="AC4" s="23">
        <f>IF($V4="","",$AB4*MIN($V4,1))</f>
        <v/>
      </c>
      <c r="AD4" s="74">
        <f>IF($G4="","",IF($F4="SUM",IF('لوحة الإدارة التنفيذية'!$P$2="","",$G4/12*'لوحة الإدارة التنفيذية'!$P$2),$G4))</f>
        <v/>
      </c>
      <c r="AE4" s="23">
        <f>IF($F4="SUM",IF(OR('لوحة الإدارة التنفيذية'!$P$2="",'لوحة الإدارة التنفيذية'!$P$2=0),"",IF($U4="","",$U4/'لوحة الإدارة التنفيذية'!$P$2*12)),IF($U4="","",$U4))</f>
        <v/>
      </c>
      <c r="AF4" s="74">
        <f>IF(OR($AE4="",$G4=""),"",$AE4-$G4)</f>
        <v/>
      </c>
      <c r="AG4" s="17">
        <f>IF(OR($AE4="",$G4=""),"—",IF($E4="↓",IF($AE4&lt;=$G4,"🟢 على المسار",IF($AE4&lt;=$G4*1.1,"🟡 متابعة","🔴 خطر")),IF($AE4&gt;=$G4,"🟢 على المسار",IF($AE4&gt;=$G4*0.85,"🟡 متابعة","🔴 خطر"))))</f>
        <v/>
      </c>
      <c r="AH4" s="68" t="inlineStr">
        <is>
          <t>التعلّم والنمو</t>
        </is>
      </c>
    </row>
    <row r="5" ht="26" customHeight="1">
      <c r="A5" s="17" t="n">
        <v>2</v>
      </c>
      <c r="B5" s="22" t="inlineStr">
        <is>
          <t>الاستبقاء</t>
        </is>
      </c>
      <c r="C5" s="22" t="inlineStr">
        <is>
          <t>معدل دوران الموظفين (Turnover)</t>
        </is>
      </c>
      <c r="D5" s="60" t="inlineStr">
        <is>
          <t>%</t>
        </is>
      </c>
      <c r="E5" s="60" t="inlineStr">
        <is>
          <t>↓</t>
        </is>
      </c>
      <c r="F5" s="60" t="inlineStr">
        <is>
          <t>AVG</t>
        </is>
      </c>
      <c r="G5" s="74" t="n">
        <v>0.1</v>
      </c>
      <c r="H5" s="62" t="inlineStr">
        <is>
          <t>≤ 10%</t>
        </is>
      </c>
      <c r="I5" s="73" t="n"/>
      <c r="J5" s="73" t="n"/>
      <c r="K5" s="73" t="n"/>
      <c r="L5" s="73" t="n"/>
      <c r="M5" s="73" t="n"/>
      <c r="N5" s="73" t="n"/>
      <c r="O5" s="73" t="n"/>
      <c r="P5" s="73" t="n"/>
      <c r="Q5" s="73" t="n"/>
      <c r="R5" s="73" t="n"/>
      <c r="S5" s="73" t="n"/>
      <c r="T5" s="73" t="n"/>
      <c r="U5" s="59">
        <f>IF($F5="SUM",IF(COUNT($I5:$T5)=0,"",SUM($I5:$T5)),IF($F5="AVG",IFERROR(AVERAGE($I5:$T5),""),IF($F5="LAST",IFERROR(LOOKUP(2,1/($I5:$T5&lt;&gt;""),$I5:$T5),""),"")))</f>
        <v/>
      </c>
      <c r="V5" s="23">
        <f>IF($G5="","",IF($U5="","",IF($G5=0,IF($U5&lt;=0,1,0),IF($E5="↓",IFERROR($G5/$U5,0),IFERROR($U5/$G5,0)))))</f>
        <v/>
      </c>
      <c r="W5" s="17">
        <f>IF($V5="","—",IF($V5&gt;=1,"✅ محقق",IF($V5&gt;=0.85,"🟡 قريب","🔴 تحت الهدف")))</f>
        <v/>
      </c>
      <c r="X5" s="65" t="inlineStr">
        <is>
          <t>الاستدامة</t>
        </is>
      </c>
      <c r="Y5" s="22" t="inlineStr">
        <is>
          <t>الاستثمار في الموظفين</t>
        </is>
      </c>
      <c r="Z5" s="53" t="n"/>
      <c r="AA5" s="21" t="inlineStr">
        <is>
          <t>🟣 لاحق</t>
        </is>
      </c>
      <c r="AB5" s="53" t="n">
        <v>0.125</v>
      </c>
      <c r="AC5" s="23">
        <f>IF($V5="","",$AB5*MIN($V5,1))</f>
        <v/>
      </c>
      <c r="AD5" s="74">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74">
        <f>IF(OR($AE5="",$G5=""),"",$AE5-$G5)</f>
        <v/>
      </c>
      <c r="AG5" s="17">
        <f>IF(OR($AE5="",$G5=""),"—",IF($E5="↓",IF($AE5&lt;=$G5,"🟢 على المسار",IF($AE5&lt;=$G5*1.1,"🟡 متابعة","🔴 خطر")),IF($AE5&gt;=$G5,"🟢 على المسار",IF($AE5&gt;=$G5*0.85,"🟡 متابعة","🔴 خطر"))))</f>
        <v/>
      </c>
      <c r="AH5" s="68" t="inlineStr">
        <is>
          <t>التعلّم والنمو</t>
        </is>
      </c>
    </row>
    <row r="6" ht="26" customHeight="1">
      <c r="A6" s="17" t="n">
        <v>3</v>
      </c>
      <c r="B6" s="22" t="inlineStr">
        <is>
          <t>التطوير</t>
        </is>
      </c>
      <c r="C6" s="22" t="inlineStr">
        <is>
          <t>متوسط ساعات التدريب لكل موظف</t>
        </is>
      </c>
      <c r="D6" s="60" t="inlineStr">
        <is>
          <t>ساعة</t>
        </is>
      </c>
      <c r="E6" s="60" t="inlineStr">
        <is>
          <t>↑</t>
        </is>
      </c>
      <c r="F6" s="60" t="inlineStr">
        <is>
          <t>SUM</t>
        </is>
      </c>
      <c r="G6" s="75" t="n">
        <v>40</v>
      </c>
      <c r="H6" s="62" t="inlineStr">
        <is>
          <t>≥ 40 ساعة</t>
        </is>
      </c>
      <c r="I6" s="76" t="n"/>
      <c r="J6" s="76" t="n"/>
      <c r="K6" s="76" t="n"/>
      <c r="L6" s="76" t="n"/>
      <c r="M6" s="76" t="n"/>
      <c r="N6" s="76" t="n"/>
      <c r="O6" s="76" t="n"/>
      <c r="P6" s="76" t="n"/>
      <c r="Q6" s="76" t="n"/>
      <c r="R6" s="76" t="n"/>
      <c r="S6" s="76" t="n"/>
      <c r="T6" s="76" t="n"/>
      <c r="U6" s="77">
        <f>IF($F6="SUM",IF(COUNT($I6:$T6)=0,"",SUM($I6:$T6)),IF($F6="AVG",IFERROR(AVERAGE($I6:$T6),""),IF($F6="LAST",IFERROR(LOOKUP(2,1/($I6:$T6&lt;&gt;""),$I6:$T6),""),"")))</f>
        <v/>
      </c>
      <c r="V6" s="23">
        <f>IF($G6="","",IF($U6="","",IF($G6=0,IF($U6&lt;=0,1,0),IF($E6="↓",IFERROR($G6/$U6,0),IFERROR($U6/$G6,0)))))</f>
        <v/>
      </c>
      <c r="W6" s="17">
        <f>IF($V6="","—",IF($V6&gt;=1,"✅ محقق",IF($V6&gt;=0.85,"🟡 قريب","🔴 تحت الهدف")))</f>
        <v/>
      </c>
      <c r="X6" s="65" t="inlineStr">
        <is>
          <t>الاستدامة</t>
        </is>
      </c>
      <c r="Y6" s="22" t="inlineStr">
        <is>
          <t>الاستثمار في الموظفين</t>
        </is>
      </c>
      <c r="Z6" s="78" t="n"/>
      <c r="AA6" s="21" t="inlineStr">
        <is>
          <t>🔵 قائد</t>
        </is>
      </c>
      <c r="AB6" s="53" t="n">
        <v>0.125</v>
      </c>
      <c r="AC6" s="23">
        <f>IF($V6="","",$AB6*MIN($V6,1))</f>
        <v/>
      </c>
      <c r="AD6" s="75">
        <f>IF($G6="","",IF($F6="SUM",IF('لوحة الإدارة التنفيذية'!$P$2="","",$G6/12*'لوحة الإدارة التنفيذية'!$P$2),$G6))</f>
        <v/>
      </c>
      <c r="AE6" s="79">
        <f>IF($F6="SUM",IF(OR('لوحة الإدارة التنفيذية'!$P$2="",'لوحة الإدارة التنفيذية'!$P$2=0),"",IF($U6="","",$U6/'لوحة الإدارة التنفيذية'!$P$2*12)),IF($U6="","",$U6))</f>
        <v/>
      </c>
      <c r="AF6" s="75">
        <f>IF(OR($AE6="",$G6=""),"",$AE6-$G6)</f>
        <v/>
      </c>
      <c r="AG6" s="17">
        <f>IF(OR($AE6="",$G6=""),"—",IF($E6="↓",IF($AE6&lt;=$G6,"🟢 على المسار",IF($AE6&lt;=$G6*1.1,"🟡 متابعة","🔴 خطر")),IF($AE6&gt;=$G6,"🟢 على المسار",IF($AE6&gt;=$G6*0.85,"🟡 متابعة","🔴 خطر"))))</f>
        <v/>
      </c>
      <c r="AH6" s="68" t="inlineStr">
        <is>
          <t>التعلّم والنمو</t>
        </is>
      </c>
    </row>
    <row r="7" ht="26" customHeight="1">
      <c r="A7" s="17" t="n">
        <v>4</v>
      </c>
      <c r="B7" s="22" t="inlineStr">
        <is>
          <t>التطوير</t>
        </is>
      </c>
      <c r="C7" s="22" t="inlineStr">
        <is>
          <t>نسبة الموظفين المشمولين بخطة تطوير</t>
        </is>
      </c>
      <c r="D7" s="60" t="inlineStr">
        <is>
          <t>%</t>
        </is>
      </c>
      <c r="E7" s="60" t="inlineStr">
        <is>
          <t>↑</t>
        </is>
      </c>
      <c r="F7" s="60" t="inlineStr">
        <is>
          <t>LAST</t>
        </is>
      </c>
      <c r="G7" s="74" t="n">
        <v>0.8</v>
      </c>
      <c r="H7" s="62" t="inlineStr">
        <is>
          <t>≥ 80%</t>
        </is>
      </c>
      <c r="I7" s="73" t="n"/>
      <c r="J7" s="73" t="n"/>
      <c r="K7" s="73" t="n"/>
      <c r="L7" s="73" t="n"/>
      <c r="M7" s="73" t="n"/>
      <c r="N7" s="73" t="n"/>
      <c r="O7" s="73" t="n"/>
      <c r="P7" s="73" t="n"/>
      <c r="Q7" s="73" t="n"/>
      <c r="R7" s="73" t="n"/>
      <c r="S7" s="73" t="n"/>
      <c r="T7" s="73" t="n"/>
      <c r="U7" s="59">
        <f>IF($F7="SUM",IF(COUNT($I7:$T7)=0,"",SUM($I7:$T7)),IF($F7="AVG",IFERROR(AVERAGE($I7:$T7),""),IF($F7="LAST",IFERROR(LOOKUP(2,1/($I7:$T7&lt;&gt;""),$I7:$T7),""),"")))</f>
        <v/>
      </c>
      <c r="V7" s="23">
        <f>IF($G7="","",IF($U7="","",IF($G7=0,IF($U7&lt;=0,1,0),IF($E7="↓",IFERROR($G7/$U7,0),IFERROR($U7/$G7,0)))))</f>
        <v/>
      </c>
      <c r="W7" s="17">
        <f>IF($V7="","—",IF($V7&gt;=1,"✅ محقق",IF($V7&gt;=0.85,"🟡 قريب","🔴 تحت الهدف")))</f>
        <v/>
      </c>
      <c r="X7" s="65" t="inlineStr">
        <is>
          <t>الاستدامة</t>
        </is>
      </c>
      <c r="Y7" s="22" t="inlineStr">
        <is>
          <t>الاستثمار في الموظفين</t>
        </is>
      </c>
      <c r="Z7" s="53" t="n"/>
      <c r="AA7" s="21" t="inlineStr">
        <is>
          <t>🟣 لاحق</t>
        </is>
      </c>
      <c r="AB7" s="53" t="n">
        <v>0.125</v>
      </c>
      <c r="AC7" s="23">
        <f>IF($V7="","",$AB7*MIN($V7,1))</f>
        <v/>
      </c>
      <c r="AD7" s="74">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4">
        <f>IF(OR($AE7="",$G7=""),"",$AE7-$G7)</f>
        <v/>
      </c>
      <c r="AG7" s="17">
        <f>IF(OR($AE7="",$G7=""),"—",IF($E7="↓",IF($AE7&lt;=$G7,"🟢 على المسار",IF($AE7&lt;=$G7*1.1,"🟡 متابعة","🔴 خطر")),IF($AE7&gt;=$G7,"🟢 على المسار",IF($AE7&gt;=$G7*0.85,"🟡 متابعة","🔴 خطر"))))</f>
        <v/>
      </c>
      <c r="AH7" s="68" t="inlineStr">
        <is>
          <t>التعلّم والنمو</t>
        </is>
      </c>
    </row>
    <row r="8" ht="26" customHeight="1">
      <c r="A8" s="17" t="n">
        <v>5</v>
      </c>
      <c r="B8" s="22" t="inlineStr">
        <is>
          <t>الرضا والانتماء</t>
        </is>
      </c>
      <c r="C8" s="22" t="inlineStr">
        <is>
          <t>مؤشر رضا الموظفين (eNPS)</t>
        </is>
      </c>
      <c r="D8" s="60" t="inlineStr">
        <is>
          <t>نقطة</t>
        </is>
      </c>
      <c r="E8" s="60" t="inlineStr">
        <is>
          <t>↑</t>
        </is>
      </c>
      <c r="F8" s="60" t="inlineStr">
        <is>
          <t>AVG</t>
        </is>
      </c>
      <c r="G8" s="75" t="n">
        <v>30</v>
      </c>
      <c r="H8" s="62" t="inlineStr">
        <is>
          <t>≥ 30</t>
        </is>
      </c>
      <c r="I8" s="76" t="n"/>
      <c r="J8" s="76" t="n"/>
      <c r="K8" s="76" t="n"/>
      <c r="L8" s="76" t="n"/>
      <c r="M8" s="76" t="n"/>
      <c r="N8" s="76" t="n"/>
      <c r="O8" s="76" t="n"/>
      <c r="P8" s="76" t="n"/>
      <c r="Q8" s="76" t="n"/>
      <c r="R8" s="76" t="n"/>
      <c r="S8" s="76" t="n"/>
      <c r="T8" s="76" t="n"/>
      <c r="U8" s="77">
        <f>IF($F8="SUM",IF(COUNT($I8:$T8)=0,"",SUM($I8:$T8)),IF($F8="AVG",IFERROR(AVERAGE($I8:$T8),""),IF($F8="LAST",IFERROR(LOOKUP(2,1/($I8:$T8&lt;&gt;""),$I8:$T8),""),"")))</f>
        <v/>
      </c>
      <c r="V8" s="23">
        <f>IF($G8="","",IF($U8="","",IF($G8=0,IF($U8&lt;=0,1,0),IF($E8="↓",IFERROR($G8/$U8,0),IFERROR($U8/$G8,0)))))</f>
        <v/>
      </c>
      <c r="W8" s="17">
        <f>IF($V8="","—",IF($V8&gt;=1,"✅ محقق",IF($V8&gt;=0.85,"🟡 قريب","🔴 تحت الهدف")))</f>
        <v/>
      </c>
      <c r="X8" s="65" t="inlineStr">
        <is>
          <t>الاستدامة</t>
        </is>
      </c>
      <c r="Y8" s="22" t="inlineStr">
        <is>
          <t>الاستثمار في الموظفين</t>
        </is>
      </c>
      <c r="Z8" s="78" t="n"/>
      <c r="AA8" s="21" t="inlineStr">
        <is>
          <t>🟣 لاحق</t>
        </is>
      </c>
      <c r="AB8" s="53" t="n">
        <v>0.125</v>
      </c>
      <c r="AC8" s="23">
        <f>IF($V8="","",$AB8*MIN($V8,1))</f>
        <v/>
      </c>
      <c r="AD8" s="75">
        <f>IF($G8="","",IF($F8="SUM",IF('لوحة الإدارة التنفيذية'!$P$2="","",$G8/12*'لوحة الإدارة التنفيذية'!$P$2),$G8))</f>
        <v/>
      </c>
      <c r="AE8" s="79">
        <f>IF($F8="SUM",IF(OR('لوحة الإدارة التنفيذية'!$P$2="",'لوحة الإدارة التنفيذية'!$P$2=0),"",IF($U8="","",$U8/'لوحة الإدارة التنفيذية'!$P$2*12)),IF($U8="","",$U8))</f>
        <v/>
      </c>
      <c r="AF8" s="75">
        <f>IF(OR($AE8="",$G8=""),"",$AE8-$G8)</f>
        <v/>
      </c>
      <c r="AG8" s="17">
        <f>IF(OR($AE8="",$G8=""),"—",IF($E8="↓",IF($AE8&lt;=$G8,"🟢 على المسار",IF($AE8&lt;=$G8*1.1,"🟡 متابعة","🔴 خطر")),IF($AE8&gt;=$G8,"🟢 على المسار",IF($AE8&gt;=$G8*0.85,"🟡 متابعة","🔴 خطر"))))</f>
        <v/>
      </c>
      <c r="AH8" s="68" t="inlineStr">
        <is>
          <t>التعلّم والنمو</t>
        </is>
      </c>
    </row>
    <row r="9" ht="26" customHeight="1">
      <c r="A9" s="17" t="n">
        <v>6</v>
      </c>
      <c r="B9" s="22" t="inlineStr">
        <is>
          <t>الاستقطاب</t>
        </is>
      </c>
      <c r="C9" s="22" t="inlineStr">
        <is>
          <t>نسبة شغل الشواغر خلال 30 يوم</t>
        </is>
      </c>
      <c r="D9" s="60" t="inlineStr">
        <is>
          <t>%</t>
        </is>
      </c>
      <c r="E9" s="60" t="inlineStr">
        <is>
          <t>↑</t>
        </is>
      </c>
      <c r="F9" s="60" t="inlineStr">
        <is>
          <t>AVG</t>
        </is>
      </c>
      <c r="G9" s="74" t="n">
        <v>0.85</v>
      </c>
      <c r="H9" s="62" t="inlineStr">
        <is>
          <t>≥ 85%</t>
        </is>
      </c>
      <c r="I9" s="73" t="n"/>
      <c r="J9" s="73" t="n"/>
      <c r="K9" s="73" t="n"/>
      <c r="L9" s="73" t="n"/>
      <c r="M9" s="73" t="n"/>
      <c r="N9" s="73" t="n"/>
      <c r="O9" s="73" t="n"/>
      <c r="P9" s="73" t="n"/>
      <c r="Q9" s="73" t="n"/>
      <c r="R9" s="73" t="n"/>
      <c r="S9" s="73" t="n"/>
      <c r="T9" s="73" t="n"/>
      <c r="U9" s="59">
        <f>IF($F9="SUM",IF(COUNT($I9:$T9)=0,"",SUM($I9:$T9)),IF($F9="AVG",IFERROR(AVERAGE($I9:$T9),""),IF($F9="LAST",IFERROR(LOOKUP(2,1/($I9:$T9&lt;&gt;""),$I9:$T9),""),"")))</f>
        <v/>
      </c>
      <c r="V9" s="23">
        <f>IF($G9="","",IF($U9="","",IF($G9=0,IF($U9&lt;=0,1,0),IF($E9="↓",IFERROR($G9/$U9,0),IFERROR($U9/$G9,0)))))</f>
        <v/>
      </c>
      <c r="W9" s="17">
        <f>IF($V9="","—",IF($V9&gt;=1,"✅ محقق",IF($V9&gt;=0.85,"🟡 قريب","🔴 تحت الهدف")))</f>
        <v/>
      </c>
      <c r="X9" s="65" t="inlineStr">
        <is>
          <t>الاستدامة</t>
        </is>
      </c>
      <c r="Y9" s="22" t="inlineStr">
        <is>
          <t>الاستثمار في الموظفين</t>
        </is>
      </c>
      <c r="Z9" s="53" t="n"/>
      <c r="AA9" s="21" t="inlineStr">
        <is>
          <t>🟣 لاحق</t>
        </is>
      </c>
      <c r="AB9" s="53" t="n">
        <v>0.125</v>
      </c>
      <c r="AC9" s="23">
        <f>IF($V9="","",$AB9*MIN($V9,1))</f>
        <v/>
      </c>
      <c r="AD9" s="74">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4">
        <f>IF(OR($AE9="",$G9=""),"",$AE9-$G9)</f>
        <v/>
      </c>
      <c r="AG9" s="17">
        <f>IF(OR($AE9="",$G9=""),"—",IF($E9="↓",IF($AE9&lt;=$G9,"🟢 على المسار",IF($AE9&lt;=$G9*1.1,"🟡 متابعة","🔴 خطر")),IF($AE9&gt;=$G9,"🟢 على المسار",IF($AE9&gt;=$G9*0.85,"🟡 متابعة","🔴 خطر"))))</f>
        <v/>
      </c>
      <c r="AH9" s="68" t="inlineStr">
        <is>
          <t>العمليات الداخلية</t>
        </is>
      </c>
    </row>
    <row r="10" ht="26" customHeight="1">
      <c r="A10" s="17" t="n">
        <v>7</v>
      </c>
      <c r="B10" s="22" t="inlineStr">
        <is>
          <t>الأداء</t>
        </is>
      </c>
      <c r="C10" s="22" t="inlineStr">
        <is>
          <t>نسبة إنجاز تقييمات الأداء في موعدها</t>
        </is>
      </c>
      <c r="D10" s="60" t="inlineStr">
        <is>
          <t>%</t>
        </is>
      </c>
      <c r="E10" s="60" t="inlineStr">
        <is>
          <t>↑</t>
        </is>
      </c>
      <c r="F10" s="60" t="inlineStr">
        <is>
          <t>AVG</t>
        </is>
      </c>
      <c r="G10" s="74" t="n">
        <v>1</v>
      </c>
      <c r="H10" s="62" t="inlineStr">
        <is>
          <t>100%</t>
        </is>
      </c>
      <c r="I10" s="73" t="n"/>
      <c r="J10" s="73" t="n"/>
      <c r="K10" s="73" t="n"/>
      <c r="L10" s="73" t="n"/>
      <c r="M10" s="73" t="n"/>
      <c r="N10" s="73" t="n"/>
      <c r="O10" s="73" t="n"/>
      <c r="P10" s="73" t="n"/>
      <c r="Q10" s="73" t="n"/>
      <c r="R10" s="73" t="n"/>
      <c r="S10" s="73" t="n"/>
      <c r="T10" s="73" t="n"/>
      <c r="U10" s="59">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is>
          <t>الاستدامة</t>
        </is>
      </c>
      <c r="Y10" s="22" t="inlineStr">
        <is>
          <t>الاستثمار في الموظفين</t>
        </is>
      </c>
      <c r="Z10" s="53" t="n"/>
      <c r="AA10" s="21" t="inlineStr">
        <is>
          <t>🟣 لاحق</t>
        </is>
      </c>
      <c r="AB10" s="53" t="n">
        <v>0.125</v>
      </c>
      <c r="AC10" s="23">
        <f>IF($V10="","",$AB10*MIN($V10,1))</f>
        <v/>
      </c>
      <c r="AD10" s="74">
        <f>IF($G10="","",IF($F10="SUM",IF('لوحة الإدارة التنفيذية'!$P$2="","",$G10/12*'لوحة الإدارة التنفيذية'!$P$2),$G10))</f>
        <v/>
      </c>
      <c r="AE10" s="23">
        <f>IF($F10="SUM",IF(OR('لوحة الإدارة التنفيذية'!$P$2="",'لوحة الإدارة التنفيذية'!$P$2=0),"",IF($U10="","",$U10/'لوحة الإدارة التنفيذية'!$P$2*12)),IF($U10="","",$U10))</f>
        <v/>
      </c>
      <c r="AF10" s="74">
        <f>IF(OR($AE10="",$G10=""),"",$AE10-$G10)</f>
        <v/>
      </c>
      <c r="AG10" s="17">
        <f>IF(OR($AE10="",$G10=""),"—",IF($E10="↓",IF($AE10&lt;=$G10,"🟢 على المسار",IF($AE10&lt;=$G10*1.1,"🟡 متابعة","🔴 خطر")),IF($AE10&gt;=$G10,"🟢 على المسار",IF($AE10&gt;=$G10*0.85,"🟡 متابعة","🔴 خطر"))))</f>
        <v/>
      </c>
      <c r="AH10" s="68" t="inlineStr">
        <is>
          <t>العمليات الداخلية</t>
        </is>
      </c>
    </row>
    <row r="11" ht="26" customHeight="1">
      <c r="A11" s="17" t="n">
        <v>8</v>
      </c>
      <c r="B11" s="22" t="inlineStr">
        <is>
          <t>الامتثال</t>
        </is>
      </c>
      <c r="C11" s="22" t="inlineStr">
        <is>
          <t>نسبة السعودة</t>
        </is>
      </c>
      <c r="D11" s="60" t="inlineStr">
        <is>
          <t>%</t>
        </is>
      </c>
      <c r="E11" s="60" t="inlineStr">
        <is>
          <t>↑</t>
        </is>
      </c>
      <c r="F11" s="60" t="inlineStr">
        <is>
          <t>LAST</t>
        </is>
      </c>
      <c r="G11" s="60" t="inlineStr"/>
      <c r="H11" s="62" t="inlineStr">
        <is>
          <t>حسب النطاق</t>
        </is>
      </c>
      <c r="I11" s="73" t="n"/>
      <c r="J11" s="73" t="n"/>
      <c r="K11" s="73" t="n"/>
      <c r="L11" s="73" t="n"/>
      <c r="M11" s="73" t="n"/>
      <c r="N11" s="73" t="n"/>
      <c r="O11" s="73" t="n"/>
      <c r="P11" s="73" t="n"/>
      <c r="Q11" s="73" t="n"/>
      <c r="R11" s="73" t="n"/>
      <c r="S11" s="73" t="n"/>
      <c r="T11" s="73" t="n"/>
      <c r="U11" s="59">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is>
          <t>الاستدامة</t>
        </is>
      </c>
      <c r="Y11" s="22" t="inlineStr">
        <is>
          <t>الاستثمار في الموظفين</t>
        </is>
      </c>
      <c r="Z11" s="53" t="n"/>
      <c r="AA11" s="21" t="inlineStr">
        <is>
          <t>🟣 لاحق</t>
        </is>
      </c>
      <c r="AB11" s="53" t="n">
        <v>0.125</v>
      </c>
      <c r="AC11" s="23">
        <f>IF($V11="","",$AB11*MIN($V11,1))</f>
        <v/>
      </c>
      <c r="AD11" s="74">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74">
        <f>IF(OR($AE11="",$G11=""),"",$AE11-$G11)</f>
        <v/>
      </c>
      <c r="AG11" s="17">
        <f>IF(OR($AE11="",$G11=""),"—",IF($E11="↓",IF($AE11&lt;=$G11,"🟢 على المسار",IF($AE11&lt;=$G11*1.1,"🟡 متابعة","🔴 خطر")),IF($AE11&gt;=$G11,"🟢 على المسار",IF($AE11&gt;=$G11*0.85,"🟡 متابعة","🔴 خطر"))))</f>
        <v/>
      </c>
      <c r="AH11" s="68" t="inlineStr">
        <is>
          <t>التعلّم والنمو</t>
        </is>
      </c>
    </row>
    <row r="12">
      <c r="A12" s="80" t="inlineStr"/>
      <c r="B12" s="81" t="inlineStr">
        <is>
          <t>الإجمالي الموزون للإدارة</t>
        </is>
      </c>
      <c r="AB12" s="82">
        <f>SUM(AB4:AB11)</f>
        <v/>
      </c>
      <c r="AC12" s="83">
        <f>SUM(AC4:AC11)</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A1:AH1"/>
    <mergeCell ref="B12:AA12"/>
  </mergeCells>
  <dataValidations count="1">
    <dataValidation sqref="I4 I5 I6 I7 I8 I9 I10 I11 J4 J5 J6 J7 J8 J9 J10 J11 K4 K5 K6 K7 K8 K9 K10 K11 L4 L5 L6 L7 L8 L9 L10 L11 M4 M5 M6 M7 M8 M9 M10 M11 N4 N5 N6 N7 N8 N9 N10 N11 O4 O5 O6 O7 O8 O9 O10 O11 P4 P5 P6 P7 P8 P9 P10 P11 Q4 Q5 Q6 Q7 Q8 Q9 Q10 Q11 R4 R5 R6 R7 R8 R9 R10 R11 S4 S5 S6 S7 S8 S9 S10 S11 T4 T5 T6 T7 T8 T9 T10 T11 Z4 Z5 Z6 Z7 Z8 Z9 Z10 Z11"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22"/>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4" t="inlineStr">
        <is>
          <t>إدارة الموارد البشرية · نموذج تقييم الأداء — مدير إدارة الموارد البشرية</t>
        </is>
      </c>
    </row>
    <row r="2">
      <c r="A2" s="50" t="inlineStr">
        <is>
          <t>الكود: HM-01  ·  ربع سنوي  ·  🟩 أدخل «نسبة التحقيق» فقط — الدرجة تُحسب تلقائياً</t>
        </is>
      </c>
    </row>
    <row r="3">
      <c r="A3" s="85" t="inlineStr">
        <is>
          <t>اسم الموظف:</t>
        </is>
      </c>
      <c r="B3" s="51" t="inlineStr"/>
      <c r="C3" s="86" t="n"/>
      <c r="D3" s="85" t="inlineStr">
        <is>
          <t>القسم: الموارد البشرية</t>
        </is>
      </c>
      <c r="E3" s="51" t="inlineStr"/>
      <c r="F3" s="87" t="n"/>
      <c r="G3" s="86" t="n"/>
    </row>
    <row r="4">
      <c r="A4" s="85" t="inlineStr">
        <is>
          <t>المدير المباشر:</t>
        </is>
      </c>
      <c r="B4" s="51" t="inlineStr"/>
      <c r="C4" s="86" t="n"/>
      <c r="D4" s="85" t="inlineStr">
        <is>
          <t>الربع / السنة:</t>
        </is>
      </c>
      <c r="E4" s="51" t="inlineStr"/>
      <c r="F4" s="87" t="n"/>
      <c r="G4" s="86" t="n"/>
    </row>
    <row r="5">
      <c r="A5" s="85" t="inlineStr">
        <is>
          <t>تاريخ التقييم:</t>
        </is>
      </c>
      <c r="B5" s="51" t="inlineStr"/>
      <c r="C5" s="86" t="n"/>
      <c r="D5" s="85" t="inlineStr">
        <is>
          <t>حالة التقييم:</t>
        </is>
      </c>
      <c r="E5" s="51" t="inlineStr"/>
      <c r="F5" s="87" t="n"/>
      <c r="G5" s="86"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معدل استبقاء الموظفين</t>
        </is>
      </c>
      <c r="C7" s="74" t="n">
        <v>0.2</v>
      </c>
      <c r="D7" s="88" t="inlineStr">
        <is>
          <t>≥ 90%</t>
        </is>
      </c>
      <c r="E7" s="53" t="n"/>
      <c r="F7" s="23">
        <f>C7*MIN(E7,1)</f>
        <v/>
      </c>
      <c r="G7" s="51" t="inlineStr"/>
    </row>
    <row r="8" ht="28" customHeight="1">
      <c r="A8" s="17" t="n">
        <v>2</v>
      </c>
      <c r="B8" s="22" t="inlineStr">
        <is>
          <t>معدل دوران الموظفين</t>
        </is>
      </c>
      <c r="C8" s="74" t="n">
        <v>0.15</v>
      </c>
      <c r="D8" s="88" t="inlineStr">
        <is>
          <t>≤ 10%</t>
        </is>
      </c>
      <c r="E8" s="53" t="n"/>
      <c r="F8" s="23">
        <f>C8*MIN(E8,1)</f>
        <v/>
      </c>
      <c r="G8" s="51" t="inlineStr"/>
    </row>
    <row r="9" ht="28" customHeight="1">
      <c r="A9" s="17" t="n">
        <v>3</v>
      </c>
      <c r="B9" s="22" t="inlineStr">
        <is>
          <t>متوسط ساعات التدريب لكل موظف</t>
        </is>
      </c>
      <c r="C9" s="74" t="n">
        <v>0.15</v>
      </c>
      <c r="D9" s="88" t="inlineStr">
        <is>
          <t>≥ 40 ساعة</t>
        </is>
      </c>
      <c r="E9" s="53" t="n"/>
      <c r="F9" s="23">
        <f>C9*MIN(E9,1)</f>
        <v/>
      </c>
      <c r="G9" s="51" t="inlineStr"/>
    </row>
    <row r="10" ht="28" customHeight="1">
      <c r="A10" s="17" t="n">
        <v>4</v>
      </c>
      <c r="B10" s="22" t="inlineStr">
        <is>
          <t>الموظفون المشمولون بخطة تطوير</t>
        </is>
      </c>
      <c r="C10" s="74" t="n">
        <v>0.15</v>
      </c>
      <c r="D10" s="88" t="inlineStr">
        <is>
          <t>≥ 80%</t>
        </is>
      </c>
      <c r="E10" s="53" t="n"/>
      <c r="F10" s="23">
        <f>C10*MIN(E10,1)</f>
        <v/>
      </c>
      <c r="G10" s="51" t="inlineStr"/>
    </row>
    <row r="11" ht="28" customHeight="1">
      <c r="A11" s="17" t="n">
        <v>5</v>
      </c>
      <c r="B11" s="22" t="inlineStr">
        <is>
          <t>مؤشر رضا الموظفين (eNPS)</t>
        </is>
      </c>
      <c r="C11" s="74" t="n">
        <v>0.15</v>
      </c>
      <c r="D11" s="88" t="inlineStr">
        <is>
          <t>≥ 30</t>
        </is>
      </c>
      <c r="E11" s="53" t="n"/>
      <c r="F11" s="23">
        <f>C11*MIN(E11,1)</f>
        <v/>
      </c>
      <c r="G11" s="51" t="inlineStr"/>
    </row>
    <row r="12" ht="28" customHeight="1">
      <c r="A12" s="17" t="n">
        <v>6</v>
      </c>
      <c r="B12" s="22" t="inlineStr">
        <is>
          <t>شغل الشواغر خلال 30 يوم</t>
        </is>
      </c>
      <c r="C12" s="74" t="n">
        <v>0.1</v>
      </c>
      <c r="D12" s="88" t="inlineStr">
        <is>
          <t>≥ 85%</t>
        </is>
      </c>
      <c r="E12" s="53" t="n"/>
      <c r="F12" s="23">
        <f>C12*MIN(E12,1)</f>
        <v/>
      </c>
      <c r="G12" s="51" t="inlineStr"/>
    </row>
    <row r="13" ht="28" customHeight="1">
      <c r="A13" s="17" t="n">
        <v>7</v>
      </c>
      <c r="B13" s="22" t="inlineStr">
        <is>
          <t>إنجاز تقييمات الأداء في موعدها</t>
        </is>
      </c>
      <c r="C13" s="74" t="n">
        <v>0.1</v>
      </c>
      <c r="D13" s="88" t="inlineStr">
        <is>
          <t>100%</t>
        </is>
      </c>
      <c r="E13" s="53" t="n"/>
      <c r="F13" s="23">
        <f>C13*MIN(E13,1)</f>
        <v/>
      </c>
      <c r="G13" s="51" t="inlineStr"/>
    </row>
    <row r="14">
      <c r="A14" s="80" t="inlineStr"/>
      <c r="B14" s="81" t="inlineStr">
        <is>
          <t>المجموع الكلي</t>
        </is>
      </c>
      <c r="C14" s="89">
        <f>SUM(C7:C13)</f>
        <v/>
      </c>
      <c r="D14" s="80" t="inlineStr"/>
      <c r="E14" s="81" t="inlineStr">
        <is>
          <t>الدرجة:</t>
        </is>
      </c>
      <c r="F14" s="90">
        <f>SUM(F7:F13)</f>
        <v/>
      </c>
      <c r="G14" s="80" t="inlineStr"/>
    </row>
    <row r="15">
      <c r="B15" s="5" t="inlineStr">
        <is>
          <t>التقدير</t>
        </is>
      </c>
      <c r="C15" s="26">
        <f>IF(F14&gt;=0.9,"ممتاز",IF(F14&gt;=0.8,"جيد جداً",IF(F14&gt;=0.7,"جيد",IF(F14&gt;=0.6,"مقبول","ضعيف"))))</f>
        <v/>
      </c>
      <c r="D15" s="43" t="n"/>
    </row>
    <row r="17">
      <c r="B17" s="5" t="inlineStr">
        <is>
          <t>سلّم التقييم</t>
        </is>
      </c>
      <c r="C17" s="42" t="n"/>
      <c r="D17" s="43" t="n"/>
    </row>
    <row r="18">
      <c r="B18" s="17" t="inlineStr">
        <is>
          <t>ممتاز</t>
        </is>
      </c>
      <c r="C18" s="21" t="inlineStr">
        <is>
          <t>90% – 100%</t>
        </is>
      </c>
      <c r="D18" s="22" t="inlineStr">
        <is>
          <t>تجاوز المستهدف</t>
        </is>
      </c>
    </row>
    <row r="19">
      <c r="B19" s="17" t="inlineStr">
        <is>
          <t>جيد جداً</t>
        </is>
      </c>
      <c r="C19" s="21" t="inlineStr">
        <is>
          <t>80% – 89%</t>
        </is>
      </c>
      <c r="D19" s="22" t="inlineStr">
        <is>
          <t>حقق المستهدف تقريباً</t>
        </is>
      </c>
    </row>
    <row r="20">
      <c r="B20" s="17" t="inlineStr">
        <is>
          <t>جيد</t>
        </is>
      </c>
      <c r="C20" s="21" t="inlineStr">
        <is>
          <t>70% – 79%</t>
        </is>
      </c>
      <c r="D20" s="22" t="inlineStr">
        <is>
          <t>حقق معظم المستهدفات</t>
        </is>
      </c>
    </row>
    <row r="21">
      <c r="B21" s="17" t="inlineStr">
        <is>
          <t>مقبول</t>
        </is>
      </c>
      <c r="C21" s="21" t="inlineStr">
        <is>
          <t>60% – 69%</t>
        </is>
      </c>
      <c r="D21" s="22" t="inlineStr">
        <is>
          <t>يحتاج تحسين</t>
        </is>
      </c>
    </row>
    <row r="22">
      <c r="B22" s="17" t="inlineStr">
        <is>
          <t>ضعيف</t>
        </is>
      </c>
      <c r="C22" s="21" t="inlineStr">
        <is>
          <t>أقل من 60%</t>
        </is>
      </c>
      <c r="D22"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5:D15"/>
    <mergeCell ref="B3:C3"/>
    <mergeCell ref="B5:C5"/>
    <mergeCell ref="E5:G5"/>
    <mergeCell ref="B17:D17"/>
    <mergeCell ref="A2:G2"/>
    <mergeCell ref="E4:G4"/>
    <mergeCell ref="E3:G3"/>
    <mergeCell ref="B4:C4"/>
  </mergeCells>
  <dataValidations count="1">
    <dataValidation sqref="E7 E8 E9 E10 E11 E12 E13"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134"/>
  <sheetViews>
    <sheetView showGridLines="0" rightToLeft="1" workbookViewId="0">
      <selection activeCell="A1" sqref="A1"/>
    </sheetView>
  </sheetViews>
  <sheetFormatPr baseColWidth="8" defaultRowHeight="15"/>
  <cols>
    <col width="4" customWidth="1" min="1" max="1"/>
    <col width="18" customWidth="1" min="2" max="2"/>
    <col width="40" customWidth="1" min="3" max="3"/>
    <col width="10" customWidth="1" min="4" max="4"/>
    <col width="26" customWidth="1" min="5" max="5"/>
    <col width="18" customWidth="1" min="6" max="6"/>
    <col width="14" customWidth="1" min="7" max="7"/>
    <col width="22" customWidth="1" min="8" max="8"/>
    <col width="18" customWidth="1" min="9" max="9"/>
    <col width="12" customWidth="1" min="10" max="10"/>
    <col width="18" customWidth="1" min="11" max="11"/>
  </cols>
  <sheetData>
    <row r="1" ht="28" customHeight="1">
      <c r="A1" s="28" t="inlineStr">
        <is>
          <t>قاموس المؤشرات — التعريف الموحّد لكل مؤشر</t>
        </is>
      </c>
    </row>
    <row r="2">
      <c r="A2" s="50" t="inlineStr">
        <is>
          <t>مرجع التعريف: الوحدة · طريقة القياس · المستهدف · الركيزة · المشروع · المنظور · النوع · المالك</t>
        </is>
      </c>
    </row>
    <row r="3" ht="28" customHeight="1">
      <c r="A3" s="30" t="inlineStr">
        <is>
          <t>#</t>
        </is>
      </c>
      <c r="B3" s="30" t="inlineStr">
        <is>
          <t>الإدارة</t>
        </is>
      </c>
      <c r="C3" s="30" t="inlineStr">
        <is>
          <t>المؤشر</t>
        </is>
      </c>
      <c r="D3" s="30" t="inlineStr">
        <is>
          <t>الوحدة</t>
        </is>
      </c>
      <c r="E3" s="30" t="inlineStr">
        <is>
          <t>طريقة القياس</t>
        </is>
      </c>
      <c r="F3" s="30" t="inlineStr">
        <is>
          <t>المستهدف</t>
        </is>
      </c>
      <c r="G3" s="30" t="inlineStr">
        <is>
          <t>الركيزة</t>
        </is>
      </c>
      <c r="H3" s="30" t="inlineStr">
        <is>
          <t>المشروع</t>
        </is>
      </c>
      <c r="I3" s="30" t="inlineStr">
        <is>
          <t>المنظور</t>
        </is>
      </c>
      <c r="J3" s="30" t="inlineStr">
        <is>
          <t>النوع</t>
        </is>
      </c>
      <c r="K3" s="30" t="inlineStr">
        <is>
          <t>المالك</t>
        </is>
      </c>
    </row>
    <row r="4" ht="22" customHeight="1">
      <c r="A4" s="68" t="n">
        <v>1</v>
      </c>
      <c r="B4" s="91" t="inlineStr">
        <is>
          <t>الإدارة التنفيذية</t>
        </is>
      </c>
      <c r="C4" s="91" t="inlineStr">
        <is>
          <t>إجمالي المحطات المشغّلة — الشركة (تراكمي)</t>
        </is>
      </c>
      <c r="D4" s="68" t="inlineStr">
        <is>
          <t>محطة</t>
        </is>
      </c>
      <c r="E4" s="92" t="inlineStr">
        <is>
          <t>تراكمي (آخر قيمة) · (الفعلي÷المستهدف)×100</t>
        </is>
      </c>
      <c r="F4" s="68" t="inlineStr">
        <is>
          <t>≥ 235 محطة</t>
        </is>
      </c>
      <c r="G4" s="68" t="inlineStr">
        <is>
          <t>النمو</t>
        </is>
      </c>
      <c r="H4" s="91" t="inlineStr">
        <is>
          <t>التوسع في المواقع</t>
        </is>
      </c>
      <c r="I4" s="68" t="inlineStr">
        <is>
          <t>العمليات الداخلية</t>
        </is>
      </c>
      <c r="J4" s="68" t="inlineStr">
        <is>
          <t>🟣 لاحق</t>
        </is>
      </c>
      <c r="K4" s="38" t="n"/>
    </row>
    <row r="5" ht="22" customHeight="1">
      <c r="A5" s="68" t="n">
        <v>2</v>
      </c>
      <c r="B5" s="91" t="inlineStr">
        <is>
          <t>الإدارة التنفيذية</t>
        </is>
      </c>
      <c r="C5" s="91" t="inlineStr">
        <is>
          <t>إجمالي العقود الجديدة — الشركة</t>
        </is>
      </c>
      <c r="D5" s="68" t="inlineStr">
        <is>
          <t>عقد</t>
        </is>
      </c>
      <c r="E5" s="92" t="inlineStr">
        <is>
          <t>تجميعي (مجموع شهري) · (الفعلي÷المستهدف)×100</t>
        </is>
      </c>
      <c r="F5" s="68" t="inlineStr">
        <is>
          <t>357 عقد</t>
        </is>
      </c>
      <c r="G5" s="68" t="inlineStr">
        <is>
          <t>النمو</t>
        </is>
      </c>
      <c r="H5" s="91" t="inlineStr">
        <is>
          <t>الامتياز التجاري</t>
        </is>
      </c>
      <c r="I5" s="68" t="inlineStr">
        <is>
          <t>العمليات الداخلية</t>
        </is>
      </c>
      <c r="J5" s="68" t="inlineStr">
        <is>
          <t>🟣 لاحق</t>
        </is>
      </c>
      <c r="K5" s="38" t="n"/>
    </row>
    <row r="6" ht="22" customHeight="1">
      <c r="A6" s="68" t="n">
        <v>3</v>
      </c>
      <c r="B6" s="91" t="inlineStr">
        <is>
          <t>الإدارة التنفيذية</t>
        </is>
      </c>
      <c r="C6" s="91" t="inlineStr">
        <is>
          <t>إجمالي إيرادات الشركة السنوية</t>
        </is>
      </c>
      <c r="D6" s="68" t="inlineStr">
        <is>
          <t>ر.س</t>
        </is>
      </c>
      <c r="E6" s="92" t="inlineStr">
        <is>
          <t>تجميعي (مجموع شهري) · (الفعلي÷المستهدف)×100</t>
        </is>
      </c>
      <c r="F6" s="68" t="inlineStr">
        <is>
          <t>تصاعدي مستمر</t>
        </is>
      </c>
      <c r="G6" s="68" t="inlineStr">
        <is>
          <t>النمو</t>
        </is>
      </c>
      <c r="H6" s="91" t="inlineStr">
        <is>
          <t>زيادة وصول العملاء</t>
        </is>
      </c>
      <c r="I6" s="68" t="inlineStr">
        <is>
          <t>مالي</t>
        </is>
      </c>
      <c r="J6" s="68" t="inlineStr">
        <is>
          <t>🟣 لاحق</t>
        </is>
      </c>
      <c r="K6" s="38" t="n"/>
    </row>
    <row r="7" ht="22" customHeight="1">
      <c r="A7" s="68" t="n">
        <v>4</v>
      </c>
      <c r="B7" s="91" t="inlineStr">
        <is>
          <t>الإدارة التنفيذية</t>
        </is>
      </c>
      <c r="C7" s="91" t="inlineStr">
        <is>
          <t>نسبة نمو إيرادات الشركة (سنوي)</t>
        </is>
      </c>
      <c r="D7" s="68" t="inlineStr">
        <is>
          <t>%</t>
        </is>
      </c>
      <c r="E7" s="92" t="inlineStr">
        <is>
          <t>متوسط شهري · (الفعلي÷المستهدف)×100</t>
        </is>
      </c>
      <c r="F7" s="68" t="inlineStr">
        <is>
          <t>مستهدف تنفيذي</t>
        </is>
      </c>
      <c r="G7" s="68" t="inlineStr">
        <is>
          <t>النمو</t>
        </is>
      </c>
      <c r="H7" s="91" t="inlineStr">
        <is>
          <t>زيادة وصول العملاء</t>
        </is>
      </c>
      <c r="I7" s="68" t="inlineStr">
        <is>
          <t>مالي</t>
        </is>
      </c>
      <c r="J7" s="68" t="inlineStr">
        <is>
          <t>🔵 قائد</t>
        </is>
      </c>
      <c r="K7" s="38" t="n"/>
    </row>
    <row r="8" ht="22" customHeight="1">
      <c r="A8" s="68" t="n">
        <v>5</v>
      </c>
      <c r="B8" s="91" t="inlineStr">
        <is>
          <t>الإدارة التنفيذية</t>
        </is>
      </c>
      <c r="C8" s="91" t="inlineStr">
        <is>
          <t>نسبة إنجاز مشاريع الخارطة التنفيذية</t>
        </is>
      </c>
      <c r="D8" s="68" t="inlineStr">
        <is>
          <t>%</t>
        </is>
      </c>
      <c r="E8" s="92" t="inlineStr">
        <is>
          <t>تراكمي (آخر قيمة) · (الفعلي÷المستهدف)×100</t>
        </is>
      </c>
      <c r="F8" s="68" t="inlineStr">
        <is>
          <t>100%</t>
        </is>
      </c>
      <c r="G8" s="68" t="inlineStr">
        <is>
          <t>الابتكار</t>
        </is>
      </c>
      <c r="H8" s="91" t="inlineStr">
        <is>
          <t>إطلاق مشاريع جديدة</t>
        </is>
      </c>
      <c r="I8" s="68" t="inlineStr">
        <is>
          <t>العمليات الداخلية</t>
        </is>
      </c>
      <c r="J8" s="68" t="inlineStr">
        <is>
          <t>🟣 لاحق</t>
        </is>
      </c>
      <c r="K8" s="38" t="n"/>
    </row>
    <row r="9" ht="22" customHeight="1">
      <c r="A9" s="68" t="n">
        <v>6</v>
      </c>
      <c r="B9" s="91" t="inlineStr">
        <is>
          <t>الإدارة التنفيذية</t>
        </is>
      </c>
      <c r="C9" s="91" t="inlineStr">
        <is>
          <t>نسبة التحول الرقمي على مستوى الشركة</t>
        </is>
      </c>
      <c r="D9" s="68" t="inlineStr">
        <is>
          <t>%</t>
        </is>
      </c>
      <c r="E9" s="92" t="inlineStr">
        <is>
          <t>تراكمي (آخر قيمة) · (الفعلي÷المستهدف)×100</t>
        </is>
      </c>
      <c r="F9" s="68" t="inlineStr">
        <is>
          <t>≥ 90%</t>
        </is>
      </c>
      <c r="G9" s="68" t="inlineStr">
        <is>
          <t>الابتكار</t>
        </is>
      </c>
      <c r="H9" s="91" t="inlineStr">
        <is>
          <t>التحول التقني</t>
        </is>
      </c>
      <c r="I9" s="68" t="inlineStr">
        <is>
          <t>التعلّم والنمو</t>
        </is>
      </c>
      <c r="J9" s="68" t="inlineStr">
        <is>
          <t>🟣 لاحق</t>
        </is>
      </c>
      <c r="K9" s="38" t="n"/>
    </row>
    <row r="10" ht="22" customHeight="1">
      <c r="A10" s="68" t="n">
        <v>7</v>
      </c>
      <c r="B10" s="91" t="inlineStr">
        <is>
          <t>الإدارة التنفيذية</t>
        </is>
      </c>
      <c r="C10" s="91" t="inlineStr">
        <is>
          <t>مؤشر رضا العملاء العام (الشركة)</t>
        </is>
      </c>
      <c r="D10" s="68" t="inlineStr">
        <is>
          <t>%</t>
        </is>
      </c>
      <c r="E10" s="92" t="inlineStr">
        <is>
          <t>متوسط شهري · (الفعلي÷المستهدف)×100</t>
        </is>
      </c>
      <c r="F10" s="68" t="inlineStr">
        <is>
          <t>≥ 90%</t>
        </is>
      </c>
      <c r="G10" s="68" t="inlineStr">
        <is>
          <t>الاستدامة</t>
        </is>
      </c>
      <c r="H10" s="91" t="inlineStr">
        <is>
          <t>تعزيز تجربة العملاء</t>
        </is>
      </c>
      <c r="I10" s="68" t="inlineStr">
        <is>
          <t>العملاء</t>
        </is>
      </c>
      <c r="J10" s="68" t="inlineStr">
        <is>
          <t>🟣 لاحق</t>
        </is>
      </c>
      <c r="K10" s="38" t="n"/>
    </row>
    <row r="11" ht="22" customHeight="1">
      <c r="A11" s="68" t="n">
        <v>8</v>
      </c>
      <c r="B11" s="91" t="inlineStr">
        <is>
          <t>الإدارة التنفيذية</t>
        </is>
      </c>
      <c r="C11" s="91" t="inlineStr">
        <is>
          <t>مؤشر رضا الموظفين العام (eNPS)</t>
        </is>
      </c>
      <c r="D11" s="68" t="inlineStr">
        <is>
          <t>نقطة</t>
        </is>
      </c>
      <c r="E11" s="92" t="inlineStr">
        <is>
          <t>متوسط شهري · (الفعلي÷المستهدف)×100</t>
        </is>
      </c>
      <c r="F11" s="68" t="inlineStr">
        <is>
          <t>≥ 30</t>
        </is>
      </c>
      <c r="G11" s="68" t="inlineStr">
        <is>
          <t>الاستدامة</t>
        </is>
      </c>
      <c r="H11" s="91" t="inlineStr">
        <is>
          <t>الاستثمار في الموظفين</t>
        </is>
      </c>
      <c r="I11" s="68" t="inlineStr">
        <is>
          <t>التعلّم والنمو</t>
        </is>
      </c>
      <c r="J11" s="68" t="inlineStr">
        <is>
          <t>🟣 لاحق</t>
        </is>
      </c>
      <c r="K11" s="38" t="n"/>
    </row>
    <row r="12" ht="22" customHeight="1">
      <c r="A12" s="68" t="n">
        <v>9</v>
      </c>
      <c r="B12" s="91" t="inlineStr">
        <is>
          <t>الإدارة التنفيذية</t>
        </is>
      </c>
      <c r="C12" s="91" t="inlineStr">
        <is>
          <t>نسبة تحقيق المستهدفات الاستراتيجية العامة</t>
        </is>
      </c>
      <c r="D12" s="68" t="inlineStr">
        <is>
          <t>%</t>
        </is>
      </c>
      <c r="E12" s="92" t="inlineStr">
        <is>
          <t>متوسط شهري · (الفعلي÷المستهدف)×100</t>
        </is>
      </c>
      <c r="F12" s="68" t="inlineStr">
        <is>
          <t>100%</t>
        </is>
      </c>
      <c r="G12" s="68" t="inlineStr">
        <is>
          <t>الاستدامة</t>
        </is>
      </c>
      <c r="H12" s="91" t="inlineStr">
        <is>
          <t>جودة التشغيل</t>
        </is>
      </c>
      <c r="I12" s="68" t="inlineStr">
        <is>
          <t>العمليات الداخلية</t>
        </is>
      </c>
      <c r="J12" s="68" t="inlineStr">
        <is>
          <t>🟣 لاحق</t>
        </is>
      </c>
      <c r="K12" s="38" t="n"/>
    </row>
    <row r="13" ht="22" customHeight="1">
      <c r="A13" s="68" t="n">
        <v>10</v>
      </c>
      <c r="B13" s="91" t="inlineStr">
        <is>
          <t>الإدارة التنفيذية</t>
        </is>
      </c>
      <c r="C13" s="91" t="inlineStr">
        <is>
          <t>الالتزام بمعايير وزارة الطاقة (تغطية 13 منطقة)</t>
        </is>
      </c>
      <c r="D13" s="68" t="inlineStr">
        <is>
          <t>%</t>
        </is>
      </c>
      <c r="E13" s="92" t="inlineStr">
        <is>
          <t>تراكمي (آخر قيمة) · (الفعلي÷المستهدف)×100</t>
        </is>
      </c>
      <c r="F13" s="68" t="inlineStr">
        <is>
          <t>100%</t>
        </is>
      </c>
      <c r="G13" s="68" t="inlineStr">
        <is>
          <t>النمو</t>
        </is>
      </c>
      <c r="H13" s="91" t="inlineStr">
        <is>
          <t>التوسع في المواقع</t>
        </is>
      </c>
      <c r="I13" s="68" t="inlineStr">
        <is>
          <t>العمليات الداخلية</t>
        </is>
      </c>
      <c r="J13" s="68" t="inlineStr">
        <is>
          <t>🟣 لاحق</t>
        </is>
      </c>
      <c r="K13" s="38" t="n"/>
    </row>
    <row r="14" ht="22" customHeight="1">
      <c r="A14" s="68" t="n">
        <v>11</v>
      </c>
      <c r="B14" s="91" t="inlineStr">
        <is>
          <t>الامتياز التجاري</t>
        </is>
      </c>
      <c r="C14" s="91" t="inlineStr">
        <is>
          <t>عدد محطات الامتياز المشغّلة (تراكمي)</t>
        </is>
      </c>
      <c r="D14" s="68" t="inlineStr">
        <is>
          <t>محطة</t>
        </is>
      </c>
      <c r="E14" s="92" t="inlineStr">
        <is>
          <t>تراكمي (آخر قيمة) · (الفعلي÷المستهدف)×100</t>
        </is>
      </c>
      <c r="F14" s="68" t="inlineStr">
        <is>
          <t>150 محطة</t>
        </is>
      </c>
      <c r="G14" s="68" t="inlineStr">
        <is>
          <t>النمو</t>
        </is>
      </c>
      <c r="H14" s="91" t="inlineStr">
        <is>
          <t>التوسع في المواقع</t>
        </is>
      </c>
      <c r="I14" s="68" t="inlineStr">
        <is>
          <t>العمليات الداخلية</t>
        </is>
      </c>
      <c r="J14" s="68" t="inlineStr">
        <is>
          <t>🔵 قائد</t>
        </is>
      </c>
      <c r="K14" s="38" t="n"/>
    </row>
    <row r="15" ht="22" customHeight="1">
      <c r="A15" s="68" t="n">
        <v>12</v>
      </c>
      <c r="B15" s="91" t="inlineStr">
        <is>
          <t>الامتياز التجاري</t>
        </is>
      </c>
      <c r="C15" s="91" t="inlineStr">
        <is>
          <t>عدد عقود الامتياز الجديدة الموقّعة</t>
        </is>
      </c>
      <c r="D15" s="68" t="inlineStr">
        <is>
          <t>عقد</t>
        </is>
      </c>
      <c r="E15" s="92" t="inlineStr">
        <is>
          <t>تجميعي (مجموع شهري) · (الفعلي÷المستهدف)×100</t>
        </is>
      </c>
      <c r="F15" s="68" t="inlineStr">
        <is>
          <t>167 عقد</t>
        </is>
      </c>
      <c r="G15" s="68" t="inlineStr">
        <is>
          <t>النمو</t>
        </is>
      </c>
      <c r="H15" s="91" t="inlineStr">
        <is>
          <t>الامتياز التجاري</t>
        </is>
      </c>
      <c r="I15" s="68" t="inlineStr">
        <is>
          <t>العمليات الداخلية</t>
        </is>
      </c>
      <c r="J15" s="68" t="inlineStr">
        <is>
          <t>🔵 قائد</t>
        </is>
      </c>
      <c r="K15" s="38" t="n"/>
    </row>
    <row r="16" ht="22" customHeight="1">
      <c r="A16" s="68" t="n">
        <v>13</v>
      </c>
      <c r="B16" s="91" t="inlineStr">
        <is>
          <t>الامتياز التجاري</t>
        </is>
      </c>
      <c r="C16" s="91" t="inlineStr">
        <is>
          <t>إجمالي مبيعات وقود محطات الامتياز</t>
        </is>
      </c>
      <c r="D16" s="68" t="inlineStr">
        <is>
          <t>لتر</t>
        </is>
      </c>
      <c r="E16" s="92" t="inlineStr">
        <is>
          <t>تجميعي (مجموع شهري) · (الفعلي÷المستهدف)×100</t>
        </is>
      </c>
      <c r="F16" s="68" t="inlineStr">
        <is>
          <t>718.8M لتر</t>
        </is>
      </c>
      <c r="G16" s="68" t="inlineStr">
        <is>
          <t>النمو</t>
        </is>
      </c>
      <c r="H16" s="91" t="inlineStr">
        <is>
          <t>زيادة وصول العملاء</t>
        </is>
      </c>
      <c r="I16" s="68" t="inlineStr">
        <is>
          <t>مالي</t>
        </is>
      </c>
      <c r="J16" s="68" t="inlineStr">
        <is>
          <t>🔵 قائد</t>
        </is>
      </c>
      <c r="K16" s="38" t="n"/>
    </row>
    <row r="17" ht="22" customHeight="1">
      <c r="A17" s="68" t="n">
        <v>14</v>
      </c>
      <c r="B17" s="91" t="inlineStr">
        <is>
          <t>الامتياز التجاري</t>
        </is>
      </c>
      <c r="C17" s="91" t="inlineStr">
        <is>
          <t>نسبة المحطات التي حققت مستهدف المبيعات</t>
        </is>
      </c>
      <c r="D17" s="68" t="inlineStr">
        <is>
          <t>%</t>
        </is>
      </c>
      <c r="E17" s="92" t="inlineStr">
        <is>
          <t>متوسط شهري · (الفعلي÷المستهدف)×100</t>
        </is>
      </c>
      <c r="F17" s="68" t="inlineStr">
        <is>
          <t>90%+</t>
        </is>
      </c>
      <c r="G17" s="68" t="inlineStr">
        <is>
          <t>النمو</t>
        </is>
      </c>
      <c r="H17" s="91" t="inlineStr">
        <is>
          <t>زيادة وصول العملاء</t>
        </is>
      </c>
      <c r="I17" s="68" t="inlineStr">
        <is>
          <t>مالي</t>
        </is>
      </c>
      <c r="J17" s="68" t="inlineStr">
        <is>
          <t>🔵 قائد</t>
        </is>
      </c>
      <c r="K17" s="38" t="n"/>
    </row>
    <row r="18" ht="22" customHeight="1">
      <c r="A18" s="68" t="n">
        <v>15</v>
      </c>
      <c r="B18" s="91" t="inlineStr">
        <is>
          <t>الامتياز التجاري</t>
        </is>
      </c>
      <c r="C18" s="91" t="inlineStr">
        <is>
          <t>متوسط مبيعات المحطة الواحدة شهرياً</t>
        </is>
      </c>
      <c r="D18" s="68" t="inlineStr">
        <is>
          <t>لتر/محطة</t>
        </is>
      </c>
      <c r="E18" s="92" t="inlineStr">
        <is>
          <t>متوسط شهري · (الفعلي÷المستهدف)×100</t>
        </is>
      </c>
      <c r="F18" s="68" t="inlineStr">
        <is>
          <t>+10% نمو شهري</t>
        </is>
      </c>
      <c r="G18" s="68" t="inlineStr">
        <is>
          <t>النمو</t>
        </is>
      </c>
      <c r="H18" s="91" t="inlineStr">
        <is>
          <t>زيادة وصول العملاء</t>
        </is>
      </c>
      <c r="I18" s="68" t="inlineStr">
        <is>
          <t>مالي</t>
        </is>
      </c>
      <c r="J18" s="68" t="inlineStr">
        <is>
          <t>🔵 قائد</t>
        </is>
      </c>
      <c r="K18" s="38" t="n"/>
    </row>
    <row r="19" ht="22" customHeight="1">
      <c r="A19" s="68" t="n">
        <v>16</v>
      </c>
      <c r="B19" s="91" t="inlineStr">
        <is>
          <t>الامتياز التجاري</t>
        </is>
      </c>
      <c r="C19" s="91" t="inlineStr">
        <is>
          <t>نسبة تأجير وحدات الامتياز</t>
        </is>
      </c>
      <c r="D19" s="68" t="inlineStr">
        <is>
          <t>%</t>
        </is>
      </c>
      <c r="E19" s="92" t="inlineStr">
        <is>
          <t>متوسط شهري · (الفعلي÷المستهدف)×100</t>
        </is>
      </c>
      <c r="F19" s="68" t="inlineStr">
        <is>
          <t>70%</t>
        </is>
      </c>
      <c r="G19" s="68" t="inlineStr">
        <is>
          <t>الاستدامة</t>
        </is>
      </c>
      <c r="H19" s="91" t="inlineStr">
        <is>
          <t>منظومة التأجير</t>
        </is>
      </c>
      <c r="I19" s="68" t="inlineStr">
        <is>
          <t>العمليات الداخلية</t>
        </is>
      </c>
      <c r="J19" s="68" t="inlineStr">
        <is>
          <t>🟣 لاحق</t>
        </is>
      </c>
      <c r="K19" s="38" t="n"/>
    </row>
    <row r="20" ht="22" customHeight="1">
      <c r="A20" s="68" t="n">
        <v>17</v>
      </c>
      <c r="B20" s="91" t="inlineStr">
        <is>
          <t>الامتياز التجاري</t>
        </is>
      </c>
      <c r="C20" s="91" t="inlineStr">
        <is>
          <t>إجمالي إيرادات إدارة الامتياز</t>
        </is>
      </c>
      <c r="D20" s="68" t="inlineStr">
        <is>
          <t>ر.س</t>
        </is>
      </c>
      <c r="E20" s="92" t="inlineStr">
        <is>
          <t>تجميعي (مجموع شهري) · (الفعلي÷المستهدف)×100</t>
        </is>
      </c>
      <c r="F20" s="68" t="inlineStr">
        <is>
          <t>تصاعدي مستمر</t>
        </is>
      </c>
      <c r="G20" s="68" t="inlineStr">
        <is>
          <t>النمو</t>
        </is>
      </c>
      <c r="H20" s="91" t="inlineStr">
        <is>
          <t>الامتياز التجاري</t>
        </is>
      </c>
      <c r="I20" s="68" t="inlineStr">
        <is>
          <t>مالي</t>
        </is>
      </c>
      <c r="J20" s="68" t="inlineStr">
        <is>
          <t>🟣 لاحق</t>
        </is>
      </c>
      <c r="K20" s="38" t="n"/>
    </row>
    <row r="21" ht="22" customHeight="1">
      <c r="A21" s="68" t="n">
        <v>18</v>
      </c>
      <c r="B21" s="91" t="inlineStr">
        <is>
          <t>الامتياز التجاري</t>
        </is>
      </c>
      <c r="C21" s="91" t="inlineStr">
        <is>
          <t>رفع هامش الربحية للامتياز</t>
        </is>
      </c>
      <c r="D21" s="68" t="inlineStr">
        <is>
          <t>هللة/لتر</t>
        </is>
      </c>
      <c r="E21" s="92" t="inlineStr">
        <is>
          <t>متوسط شهري · (الفعلي÷المستهدف)×100</t>
        </is>
      </c>
      <c r="F21" s="68" t="inlineStr">
        <is>
          <t>+1.8 هللة/لتر</t>
        </is>
      </c>
      <c r="G21" s="68" t="inlineStr">
        <is>
          <t>النمو</t>
        </is>
      </c>
      <c r="H21" s="91" t="inlineStr">
        <is>
          <t>الامتياز التجاري</t>
        </is>
      </c>
      <c r="I21" s="68" t="inlineStr">
        <is>
          <t>مالي</t>
        </is>
      </c>
      <c r="J21" s="68" t="inlineStr">
        <is>
          <t>🟣 لاحق</t>
        </is>
      </c>
      <c r="K21" s="38" t="n"/>
    </row>
    <row r="22" ht="22" customHeight="1">
      <c r="A22" s="68" t="n">
        <v>19</v>
      </c>
      <c r="B22" s="91" t="inlineStr">
        <is>
          <t>الامتياز التجاري</t>
        </is>
      </c>
      <c r="C22" s="91" t="inlineStr">
        <is>
          <t>نسبة التحصيل المالي من شركاء الامتياز</t>
        </is>
      </c>
      <c r="D22" s="68" t="inlineStr">
        <is>
          <t>%</t>
        </is>
      </c>
      <c r="E22" s="92" t="inlineStr">
        <is>
          <t>متوسط شهري · (الفعلي÷المستهدف)×100</t>
        </is>
      </c>
      <c r="F22" s="68" t="inlineStr">
        <is>
          <t>95%+</t>
        </is>
      </c>
      <c r="G22" s="68" t="inlineStr">
        <is>
          <t>الاستدامة</t>
        </is>
      </c>
      <c r="H22" s="91" t="inlineStr">
        <is>
          <t>جودة التشغيل</t>
        </is>
      </c>
      <c r="I22" s="68" t="inlineStr">
        <is>
          <t>مالي</t>
        </is>
      </c>
      <c r="J22" s="68" t="inlineStr">
        <is>
          <t>🟣 لاحق</t>
        </is>
      </c>
      <c r="K22" s="38" t="n"/>
    </row>
    <row r="23" ht="22" customHeight="1">
      <c r="A23" s="68" t="n">
        <v>20</v>
      </c>
      <c r="B23" s="91" t="inlineStr">
        <is>
          <t>الامتياز التجاري</t>
        </is>
      </c>
      <c r="C23" s="91" t="inlineStr">
        <is>
          <t>متوسط أيام التحصيل (DSO)</t>
        </is>
      </c>
      <c r="D23" s="68" t="inlineStr">
        <is>
          <t>يوم</t>
        </is>
      </c>
      <c r="E23" s="92" t="inlineStr">
        <is>
          <t>متوسط شهري · (الفعلي÷المستهدف)×100</t>
        </is>
      </c>
      <c r="F23" s="68" t="inlineStr">
        <is>
          <t>≤ 30 يوم</t>
        </is>
      </c>
      <c r="G23" s="68" t="inlineStr">
        <is>
          <t>الاستدامة</t>
        </is>
      </c>
      <c r="H23" s="91" t="inlineStr">
        <is>
          <t>جودة التشغيل</t>
        </is>
      </c>
      <c r="I23" s="68" t="inlineStr">
        <is>
          <t>مالي</t>
        </is>
      </c>
      <c r="J23" s="68" t="inlineStr">
        <is>
          <t>🟣 لاحق</t>
        </is>
      </c>
      <c r="K23" s="38" t="n"/>
    </row>
    <row r="24" ht="22" customHeight="1">
      <c r="A24" s="68" t="n">
        <v>21</v>
      </c>
      <c r="B24" s="91" t="inlineStr">
        <is>
          <t>الامتياز التجاري</t>
        </is>
      </c>
      <c r="C24" s="91" t="inlineStr">
        <is>
          <t>إجمالي المستحقات المتأخرة (+30 يوم)</t>
        </is>
      </c>
      <c r="D24" s="68" t="inlineStr">
        <is>
          <t>ر.س</t>
        </is>
      </c>
      <c r="E24" s="92" t="inlineStr">
        <is>
          <t>تراكمي (آخر قيمة) · (الفعلي÷المستهدف)×100</t>
        </is>
      </c>
      <c r="F24" s="68" t="inlineStr">
        <is>
          <t>تراجع مستمر</t>
        </is>
      </c>
      <c r="G24" s="68" t="inlineStr">
        <is>
          <t>الاستدامة</t>
        </is>
      </c>
      <c r="H24" s="91" t="inlineStr">
        <is>
          <t>جودة التشغيل</t>
        </is>
      </c>
      <c r="I24" s="68" t="inlineStr">
        <is>
          <t>مالي</t>
        </is>
      </c>
      <c r="J24" s="68" t="inlineStr">
        <is>
          <t>🟣 لاحق</t>
        </is>
      </c>
      <c r="K24" s="38" t="n"/>
    </row>
    <row r="25" ht="22" customHeight="1">
      <c r="A25" s="68" t="n">
        <v>22</v>
      </c>
      <c r="B25" s="91" t="inlineStr">
        <is>
          <t>الامتياز التجاري</t>
        </is>
      </c>
      <c r="C25" s="91" t="inlineStr">
        <is>
          <t>نسبة الشركاء الملتزمين بمواعيد السداد</t>
        </is>
      </c>
      <c r="D25" s="68" t="inlineStr">
        <is>
          <t>%</t>
        </is>
      </c>
      <c r="E25" s="92" t="inlineStr">
        <is>
          <t>متوسط شهري · (الفعلي÷المستهدف)×100</t>
        </is>
      </c>
      <c r="F25" s="68" t="inlineStr">
        <is>
          <t>90%+</t>
        </is>
      </c>
      <c r="G25" s="68" t="inlineStr">
        <is>
          <t>الاستدامة</t>
        </is>
      </c>
      <c r="H25" s="91" t="inlineStr">
        <is>
          <t>جودة التشغيل</t>
        </is>
      </c>
      <c r="I25" s="68" t="inlineStr">
        <is>
          <t>مالي</t>
        </is>
      </c>
      <c r="J25" s="68" t="inlineStr">
        <is>
          <t>🟣 لاحق</t>
        </is>
      </c>
      <c r="K25" s="38" t="n"/>
    </row>
    <row r="26" ht="22" customHeight="1">
      <c r="A26" s="68" t="n">
        <v>23</v>
      </c>
      <c r="B26" s="91" t="inlineStr">
        <is>
          <t>الامتياز التجاري</t>
        </is>
      </c>
      <c r="C26" s="91" t="inlineStr">
        <is>
          <t>معدل دوران رأس المال (أيام الدورة)</t>
        </is>
      </c>
      <c r="D26" s="68" t="inlineStr">
        <is>
          <t>يوم</t>
        </is>
      </c>
      <c r="E26" s="92" t="inlineStr">
        <is>
          <t>متوسط شهري · (الفعلي÷المستهدف)×100</t>
        </is>
      </c>
      <c r="F26" s="68" t="inlineStr">
        <is>
          <t>≤ 5 أيام</t>
        </is>
      </c>
      <c r="G26" s="68" t="inlineStr">
        <is>
          <t>الاستدامة</t>
        </is>
      </c>
      <c r="H26" s="91" t="inlineStr">
        <is>
          <t>جودة التشغيل</t>
        </is>
      </c>
      <c r="I26" s="68" t="inlineStr">
        <is>
          <t>مالي</t>
        </is>
      </c>
      <c r="J26" s="68" t="inlineStr">
        <is>
          <t>🟣 لاحق</t>
        </is>
      </c>
      <c r="K26" s="38" t="n"/>
    </row>
    <row r="27" ht="22" customHeight="1">
      <c r="A27" s="68" t="n">
        <v>24</v>
      </c>
      <c r="B27" s="91" t="inlineStr">
        <is>
          <t>الامتياز التجاري</t>
        </is>
      </c>
      <c r="C27" s="91" t="inlineStr">
        <is>
          <t>نسبة جاهزية محطات الامتياز (صفر انقطاع)</t>
        </is>
      </c>
      <c r="D27" s="68" t="inlineStr">
        <is>
          <t>%</t>
        </is>
      </c>
      <c r="E27" s="92" t="inlineStr">
        <is>
          <t>متوسط شهري · (الفعلي÷المستهدف)×100</t>
        </is>
      </c>
      <c r="F27" s="68" t="inlineStr">
        <is>
          <t>99%+</t>
        </is>
      </c>
      <c r="G27" s="68" t="inlineStr">
        <is>
          <t>الاستدامة</t>
        </is>
      </c>
      <c r="H27" s="91" t="inlineStr">
        <is>
          <t>جودة التشغيل</t>
        </is>
      </c>
      <c r="I27" s="68" t="inlineStr">
        <is>
          <t>العمليات الداخلية</t>
        </is>
      </c>
      <c r="J27" s="68" t="inlineStr">
        <is>
          <t>🟣 لاحق</t>
        </is>
      </c>
      <c r="K27" s="38" t="n"/>
    </row>
    <row r="28" ht="22" customHeight="1">
      <c r="A28" s="68" t="n">
        <v>25</v>
      </c>
      <c r="B28" s="91" t="inlineStr">
        <is>
          <t>الامتياز التجاري</t>
        </is>
      </c>
      <c r="C28" s="91" t="inlineStr">
        <is>
          <t>عدد حالات انقطاع الوقود الموثّقة</t>
        </is>
      </c>
      <c r="D28" s="68" t="inlineStr">
        <is>
          <t>حالة</t>
        </is>
      </c>
      <c r="E28" s="92" t="inlineStr">
        <is>
          <t>تجميعي (مجموع شهري) · (الفعلي÷المستهدف)×100</t>
        </is>
      </c>
      <c r="F28" s="68" t="inlineStr">
        <is>
          <t>0 حالة</t>
        </is>
      </c>
      <c r="G28" s="68" t="inlineStr">
        <is>
          <t>الاستدامة</t>
        </is>
      </c>
      <c r="H28" s="91" t="inlineStr">
        <is>
          <t>جودة التشغيل</t>
        </is>
      </c>
      <c r="I28" s="68" t="inlineStr">
        <is>
          <t>العمليات الداخلية</t>
        </is>
      </c>
      <c r="J28" s="68" t="inlineStr">
        <is>
          <t>🔵 قائد</t>
        </is>
      </c>
      <c r="K28" s="38" t="n"/>
    </row>
    <row r="29" ht="22" customHeight="1">
      <c r="A29" s="68" t="n">
        <v>26</v>
      </c>
      <c r="B29" s="91" t="inlineStr">
        <is>
          <t>الامتياز التجاري</t>
        </is>
      </c>
      <c r="C29" s="91" t="inlineStr">
        <is>
          <t>نسبة إغلاق ملاحظات الجودة الميدانية</t>
        </is>
      </c>
      <c r="D29" s="68" t="inlineStr">
        <is>
          <t>%</t>
        </is>
      </c>
      <c r="E29" s="92" t="inlineStr">
        <is>
          <t>متوسط شهري · (الفعلي÷المستهدف)×100</t>
        </is>
      </c>
      <c r="F29" s="68" t="inlineStr">
        <is>
          <t>95%+</t>
        </is>
      </c>
      <c r="G29" s="68" t="inlineStr">
        <is>
          <t>الاستدامة</t>
        </is>
      </c>
      <c r="H29" s="91" t="inlineStr">
        <is>
          <t>جودة التشغيل</t>
        </is>
      </c>
      <c r="I29" s="68" t="inlineStr">
        <is>
          <t>العمليات الداخلية</t>
        </is>
      </c>
      <c r="J29" s="68" t="inlineStr">
        <is>
          <t>🟣 لاحق</t>
        </is>
      </c>
      <c r="K29" s="38" t="n"/>
    </row>
    <row r="30" ht="22" customHeight="1">
      <c r="A30" s="68" t="n">
        <v>27</v>
      </c>
      <c r="B30" s="91" t="inlineStr">
        <is>
          <t>الامتياز التجاري</t>
        </is>
      </c>
      <c r="C30" s="91" t="inlineStr">
        <is>
          <t>متوسط درجة تقييم جودة المحطة (قائمة التحقق)</t>
        </is>
      </c>
      <c r="D30" s="68" t="inlineStr">
        <is>
          <t>درجة/100</t>
        </is>
      </c>
      <c r="E30" s="92" t="inlineStr">
        <is>
          <t>متوسط شهري · (الفعلي÷المستهدف)×100</t>
        </is>
      </c>
      <c r="F30" s="68" t="inlineStr">
        <is>
          <t>85+</t>
        </is>
      </c>
      <c r="G30" s="68" t="inlineStr">
        <is>
          <t>الاستدامة</t>
        </is>
      </c>
      <c r="H30" s="91" t="inlineStr">
        <is>
          <t>جودة التشغيل</t>
        </is>
      </c>
      <c r="I30" s="68" t="inlineStr">
        <is>
          <t>العمليات الداخلية</t>
        </is>
      </c>
      <c r="J30" s="68" t="inlineStr">
        <is>
          <t>🟣 لاحق</t>
        </is>
      </c>
      <c r="K30" s="38" t="n"/>
    </row>
    <row r="31" ht="22" customHeight="1">
      <c r="A31" s="68" t="n">
        <v>28</v>
      </c>
      <c r="B31" s="91" t="inlineStr">
        <is>
          <t>الامتياز التجاري</t>
        </is>
      </c>
      <c r="C31" s="91" t="inlineStr">
        <is>
          <t>نسبة تنفيذ الزيارات الميدانية المجدولة</t>
        </is>
      </c>
      <c r="D31" s="68" t="inlineStr">
        <is>
          <t>%</t>
        </is>
      </c>
      <c r="E31" s="92" t="inlineStr">
        <is>
          <t>متوسط شهري · (الفعلي÷المستهدف)×100</t>
        </is>
      </c>
      <c r="F31" s="68" t="inlineStr">
        <is>
          <t>100%</t>
        </is>
      </c>
      <c r="G31" s="68" t="inlineStr">
        <is>
          <t>الاستدامة</t>
        </is>
      </c>
      <c r="H31" s="91" t="inlineStr">
        <is>
          <t>جودة التشغيل</t>
        </is>
      </c>
      <c r="I31" s="68" t="inlineStr">
        <is>
          <t>العمليات الداخلية</t>
        </is>
      </c>
      <c r="J31" s="68" t="inlineStr">
        <is>
          <t>🔵 قائد</t>
        </is>
      </c>
      <c r="K31" s="38" t="n"/>
    </row>
    <row r="32" ht="22" customHeight="1">
      <c r="A32" s="68" t="n">
        <v>29</v>
      </c>
      <c r="B32" s="91" t="inlineStr">
        <is>
          <t>الامتياز التجاري</t>
        </is>
      </c>
      <c r="C32" s="91" t="inlineStr">
        <is>
          <t>نسبة المحطات المستوفية لمعايير السلامة</t>
        </is>
      </c>
      <c r="D32" s="68" t="inlineStr">
        <is>
          <t>%</t>
        </is>
      </c>
      <c r="E32" s="92" t="inlineStr">
        <is>
          <t>متوسط شهري · (الفعلي÷المستهدف)×100</t>
        </is>
      </c>
      <c r="F32" s="68" t="inlineStr">
        <is>
          <t>100%</t>
        </is>
      </c>
      <c r="G32" s="68" t="inlineStr">
        <is>
          <t>الاستدامة</t>
        </is>
      </c>
      <c r="H32" s="91" t="inlineStr">
        <is>
          <t>جودة التشغيل</t>
        </is>
      </c>
      <c r="I32" s="68" t="inlineStr">
        <is>
          <t>العمليات الداخلية</t>
        </is>
      </c>
      <c r="J32" s="68" t="inlineStr">
        <is>
          <t>🟣 لاحق</t>
        </is>
      </c>
      <c r="K32" s="38" t="n"/>
    </row>
    <row r="33" ht="22" customHeight="1">
      <c r="A33" s="68" t="n">
        <v>30</v>
      </c>
      <c r="B33" s="91" t="inlineStr">
        <is>
          <t>الامتياز التجاري</t>
        </is>
      </c>
      <c r="C33" s="91" t="inlineStr">
        <is>
          <t>متوسط وقت معالجة البلاغات التشغيلية</t>
        </is>
      </c>
      <c r="D33" s="68" t="inlineStr">
        <is>
          <t>ساعة</t>
        </is>
      </c>
      <c r="E33" s="92" t="inlineStr">
        <is>
          <t>متوسط شهري · (الفعلي÷المستهدف)×100</t>
        </is>
      </c>
      <c r="F33" s="68" t="inlineStr">
        <is>
          <t>≤ 24 ساعة</t>
        </is>
      </c>
      <c r="G33" s="68" t="inlineStr">
        <is>
          <t>الاستدامة</t>
        </is>
      </c>
      <c r="H33" s="91" t="inlineStr">
        <is>
          <t>جودة التشغيل</t>
        </is>
      </c>
      <c r="I33" s="68" t="inlineStr">
        <is>
          <t>العمليات الداخلية</t>
        </is>
      </c>
      <c r="J33" s="68" t="inlineStr">
        <is>
          <t>🟣 لاحق</t>
        </is>
      </c>
      <c r="K33" s="38" t="n"/>
    </row>
    <row r="34" ht="22" customHeight="1">
      <c r="A34" s="68" t="n">
        <v>31</v>
      </c>
      <c r="B34" s="91" t="inlineStr">
        <is>
          <t>الامتياز التجاري</t>
        </is>
      </c>
      <c r="C34" s="91" t="inlineStr">
        <is>
          <t>نسبة أتمتة محطات الامتياز</t>
        </is>
      </c>
      <c r="D34" s="68" t="inlineStr">
        <is>
          <t>%</t>
        </is>
      </c>
      <c r="E34" s="92" t="inlineStr">
        <is>
          <t>تراكمي (آخر قيمة) · (الفعلي÷المستهدف)×100</t>
        </is>
      </c>
      <c r="F34" s="68" t="inlineStr">
        <is>
          <t>90%</t>
        </is>
      </c>
      <c r="G34" s="68" t="inlineStr">
        <is>
          <t>الابتكار</t>
        </is>
      </c>
      <c r="H34" s="91" t="inlineStr">
        <is>
          <t>التحول التقني</t>
        </is>
      </c>
      <c r="I34" s="68" t="inlineStr">
        <is>
          <t>التعلّم والنمو</t>
        </is>
      </c>
      <c r="J34" s="68" t="inlineStr">
        <is>
          <t>🟣 لاحق</t>
        </is>
      </c>
      <c r="K34" s="38" t="n"/>
    </row>
    <row r="35" ht="22" customHeight="1">
      <c r="A35" s="68" t="n">
        <v>32</v>
      </c>
      <c r="B35" s="91" t="inlineStr">
        <is>
          <t>الامتياز التجاري</t>
        </is>
      </c>
      <c r="C35" s="91" t="inlineStr">
        <is>
          <t>نسبة تطبيق المعيار الشامل داخل المحطات</t>
        </is>
      </c>
      <c r="D35" s="68" t="inlineStr">
        <is>
          <t>%</t>
        </is>
      </c>
      <c r="E35" s="92" t="inlineStr">
        <is>
          <t>تراكمي (آخر قيمة) · (الفعلي÷المستهدف)×100</t>
        </is>
      </c>
      <c r="F35" s="68" t="inlineStr">
        <is>
          <t>30%</t>
        </is>
      </c>
      <c r="G35" s="68" t="inlineStr">
        <is>
          <t>الابتكار</t>
        </is>
      </c>
      <c r="H35" s="91" t="inlineStr">
        <is>
          <t>التحول التقني</t>
        </is>
      </c>
      <c r="I35" s="68" t="inlineStr">
        <is>
          <t>العمليات الداخلية</t>
        </is>
      </c>
      <c r="J35" s="68" t="inlineStr">
        <is>
          <t>🟣 لاحق</t>
        </is>
      </c>
      <c r="K35" s="38" t="n"/>
    </row>
    <row r="36" ht="22" customHeight="1">
      <c r="A36" s="68" t="n">
        <v>33</v>
      </c>
      <c r="B36" s="91" t="inlineStr">
        <is>
          <t>الامتياز التجاري</t>
        </is>
      </c>
      <c r="C36" s="91" t="inlineStr">
        <is>
          <t>نسبة التزام المحطات بالهوية المؤسسية</t>
        </is>
      </c>
      <c r="D36" s="68" t="inlineStr">
        <is>
          <t>%</t>
        </is>
      </c>
      <c r="E36" s="92" t="inlineStr">
        <is>
          <t>تراكمي (آخر قيمة) · (الفعلي÷المستهدف)×100</t>
        </is>
      </c>
      <c r="F36" s="68" t="inlineStr">
        <is>
          <t>55%</t>
        </is>
      </c>
      <c r="G36" s="68" t="inlineStr">
        <is>
          <t>الابتكار</t>
        </is>
      </c>
      <c r="H36" s="91" t="inlineStr">
        <is>
          <t>تطوير التصاميم والهوية</t>
        </is>
      </c>
      <c r="I36" s="68" t="inlineStr">
        <is>
          <t>التعلّم والنمو</t>
        </is>
      </c>
      <c r="J36" s="68" t="inlineStr">
        <is>
          <t>🟣 لاحق</t>
        </is>
      </c>
      <c r="K36" s="38" t="n"/>
    </row>
    <row r="37" ht="22" customHeight="1">
      <c r="A37" s="68" t="n">
        <v>34</v>
      </c>
      <c r="B37" s="91" t="inlineStr">
        <is>
          <t>الامتياز التجاري</t>
        </is>
      </c>
      <c r="C37" s="91" t="inlineStr">
        <is>
          <t>نسبة العقود التي تغطي المناطق الـ13</t>
        </is>
      </c>
      <c r="D37" s="68" t="inlineStr">
        <is>
          <t>%</t>
        </is>
      </c>
      <c r="E37" s="92" t="inlineStr">
        <is>
          <t>تراكمي (آخر قيمة) · (الفعلي÷المستهدف)×100</t>
        </is>
      </c>
      <c r="F37" s="68" t="inlineStr">
        <is>
          <t>100%</t>
        </is>
      </c>
      <c r="G37" s="68" t="inlineStr">
        <is>
          <t>النمو</t>
        </is>
      </c>
      <c r="H37" s="91" t="inlineStr">
        <is>
          <t>التوسع في المواقع</t>
        </is>
      </c>
      <c r="I37" s="68" t="inlineStr">
        <is>
          <t>العمليات الداخلية</t>
        </is>
      </c>
      <c r="J37" s="68" t="inlineStr">
        <is>
          <t>🟣 لاحق</t>
        </is>
      </c>
      <c r="K37" s="38" t="n"/>
    </row>
    <row r="38" ht="22" customHeight="1">
      <c r="A38" s="68" t="n">
        <v>35</v>
      </c>
      <c r="B38" s="91" t="inlineStr">
        <is>
          <t>الامتياز التجاري</t>
        </is>
      </c>
      <c r="C38" s="91" t="inlineStr">
        <is>
          <t>نسبة العقود في الـ12 مدينة الرئيسية</t>
        </is>
      </c>
      <c r="D38" s="68" t="inlineStr">
        <is>
          <t>%</t>
        </is>
      </c>
      <c r="E38" s="92" t="inlineStr">
        <is>
          <t>تراكمي (آخر قيمة) · (الفعلي÷المستهدف)×100</t>
        </is>
      </c>
      <c r="F38" s="68" t="inlineStr">
        <is>
          <t>&lt; 40%</t>
        </is>
      </c>
      <c r="G38" s="68" t="inlineStr">
        <is>
          <t>النمو</t>
        </is>
      </c>
      <c r="H38" s="91" t="inlineStr">
        <is>
          <t>التوسع في المواقع</t>
        </is>
      </c>
      <c r="I38" s="68" t="inlineStr">
        <is>
          <t>العمليات الداخلية</t>
        </is>
      </c>
      <c r="J38" s="68" t="inlineStr">
        <is>
          <t>🟣 لاحق</t>
        </is>
      </c>
      <c r="K38" s="38" t="n"/>
    </row>
    <row r="39" ht="22" customHeight="1">
      <c r="A39" s="68" t="n">
        <v>36</v>
      </c>
      <c r="B39" s="91" t="inlineStr">
        <is>
          <t>الامتياز التجاري</t>
        </is>
      </c>
      <c r="C39" s="91" t="inlineStr">
        <is>
          <t>نسبة العقود خارج المدن الرئيسية</t>
        </is>
      </c>
      <c r="D39" s="68" t="inlineStr">
        <is>
          <t>%</t>
        </is>
      </c>
      <c r="E39" s="92" t="inlineStr">
        <is>
          <t>تراكمي (آخر قيمة) · (الفعلي÷المستهدف)×100</t>
        </is>
      </c>
      <c r="F39" s="68" t="inlineStr">
        <is>
          <t>&gt; 60%</t>
        </is>
      </c>
      <c r="G39" s="68" t="inlineStr">
        <is>
          <t>النمو</t>
        </is>
      </c>
      <c r="H39" s="91" t="inlineStr">
        <is>
          <t>التوسع في المواقع</t>
        </is>
      </c>
      <c r="I39" s="68" t="inlineStr">
        <is>
          <t>العمليات الداخلية</t>
        </is>
      </c>
      <c r="J39" s="68" t="inlineStr">
        <is>
          <t>🟣 لاحق</t>
        </is>
      </c>
      <c r="K39" s="38" t="n"/>
    </row>
    <row r="40" ht="22" customHeight="1">
      <c r="A40" s="68" t="n">
        <v>37</v>
      </c>
      <c r="B40" s="91" t="inlineStr">
        <is>
          <t>الامتياز التجاري</t>
        </is>
      </c>
      <c r="C40" s="91" t="inlineStr">
        <is>
          <t>نسبة العقود على الطرق الإقليمية</t>
        </is>
      </c>
      <c r="D40" s="68" t="inlineStr">
        <is>
          <t>%</t>
        </is>
      </c>
      <c r="E40" s="92" t="inlineStr">
        <is>
          <t>تراكمي (آخر قيمة) · (الفعلي÷المستهدف)×100</t>
        </is>
      </c>
      <c r="F40" s="68" t="inlineStr">
        <is>
          <t>&gt; 25%</t>
        </is>
      </c>
      <c r="G40" s="68" t="inlineStr">
        <is>
          <t>النمو</t>
        </is>
      </c>
      <c r="H40" s="91" t="inlineStr">
        <is>
          <t>التوسع في المواقع</t>
        </is>
      </c>
      <c r="I40" s="68" t="inlineStr">
        <is>
          <t>العمليات الداخلية</t>
        </is>
      </c>
      <c r="J40" s="68" t="inlineStr">
        <is>
          <t>🟣 لاحق</t>
        </is>
      </c>
      <c r="K40" s="38" t="n"/>
    </row>
    <row r="41" ht="22" customHeight="1">
      <c r="A41" s="68" t="n">
        <v>38</v>
      </c>
      <c r="B41" s="91" t="inlineStr">
        <is>
          <t>الامتياز التجاري</t>
        </is>
      </c>
      <c r="C41" s="91" t="inlineStr">
        <is>
          <t>متوسط تقييم المحطات على خرائط قوقل</t>
        </is>
      </c>
      <c r="D41" s="68" t="inlineStr">
        <is>
          <t>نجمة/5</t>
        </is>
      </c>
      <c r="E41" s="92" t="inlineStr">
        <is>
          <t>متوسط شهري · (الفعلي÷المستهدف)×100</t>
        </is>
      </c>
      <c r="F41" s="68" t="inlineStr">
        <is>
          <t>≥ 4.7 نجمة</t>
        </is>
      </c>
      <c r="G41" s="68" t="inlineStr">
        <is>
          <t>الاستدامة</t>
        </is>
      </c>
      <c r="H41" s="91" t="inlineStr">
        <is>
          <t>تعزيز تجربة العملاء</t>
        </is>
      </c>
      <c r="I41" s="68" t="inlineStr">
        <is>
          <t>العملاء</t>
        </is>
      </c>
      <c r="J41" s="68" t="inlineStr">
        <is>
          <t>🟣 لاحق</t>
        </is>
      </c>
      <c r="K41" s="38" t="n"/>
    </row>
    <row r="42" ht="22" customHeight="1">
      <c r="A42" s="68" t="n">
        <v>39</v>
      </c>
      <c r="B42" s="91" t="inlineStr">
        <is>
          <t>الامتياز التجاري</t>
        </is>
      </c>
      <c r="C42" s="91" t="inlineStr">
        <is>
          <t>معدل رضا شركاء الامتياز (CSAT)</t>
        </is>
      </c>
      <c r="D42" s="68" t="inlineStr">
        <is>
          <t>%</t>
        </is>
      </c>
      <c r="E42" s="92" t="inlineStr">
        <is>
          <t>متوسط شهري · (الفعلي÷المستهدف)×100</t>
        </is>
      </c>
      <c r="F42" s="68" t="inlineStr">
        <is>
          <t>90%+</t>
        </is>
      </c>
      <c r="G42" s="68" t="inlineStr">
        <is>
          <t>الاستدامة</t>
        </is>
      </c>
      <c r="H42" s="91" t="inlineStr">
        <is>
          <t>تعزيز تجربة العملاء</t>
        </is>
      </c>
      <c r="I42" s="68" t="inlineStr">
        <is>
          <t>العملاء</t>
        </is>
      </c>
      <c r="J42" s="68" t="inlineStr">
        <is>
          <t>🟣 لاحق</t>
        </is>
      </c>
      <c r="K42" s="38" t="n"/>
    </row>
    <row r="43" ht="22" customHeight="1">
      <c r="A43" s="68" t="n">
        <v>40</v>
      </c>
      <c r="B43" s="91" t="inlineStr">
        <is>
          <t>الامتياز التجاري</t>
        </is>
      </c>
      <c r="C43" s="91" t="inlineStr">
        <is>
          <t>نسبة حل الشكاوى خلال المدة المحددة</t>
        </is>
      </c>
      <c r="D43" s="68" t="inlineStr">
        <is>
          <t>%</t>
        </is>
      </c>
      <c r="E43" s="92" t="inlineStr">
        <is>
          <t>متوسط شهري · (الفعلي÷المستهدف)×100</t>
        </is>
      </c>
      <c r="F43" s="68" t="inlineStr">
        <is>
          <t>95%+</t>
        </is>
      </c>
      <c r="G43" s="68" t="inlineStr">
        <is>
          <t>الاستدامة</t>
        </is>
      </c>
      <c r="H43" s="91" t="inlineStr">
        <is>
          <t>تعزيز تجربة العملاء</t>
        </is>
      </c>
      <c r="I43" s="68" t="inlineStr">
        <is>
          <t>العملاء</t>
        </is>
      </c>
      <c r="J43" s="68" t="inlineStr">
        <is>
          <t>🟣 لاحق</t>
        </is>
      </c>
      <c r="K43" s="38" t="n"/>
    </row>
    <row r="44" ht="22" customHeight="1">
      <c r="A44" s="68" t="n">
        <v>41</v>
      </c>
      <c r="B44" s="91" t="inlineStr">
        <is>
          <t>الامتياز التجاري</t>
        </is>
      </c>
      <c r="C44" s="91" t="inlineStr">
        <is>
          <t>نسبة انخفاض الشكاوى التشغيلية والإدارية</t>
        </is>
      </c>
      <c r="D44" s="68" t="inlineStr">
        <is>
          <t>%</t>
        </is>
      </c>
      <c r="E44" s="92" t="inlineStr">
        <is>
          <t>متوسط شهري · (الفعلي÷المستهدف)×100</t>
        </is>
      </c>
      <c r="F44" s="68" t="inlineStr">
        <is>
          <t>-30%</t>
        </is>
      </c>
      <c r="G44" s="68" t="inlineStr">
        <is>
          <t>الاستدامة</t>
        </is>
      </c>
      <c r="H44" s="91" t="inlineStr">
        <is>
          <t>تعزيز تجربة العملاء</t>
        </is>
      </c>
      <c r="I44" s="68" t="inlineStr">
        <is>
          <t>العملاء</t>
        </is>
      </c>
      <c r="J44" s="68" t="inlineStr">
        <is>
          <t>🟣 لاحق</t>
        </is>
      </c>
      <c r="K44" s="38" t="n"/>
    </row>
    <row r="45" ht="22" customHeight="1">
      <c r="A45" s="68" t="n">
        <v>42</v>
      </c>
      <c r="B45" s="91" t="inlineStr">
        <is>
          <t>الامتياز التجاري</t>
        </is>
      </c>
      <c r="C45" s="91" t="inlineStr">
        <is>
          <t>نسبة استدامة أصحاب الامتياز (Retention)</t>
        </is>
      </c>
      <c r="D45" s="68" t="inlineStr">
        <is>
          <t>%</t>
        </is>
      </c>
      <c r="E45" s="92" t="inlineStr">
        <is>
          <t>تراكمي (آخر قيمة) · (الفعلي÷المستهدف)×100</t>
        </is>
      </c>
      <c r="F45" s="68" t="inlineStr">
        <is>
          <t>90%</t>
        </is>
      </c>
      <c r="G45" s="68" t="inlineStr">
        <is>
          <t>الاستدامة</t>
        </is>
      </c>
      <c r="H45" s="91" t="inlineStr">
        <is>
          <t>تعزيز تجربة العملاء</t>
        </is>
      </c>
      <c r="I45" s="68" t="inlineStr">
        <is>
          <t>العمليات الداخلية</t>
        </is>
      </c>
      <c r="J45" s="68" t="inlineStr">
        <is>
          <t>🟣 لاحق</t>
        </is>
      </c>
      <c r="K45" s="38" t="n"/>
    </row>
    <row r="46" ht="22" customHeight="1">
      <c r="A46" s="68" t="n">
        <v>43</v>
      </c>
      <c r="B46" s="91" t="inlineStr">
        <is>
          <t>الامتياز التجاري</t>
        </is>
      </c>
      <c r="C46" s="91" t="inlineStr">
        <is>
          <t>نسبة زيادة عدد أصحاب الامتياز</t>
        </is>
      </c>
      <c r="D46" s="68" t="inlineStr">
        <is>
          <t>%</t>
        </is>
      </c>
      <c r="E46" s="92" t="inlineStr">
        <is>
          <t>تراكمي (آخر قيمة) · (الفعلي÷المستهدف)×100</t>
        </is>
      </c>
      <c r="F46" s="68" t="inlineStr">
        <is>
          <t>100% نمو</t>
        </is>
      </c>
      <c r="G46" s="68" t="inlineStr">
        <is>
          <t>الاستدامة</t>
        </is>
      </c>
      <c r="H46" s="91" t="inlineStr">
        <is>
          <t>تعزيز تجربة العملاء</t>
        </is>
      </c>
      <c r="I46" s="68" t="inlineStr">
        <is>
          <t>العمليات الداخلية</t>
        </is>
      </c>
      <c r="J46" s="68" t="inlineStr">
        <is>
          <t>🔵 قائد</t>
        </is>
      </c>
      <c r="K46" s="38" t="n"/>
    </row>
    <row r="47" ht="22" customHeight="1">
      <c r="A47" s="68" t="n">
        <v>44</v>
      </c>
      <c r="B47" s="91" t="inlineStr">
        <is>
          <t>الامتياز التجاري</t>
        </is>
      </c>
      <c r="C47" s="91" t="inlineStr">
        <is>
          <t>نسبة اكتمال المستندات النظامية قبل التوقيع</t>
        </is>
      </c>
      <c r="D47" s="68" t="inlineStr">
        <is>
          <t>%</t>
        </is>
      </c>
      <c r="E47" s="92" t="inlineStr">
        <is>
          <t>متوسط شهري · (الفعلي÷المستهدف)×100</t>
        </is>
      </c>
      <c r="F47" s="68" t="inlineStr">
        <is>
          <t>100%</t>
        </is>
      </c>
      <c r="G47" s="68" t="inlineStr">
        <is>
          <t>الاستدامة</t>
        </is>
      </c>
      <c r="H47" s="91" t="inlineStr">
        <is>
          <t>جودة التشغيل</t>
        </is>
      </c>
      <c r="I47" s="68" t="inlineStr">
        <is>
          <t>العمليات الداخلية</t>
        </is>
      </c>
      <c r="J47" s="68" t="inlineStr">
        <is>
          <t>🟣 لاحق</t>
        </is>
      </c>
      <c r="K47" s="38" t="n"/>
    </row>
    <row r="48" ht="22" customHeight="1">
      <c r="A48" s="68" t="n">
        <v>45</v>
      </c>
      <c r="B48" s="91" t="inlineStr">
        <is>
          <t>الامتياز التجاري</t>
        </is>
      </c>
      <c r="C48" s="91" t="inlineStr">
        <is>
          <t>متوسط مدة إغلاق عقد الامتياز</t>
        </is>
      </c>
      <c r="D48" s="68" t="inlineStr">
        <is>
          <t>أسبوع</t>
        </is>
      </c>
      <c r="E48" s="92" t="inlineStr">
        <is>
          <t>متوسط شهري · (الفعلي÷المستهدف)×100</t>
        </is>
      </c>
      <c r="F48" s="68" t="inlineStr">
        <is>
          <t>≤ أسبوع</t>
        </is>
      </c>
      <c r="G48" s="68" t="inlineStr">
        <is>
          <t>النمو</t>
        </is>
      </c>
      <c r="H48" s="91" t="inlineStr">
        <is>
          <t>الامتياز التجاري</t>
        </is>
      </c>
      <c r="I48" s="68" t="inlineStr">
        <is>
          <t>العمليات الداخلية</t>
        </is>
      </c>
      <c r="J48" s="68" t="inlineStr">
        <is>
          <t>🟣 لاحق</t>
        </is>
      </c>
      <c r="K48" s="38" t="n"/>
    </row>
    <row r="49" ht="22" customHeight="1">
      <c r="A49" s="68" t="n">
        <v>46</v>
      </c>
      <c r="B49" s="91" t="inlineStr">
        <is>
          <t>الامتياز التجاري</t>
        </is>
      </c>
      <c r="C49" s="91" t="inlineStr">
        <is>
          <t>نسبة إنجاز التقارير الدورية في موعدها</t>
        </is>
      </c>
      <c r="D49" s="68" t="inlineStr">
        <is>
          <t>%</t>
        </is>
      </c>
      <c r="E49" s="92" t="inlineStr">
        <is>
          <t>متوسط شهري · (الفعلي÷المستهدف)×100</t>
        </is>
      </c>
      <c r="F49" s="68" t="inlineStr">
        <is>
          <t>100%</t>
        </is>
      </c>
      <c r="G49" s="68" t="inlineStr">
        <is>
          <t>الاستدامة</t>
        </is>
      </c>
      <c r="H49" s="91" t="inlineStr">
        <is>
          <t>جودة التشغيل</t>
        </is>
      </c>
      <c r="I49" s="68" t="inlineStr">
        <is>
          <t>العمليات الداخلية</t>
        </is>
      </c>
      <c r="J49" s="68" t="inlineStr">
        <is>
          <t>🟣 لاحق</t>
        </is>
      </c>
      <c r="K49" s="38" t="n"/>
    </row>
    <row r="50" ht="22" customHeight="1">
      <c r="A50" s="68" t="n">
        <v>47</v>
      </c>
      <c r="B50" s="91" t="inlineStr">
        <is>
          <t>التشغيل والمحطات</t>
        </is>
      </c>
      <c r="C50" s="91" t="inlineStr">
        <is>
          <t>عدد المحطات المشغّلة (تراكمي)</t>
        </is>
      </c>
      <c r="D50" s="68" t="inlineStr">
        <is>
          <t>محطة</t>
        </is>
      </c>
      <c r="E50" s="92" t="inlineStr">
        <is>
          <t>تراكمي (آخر قيمة) · (الفعلي÷المستهدف)×100</t>
        </is>
      </c>
      <c r="F50" s="68" t="inlineStr">
        <is>
          <t>85 محطة</t>
        </is>
      </c>
      <c r="G50" s="68" t="inlineStr">
        <is>
          <t>النمو</t>
        </is>
      </c>
      <c r="H50" s="91" t="inlineStr">
        <is>
          <t>التوسع في المواقع</t>
        </is>
      </c>
      <c r="I50" s="68" t="inlineStr">
        <is>
          <t>العمليات الداخلية</t>
        </is>
      </c>
      <c r="J50" s="68" t="inlineStr">
        <is>
          <t>🔵 قائد</t>
        </is>
      </c>
      <c r="K50" s="38" t="n"/>
    </row>
    <row r="51" ht="22" customHeight="1">
      <c r="A51" s="68" t="n">
        <v>48</v>
      </c>
      <c r="B51" s="91" t="inlineStr">
        <is>
          <t>التشغيل والمحطات</t>
        </is>
      </c>
      <c r="C51" s="91" t="inlineStr">
        <is>
          <t>نمو مبيعات بنزين 91 مقارنة بالعام السابق</t>
        </is>
      </c>
      <c r="D51" s="68" t="inlineStr">
        <is>
          <t>%</t>
        </is>
      </c>
      <c r="E51" s="92" t="inlineStr">
        <is>
          <t>متوسط شهري · (الفعلي÷المستهدف)×100</t>
        </is>
      </c>
      <c r="F51" s="68" t="inlineStr">
        <is>
          <t>يُحدد لاحقاً</t>
        </is>
      </c>
      <c r="G51" s="68" t="inlineStr">
        <is>
          <t>النمو</t>
        </is>
      </c>
      <c r="H51" s="91" t="inlineStr">
        <is>
          <t>زيادة وصول العملاء</t>
        </is>
      </c>
      <c r="I51" s="68" t="inlineStr">
        <is>
          <t>مالي</t>
        </is>
      </c>
      <c r="J51" s="68" t="inlineStr">
        <is>
          <t>🔵 قائد</t>
        </is>
      </c>
      <c r="K51" s="38" t="n"/>
    </row>
    <row r="52" ht="22" customHeight="1">
      <c r="A52" s="68" t="n">
        <v>49</v>
      </c>
      <c r="B52" s="91" t="inlineStr">
        <is>
          <t>التشغيل والمحطات</t>
        </is>
      </c>
      <c r="C52" s="91" t="inlineStr">
        <is>
          <t>نمو مبيعات بنزين 95 مقارنة بالعام السابق</t>
        </is>
      </c>
      <c r="D52" s="68" t="inlineStr">
        <is>
          <t>%</t>
        </is>
      </c>
      <c r="E52" s="92" t="inlineStr">
        <is>
          <t>متوسط شهري · (الفعلي÷المستهدف)×100</t>
        </is>
      </c>
      <c r="F52" s="68" t="inlineStr">
        <is>
          <t>يُحدد لاحقاً</t>
        </is>
      </c>
      <c r="G52" s="68" t="inlineStr">
        <is>
          <t>النمو</t>
        </is>
      </c>
      <c r="H52" s="91" t="inlineStr">
        <is>
          <t>زيادة وصول العملاء</t>
        </is>
      </c>
      <c r="I52" s="68" t="inlineStr">
        <is>
          <t>مالي</t>
        </is>
      </c>
      <c r="J52" s="68" t="inlineStr">
        <is>
          <t>🔵 قائد</t>
        </is>
      </c>
      <c r="K52" s="38" t="n"/>
    </row>
    <row r="53" ht="22" customHeight="1">
      <c r="A53" s="68" t="n">
        <v>50</v>
      </c>
      <c r="B53" s="91" t="inlineStr">
        <is>
          <t>التشغيل والمحطات</t>
        </is>
      </c>
      <c r="C53" s="91" t="inlineStr">
        <is>
          <t>نمو مبيعات بنزين 98 مقارنة بالعام السابق</t>
        </is>
      </c>
      <c r="D53" s="68" t="inlineStr">
        <is>
          <t>%</t>
        </is>
      </c>
      <c r="E53" s="92" t="inlineStr">
        <is>
          <t>متوسط شهري · (الفعلي÷المستهدف)×100</t>
        </is>
      </c>
      <c r="F53" s="68" t="inlineStr">
        <is>
          <t>يُحدد لاحقاً</t>
        </is>
      </c>
      <c r="G53" s="68" t="inlineStr">
        <is>
          <t>النمو</t>
        </is>
      </c>
      <c r="H53" s="91" t="inlineStr">
        <is>
          <t>زيادة وصول العملاء</t>
        </is>
      </c>
      <c r="I53" s="68" t="inlineStr">
        <is>
          <t>مالي</t>
        </is>
      </c>
      <c r="J53" s="68" t="inlineStr">
        <is>
          <t>🔵 قائد</t>
        </is>
      </c>
      <c r="K53" s="38" t="n"/>
    </row>
    <row r="54" ht="22" customHeight="1">
      <c r="A54" s="68" t="n">
        <v>51</v>
      </c>
      <c r="B54" s="91" t="inlineStr">
        <is>
          <t>التشغيل والمحطات</t>
        </is>
      </c>
      <c r="C54" s="91" t="inlineStr">
        <is>
          <t>نمو مبيعات الديزل مقارنة بالعام السابق</t>
        </is>
      </c>
      <c r="D54" s="68" t="inlineStr">
        <is>
          <t>%</t>
        </is>
      </c>
      <c r="E54" s="92" t="inlineStr">
        <is>
          <t>متوسط شهري · (الفعلي÷المستهدف)×100</t>
        </is>
      </c>
      <c r="F54" s="68" t="inlineStr">
        <is>
          <t>يُحدد لاحقاً</t>
        </is>
      </c>
      <c r="G54" s="68" t="inlineStr">
        <is>
          <t>النمو</t>
        </is>
      </c>
      <c r="H54" s="91" t="inlineStr">
        <is>
          <t>زيادة وصول العملاء</t>
        </is>
      </c>
      <c r="I54" s="68" t="inlineStr">
        <is>
          <t>مالي</t>
        </is>
      </c>
      <c r="J54" s="68" t="inlineStr">
        <is>
          <t>🔵 قائد</t>
        </is>
      </c>
      <c r="K54" s="38" t="n"/>
    </row>
    <row r="55" ht="22" customHeight="1">
      <c r="A55" s="68" t="n">
        <v>52</v>
      </c>
      <c r="B55" s="91" t="inlineStr">
        <is>
          <t>التشغيل والمحطات</t>
        </is>
      </c>
      <c r="C55" s="91" t="inlineStr">
        <is>
          <t>نسبة جاهزية المحطة الشاملة (Uptime)</t>
        </is>
      </c>
      <c r="D55" s="68" t="inlineStr">
        <is>
          <t>%</t>
        </is>
      </c>
      <c r="E55" s="92" t="inlineStr">
        <is>
          <t>متوسط شهري · (الفعلي÷المستهدف)×100</t>
        </is>
      </c>
      <c r="F55" s="68" t="inlineStr">
        <is>
          <t>99%+</t>
        </is>
      </c>
      <c r="G55" s="68" t="inlineStr">
        <is>
          <t>الاستدامة</t>
        </is>
      </c>
      <c r="H55" s="91" t="inlineStr">
        <is>
          <t>جودة التشغيل</t>
        </is>
      </c>
      <c r="I55" s="68" t="inlineStr">
        <is>
          <t>العمليات الداخلية</t>
        </is>
      </c>
      <c r="J55" s="68" t="inlineStr">
        <is>
          <t>🟣 لاحق</t>
        </is>
      </c>
      <c r="K55" s="38" t="n"/>
    </row>
    <row r="56" ht="22" customHeight="1">
      <c r="A56" s="68" t="n">
        <v>53</v>
      </c>
      <c r="B56" s="91" t="inlineStr">
        <is>
          <t>التشغيل والمحطات</t>
        </is>
      </c>
      <c r="C56" s="91" t="inlineStr">
        <is>
          <t>نسبة المضخات العاملة</t>
        </is>
      </c>
      <c r="D56" s="68" t="inlineStr">
        <is>
          <t>%</t>
        </is>
      </c>
      <c r="E56" s="92" t="inlineStr">
        <is>
          <t>متوسط شهري · (الفعلي÷المستهدف)×100</t>
        </is>
      </c>
      <c r="F56" s="68" t="inlineStr">
        <is>
          <t>≥ 97%</t>
        </is>
      </c>
      <c r="G56" s="68" t="inlineStr">
        <is>
          <t>الاستدامة</t>
        </is>
      </c>
      <c r="H56" s="91" t="inlineStr">
        <is>
          <t>جودة التشغيل</t>
        </is>
      </c>
      <c r="I56" s="68" t="inlineStr">
        <is>
          <t>العمليات الداخلية</t>
        </is>
      </c>
      <c r="J56" s="68" t="inlineStr">
        <is>
          <t>🟣 لاحق</t>
        </is>
      </c>
      <c r="K56" s="38" t="n"/>
    </row>
    <row r="57" ht="22" customHeight="1">
      <c r="A57" s="68" t="n">
        <v>54</v>
      </c>
      <c r="B57" s="91" t="inlineStr">
        <is>
          <t>التشغيل والمحطات</t>
        </is>
      </c>
      <c r="C57" s="91" t="inlineStr">
        <is>
          <t>تكلفة التشغيل لكل لتر مباع</t>
        </is>
      </c>
      <c r="D57" s="68" t="inlineStr">
        <is>
          <t>هللة/لتر</t>
        </is>
      </c>
      <c r="E57" s="92" t="inlineStr">
        <is>
          <t>متوسط شهري · (الفعلي÷المستهدف)×100</t>
        </is>
      </c>
      <c r="F57" s="68" t="inlineStr">
        <is>
          <t>خفض ≥5% سنوياً</t>
        </is>
      </c>
      <c r="G57" s="68" t="inlineStr">
        <is>
          <t>الاستدامة</t>
        </is>
      </c>
      <c r="H57" s="91" t="inlineStr">
        <is>
          <t>جودة التشغيل</t>
        </is>
      </c>
      <c r="I57" s="68" t="inlineStr">
        <is>
          <t>مالي</t>
        </is>
      </c>
      <c r="J57" s="68" t="inlineStr">
        <is>
          <t>🟣 لاحق</t>
        </is>
      </c>
      <c r="K57" s="38" t="n"/>
    </row>
    <row r="58" ht="22" customHeight="1">
      <c r="A58" s="68" t="n">
        <v>55</v>
      </c>
      <c r="B58" s="91" t="inlineStr">
        <is>
          <t>التشغيل والمحطات</t>
        </is>
      </c>
      <c r="C58" s="91" t="inlineStr">
        <is>
          <t>نسبة الصيانة الوقائية المنفذة في موعدها</t>
        </is>
      </c>
      <c r="D58" s="68" t="inlineStr">
        <is>
          <t>%</t>
        </is>
      </c>
      <c r="E58" s="92" t="inlineStr">
        <is>
          <t>متوسط شهري · (الفعلي÷المستهدف)×100</t>
        </is>
      </c>
      <c r="F58" s="68" t="inlineStr">
        <is>
          <t>≥ 95%</t>
        </is>
      </c>
      <c r="G58" s="68" t="inlineStr">
        <is>
          <t>الاستدامة</t>
        </is>
      </c>
      <c r="H58" s="91" t="inlineStr">
        <is>
          <t>جودة التشغيل</t>
        </is>
      </c>
      <c r="I58" s="68" t="inlineStr">
        <is>
          <t>العمليات الداخلية</t>
        </is>
      </c>
      <c r="J58" s="68" t="inlineStr">
        <is>
          <t>🟣 لاحق</t>
        </is>
      </c>
      <c r="K58" s="38" t="n"/>
    </row>
    <row r="59" ht="22" customHeight="1">
      <c r="A59" s="68" t="n">
        <v>56</v>
      </c>
      <c r="B59" s="91" t="inlineStr">
        <is>
          <t>التشغيل والمحطات</t>
        </is>
      </c>
      <c r="C59" s="91" t="inlineStr">
        <is>
          <t>نسبة انخفاض الشكاوى مقارنة بالشهر السابق</t>
        </is>
      </c>
      <c r="D59" s="68" t="inlineStr">
        <is>
          <t>%</t>
        </is>
      </c>
      <c r="E59" s="92" t="inlineStr">
        <is>
          <t>متوسط شهري · (الفعلي÷المستهدف)×100</t>
        </is>
      </c>
      <c r="F59" s="68" t="inlineStr">
        <is>
          <t>−30%</t>
        </is>
      </c>
      <c r="G59" s="68" t="inlineStr">
        <is>
          <t>الاستدامة</t>
        </is>
      </c>
      <c r="H59" s="91" t="inlineStr">
        <is>
          <t>تعزيز تجربة العملاء</t>
        </is>
      </c>
      <c r="I59" s="68" t="inlineStr">
        <is>
          <t>العملاء</t>
        </is>
      </c>
      <c r="J59" s="68" t="inlineStr">
        <is>
          <t>🟣 لاحق</t>
        </is>
      </c>
      <c r="K59" s="38" t="n"/>
    </row>
    <row r="60" ht="22" customHeight="1">
      <c r="A60" s="68" t="n">
        <v>57</v>
      </c>
      <c r="B60" s="91" t="inlineStr">
        <is>
          <t>التشغيل والمحطات</t>
        </is>
      </c>
      <c r="C60" s="91" t="inlineStr">
        <is>
          <t>تقييم Google Maps للمحطات</t>
        </is>
      </c>
      <c r="D60" s="68" t="inlineStr">
        <is>
          <t>نجمة/5</t>
        </is>
      </c>
      <c r="E60" s="92" t="inlineStr">
        <is>
          <t>متوسط شهري · (الفعلي÷المستهدف)×100</t>
        </is>
      </c>
      <c r="F60" s="68" t="inlineStr">
        <is>
          <t>≥ 4.5</t>
        </is>
      </c>
      <c r="G60" s="68" t="inlineStr">
        <is>
          <t>الاستدامة</t>
        </is>
      </c>
      <c r="H60" s="91" t="inlineStr">
        <is>
          <t>تعزيز تجربة العملاء</t>
        </is>
      </c>
      <c r="I60" s="68" t="inlineStr">
        <is>
          <t>العمليات الداخلية</t>
        </is>
      </c>
      <c r="J60" s="68" t="inlineStr">
        <is>
          <t>🟣 لاحق</t>
        </is>
      </c>
      <c r="K60" s="38" t="n"/>
    </row>
    <row r="61" ht="22" customHeight="1">
      <c r="A61" s="68" t="n">
        <v>58</v>
      </c>
      <c r="B61" s="91" t="inlineStr">
        <is>
          <t>التشغيل والمحطات</t>
        </is>
      </c>
      <c r="C61" s="91" t="inlineStr">
        <is>
          <t>سرعة تعبئة الوقود</t>
        </is>
      </c>
      <c r="D61" s="68" t="inlineStr">
        <is>
          <t>دقيقة</t>
        </is>
      </c>
      <c r="E61" s="92" t="inlineStr">
        <is>
          <t>متوسط شهري · (الفعلي÷المستهدف)×100</t>
        </is>
      </c>
      <c r="F61" s="68" t="inlineStr">
        <is>
          <t>≤ 3 دقائق</t>
        </is>
      </c>
      <c r="G61" s="68" t="inlineStr">
        <is>
          <t>الاستدامة</t>
        </is>
      </c>
      <c r="H61" s="91" t="inlineStr">
        <is>
          <t>تعزيز تجربة العملاء</t>
        </is>
      </c>
      <c r="I61" s="68" t="inlineStr">
        <is>
          <t>العمليات الداخلية</t>
        </is>
      </c>
      <c r="J61" s="68" t="inlineStr">
        <is>
          <t>🟣 لاحق</t>
        </is>
      </c>
      <c r="K61" s="38" t="n"/>
    </row>
    <row r="62" ht="22" customHeight="1">
      <c r="A62" s="68" t="n">
        <v>59</v>
      </c>
      <c r="B62" s="91" t="inlineStr">
        <is>
          <t>التشغيل والمحطات</t>
        </is>
      </c>
      <c r="C62" s="91" t="inlineStr">
        <is>
          <t>دقة التعبئة بدون أخطاء</t>
        </is>
      </c>
      <c r="D62" s="68" t="inlineStr">
        <is>
          <t>%</t>
        </is>
      </c>
      <c r="E62" s="92" t="inlineStr">
        <is>
          <t>متوسط شهري · (الفعلي÷المستهدف)×100</t>
        </is>
      </c>
      <c r="F62" s="68" t="inlineStr">
        <is>
          <t>≥ 99%</t>
        </is>
      </c>
      <c r="G62" s="68" t="inlineStr">
        <is>
          <t>الاستدامة</t>
        </is>
      </c>
      <c r="H62" s="91" t="inlineStr">
        <is>
          <t>جودة التشغيل</t>
        </is>
      </c>
      <c r="I62" s="68" t="inlineStr">
        <is>
          <t>العمليات الداخلية</t>
        </is>
      </c>
      <c r="J62" s="68" t="inlineStr">
        <is>
          <t>🟣 لاحق</t>
        </is>
      </c>
      <c r="K62" s="38" t="n"/>
    </row>
    <row r="63" ht="22" customHeight="1">
      <c r="A63" s="68" t="n">
        <v>60</v>
      </c>
      <c r="B63" s="91" t="inlineStr">
        <is>
          <t>التشغيل والمحطات</t>
        </is>
      </c>
      <c r="C63" s="91" t="inlineStr">
        <is>
          <t>تطبيق المعيار الشامل في المحطات</t>
        </is>
      </c>
      <c r="D63" s="68" t="inlineStr">
        <is>
          <t>%</t>
        </is>
      </c>
      <c r="E63" s="92" t="inlineStr">
        <is>
          <t>تراكمي (آخر قيمة) · (الفعلي÷المستهدف)×100</t>
        </is>
      </c>
      <c r="F63" s="68" t="inlineStr">
        <is>
          <t>≥ 80%</t>
        </is>
      </c>
      <c r="G63" s="68" t="inlineStr">
        <is>
          <t>الابتكار</t>
        </is>
      </c>
      <c r="H63" s="91" t="inlineStr">
        <is>
          <t>التحول التقني</t>
        </is>
      </c>
      <c r="I63" s="68" t="inlineStr">
        <is>
          <t>العمليات الداخلية</t>
        </is>
      </c>
      <c r="J63" s="68" t="inlineStr">
        <is>
          <t>🟣 لاحق</t>
        </is>
      </c>
      <c r="K63" s="38" t="n"/>
    </row>
    <row r="64" ht="22" customHeight="1">
      <c r="A64" s="68" t="n">
        <v>61</v>
      </c>
      <c r="B64" s="91" t="inlineStr">
        <is>
          <t>التشغيل والمحطات</t>
        </is>
      </c>
      <c r="C64" s="91" t="inlineStr">
        <is>
          <t>الالتزام بمعايير السلامة داخل المحطة</t>
        </is>
      </c>
      <c r="D64" s="68" t="inlineStr">
        <is>
          <t>%</t>
        </is>
      </c>
      <c r="E64" s="92" t="inlineStr">
        <is>
          <t>متوسط شهري · (الفعلي÷المستهدف)×100</t>
        </is>
      </c>
      <c r="F64" s="68" t="inlineStr">
        <is>
          <t>100%</t>
        </is>
      </c>
      <c r="G64" s="68" t="inlineStr">
        <is>
          <t>الاستدامة</t>
        </is>
      </c>
      <c r="H64" s="91" t="inlineStr">
        <is>
          <t>جودة التشغيل</t>
        </is>
      </c>
      <c r="I64" s="68" t="inlineStr">
        <is>
          <t>العمليات الداخلية</t>
        </is>
      </c>
      <c r="J64" s="68" t="inlineStr">
        <is>
          <t>🟣 لاحق</t>
        </is>
      </c>
      <c r="K64" s="38" t="n"/>
    </row>
    <row r="65" ht="22" customHeight="1">
      <c r="A65" s="68" t="n">
        <v>62</v>
      </c>
      <c r="B65" s="91" t="inlineStr">
        <is>
          <t>التشغيل والمحطات</t>
        </is>
      </c>
      <c r="C65" s="91" t="inlineStr">
        <is>
          <t>التشجير داخل المحطة (معيار الوزارة)</t>
        </is>
      </c>
      <c r="D65" s="68" t="inlineStr">
        <is>
          <t>%</t>
        </is>
      </c>
      <c r="E65" s="92" t="inlineStr">
        <is>
          <t>تراكمي (آخر قيمة) · (الفعلي÷المستهدف)×100</t>
        </is>
      </c>
      <c r="F65" s="68" t="inlineStr">
        <is>
          <t>100%</t>
        </is>
      </c>
      <c r="G65" s="68" t="inlineStr">
        <is>
          <t>الاستدامة</t>
        </is>
      </c>
      <c r="H65" s="91" t="inlineStr">
        <is>
          <t>جودة التشغيل</t>
        </is>
      </c>
      <c r="I65" s="68" t="inlineStr">
        <is>
          <t>العمليات الداخلية</t>
        </is>
      </c>
      <c r="J65" s="68" t="inlineStr">
        <is>
          <t>🟣 لاحق</t>
        </is>
      </c>
      <c r="K65" s="38" t="n"/>
    </row>
    <row r="66" ht="22" customHeight="1">
      <c r="A66" s="68" t="n">
        <v>63</v>
      </c>
      <c r="B66" s="91" t="inlineStr">
        <is>
          <t>الاستثمار</t>
        </is>
      </c>
      <c r="C66" s="91" t="inlineStr">
        <is>
          <t>إجمالي عقود الاستثمار الجديدة (جميع النماذج)</t>
        </is>
      </c>
      <c r="D66" s="68" t="inlineStr">
        <is>
          <t>عقد</t>
        </is>
      </c>
      <c r="E66" s="92" t="inlineStr">
        <is>
          <t>تجميعي (مجموع شهري) · (الفعلي÷المستهدف)×100</t>
        </is>
      </c>
      <c r="F66" s="68" t="inlineStr">
        <is>
          <t>190 عقد</t>
        </is>
      </c>
      <c r="G66" s="68" t="inlineStr">
        <is>
          <t>النمو</t>
        </is>
      </c>
      <c r="H66" s="91" t="inlineStr">
        <is>
          <t>التوسع في المواقع</t>
        </is>
      </c>
      <c r="I66" s="68" t="inlineStr">
        <is>
          <t>العمليات الداخلية</t>
        </is>
      </c>
      <c r="J66" s="68" t="inlineStr">
        <is>
          <t>🟣 لاحق</t>
        </is>
      </c>
      <c r="K66" s="38" t="n"/>
    </row>
    <row r="67" ht="22" customHeight="1">
      <c r="A67" s="68" t="n">
        <v>64</v>
      </c>
      <c r="B67" s="91" t="inlineStr">
        <is>
          <t>الاستثمار</t>
        </is>
      </c>
      <c r="C67" s="91" t="inlineStr">
        <is>
          <t>عقود الاستثمار العادي الجديدة</t>
        </is>
      </c>
      <c r="D67" s="68" t="inlineStr">
        <is>
          <t>عقد</t>
        </is>
      </c>
      <c r="E67" s="92" t="inlineStr">
        <is>
          <t>تجميعي (مجموع شهري) · (الفعلي÷المستهدف)×100</t>
        </is>
      </c>
      <c r="F67" s="68" t="inlineStr">
        <is>
          <t>90 عقد</t>
        </is>
      </c>
      <c r="G67" s="68" t="inlineStr">
        <is>
          <t>النمو</t>
        </is>
      </c>
      <c r="H67" s="91" t="inlineStr">
        <is>
          <t>التوسع في المواقع</t>
        </is>
      </c>
      <c r="I67" s="68" t="inlineStr">
        <is>
          <t>العمليات الداخلية</t>
        </is>
      </c>
      <c r="J67" s="68" t="inlineStr">
        <is>
          <t>🟣 لاحق</t>
        </is>
      </c>
      <c r="K67" s="38" t="n"/>
    </row>
    <row r="68" ht="22" customHeight="1">
      <c r="A68" s="68" t="n">
        <v>65</v>
      </c>
      <c r="B68" s="91" t="inlineStr">
        <is>
          <t>الاستثمار</t>
        </is>
      </c>
      <c r="C68" s="91" t="inlineStr">
        <is>
          <t>عقود الاستحواذ الجديدة</t>
        </is>
      </c>
      <c r="D68" s="68" t="inlineStr">
        <is>
          <t>عقد</t>
        </is>
      </c>
      <c r="E68" s="92" t="inlineStr">
        <is>
          <t>تجميعي (مجموع شهري) · (الفعلي÷المستهدف)×100</t>
        </is>
      </c>
      <c r="F68" s="68" t="inlineStr">
        <is>
          <t>100 عقد</t>
        </is>
      </c>
      <c r="G68" s="68" t="inlineStr">
        <is>
          <t>النمو</t>
        </is>
      </c>
      <c r="H68" s="91" t="inlineStr">
        <is>
          <t>التوسع في المواقع</t>
        </is>
      </c>
      <c r="I68" s="68" t="inlineStr">
        <is>
          <t>العمليات الداخلية</t>
        </is>
      </c>
      <c r="J68" s="68" t="inlineStr">
        <is>
          <t>🟣 لاحق</t>
        </is>
      </c>
      <c r="K68" s="38" t="n"/>
    </row>
    <row r="69" ht="22" customHeight="1">
      <c r="A69" s="68" t="n">
        <v>66</v>
      </c>
      <c r="B69" s="91" t="inlineStr">
        <is>
          <t>الاستثمار</t>
        </is>
      </c>
      <c r="C69" s="91" t="inlineStr">
        <is>
          <t>المحطات المستحوَذ عليها المشغّلة (تراكمي)</t>
        </is>
      </c>
      <c r="D69" s="68" t="inlineStr">
        <is>
          <t>محطة</t>
        </is>
      </c>
      <c r="E69" s="92" t="inlineStr">
        <is>
          <t>تراكمي (آخر قيمة) · (الفعلي÷المستهدف)×100</t>
        </is>
      </c>
      <c r="F69" s="68" t="inlineStr">
        <is>
          <t>120 محطة</t>
        </is>
      </c>
      <c r="G69" s="68" t="inlineStr">
        <is>
          <t>النمو</t>
        </is>
      </c>
      <c r="H69" s="91" t="inlineStr">
        <is>
          <t>التوسع في المواقع</t>
        </is>
      </c>
      <c r="I69" s="68" t="inlineStr">
        <is>
          <t>العمليات الداخلية</t>
        </is>
      </c>
      <c r="J69" s="68" t="inlineStr">
        <is>
          <t>🟣 لاحق</t>
        </is>
      </c>
      <c r="K69" s="38" t="n"/>
    </row>
    <row r="70" ht="22" customHeight="1">
      <c r="A70" s="68" t="n">
        <v>67</v>
      </c>
      <c r="B70" s="91" t="inlineStr">
        <is>
          <t>الاستثمار</t>
        </is>
      </c>
      <c r="C70" s="91" t="inlineStr">
        <is>
          <t>عقود تأجير الأرض الجديدة</t>
        </is>
      </c>
      <c r="D70" s="68" t="inlineStr">
        <is>
          <t>عقد</t>
        </is>
      </c>
      <c r="E70" s="92" t="inlineStr">
        <is>
          <t>تجميعي (مجموع شهري) · (الفعلي÷المستهدف)×100</t>
        </is>
      </c>
      <c r="F70" s="68" t="inlineStr">
        <is>
          <t>11 عقد</t>
        </is>
      </c>
      <c r="G70" s="68" t="inlineStr">
        <is>
          <t>النمو</t>
        </is>
      </c>
      <c r="H70" s="91" t="inlineStr">
        <is>
          <t>التوسع في المواقع</t>
        </is>
      </c>
      <c r="I70" s="68" t="inlineStr">
        <is>
          <t>العمليات الداخلية</t>
        </is>
      </c>
      <c r="J70" s="68" t="inlineStr">
        <is>
          <t>🟣 لاحق</t>
        </is>
      </c>
      <c r="K70" s="38" t="n"/>
    </row>
    <row r="71" ht="22" customHeight="1">
      <c r="A71" s="68" t="n">
        <v>68</v>
      </c>
      <c r="B71" s="91" t="inlineStr">
        <is>
          <t>الاستثمار</t>
        </is>
      </c>
      <c r="C71" s="91" t="inlineStr">
        <is>
          <t>عقود إيجار المحطة الجديدة</t>
        </is>
      </c>
      <c r="D71" s="68" t="inlineStr">
        <is>
          <t>عقد</t>
        </is>
      </c>
      <c r="E71" s="92" t="inlineStr">
        <is>
          <t>تجميعي (مجموع شهري) · (الفعلي÷المستهدف)×100</t>
        </is>
      </c>
      <c r="F71" s="68" t="inlineStr">
        <is>
          <t>12 عقد</t>
        </is>
      </c>
      <c r="G71" s="68" t="inlineStr">
        <is>
          <t>النمو</t>
        </is>
      </c>
      <c r="H71" s="91" t="inlineStr">
        <is>
          <t>التوسع في المواقع</t>
        </is>
      </c>
      <c r="I71" s="68" t="inlineStr">
        <is>
          <t>العمليات الداخلية</t>
        </is>
      </c>
      <c r="J71" s="68" t="inlineStr">
        <is>
          <t>🟣 لاحق</t>
        </is>
      </c>
      <c r="K71" s="38" t="n"/>
    </row>
    <row r="72" ht="22" customHeight="1">
      <c r="A72" s="68" t="n">
        <v>69</v>
      </c>
      <c r="B72" s="91" t="inlineStr">
        <is>
          <t>الاستثمار</t>
        </is>
      </c>
      <c r="C72" s="91" t="inlineStr">
        <is>
          <t>عقود تشغيل المحطة الجديدة</t>
        </is>
      </c>
      <c r="D72" s="68" t="inlineStr">
        <is>
          <t>عقد</t>
        </is>
      </c>
      <c r="E72" s="92" t="inlineStr">
        <is>
          <t>تجميعي (مجموع شهري) · (الفعلي÷المستهدف)×100</t>
        </is>
      </c>
      <c r="F72" s="68" t="inlineStr">
        <is>
          <t>68 عقد</t>
        </is>
      </c>
      <c r="G72" s="68" t="inlineStr">
        <is>
          <t>النمو</t>
        </is>
      </c>
      <c r="H72" s="91" t="inlineStr">
        <is>
          <t>التوسع في المواقع</t>
        </is>
      </c>
      <c r="I72" s="68" t="inlineStr">
        <is>
          <t>العمليات الداخلية</t>
        </is>
      </c>
      <c r="J72" s="68" t="inlineStr">
        <is>
          <t>🟣 لاحق</t>
        </is>
      </c>
      <c r="K72" s="38" t="n"/>
    </row>
    <row r="73" ht="22" customHeight="1">
      <c r="A73" s="68" t="n">
        <v>70</v>
      </c>
      <c r="B73" s="91" t="inlineStr">
        <is>
          <t>الاستثمار</t>
        </is>
      </c>
      <c r="C73" s="91" t="inlineStr">
        <is>
          <t>نسبة المواقع المعتمدة ذات العائد المجدي</t>
        </is>
      </c>
      <c r="D73" s="68" t="inlineStr">
        <is>
          <t>%</t>
        </is>
      </c>
      <c r="E73" s="92" t="inlineStr">
        <is>
          <t>متوسط شهري · (الفعلي÷المستهدف)×100</t>
        </is>
      </c>
      <c r="F73" s="68" t="inlineStr">
        <is>
          <t>80%+</t>
        </is>
      </c>
      <c r="G73" s="68" t="inlineStr">
        <is>
          <t>الاستدامة</t>
        </is>
      </c>
      <c r="H73" s="91" t="inlineStr">
        <is>
          <t>جودة التشغيل</t>
        </is>
      </c>
      <c r="I73" s="68" t="inlineStr">
        <is>
          <t>مالي</t>
        </is>
      </c>
      <c r="J73" s="68" t="inlineStr">
        <is>
          <t>🟣 لاحق</t>
        </is>
      </c>
      <c r="K73" s="38" t="n"/>
    </row>
    <row r="74" ht="22" customHeight="1">
      <c r="A74" s="68" t="n">
        <v>71</v>
      </c>
      <c r="B74" s="91" t="inlineStr">
        <is>
          <t>الاستثمار</t>
        </is>
      </c>
      <c r="C74" s="91" t="inlineStr">
        <is>
          <t>متوسط فترة استرداد رأس المال</t>
        </is>
      </c>
      <c r="D74" s="68" t="inlineStr">
        <is>
          <t>سنة</t>
        </is>
      </c>
      <c r="E74" s="92" t="inlineStr">
        <is>
          <t>متوسط شهري · (الفعلي÷المستهدف)×100</t>
        </is>
      </c>
      <c r="F74" s="68" t="inlineStr">
        <is>
          <t>≤ 5 سنوات</t>
        </is>
      </c>
      <c r="G74" s="68" t="inlineStr">
        <is>
          <t>الاستدامة</t>
        </is>
      </c>
      <c r="H74" s="91" t="inlineStr">
        <is>
          <t>جودة التشغيل</t>
        </is>
      </c>
      <c r="I74" s="68" t="inlineStr">
        <is>
          <t>مالي</t>
        </is>
      </c>
      <c r="J74" s="68" t="inlineStr">
        <is>
          <t>🟣 لاحق</t>
        </is>
      </c>
      <c r="K74" s="38" t="n"/>
    </row>
    <row r="75" ht="22" customHeight="1">
      <c r="A75" s="68" t="n">
        <v>72</v>
      </c>
      <c r="B75" s="91" t="inlineStr">
        <is>
          <t>الاستثمار</t>
        </is>
      </c>
      <c r="C75" s="91" t="inlineStr">
        <is>
          <t>متوسط قيمة عقد الإيجار السنوي (أرض)</t>
        </is>
      </c>
      <c r="D75" s="68" t="inlineStr">
        <is>
          <t>ر.س</t>
        </is>
      </c>
      <c r="E75" s="92" t="inlineStr">
        <is>
          <t>متوسط شهري · (الفعلي÷المستهدف)×100</t>
        </is>
      </c>
      <c r="F75" s="68" t="inlineStr">
        <is>
          <t>يُحدد لاحقاً</t>
        </is>
      </c>
      <c r="G75" s="68" t="inlineStr">
        <is>
          <t>النمو</t>
        </is>
      </c>
      <c r="H75" s="91" t="inlineStr">
        <is>
          <t>التوسع في المواقع</t>
        </is>
      </c>
      <c r="I75" s="68" t="inlineStr">
        <is>
          <t>مالي</t>
        </is>
      </c>
      <c r="J75" s="68" t="inlineStr">
        <is>
          <t>🟣 لاحق</t>
        </is>
      </c>
      <c r="K75" s="38" t="n"/>
    </row>
    <row r="76" ht="22" customHeight="1">
      <c r="A76" s="68" t="n">
        <v>73</v>
      </c>
      <c r="B76" s="91" t="inlineStr">
        <is>
          <t>الاستثمار</t>
        </is>
      </c>
      <c r="C76" s="91" t="inlineStr">
        <is>
          <t>نسبة العقود التي تغطي المناطق الـ13</t>
        </is>
      </c>
      <c r="D76" s="68" t="inlineStr">
        <is>
          <t>%</t>
        </is>
      </c>
      <c r="E76" s="92" t="inlineStr">
        <is>
          <t>تراكمي (آخر قيمة) · (الفعلي÷المستهدف)×100</t>
        </is>
      </c>
      <c r="F76" s="68" t="inlineStr">
        <is>
          <t>100%</t>
        </is>
      </c>
      <c r="G76" s="68" t="inlineStr">
        <is>
          <t>النمو</t>
        </is>
      </c>
      <c r="H76" s="91" t="inlineStr">
        <is>
          <t>التوسع في المواقع</t>
        </is>
      </c>
      <c r="I76" s="68" t="inlineStr">
        <is>
          <t>العمليات الداخلية</t>
        </is>
      </c>
      <c r="J76" s="68" t="inlineStr">
        <is>
          <t>🟣 لاحق</t>
        </is>
      </c>
      <c r="K76" s="38" t="n"/>
    </row>
    <row r="77" ht="22" customHeight="1">
      <c r="A77" s="68" t="n">
        <v>74</v>
      </c>
      <c r="B77" s="91" t="inlineStr">
        <is>
          <t>الاستثمار</t>
        </is>
      </c>
      <c r="C77" s="91" t="inlineStr">
        <is>
          <t>نسبة العقود خارج المدن الرئيسية</t>
        </is>
      </c>
      <c r="D77" s="68" t="inlineStr">
        <is>
          <t>%</t>
        </is>
      </c>
      <c r="E77" s="92" t="inlineStr">
        <is>
          <t>تراكمي (آخر قيمة) · (الفعلي÷المستهدف)×100</t>
        </is>
      </c>
      <c r="F77" s="68" t="inlineStr">
        <is>
          <t>&gt; 60%</t>
        </is>
      </c>
      <c r="G77" s="68" t="inlineStr">
        <is>
          <t>النمو</t>
        </is>
      </c>
      <c r="H77" s="91" t="inlineStr">
        <is>
          <t>التوسع في المواقع</t>
        </is>
      </c>
      <c r="I77" s="68" t="inlineStr">
        <is>
          <t>العمليات الداخلية</t>
        </is>
      </c>
      <c r="J77" s="68" t="inlineStr">
        <is>
          <t>🟣 لاحق</t>
        </is>
      </c>
      <c r="K77" s="38" t="n"/>
    </row>
    <row r="78" ht="22" customHeight="1">
      <c r="A78" s="68" t="n">
        <v>75</v>
      </c>
      <c r="B78" s="91" t="inlineStr">
        <is>
          <t>الاستثمار</t>
        </is>
      </c>
      <c r="C78" s="91" t="inlineStr">
        <is>
          <t>نسبة العقود في الـ12 مدينة الرئيسية</t>
        </is>
      </c>
      <c r="D78" s="68" t="inlineStr">
        <is>
          <t>%</t>
        </is>
      </c>
      <c r="E78" s="92" t="inlineStr">
        <is>
          <t>تراكمي (آخر قيمة) · (الفعلي÷المستهدف)×100</t>
        </is>
      </c>
      <c r="F78" s="68" t="inlineStr">
        <is>
          <t>&lt; 40%</t>
        </is>
      </c>
      <c r="G78" s="68" t="inlineStr">
        <is>
          <t>النمو</t>
        </is>
      </c>
      <c r="H78" s="91" t="inlineStr">
        <is>
          <t>التوسع في المواقع</t>
        </is>
      </c>
      <c r="I78" s="68" t="inlineStr">
        <is>
          <t>العمليات الداخلية</t>
        </is>
      </c>
      <c r="J78" s="68" t="inlineStr">
        <is>
          <t>🟣 لاحق</t>
        </is>
      </c>
      <c r="K78" s="38" t="n"/>
    </row>
    <row r="79" ht="22" customHeight="1">
      <c r="A79" s="68" t="n">
        <v>76</v>
      </c>
      <c r="B79" s="91" t="inlineStr">
        <is>
          <t>الاستثمار</t>
        </is>
      </c>
      <c r="C79" s="91" t="inlineStr">
        <is>
          <t>نسبة العقود على الطرق الإقليمية</t>
        </is>
      </c>
      <c r="D79" s="68" t="inlineStr">
        <is>
          <t>%</t>
        </is>
      </c>
      <c r="E79" s="92" t="inlineStr">
        <is>
          <t>تراكمي (آخر قيمة) · (الفعلي÷المستهدف)×100</t>
        </is>
      </c>
      <c r="F79" s="68" t="inlineStr">
        <is>
          <t>&gt; 25%</t>
        </is>
      </c>
      <c r="G79" s="68" t="inlineStr">
        <is>
          <t>النمو</t>
        </is>
      </c>
      <c r="H79" s="91" t="inlineStr">
        <is>
          <t>التوسع في المواقع</t>
        </is>
      </c>
      <c r="I79" s="68" t="inlineStr">
        <is>
          <t>العمليات الداخلية</t>
        </is>
      </c>
      <c r="J79" s="68" t="inlineStr">
        <is>
          <t>🟣 لاحق</t>
        </is>
      </c>
      <c r="K79" s="38" t="n"/>
    </row>
    <row r="80" ht="22" customHeight="1">
      <c r="A80" s="68" t="n">
        <v>77</v>
      </c>
      <c r="B80" s="91" t="inlineStr">
        <is>
          <t>الاستثمار</t>
        </is>
      </c>
      <c r="C80" s="91" t="inlineStr">
        <is>
          <t>متوسط مدة إغلاق عقد الاستثمار</t>
        </is>
      </c>
      <c r="D80" s="68" t="inlineStr">
        <is>
          <t>أسبوع</t>
        </is>
      </c>
      <c r="E80" s="92" t="inlineStr">
        <is>
          <t>متوسط شهري · (الفعلي÷المستهدف)×100</t>
        </is>
      </c>
      <c r="F80" s="68" t="inlineStr">
        <is>
          <t>≤ أسبوع</t>
        </is>
      </c>
      <c r="G80" s="68" t="inlineStr">
        <is>
          <t>النمو</t>
        </is>
      </c>
      <c r="H80" s="91" t="inlineStr">
        <is>
          <t>التوسع في المواقع</t>
        </is>
      </c>
      <c r="I80" s="68" t="inlineStr">
        <is>
          <t>العمليات الداخلية</t>
        </is>
      </c>
      <c r="J80" s="68" t="inlineStr">
        <is>
          <t>🟣 لاحق</t>
        </is>
      </c>
      <c r="K80" s="38" t="n"/>
    </row>
    <row r="81" ht="22" customHeight="1">
      <c r="A81" s="68" t="n">
        <v>78</v>
      </c>
      <c r="B81" s="91" t="inlineStr">
        <is>
          <t>الاستثمار</t>
        </is>
      </c>
      <c r="C81" s="91" t="inlineStr">
        <is>
          <t>نسبة العقود المتحوّلة لمحطات مشغّلة</t>
        </is>
      </c>
      <c r="D81" s="68" t="inlineStr">
        <is>
          <t>%</t>
        </is>
      </c>
      <c r="E81" s="92" t="inlineStr">
        <is>
          <t>متوسط شهري · (الفعلي÷المستهدف)×100</t>
        </is>
      </c>
      <c r="F81" s="68" t="inlineStr">
        <is>
          <t>≥ 30%</t>
        </is>
      </c>
      <c r="G81" s="68" t="inlineStr">
        <is>
          <t>النمو</t>
        </is>
      </c>
      <c r="H81" s="91" t="inlineStr">
        <is>
          <t>التوسع في المواقع</t>
        </is>
      </c>
      <c r="I81" s="68" t="inlineStr">
        <is>
          <t>العمليات الداخلية</t>
        </is>
      </c>
      <c r="J81" s="68" t="inlineStr">
        <is>
          <t>🟣 لاحق</t>
        </is>
      </c>
      <c r="K81" s="38" t="n"/>
    </row>
    <row r="82" ht="22" customHeight="1">
      <c r="A82" s="68" t="n">
        <v>79</v>
      </c>
      <c r="B82" s="91" t="inlineStr">
        <is>
          <t>الاستثمار</t>
        </is>
      </c>
      <c r="C82" s="91" t="inlineStr">
        <is>
          <t>نسبة تخفيض إيجار المواقع عالية التكاليف</t>
        </is>
      </c>
      <c r="D82" s="68" t="inlineStr">
        <is>
          <t>%</t>
        </is>
      </c>
      <c r="E82" s="92" t="inlineStr">
        <is>
          <t>متوسط شهري · (الفعلي÷المستهدف)×100</t>
        </is>
      </c>
      <c r="F82" s="68" t="inlineStr">
        <is>
          <t>≥ 30%</t>
        </is>
      </c>
      <c r="G82" s="68" t="inlineStr">
        <is>
          <t>الاستدامة</t>
        </is>
      </c>
      <c r="H82" s="91" t="inlineStr">
        <is>
          <t>جودة التشغيل</t>
        </is>
      </c>
      <c r="I82" s="68" t="inlineStr">
        <is>
          <t>العمليات الداخلية</t>
        </is>
      </c>
      <c r="J82" s="68" t="inlineStr">
        <is>
          <t>🟣 لاحق</t>
        </is>
      </c>
      <c r="K82" s="38" t="n"/>
    </row>
    <row r="83" ht="22" customHeight="1">
      <c r="A83" s="68" t="n">
        <v>80</v>
      </c>
      <c r="B83" s="91" t="inlineStr">
        <is>
          <t>الاستثمار</t>
        </is>
      </c>
      <c r="C83" s="91" t="inlineStr">
        <is>
          <t>نسبة اكتمال المستندات النظامية قبل التوقيع</t>
        </is>
      </c>
      <c r="D83" s="68" t="inlineStr">
        <is>
          <t>%</t>
        </is>
      </c>
      <c r="E83" s="92" t="inlineStr">
        <is>
          <t>متوسط شهري · (الفعلي÷المستهدف)×100</t>
        </is>
      </c>
      <c r="F83" s="68" t="inlineStr">
        <is>
          <t>100%</t>
        </is>
      </c>
      <c r="G83" s="68" t="inlineStr">
        <is>
          <t>الاستدامة</t>
        </is>
      </c>
      <c r="H83" s="91" t="inlineStr">
        <is>
          <t>جودة التشغيل</t>
        </is>
      </c>
      <c r="I83" s="68" t="inlineStr">
        <is>
          <t>العمليات الداخلية</t>
        </is>
      </c>
      <c r="J83" s="68" t="inlineStr">
        <is>
          <t>🟣 لاحق</t>
        </is>
      </c>
      <c r="K83" s="38" t="n"/>
    </row>
    <row r="84" ht="22" customHeight="1">
      <c r="A84" s="68" t="n">
        <v>81</v>
      </c>
      <c r="B84" s="91" t="inlineStr">
        <is>
          <t>الاستثمار</t>
        </is>
      </c>
      <c r="C84" s="91" t="inlineStr">
        <is>
          <t>نسبة العقود المؤرشفة إلكترونياً خلال 48 ساعة</t>
        </is>
      </c>
      <c r="D84" s="68" t="inlineStr">
        <is>
          <t>%</t>
        </is>
      </c>
      <c r="E84" s="92" t="inlineStr">
        <is>
          <t>متوسط شهري · (الفعلي÷المستهدف)×100</t>
        </is>
      </c>
      <c r="F84" s="68" t="inlineStr">
        <is>
          <t>95%+</t>
        </is>
      </c>
      <c r="G84" s="68" t="inlineStr">
        <is>
          <t>الاستدامة</t>
        </is>
      </c>
      <c r="H84" s="91" t="inlineStr">
        <is>
          <t>جودة التشغيل</t>
        </is>
      </c>
      <c r="I84" s="68" t="inlineStr">
        <is>
          <t>العمليات الداخلية</t>
        </is>
      </c>
      <c r="J84" s="68" t="inlineStr">
        <is>
          <t>🟣 لاحق</t>
        </is>
      </c>
      <c r="K84" s="38" t="n"/>
    </row>
    <row r="85" ht="22" customHeight="1">
      <c r="A85" s="68" t="n">
        <v>82</v>
      </c>
      <c r="B85" s="91" t="inlineStr">
        <is>
          <t>الاستثمار</t>
        </is>
      </c>
      <c r="C85" s="91" t="inlineStr">
        <is>
          <t>جودة التفاوض مع المستثمرين (توافق مع المستهدفات)</t>
        </is>
      </c>
      <c r="D85" s="68" t="inlineStr">
        <is>
          <t>%</t>
        </is>
      </c>
      <c r="E85" s="92" t="inlineStr">
        <is>
          <t>متوسط شهري · (الفعلي÷المستهدف)×100</t>
        </is>
      </c>
      <c r="F85" s="68" t="inlineStr">
        <is>
          <t>98%</t>
        </is>
      </c>
      <c r="G85" s="68" t="inlineStr">
        <is>
          <t>النمو</t>
        </is>
      </c>
      <c r="H85" s="91" t="inlineStr">
        <is>
          <t>التوسع في المواقع</t>
        </is>
      </c>
      <c r="I85" s="68" t="inlineStr">
        <is>
          <t>العمليات الداخلية</t>
        </is>
      </c>
      <c r="J85" s="68" t="inlineStr">
        <is>
          <t>🟣 لاحق</t>
        </is>
      </c>
      <c r="K85" s="38" t="n"/>
    </row>
    <row r="86" ht="22" customHeight="1">
      <c r="A86" s="68" t="n">
        <v>83</v>
      </c>
      <c r="B86" s="91" t="inlineStr">
        <is>
          <t>الاستثمار</t>
        </is>
      </c>
      <c r="C86" s="91" t="inlineStr">
        <is>
          <t>سرعة إنجاز إجراءات التعاقد</t>
        </is>
      </c>
      <c r="D86" s="68" t="inlineStr">
        <is>
          <t>أسبوع</t>
        </is>
      </c>
      <c r="E86" s="92" t="inlineStr">
        <is>
          <t>متوسط شهري · (الفعلي÷المستهدف)×100</t>
        </is>
      </c>
      <c r="F86" s="68" t="inlineStr">
        <is>
          <t>≤ أسبوع</t>
        </is>
      </c>
      <c r="G86" s="68" t="inlineStr">
        <is>
          <t>النمو</t>
        </is>
      </c>
      <c r="H86" s="91" t="inlineStr">
        <is>
          <t>التوسع في المواقع</t>
        </is>
      </c>
      <c r="I86" s="68" t="inlineStr">
        <is>
          <t>العمليات الداخلية</t>
        </is>
      </c>
      <c r="J86" s="68" t="inlineStr">
        <is>
          <t>🟣 لاحق</t>
        </is>
      </c>
      <c r="K86" s="38" t="n"/>
    </row>
    <row r="87" ht="22" customHeight="1">
      <c r="A87" s="68" t="n">
        <v>84</v>
      </c>
      <c r="B87" s="91" t="inlineStr">
        <is>
          <t>الاستثمار</t>
        </is>
      </c>
      <c r="C87" s="91" t="inlineStr">
        <is>
          <t>مدى رضا المستثمرين وشركاء الاستثمار</t>
        </is>
      </c>
      <c r="D87" s="68" t="inlineStr">
        <is>
          <t>%</t>
        </is>
      </c>
      <c r="E87" s="92" t="inlineStr">
        <is>
          <t>متوسط شهري · (الفعلي÷المستهدف)×100</t>
        </is>
      </c>
      <c r="F87" s="68" t="inlineStr">
        <is>
          <t>80%+</t>
        </is>
      </c>
      <c r="G87" s="68" t="inlineStr">
        <is>
          <t>الاستدامة</t>
        </is>
      </c>
      <c r="H87" s="91" t="inlineStr">
        <is>
          <t>تعزيز تجربة العملاء</t>
        </is>
      </c>
      <c r="I87" s="68" t="inlineStr">
        <is>
          <t>العملاء</t>
        </is>
      </c>
      <c r="J87" s="68" t="inlineStr">
        <is>
          <t>🟣 لاحق</t>
        </is>
      </c>
      <c r="K87" s="38" t="n"/>
    </row>
    <row r="88" ht="22" customHeight="1">
      <c r="A88" s="68" t="n">
        <v>85</v>
      </c>
      <c r="B88" s="91" t="inlineStr">
        <is>
          <t>الاستثمار</t>
        </is>
      </c>
      <c r="C88" s="91" t="inlineStr">
        <is>
          <t>نسبة اكتمال أرشفة ملفات العملاء</t>
        </is>
      </c>
      <c r="D88" s="68" t="inlineStr">
        <is>
          <t>%</t>
        </is>
      </c>
      <c r="E88" s="92" t="inlineStr">
        <is>
          <t>متوسط شهري · (الفعلي÷المستهدف)×100</t>
        </is>
      </c>
      <c r="F88" s="68" t="inlineStr">
        <is>
          <t>100%</t>
        </is>
      </c>
      <c r="G88" s="68" t="inlineStr">
        <is>
          <t>الاستدامة</t>
        </is>
      </c>
      <c r="H88" s="91" t="inlineStr">
        <is>
          <t>جودة التشغيل</t>
        </is>
      </c>
      <c r="I88" s="68" t="inlineStr">
        <is>
          <t>العملاء</t>
        </is>
      </c>
      <c r="J88" s="68" t="inlineStr">
        <is>
          <t>🟣 لاحق</t>
        </is>
      </c>
      <c r="K88" s="38" t="n"/>
    </row>
    <row r="89" ht="22" customHeight="1">
      <c r="A89" s="68" t="n">
        <v>86</v>
      </c>
      <c r="B89" s="91" t="inlineStr">
        <is>
          <t>الاستثمار</t>
        </is>
      </c>
      <c r="C89" s="91" t="inlineStr">
        <is>
          <t>نسبة إنجاز التقارير الدورية في موعدها</t>
        </is>
      </c>
      <c r="D89" s="68" t="inlineStr">
        <is>
          <t>%</t>
        </is>
      </c>
      <c r="E89" s="92" t="inlineStr">
        <is>
          <t>متوسط شهري · (الفعلي÷المستهدف)×100</t>
        </is>
      </c>
      <c r="F89" s="68" t="inlineStr">
        <is>
          <t>100%</t>
        </is>
      </c>
      <c r="G89" s="68" t="inlineStr">
        <is>
          <t>الاستدامة</t>
        </is>
      </c>
      <c r="H89" s="91" t="inlineStr">
        <is>
          <t>جودة التشغيل</t>
        </is>
      </c>
      <c r="I89" s="68" t="inlineStr">
        <is>
          <t>العمليات الداخلية</t>
        </is>
      </c>
      <c r="J89" s="68" t="inlineStr">
        <is>
          <t>🟣 لاحق</t>
        </is>
      </c>
      <c r="K89" s="38" t="n"/>
    </row>
    <row r="90" ht="22" customHeight="1">
      <c r="A90" s="68" t="n">
        <v>87</v>
      </c>
      <c r="B90" s="91" t="inlineStr">
        <is>
          <t>العقار</t>
        </is>
      </c>
      <c r="C90" s="91" t="inlineStr">
        <is>
          <t>نمو الإيرادات الإيجارية</t>
        </is>
      </c>
      <c r="D90" s="68" t="inlineStr">
        <is>
          <t>%</t>
        </is>
      </c>
      <c r="E90" s="92" t="inlineStr">
        <is>
          <t>متوسط شهري · (الفعلي÷المستهدف)×100</t>
        </is>
      </c>
      <c r="F90" s="68" t="inlineStr">
        <is>
          <t>&gt; 8% سنوياً</t>
        </is>
      </c>
      <c r="G90" s="68" t="inlineStr">
        <is>
          <t>الاستدامة</t>
        </is>
      </c>
      <c r="H90" s="91" t="inlineStr">
        <is>
          <t>منظومة التأجير</t>
        </is>
      </c>
      <c r="I90" s="68" t="inlineStr">
        <is>
          <t>مالي</t>
        </is>
      </c>
      <c r="J90" s="68" t="inlineStr">
        <is>
          <t>🔵 قائد</t>
        </is>
      </c>
      <c r="K90" s="38" t="n"/>
    </row>
    <row r="91" ht="22" customHeight="1">
      <c r="A91" s="68" t="n">
        <v>88</v>
      </c>
      <c r="B91" s="91" t="inlineStr">
        <is>
          <t>العقار</t>
        </is>
      </c>
      <c r="C91" s="91" t="inlineStr">
        <is>
          <t>نسبة الالتزام بالعقود</t>
        </is>
      </c>
      <c r="D91" s="68" t="inlineStr">
        <is>
          <t>%</t>
        </is>
      </c>
      <c r="E91" s="92" t="inlineStr">
        <is>
          <t>متوسط شهري · (الفعلي÷المستهدف)×100</t>
        </is>
      </c>
      <c r="F91" s="68" t="inlineStr">
        <is>
          <t>100%</t>
        </is>
      </c>
      <c r="G91" s="68" t="inlineStr">
        <is>
          <t>الاستدامة</t>
        </is>
      </c>
      <c r="H91" s="91" t="inlineStr">
        <is>
          <t>منظومة التأجير</t>
        </is>
      </c>
      <c r="I91" s="68" t="inlineStr">
        <is>
          <t>العمليات الداخلية</t>
        </is>
      </c>
      <c r="J91" s="68" t="inlineStr">
        <is>
          <t>🟣 لاحق</t>
        </is>
      </c>
      <c r="K91" s="38" t="n"/>
    </row>
    <row r="92" ht="22" customHeight="1">
      <c r="A92" s="68" t="n">
        <v>89</v>
      </c>
      <c r="B92" s="91" t="inlineStr">
        <is>
          <t>العقار</t>
        </is>
      </c>
      <c r="C92" s="91" t="inlineStr">
        <is>
          <t>نسبة التحصيل</t>
        </is>
      </c>
      <c r="D92" s="68" t="inlineStr">
        <is>
          <t>%</t>
        </is>
      </c>
      <c r="E92" s="92" t="inlineStr">
        <is>
          <t>متوسط شهري · (الفعلي÷المستهدف)×100</t>
        </is>
      </c>
      <c r="F92" s="68" t="inlineStr">
        <is>
          <t>&gt; 95%</t>
        </is>
      </c>
      <c r="G92" s="68" t="inlineStr">
        <is>
          <t>الاستدامة</t>
        </is>
      </c>
      <c r="H92" s="91" t="inlineStr">
        <is>
          <t>منظومة التأجير</t>
        </is>
      </c>
      <c r="I92" s="68" t="inlineStr">
        <is>
          <t>مالي</t>
        </is>
      </c>
      <c r="J92" s="68" t="inlineStr">
        <is>
          <t>🟣 لاحق</t>
        </is>
      </c>
      <c r="K92" s="38" t="n"/>
    </row>
    <row r="93" ht="22" customHeight="1">
      <c r="A93" s="68" t="n">
        <v>90</v>
      </c>
      <c r="B93" s="91" t="inlineStr">
        <is>
          <t>العقار</t>
        </is>
      </c>
      <c r="C93" s="91" t="inlineStr">
        <is>
          <t>نسبة الإشغال</t>
        </is>
      </c>
      <c r="D93" s="68" t="inlineStr">
        <is>
          <t>%</t>
        </is>
      </c>
      <c r="E93" s="92" t="inlineStr">
        <is>
          <t>متوسط شهري · (الفعلي÷المستهدف)×100</t>
        </is>
      </c>
      <c r="F93" s="68" t="inlineStr">
        <is>
          <t>≥ 60%</t>
        </is>
      </c>
      <c r="G93" s="68" t="inlineStr">
        <is>
          <t>الاستدامة</t>
        </is>
      </c>
      <c r="H93" s="91" t="inlineStr">
        <is>
          <t>منظومة التأجير</t>
        </is>
      </c>
      <c r="I93" s="68" t="inlineStr">
        <is>
          <t>العمليات الداخلية</t>
        </is>
      </c>
      <c r="J93" s="68" t="inlineStr">
        <is>
          <t>🟣 لاحق</t>
        </is>
      </c>
      <c r="K93" s="38" t="n"/>
    </row>
    <row r="94" ht="22" customHeight="1">
      <c r="A94" s="68" t="n">
        <v>91</v>
      </c>
      <c r="B94" s="91" t="inlineStr">
        <is>
          <t>العقار</t>
        </is>
      </c>
      <c r="C94" s="91" t="inlineStr">
        <is>
          <t>الوحدات المؤجَّرة شهرياً</t>
        </is>
      </c>
      <c r="D94" s="68" t="inlineStr">
        <is>
          <t>وحدة</t>
        </is>
      </c>
      <c r="E94" s="92" t="inlineStr">
        <is>
          <t>متوسط شهري · (الفعلي÷المستهدف)×100</t>
        </is>
      </c>
      <c r="F94" s="68" t="inlineStr">
        <is>
          <t>68 شهرياً</t>
        </is>
      </c>
      <c r="G94" s="68" t="inlineStr">
        <is>
          <t>الاستدامة</t>
        </is>
      </c>
      <c r="H94" s="91" t="inlineStr">
        <is>
          <t>منظومة التأجير</t>
        </is>
      </c>
      <c r="I94" s="68" t="inlineStr">
        <is>
          <t>العمليات الداخلية</t>
        </is>
      </c>
      <c r="J94" s="68" t="inlineStr">
        <is>
          <t>🟣 لاحق</t>
        </is>
      </c>
      <c r="K94" s="38" t="n"/>
    </row>
    <row r="95" ht="22" customHeight="1">
      <c r="A95" s="68" t="n">
        <v>92</v>
      </c>
      <c r="B95" s="91" t="inlineStr">
        <is>
          <t>العقار</t>
        </is>
      </c>
      <c r="C95" s="91" t="inlineStr">
        <is>
          <t>العملاء المحتملون (LEADS)</t>
        </is>
      </c>
      <c r="D95" s="68" t="inlineStr">
        <is>
          <t>عميل</t>
        </is>
      </c>
      <c r="E95" s="92" t="inlineStr">
        <is>
          <t>متوسط شهري · (الفعلي÷المستهدف)×100</t>
        </is>
      </c>
      <c r="F95" s="68" t="inlineStr">
        <is>
          <t>544–680</t>
        </is>
      </c>
      <c r="G95" s="68" t="inlineStr">
        <is>
          <t>النمو</t>
        </is>
      </c>
      <c r="H95" s="91" t="inlineStr">
        <is>
          <t>زيادة وصول العملاء</t>
        </is>
      </c>
      <c r="I95" s="68" t="inlineStr">
        <is>
          <t>العملاء</t>
        </is>
      </c>
      <c r="J95" s="68" t="inlineStr">
        <is>
          <t>🔵 قائد</t>
        </is>
      </c>
      <c r="K95" s="38" t="n"/>
    </row>
    <row r="96" ht="22" customHeight="1">
      <c r="A96" s="68" t="n">
        <v>93</v>
      </c>
      <c r="B96" s="91" t="inlineStr">
        <is>
          <t>العقار</t>
        </is>
      </c>
      <c r="C96" s="91" t="inlineStr">
        <is>
          <t>معدل التحويل</t>
        </is>
      </c>
      <c r="D96" s="68" t="inlineStr">
        <is>
          <t>%</t>
        </is>
      </c>
      <c r="E96" s="92" t="inlineStr">
        <is>
          <t>متوسط شهري · (الفعلي÷المستهدف)×100</t>
        </is>
      </c>
      <c r="F96" s="68" t="inlineStr">
        <is>
          <t>15–25%</t>
        </is>
      </c>
      <c r="G96" s="68" t="inlineStr">
        <is>
          <t>النمو</t>
        </is>
      </c>
      <c r="H96" s="91" t="inlineStr">
        <is>
          <t>زيادة وصول العملاء</t>
        </is>
      </c>
      <c r="I96" s="68" t="inlineStr">
        <is>
          <t>العمليات الداخلية</t>
        </is>
      </c>
      <c r="J96" s="68" t="inlineStr">
        <is>
          <t>🔵 قائد</t>
        </is>
      </c>
      <c r="K96" s="38" t="n"/>
    </row>
    <row r="97" ht="22" customHeight="1">
      <c r="A97" s="68" t="n">
        <v>94</v>
      </c>
      <c r="B97" s="91" t="inlineStr">
        <is>
          <t>العقار</t>
        </is>
      </c>
      <c r="C97" s="91" t="inlineStr">
        <is>
          <t>زيادة عدد العلامات التجارية</t>
        </is>
      </c>
      <c r="D97" s="68" t="inlineStr">
        <is>
          <t>علامة</t>
        </is>
      </c>
      <c r="E97" s="92" t="inlineStr">
        <is>
          <t>تراكمي (آخر قيمة) · (الفعلي÷المستهدف)×100</t>
        </is>
      </c>
      <c r="F97" s="68" t="inlineStr">
        <is>
          <t>246 علامة</t>
        </is>
      </c>
      <c r="G97" s="68" t="inlineStr">
        <is>
          <t>الاستدامة</t>
        </is>
      </c>
      <c r="H97" s="91" t="inlineStr">
        <is>
          <t>منظومة التأجير</t>
        </is>
      </c>
      <c r="I97" s="68" t="inlineStr">
        <is>
          <t>العمليات الداخلية</t>
        </is>
      </c>
      <c r="J97" s="68" t="inlineStr">
        <is>
          <t>🔵 قائد</t>
        </is>
      </c>
      <c r="K97" s="38" t="n"/>
    </row>
    <row r="98" ht="22" customHeight="1">
      <c r="A98" s="68" t="n">
        <v>95</v>
      </c>
      <c r="B98" s="91" t="inlineStr">
        <is>
          <t>العقار</t>
        </is>
      </c>
      <c r="C98" s="91" t="inlineStr">
        <is>
          <t>نسبة تأجير ساحة درب</t>
        </is>
      </c>
      <c r="D98" s="68" t="inlineStr">
        <is>
          <t>%</t>
        </is>
      </c>
      <c r="E98" s="92" t="inlineStr">
        <is>
          <t>تراكمي (آخر قيمة) · (الفعلي÷المستهدف)×100</t>
        </is>
      </c>
      <c r="F98" s="68" t="inlineStr">
        <is>
          <t>≥ 80%</t>
        </is>
      </c>
      <c r="G98" s="68" t="inlineStr">
        <is>
          <t>الابتكار</t>
        </is>
      </c>
      <c r="H98" s="91" t="inlineStr">
        <is>
          <t>ساحات درب</t>
        </is>
      </c>
      <c r="I98" s="68" t="inlineStr">
        <is>
          <t>العمليات الداخلية</t>
        </is>
      </c>
      <c r="J98" s="68" t="inlineStr">
        <is>
          <t>🟣 لاحق</t>
        </is>
      </c>
      <c r="K98" s="38" t="n"/>
    </row>
    <row r="99" ht="22" customHeight="1">
      <c r="A99" s="68" t="n">
        <v>96</v>
      </c>
      <c r="B99" s="91" t="inlineStr">
        <is>
          <t>العقار</t>
        </is>
      </c>
      <c r="C99" s="91" t="inlineStr">
        <is>
          <t>علامات تجارية جديدة (ساحة درب)</t>
        </is>
      </c>
      <c r="D99" s="68" t="inlineStr">
        <is>
          <t>علامة</t>
        </is>
      </c>
      <c r="E99" s="92" t="inlineStr">
        <is>
          <t>تجميعي (مجموع شهري) · (الفعلي÷المستهدف)×100</t>
        </is>
      </c>
      <c r="F99" s="68" t="inlineStr">
        <is>
          <t>6 علامات</t>
        </is>
      </c>
      <c r="G99" s="68" t="inlineStr">
        <is>
          <t>الابتكار</t>
        </is>
      </c>
      <c r="H99" s="91" t="inlineStr">
        <is>
          <t>ساحات درب</t>
        </is>
      </c>
      <c r="I99" s="68" t="inlineStr">
        <is>
          <t>العمليات الداخلية</t>
        </is>
      </c>
      <c r="J99" s="68" t="inlineStr">
        <is>
          <t>🟣 لاحق</t>
        </is>
      </c>
      <c r="K99" s="38" t="n"/>
    </row>
    <row r="100" ht="22" customHeight="1">
      <c r="A100" s="68" t="n">
        <v>97</v>
      </c>
      <c r="B100" s="91" t="inlineStr">
        <is>
          <t>العقار</t>
        </is>
      </c>
      <c r="C100" s="91" t="inlineStr">
        <is>
          <t>الشراكات الاستراتيجية</t>
        </is>
      </c>
      <c r="D100" s="68" t="inlineStr">
        <is>
          <t>شراكة</t>
        </is>
      </c>
      <c r="E100" s="92" t="inlineStr">
        <is>
          <t>تجميعي (مجموع شهري) · (الفعلي÷المستهدف)×100</t>
        </is>
      </c>
      <c r="F100" s="68" t="inlineStr">
        <is>
          <t>5 شراكات</t>
        </is>
      </c>
      <c r="G100" s="68" t="inlineStr">
        <is>
          <t>الابتكار</t>
        </is>
      </c>
      <c r="H100" s="91" t="inlineStr">
        <is>
          <t>إطلاق مشاريع جديدة</t>
        </is>
      </c>
      <c r="I100" s="68" t="inlineStr">
        <is>
          <t>التعلّم والنمو</t>
        </is>
      </c>
      <c r="J100" s="68" t="inlineStr">
        <is>
          <t>🟣 لاحق</t>
        </is>
      </c>
      <c r="K100" s="38" t="n"/>
    </row>
    <row r="101" ht="22" customHeight="1">
      <c r="A101" s="68" t="n">
        <v>98</v>
      </c>
      <c r="B101" s="91" t="inlineStr">
        <is>
          <t>العقار</t>
        </is>
      </c>
      <c r="C101" s="91" t="inlineStr">
        <is>
          <t>نسبة تجديد العقود</t>
        </is>
      </c>
      <c r="D101" s="68" t="inlineStr">
        <is>
          <t>%</t>
        </is>
      </c>
      <c r="E101" s="92" t="inlineStr">
        <is>
          <t>متوسط شهري · (الفعلي÷المستهدف)×100</t>
        </is>
      </c>
      <c r="F101" s="68" t="inlineStr">
        <is>
          <t>100%</t>
        </is>
      </c>
      <c r="G101" s="68" t="inlineStr">
        <is>
          <t>الاستدامة</t>
        </is>
      </c>
      <c r="H101" s="91" t="inlineStr">
        <is>
          <t>منظومة التأجير</t>
        </is>
      </c>
      <c r="I101" s="68" t="inlineStr">
        <is>
          <t>العمليات الداخلية</t>
        </is>
      </c>
      <c r="J101" s="68" t="inlineStr">
        <is>
          <t>🟣 لاحق</t>
        </is>
      </c>
      <c r="K101" s="38" t="n"/>
    </row>
    <row r="102" ht="22" customHeight="1">
      <c r="A102" s="68" t="n">
        <v>99</v>
      </c>
      <c r="B102" s="91" t="inlineStr">
        <is>
          <t>العقار</t>
        </is>
      </c>
      <c r="C102" s="91" t="inlineStr">
        <is>
          <t>متوسط زمن تسليم الوحدة</t>
        </is>
      </c>
      <c r="D102" s="68" t="inlineStr">
        <is>
          <t>يوم</t>
        </is>
      </c>
      <c r="E102" s="92" t="inlineStr">
        <is>
          <t>متوسط شهري · (الفعلي÷المستهدف)×100</t>
        </is>
      </c>
      <c r="F102" s="68" t="inlineStr">
        <is>
          <t>≤ 7 أيام</t>
        </is>
      </c>
      <c r="G102" s="68" t="inlineStr">
        <is>
          <t>الاستدامة</t>
        </is>
      </c>
      <c r="H102" s="91" t="inlineStr">
        <is>
          <t>جودة التشغيل</t>
        </is>
      </c>
      <c r="I102" s="68" t="inlineStr">
        <is>
          <t>العمليات الداخلية</t>
        </is>
      </c>
      <c r="J102" s="68" t="inlineStr">
        <is>
          <t>🟣 لاحق</t>
        </is>
      </c>
      <c r="K102" s="38" t="n"/>
    </row>
    <row r="103" ht="22" customHeight="1">
      <c r="A103" s="68" t="n">
        <v>100</v>
      </c>
      <c r="B103" s="91" t="inlineStr">
        <is>
          <t>العقار</t>
        </is>
      </c>
      <c r="C103" s="91" t="inlineStr">
        <is>
          <t>نسبة إغلاق الطلبات خلال 3 أسابيع</t>
        </is>
      </c>
      <c r="D103" s="68" t="inlineStr">
        <is>
          <t>%</t>
        </is>
      </c>
      <c r="E103" s="92" t="inlineStr">
        <is>
          <t>متوسط شهري · (الفعلي÷المستهدف)×100</t>
        </is>
      </c>
      <c r="F103" s="68" t="inlineStr">
        <is>
          <t>&gt; 90%</t>
        </is>
      </c>
      <c r="G103" s="68" t="inlineStr">
        <is>
          <t>الاستدامة</t>
        </is>
      </c>
      <c r="H103" s="91" t="inlineStr">
        <is>
          <t>جودة التشغيل</t>
        </is>
      </c>
      <c r="I103" s="68" t="inlineStr">
        <is>
          <t>العمليات الداخلية</t>
        </is>
      </c>
      <c r="J103" s="68" t="inlineStr">
        <is>
          <t>🔵 قائد</t>
        </is>
      </c>
      <c r="K103" s="38" t="n"/>
    </row>
    <row r="104" ht="22" customHeight="1">
      <c r="A104" s="68" t="n">
        <v>101</v>
      </c>
      <c r="B104" s="91" t="inlineStr">
        <is>
          <t>العقار</t>
        </is>
      </c>
      <c r="C104" s="91" t="inlineStr">
        <is>
          <t>استدامة المستأجرين (لم يُنهَ مبكراً)</t>
        </is>
      </c>
      <c r="D104" s="68" t="inlineStr">
        <is>
          <t>%</t>
        </is>
      </c>
      <c r="E104" s="92" t="inlineStr">
        <is>
          <t>متوسط شهري · (الفعلي÷المستهدف)×100</t>
        </is>
      </c>
      <c r="F104" s="68" t="inlineStr">
        <is>
          <t>≥ 80%</t>
        </is>
      </c>
      <c r="G104" s="68" t="inlineStr">
        <is>
          <t>الاستدامة</t>
        </is>
      </c>
      <c r="H104" s="91" t="inlineStr">
        <is>
          <t>تعزيز تجربة العملاء</t>
        </is>
      </c>
      <c r="I104" s="68" t="inlineStr">
        <is>
          <t>العملاء</t>
        </is>
      </c>
      <c r="J104" s="68" t="inlineStr">
        <is>
          <t>🟣 لاحق</t>
        </is>
      </c>
      <c r="K104" s="38" t="n"/>
    </row>
    <row r="105" ht="22" customHeight="1">
      <c r="A105" s="68" t="n">
        <v>102</v>
      </c>
      <c r="B105" s="91" t="inlineStr">
        <is>
          <t>العقار</t>
        </is>
      </c>
      <c r="C105" s="91" t="inlineStr">
        <is>
          <t>معدل رضا المستأجرين (استبيان ربعي)</t>
        </is>
      </c>
      <c r="D105" s="68" t="inlineStr">
        <is>
          <t>%</t>
        </is>
      </c>
      <c r="E105" s="92" t="inlineStr">
        <is>
          <t>متوسط شهري · (الفعلي÷المستهدف)×100</t>
        </is>
      </c>
      <c r="F105" s="68" t="inlineStr">
        <is>
          <t>≥ 90%</t>
        </is>
      </c>
      <c r="G105" s="68" t="inlineStr">
        <is>
          <t>الاستدامة</t>
        </is>
      </c>
      <c r="H105" s="91" t="inlineStr">
        <is>
          <t>تعزيز تجربة العملاء</t>
        </is>
      </c>
      <c r="I105" s="68" t="inlineStr">
        <is>
          <t>العملاء</t>
        </is>
      </c>
      <c r="J105" s="68" t="inlineStr">
        <is>
          <t>🟣 لاحق</t>
        </is>
      </c>
      <c r="K105" s="38" t="n"/>
    </row>
    <row r="106" ht="22" customHeight="1">
      <c r="A106" s="68" t="n">
        <v>103</v>
      </c>
      <c r="B106" s="91" t="inlineStr">
        <is>
          <t>التقنية الرقمية</t>
        </is>
      </c>
      <c r="C106" s="91" t="inlineStr">
        <is>
          <t>عدد مستخدمي تطبيق «تانكي» النشطين شهرياً (MAU)</t>
        </is>
      </c>
      <c r="D106" s="68" t="inlineStr">
        <is>
          <t>مستخدم</t>
        </is>
      </c>
      <c r="E106" s="92" t="inlineStr">
        <is>
          <t>تراكمي (آخر قيمة) · (الفعلي÷المستهدف)×100</t>
        </is>
      </c>
      <c r="F106" s="68" t="inlineStr">
        <is>
          <t>يُحدد لاحقاً</t>
        </is>
      </c>
      <c r="G106" s="68" t="inlineStr">
        <is>
          <t>الابتكار</t>
        </is>
      </c>
      <c r="H106" s="91" t="inlineStr">
        <is>
          <t>تطبيق «تانكي»</t>
        </is>
      </c>
      <c r="I106" s="68" t="inlineStr">
        <is>
          <t>التعلّم والنمو</t>
        </is>
      </c>
      <c r="J106" s="68" t="inlineStr">
        <is>
          <t>🔵 قائد</t>
        </is>
      </c>
      <c r="K106" s="38" t="n"/>
    </row>
    <row r="107" ht="22" customHeight="1">
      <c r="A107" s="68" t="n">
        <v>104</v>
      </c>
      <c r="B107" s="91" t="inlineStr">
        <is>
          <t>التقنية الرقمية</t>
        </is>
      </c>
      <c r="C107" s="91" t="inlineStr">
        <is>
          <t>نمو تنزيلات تطبيق تانكي</t>
        </is>
      </c>
      <c r="D107" s="68" t="inlineStr">
        <is>
          <t>%</t>
        </is>
      </c>
      <c r="E107" s="92" t="inlineStr">
        <is>
          <t>متوسط شهري · (الفعلي÷المستهدف)×100</t>
        </is>
      </c>
      <c r="F107" s="68" t="inlineStr">
        <is>
          <t>يُحدد لاحقاً</t>
        </is>
      </c>
      <c r="G107" s="68" t="inlineStr">
        <is>
          <t>الابتكار</t>
        </is>
      </c>
      <c r="H107" s="91" t="inlineStr">
        <is>
          <t>تطبيق «تانكي»</t>
        </is>
      </c>
      <c r="I107" s="68" t="inlineStr">
        <is>
          <t>التعلّم والنمو</t>
        </is>
      </c>
      <c r="J107" s="68" t="inlineStr">
        <is>
          <t>🔵 قائد</t>
        </is>
      </c>
      <c r="K107" s="38" t="n"/>
    </row>
    <row r="108" ht="22" customHeight="1">
      <c r="A108" s="68" t="n">
        <v>105</v>
      </c>
      <c r="B108" s="91" t="inlineStr">
        <is>
          <t>التقنية الرقمية</t>
        </is>
      </c>
      <c r="C108" s="91" t="inlineStr">
        <is>
          <t>نسبة المعاملات الرقمية عبر تانكي</t>
        </is>
      </c>
      <c r="D108" s="68" t="inlineStr">
        <is>
          <t>%</t>
        </is>
      </c>
      <c r="E108" s="92" t="inlineStr">
        <is>
          <t>متوسط شهري · (الفعلي÷المستهدف)×100</t>
        </is>
      </c>
      <c r="F108" s="68" t="inlineStr">
        <is>
          <t>يُحدد لاحقاً</t>
        </is>
      </c>
      <c r="G108" s="68" t="inlineStr">
        <is>
          <t>الابتكار</t>
        </is>
      </c>
      <c r="H108" s="91" t="inlineStr">
        <is>
          <t>تطبيق «تانكي»</t>
        </is>
      </c>
      <c r="I108" s="68" t="inlineStr">
        <is>
          <t>التعلّم والنمو</t>
        </is>
      </c>
      <c r="J108" s="68" t="inlineStr">
        <is>
          <t>🟣 لاحق</t>
        </is>
      </c>
      <c r="K108" s="38" t="n"/>
    </row>
    <row r="109" ht="22" customHeight="1">
      <c r="A109" s="68" t="n">
        <v>106</v>
      </c>
      <c r="B109" s="91" t="inlineStr">
        <is>
          <t>التقنية الرقمية</t>
        </is>
      </c>
      <c r="C109" s="91" t="inlineStr">
        <is>
          <t>معدل رضا مستخدمي تطبيق تانكي</t>
        </is>
      </c>
      <c r="D109" s="68" t="inlineStr">
        <is>
          <t>نجمة/5</t>
        </is>
      </c>
      <c r="E109" s="92" t="inlineStr">
        <is>
          <t>متوسط شهري · (الفعلي÷المستهدف)×100</t>
        </is>
      </c>
      <c r="F109" s="68" t="inlineStr">
        <is>
          <t>≥ 4.5</t>
        </is>
      </c>
      <c r="G109" s="68" t="inlineStr">
        <is>
          <t>الابتكار</t>
        </is>
      </c>
      <c r="H109" s="91" t="inlineStr">
        <is>
          <t>تطبيق «تانكي»</t>
        </is>
      </c>
      <c r="I109" s="68" t="inlineStr">
        <is>
          <t>التعلّم والنمو</t>
        </is>
      </c>
      <c r="J109" s="68" t="inlineStr">
        <is>
          <t>🟣 لاحق</t>
        </is>
      </c>
      <c r="K109" s="38" t="n"/>
    </row>
    <row r="110" ht="22" customHeight="1">
      <c r="A110" s="68" t="n">
        <v>107</v>
      </c>
      <c r="B110" s="91" t="inlineStr">
        <is>
          <t>التقنية الرقمية</t>
        </is>
      </c>
      <c r="C110" s="91" t="inlineStr">
        <is>
          <t>نسبة أتمتة العمليات الأساسية (شركة)</t>
        </is>
      </c>
      <c r="D110" s="68" t="inlineStr">
        <is>
          <t>%</t>
        </is>
      </c>
      <c r="E110" s="92" t="inlineStr">
        <is>
          <t>تراكمي (آخر قيمة) · (الفعلي÷المستهدف)×100</t>
        </is>
      </c>
      <c r="F110" s="68" t="inlineStr">
        <is>
          <t>يُحدد لاحقاً</t>
        </is>
      </c>
      <c r="G110" s="68" t="inlineStr">
        <is>
          <t>الابتكار</t>
        </is>
      </c>
      <c r="H110" s="91" t="inlineStr">
        <is>
          <t>التحول التقني</t>
        </is>
      </c>
      <c r="I110" s="68" t="inlineStr">
        <is>
          <t>التعلّم والنمو</t>
        </is>
      </c>
      <c r="J110" s="68" t="inlineStr">
        <is>
          <t>🟣 لاحق</t>
        </is>
      </c>
      <c r="K110" s="38" t="n"/>
    </row>
    <row r="111" ht="22" customHeight="1">
      <c r="A111" s="68" t="n">
        <v>108</v>
      </c>
      <c r="B111" s="91" t="inlineStr">
        <is>
          <t>التقنية الرقمية</t>
        </is>
      </c>
      <c r="C111" s="91" t="inlineStr">
        <is>
          <t>نسبة جاهزية الأنظمة (Uptime)</t>
        </is>
      </c>
      <c r="D111" s="68" t="inlineStr">
        <is>
          <t>%</t>
        </is>
      </c>
      <c r="E111" s="92" t="inlineStr">
        <is>
          <t>متوسط شهري · (الفعلي÷المستهدف)×100</t>
        </is>
      </c>
      <c r="F111" s="68" t="inlineStr">
        <is>
          <t>≥ 99.5%</t>
        </is>
      </c>
      <c r="G111" s="68" t="inlineStr">
        <is>
          <t>الابتكار</t>
        </is>
      </c>
      <c r="H111" s="91" t="inlineStr">
        <is>
          <t>التحول التقني</t>
        </is>
      </c>
      <c r="I111" s="68" t="inlineStr">
        <is>
          <t>العمليات الداخلية</t>
        </is>
      </c>
      <c r="J111" s="68" t="inlineStr">
        <is>
          <t>🟣 لاحق</t>
        </is>
      </c>
      <c r="K111" s="38" t="n"/>
    </row>
    <row r="112" ht="22" customHeight="1">
      <c r="A112" s="68" t="n">
        <v>109</v>
      </c>
      <c r="B112" s="91" t="inlineStr">
        <is>
          <t>التقنية الرقمية</t>
        </is>
      </c>
      <c r="C112" s="91" t="inlineStr">
        <is>
          <t>متوسط زمن حل أعطال الأنظمة</t>
        </is>
      </c>
      <c r="D112" s="68" t="inlineStr">
        <is>
          <t>ساعة</t>
        </is>
      </c>
      <c r="E112" s="92" t="inlineStr">
        <is>
          <t>متوسط شهري · (الفعلي÷المستهدف)×100</t>
        </is>
      </c>
      <c r="F112" s="68" t="inlineStr">
        <is>
          <t>≤ 4 ساعات</t>
        </is>
      </c>
      <c r="G112" s="68" t="inlineStr">
        <is>
          <t>الابتكار</t>
        </is>
      </c>
      <c r="H112" s="91" t="inlineStr">
        <is>
          <t>التحول التقني</t>
        </is>
      </c>
      <c r="I112" s="68" t="inlineStr">
        <is>
          <t>العمليات الداخلية</t>
        </is>
      </c>
      <c r="J112" s="68" t="inlineStr">
        <is>
          <t>🟣 لاحق</t>
        </is>
      </c>
      <c r="K112" s="38" t="n"/>
    </row>
    <row r="113" ht="22" customHeight="1">
      <c r="A113" s="68" t="n">
        <v>110</v>
      </c>
      <c r="B113" s="91" t="inlineStr">
        <is>
          <t>التقنية الرقمية</t>
        </is>
      </c>
      <c r="C113" s="91" t="inlineStr">
        <is>
          <t>نسبة المشاريع التقنية المنجزة في الوقت</t>
        </is>
      </c>
      <c r="D113" s="68" t="inlineStr">
        <is>
          <t>%</t>
        </is>
      </c>
      <c r="E113" s="92" t="inlineStr">
        <is>
          <t>متوسط شهري · (الفعلي÷المستهدف)×100</t>
        </is>
      </c>
      <c r="F113" s="68" t="inlineStr">
        <is>
          <t>≥ 90%</t>
        </is>
      </c>
      <c r="G113" s="68" t="inlineStr">
        <is>
          <t>الابتكار</t>
        </is>
      </c>
      <c r="H113" s="91" t="inlineStr">
        <is>
          <t>التحول التقني</t>
        </is>
      </c>
      <c r="I113" s="68" t="inlineStr">
        <is>
          <t>العمليات الداخلية</t>
        </is>
      </c>
      <c r="J113" s="68" t="inlineStr">
        <is>
          <t>🟣 لاحق</t>
        </is>
      </c>
      <c r="K113" s="38" t="n"/>
    </row>
    <row r="114" ht="22" customHeight="1">
      <c r="A114" s="68" t="n">
        <v>111</v>
      </c>
      <c r="B114" s="91" t="inlineStr">
        <is>
          <t>الموارد البشرية</t>
        </is>
      </c>
      <c r="C114" s="91" t="inlineStr">
        <is>
          <t>معدل استبقاء الموظفين (Retention)</t>
        </is>
      </c>
      <c r="D114" s="68" t="inlineStr">
        <is>
          <t>%</t>
        </is>
      </c>
      <c r="E114" s="92" t="inlineStr">
        <is>
          <t>تراكمي (آخر قيمة) · (الفعلي÷المستهدف)×100</t>
        </is>
      </c>
      <c r="F114" s="68" t="inlineStr">
        <is>
          <t>≥ 90%</t>
        </is>
      </c>
      <c r="G114" s="68" t="inlineStr">
        <is>
          <t>الاستدامة</t>
        </is>
      </c>
      <c r="H114" s="91" t="inlineStr">
        <is>
          <t>الاستثمار في الموظفين</t>
        </is>
      </c>
      <c r="I114" s="68" t="inlineStr">
        <is>
          <t>التعلّم والنمو</t>
        </is>
      </c>
      <c r="J114" s="68" t="inlineStr">
        <is>
          <t>🟣 لاحق</t>
        </is>
      </c>
      <c r="K114" s="38" t="n"/>
    </row>
    <row r="115" ht="22" customHeight="1">
      <c r="A115" s="68" t="n">
        <v>112</v>
      </c>
      <c r="B115" s="91" t="inlineStr">
        <is>
          <t>الموارد البشرية</t>
        </is>
      </c>
      <c r="C115" s="91" t="inlineStr">
        <is>
          <t>معدل دوران الموظفين (Turnover)</t>
        </is>
      </c>
      <c r="D115" s="68" t="inlineStr">
        <is>
          <t>%</t>
        </is>
      </c>
      <c r="E115" s="92" t="inlineStr">
        <is>
          <t>متوسط شهري · (الفعلي÷المستهدف)×100</t>
        </is>
      </c>
      <c r="F115" s="68" t="inlineStr">
        <is>
          <t>≤ 10%</t>
        </is>
      </c>
      <c r="G115" s="68" t="inlineStr">
        <is>
          <t>الاستدامة</t>
        </is>
      </c>
      <c r="H115" s="91" t="inlineStr">
        <is>
          <t>الاستثمار في الموظفين</t>
        </is>
      </c>
      <c r="I115" s="68" t="inlineStr">
        <is>
          <t>التعلّم والنمو</t>
        </is>
      </c>
      <c r="J115" s="68" t="inlineStr">
        <is>
          <t>🟣 لاحق</t>
        </is>
      </c>
      <c r="K115" s="38" t="n"/>
    </row>
    <row r="116" ht="22" customHeight="1">
      <c r="A116" s="68" t="n">
        <v>113</v>
      </c>
      <c r="B116" s="91" t="inlineStr">
        <is>
          <t>الموارد البشرية</t>
        </is>
      </c>
      <c r="C116" s="91" t="inlineStr">
        <is>
          <t>متوسط ساعات التدريب لكل موظف</t>
        </is>
      </c>
      <c r="D116" s="68" t="inlineStr">
        <is>
          <t>ساعة</t>
        </is>
      </c>
      <c r="E116" s="92" t="inlineStr">
        <is>
          <t>تجميعي (مجموع شهري) · (الفعلي÷المستهدف)×100</t>
        </is>
      </c>
      <c r="F116" s="68" t="inlineStr">
        <is>
          <t>≥ 40 ساعة</t>
        </is>
      </c>
      <c r="G116" s="68" t="inlineStr">
        <is>
          <t>الاستدامة</t>
        </is>
      </c>
      <c r="H116" s="91" t="inlineStr">
        <is>
          <t>الاستثمار في الموظفين</t>
        </is>
      </c>
      <c r="I116" s="68" t="inlineStr">
        <is>
          <t>التعلّم والنمو</t>
        </is>
      </c>
      <c r="J116" s="68" t="inlineStr">
        <is>
          <t>🔵 قائد</t>
        </is>
      </c>
      <c r="K116" s="38" t="n"/>
    </row>
    <row r="117" ht="22" customHeight="1">
      <c r="A117" s="68" t="n">
        <v>114</v>
      </c>
      <c r="B117" s="91" t="inlineStr">
        <is>
          <t>الموارد البشرية</t>
        </is>
      </c>
      <c r="C117" s="91" t="inlineStr">
        <is>
          <t>نسبة الموظفين المشمولين بخطة تطوير</t>
        </is>
      </c>
      <c r="D117" s="68" t="inlineStr">
        <is>
          <t>%</t>
        </is>
      </c>
      <c r="E117" s="92" t="inlineStr">
        <is>
          <t>تراكمي (آخر قيمة) · (الفعلي÷المستهدف)×100</t>
        </is>
      </c>
      <c r="F117" s="68" t="inlineStr">
        <is>
          <t>≥ 80%</t>
        </is>
      </c>
      <c r="G117" s="68" t="inlineStr">
        <is>
          <t>الاستدامة</t>
        </is>
      </c>
      <c r="H117" s="91" t="inlineStr">
        <is>
          <t>الاستثمار في الموظفين</t>
        </is>
      </c>
      <c r="I117" s="68" t="inlineStr">
        <is>
          <t>التعلّم والنمو</t>
        </is>
      </c>
      <c r="J117" s="68" t="inlineStr">
        <is>
          <t>🟣 لاحق</t>
        </is>
      </c>
      <c r="K117" s="38" t="n"/>
    </row>
    <row r="118" ht="22" customHeight="1">
      <c r="A118" s="68" t="n">
        <v>115</v>
      </c>
      <c r="B118" s="91" t="inlineStr">
        <is>
          <t>الموارد البشرية</t>
        </is>
      </c>
      <c r="C118" s="91" t="inlineStr">
        <is>
          <t>مؤشر رضا الموظفين (eNPS)</t>
        </is>
      </c>
      <c r="D118" s="68" t="inlineStr">
        <is>
          <t>نقطة</t>
        </is>
      </c>
      <c r="E118" s="92" t="inlineStr">
        <is>
          <t>متوسط شهري · (الفعلي÷المستهدف)×100</t>
        </is>
      </c>
      <c r="F118" s="68" t="inlineStr">
        <is>
          <t>≥ 30</t>
        </is>
      </c>
      <c r="G118" s="68" t="inlineStr">
        <is>
          <t>الاستدامة</t>
        </is>
      </c>
      <c r="H118" s="91" t="inlineStr">
        <is>
          <t>الاستثمار في الموظفين</t>
        </is>
      </c>
      <c r="I118" s="68" t="inlineStr">
        <is>
          <t>التعلّم والنمو</t>
        </is>
      </c>
      <c r="J118" s="68" t="inlineStr">
        <is>
          <t>🟣 لاحق</t>
        </is>
      </c>
      <c r="K118" s="38" t="n"/>
    </row>
    <row r="119" ht="22" customHeight="1">
      <c r="A119" s="68" t="n">
        <v>116</v>
      </c>
      <c r="B119" s="91" t="inlineStr">
        <is>
          <t>الموارد البشرية</t>
        </is>
      </c>
      <c r="C119" s="91" t="inlineStr">
        <is>
          <t>نسبة شغل الشواغر خلال 30 يوم</t>
        </is>
      </c>
      <c r="D119" s="68" t="inlineStr">
        <is>
          <t>%</t>
        </is>
      </c>
      <c r="E119" s="92" t="inlineStr">
        <is>
          <t>متوسط شهري · (الفعلي÷المستهدف)×100</t>
        </is>
      </c>
      <c r="F119" s="68" t="inlineStr">
        <is>
          <t>≥ 85%</t>
        </is>
      </c>
      <c r="G119" s="68" t="inlineStr">
        <is>
          <t>الاستدامة</t>
        </is>
      </c>
      <c r="H119" s="91" t="inlineStr">
        <is>
          <t>الاستثمار في الموظفين</t>
        </is>
      </c>
      <c r="I119" s="68" t="inlineStr">
        <is>
          <t>العمليات الداخلية</t>
        </is>
      </c>
      <c r="J119" s="68" t="inlineStr">
        <is>
          <t>🟣 لاحق</t>
        </is>
      </c>
      <c r="K119" s="38" t="n"/>
    </row>
    <row r="120" ht="22" customHeight="1">
      <c r="A120" s="68" t="n">
        <v>117</v>
      </c>
      <c r="B120" s="91" t="inlineStr">
        <is>
          <t>الموارد البشرية</t>
        </is>
      </c>
      <c r="C120" s="91" t="inlineStr">
        <is>
          <t>نسبة إنجاز تقييمات الأداء في موعدها</t>
        </is>
      </c>
      <c r="D120" s="68" t="inlineStr">
        <is>
          <t>%</t>
        </is>
      </c>
      <c r="E120" s="92" t="inlineStr">
        <is>
          <t>متوسط شهري · (الفعلي÷المستهدف)×100</t>
        </is>
      </c>
      <c r="F120" s="68" t="inlineStr">
        <is>
          <t>100%</t>
        </is>
      </c>
      <c r="G120" s="68" t="inlineStr">
        <is>
          <t>الاستدامة</t>
        </is>
      </c>
      <c r="H120" s="91" t="inlineStr">
        <is>
          <t>الاستثمار في الموظفين</t>
        </is>
      </c>
      <c r="I120" s="68" t="inlineStr">
        <is>
          <t>العمليات الداخلية</t>
        </is>
      </c>
      <c r="J120" s="68" t="inlineStr">
        <is>
          <t>🟣 لاحق</t>
        </is>
      </c>
      <c r="K120" s="38" t="n"/>
    </row>
    <row r="121" ht="22" customHeight="1">
      <c r="A121" s="68" t="n">
        <v>118</v>
      </c>
      <c r="B121" s="91" t="inlineStr">
        <is>
          <t>الموارد البشرية</t>
        </is>
      </c>
      <c r="C121" s="91" t="inlineStr">
        <is>
          <t>نسبة السعودة</t>
        </is>
      </c>
      <c r="D121" s="68" t="inlineStr">
        <is>
          <t>%</t>
        </is>
      </c>
      <c r="E121" s="92" t="inlineStr">
        <is>
          <t>تراكمي (آخر قيمة) · (الفعلي÷المستهدف)×100</t>
        </is>
      </c>
      <c r="F121" s="68" t="inlineStr">
        <is>
          <t>حسب النطاق</t>
        </is>
      </c>
      <c r="G121" s="68" t="inlineStr">
        <is>
          <t>الاستدامة</t>
        </is>
      </c>
      <c r="H121" s="91" t="inlineStr">
        <is>
          <t>الاستثمار في الموظفين</t>
        </is>
      </c>
      <c r="I121" s="68" t="inlineStr">
        <is>
          <t>التعلّم والنمو</t>
        </is>
      </c>
      <c r="J121" s="68" t="inlineStr">
        <is>
          <t>🟣 لاحق</t>
        </is>
      </c>
      <c r="K121" s="38" t="n"/>
    </row>
    <row r="122" ht="22" customHeight="1">
      <c r="A122" s="68" t="n">
        <v>119</v>
      </c>
      <c r="B122" s="91" t="inlineStr">
        <is>
          <t>التسويق</t>
        </is>
      </c>
      <c r="C122" s="91" t="inlineStr">
        <is>
          <t>الوصول الكلي (Total Reach)</t>
        </is>
      </c>
      <c r="D122" s="68" t="inlineStr">
        <is>
          <t>وصول</t>
        </is>
      </c>
      <c r="E122" s="92" t="inlineStr">
        <is>
          <t>تراكمي (آخر قيمة) · (الفعلي÷المستهدف)×100</t>
        </is>
      </c>
      <c r="F122" s="68" t="inlineStr">
        <is>
          <t>50م وصول</t>
        </is>
      </c>
      <c r="G122" s="68" t="inlineStr">
        <is>
          <t>النمو</t>
        </is>
      </c>
      <c r="H122" s="91" t="inlineStr">
        <is>
          <t>زيادة وصول العملاء</t>
        </is>
      </c>
      <c r="I122" s="68" t="inlineStr">
        <is>
          <t>العملاء</t>
        </is>
      </c>
      <c r="J122" s="68" t="inlineStr">
        <is>
          <t>🟣 لاحق</t>
        </is>
      </c>
      <c r="K122" s="38" t="n"/>
    </row>
    <row r="123" ht="22" customHeight="1">
      <c r="A123" s="68" t="n">
        <v>120</v>
      </c>
      <c r="B123" s="91" t="inlineStr">
        <is>
          <t>التسويق</t>
        </is>
      </c>
      <c r="C123" s="91" t="inlineStr">
        <is>
          <t>عملاء تجاريون جدد</t>
        </is>
      </c>
      <c r="D123" s="68" t="inlineStr">
        <is>
          <t>عميل</t>
        </is>
      </c>
      <c r="E123" s="92" t="inlineStr">
        <is>
          <t>تجميعي (مجموع شهري) · (الفعلي÷المستهدف)×100</t>
        </is>
      </c>
      <c r="F123" s="68" t="inlineStr">
        <is>
          <t>200 عميل</t>
        </is>
      </c>
      <c r="G123" s="68" t="inlineStr">
        <is>
          <t>النمو</t>
        </is>
      </c>
      <c r="H123" s="91" t="inlineStr">
        <is>
          <t>زيادة وصول العملاء</t>
        </is>
      </c>
      <c r="I123" s="68" t="inlineStr">
        <is>
          <t>العملاء</t>
        </is>
      </c>
      <c r="J123" s="68" t="inlineStr">
        <is>
          <t>🟣 لاحق</t>
        </is>
      </c>
      <c r="K123" s="38" t="n"/>
    </row>
    <row r="124" ht="22" customHeight="1">
      <c r="A124" s="68" t="n">
        <v>121</v>
      </c>
      <c r="B124" s="91" t="inlineStr">
        <is>
          <t>التسويق</t>
        </is>
      </c>
      <c r="C124" s="91" t="inlineStr">
        <is>
          <t>إجمالي المتابعين (كل المنصات)</t>
        </is>
      </c>
      <c r="D124" s="68" t="inlineStr">
        <is>
          <t>متابع</t>
        </is>
      </c>
      <c r="E124" s="92" t="inlineStr">
        <is>
          <t>تراكمي (آخر قيمة) · (الفعلي÷المستهدف)×100</t>
        </is>
      </c>
      <c r="F124" s="68" t="inlineStr">
        <is>
          <t>380ك متابع</t>
        </is>
      </c>
      <c r="G124" s="68" t="inlineStr">
        <is>
          <t>النمو</t>
        </is>
      </c>
      <c r="H124" s="91" t="inlineStr">
        <is>
          <t>زيادة وصول العملاء</t>
        </is>
      </c>
      <c r="I124" s="68" t="inlineStr">
        <is>
          <t>العمليات الداخلية</t>
        </is>
      </c>
      <c r="J124" s="68" t="inlineStr">
        <is>
          <t>🟣 لاحق</t>
        </is>
      </c>
      <c r="K124" s="38" t="n"/>
    </row>
    <row r="125" ht="22" customHeight="1">
      <c r="A125" s="68" t="n">
        <v>122</v>
      </c>
      <c r="B125" s="91" t="inlineStr">
        <is>
          <t>التسويق</t>
        </is>
      </c>
      <c r="C125" s="91" t="inlineStr">
        <is>
          <t>معدل التفاعل (Engagement)</t>
        </is>
      </c>
      <c r="D125" s="68" t="inlineStr">
        <is>
          <t>%</t>
        </is>
      </c>
      <c r="E125" s="92" t="inlineStr">
        <is>
          <t>متوسط شهري · (الفعلي÷المستهدف)×100</t>
        </is>
      </c>
      <c r="F125" s="68" t="inlineStr">
        <is>
          <t>50%</t>
        </is>
      </c>
      <c r="G125" s="68" t="inlineStr">
        <is>
          <t>النمو</t>
        </is>
      </c>
      <c r="H125" s="91" t="inlineStr">
        <is>
          <t>زيادة وصول العملاء</t>
        </is>
      </c>
      <c r="I125" s="68" t="inlineStr">
        <is>
          <t>العمليات الداخلية</t>
        </is>
      </c>
      <c r="J125" s="68" t="inlineStr">
        <is>
          <t>🟣 لاحق</t>
        </is>
      </c>
      <c r="K125" s="38" t="n"/>
    </row>
    <row r="126" ht="22" customHeight="1">
      <c r="A126" s="68" t="n">
        <v>123</v>
      </c>
      <c r="B126" s="91" t="inlineStr">
        <is>
          <t>التسويق</t>
        </is>
      </c>
      <c r="C126" s="91" t="inlineStr">
        <is>
          <t>حملات تسويقية منجزة</t>
        </is>
      </c>
      <c r="D126" s="68" t="inlineStr">
        <is>
          <t>حملة</t>
        </is>
      </c>
      <c r="E126" s="92" t="inlineStr">
        <is>
          <t>تجميعي (مجموع شهري) · (الفعلي÷المستهدف)×100</t>
        </is>
      </c>
      <c r="F126" s="68" t="inlineStr">
        <is>
          <t>48 حملة</t>
        </is>
      </c>
      <c r="G126" s="68" t="inlineStr">
        <is>
          <t>النمو</t>
        </is>
      </c>
      <c r="H126" s="91" t="inlineStr">
        <is>
          <t>زيادة وصول العملاء</t>
        </is>
      </c>
      <c r="I126" s="68" t="inlineStr">
        <is>
          <t>العمليات الداخلية</t>
        </is>
      </c>
      <c r="J126" s="68" t="inlineStr">
        <is>
          <t>🔵 قائد</t>
        </is>
      </c>
      <c r="K126" s="38" t="n"/>
    </row>
    <row r="127" ht="22" customHeight="1">
      <c r="A127" s="68" t="n">
        <v>124</v>
      </c>
      <c r="B127" s="91" t="inlineStr">
        <is>
          <t>التسويق</t>
        </is>
      </c>
      <c r="C127" s="91" t="inlineStr">
        <is>
          <t>تحويل الفرص إلى عقود</t>
        </is>
      </c>
      <c r="D127" s="68" t="inlineStr">
        <is>
          <t>%</t>
        </is>
      </c>
      <c r="E127" s="92" t="inlineStr">
        <is>
          <t>متوسط شهري · (الفعلي÷المستهدف)×100</t>
        </is>
      </c>
      <c r="F127" s="68" t="inlineStr">
        <is>
          <t>25%</t>
        </is>
      </c>
      <c r="G127" s="68" t="inlineStr">
        <is>
          <t>النمو</t>
        </is>
      </c>
      <c r="H127" s="91" t="inlineStr">
        <is>
          <t>زيادة وصول العملاء</t>
        </is>
      </c>
      <c r="I127" s="68" t="inlineStr">
        <is>
          <t>العمليات الداخلية</t>
        </is>
      </c>
      <c r="J127" s="68" t="inlineStr">
        <is>
          <t>🔵 قائد</t>
        </is>
      </c>
      <c r="K127" s="38" t="n"/>
    </row>
    <row r="128" ht="22" customHeight="1">
      <c r="A128" s="68" t="n">
        <v>125</v>
      </c>
      <c r="B128" s="91" t="inlineStr">
        <is>
          <t>التسويق</t>
        </is>
      </c>
      <c r="C128" s="91" t="inlineStr">
        <is>
          <t>نسبة المبيعات لكل حملة</t>
        </is>
      </c>
      <c r="D128" s="68" t="inlineStr">
        <is>
          <t>%</t>
        </is>
      </c>
      <c r="E128" s="92" t="inlineStr">
        <is>
          <t>متوسط شهري · (الفعلي÷المستهدف)×100</t>
        </is>
      </c>
      <c r="F128" s="68" t="inlineStr">
        <is>
          <t>100%</t>
        </is>
      </c>
      <c r="G128" s="68" t="inlineStr">
        <is>
          <t>النمو</t>
        </is>
      </c>
      <c r="H128" s="91" t="inlineStr">
        <is>
          <t>زيادة وصول العملاء</t>
        </is>
      </c>
      <c r="I128" s="68" t="inlineStr">
        <is>
          <t>مالي</t>
        </is>
      </c>
      <c r="J128" s="68" t="inlineStr">
        <is>
          <t>🔵 قائد</t>
        </is>
      </c>
      <c r="K128" s="38" t="n"/>
    </row>
    <row r="129" ht="22" customHeight="1">
      <c r="A129" s="68" t="n">
        <v>126</v>
      </c>
      <c r="B129" s="91" t="inlineStr">
        <is>
          <t>التسويق</t>
        </is>
      </c>
      <c r="C129" s="91" t="inlineStr">
        <is>
          <t>نسبة التزام الهوية البصرية</t>
        </is>
      </c>
      <c r="D129" s="68" t="inlineStr">
        <is>
          <t>%</t>
        </is>
      </c>
      <c r="E129" s="92" t="inlineStr">
        <is>
          <t>تراكمي (آخر قيمة) · (الفعلي÷المستهدف)×100</t>
        </is>
      </c>
      <c r="F129" s="68" t="inlineStr">
        <is>
          <t>100%</t>
        </is>
      </c>
      <c r="G129" s="68" t="inlineStr">
        <is>
          <t>الابتكار</t>
        </is>
      </c>
      <c r="H129" s="91" t="inlineStr">
        <is>
          <t>تطوير التصاميم والهوية</t>
        </is>
      </c>
      <c r="I129" s="68" t="inlineStr">
        <is>
          <t>التعلّم والنمو</t>
        </is>
      </c>
      <c r="J129" s="68" t="inlineStr">
        <is>
          <t>🟣 لاحق</t>
        </is>
      </c>
      <c r="K129" s="38" t="n"/>
    </row>
    <row r="130" ht="22" customHeight="1">
      <c r="A130" s="68" t="n">
        <v>127</v>
      </c>
      <c r="B130" s="91" t="inlineStr">
        <is>
          <t>التسويق</t>
        </is>
      </c>
      <c r="C130" s="91" t="inlineStr">
        <is>
          <t>وصول العلاقات العامة (PR)</t>
        </is>
      </c>
      <c r="D130" s="68" t="inlineStr">
        <is>
          <t>وصول</t>
        </is>
      </c>
      <c r="E130" s="92" t="inlineStr">
        <is>
          <t>تراكمي (آخر قيمة) · (الفعلي÷المستهدف)×100</t>
        </is>
      </c>
      <c r="F130" s="68" t="inlineStr">
        <is>
          <t>7م وصول</t>
        </is>
      </c>
      <c r="G130" s="68" t="inlineStr">
        <is>
          <t>النمو</t>
        </is>
      </c>
      <c r="H130" s="91" t="inlineStr">
        <is>
          <t>زيادة وصول العملاء</t>
        </is>
      </c>
      <c r="I130" s="68" t="inlineStr">
        <is>
          <t>العملاء</t>
        </is>
      </c>
      <c r="J130" s="68" t="inlineStr">
        <is>
          <t>🟣 لاحق</t>
        </is>
      </c>
      <c r="K130" s="38" t="n"/>
    </row>
    <row r="131" ht="22" customHeight="1">
      <c r="A131" s="68" t="n">
        <v>128</v>
      </c>
      <c r="B131" s="91" t="inlineStr">
        <is>
          <t>التسويق</t>
        </is>
      </c>
      <c r="C131" s="91" t="inlineStr">
        <is>
          <t>عدد المعارض بالسنة</t>
        </is>
      </c>
      <c r="D131" s="68" t="inlineStr">
        <is>
          <t>معرض</t>
        </is>
      </c>
      <c r="E131" s="92" t="inlineStr">
        <is>
          <t>تجميعي (مجموع شهري) · (الفعلي÷المستهدف)×100</t>
        </is>
      </c>
      <c r="F131" s="68" t="inlineStr">
        <is>
          <t>3 معارض</t>
        </is>
      </c>
      <c r="G131" s="68" t="inlineStr">
        <is>
          <t>الابتكار</t>
        </is>
      </c>
      <c r="H131" s="91" t="inlineStr">
        <is>
          <t>إطلاق مشاريع جديدة</t>
        </is>
      </c>
      <c r="I131" s="68" t="inlineStr">
        <is>
          <t>العمليات الداخلية</t>
        </is>
      </c>
      <c r="J131" s="68" t="inlineStr">
        <is>
          <t>🔵 قائد</t>
        </is>
      </c>
      <c r="K131" s="38" t="n"/>
    </row>
    <row r="132" ht="22" customHeight="1">
      <c r="A132" s="68" t="n">
        <v>129</v>
      </c>
      <c r="B132" s="91" t="inlineStr">
        <is>
          <t>التسويق</t>
        </is>
      </c>
      <c r="C132" s="91" t="inlineStr">
        <is>
          <t>اتفاقيات استراتيجية</t>
        </is>
      </c>
      <c r="D132" s="68" t="inlineStr">
        <is>
          <t>اتفاقية</t>
        </is>
      </c>
      <c r="E132" s="92" t="inlineStr">
        <is>
          <t>تجميعي (مجموع شهري) · (الفعلي÷المستهدف)×100</t>
        </is>
      </c>
      <c r="F132" s="68" t="inlineStr">
        <is>
          <t>3 اتفاقيات</t>
        </is>
      </c>
      <c r="G132" s="68" t="inlineStr">
        <is>
          <t>الابتكار</t>
        </is>
      </c>
      <c r="H132" s="91" t="inlineStr">
        <is>
          <t>إطلاق مشاريع جديدة</t>
        </is>
      </c>
      <c r="I132" s="68" t="inlineStr">
        <is>
          <t>العمليات الداخلية</t>
        </is>
      </c>
      <c r="J132" s="68" t="inlineStr">
        <is>
          <t>🟣 لاحق</t>
        </is>
      </c>
      <c r="K132" s="38" t="n"/>
    </row>
    <row r="133" ht="22" customHeight="1">
      <c r="A133" s="68" t="n">
        <v>130</v>
      </c>
      <c r="B133" s="91" t="inlineStr">
        <is>
          <t>التسويق</t>
        </is>
      </c>
      <c r="C133" s="91" t="inlineStr">
        <is>
          <t>تقييم خرائط قوقل</t>
        </is>
      </c>
      <c r="D133" s="68" t="inlineStr">
        <is>
          <t>نجمة/5</t>
        </is>
      </c>
      <c r="E133" s="92" t="inlineStr">
        <is>
          <t>متوسط شهري · (الفعلي÷المستهدف)×100</t>
        </is>
      </c>
      <c r="F133" s="68" t="inlineStr">
        <is>
          <t>4.7 ⭐</t>
        </is>
      </c>
      <c r="G133" s="68" t="inlineStr">
        <is>
          <t>الاستدامة</t>
        </is>
      </c>
      <c r="H133" s="91" t="inlineStr">
        <is>
          <t>تعزيز تجربة العملاء</t>
        </is>
      </c>
      <c r="I133" s="68" t="inlineStr">
        <is>
          <t>العملاء</t>
        </is>
      </c>
      <c r="J133" s="68" t="inlineStr">
        <is>
          <t>🟣 لاحق</t>
        </is>
      </c>
      <c r="K133" s="38" t="n"/>
    </row>
    <row r="134" ht="22" customHeight="1">
      <c r="A134" s="68" t="n">
        <v>131</v>
      </c>
      <c r="B134" s="91" t="inlineStr">
        <is>
          <t>التسويق</t>
        </is>
      </c>
      <c r="C134" s="91" t="inlineStr">
        <is>
          <t>معدل خفض الشكاوى</t>
        </is>
      </c>
      <c r="D134" s="68" t="inlineStr">
        <is>
          <t>%</t>
        </is>
      </c>
      <c r="E134" s="92" t="inlineStr">
        <is>
          <t>متوسط شهري · (الفعلي÷المستهدف)×100</t>
        </is>
      </c>
      <c r="F134" s="68" t="inlineStr">
        <is>
          <t>30%</t>
        </is>
      </c>
      <c r="G134" s="68" t="inlineStr">
        <is>
          <t>الاستدامة</t>
        </is>
      </c>
      <c r="H134" s="91" t="inlineStr">
        <is>
          <t>تعزيز تجربة العملاء</t>
        </is>
      </c>
      <c r="I134" s="68" t="inlineStr">
        <is>
          <t>العملاء</t>
        </is>
      </c>
      <c r="J134" s="68" t="inlineStr">
        <is>
          <t>🟣 لاحق</t>
        </is>
      </c>
      <c r="K134" s="38" t="n"/>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2:K2"/>
    <mergeCell ref="A1:K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14"/>
  <sheetViews>
    <sheetView showGridLines="0" rightToLeft="1" workbookViewId="0">
      <selection activeCell="A1" sqref="A1"/>
    </sheetView>
  </sheetViews>
  <sheetFormatPr baseColWidth="8" defaultRowHeight="15"/>
  <cols>
    <col width="4" customWidth="1" min="1" max="1"/>
    <col width="38" customWidth="1" min="2" max="2"/>
    <col width="22" customWidth="1" min="3" max="3"/>
    <col width="12" customWidth="1" min="4" max="4"/>
    <col width="12" customWidth="1" min="5" max="5"/>
    <col width="14" customWidth="1" min="6" max="6"/>
    <col width="34" customWidth="1" min="7" max="7"/>
    <col width="18" customWidth="1" min="8" max="8"/>
    <col width="14" customWidth="1" min="9" max="9"/>
  </cols>
  <sheetData>
    <row r="1" ht="28" customHeight="1">
      <c r="A1" s="28" t="inlineStr">
        <is>
          <t>سجل المخاطر الاستراتيجية والتشغيلية</t>
        </is>
      </c>
    </row>
    <row r="2">
      <c r="A2" s="50" t="inlineStr">
        <is>
          <t>🟩 إدخال  ·  الاحتمال/الأثر (1=منخفض 2=متوسط 3=مرتفع)  ·  درجة المخاطرة والمستوى تُحسبان تلقائياً</t>
        </is>
      </c>
    </row>
    <row r="3" ht="28" customHeight="1">
      <c r="A3" s="30" t="inlineStr">
        <is>
          <t>#</t>
        </is>
      </c>
      <c r="B3" s="30" t="inlineStr">
        <is>
          <t>الخطر</t>
        </is>
      </c>
      <c r="C3" s="30" t="inlineStr">
        <is>
          <t>المشروع/المجال المتأثر</t>
        </is>
      </c>
      <c r="D3" s="30" t="inlineStr">
        <is>
          <t>الاحتمال</t>
        </is>
      </c>
      <c r="E3" s="30" t="inlineStr">
        <is>
          <t>الأثر</t>
        </is>
      </c>
      <c r="F3" s="30" t="inlineStr">
        <is>
          <t>درجة المخاطرة</t>
        </is>
      </c>
      <c r="G3" s="30" t="inlineStr">
        <is>
          <t>الاستجابة/التخفيف</t>
        </is>
      </c>
      <c r="H3" s="30" t="inlineStr">
        <is>
          <t>المالك</t>
        </is>
      </c>
      <c r="I3" s="30" t="inlineStr">
        <is>
          <t>المستوى</t>
        </is>
      </c>
    </row>
    <row r="4" ht="26" customHeight="1">
      <c r="A4" s="17" t="n">
        <v>1</v>
      </c>
      <c r="B4" s="51" t="inlineStr">
        <is>
          <t>تأخّر إطلاق/تبنّي تطبيق تانكي</t>
        </is>
      </c>
      <c r="C4" s="51" t="inlineStr">
        <is>
          <t>الابتكار — تطبيق تانكي</t>
        </is>
      </c>
      <c r="D4" s="38" t="n"/>
      <c r="E4" s="38" t="n"/>
      <c r="F4" s="58">
        <f>IF(OR(D4="",E4=""),"",D4*E4)</f>
        <v/>
      </c>
      <c r="G4" s="51" t="n"/>
      <c r="H4" s="38" t="n"/>
      <c r="I4" s="17">
        <f>IF(F4="","—",IF(F4&gt;=6,"🔴 مرتفع",IF(F4&gt;=3,"🟡 متوسط","🟢 منخفض")))</f>
        <v/>
      </c>
    </row>
    <row r="5" ht="26" customHeight="1">
      <c r="A5" s="17" t="n">
        <v>2</v>
      </c>
      <c r="B5" s="51" t="inlineStr">
        <is>
          <t>ارتفاع دوران الموظفين ونقص الكوادر</t>
        </is>
      </c>
      <c r="C5" s="51" t="inlineStr">
        <is>
          <t>الاستدامة — الموظفون</t>
        </is>
      </c>
      <c r="D5" s="38" t="n"/>
      <c r="E5" s="38" t="n"/>
      <c r="F5" s="58">
        <f>IF(OR(D5="",E5=""),"",D5*E5)</f>
        <v/>
      </c>
      <c r="G5" s="51" t="n"/>
      <c r="H5" s="38" t="n"/>
      <c r="I5" s="17">
        <f>IF(F5="","—",IF(F5&gt;=6,"🔴 مرتفع",IF(F5&gt;=3,"🟡 متوسط","🟢 منخفض")))</f>
        <v/>
      </c>
    </row>
    <row r="6" ht="26" customHeight="1">
      <c r="A6" s="17" t="n">
        <v>3</v>
      </c>
      <c r="B6" s="51" t="inlineStr">
        <is>
          <t>تقلّب هوامش/أسعار الوقود</t>
        </is>
      </c>
      <c r="C6" s="51" t="inlineStr">
        <is>
          <t>النمو — المالية</t>
        </is>
      </c>
      <c r="D6" s="38" t="n"/>
      <c r="E6" s="38" t="n"/>
      <c r="F6" s="58">
        <f>IF(OR(D6="",E6=""),"",D6*E6)</f>
        <v/>
      </c>
      <c r="G6" s="51" t="n"/>
      <c r="H6" s="38" t="n"/>
      <c r="I6" s="17">
        <f>IF(F6="","—",IF(F6&gt;=6,"🔴 مرتفع",IF(F6&gt;=3,"🟡 متوسط","🟢 منخفض")))</f>
        <v/>
      </c>
    </row>
    <row r="7" ht="26" customHeight="1">
      <c r="A7" s="17" t="n">
        <v>4</v>
      </c>
      <c r="B7" s="51" t="inlineStr">
        <is>
          <t>عدم تحقيق مستهدف العقود الجديدة</t>
        </is>
      </c>
      <c r="C7" s="51" t="inlineStr">
        <is>
          <t>النمو — الامتياز/الاستثمار</t>
        </is>
      </c>
      <c r="D7" s="38" t="n"/>
      <c r="E7" s="38" t="n"/>
      <c r="F7" s="58">
        <f>IF(OR(D7="",E7=""),"",D7*E7)</f>
        <v/>
      </c>
      <c r="G7" s="51" t="n"/>
      <c r="H7" s="38" t="n"/>
      <c r="I7" s="17">
        <f>IF(F7="","—",IF(F7&gt;=6,"🔴 مرتفع",IF(F7&gt;=3,"🟡 متوسط","🟢 منخفض")))</f>
        <v/>
      </c>
    </row>
    <row r="8" ht="26" customHeight="1">
      <c r="A8" s="17" t="n">
        <v>5</v>
      </c>
      <c r="B8" s="51" t="inlineStr">
        <is>
          <t>عدم استيفاء اشتراطات وزارة الطاقة</t>
        </is>
      </c>
      <c r="C8" s="51" t="inlineStr">
        <is>
          <t>التوسع الإقليمي — الامتثال</t>
        </is>
      </c>
      <c r="D8" s="38" t="n"/>
      <c r="E8" s="38" t="n"/>
      <c r="F8" s="58">
        <f>IF(OR(D8="",E8=""),"",D8*E8)</f>
        <v/>
      </c>
      <c r="G8" s="51" t="n"/>
      <c r="H8" s="38" t="n"/>
      <c r="I8" s="17">
        <f>IF(F8="","—",IF(F8&gt;=6,"🔴 مرتفع",IF(F8&gt;=3,"🟡 متوسط","🟢 منخفض")))</f>
        <v/>
      </c>
    </row>
    <row r="9" ht="26" customHeight="1">
      <c r="A9" s="17" t="n">
        <v>6</v>
      </c>
      <c r="B9" s="51" t="inlineStr">
        <is>
          <t>حوادث سلامة أو انقطاع تشغيلي بالمحطات</t>
        </is>
      </c>
      <c r="C9" s="51" t="inlineStr">
        <is>
          <t>الاستدامة — جودة التشغيل</t>
        </is>
      </c>
      <c r="D9" s="38" t="n"/>
      <c r="E9" s="38" t="n"/>
      <c r="F9" s="58">
        <f>IF(OR(D9="",E9=""),"",D9*E9)</f>
        <v/>
      </c>
      <c r="G9" s="51" t="n"/>
      <c r="H9" s="38" t="n"/>
      <c r="I9" s="17">
        <f>IF(F9="","—",IF(F9&gt;=6,"🔴 مرتفع",IF(F9&gt;=3,"🟡 متوسط","🟢 منخفض")))</f>
        <v/>
      </c>
    </row>
    <row r="10" ht="26" customHeight="1">
      <c r="A10" s="17" t="n">
        <v>7</v>
      </c>
      <c r="B10" s="51" t="n"/>
      <c r="C10" s="51" t="n"/>
      <c r="D10" s="38" t="n"/>
      <c r="E10" s="38" t="n"/>
      <c r="F10" s="58">
        <f>IF(OR(D10="",E10=""),"",D10*E10)</f>
        <v/>
      </c>
      <c r="G10" s="51" t="n"/>
      <c r="H10" s="38" t="n"/>
      <c r="I10" s="17">
        <f>IF(F10="","—",IF(F10&gt;=6,"🔴 مرتفع",IF(F10&gt;=3,"🟡 متوسط","🟢 منخفض")))</f>
        <v/>
      </c>
    </row>
    <row r="11" ht="26" customHeight="1">
      <c r="A11" s="17" t="n">
        <v>8</v>
      </c>
      <c r="B11" s="51" t="n"/>
      <c r="C11" s="51" t="n"/>
      <c r="D11" s="38" t="n"/>
      <c r="E11" s="38" t="n"/>
      <c r="F11" s="58">
        <f>IF(OR(D11="",E11=""),"",D11*E11)</f>
        <v/>
      </c>
      <c r="G11" s="51" t="n"/>
      <c r="H11" s="38" t="n"/>
      <c r="I11" s="17">
        <f>IF(F11="","—",IF(F11&gt;=6,"🔴 مرتفع",IF(F11&gt;=3,"🟡 متوسط","🟢 منخفض")))</f>
        <v/>
      </c>
    </row>
    <row r="12" ht="26" customHeight="1">
      <c r="A12" s="17" t="n">
        <v>9</v>
      </c>
      <c r="B12" s="51" t="n"/>
      <c r="C12" s="51" t="n"/>
      <c r="D12" s="38" t="n"/>
      <c r="E12" s="38" t="n"/>
      <c r="F12" s="58">
        <f>IF(OR(D12="",E12=""),"",D12*E12)</f>
        <v/>
      </c>
      <c r="G12" s="51" t="n"/>
      <c r="H12" s="38" t="n"/>
      <c r="I12" s="17">
        <f>IF(F12="","—",IF(F12&gt;=6,"🔴 مرتفع",IF(F12&gt;=3,"🟡 متوسط","🟢 منخفض")))</f>
        <v/>
      </c>
    </row>
    <row r="13" ht="26" customHeight="1">
      <c r="A13" s="17" t="n">
        <v>10</v>
      </c>
      <c r="B13" s="51" t="n"/>
      <c r="C13" s="51" t="n"/>
      <c r="D13" s="38" t="n"/>
      <c r="E13" s="38" t="n"/>
      <c r="F13" s="58">
        <f>IF(OR(D13="",E13=""),"",D13*E13)</f>
        <v/>
      </c>
      <c r="G13" s="51" t="n"/>
      <c r="H13" s="38" t="n"/>
      <c r="I13" s="17">
        <f>IF(F13="","—",IF(F13&gt;=6,"🔴 مرتفع",IF(F13&gt;=3,"🟡 متوسط","🟢 منخفض")))</f>
        <v/>
      </c>
    </row>
    <row r="14" ht="26" customHeight="1">
      <c r="A14" s="17" t="n">
        <v>11</v>
      </c>
      <c r="B14" s="51" t="n"/>
      <c r="C14" s="51" t="n"/>
      <c r="D14" s="38" t="n"/>
      <c r="E14" s="38" t="n"/>
      <c r="F14" s="58">
        <f>IF(OR(D14="",E14=""),"",D14*E14)</f>
        <v/>
      </c>
      <c r="G14" s="51" t="n"/>
      <c r="H14" s="38" t="n"/>
      <c r="I14" s="17">
        <f>IF(F14="","—",IF(F14&gt;=6,"🔴 مرتفع",IF(F14&gt;=3,"🟡 متوسط","🟢 منخفض")))</f>
        <v/>
      </c>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1:I1"/>
    <mergeCell ref="A2:I2"/>
  </mergeCells>
  <dataValidations count="1">
    <dataValidation sqref="D4 D5 D6 D7 D8 D9 D10 D11 D12 D13 D14 E4 E5 E6 E7 E8 E9 E10 E11 E12 E13 E14" showDropDown="0" showInputMessage="0" showErrorMessage="0" allowBlank="1" type="whole" operator="between">
      <formula1>1</formula1>
      <formula2>3</formula2>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15"/>
  <sheetViews>
    <sheetView showGridLines="0" rightToLeft="1" workbookViewId="0">
      <selection activeCell="A1" sqref="A1"/>
    </sheetView>
  </sheetViews>
  <sheetFormatPr baseColWidth="8" defaultRowHeight="15"/>
  <cols>
    <col width="4" customWidth="1" min="1" max="1"/>
    <col width="14" customWidth="1" min="2" max="2"/>
    <col width="26" customWidth="1" min="3" max="3"/>
    <col width="34" customWidth="1" min="4" max="4"/>
    <col width="34" customWidth="1" min="5" max="5"/>
    <col width="18" customWidth="1" min="6" max="6"/>
    <col width="14" customWidth="1" min="7" max="7"/>
    <col width="14" customWidth="1" min="8" max="8"/>
  </cols>
  <sheetData>
    <row r="1" ht="28" customHeight="1">
      <c r="A1" s="28" t="inlineStr">
        <is>
          <t>سجل الإجراءات التصحيحية (PDCA) — متابعة الانحرافات</t>
        </is>
      </c>
    </row>
    <row r="2">
      <c r="A2" s="50" t="inlineStr">
        <is>
          <t>🟩 لكل مؤشر/انحراف: السبب الجذري ← الإجراء ← المسؤول ← الموعد ← الحالة</t>
        </is>
      </c>
    </row>
    <row r="3" ht="28" customHeight="1">
      <c r="A3" s="30" t="inlineStr">
        <is>
          <t>#</t>
        </is>
      </c>
      <c r="B3" s="30" t="inlineStr">
        <is>
          <t>التاريخ</t>
        </is>
      </c>
      <c r="C3" s="30" t="inlineStr">
        <is>
          <t>المؤشر/المجال</t>
        </is>
      </c>
      <c r="D3" s="30" t="inlineStr">
        <is>
          <t>الملاحظة / السبب الجذري</t>
        </is>
      </c>
      <c r="E3" s="30" t="inlineStr">
        <is>
          <t>الإجراء التصحيحي</t>
        </is>
      </c>
      <c r="F3" s="30" t="inlineStr">
        <is>
          <t>المسؤول</t>
        </is>
      </c>
      <c r="G3" s="30" t="inlineStr">
        <is>
          <t>الموعد</t>
        </is>
      </c>
      <c r="H3" s="30" t="inlineStr">
        <is>
          <t>الحالة</t>
        </is>
      </c>
    </row>
    <row r="4" ht="24" customHeight="1">
      <c r="A4" s="17" t="n">
        <v>1</v>
      </c>
      <c r="B4" s="38" t="n"/>
      <c r="C4" s="51" t="n"/>
      <c r="D4" s="51" t="n"/>
      <c r="E4" s="51" t="n"/>
      <c r="F4" s="38" t="n"/>
      <c r="G4" s="38" t="n"/>
      <c r="H4" s="38" t="n"/>
    </row>
    <row r="5" ht="24" customHeight="1">
      <c r="A5" s="17" t="n">
        <v>2</v>
      </c>
      <c r="B5" s="38" t="n"/>
      <c r="C5" s="51" t="n"/>
      <c r="D5" s="51" t="n"/>
      <c r="E5" s="51" t="n"/>
      <c r="F5" s="38" t="n"/>
      <c r="G5" s="38" t="n"/>
      <c r="H5" s="38" t="n"/>
    </row>
    <row r="6" ht="24" customHeight="1">
      <c r="A6" s="17" t="n">
        <v>3</v>
      </c>
      <c r="B6" s="38" t="n"/>
      <c r="C6" s="51" t="n"/>
      <c r="D6" s="51" t="n"/>
      <c r="E6" s="51" t="n"/>
      <c r="F6" s="38" t="n"/>
      <c r="G6" s="38" t="n"/>
      <c r="H6" s="38" t="n"/>
    </row>
    <row r="7" ht="24" customHeight="1">
      <c r="A7" s="17" t="n">
        <v>4</v>
      </c>
      <c r="B7" s="38" t="n"/>
      <c r="C7" s="51" t="n"/>
      <c r="D7" s="51" t="n"/>
      <c r="E7" s="51" t="n"/>
      <c r="F7" s="38" t="n"/>
      <c r="G7" s="38" t="n"/>
      <c r="H7" s="38" t="n"/>
    </row>
    <row r="8" ht="24" customHeight="1">
      <c r="A8" s="17" t="n">
        <v>5</v>
      </c>
      <c r="B8" s="38" t="n"/>
      <c r="C8" s="51" t="n"/>
      <c r="D8" s="51" t="n"/>
      <c r="E8" s="51" t="n"/>
      <c r="F8" s="38" t="n"/>
      <c r="G8" s="38" t="n"/>
      <c r="H8" s="38" t="n"/>
    </row>
    <row r="9" ht="24" customHeight="1">
      <c r="A9" s="17" t="n">
        <v>6</v>
      </c>
      <c r="B9" s="38" t="n"/>
      <c r="C9" s="51" t="n"/>
      <c r="D9" s="51" t="n"/>
      <c r="E9" s="51" t="n"/>
      <c r="F9" s="38" t="n"/>
      <c r="G9" s="38" t="n"/>
      <c r="H9" s="38" t="n"/>
    </row>
    <row r="10" ht="24" customHeight="1">
      <c r="A10" s="17" t="n">
        <v>7</v>
      </c>
      <c r="B10" s="38" t="n"/>
      <c r="C10" s="51" t="n"/>
      <c r="D10" s="51" t="n"/>
      <c r="E10" s="51" t="n"/>
      <c r="F10" s="38" t="n"/>
      <c r="G10" s="38" t="n"/>
      <c r="H10" s="38" t="n"/>
    </row>
    <row r="11" ht="24" customHeight="1">
      <c r="A11" s="17" t="n">
        <v>8</v>
      </c>
      <c r="B11" s="38" t="n"/>
      <c r="C11" s="51" t="n"/>
      <c r="D11" s="51" t="n"/>
      <c r="E11" s="51" t="n"/>
      <c r="F11" s="38" t="n"/>
      <c r="G11" s="38" t="n"/>
      <c r="H11" s="38" t="n"/>
    </row>
    <row r="12" ht="24" customHeight="1">
      <c r="A12" s="17" t="n">
        <v>9</v>
      </c>
      <c r="B12" s="38" t="n"/>
      <c r="C12" s="51" t="n"/>
      <c r="D12" s="51" t="n"/>
      <c r="E12" s="51" t="n"/>
      <c r="F12" s="38" t="n"/>
      <c r="G12" s="38" t="n"/>
      <c r="H12" s="38" t="n"/>
    </row>
    <row r="13" ht="24" customHeight="1">
      <c r="A13" s="17" t="n">
        <v>10</v>
      </c>
      <c r="B13" s="38" t="n"/>
      <c r="C13" s="51" t="n"/>
      <c r="D13" s="51" t="n"/>
      <c r="E13" s="51" t="n"/>
      <c r="F13" s="38" t="n"/>
      <c r="G13" s="38" t="n"/>
      <c r="H13" s="38" t="n"/>
    </row>
    <row r="14" ht="24" customHeight="1">
      <c r="A14" s="17" t="n">
        <v>11</v>
      </c>
      <c r="B14" s="38" t="n"/>
      <c r="C14" s="51" t="n"/>
      <c r="D14" s="51" t="n"/>
      <c r="E14" s="51" t="n"/>
      <c r="F14" s="38" t="n"/>
      <c r="G14" s="38" t="n"/>
      <c r="H14" s="38" t="n"/>
    </row>
    <row r="15" ht="24" customHeight="1">
      <c r="A15" s="17" t="n">
        <v>12</v>
      </c>
      <c r="B15" s="38" t="n"/>
      <c r="C15" s="51" t="n"/>
      <c r="D15" s="51" t="n"/>
      <c r="E15" s="51" t="n"/>
      <c r="F15" s="38" t="n"/>
      <c r="G15" s="38" t="n"/>
      <c r="H15" s="38" t="n"/>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2:H2"/>
    <mergeCell ref="A1:H1"/>
  </mergeCells>
  <dataValidations count="1">
    <dataValidation sqref="H4 H5 H6 H7 H8 H9 H10 H11 H12 H13 H14 H15" showDropDown="0" showInputMessage="0" showErrorMessage="0" allowBlank="1" type="list">
      <formula1>"مفتوح,قيد التنفيذ,مكتمل,متأخر"</formula1>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134"/>
  <sheetViews>
    <sheetView showGridLines="0" rightToLeft="1" workbookViewId="0">
      <selection activeCell="A1" sqref="A1"/>
    </sheetView>
  </sheetViews>
  <sheetFormatPr baseColWidth="8" defaultRowHeight="15"/>
  <cols>
    <col width="4" customWidth="1" min="1" max="1"/>
    <col width="22" customWidth="1" min="2" max="2"/>
    <col width="42" customWidth="1" min="3" max="3"/>
    <col width="16" customWidth="1" min="4" max="4"/>
    <col width="26" customWidth="1" min="5" max="5"/>
    <col width="12" customWidth="1" min="6" max="6"/>
    <col width="14" customWidth="1" min="7" max="7"/>
    <col width="18" customWidth="1" min="8" max="8"/>
  </cols>
  <sheetData>
    <row r="1">
      <c r="A1" s="84" t="inlineStr">
        <is>
          <t>قاعدة المؤشرات الموحّدة — مصدر تغذية اللوحة والخارطة والركائز (آلي)</t>
        </is>
      </c>
    </row>
    <row r="2">
      <c r="A2" s="50" t="inlineStr">
        <is>
          <t>تُحدَّث آلياً من أوراق المؤشرات — لا تُعدَّل يدوياً</t>
        </is>
      </c>
    </row>
    <row r="3">
      <c r="A3" s="30" t="inlineStr">
        <is>
          <t>#</t>
        </is>
      </c>
      <c r="B3" s="30" t="inlineStr">
        <is>
          <t>الإدارة</t>
        </is>
      </c>
      <c r="C3" s="30" t="inlineStr">
        <is>
          <t>المؤشر</t>
        </is>
      </c>
      <c r="D3" s="30" t="inlineStr">
        <is>
          <t>الركيزة</t>
        </is>
      </c>
      <c r="E3" s="30" t="inlineStr">
        <is>
          <t>المشروع</t>
        </is>
      </c>
      <c r="F3" s="30" t="inlineStr">
        <is>
          <t>نسبة التحقيق</t>
        </is>
      </c>
      <c r="G3" s="30" t="inlineStr">
        <is>
          <t>الحالة</t>
        </is>
      </c>
      <c r="H3" s="30" t="inlineStr">
        <is>
          <t>منظور BSC</t>
        </is>
      </c>
    </row>
    <row r="4">
      <c r="A4" s="68" t="n">
        <v>1</v>
      </c>
      <c r="B4" s="91" t="inlineStr">
        <is>
          <t>الإدارة التنفيذية</t>
        </is>
      </c>
      <c r="C4" s="91">
        <f>'الإدارة التنفيذية · المؤشرات'!C4</f>
        <v/>
      </c>
      <c r="D4" s="68">
        <f>'الإدارة التنفيذية · المؤشرات'!X4</f>
        <v/>
      </c>
      <c r="E4" s="91">
        <f>'الإدارة التنفيذية · المؤشرات'!Y4</f>
        <v/>
      </c>
      <c r="F4" s="93">
        <f>'الإدارة التنفيذية · المؤشرات'!V4</f>
        <v/>
      </c>
      <c r="G4" s="68">
        <f>'الإدارة التنفيذية · المؤشرات'!W4</f>
        <v/>
      </c>
      <c r="H4" s="68">
        <f>'الإدارة التنفيذية · المؤشرات'!AH4</f>
        <v/>
      </c>
    </row>
    <row r="5">
      <c r="A5" s="68" t="n">
        <v>2</v>
      </c>
      <c r="B5" s="91" t="inlineStr">
        <is>
          <t>الإدارة التنفيذية</t>
        </is>
      </c>
      <c r="C5" s="91">
        <f>'الإدارة التنفيذية · المؤشرات'!C5</f>
        <v/>
      </c>
      <c r="D5" s="68">
        <f>'الإدارة التنفيذية · المؤشرات'!X5</f>
        <v/>
      </c>
      <c r="E5" s="91">
        <f>'الإدارة التنفيذية · المؤشرات'!Y5</f>
        <v/>
      </c>
      <c r="F5" s="93">
        <f>'الإدارة التنفيذية · المؤشرات'!V5</f>
        <v/>
      </c>
      <c r="G5" s="68">
        <f>'الإدارة التنفيذية · المؤشرات'!W5</f>
        <v/>
      </c>
      <c r="H5" s="68">
        <f>'الإدارة التنفيذية · المؤشرات'!AH5</f>
        <v/>
      </c>
    </row>
    <row r="6">
      <c r="A6" s="68" t="n">
        <v>3</v>
      </c>
      <c r="B6" s="91" t="inlineStr">
        <is>
          <t>الإدارة التنفيذية</t>
        </is>
      </c>
      <c r="C6" s="91">
        <f>'الإدارة التنفيذية · المؤشرات'!C6</f>
        <v/>
      </c>
      <c r="D6" s="68">
        <f>'الإدارة التنفيذية · المؤشرات'!X6</f>
        <v/>
      </c>
      <c r="E6" s="91">
        <f>'الإدارة التنفيذية · المؤشرات'!Y6</f>
        <v/>
      </c>
      <c r="F6" s="93">
        <f>'الإدارة التنفيذية · المؤشرات'!V6</f>
        <v/>
      </c>
      <c r="G6" s="68">
        <f>'الإدارة التنفيذية · المؤشرات'!W6</f>
        <v/>
      </c>
      <c r="H6" s="68">
        <f>'الإدارة التنفيذية · المؤشرات'!AH6</f>
        <v/>
      </c>
    </row>
    <row r="7">
      <c r="A7" s="68" t="n">
        <v>4</v>
      </c>
      <c r="B7" s="91" t="inlineStr">
        <is>
          <t>الإدارة التنفيذية</t>
        </is>
      </c>
      <c r="C7" s="91">
        <f>'الإدارة التنفيذية · المؤشرات'!C7</f>
        <v/>
      </c>
      <c r="D7" s="68">
        <f>'الإدارة التنفيذية · المؤشرات'!X7</f>
        <v/>
      </c>
      <c r="E7" s="91">
        <f>'الإدارة التنفيذية · المؤشرات'!Y7</f>
        <v/>
      </c>
      <c r="F7" s="93">
        <f>'الإدارة التنفيذية · المؤشرات'!V7</f>
        <v/>
      </c>
      <c r="G7" s="68">
        <f>'الإدارة التنفيذية · المؤشرات'!W7</f>
        <v/>
      </c>
      <c r="H7" s="68">
        <f>'الإدارة التنفيذية · المؤشرات'!AH7</f>
        <v/>
      </c>
    </row>
    <row r="8">
      <c r="A8" s="68" t="n">
        <v>5</v>
      </c>
      <c r="B8" s="91" t="inlineStr">
        <is>
          <t>الإدارة التنفيذية</t>
        </is>
      </c>
      <c r="C8" s="91">
        <f>'الإدارة التنفيذية · المؤشرات'!C8</f>
        <v/>
      </c>
      <c r="D8" s="68">
        <f>'الإدارة التنفيذية · المؤشرات'!X8</f>
        <v/>
      </c>
      <c r="E8" s="91">
        <f>'الإدارة التنفيذية · المؤشرات'!Y8</f>
        <v/>
      </c>
      <c r="F8" s="93">
        <f>'الإدارة التنفيذية · المؤشرات'!V8</f>
        <v/>
      </c>
      <c r="G8" s="68">
        <f>'الإدارة التنفيذية · المؤشرات'!W8</f>
        <v/>
      </c>
      <c r="H8" s="68">
        <f>'الإدارة التنفيذية · المؤشرات'!AH8</f>
        <v/>
      </c>
    </row>
    <row r="9">
      <c r="A9" s="68" t="n">
        <v>6</v>
      </c>
      <c r="B9" s="91" t="inlineStr">
        <is>
          <t>الإدارة التنفيذية</t>
        </is>
      </c>
      <c r="C9" s="91">
        <f>'الإدارة التنفيذية · المؤشرات'!C9</f>
        <v/>
      </c>
      <c r="D9" s="68">
        <f>'الإدارة التنفيذية · المؤشرات'!X9</f>
        <v/>
      </c>
      <c r="E9" s="91">
        <f>'الإدارة التنفيذية · المؤشرات'!Y9</f>
        <v/>
      </c>
      <c r="F9" s="93">
        <f>'الإدارة التنفيذية · المؤشرات'!V9</f>
        <v/>
      </c>
      <c r="G9" s="68">
        <f>'الإدارة التنفيذية · المؤشرات'!W9</f>
        <v/>
      </c>
      <c r="H9" s="68">
        <f>'الإدارة التنفيذية · المؤشرات'!AH9</f>
        <v/>
      </c>
    </row>
    <row r="10">
      <c r="A10" s="68" t="n">
        <v>7</v>
      </c>
      <c r="B10" s="91" t="inlineStr">
        <is>
          <t>الإدارة التنفيذية</t>
        </is>
      </c>
      <c r="C10" s="91">
        <f>'الإدارة التنفيذية · المؤشرات'!C10</f>
        <v/>
      </c>
      <c r="D10" s="68">
        <f>'الإدارة التنفيذية · المؤشرات'!X10</f>
        <v/>
      </c>
      <c r="E10" s="91">
        <f>'الإدارة التنفيذية · المؤشرات'!Y10</f>
        <v/>
      </c>
      <c r="F10" s="93">
        <f>'الإدارة التنفيذية · المؤشرات'!V10</f>
        <v/>
      </c>
      <c r="G10" s="68">
        <f>'الإدارة التنفيذية · المؤشرات'!W10</f>
        <v/>
      </c>
      <c r="H10" s="68">
        <f>'الإدارة التنفيذية · المؤشرات'!AH10</f>
        <v/>
      </c>
    </row>
    <row r="11">
      <c r="A11" s="68" t="n">
        <v>8</v>
      </c>
      <c r="B11" s="91" t="inlineStr">
        <is>
          <t>الإدارة التنفيذية</t>
        </is>
      </c>
      <c r="C11" s="91">
        <f>'الإدارة التنفيذية · المؤشرات'!C11</f>
        <v/>
      </c>
      <c r="D11" s="68">
        <f>'الإدارة التنفيذية · المؤشرات'!X11</f>
        <v/>
      </c>
      <c r="E11" s="91">
        <f>'الإدارة التنفيذية · المؤشرات'!Y11</f>
        <v/>
      </c>
      <c r="F11" s="93">
        <f>'الإدارة التنفيذية · المؤشرات'!V11</f>
        <v/>
      </c>
      <c r="G11" s="68">
        <f>'الإدارة التنفيذية · المؤشرات'!W11</f>
        <v/>
      </c>
      <c r="H11" s="68">
        <f>'الإدارة التنفيذية · المؤشرات'!AH11</f>
        <v/>
      </c>
    </row>
    <row r="12">
      <c r="A12" s="68" t="n">
        <v>9</v>
      </c>
      <c r="B12" s="91" t="inlineStr">
        <is>
          <t>الإدارة التنفيذية</t>
        </is>
      </c>
      <c r="C12" s="91">
        <f>'الإدارة التنفيذية · المؤشرات'!C12</f>
        <v/>
      </c>
      <c r="D12" s="68">
        <f>'الإدارة التنفيذية · المؤشرات'!X12</f>
        <v/>
      </c>
      <c r="E12" s="91">
        <f>'الإدارة التنفيذية · المؤشرات'!Y12</f>
        <v/>
      </c>
      <c r="F12" s="93">
        <f>'الإدارة التنفيذية · المؤشرات'!V12</f>
        <v/>
      </c>
      <c r="G12" s="68">
        <f>'الإدارة التنفيذية · المؤشرات'!W12</f>
        <v/>
      </c>
      <c r="H12" s="68">
        <f>'الإدارة التنفيذية · المؤشرات'!AH12</f>
        <v/>
      </c>
    </row>
    <row r="13">
      <c r="A13" s="68" t="n">
        <v>10</v>
      </c>
      <c r="B13" s="91" t="inlineStr">
        <is>
          <t>الإدارة التنفيذية</t>
        </is>
      </c>
      <c r="C13" s="91">
        <f>'الإدارة التنفيذية · المؤشرات'!C13</f>
        <v/>
      </c>
      <c r="D13" s="68">
        <f>'الإدارة التنفيذية · المؤشرات'!X13</f>
        <v/>
      </c>
      <c r="E13" s="91">
        <f>'الإدارة التنفيذية · المؤشرات'!Y13</f>
        <v/>
      </c>
      <c r="F13" s="93">
        <f>'الإدارة التنفيذية · المؤشرات'!V13</f>
        <v/>
      </c>
      <c r="G13" s="68">
        <f>'الإدارة التنفيذية · المؤشرات'!W13</f>
        <v/>
      </c>
      <c r="H13" s="68">
        <f>'الإدارة التنفيذية · المؤشرات'!AH13</f>
        <v/>
      </c>
    </row>
    <row r="14">
      <c r="A14" s="68" t="n">
        <v>11</v>
      </c>
      <c r="B14" s="91" t="inlineStr">
        <is>
          <t>الامتياز التجاري</t>
        </is>
      </c>
      <c r="C14" s="91">
        <f>'الامتياز · المؤشرات'!C4</f>
        <v/>
      </c>
      <c r="D14" s="68">
        <f>'الامتياز · المؤشرات'!X4</f>
        <v/>
      </c>
      <c r="E14" s="91">
        <f>'الامتياز · المؤشرات'!Y4</f>
        <v/>
      </c>
      <c r="F14" s="93">
        <f>'الامتياز · المؤشرات'!V4</f>
        <v/>
      </c>
      <c r="G14" s="68">
        <f>'الامتياز · المؤشرات'!W4</f>
        <v/>
      </c>
      <c r="H14" s="68">
        <f>'الامتياز · المؤشرات'!AH4</f>
        <v/>
      </c>
    </row>
    <row r="15">
      <c r="A15" s="68" t="n">
        <v>12</v>
      </c>
      <c r="B15" s="91" t="inlineStr">
        <is>
          <t>الامتياز التجاري</t>
        </is>
      </c>
      <c r="C15" s="91">
        <f>'الامتياز · المؤشرات'!C5</f>
        <v/>
      </c>
      <c r="D15" s="68">
        <f>'الامتياز · المؤشرات'!X5</f>
        <v/>
      </c>
      <c r="E15" s="91">
        <f>'الامتياز · المؤشرات'!Y5</f>
        <v/>
      </c>
      <c r="F15" s="93">
        <f>'الامتياز · المؤشرات'!V5</f>
        <v/>
      </c>
      <c r="G15" s="68">
        <f>'الامتياز · المؤشرات'!W5</f>
        <v/>
      </c>
      <c r="H15" s="68">
        <f>'الامتياز · المؤشرات'!AH5</f>
        <v/>
      </c>
    </row>
    <row r="16">
      <c r="A16" s="68" t="n">
        <v>13</v>
      </c>
      <c r="B16" s="91" t="inlineStr">
        <is>
          <t>الامتياز التجاري</t>
        </is>
      </c>
      <c r="C16" s="91">
        <f>'الامتياز · المؤشرات'!C6</f>
        <v/>
      </c>
      <c r="D16" s="68">
        <f>'الامتياز · المؤشرات'!X6</f>
        <v/>
      </c>
      <c r="E16" s="91">
        <f>'الامتياز · المؤشرات'!Y6</f>
        <v/>
      </c>
      <c r="F16" s="93">
        <f>'الامتياز · المؤشرات'!V6</f>
        <v/>
      </c>
      <c r="G16" s="68">
        <f>'الامتياز · المؤشرات'!W6</f>
        <v/>
      </c>
      <c r="H16" s="68">
        <f>'الامتياز · المؤشرات'!AH6</f>
        <v/>
      </c>
    </row>
    <row r="17">
      <c r="A17" s="68" t="n">
        <v>14</v>
      </c>
      <c r="B17" s="91" t="inlineStr">
        <is>
          <t>الامتياز التجاري</t>
        </is>
      </c>
      <c r="C17" s="91">
        <f>'الامتياز · المؤشرات'!C7</f>
        <v/>
      </c>
      <c r="D17" s="68">
        <f>'الامتياز · المؤشرات'!X7</f>
        <v/>
      </c>
      <c r="E17" s="91">
        <f>'الامتياز · المؤشرات'!Y7</f>
        <v/>
      </c>
      <c r="F17" s="93">
        <f>'الامتياز · المؤشرات'!V7</f>
        <v/>
      </c>
      <c r="G17" s="68">
        <f>'الامتياز · المؤشرات'!W7</f>
        <v/>
      </c>
      <c r="H17" s="68">
        <f>'الامتياز · المؤشرات'!AH7</f>
        <v/>
      </c>
    </row>
    <row r="18">
      <c r="A18" s="68" t="n">
        <v>15</v>
      </c>
      <c r="B18" s="91" t="inlineStr">
        <is>
          <t>الامتياز التجاري</t>
        </is>
      </c>
      <c r="C18" s="91">
        <f>'الامتياز · المؤشرات'!C8</f>
        <v/>
      </c>
      <c r="D18" s="68">
        <f>'الامتياز · المؤشرات'!X8</f>
        <v/>
      </c>
      <c r="E18" s="91">
        <f>'الامتياز · المؤشرات'!Y8</f>
        <v/>
      </c>
      <c r="F18" s="93">
        <f>'الامتياز · المؤشرات'!V8</f>
        <v/>
      </c>
      <c r="G18" s="68">
        <f>'الامتياز · المؤشرات'!W8</f>
        <v/>
      </c>
      <c r="H18" s="68">
        <f>'الامتياز · المؤشرات'!AH8</f>
        <v/>
      </c>
    </row>
    <row r="19">
      <c r="A19" s="68" t="n">
        <v>16</v>
      </c>
      <c r="B19" s="91" t="inlineStr">
        <is>
          <t>الامتياز التجاري</t>
        </is>
      </c>
      <c r="C19" s="91">
        <f>'الامتياز · المؤشرات'!C9</f>
        <v/>
      </c>
      <c r="D19" s="68">
        <f>'الامتياز · المؤشرات'!X9</f>
        <v/>
      </c>
      <c r="E19" s="91">
        <f>'الامتياز · المؤشرات'!Y9</f>
        <v/>
      </c>
      <c r="F19" s="93">
        <f>'الامتياز · المؤشرات'!V9</f>
        <v/>
      </c>
      <c r="G19" s="68">
        <f>'الامتياز · المؤشرات'!W9</f>
        <v/>
      </c>
      <c r="H19" s="68">
        <f>'الامتياز · المؤشرات'!AH9</f>
        <v/>
      </c>
    </row>
    <row r="20">
      <c r="A20" s="68" t="n">
        <v>17</v>
      </c>
      <c r="B20" s="91" t="inlineStr">
        <is>
          <t>الامتياز التجاري</t>
        </is>
      </c>
      <c r="C20" s="91">
        <f>'الامتياز · المؤشرات'!C10</f>
        <v/>
      </c>
      <c r="D20" s="68">
        <f>'الامتياز · المؤشرات'!X10</f>
        <v/>
      </c>
      <c r="E20" s="91">
        <f>'الامتياز · المؤشرات'!Y10</f>
        <v/>
      </c>
      <c r="F20" s="93">
        <f>'الامتياز · المؤشرات'!V10</f>
        <v/>
      </c>
      <c r="G20" s="68">
        <f>'الامتياز · المؤشرات'!W10</f>
        <v/>
      </c>
      <c r="H20" s="68">
        <f>'الامتياز · المؤشرات'!AH10</f>
        <v/>
      </c>
    </row>
    <row r="21">
      <c r="A21" s="68" t="n">
        <v>18</v>
      </c>
      <c r="B21" s="91" t="inlineStr">
        <is>
          <t>الامتياز التجاري</t>
        </is>
      </c>
      <c r="C21" s="91">
        <f>'الامتياز · المؤشرات'!C11</f>
        <v/>
      </c>
      <c r="D21" s="68">
        <f>'الامتياز · المؤشرات'!X11</f>
        <v/>
      </c>
      <c r="E21" s="91">
        <f>'الامتياز · المؤشرات'!Y11</f>
        <v/>
      </c>
      <c r="F21" s="93">
        <f>'الامتياز · المؤشرات'!V11</f>
        <v/>
      </c>
      <c r="G21" s="68">
        <f>'الامتياز · المؤشرات'!W11</f>
        <v/>
      </c>
      <c r="H21" s="68">
        <f>'الامتياز · المؤشرات'!AH11</f>
        <v/>
      </c>
    </row>
    <row r="22">
      <c r="A22" s="68" t="n">
        <v>19</v>
      </c>
      <c r="B22" s="91" t="inlineStr">
        <is>
          <t>الامتياز التجاري</t>
        </is>
      </c>
      <c r="C22" s="91">
        <f>'الامتياز · المؤشرات'!C12</f>
        <v/>
      </c>
      <c r="D22" s="68">
        <f>'الامتياز · المؤشرات'!X12</f>
        <v/>
      </c>
      <c r="E22" s="91">
        <f>'الامتياز · المؤشرات'!Y12</f>
        <v/>
      </c>
      <c r="F22" s="93">
        <f>'الامتياز · المؤشرات'!V12</f>
        <v/>
      </c>
      <c r="G22" s="68">
        <f>'الامتياز · المؤشرات'!W12</f>
        <v/>
      </c>
      <c r="H22" s="68">
        <f>'الامتياز · المؤشرات'!AH12</f>
        <v/>
      </c>
    </row>
    <row r="23">
      <c r="A23" s="68" t="n">
        <v>20</v>
      </c>
      <c r="B23" s="91" t="inlineStr">
        <is>
          <t>الامتياز التجاري</t>
        </is>
      </c>
      <c r="C23" s="91">
        <f>'الامتياز · المؤشرات'!C13</f>
        <v/>
      </c>
      <c r="D23" s="68">
        <f>'الامتياز · المؤشرات'!X13</f>
        <v/>
      </c>
      <c r="E23" s="91">
        <f>'الامتياز · المؤشرات'!Y13</f>
        <v/>
      </c>
      <c r="F23" s="93">
        <f>'الامتياز · المؤشرات'!V13</f>
        <v/>
      </c>
      <c r="G23" s="68">
        <f>'الامتياز · المؤشرات'!W13</f>
        <v/>
      </c>
      <c r="H23" s="68">
        <f>'الامتياز · المؤشرات'!AH13</f>
        <v/>
      </c>
    </row>
    <row r="24">
      <c r="A24" s="68" t="n">
        <v>21</v>
      </c>
      <c r="B24" s="91" t="inlineStr">
        <is>
          <t>الامتياز التجاري</t>
        </is>
      </c>
      <c r="C24" s="91">
        <f>'الامتياز · المؤشرات'!C14</f>
        <v/>
      </c>
      <c r="D24" s="68">
        <f>'الامتياز · المؤشرات'!X14</f>
        <v/>
      </c>
      <c r="E24" s="91">
        <f>'الامتياز · المؤشرات'!Y14</f>
        <v/>
      </c>
      <c r="F24" s="93">
        <f>'الامتياز · المؤشرات'!V14</f>
        <v/>
      </c>
      <c r="G24" s="68">
        <f>'الامتياز · المؤشرات'!W14</f>
        <v/>
      </c>
      <c r="H24" s="68">
        <f>'الامتياز · المؤشرات'!AH14</f>
        <v/>
      </c>
    </row>
    <row r="25">
      <c r="A25" s="68" t="n">
        <v>22</v>
      </c>
      <c r="B25" s="91" t="inlineStr">
        <is>
          <t>الامتياز التجاري</t>
        </is>
      </c>
      <c r="C25" s="91">
        <f>'الامتياز · المؤشرات'!C15</f>
        <v/>
      </c>
      <c r="D25" s="68">
        <f>'الامتياز · المؤشرات'!X15</f>
        <v/>
      </c>
      <c r="E25" s="91">
        <f>'الامتياز · المؤشرات'!Y15</f>
        <v/>
      </c>
      <c r="F25" s="93">
        <f>'الامتياز · المؤشرات'!V15</f>
        <v/>
      </c>
      <c r="G25" s="68">
        <f>'الامتياز · المؤشرات'!W15</f>
        <v/>
      </c>
      <c r="H25" s="68">
        <f>'الامتياز · المؤشرات'!AH15</f>
        <v/>
      </c>
    </row>
    <row r="26">
      <c r="A26" s="68" t="n">
        <v>23</v>
      </c>
      <c r="B26" s="91" t="inlineStr">
        <is>
          <t>الامتياز التجاري</t>
        </is>
      </c>
      <c r="C26" s="91">
        <f>'الامتياز · المؤشرات'!C16</f>
        <v/>
      </c>
      <c r="D26" s="68">
        <f>'الامتياز · المؤشرات'!X16</f>
        <v/>
      </c>
      <c r="E26" s="91">
        <f>'الامتياز · المؤشرات'!Y16</f>
        <v/>
      </c>
      <c r="F26" s="93">
        <f>'الامتياز · المؤشرات'!V16</f>
        <v/>
      </c>
      <c r="G26" s="68">
        <f>'الامتياز · المؤشرات'!W16</f>
        <v/>
      </c>
      <c r="H26" s="68">
        <f>'الامتياز · المؤشرات'!AH16</f>
        <v/>
      </c>
    </row>
    <row r="27">
      <c r="A27" s="68" t="n">
        <v>24</v>
      </c>
      <c r="B27" s="91" t="inlineStr">
        <is>
          <t>الامتياز التجاري</t>
        </is>
      </c>
      <c r="C27" s="91">
        <f>'الامتياز · المؤشرات'!C17</f>
        <v/>
      </c>
      <c r="D27" s="68">
        <f>'الامتياز · المؤشرات'!X17</f>
        <v/>
      </c>
      <c r="E27" s="91">
        <f>'الامتياز · المؤشرات'!Y17</f>
        <v/>
      </c>
      <c r="F27" s="93">
        <f>'الامتياز · المؤشرات'!V17</f>
        <v/>
      </c>
      <c r="G27" s="68">
        <f>'الامتياز · المؤشرات'!W17</f>
        <v/>
      </c>
      <c r="H27" s="68">
        <f>'الامتياز · المؤشرات'!AH17</f>
        <v/>
      </c>
    </row>
    <row r="28">
      <c r="A28" s="68" t="n">
        <v>25</v>
      </c>
      <c r="B28" s="91" t="inlineStr">
        <is>
          <t>الامتياز التجاري</t>
        </is>
      </c>
      <c r="C28" s="91">
        <f>'الامتياز · المؤشرات'!C18</f>
        <v/>
      </c>
      <c r="D28" s="68">
        <f>'الامتياز · المؤشرات'!X18</f>
        <v/>
      </c>
      <c r="E28" s="91">
        <f>'الامتياز · المؤشرات'!Y18</f>
        <v/>
      </c>
      <c r="F28" s="93">
        <f>'الامتياز · المؤشرات'!V18</f>
        <v/>
      </c>
      <c r="G28" s="68">
        <f>'الامتياز · المؤشرات'!W18</f>
        <v/>
      </c>
      <c r="H28" s="68">
        <f>'الامتياز · المؤشرات'!AH18</f>
        <v/>
      </c>
    </row>
    <row r="29">
      <c r="A29" s="68" t="n">
        <v>26</v>
      </c>
      <c r="B29" s="91" t="inlineStr">
        <is>
          <t>الامتياز التجاري</t>
        </is>
      </c>
      <c r="C29" s="91">
        <f>'الامتياز · المؤشرات'!C19</f>
        <v/>
      </c>
      <c r="D29" s="68">
        <f>'الامتياز · المؤشرات'!X19</f>
        <v/>
      </c>
      <c r="E29" s="91">
        <f>'الامتياز · المؤشرات'!Y19</f>
        <v/>
      </c>
      <c r="F29" s="93">
        <f>'الامتياز · المؤشرات'!V19</f>
        <v/>
      </c>
      <c r="G29" s="68">
        <f>'الامتياز · المؤشرات'!W19</f>
        <v/>
      </c>
      <c r="H29" s="68">
        <f>'الامتياز · المؤشرات'!AH19</f>
        <v/>
      </c>
    </row>
    <row r="30">
      <c r="A30" s="68" t="n">
        <v>27</v>
      </c>
      <c r="B30" s="91" t="inlineStr">
        <is>
          <t>الامتياز التجاري</t>
        </is>
      </c>
      <c r="C30" s="91">
        <f>'الامتياز · المؤشرات'!C20</f>
        <v/>
      </c>
      <c r="D30" s="68">
        <f>'الامتياز · المؤشرات'!X20</f>
        <v/>
      </c>
      <c r="E30" s="91">
        <f>'الامتياز · المؤشرات'!Y20</f>
        <v/>
      </c>
      <c r="F30" s="93">
        <f>'الامتياز · المؤشرات'!V20</f>
        <v/>
      </c>
      <c r="G30" s="68">
        <f>'الامتياز · المؤشرات'!W20</f>
        <v/>
      </c>
      <c r="H30" s="68">
        <f>'الامتياز · المؤشرات'!AH20</f>
        <v/>
      </c>
    </row>
    <row r="31">
      <c r="A31" s="68" t="n">
        <v>28</v>
      </c>
      <c r="B31" s="91" t="inlineStr">
        <is>
          <t>الامتياز التجاري</t>
        </is>
      </c>
      <c r="C31" s="91">
        <f>'الامتياز · المؤشرات'!C21</f>
        <v/>
      </c>
      <c r="D31" s="68">
        <f>'الامتياز · المؤشرات'!X21</f>
        <v/>
      </c>
      <c r="E31" s="91">
        <f>'الامتياز · المؤشرات'!Y21</f>
        <v/>
      </c>
      <c r="F31" s="93">
        <f>'الامتياز · المؤشرات'!V21</f>
        <v/>
      </c>
      <c r="G31" s="68">
        <f>'الامتياز · المؤشرات'!W21</f>
        <v/>
      </c>
      <c r="H31" s="68">
        <f>'الامتياز · المؤشرات'!AH21</f>
        <v/>
      </c>
    </row>
    <row r="32">
      <c r="A32" s="68" t="n">
        <v>29</v>
      </c>
      <c r="B32" s="91" t="inlineStr">
        <is>
          <t>الامتياز التجاري</t>
        </is>
      </c>
      <c r="C32" s="91">
        <f>'الامتياز · المؤشرات'!C22</f>
        <v/>
      </c>
      <c r="D32" s="68">
        <f>'الامتياز · المؤشرات'!X22</f>
        <v/>
      </c>
      <c r="E32" s="91">
        <f>'الامتياز · المؤشرات'!Y22</f>
        <v/>
      </c>
      <c r="F32" s="93">
        <f>'الامتياز · المؤشرات'!V22</f>
        <v/>
      </c>
      <c r="G32" s="68">
        <f>'الامتياز · المؤشرات'!W22</f>
        <v/>
      </c>
      <c r="H32" s="68">
        <f>'الامتياز · المؤشرات'!AH22</f>
        <v/>
      </c>
    </row>
    <row r="33">
      <c r="A33" s="68" t="n">
        <v>30</v>
      </c>
      <c r="B33" s="91" t="inlineStr">
        <is>
          <t>الامتياز التجاري</t>
        </is>
      </c>
      <c r="C33" s="91">
        <f>'الامتياز · المؤشرات'!C23</f>
        <v/>
      </c>
      <c r="D33" s="68">
        <f>'الامتياز · المؤشرات'!X23</f>
        <v/>
      </c>
      <c r="E33" s="91">
        <f>'الامتياز · المؤشرات'!Y23</f>
        <v/>
      </c>
      <c r="F33" s="93">
        <f>'الامتياز · المؤشرات'!V23</f>
        <v/>
      </c>
      <c r="G33" s="68">
        <f>'الامتياز · المؤشرات'!W23</f>
        <v/>
      </c>
      <c r="H33" s="68">
        <f>'الامتياز · المؤشرات'!AH23</f>
        <v/>
      </c>
    </row>
    <row r="34">
      <c r="A34" s="68" t="n">
        <v>31</v>
      </c>
      <c r="B34" s="91" t="inlineStr">
        <is>
          <t>الامتياز التجاري</t>
        </is>
      </c>
      <c r="C34" s="91">
        <f>'الامتياز · المؤشرات'!C24</f>
        <v/>
      </c>
      <c r="D34" s="68">
        <f>'الامتياز · المؤشرات'!X24</f>
        <v/>
      </c>
      <c r="E34" s="91">
        <f>'الامتياز · المؤشرات'!Y24</f>
        <v/>
      </c>
      <c r="F34" s="93">
        <f>'الامتياز · المؤشرات'!V24</f>
        <v/>
      </c>
      <c r="G34" s="68">
        <f>'الامتياز · المؤشرات'!W24</f>
        <v/>
      </c>
      <c r="H34" s="68">
        <f>'الامتياز · المؤشرات'!AH24</f>
        <v/>
      </c>
    </row>
    <row r="35">
      <c r="A35" s="68" t="n">
        <v>32</v>
      </c>
      <c r="B35" s="91" t="inlineStr">
        <is>
          <t>الامتياز التجاري</t>
        </is>
      </c>
      <c r="C35" s="91">
        <f>'الامتياز · المؤشرات'!C25</f>
        <v/>
      </c>
      <c r="D35" s="68">
        <f>'الامتياز · المؤشرات'!X25</f>
        <v/>
      </c>
      <c r="E35" s="91">
        <f>'الامتياز · المؤشرات'!Y25</f>
        <v/>
      </c>
      <c r="F35" s="93">
        <f>'الامتياز · المؤشرات'!V25</f>
        <v/>
      </c>
      <c r="G35" s="68">
        <f>'الامتياز · المؤشرات'!W25</f>
        <v/>
      </c>
      <c r="H35" s="68">
        <f>'الامتياز · المؤشرات'!AH25</f>
        <v/>
      </c>
    </row>
    <row r="36">
      <c r="A36" s="68" t="n">
        <v>33</v>
      </c>
      <c r="B36" s="91" t="inlineStr">
        <is>
          <t>الامتياز التجاري</t>
        </is>
      </c>
      <c r="C36" s="91">
        <f>'الامتياز · المؤشرات'!C26</f>
        <v/>
      </c>
      <c r="D36" s="68">
        <f>'الامتياز · المؤشرات'!X26</f>
        <v/>
      </c>
      <c r="E36" s="91">
        <f>'الامتياز · المؤشرات'!Y26</f>
        <v/>
      </c>
      <c r="F36" s="93">
        <f>'الامتياز · المؤشرات'!V26</f>
        <v/>
      </c>
      <c r="G36" s="68">
        <f>'الامتياز · المؤشرات'!W26</f>
        <v/>
      </c>
      <c r="H36" s="68">
        <f>'الامتياز · المؤشرات'!AH26</f>
        <v/>
      </c>
    </row>
    <row r="37">
      <c r="A37" s="68" t="n">
        <v>34</v>
      </c>
      <c r="B37" s="91" t="inlineStr">
        <is>
          <t>الامتياز التجاري</t>
        </is>
      </c>
      <c r="C37" s="91">
        <f>'الامتياز · المؤشرات'!C27</f>
        <v/>
      </c>
      <c r="D37" s="68">
        <f>'الامتياز · المؤشرات'!X27</f>
        <v/>
      </c>
      <c r="E37" s="91">
        <f>'الامتياز · المؤشرات'!Y27</f>
        <v/>
      </c>
      <c r="F37" s="93">
        <f>'الامتياز · المؤشرات'!V27</f>
        <v/>
      </c>
      <c r="G37" s="68">
        <f>'الامتياز · المؤشرات'!W27</f>
        <v/>
      </c>
      <c r="H37" s="68">
        <f>'الامتياز · المؤشرات'!AH27</f>
        <v/>
      </c>
    </row>
    <row r="38">
      <c r="A38" s="68" t="n">
        <v>35</v>
      </c>
      <c r="B38" s="91" t="inlineStr">
        <is>
          <t>الامتياز التجاري</t>
        </is>
      </c>
      <c r="C38" s="91">
        <f>'الامتياز · المؤشرات'!C28</f>
        <v/>
      </c>
      <c r="D38" s="68">
        <f>'الامتياز · المؤشرات'!X28</f>
        <v/>
      </c>
      <c r="E38" s="91">
        <f>'الامتياز · المؤشرات'!Y28</f>
        <v/>
      </c>
      <c r="F38" s="93">
        <f>'الامتياز · المؤشرات'!V28</f>
        <v/>
      </c>
      <c r="G38" s="68">
        <f>'الامتياز · المؤشرات'!W28</f>
        <v/>
      </c>
      <c r="H38" s="68">
        <f>'الامتياز · المؤشرات'!AH28</f>
        <v/>
      </c>
    </row>
    <row r="39">
      <c r="A39" s="68" t="n">
        <v>36</v>
      </c>
      <c r="B39" s="91" t="inlineStr">
        <is>
          <t>الامتياز التجاري</t>
        </is>
      </c>
      <c r="C39" s="91">
        <f>'الامتياز · المؤشرات'!C29</f>
        <v/>
      </c>
      <c r="D39" s="68">
        <f>'الامتياز · المؤشرات'!X29</f>
        <v/>
      </c>
      <c r="E39" s="91">
        <f>'الامتياز · المؤشرات'!Y29</f>
        <v/>
      </c>
      <c r="F39" s="93">
        <f>'الامتياز · المؤشرات'!V29</f>
        <v/>
      </c>
      <c r="G39" s="68">
        <f>'الامتياز · المؤشرات'!W29</f>
        <v/>
      </c>
      <c r="H39" s="68">
        <f>'الامتياز · المؤشرات'!AH29</f>
        <v/>
      </c>
    </row>
    <row r="40">
      <c r="A40" s="68" t="n">
        <v>37</v>
      </c>
      <c r="B40" s="91" t="inlineStr">
        <is>
          <t>الامتياز التجاري</t>
        </is>
      </c>
      <c r="C40" s="91">
        <f>'الامتياز · المؤشرات'!C30</f>
        <v/>
      </c>
      <c r="D40" s="68">
        <f>'الامتياز · المؤشرات'!X30</f>
        <v/>
      </c>
      <c r="E40" s="91">
        <f>'الامتياز · المؤشرات'!Y30</f>
        <v/>
      </c>
      <c r="F40" s="93">
        <f>'الامتياز · المؤشرات'!V30</f>
        <v/>
      </c>
      <c r="G40" s="68">
        <f>'الامتياز · المؤشرات'!W30</f>
        <v/>
      </c>
      <c r="H40" s="68">
        <f>'الامتياز · المؤشرات'!AH30</f>
        <v/>
      </c>
    </row>
    <row r="41">
      <c r="A41" s="68" t="n">
        <v>38</v>
      </c>
      <c r="B41" s="91" t="inlineStr">
        <is>
          <t>الامتياز التجاري</t>
        </is>
      </c>
      <c r="C41" s="91">
        <f>'الامتياز · المؤشرات'!C31</f>
        <v/>
      </c>
      <c r="D41" s="68">
        <f>'الامتياز · المؤشرات'!X31</f>
        <v/>
      </c>
      <c r="E41" s="91">
        <f>'الامتياز · المؤشرات'!Y31</f>
        <v/>
      </c>
      <c r="F41" s="93">
        <f>'الامتياز · المؤشرات'!V31</f>
        <v/>
      </c>
      <c r="G41" s="68">
        <f>'الامتياز · المؤشرات'!W31</f>
        <v/>
      </c>
      <c r="H41" s="68">
        <f>'الامتياز · المؤشرات'!AH31</f>
        <v/>
      </c>
    </row>
    <row r="42">
      <c r="A42" s="68" t="n">
        <v>39</v>
      </c>
      <c r="B42" s="91" t="inlineStr">
        <is>
          <t>الامتياز التجاري</t>
        </is>
      </c>
      <c r="C42" s="91">
        <f>'الامتياز · المؤشرات'!C32</f>
        <v/>
      </c>
      <c r="D42" s="68">
        <f>'الامتياز · المؤشرات'!X32</f>
        <v/>
      </c>
      <c r="E42" s="91">
        <f>'الامتياز · المؤشرات'!Y32</f>
        <v/>
      </c>
      <c r="F42" s="93">
        <f>'الامتياز · المؤشرات'!V32</f>
        <v/>
      </c>
      <c r="G42" s="68">
        <f>'الامتياز · المؤشرات'!W32</f>
        <v/>
      </c>
      <c r="H42" s="68">
        <f>'الامتياز · المؤشرات'!AH32</f>
        <v/>
      </c>
    </row>
    <row r="43">
      <c r="A43" s="68" t="n">
        <v>40</v>
      </c>
      <c r="B43" s="91" t="inlineStr">
        <is>
          <t>الامتياز التجاري</t>
        </is>
      </c>
      <c r="C43" s="91">
        <f>'الامتياز · المؤشرات'!C33</f>
        <v/>
      </c>
      <c r="D43" s="68">
        <f>'الامتياز · المؤشرات'!X33</f>
        <v/>
      </c>
      <c r="E43" s="91">
        <f>'الامتياز · المؤشرات'!Y33</f>
        <v/>
      </c>
      <c r="F43" s="93">
        <f>'الامتياز · المؤشرات'!V33</f>
        <v/>
      </c>
      <c r="G43" s="68">
        <f>'الامتياز · المؤشرات'!W33</f>
        <v/>
      </c>
      <c r="H43" s="68">
        <f>'الامتياز · المؤشرات'!AH33</f>
        <v/>
      </c>
    </row>
    <row r="44">
      <c r="A44" s="68" t="n">
        <v>41</v>
      </c>
      <c r="B44" s="91" t="inlineStr">
        <is>
          <t>الامتياز التجاري</t>
        </is>
      </c>
      <c r="C44" s="91">
        <f>'الامتياز · المؤشرات'!C34</f>
        <v/>
      </c>
      <c r="D44" s="68">
        <f>'الامتياز · المؤشرات'!X34</f>
        <v/>
      </c>
      <c r="E44" s="91">
        <f>'الامتياز · المؤشرات'!Y34</f>
        <v/>
      </c>
      <c r="F44" s="93">
        <f>'الامتياز · المؤشرات'!V34</f>
        <v/>
      </c>
      <c r="G44" s="68">
        <f>'الامتياز · المؤشرات'!W34</f>
        <v/>
      </c>
      <c r="H44" s="68">
        <f>'الامتياز · المؤشرات'!AH34</f>
        <v/>
      </c>
    </row>
    <row r="45">
      <c r="A45" s="68" t="n">
        <v>42</v>
      </c>
      <c r="B45" s="91" t="inlineStr">
        <is>
          <t>الامتياز التجاري</t>
        </is>
      </c>
      <c r="C45" s="91">
        <f>'الامتياز · المؤشرات'!C35</f>
        <v/>
      </c>
      <c r="D45" s="68">
        <f>'الامتياز · المؤشرات'!X35</f>
        <v/>
      </c>
      <c r="E45" s="91">
        <f>'الامتياز · المؤشرات'!Y35</f>
        <v/>
      </c>
      <c r="F45" s="93">
        <f>'الامتياز · المؤشرات'!V35</f>
        <v/>
      </c>
      <c r="G45" s="68">
        <f>'الامتياز · المؤشرات'!W35</f>
        <v/>
      </c>
      <c r="H45" s="68">
        <f>'الامتياز · المؤشرات'!AH35</f>
        <v/>
      </c>
    </row>
    <row r="46">
      <c r="A46" s="68" t="n">
        <v>43</v>
      </c>
      <c r="B46" s="91" t="inlineStr">
        <is>
          <t>الامتياز التجاري</t>
        </is>
      </c>
      <c r="C46" s="91">
        <f>'الامتياز · المؤشرات'!C36</f>
        <v/>
      </c>
      <c r="D46" s="68">
        <f>'الامتياز · المؤشرات'!X36</f>
        <v/>
      </c>
      <c r="E46" s="91">
        <f>'الامتياز · المؤشرات'!Y36</f>
        <v/>
      </c>
      <c r="F46" s="93">
        <f>'الامتياز · المؤشرات'!V36</f>
        <v/>
      </c>
      <c r="G46" s="68">
        <f>'الامتياز · المؤشرات'!W36</f>
        <v/>
      </c>
      <c r="H46" s="68">
        <f>'الامتياز · المؤشرات'!AH36</f>
        <v/>
      </c>
    </row>
    <row r="47">
      <c r="A47" s="68" t="n">
        <v>44</v>
      </c>
      <c r="B47" s="91" t="inlineStr">
        <is>
          <t>الامتياز التجاري</t>
        </is>
      </c>
      <c r="C47" s="91">
        <f>'الامتياز · المؤشرات'!C37</f>
        <v/>
      </c>
      <c r="D47" s="68">
        <f>'الامتياز · المؤشرات'!X37</f>
        <v/>
      </c>
      <c r="E47" s="91">
        <f>'الامتياز · المؤشرات'!Y37</f>
        <v/>
      </c>
      <c r="F47" s="93">
        <f>'الامتياز · المؤشرات'!V37</f>
        <v/>
      </c>
      <c r="G47" s="68">
        <f>'الامتياز · المؤشرات'!W37</f>
        <v/>
      </c>
      <c r="H47" s="68">
        <f>'الامتياز · المؤشرات'!AH37</f>
        <v/>
      </c>
    </row>
    <row r="48">
      <c r="A48" s="68" t="n">
        <v>45</v>
      </c>
      <c r="B48" s="91" t="inlineStr">
        <is>
          <t>الامتياز التجاري</t>
        </is>
      </c>
      <c r="C48" s="91">
        <f>'الامتياز · المؤشرات'!C38</f>
        <v/>
      </c>
      <c r="D48" s="68">
        <f>'الامتياز · المؤشرات'!X38</f>
        <v/>
      </c>
      <c r="E48" s="91">
        <f>'الامتياز · المؤشرات'!Y38</f>
        <v/>
      </c>
      <c r="F48" s="93">
        <f>'الامتياز · المؤشرات'!V38</f>
        <v/>
      </c>
      <c r="G48" s="68">
        <f>'الامتياز · المؤشرات'!W38</f>
        <v/>
      </c>
      <c r="H48" s="68">
        <f>'الامتياز · المؤشرات'!AH38</f>
        <v/>
      </c>
    </row>
    <row r="49">
      <c r="A49" s="68" t="n">
        <v>46</v>
      </c>
      <c r="B49" s="91" t="inlineStr">
        <is>
          <t>الامتياز التجاري</t>
        </is>
      </c>
      <c r="C49" s="91">
        <f>'الامتياز · المؤشرات'!C39</f>
        <v/>
      </c>
      <c r="D49" s="68">
        <f>'الامتياز · المؤشرات'!X39</f>
        <v/>
      </c>
      <c r="E49" s="91">
        <f>'الامتياز · المؤشرات'!Y39</f>
        <v/>
      </c>
      <c r="F49" s="93">
        <f>'الامتياز · المؤشرات'!V39</f>
        <v/>
      </c>
      <c r="G49" s="68">
        <f>'الامتياز · المؤشرات'!W39</f>
        <v/>
      </c>
      <c r="H49" s="68">
        <f>'الامتياز · المؤشرات'!AH39</f>
        <v/>
      </c>
    </row>
    <row r="50">
      <c r="A50" s="68" t="n">
        <v>47</v>
      </c>
      <c r="B50" s="91" t="inlineStr">
        <is>
          <t>التشغيل والمحطات</t>
        </is>
      </c>
      <c r="C50" s="91">
        <f>'التشغيل · المؤشرات'!C4</f>
        <v/>
      </c>
      <c r="D50" s="68">
        <f>'التشغيل · المؤشرات'!X4</f>
        <v/>
      </c>
      <c r="E50" s="91">
        <f>'التشغيل · المؤشرات'!Y4</f>
        <v/>
      </c>
      <c r="F50" s="93">
        <f>'التشغيل · المؤشرات'!V4</f>
        <v/>
      </c>
      <c r="G50" s="68">
        <f>'التشغيل · المؤشرات'!W4</f>
        <v/>
      </c>
      <c r="H50" s="68">
        <f>'التشغيل · المؤشرات'!AH4</f>
        <v/>
      </c>
    </row>
    <row r="51">
      <c r="A51" s="68" t="n">
        <v>48</v>
      </c>
      <c r="B51" s="91" t="inlineStr">
        <is>
          <t>التشغيل والمحطات</t>
        </is>
      </c>
      <c r="C51" s="91">
        <f>'التشغيل · المؤشرات'!C5</f>
        <v/>
      </c>
      <c r="D51" s="68">
        <f>'التشغيل · المؤشرات'!X5</f>
        <v/>
      </c>
      <c r="E51" s="91">
        <f>'التشغيل · المؤشرات'!Y5</f>
        <v/>
      </c>
      <c r="F51" s="93">
        <f>'التشغيل · المؤشرات'!V5</f>
        <v/>
      </c>
      <c r="G51" s="68">
        <f>'التشغيل · المؤشرات'!W5</f>
        <v/>
      </c>
      <c r="H51" s="68">
        <f>'التشغيل · المؤشرات'!AH5</f>
        <v/>
      </c>
    </row>
    <row r="52">
      <c r="A52" s="68" t="n">
        <v>49</v>
      </c>
      <c r="B52" s="91" t="inlineStr">
        <is>
          <t>التشغيل والمحطات</t>
        </is>
      </c>
      <c r="C52" s="91">
        <f>'التشغيل · المؤشرات'!C6</f>
        <v/>
      </c>
      <c r="D52" s="68">
        <f>'التشغيل · المؤشرات'!X6</f>
        <v/>
      </c>
      <c r="E52" s="91">
        <f>'التشغيل · المؤشرات'!Y6</f>
        <v/>
      </c>
      <c r="F52" s="93">
        <f>'التشغيل · المؤشرات'!V6</f>
        <v/>
      </c>
      <c r="G52" s="68">
        <f>'التشغيل · المؤشرات'!W6</f>
        <v/>
      </c>
      <c r="H52" s="68">
        <f>'التشغيل · المؤشرات'!AH6</f>
        <v/>
      </c>
    </row>
    <row r="53">
      <c r="A53" s="68" t="n">
        <v>50</v>
      </c>
      <c r="B53" s="91" t="inlineStr">
        <is>
          <t>التشغيل والمحطات</t>
        </is>
      </c>
      <c r="C53" s="91">
        <f>'التشغيل · المؤشرات'!C7</f>
        <v/>
      </c>
      <c r="D53" s="68">
        <f>'التشغيل · المؤشرات'!X7</f>
        <v/>
      </c>
      <c r="E53" s="91">
        <f>'التشغيل · المؤشرات'!Y7</f>
        <v/>
      </c>
      <c r="F53" s="93">
        <f>'التشغيل · المؤشرات'!V7</f>
        <v/>
      </c>
      <c r="G53" s="68">
        <f>'التشغيل · المؤشرات'!W7</f>
        <v/>
      </c>
      <c r="H53" s="68">
        <f>'التشغيل · المؤشرات'!AH7</f>
        <v/>
      </c>
    </row>
    <row r="54">
      <c r="A54" s="68" t="n">
        <v>51</v>
      </c>
      <c r="B54" s="91" t="inlineStr">
        <is>
          <t>التشغيل والمحطات</t>
        </is>
      </c>
      <c r="C54" s="91">
        <f>'التشغيل · المؤشرات'!C8</f>
        <v/>
      </c>
      <c r="D54" s="68">
        <f>'التشغيل · المؤشرات'!X8</f>
        <v/>
      </c>
      <c r="E54" s="91">
        <f>'التشغيل · المؤشرات'!Y8</f>
        <v/>
      </c>
      <c r="F54" s="93">
        <f>'التشغيل · المؤشرات'!V8</f>
        <v/>
      </c>
      <c r="G54" s="68">
        <f>'التشغيل · المؤشرات'!W8</f>
        <v/>
      </c>
      <c r="H54" s="68">
        <f>'التشغيل · المؤشرات'!AH8</f>
        <v/>
      </c>
    </row>
    <row r="55">
      <c r="A55" s="68" t="n">
        <v>52</v>
      </c>
      <c r="B55" s="91" t="inlineStr">
        <is>
          <t>التشغيل والمحطات</t>
        </is>
      </c>
      <c r="C55" s="91">
        <f>'التشغيل · المؤشرات'!C9</f>
        <v/>
      </c>
      <c r="D55" s="68">
        <f>'التشغيل · المؤشرات'!X9</f>
        <v/>
      </c>
      <c r="E55" s="91">
        <f>'التشغيل · المؤشرات'!Y9</f>
        <v/>
      </c>
      <c r="F55" s="93">
        <f>'التشغيل · المؤشرات'!V9</f>
        <v/>
      </c>
      <c r="G55" s="68">
        <f>'التشغيل · المؤشرات'!W9</f>
        <v/>
      </c>
      <c r="H55" s="68">
        <f>'التشغيل · المؤشرات'!AH9</f>
        <v/>
      </c>
    </row>
    <row r="56">
      <c r="A56" s="68" t="n">
        <v>53</v>
      </c>
      <c r="B56" s="91" t="inlineStr">
        <is>
          <t>التشغيل والمحطات</t>
        </is>
      </c>
      <c r="C56" s="91">
        <f>'التشغيل · المؤشرات'!C10</f>
        <v/>
      </c>
      <c r="D56" s="68">
        <f>'التشغيل · المؤشرات'!X10</f>
        <v/>
      </c>
      <c r="E56" s="91">
        <f>'التشغيل · المؤشرات'!Y10</f>
        <v/>
      </c>
      <c r="F56" s="93">
        <f>'التشغيل · المؤشرات'!V10</f>
        <v/>
      </c>
      <c r="G56" s="68">
        <f>'التشغيل · المؤشرات'!W10</f>
        <v/>
      </c>
      <c r="H56" s="68">
        <f>'التشغيل · المؤشرات'!AH10</f>
        <v/>
      </c>
    </row>
    <row r="57">
      <c r="A57" s="68" t="n">
        <v>54</v>
      </c>
      <c r="B57" s="91" t="inlineStr">
        <is>
          <t>التشغيل والمحطات</t>
        </is>
      </c>
      <c r="C57" s="91">
        <f>'التشغيل · المؤشرات'!C11</f>
        <v/>
      </c>
      <c r="D57" s="68">
        <f>'التشغيل · المؤشرات'!X11</f>
        <v/>
      </c>
      <c r="E57" s="91">
        <f>'التشغيل · المؤشرات'!Y11</f>
        <v/>
      </c>
      <c r="F57" s="93">
        <f>'التشغيل · المؤشرات'!V11</f>
        <v/>
      </c>
      <c r="G57" s="68">
        <f>'التشغيل · المؤشرات'!W11</f>
        <v/>
      </c>
      <c r="H57" s="68">
        <f>'التشغيل · المؤشرات'!AH11</f>
        <v/>
      </c>
    </row>
    <row r="58">
      <c r="A58" s="68" t="n">
        <v>55</v>
      </c>
      <c r="B58" s="91" t="inlineStr">
        <is>
          <t>التشغيل والمحطات</t>
        </is>
      </c>
      <c r="C58" s="91">
        <f>'التشغيل · المؤشرات'!C12</f>
        <v/>
      </c>
      <c r="D58" s="68">
        <f>'التشغيل · المؤشرات'!X12</f>
        <v/>
      </c>
      <c r="E58" s="91">
        <f>'التشغيل · المؤشرات'!Y12</f>
        <v/>
      </c>
      <c r="F58" s="93">
        <f>'التشغيل · المؤشرات'!V12</f>
        <v/>
      </c>
      <c r="G58" s="68">
        <f>'التشغيل · المؤشرات'!W12</f>
        <v/>
      </c>
      <c r="H58" s="68">
        <f>'التشغيل · المؤشرات'!AH12</f>
        <v/>
      </c>
    </row>
    <row r="59">
      <c r="A59" s="68" t="n">
        <v>56</v>
      </c>
      <c r="B59" s="91" t="inlineStr">
        <is>
          <t>التشغيل والمحطات</t>
        </is>
      </c>
      <c r="C59" s="91">
        <f>'التشغيل · المؤشرات'!C13</f>
        <v/>
      </c>
      <c r="D59" s="68">
        <f>'التشغيل · المؤشرات'!X13</f>
        <v/>
      </c>
      <c r="E59" s="91">
        <f>'التشغيل · المؤشرات'!Y13</f>
        <v/>
      </c>
      <c r="F59" s="93">
        <f>'التشغيل · المؤشرات'!V13</f>
        <v/>
      </c>
      <c r="G59" s="68">
        <f>'التشغيل · المؤشرات'!W13</f>
        <v/>
      </c>
      <c r="H59" s="68">
        <f>'التشغيل · المؤشرات'!AH13</f>
        <v/>
      </c>
    </row>
    <row r="60">
      <c r="A60" s="68" t="n">
        <v>57</v>
      </c>
      <c r="B60" s="91" t="inlineStr">
        <is>
          <t>التشغيل والمحطات</t>
        </is>
      </c>
      <c r="C60" s="91">
        <f>'التشغيل · المؤشرات'!C14</f>
        <v/>
      </c>
      <c r="D60" s="68">
        <f>'التشغيل · المؤشرات'!X14</f>
        <v/>
      </c>
      <c r="E60" s="91">
        <f>'التشغيل · المؤشرات'!Y14</f>
        <v/>
      </c>
      <c r="F60" s="93">
        <f>'التشغيل · المؤشرات'!V14</f>
        <v/>
      </c>
      <c r="G60" s="68">
        <f>'التشغيل · المؤشرات'!W14</f>
        <v/>
      </c>
      <c r="H60" s="68">
        <f>'التشغيل · المؤشرات'!AH14</f>
        <v/>
      </c>
    </row>
    <row r="61">
      <c r="A61" s="68" t="n">
        <v>58</v>
      </c>
      <c r="B61" s="91" t="inlineStr">
        <is>
          <t>التشغيل والمحطات</t>
        </is>
      </c>
      <c r="C61" s="91">
        <f>'التشغيل · المؤشرات'!C15</f>
        <v/>
      </c>
      <c r="D61" s="68">
        <f>'التشغيل · المؤشرات'!X15</f>
        <v/>
      </c>
      <c r="E61" s="91">
        <f>'التشغيل · المؤشرات'!Y15</f>
        <v/>
      </c>
      <c r="F61" s="93">
        <f>'التشغيل · المؤشرات'!V15</f>
        <v/>
      </c>
      <c r="G61" s="68">
        <f>'التشغيل · المؤشرات'!W15</f>
        <v/>
      </c>
      <c r="H61" s="68">
        <f>'التشغيل · المؤشرات'!AH15</f>
        <v/>
      </c>
    </row>
    <row r="62">
      <c r="A62" s="68" t="n">
        <v>59</v>
      </c>
      <c r="B62" s="91" t="inlineStr">
        <is>
          <t>التشغيل والمحطات</t>
        </is>
      </c>
      <c r="C62" s="91">
        <f>'التشغيل · المؤشرات'!C16</f>
        <v/>
      </c>
      <c r="D62" s="68">
        <f>'التشغيل · المؤشرات'!X16</f>
        <v/>
      </c>
      <c r="E62" s="91">
        <f>'التشغيل · المؤشرات'!Y16</f>
        <v/>
      </c>
      <c r="F62" s="93">
        <f>'التشغيل · المؤشرات'!V16</f>
        <v/>
      </c>
      <c r="G62" s="68">
        <f>'التشغيل · المؤشرات'!W16</f>
        <v/>
      </c>
      <c r="H62" s="68">
        <f>'التشغيل · المؤشرات'!AH16</f>
        <v/>
      </c>
    </row>
    <row r="63">
      <c r="A63" s="68" t="n">
        <v>60</v>
      </c>
      <c r="B63" s="91" t="inlineStr">
        <is>
          <t>التشغيل والمحطات</t>
        </is>
      </c>
      <c r="C63" s="91">
        <f>'التشغيل · المؤشرات'!C17</f>
        <v/>
      </c>
      <c r="D63" s="68">
        <f>'التشغيل · المؤشرات'!X17</f>
        <v/>
      </c>
      <c r="E63" s="91">
        <f>'التشغيل · المؤشرات'!Y17</f>
        <v/>
      </c>
      <c r="F63" s="93">
        <f>'التشغيل · المؤشرات'!V17</f>
        <v/>
      </c>
      <c r="G63" s="68">
        <f>'التشغيل · المؤشرات'!W17</f>
        <v/>
      </c>
      <c r="H63" s="68">
        <f>'التشغيل · المؤشرات'!AH17</f>
        <v/>
      </c>
    </row>
    <row r="64">
      <c r="A64" s="68" t="n">
        <v>61</v>
      </c>
      <c r="B64" s="91" t="inlineStr">
        <is>
          <t>التشغيل والمحطات</t>
        </is>
      </c>
      <c r="C64" s="91">
        <f>'التشغيل · المؤشرات'!C18</f>
        <v/>
      </c>
      <c r="D64" s="68">
        <f>'التشغيل · المؤشرات'!X18</f>
        <v/>
      </c>
      <c r="E64" s="91">
        <f>'التشغيل · المؤشرات'!Y18</f>
        <v/>
      </c>
      <c r="F64" s="93">
        <f>'التشغيل · المؤشرات'!V18</f>
        <v/>
      </c>
      <c r="G64" s="68">
        <f>'التشغيل · المؤشرات'!W18</f>
        <v/>
      </c>
      <c r="H64" s="68">
        <f>'التشغيل · المؤشرات'!AH18</f>
        <v/>
      </c>
    </row>
    <row r="65">
      <c r="A65" s="68" t="n">
        <v>62</v>
      </c>
      <c r="B65" s="91" t="inlineStr">
        <is>
          <t>التشغيل والمحطات</t>
        </is>
      </c>
      <c r="C65" s="91">
        <f>'التشغيل · المؤشرات'!C19</f>
        <v/>
      </c>
      <c r="D65" s="68">
        <f>'التشغيل · المؤشرات'!X19</f>
        <v/>
      </c>
      <c r="E65" s="91">
        <f>'التشغيل · المؤشرات'!Y19</f>
        <v/>
      </c>
      <c r="F65" s="93">
        <f>'التشغيل · المؤشرات'!V19</f>
        <v/>
      </c>
      <c r="G65" s="68">
        <f>'التشغيل · المؤشرات'!W19</f>
        <v/>
      </c>
      <c r="H65" s="68">
        <f>'التشغيل · المؤشرات'!AH19</f>
        <v/>
      </c>
    </row>
    <row r="66">
      <c r="A66" s="68" t="n">
        <v>63</v>
      </c>
      <c r="B66" s="91" t="inlineStr">
        <is>
          <t>الاستثمار</t>
        </is>
      </c>
      <c r="C66" s="91">
        <f>'الاستثمار · المؤشرات'!C4</f>
        <v/>
      </c>
      <c r="D66" s="68">
        <f>'الاستثمار · المؤشرات'!X4</f>
        <v/>
      </c>
      <c r="E66" s="91">
        <f>'الاستثمار · المؤشرات'!Y4</f>
        <v/>
      </c>
      <c r="F66" s="93">
        <f>'الاستثمار · المؤشرات'!V4</f>
        <v/>
      </c>
      <c r="G66" s="68">
        <f>'الاستثمار · المؤشرات'!W4</f>
        <v/>
      </c>
      <c r="H66" s="68">
        <f>'الاستثمار · المؤشرات'!AH4</f>
        <v/>
      </c>
    </row>
    <row r="67">
      <c r="A67" s="68" t="n">
        <v>64</v>
      </c>
      <c r="B67" s="91" t="inlineStr">
        <is>
          <t>الاستثمار</t>
        </is>
      </c>
      <c r="C67" s="91">
        <f>'الاستثمار · المؤشرات'!C5</f>
        <v/>
      </c>
      <c r="D67" s="68">
        <f>'الاستثمار · المؤشرات'!X5</f>
        <v/>
      </c>
      <c r="E67" s="91">
        <f>'الاستثمار · المؤشرات'!Y5</f>
        <v/>
      </c>
      <c r="F67" s="93">
        <f>'الاستثمار · المؤشرات'!V5</f>
        <v/>
      </c>
      <c r="G67" s="68">
        <f>'الاستثمار · المؤشرات'!W5</f>
        <v/>
      </c>
      <c r="H67" s="68">
        <f>'الاستثمار · المؤشرات'!AH5</f>
        <v/>
      </c>
    </row>
    <row r="68">
      <c r="A68" s="68" t="n">
        <v>65</v>
      </c>
      <c r="B68" s="91" t="inlineStr">
        <is>
          <t>الاستثمار</t>
        </is>
      </c>
      <c r="C68" s="91">
        <f>'الاستثمار · المؤشرات'!C6</f>
        <v/>
      </c>
      <c r="D68" s="68">
        <f>'الاستثمار · المؤشرات'!X6</f>
        <v/>
      </c>
      <c r="E68" s="91">
        <f>'الاستثمار · المؤشرات'!Y6</f>
        <v/>
      </c>
      <c r="F68" s="93">
        <f>'الاستثمار · المؤشرات'!V6</f>
        <v/>
      </c>
      <c r="G68" s="68">
        <f>'الاستثمار · المؤشرات'!W6</f>
        <v/>
      </c>
      <c r="H68" s="68">
        <f>'الاستثمار · المؤشرات'!AH6</f>
        <v/>
      </c>
    </row>
    <row r="69">
      <c r="A69" s="68" t="n">
        <v>66</v>
      </c>
      <c r="B69" s="91" t="inlineStr">
        <is>
          <t>الاستثمار</t>
        </is>
      </c>
      <c r="C69" s="91">
        <f>'الاستثمار · المؤشرات'!C7</f>
        <v/>
      </c>
      <c r="D69" s="68">
        <f>'الاستثمار · المؤشرات'!X7</f>
        <v/>
      </c>
      <c r="E69" s="91">
        <f>'الاستثمار · المؤشرات'!Y7</f>
        <v/>
      </c>
      <c r="F69" s="93">
        <f>'الاستثمار · المؤشرات'!V7</f>
        <v/>
      </c>
      <c r="G69" s="68">
        <f>'الاستثمار · المؤشرات'!W7</f>
        <v/>
      </c>
      <c r="H69" s="68">
        <f>'الاستثمار · المؤشرات'!AH7</f>
        <v/>
      </c>
    </row>
    <row r="70">
      <c r="A70" s="68" t="n">
        <v>67</v>
      </c>
      <c r="B70" s="91" t="inlineStr">
        <is>
          <t>الاستثمار</t>
        </is>
      </c>
      <c r="C70" s="91">
        <f>'الاستثمار · المؤشرات'!C8</f>
        <v/>
      </c>
      <c r="D70" s="68">
        <f>'الاستثمار · المؤشرات'!X8</f>
        <v/>
      </c>
      <c r="E70" s="91">
        <f>'الاستثمار · المؤشرات'!Y8</f>
        <v/>
      </c>
      <c r="F70" s="93">
        <f>'الاستثمار · المؤشرات'!V8</f>
        <v/>
      </c>
      <c r="G70" s="68">
        <f>'الاستثمار · المؤشرات'!W8</f>
        <v/>
      </c>
      <c r="H70" s="68">
        <f>'الاستثمار · المؤشرات'!AH8</f>
        <v/>
      </c>
    </row>
    <row r="71">
      <c r="A71" s="68" t="n">
        <v>68</v>
      </c>
      <c r="B71" s="91" t="inlineStr">
        <is>
          <t>الاستثمار</t>
        </is>
      </c>
      <c r="C71" s="91">
        <f>'الاستثمار · المؤشرات'!C9</f>
        <v/>
      </c>
      <c r="D71" s="68">
        <f>'الاستثمار · المؤشرات'!X9</f>
        <v/>
      </c>
      <c r="E71" s="91">
        <f>'الاستثمار · المؤشرات'!Y9</f>
        <v/>
      </c>
      <c r="F71" s="93">
        <f>'الاستثمار · المؤشرات'!V9</f>
        <v/>
      </c>
      <c r="G71" s="68">
        <f>'الاستثمار · المؤشرات'!W9</f>
        <v/>
      </c>
      <c r="H71" s="68">
        <f>'الاستثمار · المؤشرات'!AH9</f>
        <v/>
      </c>
    </row>
    <row r="72">
      <c r="A72" s="68" t="n">
        <v>69</v>
      </c>
      <c r="B72" s="91" t="inlineStr">
        <is>
          <t>الاستثمار</t>
        </is>
      </c>
      <c r="C72" s="91">
        <f>'الاستثمار · المؤشرات'!C10</f>
        <v/>
      </c>
      <c r="D72" s="68">
        <f>'الاستثمار · المؤشرات'!X10</f>
        <v/>
      </c>
      <c r="E72" s="91">
        <f>'الاستثمار · المؤشرات'!Y10</f>
        <v/>
      </c>
      <c r="F72" s="93">
        <f>'الاستثمار · المؤشرات'!V10</f>
        <v/>
      </c>
      <c r="G72" s="68">
        <f>'الاستثمار · المؤشرات'!W10</f>
        <v/>
      </c>
      <c r="H72" s="68">
        <f>'الاستثمار · المؤشرات'!AH10</f>
        <v/>
      </c>
    </row>
    <row r="73">
      <c r="A73" s="68" t="n">
        <v>70</v>
      </c>
      <c r="B73" s="91" t="inlineStr">
        <is>
          <t>الاستثمار</t>
        </is>
      </c>
      <c r="C73" s="91">
        <f>'الاستثمار · المؤشرات'!C11</f>
        <v/>
      </c>
      <c r="D73" s="68">
        <f>'الاستثمار · المؤشرات'!X11</f>
        <v/>
      </c>
      <c r="E73" s="91">
        <f>'الاستثمار · المؤشرات'!Y11</f>
        <v/>
      </c>
      <c r="F73" s="93">
        <f>'الاستثمار · المؤشرات'!V11</f>
        <v/>
      </c>
      <c r="G73" s="68">
        <f>'الاستثمار · المؤشرات'!W11</f>
        <v/>
      </c>
      <c r="H73" s="68">
        <f>'الاستثمار · المؤشرات'!AH11</f>
        <v/>
      </c>
    </row>
    <row r="74">
      <c r="A74" s="68" t="n">
        <v>71</v>
      </c>
      <c r="B74" s="91" t="inlineStr">
        <is>
          <t>الاستثمار</t>
        </is>
      </c>
      <c r="C74" s="91">
        <f>'الاستثمار · المؤشرات'!C12</f>
        <v/>
      </c>
      <c r="D74" s="68">
        <f>'الاستثمار · المؤشرات'!X12</f>
        <v/>
      </c>
      <c r="E74" s="91">
        <f>'الاستثمار · المؤشرات'!Y12</f>
        <v/>
      </c>
      <c r="F74" s="93">
        <f>'الاستثمار · المؤشرات'!V12</f>
        <v/>
      </c>
      <c r="G74" s="68">
        <f>'الاستثمار · المؤشرات'!W12</f>
        <v/>
      </c>
      <c r="H74" s="68">
        <f>'الاستثمار · المؤشرات'!AH12</f>
        <v/>
      </c>
    </row>
    <row r="75">
      <c r="A75" s="68" t="n">
        <v>72</v>
      </c>
      <c r="B75" s="91" t="inlineStr">
        <is>
          <t>الاستثمار</t>
        </is>
      </c>
      <c r="C75" s="91">
        <f>'الاستثمار · المؤشرات'!C13</f>
        <v/>
      </c>
      <c r="D75" s="68">
        <f>'الاستثمار · المؤشرات'!X13</f>
        <v/>
      </c>
      <c r="E75" s="91">
        <f>'الاستثمار · المؤشرات'!Y13</f>
        <v/>
      </c>
      <c r="F75" s="93">
        <f>'الاستثمار · المؤشرات'!V13</f>
        <v/>
      </c>
      <c r="G75" s="68">
        <f>'الاستثمار · المؤشرات'!W13</f>
        <v/>
      </c>
      <c r="H75" s="68">
        <f>'الاستثمار · المؤشرات'!AH13</f>
        <v/>
      </c>
    </row>
    <row r="76">
      <c r="A76" s="68" t="n">
        <v>73</v>
      </c>
      <c r="B76" s="91" t="inlineStr">
        <is>
          <t>الاستثمار</t>
        </is>
      </c>
      <c r="C76" s="91">
        <f>'الاستثمار · المؤشرات'!C14</f>
        <v/>
      </c>
      <c r="D76" s="68">
        <f>'الاستثمار · المؤشرات'!X14</f>
        <v/>
      </c>
      <c r="E76" s="91">
        <f>'الاستثمار · المؤشرات'!Y14</f>
        <v/>
      </c>
      <c r="F76" s="93">
        <f>'الاستثمار · المؤشرات'!V14</f>
        <v/>
      </c>
      <c r="G76" s="68">
        <f>'الاستثمار · المؤشرات'!W14</f>
        <v/>
      </c>
      <c r="H76" s="68">
        <f>'الاستثمار · المؤشرات'!AH14</f>
        <v/>
      </c>
    </row>
    <row r="77">
      <c r="A77" s="68" t="n">
        <v>74</v>
      </c>
      <c r="B77" s="91" t="inlineStr">
        <is>
          <t>الاستثمار</t>
        </is>
      </c>
      <c r="C77" s="91">
        <f>'الاستثمار · المؤشرات'!C15</f>
        <v/>
      </c>
      <c r="D77" s="68">
        <f>'الاستثمار · المؤشرات'!X15</f>
        <v/>
      </c>
      <c r="E77" s="91">
        <f>'الاستثمار · المؤشرات'!Y15</f>
        <v/>
      </c>
      <c r="F77" s="93">
        <f>'الاستثمار · المؤشرات'!V15</f>
        <v/>
      </c>
      <c r="G77" s="68">
        <f>'الاستثمار · المؤشرات'!W15</f>
        <v/>
      </c>
      <c r="H77" s="68">
        <f>'الاستثمار · المؤشرات'!AH15</f>
        <v/>
      </c>
    </row>
    <row r="78">
      <c r="A78" s="68" t="n">
        <v>75</v>
      </c>
      <c r="B78" s="91" t="inlineStr">
        <is>
          <t>الاستثمار</t>
        </is>
      </c>
      <c r="C78" s="91">
        <f>'الاستثمار · المؤشرات'!C16</f>
        <v/>
      </c>
      <c r="D78" s="68">
        <f>'الاستثمار · المؤشرات'!X16</f>
        <v/>
      </c>
      <c r="E78" s="91">
        <f>'الاستثمار · المؤشرات'!Y16</f>
        <v/>
      </c>
      <c r="F78" s="93">
        <f>'الاستثمار · المؤشرات'!V16</f>
        <v/>
      </c>
      <c r="G78" s="68">
        <f>'الاستثمار · المؤشرات'!W16</f>
        <v/>
      </c>
      <c r="H78" s="68">
        <f>'الاستثمار · المؤشرات'!AH16</f>
        <v/>
      </c>
    </row>
    <row r="79">
      <c r="A79" s="68" t="n">
        <v>76</v>
      </c>
      <c r="B79" s="91" t="inlineStr">
        <is>
          <t>الاستثمار</t>
        </is>
      </c>
      <c r="C79" s="91">
        <f>'الاستثمار · المؤشرات'!C17</f>
        <v/>
      </c>
      <c r="D79" s="68">
        <f>'الاستثمار · المؤشرات'!X17</f>
        <v/>
      </c>
      <c r="E79" s="91">
        <f>'الاستثمار · المؤشرات'!Y17</f>
        <v/>
      </c>
      <c r="F79" s="93">
        <f>'الاستثمار · المؤشرات'!V17</f>
        <v/>
      </c>
      <c r="G79" s="68">
        <f>'الاستثمار · المؤشرات'!W17</f>
        <v/>
      </c>
      <c r="H79" s="68">
        <f>'الاستثمار · المؤشرات'!AH17</f>
        <v/>
      </c>
    </row>
    <row r="80">
      <c r="A80" s="68" t="n">
        <v>77</v>
      </c>
      <c r="B80" s="91" t="inlineStr">
        <is>
          <t>الاستثمار</t>
        </is>
      </c>
      <c r="C80" s="91">
        <f>'الاستثمار · المؤشرات'!C18</f>
        <v/>
      </c>
      <c r="D80" s="68">
        <f>'الاستثمار · المؤشرات'!X18</f>
        <v/>
      </c>
      <c r="E80" s="91">
        <f>'الاستثمار · المؤشرات'!Y18</f>
        <v/>
      </c>
      <c r="F80" s="93">
        <f>'الاستثمار · المؤشرات'!V18</f>
        <v/>
      </c>
      <c r="G80" s="68">
        <f>'الاستثمار · المؤشرات'!W18</f>
        <v/>
      </c>
      <c r="H80" s="68">
        <f>'الاستثمار · المؤشرات'!AH18</f>
        <v/>
      </c>
    </row>
    <row r="81">
      <c r="A81" s="68" t="n">
        <v>78</v>
      </c>
      <c r="B81" s="91" t="inlineStr">
        <is>
          <t>الاستثمار</t>
        </is>
      </c>
      <c r="C81" s="91">
        <f>'الاستثمار · المؤشرات'!C19</f>
        <v/>
      </c>
      <c r="D81" s="68">
        <f>'الاستثمار · المؤشرات'!X19</f>
        <v/>
      </c>
      <c r="E81" s="91">
        <f>'الاستثمار · المؤشرات'!Y19</f>
        <v/>
      </c>
      <c r="F81" s="93">
        <f>'الاستثمار · المؤشرات'!V19</f>
        <v/>
      </c>
      <c r="G81" s="68">
        <f>'الاستثمار · المؤشرات'!W19</f>
        <v/>
      </c>
      <c r="H81" s="68">
        <f>'الاستثمار · المؤشرات'!AH19</f>
        <v/>
      </c>
    </row>
    <row r="82">
      <c r="A82" s="68" t="n">
        <v>79</v>
      </c>
      <c r="B82" s="91" t="inlineStr">
        <is>
          <t>الاستثمار</t>
        </is>
      </c>
      <c r="C82" s="91">
        <f>'الاستثمار · المؤشرات'!C20</f>
        <v/>
      </c>
      <c r="D82" s="68">
        <f>'الاستثمار · المؤشرات'!X20</f>
        <v/>
      </c>
      <c r="E82" s="91">
        <f>'الاستثمار · المؤشرات'!Y20</f>
        <v/>
      </c>
      <c r="F82" s="93">
        <f>'الاستثمار · المؤشرات'!V20</f>
        <v/>
      </c>
      <c r="G82" s="68">
        <f>'الاستثمار · المؤشرات'!W20</f>
        <v/>
      </c>
      <c r="H82" s="68">
        <f>'الاستثمار · المؤشرات'!AH20</f>
        <v/>
      </c>
    </row>
    <row r="83">
      <c r="A83" s="68" t="n">
        <v>80</v>
      </c>
      <c r="B83" s="91" t="inlineStr">
        <is>
          <t>الاستثمار</t>
        </is>
      </c>
      <c r="C83" s="91">
        <f>'الاستثمار · المؤشرات'!C21</f>
        <v/>
      </c>
      <c r="D83" s="68">
        <f>'الاستثمار · المؤشرات'!X21</f>
        <v/>
      </c>
      <c r="E83" s="91">
        <f>'الاستثمار · المؤشرات'!Y21</f>
        <v/>
      </c>
      <c r="F83" s="93">
        <f>'الاستثمار · المؤشرات'!V21</f>
        <v/>
      </c>
      <c r="G83" s="68">
        <f>'الاستثمار · المؤشرات'!W21</f>
        <v/>
      </c>
      <c r="H83" s="68">
        <f>'الاستثمار · المؤشرات'!AH21</f>
        <v/>
      </c>
    </row>
    <row r="84">
      <c r="A84" s="68" t="n">
        <v>81</v>
      </c>
      <c r="B84" s="91" t="inlineStr">
        <is>
          <t>الاستثمار</t>
        </is>
      </c>
      <c r="C84" s="91">
        <f>'الاستثمار · المؤشرات'!C22</f>
        <v/>
      </c>
      <c r="D84" s="68">
        <f>'الاستثمار · المؤشرات'!X22</f>
        <v/>
      </c>
      <c r="E84" s="91">
        <f>'الاستثمار · المؤشرات'!Y22</f>
        <v/>
      </c>
      <c r="F84" s="93">
        <f>'الاستثمار · المؤشرات'!V22</f>
        <v/>
      </c>
      <c r="G84" s="68">
        <f>'الاستثمار · المؤشرات'!W22</f>
        <v/>
      </c>
      <c r="H84" s="68">
        <f>'الاستثمار · المؤشرات'!AH22</f>
        <v/>
      </c>
    </row>
    <row r="85">
      <c r="A85" s="68" t="n">
        <v>82</v>
      </c>
      <c r="B85" s="91" t="inlineStr">
        <is>
          <t>الاستثمار</t>
        </is>
      </c>
      <c r="C85" s="91">
        <f>'الاستثمار · المؤشرات'!C23</f>
        <v/>
      </c>
      <c r="D85" s="68">
        <f>'الاستثمار · المؤشرات'!X23</f>
        <v/>
      </c>
      <c r="E85" s="91">
        <f>'الاستثمار · المؤشرات'!Y23</f>
        <v/>
      </c>
      <c r="F85" s="93">
        <f>'الاستثمار · المؤشرات'!V23</f>
        <v/>
      </c>
      <c r="G85" s="68">
        <f>'الاستثمار · المؤشرات'!W23</f>
        <v/>
      </c>
      <c r="H85" s="68">
        <f>'الاستثمار · المؤشرات'!AH23</f>
        <v/>
      </c>
    </row>
    <row r="86">
      <c r="A86" s="68" t="n">
        <v>83</v>
      </c>
      <c r="B86" s="91" t="inlineStr">
        <is>
          <t>الاستثمار</t>
        </is>
      </c>
      <c r="C86" s="91">
        <f>'الاستثمار · المؤشرات'!C24</f>
        <v/>
      </c>
      <c r="D86" s="68">
        <f>'الاستثمار · المؤشرات'!X24</f>
        <v/>
      </c>
      <c r="E86" s="91">
        <f>'الاستثمار · المؤشرات'!Y24</f>
        <v/>
      </c>
      <c r="F86" s="93">
        <f>'الاستثمار · المؤشرات'!V24</f>
        <v/>
      </c>
      <c r="G86" s="68">
        <f>'الاستثمار · المؤشرات'!W24</f>
        <v/>
      </c>
      <c r="H86" s="68">
        <f>'الاستثمار · المؤشرات'!AH24</f>
        <v/>
      </c>
    </row>
    <row r="87">
      <c r="A87" s="68" t="n">
        <v>84</v>
      </c>
      <c r="B87" s="91" t="inlineStr">
        <is>
          <t>الاستثمار</t>
        </is>
      </c>
      <c r="C87" s="91">
        <f>'الاستثمار · المؤشرات'!C25</f>
        <v/>
      </c>
      <c r="D87" s="68">
        <f>'الاستثمار · المؤشرات'!X25</f>
        <v/>
      </c>
      <c r="E87" s="91">
        <f>'الاستثمار · المؤشرات'!Y25</f>
        <v/>
      </c>
      <c r="F87" s="93">
        <f>'الاستثمار · المؤشرات'!V25</f>
        <v/>
      </c>
      <c r="G87" s="68">
        <f>'الاستثمار · المؤشرات'!W25</f>
        <v/>
      </c>
      <c r="H87" s="68">
        <f>'الاستثمار · المؤشرات'!AH25</f>
        <v/>
      </c>
    </row>
    <row r="88">
      <c r="A88" s="68" t="n">
        <v>85</v>
      </c>
      <c r="B88" s="91" t="inlineStr">
        <is>
          <t>الاستثمار</t>
        </is>
      </c>
      <c r="C88" s="91">
        <f>'الاستثمار · المؤشرات'!C26</f>
        <v/>
      </c>
      <c r="D88" s="68">
        <f>'الاستثمار · المؤشرات'!X26</f>
        <v/>
      </c>
      <c r="E88" s="91">
        <f>'الاستثمار · المؤشرات'!Y26</f>
        <v/>
      </c>
      <c r="F88" s="93">
        <f>'الاستثمار · المؤشرات'!V26</f>
        <v/>
      </c>
      <c r="G88" s="68">
        <f>'الاستثمار · المؤشرات'!W26</f>
        <v/>
      </c>
      <c r="H88" s="68">
        <f>'الاستثمار · المؤشرات'!AH26</f>
        <v/>
      </c>
    </row>
    <row r="89">
      <c r="A89" s="68" t="n">
        <v>86</v>
      </c>
      <c r="B89" s="91" t="inlineStr">
        <is>
          <t>الاستثمار</t>
        </is>
      </c>
      <c r="C89" s="91">
        <f>'الاستثمار · المؤشرات'!C27</f>
        <v/>
      </c>
      <c r="D89" s="68">
        <f>'الاستثمار · المؤشرات'!X27</f>
        <v/>
      </c>
      <c r="E89" s="91">
        <f>'الاستثمار · المؤشرات'!Y27</f>
        <v/>
      </c>
      <c r="F89" s="93">
        <f>'الاستثمار · المؤشرات'!V27</f>
        <v/>
      </c>
      <c r="G89" s="68">
        <f>'الاستثمار · المؤشرات'!W27</f>
        <v/>
      </c>
      <c r="H89" s="68">
        <f>'الاستثمار · المؤشرات'!AH27</f>
        <v/>
      </c>
    </row>
    <row r="90">
      <c r="A90" s="68" t="n">
        <v>87</v>
      </c>
      <c r="B90" s="91" t="inlineStr">
        <is>
          <t>العقار</t>
        </is>
      </c>
      <c r="C90" s="91">
        <f>'العقار · المؤشرات'!C4</f>
        <v/>
      </c>
      <c r="D90" s="68">
        <f>'العقار · المؤشرات'!X4</f>
        <v/>
      </c>
      <c r="E90" s="91">
        <f>'العقار · المؤشرات'!Y4</f>
        <v/>
      </c>
      <c r="F90" s="93">
        <f>'العقار · المؤشرات'!V4</f>
        <v/>
      </c>
      <c r="G90" s="68">
        <f>'العقار · المؤشرات'!W4</f>
        <v/>
      </c>
      <c r="H90" s="68">
        <f>'العقار · المؤشرات'!AH4</f>
        <v/>
      </c>
    </row>
    <row r="91">
      <c r="A91" s="68" t="n">
        <v>88</v>
      </c>
      <c r="B91" s="91" t="inlineStr">
        <is>
          <t>العقار</t>
        </is>
      </c>
      <c r="C91" s="91">
        <f>'العقار · المؤشرات'!C5</f>
        <v/>
      </c>
      <c r="D91" s="68">
        <f>'العقار · المؤشرات'!X5</f>
        <v/>
      </c>
      <c r="E91" s="91">
        <f>'العقار · المؤشرات'!Y5</f>
        <v/>
      </c>
      <c r="F91" s="93">
        <f>'العقار · المؤشرات'!V5</f>
        <v/>
      </c>
      <c r="G91" s="68">
        <f>'العقار · المؤشرات'!W5</f>
        <v/>
      </c>
      <c r="H91" s="68">
        <f>'العقار · المؤشرات'!AH5</f>
        <v/>
      </c>
    </row>
    <row r="92">
      <c r="A92" s="68" t="n">
        <v>89</v>
      </c>
      <c r="B92" s="91" t="inlineStr">
        <is>
          <t>العقار</t>
        </is>
      </c>
      <c r="C92" s="91">
        <f>'العقار · المؤشرات'!C6</f>
        <v/>
      </c>
      <c r="D92" s="68">
        <f>'العقار · المؤشرات'!X6</f>
        <v/>
      </c>
      <c r="E92" s="91">
        <f>'العقار · المؤشرات'!Y6</f>
        <v/>
      </c>
      <c r="F92" s="93">
        <f>'العقار · المؤشرات'!V6</f>
        <v/>
      </c>
      <c r="G92" s="68">
        <f>'العقار · المؤشرات'!W6</f>
        <v/>
      </c>
      <c r="H92" s="68">
        <f>'العقار · المؤشرات'!AH6</f>
        <v/>
      </c>
    </row>
    <row r="93">
      <c r="A93" s="68" t="n">
        <v>90</v>
      </c>
      <c r="B93" s="91" t="inlineStr">
        <is>
          <t>العقار</t>
        </is>
      </c>
      <c r="C93" s="91">
        <f>'العقار · المؤشرات'!C7</f>
        <v/>
      </c>
      <c r="D93" s="68">
        <f>'العقار · المؤشرات'!X7</f>
        <v/>
      </c>
      <c r="E93" s="91">
        <f>'العقار · المؤشرات'!Y7</f>
        <v/>
      </c>
      <c r="F93" s="93">
        <f>'العقار · المؤشرات'!V7</f>
        <v/>
      </c>
      <c r="G93" s="68">
        <f>'العقار · المؤشرات'!W7</f>
        <v/>
      </c>
      <c r="H93" s="68">
        <f>'العقار · المؤشرات'!AH7</f>
        <v/>
      </c>
    </row>
    <row r="94">
      <c r="A94" s="68" t="n">
        <v>91</v>
      </c>
      <c r="B94" s="91" t="inlineStr">
        <is>
          <t>العقار</t>
        </is>
      </c>
      <c r="C94" s="91">
        <f>'العقار · المؤشرات'!C8</f>
        <v/>
      </c>
      <c r="D94" s="68">
        <f>'العقار · المؤشرات'!X8</f>
        <v/>
      </c>
      <c r="E94" s="91">
        <f>'العقار · المؤشرات'!Y8</f>
        <v/>
      </c>
      <c r="F94" s="93">
        <f>'العقار · المؤشرات'!V8</f>
        <v/>
      </c>
      <c r="G94" s="68">
        <f>'العقار · المؤشرات'!W8</f>
        <v/>
      </c>
      <c r="H94" s="68">
        <f>'العقار · المؤشرات'!AH8</f>
        <v/>
      </c>
    </row>
    <row r="95">
      <c r="A95" s="68" t="n">
        <v>92</v>
      </c>
      <c r="B95" s="91" t="inlineStr">
        <is>
          <t>العقار</t>
        </is>
      </c>
      <c r="C95" s="91">
        <f>'العقار · المؤشرات'!C9</f>
        <v/>
      </c>
      <c r="D95" s="68">
        <f>'العقار · المؤشرات'!X9</f>
        <v/>
      </c>
      <c r="E95" s="91">
        <f>'العقار · المؤشرات'!Y9</f>
        <v/>
      </c>
      <c r="F95" s="93">
        <f>'العقار · المؤشرات'!V9</f>
        <v/>
      </c>
      <c r="G95" s="68">
        <f>'العقار · المؤشرات'!W9</f>
        <v/>
      </c>
      <c r="H95" s="68">
        <f>'العقار · المؤشرات'!AH9</f>
        <v/>
      </c>
    </row>
    <row r="96">
      <c r="A96" s="68" t="n">
        <v>93</v>
      </c>
      <c r="B96" s="91" t="inlineStr">
        <is>
          <t>العقار</t>
        </is>
      </c>
      <c r="C96" s="91">
        <f>'العقار · المؤشرات'!C10</f>
        <v/>
      </c>
      <c r="D96" s="68">
        <f>'العقار · المؤشرات'!X10</f>
        <v/>
      </c>
      <c r="E96" s="91">
        <f>'العقار · المؤشرات'!Y10</f>
        <v/>
      </c>
      <c r="F96" s="93">
        <f>'العقار · المؤشرات'!V10</f>
        <v/>
      </c>
      <c r="G96" s="68">
        <f>'العقار · المؤشرات'!W10</f>
        <v/>
      </c>
      <c r="H96" s="68">
        <f>'العقار · المؤشرات'!AH10</f>
        <v/>
      </c>
    </row>
    <row r="97">
      <c r="A97" s="68" t="n">
        <v>94</v>
      </c>
      <c r="B97" s="91" t="inlineStr">
        <is>
          <t>العقار</t>
        </is>
      </c>
      <c r="C97" s="91">
        <f>'العقار · المؤشرات'!C11</f>
        <v/>
      </c>
      <c r="D97" s="68">
        <f>'العقار · المؤشرات'!X11</f>
        <v/>
      </c>
      <c r="E97" s="91">
        <f>'العقار · المؤشرات'!Y11</f>
        <v/>
      </c>
      <c r="F97" s="93">
        <f>'العقار · المؤشرات'!V11</f>
        <v/>
      </c>
      <c r="G97" s="68">
        <f>'العقار · المؤشرات'!W11</f>
        <v/>
      </c>
      <c r="H97" s="68">
        <f>'العقار · المؤشرات'!AH11</f>
        <v/>
      </c>
    </row>
    <row r="98">
      <c r="A98" s="68" t="n">
        <v>95</v>
      </c>
      <c r="B98" s="91" t="inlineStr">
        <is>
          <t>العقار</t>
        </is>
      </c>
      <c r="C98" s="91">
        <f>'العقار · المؤشرات'!C12</f>
        <v/>
      </c>
      <c r="D98" s="68">
        <f>'العقار · المؤشرات'!X12</f>
        <v/>
      </c>
      <c r="E98" s="91">
        <f>'العقار · المؤشرات'!Y12</f>
        <v/>
      </c>
      <c r="F98" s="93">
        <f>'العقار · المؤشرات'!V12</f>
        <v/>
      </c>
      <c r="G98" s="68">
        <f>'العقار · المؤشرات'!W12</f>
        <v/>
      </c>
      <c r="H98" s="68">
        <f>'العقار · المؤشرات'!AH12</f>
        <v/>
      </c>
    </row>
    <row r="99">
      <c r="A99" s="68" t="n">
        <v>96</v>
      </c>
      <c r="B99" s="91" t="inlineStr">
        <is>
          <t>العقار</t>
        </is>
      </c>
      <c r="C99" s="91">
        <f>'العقار · المؤشرات'!C13</f>
        <v/>
      </c>
      <c r="D99" s="68">
        <f>'العقار · المؤشرات'!X13</f>
        <v/>
      </c>
      <c r="E99" s="91">
        <f>'العقار · المؤشرات'!Y13</f>
        <v/>
      </c>
      <c r="F99" s="93">
        <f>'العقار · المؤشرات'!V13</f>
        <v/>
      </c>
      <c r="G99" s="68">
        <f>'العقار · المؤشرات'!W13</f>
        <v/>
      </c>
      <c r="H99" s="68">
        <f>'العقار · المؤشرات'!AH13</f>
        <v/>
      </c>
    </row>
    <row r="100">
      <c r="A100" s="68" t="n">
        <v>97</v>
      </c>
      <c r="B100" s="91" t="inlineStr">
        <is>
          <t>العقار</t>
        </is>
      </c>
      <c r="C100" s="91">
        <f>'العقار · المؤشرات'!C14</f>
        <v/>
      </c>
      <c r="D100" s="68">
        <f>'العقار · المؤشرات'!X14</f>
        <v/>
      </c>
      <c r="E100" s="91">
        <f>'العقار · المؤشرات'!Y14</f>
        <v/>
      </c>
      <c r="F100" s="93">
        <f>'العقار · المؤشرات'!V14</f>
        <v/>
      </c>
      <c r="G100" s="68">
        <f>'العقار · المؤشرات'!W14</f>
        <v/>
      </c>
      <c r="H100" s="68">
        <f>'العقار · المؤشرات'!AH14</f>
        <v/>
      </c>
    </row>
    <row r="101">
      <c r="A101" s="68" t="n">
        <v>98</v>
      </c>
      <c r="B101" s="91" t="inlineStr">
        <is>
          <t>العقار</t>
        </is>
      </c>
      <c r="C101" s="91">
        <f>'العقار · المؤشرات'!C15</f>
        <v/>
      </c>
      <c r="D101" s="68">
        <f>'العقار · المؤشرات'!X15</f>
        <v/>
      </c>
      <c r="E101" s="91">
        <f>'العقار · المؤشرات'!Y15</f>
        <v/>
      </c>
      <c r="F101" s="93">
        <f>'العقار · المؤشرات'!V15</f>
        <v/>
      </c>
      <c r="G101" s="68">
        <f>'العقار · المؤشرات'!W15</f>
        <v/>
      </c>
      <c r="H101" s="68">
        <f>'العقار · المؤشرات'!AH15</f>
        <v/>
      </c>
    </row>
    <row r="102">
      <c r="A102" s="68" t="n">
        <v>99</v>
      </c>
      <c r="B102" s="91" t="inlineStr">
        <is>
          <t>العقار</t>
        </is>
      </c>
      <c r="C102" s="91">
        <f>'العقار · المؤشرات'!C16</f>
        <v/>
      </c>
      <c r="D102" s="68">
        <f>'العقار · المؤشرات'!X16</f>
        <v/>
      </c>
      <c r="E102" s="91">
        <f>'العقار · المؤشرات'!Y16</f>
        <v/>
      </c>
      <c r="F102" s="93">
        <f>'العقار · المؤشرات'!V16</f>
        <v/>
      </c>
      <c r="G102" s="68">
        <f>'العقار · المؤشرات'!W16</f>
        <v/>
      </c>
      <c r="H102" s="68">
        <f>'العقار · المؤشرات'!AH16</f>
        <v/>
      </c>
    </row>
    <row r="103">
      <c r="A103" s="68" t="n">
        <v>100</v>
      </c>
      <c r="B103" s="91" t="inlineStr">
        <is>
          <t>العقار</t>
        </is>
      </c>
      <c r="C103" s="91">
        <f>'العقار · المؤشرات'!C17</f>
        <v/>
      </c>
      <c r="D103" s="68">
        <f>'العقار · المؤشرات'!X17</f>
        <v/>
      </c>
      <c r="E103" s="91">
        <f>'العقار · المؤشرات'!Y17</f>
        <v/>
      </c>
      <c r="F103" s="93">
        <f>'العقار · المؤشرات'!V17</f>
        <v/>
      </c>
      <c r="G103" s="68">
        <f>'العقار · المؤشرات'!W17</f>
        <v/>
      </c>
      <c r="H103" s="68">
        <f>'العقار · المؤشرات'!AH17</f>
        <v/>
      </c>
    </row>
    <row r="104">
      <c r="A104" s="68" t="n">
        <v>101</v>
      </c>
      <c r="B104" s="91" t="inlineStr">
        <is>
          <t>العقار</t>
        </is>
      </c>
      <c r="C104" s="91">
        <f>'العقار · المؤشرات'!C18</f>
        <v/>
      </c>
      <c r="D104" s="68">
        <f>'العقار · المؤشرات'!X18</f>
        <v/>
      </c>
      <c r="E104" s="91">
        <f>'العقار · المؤشرات'!Y18</f>
        <v/>
      </c>
      <c r="F104" s="93">
        <f>'العقار · المؤشرات'!V18</f>
        <v/>
      </c>
      <c r="G104" s="68">
        <f>'العقار · المؤشرات'!W18</f>
        <v/>
      </c>
      <c r="H104" s="68">
        <f>'العقار · المؤشرات'!AH18</f>
        <v/>
      </c>
    </row>
    <row r="105">
      <c r="A105" s="68" t="n">
        <v>102</v>
      </c>
      <c r="B105" s="91" t="inlineStr">
        <is>
          <t>العقار</t>
        </is>
      </c>
      <c r="C105" s="91">
        <f>'العقار · المؤشرات'!C19</f>
        <v/>
      </c>
      <c r="D105" s="68">
        <f>'العقار · المؤشرات'!X19</f>
        <v/>
      </c>
      <c r="E105" s="91">
        <f>'العقار · المؤشرات'!Y19</f>
        <v/>
      </c>
      <c r="F105" s="93">
        <f>'العقار · المؤشرات'!V19</f>
        <v/>
      </c>
      <c r="G105" s="68">
        <f>'العقار · المؤشرات'!W19</f>
        <v/>
      </c>
      <c r="H105" s="68">
        <f>'العقار · المؤشرات'!AH19</f>
        <v/>
      </c>
    </row>
    <row r="106">
      <c r="A106" s="68" t="n">
        <v>103</v>
      </c>
      <c r="B106" s="91" t="inlineStr">
        <is>
          <t>التقنية الرقمية</t>
        </is>
      </c>
      <c r="C106" s="91">
        <f>'التقنية الرقمية · المؤشرات'!C4</f>
        <v/>
      </c>
      <c r="D106" s="68">
        <f>'التقنية الرقمية · المؤشرات'!X4</f>
        <v/>
      </c>
      <c r="E106" s="91">
        <f>'التقنية الرقمية · المؤشرات'!Y4</f>
        <v/>
      </c>
      <c r="F106" s="93">
        <f>'التقنية الرقمية · المؤشرات'!V4</f>
        <v/>
      </c>
      <c r="G106" s="68">
        <f>'التقنية الرقمية · المؤشرات'!W4</f>
        <v/>
      </c>
      <c r="H106" s="68">
        <f>'التقنية الرقمية · المؤشرات'!AH4</f>
        <v/>
      </c>
    </row>
    <row r="107">
      <c r="A107" s="68" t="n">
        <v>104</v>
      </c>
      <c r="B107" s="91" t="inlineStr">
        <is>
          <t>التقنية الرقمية</t>
        </is>
      </c>
      <c r="C107" s="91">
        <f>'التقنية الرقمية · المؤشرات'!C5</f>
        <v/>
      </c>
      <c r="D107" s="68">
        <f>'التقنية الرقمية · المؤشرات'!X5</f>
        <v/>
      </c>
      <c r="E107" s="91">
        <f>'التقنية الرقمية · المؤشرات'!Y5</f>
        <v/>
      </c>
      <c r="F107" s="93">
        <f>'التقنية الرقمية · المؤشرات'!V5</f>
        <v/>
      </c>
      <c r="G107" s="68">
        <f>'التقنية الرقمية · المؤشرات'!W5</f>
        <v/>
      </c>
      <c r="H107" s="68">
        <f>'التقنية الرقمية · المؤشرات'!AH5</f>
        <v/>
      </c>
    </row>
    <row r="108">
      <c r="A108" s="68" t="n">
        <v>105</v>
      </c>
      <c r="B108" s="91" t="inlineStr">
        <is>
          <t>التقنية الرقمية</t>
        </is>
      </c>
      <c r="C108" s="91">
        <f>'التقنية الرقمية · المؤشرات'!C6</f>
        <v/>
      </c>
      <c r="D108" s="68">
        <f>'التقنية الرقمية · المؤشرات'!X6</f>
        <v/>
      </c>
      <c r="E108" s="91">
        <f>'التقنية الرقمية · المؤشرات'!Y6</f>
        <v/>
      </c>
      <c r="F108" s="93">
        <f>'التقنية الرقمية · المؤشرات'!V6</f>
        <v/>
      </c>
      <c r="G108" s="68">
        <f>'التقنية الرقمية · المؤشرات'!W6</f>
        <v/>
      </c>
      <c r="H108" s="68">
        <f>'التقنية الرقمية · المؤشرات'!AH6</f>
        <v/>
      </c>
    </row>
    <row r="109">
      <c r="A109" s="68" t="n">
        <v>106</v>
      </c>
      <c r="B109" s="91" t="inlineStr">
        <is>
          <t>التقنية الرقمية</t>
        </is>
      </c>
      <c r="C109" s="91">
        <f>'التقنية الرقمية · المؤشرات'!C7</f>
        <v/>
      </c>
      <c r="D109" s="68">
        <f>'التقنية الرقمية · المؤشرات'!X7</f>
        <v/>
      </c>
      <c r="E109" s="91">
        <f>'التقنية الرقمية · المؤشرات'!Y7</f>
        <v/>
      </c>
      <c r="F109" s="93">
        <f>'التقنية الرقمية · المؤشرات'!V7</f>
        <v/>
      </c>
      <c r="G109" s="68">
        <f>'التقنية الرقمية · المؤشرات'!W7</f>
        <v/>
      </c>
      <c r="H109" s="68">
        <f>'التقنية الرقمية · المؤشرات'!AH7</f>
        <v/>
      </c>
    </row>
    <row r="110">
      <c r="A110" s="68" t="n">
        <v>107</v>
      </c>
      <c r="B110" s="91" t="inlineStr">
        <is>
          <t>التقنية الرقمية</t>
        </is>
      </c>
      <c r="C110" s="91">
        <f>'التقنية الرقمية · المؤشرات'!C8</f>
        <v/>
      </c>
      <c r="D110" s="68">
        <f>'التقنية الرقمية · المؤشرات'!X8</f>
        <v/>
      </c>
      <c r="E110" s="91">
        <f>'التقنية الرقمية · المؤشرات'!Y8</f>
        <v/>
      </c>
      <c r="F110" s="93">
        <f>'التقنية الرقمية · المؤشرات'!V8</f>
        <v/>
      </c>
      <c r="G110" s="68">
        <f>'التقنية الرقمية · المؤشرات'!W8</f>
        <v/>
      </c>
      <c r="H110" s="68">
        <f>'التقنية الرقمية · المؤشرات'!AH8</f>
        <v/>
      </c>
    </row>
    <row r="111">
      <c r="A111" s="68" t="n">
        <v>108</v>
      </c>
      <c r="B111" s="91" t="inlineStr">
        <is>
          <t>التقنية الرقمية</t>
        </is>
      </c>
      <c r="C111" s="91">
        <f>'التقنية الرقمية · المؤشرات'!C9</f>
        <v/>
      </c>
      <c r="D111" s="68">
        <f>'التقنية الرقمية · المؤشرات'!X9</f>
        <v/>
      </c>
      <c r="E111" s="91">
        <f>'التقنية الرقمية · المؤشرات'!Y9</f>
        <v/>
      </c>
      <c r="F111" s="93">
        <f>'التقنية الرقمية · المؤشرات'!V9</f>
        <v/>
      </c>
      <c r="G111" s="68">
        <f>'التقنية الرقمية · المؤشرات'!W9</f>
        <v/>
      </c>
      <c r="H111" s="68">
        <f>'التقنية الرقمية · المؤشرات'!AH9</f>
        <v/>
      </c>
    </row>
    <row r="112">
      <c r="A112" s="68" t="n">
        <v>109</v>
      </c>
      <c r="B112" s="91" t="inlineStr">
        <is>
          <t>التقنية الرقمية</t>
        </is>
      </c>
      <c r="C112" s="91">
        <f>'التقنية الرقمية · المؤشرات'!C10</f>
        <v/>
      </c>
      <c r="D112" s="68">
        <f>'التقنية الرقمية · المؤشرات'!X10</f>
        <v/>
      </c>
      <c r="E112" s="91">
        <f>'التقنية الرقمية · المؤشرات'!Y10</f>
        <v/>
      </c>
      <c r="F112" s="93">
        <f>'التقنية الرقمية · المؤشرات'!V10</f>
        <v/>
      </c>
      <c r="G112" s="68">
        <f>'التقنية الرقمية · المؤشرات'!W10</f>
        <v/>
      </c>
      <c r="H112" s="68">
        <f>'التقنية الرقمية · المؤشرات'!AH10</f>
        <v/>
      </c>
    </row>
    <row r="113">
      <c r="A113" s="68" t="n">
        <v>110</v>
      </c>
      <c r="B113" s="91" t="inlineStr">
        <is>
          <t>التقنية الرقمية</t>
        </is>
      </c>
      <c r="C113" s="91">
        <f>'التقنية الرقمية · المؤشرات'!C11</f>
        <v/>
      </c>
      <c r="D113" s="68">
        <f>'التقنية الرقمية · المؤشرات'!X11</f>
        <v/>
      </c>
      <c r="E113" s="91">
        <f>'التقنية الرقمية · المؤشرات'!Y11</f>
        <v/>
      </c>
      <c r="F113" s="93">
        <f>'التقنية الرقمية · المؤشرات'!V11</f>
        <v/>
      </c>
      <c r="G113" s="68">
        <f>'التقنية الرقمية · المؤشرات'!W11</f>
        <v/>
      </c>
      <c r="H113" s="68">
        <f>'التقنية الرقمية · المؤشرات'!AH11</f>
        <v/>
      </c>
    </row>
    <row r="114">
      <c r="A114" s="68" t="n">
        <v>111</v>
      </c>
      <c r="B114" s="91" t="inlineStr">
        <is>
          <t>الموارد البشرية</t>
        </is>
      </c>
      <c r="C114" s="91">
        <f>'الموارد البشرية · المؤشرات'!C4</f>
        <v/>
      </c>
      <c r="D114" s="68">
        <f>'الموارد البشرية · المؤشرات'!X4</f>
        <v/>
      </c>
      <c r="E114" s="91">
        <f>'الموارد البشرية · المؤشرات'!Y4</f>
        <v/>
      </c>
      <c r="F114" s="93">
        <f>'الموارد البشرية · المؤشرات'!V4</f>
        <v/>
      </c>
      <c r="G114" s="68">
        <f>'الموارد البشرية · المؤشرات'!W4</f>
        <v/>
      </c>
      <c r="H114" s="68">
        <f>'الموارد البشرية · المؤشرات'!AH4</f>
        <v/>
      </c>
    </row>
    <row r="115">
      <c r="A115" s="68" t="n">
        <v>112</v>
      </c>
      <c r="B115" s="91" t="inlineStr">
        <is>
          <t>الموارد البشرية</t>
        </is>
      </c>
      <c r="C115" s="91">
        <f>'الموارد البشرية · المؤشرات'!C5</f>
        <v/>
      </c>
      <c r="D115" s="68">
        <f>'الموارد البشرية · المؤشرات'!X5</f>
        <v/>
      </c>
      <c r="E115" s="91">
        <f>'الموارد البشرية · المؤشرات'!Y5</f>
        <v/>
      </c>
      <c r="F115" s="93">
        <f>'الموارد البشرية · المؤشرات'!V5</f>
        <v/>
      </c>
      <c r="G115" s="68">
        <f>'الموارد البشرية · المؤشرات'!W5</f>
        <v/>
      </c>
      <c r="H115" s="68">
        <f>'الموارد البشرية · المؤشرات'!AH5</f>
        <v/>
      </c>
    </row>
    <row r="116">
      <c r="A116" s="68" t="n">
        <v>113</v>
      </c>
      <c r="B116" s="91" t="inlineStr">
        <is>
          <t>الموارد البشرية</t>
        </is>
      </c>
      <c r="C116" s="91">
        <f>'الموارد البشرية · المؤشرات'!C6</f>
        <v/>
      </c>
      <c r="D116" s="68">
        <f>'الموارد البشرية · المؤشرات'!X6</f>
        <v/>
      </c>
      <c r="E116" s="91">
        <f>'الموارد البشرية · المؤشرات'!Y6</f>
        <v/>
      </c>
      <c r="F116" s="93">
        <f>'الموارد البشرية · المؤشرات'!V6</f>
        <v/>
      </c>
      <c r="G116" s="68">
        <f>'الموارد البشرية · المؤشرات'!W6</f>
        <v/>
      </c>
      <c r="H116" s="68">
        <f>'الموارد البشرية · المؤشرات'!AH6</f>
        <v/>
      </c>
    </row>
    <row r="117">
      <c r="A117" s="68" t="n">
        <v>114</v>
      </c>
      <c r="B117" s="91" t="inlineStr">
        <is>
          <t>الموارد البشرية</t>
        </is>
      </c>
      <c r="C117" s="91">
        <f>'الموارد البشرية · المؤشرات'!C7</f>
        <v/>
      </c>
      <c r="D117" s="68">
        <f>'الموارد البشرية · المؤشرات'!X7</f>
        <v/>
      </c>
      <c r="E117" s="91">
        <f>'الموارد البشرية · المؤشرات'!Y7</f>
        <v/>
      </c>
      <c r="F117" s="93">
        <f>'الموارد البشرية · المؤشرات'!V7</f>
        <v/>
      </c>
      <c r="G117" s="68">
        <f>'الموارد البشرية · المؤشرات'!W7</f>
        <v/>
      </c>
      <c r="H117" s="68">
        <f>'الموارد البشرية · المؤشرات'!AH7</f>
        <v/>
      </c>
    </row>
    <row r="118">
      <c r="A118" s="68" t="n">
        <v>115</v>
      </c>
      <c r="B118" s="91" t="inlineStr">
        <is>
          <t>الموارد البشرية</t>
        </is>
      </c>
      <c r="C118" s="91">
        <f>'الموارد البشرية · المؤشرات'!C8</f>
        <v/>
      </c>
      <c r="D118" s="68">
        <f>'الموارد البشرية · المؤشرات'!X8</f>
        <v/>
      </c>
      <c r="E118" s="91">
        <f>'الموارد البشرية · المؤشرات'!Y8</f>
        <v/>
      </c>
      <c r="F118" s="93">
        <f>'الموارد البشرية · المؤشرات'!V8</f>
        <v/>
      </c>
      <c r="G118" s="68">
        <f>'الموارد البشرية · المؤشرات'!W8</f>
        <v/>
      </c>
      <c r="H118" s="68">
        <f>'الموارد البشرية · المؤشرات'!AH8</f>
        <v/>
      </c>
    </row>
    <row r="119">
      <c r="A119" s="68" t="n">
        <v>116</v>
      </c>
      <c r="B119" s="91" t="inlineStr">
        <is>
          <t>الموارد البشرية</t>
        </is>
      </c>
      <c r="C119" s="91">
        <f>'الموارد البشرية · المؤشرات'!C9</f>
        <v/>
      </c>
      <c r="D119" s="68">
        <f>'الموارد البشرية · المؤشرات'!X9</f>
        <v/>
      </c>
      <c r="E119" s="91">
        <f>'الموارد البشرية · المؤشرات'!Y9</f>
        <v/>
      </c>
      <c r="F119" s="93">
        <f>'الموارد البشرية · المؤشرات'!V9</f>
        <v/>
      </c>
      <c r="G119" s="68">
        <f>'الموارد البشرية · المؤشرات'!W9</f>
        <v/>
      </c>
      <c r="H119" s="68">
        <f>'الموارد البشرية · المؤشرات'!AH9</f>
        <v/>
      </c>
    </row>
    <row r="120">
      <c r="A120" s="68" t="n">
        <v>117</v>
      </c>
      <c r="B120" s="91" t="inlineStr">
        <is>
          <t>الموارد البشرية</t>
        </is>
      </c>
      <c r="C120" s="91">
        <f>'الموارد البشرية · المؤشرات'!C10</f>
        <v/>
      </c>
      <c r="D120" s="68">
        <f>'الموارد البشرية · المؤشرات'!X10</f>
        <v/>
      </c>
      <c r="E120" s="91">
        <f>'الموارد البشرية · المؤشرات'!Y10</f>
        <v/>
      </c>
      <c r="F120" s="93">
        <f>'الموارد البشرية · المؤشرات'!V10</f>
        <v/>
      </c>
      <c r="G120" s="68">
        <f>'الموارد البشرية · المؤشرات'!W10</f>
        <v/>
      </c>
      <c r="H120" s="68">
        <f>'الموارد البشرية · المؤشرات'!AH10</f>
        <v/>
      </c>
    </row>
    <row r="121">
      <c r="A121" s="68" t="n">
        <v>118</v>
      </c>
      <c r="B121" s="91" t="inlineStr">
        <is>
          <t>الموارد البشرية</t>
        </is>
      </c>
      <c r="C121" s="91">
        <f>'الموارد البشرية · المؤشرات'!C11</f>
        <v/>
      </c>
      <c r="D121" s="68">
        <f>'الموارد البشرية · المؤشرات'!X11</f>
        <v/>
      </c>
      <c r="E121" s="91">
        <f>'الموارد البشرية · المؤشرات'!Y11</f>
        <v/>
      </c>
      <c r="F121" s="93">
        <f>'الموارد البشرية · المؤشرات'!V11</f>
        <v/>
      </c>
      <c r="G121" s="68">
        <f>'الموارد البشرية · المؤشرات'!W11</f>
        <v/>
      </c>
      <c r="H121" s="68">
        <f>'الموارد البشرية · المؤشرات'!AH11</f>
        <v/>
      </c>
    </row>
    <row r="122">
      <c r="A122" s="68" t="n">
        <v>119</v>
      </c>
      <c r="B122" s="91" t="inlineStr">
        <is>
          <t>التسويق</t>
        </is>
      </c>
      <c r="C122" s="91">
        <f>'التسويق · المؤشرات'!C4</f>
        <v/>
      </c>
      <c r="D122" s="68">
        <f>'التسويق · المؤشرات'!X4</f>
        <v/>
      </c>
      <c r="E122" s="91">
        <f>'التسويق · المؤشرات'!Y4</f>
        <v/>
      </c>
      <c r="F122" s="93">
        <f>'التسويق · المؤشرات'!V4</f>
        <v/>
      </c>
      <c r="G122" s="68">
        <f>'التسويق · المؤشرات'!W4</f>
        <v/>
      </c>
      <c r="H122" s="68">
        <f>'التسويق · المؤشرات'!AH4</f>
        <v/>
      </c>
    </row>
    <row r="123">
      <c r="A123" s="68" t="n">
        <v>120</v>
      </c>
      <c r="B123" s="91" t="inlineStr">
        <is>
          <t>التسويق</t>
        </is>
      </c>
      <c r="C123" s="91">
        <f>'التسويق · المؤشرات'!C5</f>
        <v/>
      </c>
      <c r="D123" s="68">
        <f>'التسويق · المؤشرات'!X5</f>
        <v/>
      </c>
      <c r="E123" s="91">
        <f>'التسويق · المؤشرات'!Y5</f>
        <v/>
      </c>
      <c r="F123" s="93">
        <f>'التسويق · المؤشرات'!V5</f>
        <v/>
      </c>
      <c r="G123" s="68">
        <f>'التسويق · المؤشرات'!W5</f>
        <v/>
      </c>
      <c r="H123" s="68">
        <f>'التسويق · المؤشرات'!AH5</f>
        <v/>
      </c>
    </row>
    <row r="124">
      <c r="A124" s="68" t="n">
        <v>121</v>
      </c>
      <c r="B124" s="91" t="inlineStr">
        <is>
          <t>التسويق</t>
        </is>
      </c>
      <c r="C124" s="91">
        <f>'التسويق · المؤشرات'!C6</f>
        <v/>
      </c>
      <c r="D124" s="68">
        <f>'التسويق · المؤشرات'!X6</f>
        <v/>
      </c>
      <c r="E124" s="91">
        <f>'التسويق · المؤشرات'!Y6</f>
        <v/>
      </c>
      <c r="F124" s="93">
        <f>'التسويق · المؤشرات'!V6</f>
        <v/>
      </c>
      <c r="G124" s="68">
        <f>'التسويق · المؤشرات'!W6</f>
        <v/>
      </c>
      <c r="H124" s="68">
        <f>'التسويق · المؤشرات'!AH6</f>
        <v/>
      </c>
    </row>
    <row r="125">
      <c r="A125" s="68" t="n">
        <v>122</v>
      </c>
      <c r="B125" s="91" t="inlineStr">
        <is>
          <t>التسويق</t>
        </is>
      </c>
      <c r="C125" s="91">
        <f>'التسويق · المؤشرات'!C7</f>
        <v/>
      </c>
      <c r="D125" s="68">
        <f>'التسويق · المؤشرات'!X7</f>
        <v/>
      </c>
      <c r="E125" s="91">
        <f>'التسويق · المؤشرات'!Y7</f>
        <v/>
      </c>
      <c r="F125" s="93">
        <f>'التسويق · المؤشرات'!V7</f>
        <v/>
      </c>
      <c r="G125" s="68">
        <f>'التسويق · المؤشرات'!W7</f>
        <v/>
      </c>
      <c r="H125" s="68">
        <f>'التسويق · المؤشرات'!AH7</f>
        <v/>
      </c>
    </row>
    <row r="126">
      <c r="A126" s="68" t="n">
        <v>123</v>
      </c>
      <c r="B126" s="91" t="inlineStr">
        <is>
          <t>التسويق</t>
        </is>
      </c>
      <c r="C126" s="91">
        <f>'التسويق · المؤشرات'!C8</f>
        <v/>
      </c>
      <c r="D126" s="68">
        <f>'التسويق · المؤشرات'!X8</f>
        <v/>
      </c>
      <c r="E126" s="91">
        <f>'التسويق · المؤشرات'!Y8</f>
        <v/>
      </c>
      <c r="F126" s="93">
        <f>'التسويق · المؤشرات'!V8</f>
        <v/>
      </c>
      <c r="G126" s="68">
        <f>'التسويق · المؤشرات'!W8</f>
        <v/>
      </c>
      <c r="H126" s="68">
        <f>'التسويق · المؤشرات'!AH8</f>
        <v/>
      </c>
    </row>
    <row r="127">
      <c r="A127" s="68" t="n">
        <v>124</v>
      </c>
      <c r="B127" s="91" t="inlineStr">
        <is>
          <t>التسويق</t>
        </is>
      </c>
      <c r="C127" s="91">
        <f>'التسويق · المؤشرات'!C9</f>
        <v/>
      </c>
      <c r="D127" s="68">
        <f>'التسويق · المؤشرات'!X9</f>
        <v/>
      </c>
      <c r="E127" s="91">
        <f>'التسويق · المؤشرات'!Y9</f>
        <v/>
      </c>
      <c r="F127" s="93">
        <f>'التسويق · المؤشرات'!V9</f>
        <v/>
      </c>
      <c r="G127" s="68">
        <f>'التسويق · المؤشرات'!W9</f>
        <v/>
      </c>
      <c r="H127" s="68">
        <f>'التسويق · المؤشرات'!AH9</f>
        <v/>
      </c>
    </row>
    <row r="128">
      <c r="A128" s="68" t="n">
        <v>125</v>
      </c>
      <c r="B128" s="91" t="inlineStr">
        <is>
          <t>التسويق</t>
        </is>
      </c>
      <c r="C128" s="91">
        <f>'التسويق · المؤشرات'!C10</f>
        <v/>
      </c>
      <c r="D128" s="68">
        <f>'التسويق · المؤشرات'!X10</f>
        <v/>
      </c>
      <c r="E128" s="91">
        <f>'التسويق · المؤشرات'!Y10</f>
        <v/>
      </c>
      <c r="F128" s="93">
        <f>'التسويق · المؤشرات'!V10</f>
        <v/>
      </c>
      <c r="G128" s="68">
        <f>'التسويق · المؤشرات'!W10</f>
        <v/>
      </c>
      <c r="H128" s="68">
        <f>'التسويق · المؤشرات'!AH10</f>
        <v/>
      </c>
    </row>
    <row r="129">
      <c r="A129" s="68" t="n">
        <v>126</v>
      </c>
      <c r="B129" s="91" t="inlineStr">
        <is>
          <t>التسويق</t>
        </is>
      </c>
      <c r="C129" s="91">
        <f>'التسويق · المؤشرات'!C11</f>
        <v/>
      </c>
      <c r="D129" s="68">
        <f>'التسويق · المؤشرات'!X11</f>
        <v/>
      </c>
      <c r="E129" s="91">
        <f>'التسويق · المؤشرات'!Y11</f>
        <v/>
      </c>
      <c r="F129" s="93">
        <f>'التسويق · المؤشرات'!V11</f>
        <v/>
      </c>
      <c r="G129" s="68">
        <f>'التسويق · المؤشرات'!W11</f>
        <v/>
      </c>
      <c r="H129" s="68">
        <f>'التسويق · المؤشرات'!AH11</f>
        <v/>
      </c>
    </row>
    <row r="130">
      <c r="A130" s="68" t="n">
        <v>127</v>
      </c>
      <c r="B130" s="91" t="inlineStr">
        <is>
          <t>التسويق</t>
        </is>
      </c>
      <c r="C130" s="91">
        <f>'التسويق · المؤشرات'!C12</f>
        <v/>
      </c>
      <c r="D130" s="68">
        <f>'التسويق · المؤشرات'!X12</f>
        <v/>
      </c>
      <c r="E130" s="91">
        <f>'التسويق · المؤشرات'!Y12</f>
        <v/>
      </c>
      <c r="F130" s="93">
        <f>'التسويق · المؤشرات'!V12</f>
        <v/>
      </c>
      <c r="G130" s="68">
        <f>'التسويق · المؤشرات'!W12</f>
        <v/>
      </c>
      <c r="H130" s="68">
        <f>'التسويق · المؤشرات'!AH12</f>
        <v/>
      </c>
    </row>
    <row r="131">
      <c r="A131" s="68" t="n">
        <v>128</v>
      </c>
      <c r="B131" s="91" t="inlineStr">
        <is>
          <t>التسويق</t>
        </is>
      </c>
      <c r="C131" s="91">
        <f>'التسويق · المؤشرات'!C13</f>
        <v/>
      </c>
      <c r="D131" s="68">
        <f>'التسويق · المؤشرات'!X13</f>
        <v/>
      </c>
      <c r="E131" s="91">
        <f>'التسويق · المؤشرات'!Y13</f>
        <v/>
      </c>
      <c r="F131" s="93">
        <f>'التسويق · المؤشرات'!V13</f>
        <v/>
      </c>
      <c r="G131" s="68">
        <f>'التسويق · المؤشرات'!W13</f>
        <v/>
      </c>
      <c r="H131" s="68">
        <f>'التسويق · المؤشرات'!AH13</f>
        <v/>
      </c>
    </row>
    <row r="132">
      <c r="A132" s="68" t="n">
        <v>129</v>
      </c>
      <c r="B132" s="91" t="inlineStr">
        <is>
          <t>التسويق</t>
        </is>
      </c>
      <c r="C132" s="91">
        <f>'التسويق · المؤشرات'!C14</f>
        <v/>
      </c>
      <c r="D132" s="68">
        <f>'التسويق · المؤشرات'!X14</f>
        <v/>
      </c>
      <c r="E132" s="91">
        <f>'التسويق · المؤشرات'!Y14</f>
        <v/>
      </c>
      <c r="F132" s="93">
        <f>'التسويق · المؤشرات'!V14</f>
        <v/>
      </c>
      <c r="G132" s="68">
        <f>'التسويق · المؤشرات'!W14</f>
        <v/>
      </c>
      <c r="H132" s="68">
        <f>'التسويق · المؤشرات'!AH14</f>
        <v/>
      </c>
    </row>
    <row r="133">
      <c r="A133" s="68" t="n">
        <v>130</v>
      </c>
      <c r="B133" s="91" t="inlineStr">
        <is>
          <t>التسويق</t>
        </is>
      </c>
      <c r="C133" s="91">
        <f>'التسويق · المؤشرات'!C15</f>
        <v/>
      </c>
      <c r="D133" s="68">
        <f>'التسويق · المؤشرات'!X15</f>
        <v/>
      </c>
      <c r="E133" s="91">
        <f>'التسويق · المؤشرات'!Y15</f>
        <v/>
      </c>
      <c r="F133" s="93">
        <f>'التسويق · المؤشرات'!V15</f>
        <v/>
      </c>
      <c r="G133" s="68">
        <f>'التسويق · المؤشرات'!W15</f>
        <v/>
      </c>
      <c r="H133" s="68">
        <f>'التسويق · المؤشرات'!AH15</f>
        <v/>
      </c>
    </row>
    <row r="134">
      <c r="A134" s="68" t="n">
        <v>131</v>
      </c>
      <c r="B134" s="91" t="inlineStr">
        <is>
          <t>التسويق</t>
        </is>
      </c>
      <c r="C134" s="91">
        <f>'التسويق · المؤشرات'!C16</f>
        <v/>
      </c>
      <c r="D134" s="68">
        <f>'التسويق · المؤشرات'!X16</f>
        <v/>
      </c>
      <c r="E134" s="91">
        <f>'التسويق · المؤشرات'!Y16</f>
        <v/>
      </c>
      <c r="F134" s="93">
        <f>'التسويق · المؤشرات'!V16</f>
        <v/>
      </c>
      <c r="G134" s="68">
        <f>'التسويق · المؤشرات'!W16</f>
        <v/>
      </c>
      <c r="H134" s="68">
        <f>'التسويق · المؤشرات'!AH16</f>
        <v/>
      </c>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2:H2"/>
    <mergeCell ref="A1:H1"/>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AH17"/>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إدارة التسويق · مؤشرات الأداء 2026  (13 مؤشر / 9 موظفين) — تطوير الهوية وزيادة الوصول</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الإدارة العامة</t>
        </is>
      </c>
      <c r="C4" s="22" t="inlineStr">
        <is>
          <t>الوصول الكلي (Total Reach)</t>
        </is>
      </c>
      <c r="D4" s="60" t="inlineStr">
        <is>
          <t>وصول</t>
        </is>
      </c>
      <c r="E4" s="60" t="inlineStr">
        <is>
          <t>↑</t>
        </is>
      </c>
      <c r="F4" s="60" t="inlineStr">
        <is>
          <t>LAST</t>
        </is>
      </c>
      <c r="G4" s="61" t="n">
        <v>50000000</v>
      </c>
      <c r="H4" s="62" t="inlineStr">
        <is>
          <t>50م وصول</t>
        </is>
      </c>
      <c r="I4" s="63" t="n"/>
      <c r="J4" s="63" t="n"/>
      <c r="K4" s="63" t="n"/>
      <c r="L4" s="63" t="n"/>
      <c r="M4" s="63" t="n"/>
      <c r="N4" s="63" t="n"/>
      <c r="O4" s="63" t="n"/>
      <c r="P4" s="63" t="n"/>
      <c r="Q4" s="63" t="n"/>
      <c r="R4" s="63" t="n"/>
      <c r="S4" s="63" t="n"/>
      <c r="T4" s="63" t="n"/>
      <c r="U4" s="64">
        <f>IF($F4="SUM",IF(COUNT($I4:$T4)=0,"",SUM($I4:$T4)),IF($F4="AVG",IFERROR(AVERAGE($I4:$T4),""),IF($F4="LAST",IFERROR(LOOKUP(2,1/($I4:$T4&lt;&gt;""),$I4:$T4),""),"")))</f>
        <v/>
      </c>
      <c r="V4" s="23">
        <f>IF($G4="","",IF($U4="","",IF($G4=0,IF($U4&lt;=0,1,0),IF($E4="↓",IFERROR($G4/$U4,0),IFERROR($U4/$G4,0)))))</f>
        <v/>
      </c>
      <c r="W4" s="17">
        <f>IF($V4="","—",IF($V4&gt;=1,"✅ محقق",IF($V4&gt;=0.85,"🟡 قريب","🔴 تحت الهدف")))</f>
        <v/>
      </c>
      <c r="X4" s="65" t="inlineStr">
        <is>
          <t>النمو</t>
        </is>
      </c>
      <c r="Y4" s="22" t="inlineStr">
        <is>
          <t>زيادة وصول العملاء</t>
        </is>
      </c>
      <c r="Z4" s="66" t="n"/>
      <c r="AA4" s="21" t="inlineStr">
        <is>
          <t>🟣 لاحق</t>
        </is>
      </c>
      <c r="AB4" s="53" t="n">
        <v>0.0769</v>
      </c>
      <c r="AC4" s="23">
        <f>IF($V4="","",$AB4*MIN($V4,1))</f>
        <v/>
      </c>
      <c r="AD4" s="61">
        <f>IF($G4="","",IF($F4="SUM",IF('لوحة الإدارة التنفيذية'!$P$2="","",$G4/12*'لوحة الإدارة التنفيذية'!$P$2),$G4))</f>
        <v/>
      </c>
      <c r="AE4" s="67">
        <f>IF($F4="SUM",IF(OR('لوحة الإدارة التنفيذية'!$P$2="",'لوحة الإدارة التنفيذية'!$P$2=0),"",IF($U4="","",$U4/'لوحة الإدارة التنفيذية'!$P$2*12)),IF($U4="","",$U4))</f>
        <v/>
      </c>
      <c r="AF4" s="61">
        <f>IF(OR($AE4="",$G4=""),"",$AE4-$G4)</f>
        <v/>
      </c>
      <c r="AG4" s="17">
        <f>IF(OR($AE4="",$G4=""),"—",IF($E4="↓",IF($AE4&lt;=$G4,"🟢 على المسار",IF($AE4&lt;=$G4*1.1,"🟡 متابعة","🔴 خطر")),IF($AE4&gt;=$G4,"🟢 على المسار",IF($AE4&gt;=$G4*0.85,"🟡 متابعة","🔴 خطر"))))</f>
        <v/>
      </c>
      <c r="AH4" s="68" t="inlineStr">
        <is>
          <t>العملاء</t>
        </is>
      </c>
    </row>
    <row r="5" ht="26" customHeight="1">
      <c r="A5" s="17" t="n">
        <v>2</v>
      </c>
      <c r="B5" s="22" t="inlineStr">
        <is>
          <t>الإدارة العامة</t>
        </is>
      </c>
      <c r="C5" s="22" t="inlineStr">
        <is>
          <t>عملاء تجاريون جدد</t>
        </is>
      </c>
      <c r="D5" s="60" t="inlineStr">
        <is>
          <t>عميل</t>
        </is>
      </c>
      <c r="E5" s="60" t="inlineStr">
        <is>
          <t>↑</t>
        </is>
      </c>
      <c r="F5" s="60" t="inlineStr">
        <is>
          <t>SUM</t>
        </is>
      </c>
      <c r="G5" s="61" t="n">
        <v>200</v>
      </c>
      <c r="H5" s="62" t="inlineStr">
        <is>
          <t>200 عميل</t>
        </is>
      </c>
      <c r="I5" s="63" t="n"/>
      <c r="J5" s="63" t="n"/>
      <c r="K5" s="63" t="n"/>
      <c r="L5" s="63" t="n"/>
      <c r="M5" s="63" t="n"/>
      <c r="N5" s="63" t="n"/>
      <c r="O5" s="63" t="n"/>
      <c r="P5" s="63" t="n"/>
      <c r="Q5" s="63" t="n"/>
      <c r="R5" s="63" t="n"/>
      <c r="S5" s="63" t="n"/>
      <c r="T5" s="63" t="n"/>
      <c r="U5" s="64">
        <f>IF($F5="SUM",IF(COUNT($I5:$T5)=0,"",SUM($I5:$T5)),IF($F5="AVG",IFERROR(AVERAGE($I5:$T5),""),IF($F5="LAST",IFERROR(LOOKUP(2,1/($I5:$T5&lt;&gt;""),$I5:$T5),""),"")))</f>
        <v/>
      </c>
      <c r="V5" s="23">
        <f>IF($G5="","",IF($U5="","",IF($G5=0,IF($U5&lt;=0,1,0),IF($E5="↓",IFERROR($G5/$U5,0),IFERROR($U5/$G5,0)))))</f>
        <v/>
      </c>
      <c r="W5" s="17">
        <f>IF($V5="","—",IF($V5&gt;=1,"✅ محقق",IF($V5&gt;=0.85,"🟡 قريب","🔴 تحت الهدف")))</f>
        <v/>
      </c>
      <c r="X5" s="65" t="inlineStr">
        <is>
          <t>النمو</t>
        </is>
      </c>
      <c r="Y5" s="22" t="inlineStr">
        <is>
          <t>زيادة وصول العملاء</t>
        </is>
      </c>
      <c r="Z5" s="66" t="n"/>
      <c r="AA5" s="21" t="inlineStr">
        <is>
          <t>🟣 لاحق</t>
        </is>
      </c>
      <c r="AB5" s="53" t="n">
        <v>0.0769</v>
      </c>
      <c r="AC5" s="23">
        <f>IF($V5="","",$AB5*MIN($V5,1))</f>
        <v/>
      </c>
      <c r="AD5" s="61">
        <f>IF($G5="","",IF($F5="SUM",IF('لوحة الإدارة التنفيذية'!$P$2="","",$G5/12*'لوحة الإدارة التنفيذية'!$P$2),$G5))</f>
        <v/>
      </c>
      <c r="AE5" s="67">
        <f>IF($F5="SUM",IF(OR('لوحة الإدارة التنفيذية'!$P$2="",'لوحة الإدارة التنفيذية'!$P$2=0),"",IF($U5="","",$U5/'لوحة الإدارة التنفيذية'!$P$2*12)),IF($U5="","",$U5))</f>
        <v/>
      </c>
      <c r="AF5" s="61">
        <f>IF(OR($AE5="",$G5=""),"",$AE5-$G5)</f>
        <v/>
      </c>
      <c r="AG5" s="17">
        <f>IF(OR($AE5="",$G5=""),"—",IF($E5="↓",IF($AE5&lt;=$G5,"🟢 على المسار",IF($AE5&lt;=$G5*1.1,"🟡 متابعة","🔴 خطر")),IF($AE5&gt;=$G5,"🟢 على المسار",IF($AE5&gt;=$G5*0.85,"🟡 متابعة","🔴 خطر"))))</f>
        <v/>
      </c>
      <c r="AH5" s="68" t="inlineStr">
        <is>
          <t>العملاء</t>
        </is>
      </c>
    </row>
    <row r="6" ht="26" customHeight="1">
      <c r="A6" s="17" t="n">
        <v>3</v>
      </c>
      <c r="B6" s="22" t="inlineStr">
        <is>
          <t>الفريق الإبداعي</t>
        </is>
      </c>
      <c r="C6" s="22" t="inlineStr">
        <is>
          <t>إجمالي المتابعين (كل المنصات)</t>
        </is>
      </c>
      <c r="D6" s="60" t="inlineStr">
        <is>
          <t>متابع</t>
        </is>
      </c>
      <c r="E6" s="60" t="inlineStr">
        <is>
          <t>↑</t>
        </is>
      </c>
      <c r="F6" s="60" t="inlineStr">
        <is>
          <t>LAST</t>
        </is>
      </c>
      <c r="G6" s="61" t="n">
        <v>380000</v>
      </c>
      <c r="H6" s="62" t="inlineStr">
        <is>
          <t>380ك متابع</t>
        </is>
      </c>
      <c r="I6" s="63" t="n"/>
      <c r="J6" s="63" t="n"/>
      <c r="K6" s="63" t="n"/>
      <c r="L6" s="63" t="n"/>
      <c r="M6" s="63" t="n"/>
      <c r="N6" s="63" t="n"/>
      <c r="O6" s="63" t="n"/>
      <c r="P6" s="63" t="n"/>
      <c r="Q6" s="63" t="n"/>
      <c r="R6" s="63" t="n"/>
      <c r="S6" s="63" t="n"/>
      <c r="T6" s="63" t="n"/>
      <c r="U6" s="64">
        <f>IF($F6="SUM",IF(COUNT($I6:$T6)=0,"",SUM($I6:$T6)),IF($F6="AVG",IFERROR(AVERAGE($I6:$T6),""),IF($F6="LAST",IFERROR(LOOKUP(2,1/($I6:$T6&lt;&gt;""),$I6:$T6),""),"")))</f>
        <v/>
      </c>
      <c r="V6" s="23">
        <f>IF($G6="","",IF($U6="","",IF($G6=0,IF($U6&lt;=0,1,0),IF($E6="↓",IFERROR($G6/$U6,0),IFERROR($U6/$G6,0)))))</f>
        <v/>
      </c>
      <c r="W6" s="17">
        <f>IF($V6="","—",IF($V6&gt;=1,"✅ محقق",IF($V6&gt;=0.85,"🟡 قريب","🔴 تحت الهدف")))</f>
        <v/>
      </c>
      <c r="X6" s="65" t="inlineStr">
        <is>
          <t>النمو</t>
        </is>
      </c>
      <c r="Y6" s="22" t="inlineStr">
        <is>
          <t>زيادة وصول العملاء</t>
        </is>
      </c>
      <c r="Z6" s="66" t="n"/>
      <c r="AA6" s="21" t="inlineStr">
        <is>
          <t>🟣 لاحق</t>
        </is>
      </c>
      <c r="AB6" s="53" t="n">
        <v>0.0769</v>
      </c>
      <c r="AC6" s="23">
        <f>IF($V6="","",$AB6*MIN($V6,1))</f>
        <v/>
      </c>
      <c r="AD6" s="61">
        <f>IF($G6="","",IF($F6="SUM",IF('لوحة الإدارة التنفيذية'!$P$2="","",$G6/12*'لوحة الإدارة التنفيذية'!$P$2),$G6))</f>
        <v/>
      </c>
      <c r="AE6" s="67">
        <f>IF($F6="SUM",IF(OR('لوحة الإدارة التنفيذية'!$P$2="",'لوحة الإدارة التنفيذية'!$P$2=0),"",IF($U6="","",$U6/'لوحة الإدارة التنفيذية'!$P$2*12)),IF($U6="","",$U6))</f>
        <v/>
      </c>
      <c r="AF6" s="61">
        <f>IF(OR($AE6="",$G6=""),"",$AE6-$G6)</f>
        <v/>
      </c>
      <c r="AG6" s="17">
        <f>IF(OR($AE6="",$G6=""),"—",IF($E6="↓",IF($AE6&lt;=$G6,"🟢 على المسار",IF($AE6&lt;=$G6*1.1,"🟡 متابعة","🔴 خطر")),IF($AE6&gt;=$G6,"🟢 على المسار",IF($AE6&gt;=$G6*0.85,"🟡 متابعة","🔴 خطر"))))</f>
        <v/>
      </c>
      <c r="AH6" s="68" t="inlineStr">
        <is>
          <t>العمليات الداخلية</t>
        </is>
      </c>
    </row>
    <row r="7" ht="26" customHeight="1">
      <c r="A7" s="17" t="n">
        <v>4</v>
      </c>
      <c r="B7" s="22" t="inlineStr">
        <is>
          <t>الفريق الإبداعي</t>
        </is>
      </c>
      <c r="C7" s="22" t="inlineStr">
        <is>
          <t>معدل التفاعل (Engagement)</t>
        </is>
      </c>
      <c r="D7" s="60" t="inlineStr">
        <is>
          <t>%</t>
        </is>
      </c>
      <c r="E7" s="60" t="inlineStr">
        <is>
          <t>↑</t>
        </is>
      </c>
      <c r="F7" s="60" t="inlineStr">
        <is>
          <t>AVG</t>
        </is>
      </c>
      <c r="G7" s="74" t="n">
        <v>0.5</v>
      </c>
      <c r="H7" s="62" t="inlineStr">
        <is>
          <t>50%</t>
        </is>
      </c>
      <c r="I7" s="73" t="n"/>
      <c r="J7" s="73" t="n"/>
      <c r="K7" s="73" t="n"/>
      <c r="L7" s="73" t="n"/>
      <c r="M7" s="73" t="n"/>
      <c r="N7" s="73" t="n"/>
      <c r="O7" s="73" t="n"/>
      <c r="P7" s="73" t="n"/>
      <c r="Q7" s="73" t="n"/>
      <c r="R7" s="73" t="n"/>
      <c r="S7" s="73" t="n"/>
      <c r="T7" s="73" t="n"/>
      <c r="U7" s="59">
        <f>IF($F7="SUM",IF(COUNT($I7:$T7)=0,"",SUM($I7:$T7)),IF($F7="AVG",IFERROR(AVERAGE($I7:$T7),""),IF($F7="LAST",IFERROR(LOOKUP(2,1/($I7:$T7&lt;&gt;""),$I7:$T7),""),"")))</f>
        <v/>
      </c>
      <c r="V7" s="23">
        <f>IF($G7="","",IF($U7="","",IF($G7=0,IF($U7&lt;=0,1,0),IF($E7="↓",IFERROR($G7/$U7,0),IFERROR($U7/$G7,0)))))</f>
        <v/>
      </c>
      <c r="W7" s="17">
        <f>IF($V7="","—",IF($V7&gt;=1,"✅ محقق",IF($V7&gt;=0.85,"🟡 قريب","🔴 تحت الهدف")))</f>
        <v/>
      </c>
      <c r="X7" s="65" t="inlineStr">
        <is>
          <t>النمو</t>
        </is>
      </c>
      <c r="Y7" s="22" t="inlineStr">
        <is>
          <t>زيادة وصول العملاء</t>
        </is>
      </c>
      <c r="Z7" s="53" t="n"/>
      <c r="AA7" s="21" t="inlineStr">
        <is>
          <t>🟣 لاحق</t>
        </is>
      </c>
      <c r="AB7" s="53" t="n">
        <v>0.0769</v>
      </c>
      <c r="AC7" s="23">
        <f>IF($V7="","",$AB7*MIN($V7,1))</f>
        <v/>
      </c>
      <c r="AD7" s="74">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4">
        <f>IF(OR($AE7="",$G7=""),"",$AE7-$G7)</f>
        <v/>
      </c>
      <c r="AG7" s="17">
        <f>IF(OR($AE7="",$G7=""),"—",IF($E7="↓",IF($AE7&lt;=$G7,"🟢 على المسار",IF($AE7&lt;=$G7*1.1,"🟡 متابعة","🔴 خطر")),IF($AE7&gt;=$G7,"🟢 على المسار",IF($AE7&gt;=$G7*0.85,"🟡 متابعة","🔴 خطر"))))</f>
        <v/>
      </c>
      <c r="AH7" s="68" t="inlineStr">
        <is>
          <t>العمليات الداخلية</t>
        </is>
      </c>
    </row>
    <row r="8" ht="26" customHeight="1">
      <c r="A8" s="17" t="n">
        <v>5</v>
      </c>
      <c r="B8" s="22" t="inlineStr">
        <is>
          <t>الحملات التسويقية</t>
        </is>
      </c>
      <c r="C8" s="22" t="inlineStr">
        <is>
          <t>حملات تسويقية منجزة</t>
        </is>
      </c>
      <c r="D8" s="60" t="inlineStr">
        <is>
          <t>حملة</t>
        </is>
      </c>
      <c r="E8" s="60" t="inlineStr">
        <is>
          <t>↑</t>
        </is>
      </c>
      <c r="F8" s="60" t="inlineStr">
        <is>
          <t>SUM</t>
        </is>
      </c>
      <c r="G8" s="61" t="n">
        <v>48</v>
      </c>
      <c r="H8" s="62" t="inlineStr">
        <is>
          <t>48 حملة</t>
        </is>
      </c>
      <c r="I8" s="63" t="n"/>
      <c r="J8" s="63" t="n"/>
      <c r="K8" s="63" t="n"/>
      <c r="L8" s="63" t="n"/>
      <c r="M8" s="63" t="n"/>
      <c r="N8" s="63" t="n"/>
      <c r="O8" s="63" t="n"/>
      <c r="P8" s="63" t="n"/>
      <c r="Q8" s="63" t="n"/>
      <c r="R8" s="63" t="n"/>
      <c r="S8" s="63" t="n"/>
      <c r="T8" s="63" t="n"/>
      <c r="U8" s="64">
        <f>IF($F8="SUM",IF(COUNT($I8:$T8)=0,"",SUM($I8:$T8)),IF($F8="AVG",IFERROR(AVERAGE($I8:$T8),""),IF($F8="LAST",IFERROR(LOOKUP(2,1/($I8:$T8&lt;&gt;""),$I8:$T8),""),"")))</f>
        <v/>
      </c>
      <c r="V8" s="23">
        <f>IF($G8="","",IF($U8="","",IF($G8=0,IF($U8&lt;=0,1,0),IF($E8="↓",IFERROR($G8/$U8,0),IFERROR($U8/$G8,0)))))</f>
        <v/>
      </c>
      <c r="W8" s="17">
        <f>IF($V8="","—",IF($V8&gt;=1,"✅ محقق",IF($V8&gt;=0.85,"🟡 قريب","🔴 تحت الهدف")))</f>
        <v/>
      </c>
      <c r="X8" s="65" t="inlineStr">
        <is>
          <t>النمو</t>
        </is>
      </c>
      <c r="Y8" s="22" t="inlineStr">
        <is>
          <t>زيادة وصول العملاء</t>
        </is>
      </c>
      <c r="Z8" s="66" t="n"/>
      <c r="AA8" s="21" t="inlineStr">
        <is>
          <t>🔵 قائد</t>
        </is>
      </c>
      <c r="AB8" s="53" t="n">
        <v>0.0769</v>
      </c>
      <c r="AC8" s="23">
        <f>IF($V8="","",$AB8*MIN($V8,1))</f>
        <v/>
      </c>
      <c r="AD8" s="61">
        <f>IF($G8="","",IF($F8="SUM",IF('لوحة الإدارة التنفيذية'!$P$2="","",$G8/12*'لوحة الإدارة التنفيذية'!$P$2),$G8))</f>
        <v/>
      </c>
      <c r="AE8" s="67">
        <f>IF($F8="SUM",IF(OR('لوحة الإدارة التنفيذية'!$P$2="",'لوحة الإدارة التنفيذية'!$P$2=0),"",IF($U8="","",$U8/'لوحة الإدارة التنفيذية'!$P$2*12)),IF($U8="","",$U8))</f>
        <v/>
      </c>
      <c r="AF8" s="61">
        <f>IF(OR($AE8="",$G8=""),"",$AE8-$G8)</f>
        <v/>
      </c>
      <c r="AG8" s="17">
        <f>IF(OR($AE8="",$G8=""),"—",IF($E8="↓",IF($AE8&lt;=$G8,"🟢 على المسار",IF($AE8&lt;=$G8*1.1,"🟡 متابعة","🔴 خطر")),IF($AE8&gt;=$G8,"🟢 على المسار",IF($AE8&gt;=$G8*0.85,"🟡 متابعة","🔴 خطر"))))</f>
        <v/>
      </c>
      <c r="AH8" s="68" t="inlineStr">
        <is>
          <t>العمليات الداخلية</t>
        </is>
      </c>
    </row>
    <row r="9" ht="26" customHeight="1">
      <c r="A9" s="17" t="n">
        <v>6</v>
      </c>
      <c r="B9" s="22" t="inlineStr">
        <is>
          <t>الحملات التسويقية</t>
        </is>
      </c>
      <c r="C9" s="22" t="inlineStr">
        <is>
          <t>تحويل الفرص إلى عقود</t>
        </is>
      </c>
      <c r="D9" s="60" t="inlineStr">
        <is>
          <t>%</t>
        </is>
      </c>
      <c r="E9" s="60" t="inlineStr">
        <is>
          <t>↑</t>
        </is>
      </c>
      <c r="F9" s="60" t="inlineStr">
        <is>
          <t>AVG</t>
        </is>
      </c>
      <c r="G9" s="74" t="n">
        <v>0.25</v>
      </c>
      <c r="H9" s="62" t="inlineStr">
        <is>
          <t>25%</t>
        </is>
      </c>
      <c r="I9" s="73" t="n"/>
      <c r="J9" s="73" t="n"/>
      <c r="K9" s="73" t="n"/>
      <c r="L9" s="73" t="n"/>
      <c r="M9" s="73" t="n"/>
      <c r="N9" s="73" t="n"/>
      <c r="O9" s="73" t="n"/>
      <c r="P9" s="73" t="n"/>
      <c r="Q9" s="73" t="n"/>
      <c r="R9" s="73" t="n"/>
      <c r="S9" s="73" t="n"/>
      <c r="T9" s="73" t="n"/>
      <c r="U9" s="59">
        <f>IF($F9="SUM",IF(COUNT($I9:$T9)=0,"",SUM($I9:$T9)),IF($F9="AVG",IFERROR(AVERAGE($I9:$T9),""),IF($F9="LAST",IFERROR(LOOKUP(2,1/($I9:$T9&lt;&gt;""),$I9:$T9),""),"")))</f>
        <v/>
      </c>
      <c r="V9" s="23">
        <f>IF($G9="","",IF($U9="","",IF($G9=0,IF($U9&lt;=0,1,0),IF($E9="↓",IFERROR($G9/$U9,0),IFERROR($U9/$G9,0)))))</f>
        <v/>
      </c>
      <c r="W9" s="17">
        <f>IF($V9="","—",IF($V9&gt;=1,"✅ محقق",IF($V9&gt;=0.85,"🟡 قريب","🔴 تحت الهدف")))</f>
        <v/>
      </c>
      <c r="X9" s="65" t="inlineStr">
        <is>
          <t>النمو</t>
        </is>
      </c>
      <c r="Y9" s="22" t="inlineStr">
        <is>
          <t>زيادة وصول العملاء</t>
        </is>
      </c>
      <c r="Z9" s="53" t="n"/>
      <c r="AA9" s="21" t="inlineStr">
        <is>
          <t>🔵 قائد</t>
        </is>
      </c>
      <c r="AB9" s="53" t="n">
        <v>0.0769</v>
      </c>
      <c r="AC9" s="23">
        <f>IF($V9="","",$AB9*MIN($V9,1))</f>
        <v/>
      </c>
      <c r="AD9" s="74">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4">
        <f>IF(OR($AE9="",$G9=""),"",$AE9-$G9)</f>
        <v/>
      </c>
      <c r="AG9" s="17">
        <f>IF(OR($AE9="",$G9=""),"—",IF($E9="↓",IF($AE9&lt;=$G9,"🟢 على المسار",IF($AE9&lt;=$G9*1.1,"🟡 متابعة","🔴 خطر")),IF($AE9&gt;=$G9,"🟢 على المسار",IF($AE9&gt;=$G9*0.85,"🟡 متابعة","🔴 خطر"))))</f>
        <v/>
      </c>
      <c r="AH9" s="68" t="inlineStr">
        <is>
          <t>العمليات الداخلية</t>
        </is>
      </c>
    </row>
    <row r="10" ht="26" customHeight="1">
      <c r="A10" s="17" t="n">
        <v>7</v>
      </c>
      <c r="B10" s="22" t="inlineStr">
        <is>
          <t>الحملات التسويقية</t>
        </is>
      </c>
      <c r="C10" s="22" t="inlineStr">
        <is>
          <t>نسبة المبيعات لكل حملة</t>
        </is>
      </c>
      <c r="D10" s="60" t="inlineStr">
        <is>
          <t>%</t>
        </is>
      </c>
      <c r="E10" s="60" t="inlineStr">
        <is>
          <t>↑</t>
        </is>
      </c>
      <c r="F10" s="60" t="inlineStr">
        <is>
          <t>AVG</t>
        </is>
      </c>
      <c r="G10" s="74" t="n">
        <v>1</v>
      </c>
      <c r="H10" s="62" t="inlineStr">
        <is>
          <t>100%</t>
        </is>
      </c>
      <c r="I10" s="73" t="n"/>
      <c r="J10" s="73" t="n"/>
      <c r="K10" s="73" t="n"/>
      <c r="L10" s="73" t="n"/>
      <c r="M10" s="73" t="n"/>
      <c r="N10" s="73" t="n"/>
      <c r="O10" s="73" t="n"/>
      <c r="P10" s="73" t="n"/>
      <c r="Q10" s="73" t="n"/>
      <c r="R10" s="73" t="n"/>
      <c r="S10" s="73" t="n"/>
      <c r="T10" s="73" t="n"/>
      <c r="U10" s="59">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is>
          <t>النمو</t>
        </is>
      </c>
      <c r="Y10" s="22" t="inlineStr">
        <is>
          <t>زيادة وصول العملاء</t>
        </is>
      </c>
      <c r="Z10" s="53" t="n"/>
      <c r="AA10" s="21" t="inlineStr">
        <is>
          <t>🔵 قائد</t>
        </is>
      </c>
      <c r="AB10" s="53" t="n">
        <v>0.0769</v>
      </c>
      <c r="AC10" s="23">
        <f>IF($V10="","",$AB10*MIN($V10,1))</f>
        <v/>
      </c>
      <c r="AD10" s="74">
        <f>IF($G10="","",IF($F10="SUM",IF('لوحة الإدارة التنفيذية'!$P$2="","",$G10/12*'لوحة الإدارة التنفيذية'!$P$2),$G10))</f>
        <v/>
      </c>
      <c r="AE10" s="23">
        <f>IF($F10="SUM",IF(OR('لوحة الإدارة التنفيذية'!$P$2="",'لوحة الإدارة التنفيذية'!$P$2=0),"",IF($U10="","",$U10/'لوحة الإدارة التنفيذية'!$P$2*12)),IF($U10="","",$U10))</f>
        <v/>
      </c>
      <c r="AF10" s="74">
        <f>IF(OR($AE10="",$G10=""),"",$AE10-$G10)</f>
        <v/>
      </c>
      <c r="AG10" s="17">
        <f>IF(OR($AE10="",$G10=""),"—",IF($E10="↓",IF($AE10&lt;=$G10,"🟢 على المسار",IF($AE10&lt;=$G10*1.1,"🟡 متابعة","🔴 خطر")),IF($AE10&gt;=$G10,"🟢 على المسار",IF($AE10&gt;=$G10*0.85,"🟡 متابعة","🔴 خطر"))))</f>
        <v/>
      </c>
      <c r="AH10" s="68" t="inlineStr">
        <is>
          <t>مالي</t>
        </is>
      </c>
    </row>
    <row r="11" ht="26" customHeight="1">
      <c r="A11" s="17" t="n">
        <v>8</v>
      </c>
      <c r="B11" s="22" t="inlineStr">
        <is>
          <t>الدعاية والإعلان</t>
        </is>
      </c>
      <c r="C11" s="22" t="inlineStr">
        <is>
          <t>نسبة التزام الهوية البصرية</t>
        </is>
      </c>
      <c r="D11" s="60" t="inlineStr">
        <is>
          <t>%</t>
        </is>
      </c>
      <c r="E11" s="60" t="inlineStr">
        <is>
          <t>↑</t>
        </is>
      </c>
      <c r="F11" s="60" t="inlineStr">
        <is>
          <t>LAST</t>
        </is>
      </c>
      <c r="G11" s="74" t="n">
        <v>1</v>
      </c>
      <c r="H11" s="62" t="inlineStr">
        <is>
          <t>100%</t>
        </is>
      </c>
      <c r="I11" s="73" t="n"/>
      <c r="J11" s="73" t="n"/>
      <c r="K11" s="73" t="n"/>
      <c r="L11" s="73" t="n"/>
      <c r="M11" s="73" t="n"/>
      <c r="N11" s="73" t="n"/>
      <c r="O11" s="73" t="n"/>
      <c r="P11" s="73" t="n"/>
      <c r="Q11" s="73" t="n"/>
      <c r="R11" s="73" t="n"/>
      <c r="S11" s="73" t="n"/>
      <c r="T11" s="73" t="n"/>
      <c r="U11" s="59">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is>
          <t>الابتكار</t>
        </is>
      </c>
      <c r="Y11" s="22" t="inlineStr">
        <is>
          <t>تطوير التصاميم والهوية</t>
        </is>
      </c>
      <c r="Z11" s="53" t="n"/>
      <c r="AA11" s="21" t="inlineStr">
        <is>
          <t>🟣 لاحق</t>
        </is>
      </c>
      <c r="AB11" s="53" t="n">
        <v>0.0769</v>
      </c>
      <c r="AC11" s="23">
        <f>IF($V11="","",$AB11*MIN($V11,1))</f>
        <v/>
      </c>
      <c r="AD11" s="74">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74">
        <f>IF(OR($AE11="",$G11=""),"",$AE11-$G11)</f>
        <v/>
      </c>
      <c r="AG11" s="17">
        <f>IF(OR($AE11="",$G11=""),"—",IF($E11="↓",IF($AE11&lt;=$G11,"🟢 على المسار",IF($AE11&lt;=$G11*1.1,"🟡 متابعة","🔴 خطر")),IF($AE11&gt;=$G11,"🟢 على المسار",IF($AE11&gt;=$G11*0.85,"🟡 متابعة","🔴 خطر"))))</f>
        <v/>
      </c>
      <c r="AH11" s="68" t="inlineStr">
        <is>
          <t>التعلّم والنمو</t>
        </is>
      </c>
    </row>
    <row r="12" ht="26" customHeight="1">
      <c r="A12" s="17" t="n">
        <v>9</v>
      </c>
      <c r="B12" s="22" t="inlineStr">
        <is>
          <t>العلاقات والشراكات</t>
        </is>
      </c>
      <c r="C12" s="22" t="inlineStr">
        <is>
          <t>وصول العلاقات العامة (PR)</t>
        </is>
      </c>
      <c r="D12" s="60" t="inlineStr">
        <is>
          <t>وصول</t>
        </is>
      </c>
      <c r="E12" s="60" t="inlineStr">
        <is>
          <t>↑</t>
        </is>
      </c>
      <c r="F12" s="60" t="inlineStr">
        <is>
          <t>LAST</t>
        </is>
      </c>
      <c r="G12" s="61" t="n">
        <v>7000000</v>
      </c>
      <c r="H12" s="62" t="inlineStr">
        <is>
          <t>7م وصول</t>
        </is>
      </c>
      <c r="I12" s="63" t="n"/>
      <c r="J12" s="63" t="n"/>
      <c r="K12" s="63" t="n"/>
      <c r="L12" s="63" t="n"/>
      <c r="M12" s="63" t="n"/>
      <c r="N12" s="63" t="n"/>
      <c r="O12" s="63" t="n"/>
      <c r="P12" s="63" t="n"/>
      <c r="Q12" s="63" t="n"/>
      <c r="R12" s="63" t="n"/>
      <c r="S12" s="63" t="n"/>
      <c r="T12" s="63" t="n"/>
      <c r="U12" s="64">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is>
          <t>النمو</t>
        </is>
      </c>
      <c r="Y12" s="22" t="inlineStr">
        <is>
          <t>زيادة وصول العملاء</t>
        </is>
      </c>
      <c r="Z12" s="66" t="n"/>
      <c r="AA12" s="21" t="inlineStr">
        <is>
          <t>🟣 لاحق</t>
        </is>
      </c>
      <c r="AB12" s="53" t="n">
        <v>0.0769</v>
      </c>
      <c r="AC12" s="23">
        <f>IF($V12="","",$AB12*MIN($V12,1))</f>
        <v/>
      </c>
      <c r="AD12" s="61">
        <f>IF($G12="","",IF($F12="SUM",IF('لوحة الإدارة التنفيذية'!$P$2="","",$G12/12*'لوحة الإدارة التنفيذية'!$P$2),$G12))</f>
        <v/>
      </c>
      <c r="AE12" s="67">
        <f>IF($F12="SUM",IF(OR('لوحة الإدارة التنفيذية'!$P$2="",'لوحة الإدارة التنفيذية'!$P$2=0),"",IF($U12="","",$U12/'لوحة الإدارة التنفيذية'!$P$2*12)),IF($U12="","",$U12))</f>
        <v/>
      </c>
      <c r="AF12" s="61">
        <f>IF(OR($AE12="",$G12=""),"",$AE12-$G12)</f>
        <v/>
      </c>
      <c r="AG12" s="17">
        <f>IF(OR($AE12="",$G12=""),"—",IF($E12="↓",IF($AE12&lt;=$G12,"🟢 على المسار",IF($AE12&lt;=$G12*1.1,"🟡 متابعة","🔴 خطر")),IF($AE12&gt;=$G12,"🟢 على المسار",IF($AE12&gt;=$G12*0.85,"🟡 متابعة","🔴 خطر"))))</f>
        <v/>
      </c>
      <c r="AH12" s="68" t="inlineStr">
        <is>
          <t>العملاء</t>
        </is>
      </c>
    </row>
    <row r="13" ht="26" customHeight="1">
      <c r="A13" s="17" t="n">
        <v>10</v>
      </c>
      <c r="B13" s="22" t="inlineStr">
        <is>
          <t>العلاقات والشراكات</t>
        </is>
      </c>
      <c r="C13" s="22" t="inlineStr">
        <is>
          <t>عدد المعارض بالسنة</t>
        </is>
      </c>
      <c r="D13" s="60" t="inlineStr">
        <is>
          <t>معرض</t>
        </is>
      </c>
      <c r="E13" s="60" t="inlineStr">
        <is>
          <t>↑</t>
        </is>
      </c>
      <c r="F13" s="60" t="inlineStr">
        <is>
          <t>SUM</t>
        </is>
      </c>
      <c r="G13" s="61" t="n">
        <v>3</v>
      </c>
      <c r="H13" s="62" t="inlineStr">
        <is>
          <t>3 معارض</t>
        </is>
      </c>
      <c r="I13" s="63" t="n"/>
      <c r="J13" s="63" t="n"/>
      <c r="K13" s="63" t="n"/>
      <c r="L13" s="63" t="n"/>
      <c r="M13" s="63" t="n"/>
      <c r="N13" s="63" t="n"/>
      <c r="O13" s="63" t="n"/>
      <c r="P13" s="63" t="n"/>
      <c r="Q13" s="63" t="n"/>
      <c r="R13" s="63" t="n"/>
      <c r="S13" s="63" t="n"/>
      <c r="T13" s="63" t="n"/>
      <c r="U13" s="64">
        <f>IF($F13="SUM",IF(COUNT($I13:$T13)=0,"",SUM($I13:$T13)),IF($F13="AVG",IFERROR(AVERAGE($I13:$T13),""),IF($F13="LAST",IFERROR(LOOKUP(2,1/($I13:$T13&lt;&gt;""),$I13:$T13),""),"")))</f>
        <v/>
      </c>
      <c r="V13" s="23">
        <f>IF($G13="","",IF($U13="","",IF($G13=0,IF($U13&lt;=0,1,0),IF($E13="↓",IFERROR($G13/$U13,0),IFERROR($U13/$G13,0)))))</f>
        <v/>
      </c>
      <c r="W13" s="17">
        <f>IF($V13="","—",IF($V13&gt;=1,"✅ محقق",IF($V13&gt;=0.85,"🟡 قريب","🔴 تحت الهدف")))</f>
        <v/>
      </c>
      <c r="X13" s="65" t="inlineStr">
        <is>
          <t>الابتكار</t>
        </is>
      </c>
      <c r="Y13" s="22" t="inlineStr">
        <is>
          <t>إطلاق مشاريع جديدة</t>
        </is>
      </c>
      <c r="Z13" s="66" t="n"/>
      <c r="AA13" s="21" t="inlineStr">
        <is>
          <t>🔵 قائد</t>
        </is>
      </c>
      <c r="AB13" s="53" t="n">
        <v>0.0769</v>
      </c>
      <c r="AC13" s="23">
        <f>IF($V13="","",$AB13*MIN($V13,1))</f>
        <v/>
      </c>
      <c r="AD13" s="61">
        <f>IF($G13="","",IF($F13="SUM",IF('لوحة الإدارة التنفيذية'!$P$2="","",$G13/12*'لوحة الإدارة التنفيذية'!$P$2),$G13))</f>
        <v/>
      </c>
      <c r="AE13" s="67">
        <f>IF($F13="SUM",IF(OR('لوحة الإدارة التنفيذية'!$P$2="",'لوحة الإدارة التنفيذية'!$P$2=0),"",IF($U13="","",$U13/'لوحة الإدارة التنفيذية'!$P$2*12)),IF($U13="","",$U13))</f>
        <v/>
      </c>
      <c r="AF13" s="61">
        <f>IF(OR($AE13="",$G13=""),"",$AE13-$G13)</f>
        <v/>
      </c>
      <c r="AG13" s="17">
        <f>IF(OR($AE13="",$G13=""),"—",IF($E13="↓",IF($AE13&lt;=$G13,"🟢 على المسار",IF($AE13&lt;=$G13*1.1,"🟡 متابعة","🔴 خطر")),IF($AE13&gt;=$G13,"🟢 على المسار",IF($AE13&gt;=$G13*0.85,"🟡 متابعة","🔴 خطر"))))</f>
        <v/>
      </c>
      <c r="AH13" s="68" t="inlineStr">
        <is>
          <t>العمليات الداخلية</t>
        </is>
      </c>
    </row>
    <row r="14" ht="26" customHeight="1">
      <c r="A14" s="17" t="n">
        <v>11</v>
      </c>
      <c r="B14" s="22" t="inlineStr">
        <is>
          <t>العلاقات والشراكات</t>
        </is>
      </c>
      <c r="C14" s="22" t="inlineStr">
        <is>
          <t>اتفاقيات استراتيجية</t>
        </is>
      </c>
      <c r="D14" s="60" t="inlineStr">
        <is>
          <t>اتفاقية</t>
        </is>
      </c>
      <c r="E14" s="60" t="inlineStr">
        <is>
          <t>↑</t>
        </is>
      </c>
      <c r="F14" s="60" t="inlineStr">
        <is>
          <t>SUM</t>
        </is>
      </c>
      <c r="G14" s="61" t="n">
        <v>3</v>
      </c>
      <c r="H14" s="62" t="inlineStr">
        <is>
          <t>3 اتفاقيات</t>
        </is>
      </c>
      <c r="I14" s="63" t="n"/>
      <c r="J14" s="63" t="n"/>
      <c r="K14" s="63" t="n"/>
      <c r="L14" s="63" t="n"/>
      <c r="M14" s="63" t="n"/>
      <c r="N14" s="63" t="n"/>
      <c r="O14" s="63" t="n"/>
      <c r="P14" s="63" t="n"/>
      <c r="Q14" s="63" t="n"/>
      <c r="R14" s="63" t="n"/>
      <c r="S14" s="63" t="n"/>
      <c r="T14" s="63" t="n"/>
      <c r="U14" s="64">
        <f>IF($F14="SUM",IF(COUNT($I14:$T14)=0,"",SUM($I14:$T14)),IF($F14="AVG",IFERROR(AVERAGE($I14:$T14),""),IF($F14="LAST",IFERROR(LOOKUP(2,1/($I14:$T14&lt;&gt;""),$I14:$T14),""),"")))</f>
        <v/>
      </c>
      <c r="V14" s="23">
        <f>IF($G14="","",IF($U14="","",IF($G14=0,IF($U14&lt;=0,1,0),IF($E14="↓",IFERROR($G14/$U14,0),IFERROR($U14/$G14,0)))))</f>
        <v/>
      </c>
      <c r="W14" s="17">
        <f>IF($V14="","—",IF($V14&gt;=1,"✅ محقق",IF($V14&gt;=0.85,"🟡 قريب","🔴 تحت الهدف")))</f>
        <v/>
      </c>
      <c r="X14" s="65" t="inlineStr">
        <is>
          <t>الابتكار</t>
        </is>
      </c>
      <c r="Y14" s="22" t="inlineStr">
        <is>
          <t>إطلاق مشاريع جديدة</t>
        </is>
      </c>
      <c r="Z14" s="66" t="n"/>
      <c r="AA14" s="21" t="inlineStr">
        <is>
          <t>🟣 لاحق</t>
        </is>
      </c>
      <c r="AB14" s="53" t="n">
        <v>0.0769</v>
      </c>
      <c r="AC14" s="23">
        <f>IF($V14="","",$AB14*MIN($V14,1))</f>
        <v/>
      </c>
      <c r="AD14" s="61">
        <f>IF($G14="","",IF($F14="SUM",IF('لوحة الإدارة التنفيذية'!$P$2="","",$G14/12*'لوحة الإدارة التنفيذية'!$P$2),$G14))</f>
        <v/>
      </c>
      <c r="AE14" s="67">
        <f>IF($F14="SUM",IF(OR('لوحة الإدارة التنفيذية'!$P$2="",'لوحة الإدارة التنفيذية'!$P$2=0),"",IF($U14="","",$U14/'لوحة الإدارة التنفيذية'!$P$2*12)),IF($U14="","",$U14))</f>
        <v/>
      </c>
      <c r="AF14" s="61">
        <f>IF(OR($AE14="",$G14=""),"",$AE14-$G14)</f>
        <v/>
      </c>
      <c r="AG14" s="17">
        <f>IF(OR($AE14="",$G14=""),"—",IF($E14="↓",IF($AE14&lt;=$G14,"🟢 على المسار",IF($AE14&lt;=$G14*1.1,"🟡 متابعة","🔴 خطر")),IF($AE14&gt;=$G14,"🟢 على المسار",IF($AE14&gt;=$G14*0.85,"🟡 متابعة","🔴 خطر"))))</f>
        <v/>
      </c>
      <c r="AH14" s="68" t="inlineStr">
        <is>
          <t>العمليات الداخلية</t>
        </is>
      </c>
    </row>
    <row r="15" ht="26" customHeight="1">
      <c r="A15" s="17" t="n">
        <v>12</v>
      </c>
      <c r="B15" s="22" t="inlineStr">
        <is>
          <t>خدمة العملاء والدعم</t>
        </is>
      </c>
      <c r="C15" s="22" t="inlineStr">
        <is>
          <t>تقييم خرائط قوقل</t>
        </is>
      </c>
      <c r="D15" s="60" t="inlineStr">
        <is>
          <t>نجمة/5</t>
        </is>
      </c>
      <c r="E15" s="60" t="inlineStr">
        <is>
          <t>↑</t>
        </is>
      </c>
      <c r="F15" s="60" t="inlineStr">
        <is>
          <t>AVG</t>
        </is>
      </c>
      <c r="G15" s="75" t="n">
        <v>4.7</v>
      </c>
      <c r="H15" s="62" t="inlineStr">
        <is>
          <t>4.7 ⭐</t>
        </is>
      </c>
      <c r="I15" s="76" t="n"/>
      <c r="J15" s="76" t="n"/>
      <c r="K15" s="76" t="n"/>
      <c r="L15" s="76" t="n"/>
      <c r="M15" s="76" t="n"/>
      <c r="N15" s="76" t="n"/>
      <c r="O15" s="76" t="n"/>
      <c r="P15" s="76" t="n"/>
      <c r="Q15" s="76" t="n"/>
      <c r="R15" s="76" t="n"/>
      <c r="S15" s="76" t="n"/>
      <c r="T15" s="76" t="n"/>
      <c r="U15" s="77">
        <f>IF($F15="SUM",IF(COUNT($I15:$T15)=0,"",SUM($I15:$T15)),IF($F15="AVG",IFERROR(AVERAGE($I15:$T15),""),IF($F15="LAST",IFERROR(LOOKUP(2,1/($I15:$T15&lt;&gt;""),$I15:$T15),""),"")))</f>
        <v/>
      </c>
      <c r="V15" s="23">
        <f>IF($G15="","",IF($U15="","",IF($G15=0,IF($U15&lt;=0,1,0),IF($E15="↓",IFERROR($G15/$U15,0),IFERROR($U15/$G15,0)))))</f>
        <v/>
      </c>
      <c r="W15" s="17">
        <f>IF($V15="","—",IF($V15&gt;=1,"✅ محقق",IF($V15&gt;=0.85,"🟡 قريب","🔴 تحت الهدف")))</f>
        <v/>
      </c>
      <c r="X15" s="65" t="inlineStr">
        <is>
          <t>الاستدامة</t>
        </is>
      </c>
      <c r="Y15" s="22" t="inlineStr">
        <is>
          <t>تعزيز تجربة العملاء</t>
        </is>
      </c>
      <c r="Z15" s="78" t="n"/>
      <c r="AA15" s="21" t="inlineStr">
        <is>
          <t>🟣 لاحق</t>
        </is>
      </c>
      <c r="AB15" s="53" t="n">
        <v>0.0769</v>
      </c>
      <c r="AC15" s="23">
        <f>IF($V15="","",$AB15*MIN($V15,1))</f>
        <v/>
      </c>
      <c r="AD15" s="75">
        <f>IF($G15="","",IF($F15="SUM",IF('لوحة الإدارة التنفيذية'!$P$2="","",$G15/12*'لوحة الإدارة التنفيذية'!$P$2),$G15))</f>
        <v/>
      </c>
      <c r="AE15" s="79">
        <f>IF($F15="SUM",IF(OR('لوحة الإدارة التنفيذية'!$P$2="",'لوحة الإدارة التنفيذية'!$P$2=0),"",IF($U15="","",$U15/'لوحة الإدارة التنفيذية'!$P$2*12)),IF($U15="","",$U15))</f>
        <v/>
      </c>
      <c r="AF15" s="75">
        <f>IF(OR($AE15="",$G15=""),"",$AE15-$G15)</f>
        <v/>
      </c>
      <c r="AG15" s="17">
        <f>IF(OR($AE15="",$G15=""),"—",IF($E15="↓",IF($AE15&lt;=$G15,"🟢 على المسار",IF($AE15&lt;=$G15*1.1,"🟡 متابعة","🔴 خطر")),IF($AE15&gt;=$G15,"🟢 على المسار",IF($AE15&gt;=$G15*0.85,"🟡 متابعة","🔴 خطر"))))</f>
        <v/>
      </c>
      <c r="AH15" s="68" t="inlineStr">
        <is>
          <t>العملاء</t>
        </is>
      </c>
    </row>
    <row r="16" ht="26" customHeight="1">
      <c r="A16" s="17" t="n">
        <v>13</v>
      </c>
      <c r="B16" s="22" t="inlineStr">
        <is>
          <t>خدمة العملاء والدعم</t>
        </is>
      </c>
      <c r="C16" s="22" t="inlineStr">
        <is>
          <t>معدل خفض الشكاوى</t>
        </is>
      </c>
      <c r="D16" s="60" t="inlineStr">
        <is>
          <t>%</t>
        </is>
      </c>
      <c r="E16" s="60" t="inlineStr">
        <is>
          <t>↑</t>
        </is>
      </c>
      <c r="F16" s="60" t="inlineStr">
        <is>
          <t>AVG</t>
        </is>
      </c>
      <c r="G16" s="74" t="n">
        <v>0.3</v>
      </c>
      <c r="H16" s="62" t="inlineStr">
        <is>
          <t>30%</t>
        </is>
      </c>
      <c r="I16" s="73" t="n"/>
      <c r="J16" s="73" t="n"/>
      <c r="K16" s="73" t="n"/>
      <c r="L16" s="73" t="n"/>
      <c r="M16" s="73" t="n"/>
      <c r="N16" s="73" t="n"/>
      <c r="O16" s="73" t="n"/>
      <c r="P16" s="73" t="n"/>
      <c r="Q16" s="73" t="n"/>
      <c r="R16" s="73" t="n"/>
      <c r="S16" s="73" t="n"/>
      <c r="T16" s="73" t="n"/>
      <c r="U16" s="59">
        <f>IF($F16="SUM",IF(COUNT($I16:$T16)=0,"",SUM($I16:$T16)),IF($F16="AVG",IFERROR(AVERAGE($I16:$T16),""),IF($F16="LAST",IFERROR(LOOKUP(2,1/($I16:$T16&lt;&gt;""),$I16:$T16),""),"")))</f>
        <v/>
      </c>
      <c r="V16" s="23">
        <f>IF($G16="","",IF($U16="","",IF($G16=0,IF($U16&lt;=0,1,0),IF($E16="↓",IFERROR($G16/$U16,0),IFERROR($U16/$G16,0)))))</f>
        <v/>
      </c>
      <c r="W16" s="17">
        <f>IF($V16="","—",IF($V16&gt;=1,"✅ محقق",IF($V16&gt;=0.85,"🟡 قريب","🔴 تحت الهدف")))</f>
        <v/>
      </c>
      <c r="X16" s="65" t="inlineStr">
        <is>
          <t>الاستدامة</t>
        </is>
      </c>
      <c r="Y16" s="22" t="inlineStr">
        <is>
          <t>تعزيز تجربة العملاء</t>
        </is>
      </c>
      <c r="Z16" s="53" t="n"/>
      <c r="AA16" s="21" t="inlineStr">
        <is>
          <t>🟣 لاحق</t>
        </is>
      </c>
      <c r="AB16" s="53" t="n">
        <v>0.0769</v>
      </c>
      <c r="AC16" s="23">
        <f>IF($V16="","",$AB16*MIN($V16,1))</f>
        <v/>
      </c>
      <c r="AD16" s="74">
        <f>IF($G16="","",IF($F16="SUM",IF('لوحة الإدارة التنفيذية'!$P$2="","",$G16/12*'لوحة الإدارة التنفيذية'!$P$2),$G16))</f>
        <v/>
      </c>
      <c r="AE16" s="23">
        <f>IF($F16="SUM",IF(OR('لوحة الإدارة التنفيذية'!$P$2="",'لوحة الإدارة التنفيذية'!$P$2=0),"",IF($U16="","",$U16/'لوحة الإدارة التنفيذية'!$P$2*12)),IF($U16="","",$U16))</f>
        <v/>
      </c>
      <c r="AF16" s="74">
        <f>IF(OR($AE16="",$G16=""),"",$AE16-$G16)</f>
        <v/>
      </c>
      <c r="AG16" s="17">
        <f>IF(OR($AE16="",$G16=""),"—",IF($E16="↓",IF($AE16&lt;=$G16,"🟢 على المسار",IF($AE16&lt;=$G16*1.1,"🟡 متابعة","🔴 خطر")),IF($AE16&gt;=$G16,"🟢 على المسار",IF($AE16&gt;=$G16*0.85,"🟡 متابعة","🔴 خطر"))))</f>
        <v/>
      </c>
      <c r="AH16" s="68" t="inlineStr">
        <is>
          <t>العملاء</t>
        </is>
      </c>
    </row>
    <row r="17">
      <c r="A17" s="80" t="inlineStr"/>
      <c r="B17" s="81" t="inlineStr">
        <is>
          <t>الإجمالي الموزون للإدارة</t>
        </is>
      </c>
      <c r="AB17" s="82">
        <f>SUM(AB4:AB16)</f>
        <v/>
      </c>
      <c r="AC17" s="83">
        <f>SUM(AC4:AC16)</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B17:AA17"/>
    <mergeCell ref="A2:AH2"/>
    <mergeCell ref="A1:AH1"/>
  </mergeCells>
  <dataValidations count="1">
    <dataValidation sqref="I4 I5 I6 I7 I8 I9 I10 I11 I12 I13 I14 I15 I16 J4 J5 J6 J7 J8 J9 J10 J11 J12 J13 J14 J15 J16 K4 K5 K6 K7 K8 K9 K10 K11 K12 K13 K14 K15 K16 L4 L5 L6 L7 L8 L9 L10 L11 L12 L13 L14 L15 L16 M4 M5 M6 M7 M8 M9 M10 M11 M12 M13 M14 M15 M16 N4 N5 N6 N7 N8 N9 N10 N11 N12 N13 N14 N15 N16 O4 O5 O6 O7 O8 O9 O10 O11 O12 O13 O14 O15 O16 P4 P5 P6 P7 P8 P9 P10 P11 P12 P13 P14 P15 P16 Q4 Q5 Q6 Q7 Q8 Q9 Q10 Q11 Q12 Q13 Q14 Q15 Q16 R4 R5 R6 R7 R8 R9 R10 R11 R12 R13 R14 R15 R16 S4 S5 S6 S7 S8 S9 S10 S11 S12 S13 S14 S15 S16 T4 T5 T6 T7 T8 T9 T10 T11 T12 T13 T14 T15 T16 Z4 Z5 Z6 Z7 Z8 Z9 Z10 Z11 Z12 Z13 Z14 Z15 Z16"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2026-06-14T10:39:28Z</dcterms:created>
  <dcterms:modified xmlns:dcterms="http://purl.org/dc/terms/" xmlns:xsi="http://www.w3.org/2001/XMLSchema-instance" xsi:type="dcterms:W3CDTF">2026-06-14T10:39:29Z</dcterms:modified>
</cp:coreProperties>
</file>