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خارطة التنفيذية" sheetId="3" state="visible" r:id="rId3"/>
    <sheet name="لوحة الإدارة التنفيذية" sheetId="4" state="visible" r:id="rId4"/>
    <sheet name="الامتياز · المؤشرات" sheetId="5" state="visible" r:id="rId5"/>
    <sheet name="الامتياز · الموظفون" sheetId="6" state="visible" r:id="rId6"/>
    <sheet name="الامتياز · مدير الإدارة" sheetId="7" state="visible" r:id="rId7"/>
    <sheet name="الامتياز · مسؤول الامتياز" sheetId="8" state="visible" r:id="rId8"/>
    <sheet name="الامتياز · المراقب الميداني" sheetId="9" state="visible" r:id="rId9"/>
    <sheet name="الامتياز · مسؤول التعاقدات" sheetId="10" state="visible" r:id="rId10"/>
    <sheet name="الامتياز · الموظف الإداري" sheetId="11" state="visible" r:id="rId11"/>
    <sheet name="التشغيل · المؤشرات" sheetId="12" state="visible" r:id="rId12"/>
    <sheet name="التشغيل · مدير المحطة" sheetId="13" state="visible" r:id="rId13"/>
    <sheet name="التشغيل · مشرف ميداني" sheetId="14" state="visible" r:id="rId14"/>
    <sheet name="التشغيل · عامل التعبئة" sheetId="15" state="visible" r:id="rId15"/>
    <sheet name="الاستثمار · المؤشرات" sheetId="16" state="visible" r:id="rId16"/>
    <sheet name="العقار · المؤشرات" sheetId="17" state="visible" r:id="rId17"/>
    <sheet name="قاعدة المؤشرات" sheetId="18" state="visible" r:id="rId18"/>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7">
    <font>
      <name val="Calibri"/>
      <family val="2"/>
      <color theme="1"/>
      <sz val="11"/>
      <scheme val="minor"/>
    </font>
    <font>
      <name val="Arial"/>
      <b val="1"/>
      <color rgb="001F3864"/>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1F3864"/>
      <sz val="12"/>
    </font>
    <font>
      <name val="Arial"/>
      <b val="1"/>
      <color rgb="002E5496"/>
      <sz val="11"/>
    </font>
    <font>
      <name val="Arial"/>
      <b val="1"/>
      <color rgb="00FFFFFF"/>
      <sz val="15"/>
    </font>
    <font>
      <name val="Arial"/>
      <color rgb="001F3864"/>
      <sz val="10"/>
    </font>
    <font>
      <name val="Arial"/>
      <b val="1"/>
      <color rgb="00FFFFFF"/>
      <sz val="10"/>
    </font>
    <font>
      <name val="Arial"/>
      <b val="1"/>
      <color rgb="00000000"/>
      <sz val="10"/>
    </font>
    <font>
      <name val="Arial"/>
      <color rgb="00000000"/>
      <sz val="10"/>
    </font>
    <font>
      <name val="Arial"/>
      <color rgb="00595959"/>
      <sz val="9"/>
    </font>
    <font>
      <name val="Arial"/>
      <b val="1"/>
      <color rgb="001F3864"/>
      <sz val="10"/>
    </font>
    <font>
      <name val="Arial"/>
      <b val="1"/>
      <color rgb="002E5496"/>
      <sz val="10"/>
    </font>
    <font>
      <name val="Arial"/>
      <b val="1"/>
      <color rgb="00FFFFFF"/>
      <sz val="14"/>
    </font>
    <font>
      <name val="Arial"/>
      <color rgb="00000000"/>
      <sz val="9"/>
    </font>
    <font>
      <name val="Arial"/>
      <b val="1"/>
      <color rgb="001F3864"/>
      <sz val="9"/>
    </font>
    <font>
      <name val="Arial"/>
      <b val="1"/>
      <color rgb="00FFFFFF"/>
      <sz val="18"/>
    </font>
    <font>
      <name val="Arial"/>
      <b val="1"/>
      <color rgb="001F3864"/>
      <sz val="30"/>
    </font>
    <font>
      <name val="Arial"/>
      <b val="1"/>
      <color rgb="001F3864"/>
      <sz val="22"/>
    </font>
    <font>
      <name val="Arial"/>
      <b val="1"/>
      <color rgb="001F3864"/>
      <sz val="11"/>
    </font>
    <font>
      <name val="Arial"/>
      <color rgb="001F3864"/>
      <sz val="9"/>
    </font>
    <font>
      <name val="Arial"/>
      <b val="1"/>
      <color rgb="00FFFF00"/>
      <sz val="13"/>
    </font>
  </fonts>
  <fills count="9">
    <fill>
      <patternFill/>
    </fill>
    <fill>
      <patternFill patternType="gray125"/>
    </fill>
    <fill>
      <patternFill patternType="solid">
        <fgColor rgb="001F3864"/>
      </patternFill>
    </fill>
    <fill>
      <patternFill patternType="solid">
        <fgColor rgb="002E5496"/>
      </patternFill>
    </fill>
    <fill>
      <patternFill patternType="solid">
        <fgColor rgb="00FFE699"/>
      </patternFill>
    </fill>
    <fill>
      <patternFill patternType="solid">
        <fgColor rgb="00C6EFCE"/>
      </patternFill>
    </fill>
    <fill>
      <patternFill patternType="solid">
        <fgColor rgb="00F8CBAD"/>
      </patternFill>
    </fill>
    <fill>
      <patternFill patternType="solid">
        <fgColor rgb="008EAADB"/>
      </patternFill>
    </fill>
    <fill>
      <patternFill patternType="solid">
        <fgColor rgb="00C00000"/>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9">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10" fillId="2" borderId="0" applyAlignment="1" pivotButton="0" quotePrefix="0" xfId="0">
      <alignment horizontal="center" vertical="center"/>
    </xf>
    <xf numFmtId="0" fontId="25" fillId="4" borderId="0" applyAlignment="1" pivotButton="0" quotePrefix="0" xfId="0">
      <alignment horizontal="center" vertical="center"/>
    </xf>
    <xf numFmtId="0" fontId="12" fillId="3" borderId="1" applyAlignment="1" pivotButton="0" quotePrefix="0" xfId="0">
      <alignment horizontal="center" vertical="center" wrapText="1"/>
    </xf>
    <xf numFmtId="0" fontId="13"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24"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4"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4" fillId="6" borderId="1" applyAlignment="1" pivotButton="0" quotePrefix="0" xfId="0">
      <alignment horizontal="right" vertical="center" wrapText="1"/>
    </xf>
    <xf numFmtId="0" fontId="3" fillId="6" borderId="1" applyAlignment="1" pivotButton="0" quotePrefix="0" xfId="0">
      <alignment horizontal="center" vertical="center" wrapText="1"/>
    </xf>
    <xf numFmtId="0" fontId="6" fillId="8" borderId="1" applyAlignment="1" pivotButton="0" quotePrefix="0" xfId="0">
      <alignment horizontal="right" vertical="center" wrapText="1"/>
    </xf>
    <xf numFmtId="0" fontId="21" fillId="2" borderId="0" applyAlignment="1" pivotButton="0" quotePrefix="0" xfId="0">
      <alignment horizontal="center" vertical="center"/>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2"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5" fillId="7"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9" fontId="16"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9" fontId="2"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13"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0" fontId="12" fillId="7" borderId="1" applyAlignment="1" pivotButton="0" quotePrefix="0" xfId="0">
      <alignment horizontal="center" vertical="center" wrapText="1"/>
    </xf>
    <xf numFmtId="0" fontId="14" fillId="0" borderId="1" applyAlignment="1" pivotButton="0" quotePrefix="0" xfId="0">
      <alignment horizontal="center" vertical="center" wrapText="1"/>
    </xf>
    <xf numFmtId="0" fontId="18" fillId="2" borderId="0" applyAlignment="1" pivotButton="0" quotePrefix="0" xfId="0">
      <alignment horizontal="center" vertical="center"/>
    </xf>
    <xf numFmtId="0" fontId="13" fillId="0" borderId="1" applyAlignment="1" pivotButton="0" quotePrefix="0" xfId="0">
      <alignment horizontal="right" vertical="center" wrapText="1"/>
    </xf>
    <xf numFmtId="0" fontId="2" fillId="5" borderId="1" applyAlignment="1" applyProtection="1" pivotButton="0" quotePrefix="0" xfId="0">
      <alignment horizontal="right" vertical="center" wrapText="1"/>
      <protection locked="0" hidden="0"/>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2" fillId="5" borderId="1" applyAlignment="1" applyProtection="1" pivotButton="0" quotePrefix="0" xfId="0">
      <alignment horizontal="center" vertical="center" wrapText="1"/>
      <protection locked="0" hidden="0"/>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5" fillId="2" borderId="1" applyAlignment="1" pivotButton="0" quotePrefix="0" xfId="0">
      <alignment horizontal="center" vertical="center" wrapText="1"/>
    </xf>
    <xf numFmtId="9" fontId="26" fillId="2" borderId="1" applyAlignment="1" pivotButton="0" quotePrefix="0" xfId="0">
      <alignment horizontal="center" vertical="center" wrapText="1"/>
    </xf>
    <xf numFmtId="0" fontId="24"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9" fillId="0" borderId="1" applyAlignment="1" pivotButton="0" quotePrefix="0" xfId="0">
      <alignment horizontal="right" vertical="center" wrapText="1"/>
    </xf>
    <xf numFmtId="9" fontId="20"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13" t="inlineStr">
        <is>
          <t>الخارطة التنفيذية 2026 — مشاريع الشركة وربطها بالمؤشرات (المحطات والعقار)</t>
        </is>
      </c>
    </row>
    <row r="2">
      <c r="A2" s="14" t="inlineStr">
        <is>
          <t>المصدر: «رؤية وأهداف 2026» — سحور درب  ·  التغطية: ✅ مرتبط 🟡 جزئي 🔴 فجوة  ·  أداء المؤشرات آلي من قاعدة المؤشرات</t>
        </is>
      </c>
    </row>
    <row r="3" ht="30" customHeight="1">
      <c r="A3" s="15" t="inlineStr">
        <is>
          <t>#</t>
        </is>
      </c>
      <c r="B3" s="15" t="inlineStr">
        <is>
          <t>الركيزة</t>
        </is>
      </c>
      <c r="C3" s="15" t="inlineStr">
        <is>
          <t>المشروع</t>
        </is>
      </c>
      <c r="D3" s="15" t="inlineStr">
        <is>
          <t>الإدارة المسؤولة</t>
        </is>
      </c>
      <c r="E3" s="15" t="inlineStr">
        <is>
          <t>المؤشرات المرتبطة</t>
        </is>
      </c>
      <c r="F3" s="15" t="inlineStr">
        <is>
          <t>التغطية</t>
        </is>
      </c>
      <c r="G3" s="15" t="inlineStr">
        <is>
          <t>أداء المؤشرات (مباشر)</t>
        </is>
      </c>
    </row>
    <row r="4" ht="30" customHeight="1">
      <c r="A4" s="16" t="n">
        <v>1</v>
      </c>
      <c r="B4" s="17" t="inlineStr">
        <is>
          <t>النمو</t>
        </is>
      </c>
      <c r="C4" s="18" t="inlineStr">
        <is>
          <t>التوسع في المواقع</t>
        </is>
      </c>
      <c r="D4" s="19" t="inlineStr">
        <is>
          <t>التشغيل + الامتياز + الاستثمار</t>
        </is>
      </c>
      <c r="E4" s="19" t="inlineStr">
        <is>
          <t>محطات مشغّلة (85+150) · 190 عقد استثماري</t>
        </is>
      </c>
      <c r="F4" s="20" t="inlineStr">
        <is>
          <t>✅ مرتبط</t>
        </is>
      </c>
      <c r="G4" s="21">
        <f>IF(COUNTIFS('قاعدة المؤشرات'!$E$4:$E$95,"التوسع في المواقع")=0,"—",IFERROR(AVERAGEIFS('قاعدة المؤشرات'!$F$4:$F$95,'قاعدة المؤشرات'!$E$4:$E$95,"التوسع في المواقع"),"—"))</f>
        <v/>
      </c>
    </row>
    <row r="5" ht="30" customHeight="1">
      <c r="A5" s="16" t="n">
        <v>2</v>
      </c>
      <c r="C5" s="18" t="inlineStr">
        <is>
          <t>الامتياز التجاري</t>
        </is>
      </c>
      <c r="D5" s="19" t="inlineStr">
        <is>
          <t>الامتياز التجاري</t>
        </is>
      </c>
      <c r="E5" s="19" t="inlineStr">
        <is>
          <t>عقود الامتياز (167) · الإيرادات والهامش</t>
        </is>
      </c>
      <c r="F5" s="20" t="inlineStr">
        <is>
          <t>✅ مرتبط</t>
        </is>
      </c>
      <c r="G5" s="21">
        <f>IF(COUNTIFS('قاعدة المؤشرات'!$E$4:$E$95,"الامتياز التجاري")=0,"—",IFERROR(AVERAGEIFS('قاعدة المؤشرات'!$F$4:$F$95,'قاعدة المؤشرات'!$E$4:$E$95,"الامتياز التجاري"),"—"))</f>
        <v/>
      </c>
    </row>
    <row r="6" ht="30" customHeight="1">
      <c r="A6" s="16" t="n">
        <v>3</v>
      </c>
      <c r="C6" s="18" t="inlineStr">
        <is>
          <t>زيادة وصول العملاء</t>
        </is>
      </c>
      <c r="D6" s="19" t="inlineStr">
        <is>
          <t>الامتياز + التشغيل + العقار</t>
        </is>
      </c>
      <c r="E6" s="19" t="inlineStr">
        <is>
          <t>مبيعات الوقود · نمو المبيعات · LEADS</t>
        </is>
      </c>
      <c r="F6" s="20" t="inlineStr">
        <is>
          <t>✅ مرتبط</t>
        </is>
      </c>
      <c r="G6" s="21">
        <f>IF(COUNTIFS('قاعدة المؤشرات'!$E$4:$E$95,"زيادة وصول العملاء")=0,"—",IFERROR(AVERAGEIFS('قاعدة المؤشرات'!$F$4:$F$95,'قاعدة المؤشرات'!$E$4:$E$95,"زيادة وصول العملاء"),"—"))</f>
        <v/>
      </c>
    </row>
    <row r="7" ht="30" customHeight="1">
      <c r="A7" s="16" t="n">
        <v>4</v>
      </c>
      <c r="B7" s="17" t="inlineStr">
        <is>
          <t>الابتكار</t>
        </is>
      </c>
      <c r="C7" s="18" t="inlineStr">
        <is>
          <t>إطلاق مشاريع جديدة</t>
        </is>
      </c>
      <c r="D7" s="19" t="inlineStr">
        <is>
          <t>العقار (جزئي) — مقترح: إدارة تطوير</t>
        </is>
      </c>
      <c r="E7" s="19" t="inlineStr">
        <is>
          <t>الشراكات الاستراتيجية (5) فقط</t>
        </is>
      </c>
      <c r="F7" s="22" t="inlineStr">
        <is>
          <t>🟡 جزئي</t>
        </is>
      </c>
      <c r="G7" s="21">
        <f>IF(COUNTIFS('قاعدة المؤشرات'!$E$4:$E$95,"إطلاق مشاريع جديدة")=0,"—",IFERROR(AVERAGEIFS('قاعدة المؤشرات'!$F$4:$F$95,'قاعدة المؤشرات'!$E$4:$E$95,"إطلاق مشاريع جديدة"),"—"))</f>
        <v/>
      </c>
    </row>
    <row r="8" ht="30" customHeight="1">
      <c r="A8" s="16" t="n">
        <v>5</v>
      </c>
      <c r="C8" s="18" t="inlineStr">
        <is>
          <t>تطوير التصاميم والهوية</t>
        </is>
      </c>
      <c r="D8" s="23" t="inlineStr">
        <is>
          <t>غير محددة — مقترح: التسويق والعلامة</t>
        </is>
      </c>
      <c r="E8" s="19" t="inlineStr">
        <is>
          <t>نسبة التزام المحطات بالهوية (55%) فقط</t>
        </is>
      </c>
      <c r="F8" s="22" t="inlineStr">
        <is>
          <t>🟡 جزئي</t>
        </is>
      </c>
      <c r="G8" s="21">
        <f>IF(COUNTIFS('قاعدة المؤشرات'!$E$4:$E$95,"تطوير التصاميم والهوية")=0,"—",IFERROR(AVERAGEIFS('قاعدة المؤشرات'!$F$4:$F$95,'قاعدة المؤشرات'!$E$4:$E$95,"تطوير التصاميم والهوية"),"—"))</f>
        <v/>
      </c>
    </row>
    <row r="9" ht="30" customHeight="1">
      <c r="A9" s="16" t="n">
        <v>6</v>
      </c>
      <c r="C9" s="18" t="inlineStr">
        <is>
          <t>التحول التقني</t>
        </is>
      </c>
      <c r="D9" s="19" t="inlineStr">
        <is>
          <t>التشغيل + الامتياز — مقترح: تقنية المعلومات</t>
        </is>
      </c>
      <c r="E9" s="19" t="inlineStr">
        <is>
          <t>أتمتة المحطات · المعيار الشامل</t>
        </is>
      </c>
      <c r="F9" s="22" t="inlineStr">
        <is>
          <t>🟡 جزئي</t>
        </is>
      </c>
      <c r="G9" s="21">
        <f>IF(COUNTIFS('قاعدة المؤشرات'!$E$4:$E$95,"التحول التقني")=0,"—",IFERROR(AVERAGEIFS('قاعدة المؤشرات'!$F$4:$F$95,'قاعدة المؤشرات'!$E$4:$E$95,"التحول التقني"),"—"))</f>
        <v/>
      </c>
    </row>
    <row r="10" ht="30" customHeight="1">
      <c r="A10" s="16" t="n">
        <v>7</v>
      </c>
      <c r="C10" s="18" t="inlineStr">
        <is>
          <t>ساحات درب</t>
        </is>
      </c>
      <c r="D10" s="19" t="inlineStr">
        <is>
          <t>العقار</t>
        </is>
      </c>
      <c r="E10" s="19" t="inlineStr">
        <is>
          <t>تأجير ساحة درب (≥80%) · 6 علامات جديدة</t>
        </is>
      </c>
      <c r="F10" s="20" t="inlineStr">
        <is>
          <t>✅ مرتبط</t>
        </is>
      </c>
      <c r="G10" s="21">
        <f>IF(COUNTIFS('قاعدة المؤشرات'!$E$4:$E$95,"ساحات درب")=0,"—",IFERROR(AVERAGEIFS('قاعدة المؤشرات'!$F$4:$F$95,'قاعدة المؤشرات'!$E$4:$E$95,"ساحات درب"),"—"))</f>
        <v/>
      </c>
    </row>
    <row r="11" ht="30" customHeight="1">
      <c r="A11" s="16" t="n">
        <v>8</v>
      </c>
      <c r="C11" s="18" t="inlineStr">
        <is>
          <t>تطبيق «تانكي»</t>
        </is>
      </c>
      <c r="D11" s="23" t="inlineStr">
        <is>
          <t>غير محددة</t>
        </is>
      </c>
      <c r="E11" s="19" t="inlineStr">
        <is>
          <t>— لا يوجد مؤشر ولا إدارة مسؤولة —</t>
        </is>
      </c>
      <c r="F11" s="24" t="inlineStr">
        <is>
          <t>🔴 فجوة</t>
        </is>
      </c>
      <c r="G11" s="21">
        <f>IF(COUNTIFS('قاعدة المؤشرات'!$E$4:$E$95,"تطبيق «تانكي»")=0,"—",IFERROR(AVERAGEIFS('قاعدة المؤشرات'!$F$4:$F$95,'قاعدة المؤشرات'!$E$4:$E$95,"تطبيق «تانكي»"),"—"))</f>
        <v/>
      </c>
    </row>
    <row r="12" ht="30" customHeight="1">
      <c r="A12" s="16" t="n">
        <v>9</v>
      </c>
      <c r="B12" s="17" t="inlineStr">
        <is>
          <t>الاستدامة</t>
        </is>
      </c>
      <c r="C12" s="18" t="inlineStr">
        <is>
          <t>تعزيز تجربة العملاء</t>
        </is>
      </c>
      <c r="D12" s="19" t="inlineStr">
        <is>
          <t>الامتياز + التشغيل + العقار + الاستثمار</t>
        </is>
      </c>
      <c r="E12" s="19" t="inlineStr">
        <is>
          <t>CSAT · قوقل · الشكاوى · رضا المستأجرين</t>
        </is>
      </c>
      <c r="F12" s="20" t="inlineStr">
        <is>
          <t>✅ مرتبط</t>
        </is>
      </c>
      <c r="G12" s="21">
        <f>IF(COUNTIFS('قاعدة المؤشرات'!$E$4:$E$95,"تعزيز تجربة العملاء")=0,"—",IFERROR(AVERAGEIFS('قاعدة المؤشرات'!$F$4:$F$95,'قاعدة المؤشرات'!$E$4:$E$95,"تعزيز تجربة العملاء"),"—"))</f>
        <v/>
      </c>
    </row>
    <row r="13" ht="30" customHeight="1">
      <c r="A13" s="16" t="n">
        <v>10</v>
      </c>
      <c r="C13" s="18" t="inlineStr">
        <is>
          <t>جودة التشغيل</t>
        </is>
      </c>
      <c r="D13" s="19" t="inlineStr">
        <is>
          <t>التشغيل + الامتياز + الاستثمار</t>
        </is>
      </c>
      <c r="E13" s="19" t="inlineStr">
        <is>
          <t>جاهزية 99% · السلامة 100% · الصيانة</t>
        </is>
      </c>
      <c r="F13" s="20" t="inlineStr">
        <is>
          <t>✅ مرتبط</t>
        </is>
      </c>
      <c r="G13" s="21">
        <f>IF(COUNTIFS('قاعدة المؤشرات'!$E$4:$E$95,"جودة التشغيل")=0,"—",IFERROR(AVERAGEIFS('قاعدة المؤشرات'!$F$4:$F$95,'قاعدة المؤشرات'!$E$4:$E$95,"جودة التشغيل"),"—"))</f>
        <v/>
      </c>
    </row>
    <row r="14" ht="30" customHeight="1">
      <c r="A14" s="16" t="n">
        <v>11</v>
      </c>
      <c r="C14" s="18" t="inlineStr">
        <is>
          <t>منظومة التأجير</t>
        </is>
      </c>
      <c r="D14" s="19" t="inlineStr">
        <is>
          <t>العقار</t>
        </is>
      </c>
      <c r="E14" s="19" t="inlineStr">
        <is>
          <t>الإشغال (≥60%) · 68 وحدة/شهر · التحصيل</t>
        </is>
      </c>
      <c r="F14" s="20" t="inlineStr">
        <is>
          <t>✅ مرتبط</t>
        </is>
      </c>
      <c r="G14" s="21">
        <f>IF(COUNTIFS('قاعدة المؤشرات'!$E$4:$E$95,"منظومة التأجير")=0,"—",IFERROR(AVERAGEIFS('قاعدة المؤشرات'!$F$4:$F$95,'قاعدة المؤشرات'!$E$4:$E$95,"منظومة التأجير"),"—"))</f>
        <v/>
      </c>
    </row>
    <row r="15" ht="30" customHeight="1">
      <c r="A15" s="16" t="n">
        <v>12</v>
      </c>
      <c r="C15" s="18" t="inlineStr">
        <is>
          <t>الاستثمار في الموظفين</t>
        </is>
      </c>
      <c r="D15" s="23" t="inlineStr">
        <is>
          <t>غير محددة — مقترح: الموارد البشرية</t>
        </is>
      </c>
      <c r="E15" s="19" t="inlineStr">
        <is>
          <t>— لا يوجد مؤشر لتطوير/استبقاء الموظفين —</t>
        </is>
      </c>
      <c r="F15" s="24" t="inlineStr">
        <is>
          <t>🔴 فجوة</t>
        </is>
      </c>
      <c r="G15" s="21">
        <f>IF(COUNTIFS('قاعدة المؤشرات'!$E$4:$E$95,"الاستثمار في الموظفين")=0,"—",IFERROR(AVERAGEIFS('قاعدة المؤشرات'!$F$4:$F$95,'قاعدة المؤشرات'!$E$4:$E$95,"الاستثمار في الموظفين"),"—"))</f>
        <v/>
      </c>
    </row>
    <row r="17">
      <c r="B17" s="25" t="inlineStr">
        <is>
          <t>⚠️ ملخص الفجوات — مشاريع تحتاج مؤشراً أو إدارة مسؤولة</t>
        </is>
      </c>
    </row>
    <row r="18" ht="24" customHeight="1">
      <c r="B18" s="19" t="inlineStr">
        <is>
          <t>🔴 تطبيق «تانكي» — لا مؤشر ولا إدارة مسؤولة (منتج رقمي بلا مالك).</t>
        </is>
      </c>
    </row>
    <row r="19" ht="24" customHeight="1">
      <c r="B19" s="19" t="inlineStr">
        <is>
          <t>🔴 الاستثمار في الموظفين — لا مؤشر موظفين ولا إدارة موارد بشرية ضمن الملفات.</t>
        </is>
      </c>
    </row>
    <row r="20" ht="24" customHeight="1">
      <c r="B20" s="19" t="inlineStr">
        <is>
          <t>🟡 إطلاق مشاريع جديدة — يغذّيه مؤشر الشراكات الاستراتيجية فقط؛ يحتاج مالكاً ومؤشرات أوضح.</t>
        </is>
      </c>
    </row>
    <row r="21" ht="24" customHeight="1">
      <c r="B21" s="19" t="inlineStr">
        <is>
          <t>🟡 التحول التقني — مغطّى جزئياً (الأتمتة والمعيار الشامل)؛ بلا إدارة تقنية مالكة.</t>
        </is>
      </c>
    </row>
    <row r="22" ht="24" customHeight="1">
      <c r="B22" s="19" t="inlineStr">
        <is>
          <t>🟡 تطوير التصاميم والهوية — مغطّى بمؤشر التزام الهوية فقط؛ بلا إدارة تسويق/علامة.</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19:G19"/>
    <mergeCell ref="B20:G20"/>
    <mergeCell ref="B21:G21"/>
    <mergeCell ref="A1:G1"/>
    <mergeCell ref="B4:B6"/>
    <mergeCell ref="B22:G22"/>
    <mergeCell ref="B17:G17"/>
    <mergeCell ref="B12:B15"/>
    <mergeCell ref="A2:G2"/>
    <mergeCell ref="B18:G18"/>
    <mergeCell ref="B7:B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14"/>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s>
  <sheetData>
    <row r="2" ht="38" customHeight="1">
      <c r="B2" s="26" t="inlineStr">
        <is>
          <t>درب · لوحة الإدارة التنفيذية 2026 — المحطات والعقار</t>
        </is>
      </c>
    </row>
    <row r="4" ht="22" customHeight="1">
      <c r="B4" s="5" t="inlineStr">
        <is>
          <t>مؤشر الإنجاز العام للشركة</t>
        </is>
      </c>
      <c r="D4" s="20" t="inlineStr">
        <is>
          <t>✅ محقق</t>
        </is>
      </c>
      <c r="E4" s="22" t="inlineStr">
        <is>
          <t>🟡 قريب</t>
        </is>
      </c>
      <c r="F4" s="24" t="inlineStr">
        <is>
          <t>🔴 تحت الهدف</t>
        </is>
      </c>
      <c r="H4" s="27" t="inlineStr">
        <is>
          <t>الأداء حسب الركائز (5 سنوات)</t>
        </is>
      </c>
      <c r="I4" s="28" t="n"/>
      <c r="J4" s="29" t="n"/>
    </row>
    <row r="5" ht="30" customHeight="1">
      <c r="B5" s="30">
        <f>IFERROR(AVERAGE('قاعدة المؤشرات'!$F$4:$F$95),0)</f>
        <v/>
      </c>
      <c r="D5" s="31">
        <f>COUNTIF('قاعدة المؤشرات'!$G$4:$G$95,"✅ محقق")</f>
        <v/>
      </c>
      <c r="E5" s="31">
        <f>COUNTIF('قاعدة المؤشرات'!$G$4:$G$95,"🟡 قريب")</f>
        <v/>
      </c>
      <c r="F5" s="31">
        <f>COUNTIF('قاعدة المؤشرات'!$G$4:$G$95,"🔴 تحت الهدف")</f>
        <v/>
      </c>
      <c r="H5" s="32" t="inlineStr">
        <is>
          <t>الركيزة</t>
        </is>
      </c>
      <c r="I5" s="32" t="inlineStr">
        <is>
          <t>الإنجاز</t>
        </is>
      </c>
      <c r="J5" s="32" t="inlineStr">
        <is>
          <t>الحالة</t>
        </is>
      </c>
    </row>
    <row r="6">
      <c r="D6" s="33" t="n"/>
      <c r="E6" s="33" t="n"/>
      <c r="F6" s="33" t="n"/>
      <c r="H6" s="34" t="inlineStr">
        <is>
          <t>النمو</t>
        </is>
      </c>
      <c r="I6" s="21">
        <f>IFERROR(AVERAGEIFS('قاعدة المؤشرات'!$F$4:$F$95,'قاعدة المؤشرات'!$D$4:$D$95,"النمو"),"—")</f>
        <v/>
      </c>
      <c r="J6" s="35">
        <f>IF(ISNUMBER(I6),IF(I6&gt;=1,"✅",IF(I6&gt;=0.85,"🟡","🔴")),"—")</f>
        <v/>
      </c>
    </row>
    <row r="7">
      <c r="H7" s="34" t="inlineStr">
        <is>
          <t>الابتكار</t>
        </is>
      </c>
      <c r="I7" s="21">
        <f>IFERROR(AVERAGEIFS('قاعدة المؤشرات'!$F$4:$F$95,'قاعدة المؤشرات'!$D$4:$D$95,"الابتكار"),"—")</f>
        <v/>
      </c>
      <c r="J7" s="35">
        <f>IF(ISNUMBER(I7),IF(I7&gt;=1,"✅",IF(I7&gt;=0.85,"🟡","🔴")),"—")</f>
        <v/>
      </c>
    </row>
    <row r="8">
      <c r="H8" s="34" t="inlineStr">
        <is>
          <t>الاستدامة</t>
        </is>
      </c>
      <c r="I8" s="21">
        <f>IFERROR(AVERAGEIFS('قاعدة المؤشرات'!$F$4:$F$95,'قاعدة المؤشرات'!$D$4:$D$95,"الاستدامة"),"—")</f>
        <v/>
      </c>
      <c r="J8" s="35">
        <f>IF(ISNUMBER(I8),IF(I8&gt;=1,"✅",IF(I8&gt;=0.85,"🟡","🔴")),"—")</f>
        <v/>
      </c>
    </row>
    <row r="9">
      <c r="B9" s="17" t="inlineStr">
        <is>
          <t>الأداء حسب الإدارة (تغذّي نفس اللوحة)</t>
        </is>
      </c>
      <c r="C9" s="28" t="n"/>
      <c r="D9" s="29" t="n"/>
    </row>
    <row r="10">
      <c r="B10" s="32" t="inlineStr">
        <is>
          <t>الإدارة</t>
        </is>
      </c>
      <c r="C10" s="32" t="inlineStr">
        <is>
          <t>الإنجاز</t>
        </is>
      </c>
      <c r="D10" s="32" t="inlineStr">
        <is>
          <t>الحالة</t>
        </is>
      </c>
    </row>
    <row r="11">
      <c r="B11" s="19" t="inlineStr">
        <is>
          <t>الامتياز التجاري</t>
        </is>
      </c>
      <c r="C11" s="36">
        <f>IFERROR(AVERAGEIFS('قاعدة المؤشرات'!$F$4:$F$95,'قاعدة المؤشرات'!$B$4:$B$95,"الامتياز التجاري"),"—")</f>
        <v/>
      </c>
      <c r="D11" s="16">
        <f>IF(ISNUMBER(C11),IF(C11&gt;=1,"✅ محقق",IF(C11&gt;=0.85,"🟡 قريب","🔴 تحت الهدف")),"—")</f>
        <v/>
      </c>
    </row>
    <row r="12">
      <c r="B12" s="19" t="inlineStr">
        <is>
          <t>التشغيل والمحطات</t>
        </is>
      </c>
      <c r="C12" s="36">
        <f>IFERROR(AVERAGEIFS('قاعدة المؤشرات'!$F$4:$F$95,'قاعدة المؤشرات'!$B$4:$B$95,"التشغيل والمحطات"),"—")</f>
        <v/>
      </c>
      <c r="D12" s="16">
        <f>IF(ISNUMBER(C12),IF(C12&gt;=1,"✅ محقق",IF(C12&gt;=0.85,"🟡 قريب","🔴 تحت الهدف")),"—")</f>
        <v/>
      </c>
    </row>
    <row r="13">
      <c r="B13" s="19" t="inlineStr">
        <is>
          <t>الاستثمار</t>
        </is>
      </c>
      <c r="C13" s="36">
        <f>IFERROR(AVERAGEIFS('قاعدة المؤشرات'!$F$4:$F$95,'قاعدة المؤشرات'!$B$4:$B$95,"الاستثمار"),"—")</f>
        <v/>
      </c>
      <c r="D13" s="16">
        <f>IF(ISNUMBER(C13),IF(C13&gt;=1,"✅ محقق",IF(C13&gt;=0.85,"🟡 قريب","🔴 تحت الهدف")),"—")</f>
        <v/>
      </c>
    </row>
    <row r="14">
      <c r="B14" s="19" t="inlineStr">
        <is>
          <t>العقار</t>
        </is>
      </c>
      <c r="C14" s="36">
        <f>IFERROR(AVERAGEIFS('قاعدة المؤشرات'!$F$4:$F$95,'قاعدة المؤشرات'!$B$4:$B$95,"العقار"),"—")</f>
        <v/>
      </c>
      <c r="D14" s="16">
        <f>IF(ISNUMBER(C14),IF(C14&gt;=1,"✅ محقق",IF(C14&gt;=0.85,"🟡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39"/>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s>
  <sheetData>
    <row r="1" ht="30" customHeight="1">
      <c r="A1" s="13" t="inlineStr">
        <is>
          <t>إدارة الامتياز التجاري والمبيعات · مؤشرات الأداء 2026  (36 مؤشر / 8 محاور)</t>
        </is>
      </c>
    </row>
    <row r="2">
      <c r="A2" s="37" t="inlineStr">
        <is>
          <t>🟩 الخلايا الخضراء = إدخال شهري للمسؤول  ·  باقي الأعمدة محسوبة/مقفولة  ·  كل مؤشر يغذّي ركيزته ومشروعه</t>
        </is>
      </c>
    </row>
    <row r="3" ht="34" customHeight="1">
      <c r="A3" s="15" t="inlineStr">
        <is>
          <t>#</t>
        </is>
      </c>
      <c r="B3" s="15" t="inlineStr">
        <is>
          <t>المحور</t>
        </is>
      </c>
      <c r="C3" s="15" t="inlineStr">
        <is>
          <t>المؤشر</t>
        </is>
      </c>
      <c r="D3" s="15" t="inlineStr">
        <is>
          <t>الوحدة</t>
        </is>
      </c>
      <c r="E3" s="15" t="inlineStr">
        <is>
          <t>القطبية</t>
        </is>
      </c>
      <c r="F3" s="15" t="inlineStr">
        <is>
          <t>التجميع</t>
        </is>
      </c>
      <c r="G3" s="15" t="inlineStr">
        <is>
          <t>المستهدف</t>
        </is>
      </c>
      <c r="H3" s="15" t="inlineStr">
        <is>
          <t>نص المستهدف</t>
        </is>
      </c>
      <c r="I3" s="15" t="inlineStr">
        <is>
          <t>يناير</t>
        </is>
      </c>
      <c r="J3" s="15" t="inlineStr">
        <is>
          <t>فبراير</t>
        </is>
      </c>
      <c r="K3" s="15" t="inlineStr">
        <is>
          <t>مارس</t>
        </is>
      </c>
      <c r="L3" s="15" t="inlineStr">
        <is>
          <t>أبريل</t>
        </is>
      </c>
      <c r="M3" s="15" t="inlineStr">
        <is>
          <t>مايو</t>
        </is>
      </c>
      <c r="N3" s="15" t="inlineStr">
        <is>
          <t>يونيو</t>
        </is>
      </c>
      <c r="O3" s="15" t="inlineStr">
        <is>
          <t>يوليو</t>
        </is>
      </c>
      <c r="P3" s="15" t="inlineStr">
        <is>
          <t>أغسطس</t>
        </is>
      </c>
      <c r="Q3" s="15" t="inlineStr">
        <is>
          <t>سبتمبر</t>
        </is>
      </c>
      <c r="R3" s="15" t="inlineStr">
        <is>
          <t>أكتوبر</t>
        </is>
      </c>
      <c r="S3" s="15" t="inlineStr">
        <is>
          <t>نوفمبر</t>
        </is>
      </c>
      <c r="T3" s="15" t="inlineStr">
        <is>
          <t>ديسمبر</t>
        </is>
      </c>
      <c r="U3" s="15" t="inlineStr">
        <is>
          <t>YTD</t>
        </is>
      </c>
      <c r="V3" s="15" t="inlineStr">
        <is>
          <t>نسبة التحقيق</t>
        </is>
      </c>
      <c r="W3" s="15" t="inlineStr">
        <is>
          <t>الحالة</t>
        </is>
      </c>
      <c r="X3" s="15" t="inlineStr">
        <is>
          <t>الركيزة (5س)</t>
        </is>
      </c>
      <c r="Y3" s="15" t="inlineStr">
        <is>
          <t>المشروع (الخارطة)</t>
        </is>
      </c>
    </row>
    <row r="4" ht="26" customHeight="1">
      <c r="A4" s="16" t="n">
        <v>1</v>
      </c>
      <c r="B4" s="19" t="inlineStr">
        <is>
          <t>النمو والتوسع</t>
        </is>
      </c>
      <c r="C4" s="19" t="inlineStr">
        <is>
          <t>عدد محطات الامتياز المشغّلة (تراكمي)</t>
        </is>
      </c>
      <c r="D4" s="38" t="inlineStr">
        <is>
          <t>محطة</t>
        </is>
      </c>
      <c r="E4" s="38" t="inlineStr">
        <is>
          <t>↑</t>
        </is>
      </c>
      <c r="F4" s="38" t="inlineStr">
        <is>
          <t>LAST</t>
        </is>
      </c>
      <c r="G4" s="39" t="n">
        <v>150</v>
      </c>
      <c r="H4" s="40" t="inlineStr">
        <is>
          <t>150 محطة</t>
        </is>
      </c>
      <c r="I4" s="41" t="n"/>
      <c r="J4" s="41" t="n"/>
      <c r="K4" s="41" t="n"/>
      <c r="L4" s="41" t="n"/>
      <c r="M4" s="41" t="n"/>
      <c r="N4" s="41" t="n"/>
      <c r="O4" s="41" t="n"/>
      <c r="P4" s="41" t="n"/>
      <c r="Q4" s="41" t="n"/>
      <c r="R4" s="41" t="n"/>
      <c r="S4" s="41" t="n"/>
      <c r="T4" s="41" t="n"/>
      <c r="U4" s="42">
        <f>IF($F4="SUM",IF(COUNT($I4:$T4)=0,"",SUM($I4:$T4)),IF($F4="AVG",IFERROR(AVERAGE($I4:$T4),""),IF($F4="LAST",IFERROR(LOOKUP(2,1/($I4:$T4&lt;&gt;""),$I4:$T4),""),"")))</f>
        <v/>
      </c>
      <c r="V4" s="36">
        <f>IF($G4="","",IF($U4="","",IF($G4=0,IF($U4&lt;=0,1,0),IF($E4="↓",IFERROR($G4/$U4,0),IFERROR($U4/$G4,0)))))</f>
        <v/>
      </c>
      <c r="W4" s="16">
        <f>IF($V4="","—",IF($V4&gt;=1,"✅ محقق",IF($V4&gt;=0.85,"🟡 قريب","🔴 تحت الهدف")))</f>
        <v/>
      </c>
      <c r="X4" s="43" t="inlineStr">
        <is>
          <t>النمو</t>
        </is>
      </c>
      <c r="Y4" s="19" t="inlineStr">
        <is>
          <t>التوسع في المواقع</t>
        </is>
      </c>
    </row>
    <row r="5" ht="26" customHeight="1">
      <c r="A5" s="16" t="n">
        <v>2</v>
      </c>
      <c r="B5" s="19" t="inlineStr">
        <is>
          <t>النمو والتوسع</t>
        </is>
      </c>
      <c r="C5" s="19" t="inlineStr">
        <is>
          <t>عدد عقود الامتياز الجديدة الموقّعة</t>
        </is>
      </c>
      <c r="D5" s="38" t="inlineStr">
        <is>
          <t>عقد</t>
        </is>
      </c>
      <c r="E5" s="38" t="inlineStr">
        <is>
          <t>↑</t>
        </is>
      </c>
      <c r="F5" s="38" t="inlineStr">
        <is>
          <t>SUM</t>
        </is>
      </c>
      <c r="G5" s="39" t="n">
        <v>167</v>
      </c>
      <c r="H5" s="40" t="inlineStr">
        <is>
          <t>167 عقد</t>
        </is>
      </c>
      <c r="I5" s="41" t="n"/>
      <c r="J5" s="41" t="n"/>
      <c r="K5" s="41" t="n"/>
      <c r="L5" s="41" t="n"/>
      <c r="M5" s="41" t="n"/>
      <c r="N5" s="41" t="n"/>
      <c r="O5" s="41" t="n"/>
      <c r="P5" s="41" t="n"/>
      <c r="Q5" s="41" t="n"/>
      <c r="R5" s="41" t="n"/>
      <c r="S5" s="41" t="n"/>
      <c r="T5" s="41" t="n"/>
      <c r="U5" s="42">
        <f>IF($F5="SUM",IF(COUNT($I5:$T5)=0,"",SUM($I5:$T5)),IF($F5="AVG",IFERROR(AVERAGE($I5:$T5),""),IF($F5="LAST",IFERROR(LOOKUP(2,1/($I5:$T5&lt;&gt;""),$I5:$T5),""),"")))</f>
        <v/>
      </c>
      <c r="V5" s="36">
        <f>IF($G5="","",IF($U5="","",IF($G5=0,IF($U5&lt;=0,1,0),IF($E5="↓",IFERROR($G5/$U5,0),IFERROR($U5/$G5,0)))))</f>
        <v/>
      </c>
      <c r="W5" s="16">
        <f>IF($V5="","—",IF($V5&gt;=1,"✅ محقق",IF($V5&gt;=0.85,"🟡 قريب","🔴 تحت الهدف")))</f>
        <v/>
      </c>
      <c r="X5" s="43" t="inlineStr">
        <is>
          <t>النمو</t>
        </is>
      </c>
      <c r="Y5" s="19" t="inlineStr">
        <is>
          <t>الامتياز التجاري</t>
        </is>
      </c>
    </row>
    <row r="6" ht="26" customHeight="1">
      <c r="A6" s="16" t="n">
        <v>3</v>
      </c>
      <c r="B6" s="19" t="inlineStr">
        <is>
          <t>المبيعات والأداء التجاري</t>
        </is>
      </c>
      <c r="C6" s="19" t="inlineStr">
        <is>
          <t>إجمالي مبيعات وقود محطات الامتياز</t>
        </is>
      </c>
      <c r="D6" s="38" t="inlineStr">
        <is>
          <t>لتر</t>
        </is>
      </c>
      <c r="E6" s="38" t="inlineStr">
        <is>
          <t>↑</t>
        </is>
      </c>
      <c r="F6" s="38" t="inlineStr">
        <is>
          <t>SUM</t>
        </is>
      </c>
      <c r="G6" s="39" t="n">
        <v>718838077</v>
      </c>
      <c r="H6" s="40" t="inlineStr">
        <is>
          <t>718.8M لتر</t>
        </is>
      </c>
      <c r="I6" s="41" t="n"/>
      <c r="J6" s="41" t="n"/>
      <c r="K6" s="41" t="n"/>
      <c r="L6" s="41" t="n"/>
      <c r="M6" s="41" t="n"/>
      <c r="N6" s="41" t="n"/>
      <c r="O6" s="41" t="n"/>
      <c r="P6" s="41" t="n"/>
      <c r="Q6" s="41" t="n"/>
      <c r="R6" s="41" t="n"/>
      <c r="S6" s="41" t="n"/>
      <c r="T6" s="41" t="n"/>
      <c r="U6" s="42">
        <f>IF($F6="SUM",IF(COUNT($I6:$T6)=0,"",SUM($I6:$T6)),IF($F6="AVG",IFERROR(AVERAGE($I6:$T6),""),IF($F6="LAST",IFERROR(LOOKUP(2,1/($I6:$T6&lt;&gt;""),$I6:$T6),""),"")))</f>
        <v/>
      </c>
      <c r="V6" s="36">
        <f>IF($G6="","",IF($U6="","",IF($G6=0,IF($U6&lt;=0,1,0),IF($E6="↓",IFERROR($G6/$U6,0),IFERROR($U6/$G6,0)))))</f>
        <v/>
      </c>
      <c r="W6" s="16">
        <f>IF($V6="","—",IF($V6&gt;=1,"✅ محقق",IF($V6&gt;=0.85,"🟡 قريب","🔴 تحت الهدف")))</f>
        <v/>
      </c>
      <c r="X6" s="43" t="inlineStr">
        <is>
          <t>النمو</t>
        </is>
      </c>
      <c r="Y6" s="19" t="inlineStr">
        <is>
          <t>زيادة وصول العملاء</t>
        </is>
      </c>
    </row>
    <row r="7" ht="26" customHeight="1">
      <c r="A7" s="16" t="n">
        <v>4</v>
      </c>
      <c r="B7" s="19" t="inlineStr">
        <is>
          <t>المبيعات والأداء التجاري</t>
        </is>
      </c>
      <c r="C7" s="19" t="inlineStr">
        <is>
          <t>نسبة المحطات التي حققت مستهدف المبيعات</t>
        </is>
      </c>
      <c r="D7" s="38" t="inlineStr">
        <is>
          <t>%</t>
        </is>
      </c>
      <c r="E7" s="38" t="inlineStr">
        <is>
          <t>↑</t>
        </is>
      </c>
      <c r="F7" s="38" t="inlineStr">
        <is>
          <t>AVG</t>
        </is>
      </c>
      <c r="G7" s="44" t="n">
        <v>0.9</v>
      </c>
      <c r="H7" s="40" t="inlineStr">
        <is>
          <t>90%+</t>
        </is>
      </c>
      <c r="I7" s="45" t="n"/>
      <c r="J7" s="45" t="n"/>
      <c r="K7" s="45" t="n"/>
      <c r="L7" s="45" t="n"/>
      <c r="M7" s="45" t="n"/>
      <c r="N7" s="45" t="n"/>
      <c r="O7" s="45" t="n"/>
      <c r="P7" s="45" t="n"/>
      <c r="Q7" s="45" t="n"/>
      <c r="R7" s="45" t="n"/>
      <c r="S7" s="45" t="n"/>
      <c r="T7" s="45" t="n"/>
      <c r="U7" s="46">
        <f>IF($F7="SUM",IF(COUNT($I7:$T7)=0,"",SUM($I7:$T7)),IF($F7="AVG",IFERROR(AVERAGE($I7:$T7),""),IF($F7="LAST",IFERROR(LOOKUP(2,1/($I7:$T7&lt;&gt;""),$I7:$T7),""),"")))</f>
        <v/>
      </c>
      <c r="V7" s="36">
        <f>IF($G7="","",IF($U7="","",IF($G7=0,IF($U7&lt;=0,1,0),IF($E7="↓",IFERROR($G7/$U7,0),IFERROR($U7/$G7,0)))))</f>
        <v/>
      </c>
      <c r="W7" s="16">
        <f>IF($V7="","—",IF($V7&gt;=1,"✅ محقق",IF($V7&gt;=0.85,"🟡 قريب","🔴 تحت الهدف")))</f>
        <v/>
      </c>
      <c r="X7" s="43" t="inlineStr">
        <is>
          <t>النمو</t>
        </is>
      </c>
      <c r="Y7" s="19" t="inlineStr">
        <is>
          <t>زيادة وصول العملاء</t>
        </is>
      </c>
    </row>
    <row r="8" ht="26" customHeight="1">
      <c r="A8" s="16" t="n">
        <v>5</v>
      </c>
      <c r="B8" s="19" t="inlineStr">
        <is>
          <t>المبيعات والأداء التجاري</t>
        </is>
      </c>
      <c r="C8" s="19" t="inlineStr">
        <is>
          <t>متوسط مبيعات المحطة الواحدة شهرياً</t>
        </is>
      </c>
      <c r="D8" s="38" t="inlineStr">
        <is>
          <t>لتر/محطة</t>
        </is>
      </c>
      <c r="E8" s="38" t="inlineStr">
        <is>
          <t>↑</t>
        </is>
      </c>
      <c r="F8" s="38" t="inlineStr">
        <is>
          <t>AVG</t>
        </is>
      </c>
      <c r="G8" s="38" t="inlineStr"/>
      <c r="H8" s="40" t="inlineStr">
        <is>
          <t>+10% نمو شهري</t>
        </is>
      </c>
      <c r="I8" s="41" t="n"/>
      <c r="J8" s="41" t="n"/>
      <c r="K8" s="41" t="n"/>
      <c r="L8" s="41" t="n"/>
      <c r="M8" s="41" t="n"/>
      <c r="N8" s="41" t="n"/>
      <c r="O8" s="41" t="n"/>
      <c r="P8" s="41" t="n"/>
      <c r="Q8" s="41" t="n"/>
      <c r="R8" s="41" t="n"/>
      <c r="S8" s="41" t="n"/>
      <c r="T8" s="41" t="n"/>
      <c r="U8" s="42">
        <f>IF($F8="SUM",IF(COUNT($I8:$T8)=0,"",SUM($I8:$T8)),IF($F8="AVG",IFERROR(AVERAGE($I8:$T8),""),IF($F8="LAST",IFERROR(LOOKUP(2,1/($I8:$T8&lt;&gt;""),$I8:$T8),""),"")))</f>
        <v/>
      </c>
      <c r="V8" s="36">
        <f>IF($G8="","",IF($U8="","",IF($G8=0,IF($U8&lt;=0,1,0),IF($E8="↓",IFERROR($G8/$U8,0),IFERROR($U8/$G8,0)))))</f>
        <v/>
      </c>
      <c r="W8" s="16">
        <f>IF($V8="","—",IF($V8&gt;=1,"✅ محقق",IF($V8&gt;=0.85,"🟡 قريب","🔴 تحت الهدف")))</f>
        <v/>
      </c>
      <c r="X8" s="43" t="inlineStr">
        <is>
          <t>النمو</t>
        </is>
      </c>
      <c r="Y8" s="19" t="inlineStr">
        <is>
          <t>زيادة وصول العملاء</t>
        </is>
      </c>
    </row>
    <row r="9" ht="26" customHeight="1">
      <c r="A9" s="16" t="n">
        <v>6</v>
      </c>
      <c r="B9" s="19" t="inlineStr">
        <is>
          <t>المبيعات والأداء التجاري</t>
        </is>
      </c>
      <c r="C9" s="19" t="inlineStr">
        <is>
          <t>نسبة تأجير وحدات الامتياز</t>
        </is>
      </c>
      <c r="D9" s="38" t="inlineStr">
        <is>
          <t>%</t>
        </is>
      </c>
      <c r="E9" s="38" t="inlineStr">
        <is>
          <t>↑</t>
        </is>
      </c>
      <c r="F9" s="38" t="inlineStr">
        <is>
          <t>AVG</t>
        </is>
      </c>
      <c r="G9" s="44" t="n">
        <v>0.7</v>
      </c>
      <c r="H9" s="40" t="inlineStr">
        <is>
          <t>70%</t>
        </is>
      </c>
      <c r="I9" s="45" t="n"/>
      <c r="J9" s="45" t="n"/>
      <c r="K9" s="45" t="n"/>
      <c r="L9" s="45" t="n"/>
      <c r="M9" s="45" t="n"/>
      <c r="N9" s="45" t="n"/>
      <c r="O9" s="45" t="n"/>
      <c r="P9" s="45" t="n"/>
      <c r="Q9" s="45" t="n"/>
      <c r="R9" s="45" t="n"/>
      <c r="S9" s="45" t="n"/>
      <c r="T9" s="45" t="n"/>
      <c r="U9" s="46">
        <f>IF($F9="SUM",IF(COUNT($I9:$T9)=0,"",SUM($I9:$T9)),IF($F9="AVG",IFERROR(AVERAGE($I9:$T9),""),IF($F9="LAST",IFERROR(LOOKUP(2,1/($I9:$T9&lt;&gt;""),$I9:$T9),""),"")))</f>
        <v/>
      </c>
      <c r="V9" s="36">
        <f>IF($G9="","",IF($U9="","",IF($G9=0,IF($U9&lt;=0,1,0),IF($E9="↓",IFERROR($G9/$U9,0),IFERROR($U9/$G9,0)))))</f>
        <v/>
      </c>
      <c r="W9" s="16">
        <f>IF($V9="","—",IF($V9&gt;=1,"✅ محقق",IF($V9&gt;=0.85,"🟡 قريب","🔴 تحت الهدف")))</f>
        <v/>
      </c>
      <c r="X9" s="43" t="inlineStr">
        <is>
          <t>الاستدامة</t>
        </is>
      </c>
      <c r="Y9" s="19" t="inlineStr">
        <is>
          <t>منظومة التأجير</t>
        </is>
      </c>
    </row>
    <row r="10" ht="26" customHeight="1">
      <c r="A10" s="16" t="n">
        <v>7</v>
      </c>
      <c r="B10" s="19" t="inlineStr">
        <is>
          <t>الأداء المالي</t>
        </is>
      </c>
      <c r="C10" s="19" t="inlineStr">
        <is>
          <t>إجمالي إيرادات إدارة الامتياز</t>
        </is>
      </c>
      <c r="D10" s="38" t="inlineStr">
        <is>
          <t>ر.س</t>
        </is>
      </c>
      <c r="E10" s="38" t="inlineStr">
        <is>
          <t>↑</t>
        </is>
      </c>
      <c r="F10" s="38" t="inlineStr">
        <is>
          <t>SUM</t>
        </is>
      </c>
      <c r="G10" s="38" t="inlineStr"/>
      <c r="H10" s="40" t="inlineStr">
        <is>
          <t>تصاعدي مستمر</t>
        </is>
      </c>
      <c r="I10" s="47" t="n"/>
      <c r="J10" s="47" t="n"/>
      <c r="K10" s="47" t="n"/>
      <c r="L10" s="47" t="n"/>
      <c r="M10" s="47" t="n"/>
      <c r="N10" s="47" t="n"/>
      <c r="O10" s="47" t="n"/>
      <c r="P10" s="47" t="n"/>
      <c r="Q10" s="47" t="n"/>
      <c r="R10" s="47" t="n"/>
      <c r="S10" s="47" t="n"/>
      <c r="T10" s="47" t="n"/>
      <c r="U10" s="48">
        <f>IF($F10="SUM",IF(COUNT($I10:$T10)=0,"",SUM($I10:$T10)),IF($F10="AVG",IFERROR(AVERAGE($I10:$T10),""),IF($F10="LAST",IFERROR(LOOKUP(2,1/($I10:$T10&lt;&gt;""),$I10:$T10),""),"")))</f>
        <v/>
      </c>
      <c r="V10" s="36">
        <f>IF($G10="","",IF($U10="","",IF($G10=0,IF($U10&lt;=0,1,0),IF($E10="↓",IFERROR($G10/$U10,0),IFERROR($U10/$G10,0)))))</f>
        <v/>
      </c>
      <c r="W10" s="16">
        <f>IF($V10="","—",IF($V10&gt;=1,"✅ محقق",IF($V10&gt;=0.85,"🟡 قريب","🔴 تحت الهدف")))</f>
        <v/>
      </c>
      <c r="X10" s="43" t="inlineStr">
        <is>
          <t>النمو</t>
        </is>
      </c>
      <c r="Y10" s="19" t="inlineStr">
        <is>
          <t>الامتياز التجاري</t>
        </is>
      </c>
    </row>
    <row r="11" ht="26" customHeight="1">
      <c r="A11" s="16" t="n">
        <v>8</v>
      </c>
      <c r="B11" s="19" t="inlineStr">
        <is>
          <t>الأداء المالي</t>
        </is>
      </c>
      <c r="C11" s="19" t="inlineStr">
        <is>
          <t>رفع هامش الربحية للامتياز</t>
        </is>
      </c>
      <c r="D11" s="38" t="inlineStr">
        <is>
          <t>هللة/لتر</t>
        </is>
      </c>
      <c r="E11" s="38" t="inlineStr">
        <is>
          <t>↑</t>
        </is>
      </c>
      <c r="F11" s="38" t="inlineStr">
        <is>
          <t>AVG</t>
        </is>
      </c>
      <c r="G11" s="49" t="n">
        <v>1.8</v>
      </c>
      <c r="H11" s="40" t="inlineStr">
        <is>
          <t>+1.8 هللة/لتر</t>
        </is>
      </c>
      <c r="I11" s="50" t="n"/>
      <c r="J11" s="50" t="n"/>
      <c r="K11" s="50" t="n"/>
      <c r="L11" s="50" t="n"/>
      <c r="M11" s="50" t="n"/>
      <c r="N11" s="50" t="n"/>
      <c r="O11" s="50" t="n"/>
      <c r="P11" s="50" t="n"/>
      <c r="Q11" s="50" t="n"/>
      <c r="R11" s="50" t="n"/>
      <c r="S11" s="50" t="n"/>
      <c r="T11" s="50" t="n"/>
      <c r="U11" s="51">
        <f>IF($F11="SUM",IF(COUNT($I11:$T11)=0,"",SUM($I11:$T11)),IF($F11="AVG",IFERROR(AVERAGE($I11:$T11),""),IF($F11="LAST",IFERROR(LOOKUP(2,1/($I11:$T11&lt;&gt;""),$I11:$T11),""),"")))</f>
        <v/>
      </c>
      <c r="V11" s="36">
        <f>IF($G11="","",IF($U11="","",IF($G11=0,IF($U11&lt;=0,1,0),IF($E11="↓",IFERROR($G11/$U11,0),IFERROR($U11/$G11,0)))))</f>
        <v/>
      </c>
      <c r="W11" s="16">
        <f>IF($V11="","—",IF($V11&gt;=1,"✅ محقق",IF($V11&gt;=0.85,"🟡 قريب","🔴 تحت الهدف")))</f>
        <v/>
      </c>
      <c r="X11" s="43" t="inlineStr">
        <is>
          <t>النمو</t>
        </is>
      </c>
      <c r="Y11" s="19" t="inlineStr">
        <is>
          <t>الامتياز التجاري</t>
        </is>
      </c>
    </row>
    <row r="12" ht="26" customHeight="1">
      <c r="A12" s="16" t="n">
        <v>9</v>
      </c>
      <c r="B12" s="19" t="inlineStr">
        <is>
          <t>الأداء المالي</t>
        </is>
      </c>
      <c r="C12" s="19" t="inlineStr">
        <is>
          <t>نسبة التحصيل المالي من شركاء الامتياز</t>
        </is>
      </c>
      <c r="D12" s="38" t="inlineStr">
        <is>
          <t>%</t>
        </is>
      </c>
      <c r="E12" s="38" t="inlineStr">
        <is>
          <t>↑</t>
        </is>
      </c>
      <c r="F12" s="38" t="inlineStr">
        <is>
          <t>AVG</t>
        </is>
      </c>
      <c r="G12" s="44" t="n">
        <v>0.95</v>
      </c>
      <c r="H12" s="40" t="inlineStr">
        <is>
          <t>95%+</t>
        </is>
      </c>
      <c r="I12" s="45" t="n"/>
      <c r="J12" s="45" t="n"/>
      <c r="K12" s="45" t="n"/>
      <c r="L12" s="45" t="n"/>
      <c r="M12" s="45" t="n"/>
      <c r="N12" s="45" t="n"/>
      <c r="O12" s="45" t="n"/>
      <c r="P12" s="45" t="n"/>
      <c r="Q12" s="45" t="n"/>
      <c r="R12" s="45" t="n"/>
      <c r="S12" s="45" t="n"/>
      <c r="T12" s="45" t="n"/>
      <c r="U12" s="46">
        <f>IF($F12="SUM",IF(COUNT($I12:$T12)=0,"",SUM($I12:$T12)),IF($F12="AVG",IFERROR(AVERAGE($I12:$T12),""),IF($F12="LAST",IFERROR(LOOKUP(2,1/($I12:$T12&lt;&gt;""),$I12:$T12),""),"")))</f>
        <v/>
      </c>
      <c r="V12" s="36">
        <f>IF($G12="","",IF($U12="","",IF($G12=0,IF($U12&lt;=0,1,0),IF($E12="↓",IFERROR($G12/$U12,0),IFERROR($U12/$G12,0)))))</f>
        <v/>
      </c>
      <c r="W12" s="16">
        <f>IF($V12="","—",IF($V12&gt;=1,"✅ محقق",IF($V12&gt;=0.85,"🟡 قريب","🔴 تحت الهدف")))</f>
        <v/>
      </c>
      <c r="X12" s="43" t="inlineStr">
        <is>
          <t>الاستدامة</t>
        </is>
      </c>
      <c r="Y12" s="19" t="inlineStr">
        <is>
          <t>جودة التشغيل</t>
        </is>
      </c>
    </row>
    <row r="13" ht="26" customHeight="1">
      <c r="A13" s="16" t="n">
        <v>10</v>
      </c>
      <c r="B13" s="19" t="inlineStr">
        <is>
          <t>الأداء المالي</t>
        </is>
      </c>
      <c r="C13" s="19" t="inlineStr">
        <is>
          <t>متوسط أيام التحصيل (DSO)</t>
        </is>
      </c>
      <c r="D13" s="38" t="inlineStr">
        <is>
          <t>يوم</t>
        </is>
      </c>
      <c r="E13" s="38" t="inlineStr">
        <is>
          <t>↓</t>
        </is>
      </c>
      <c r="F13" s="38" t="inlineStr">
        <is>
          <t>AVG</t>
        </is>
      </c>
      <c r="G13" s="49" t="n">
        <v>30</v>
      </c>
      <c r="H13" s="40" t="inlineStr">
        <is>
          <t>≤ 30 يوم</t>
        </is>
      </c>
      <c r="I13" s="50" t="n"/>
      <c r="J13" s="50" t="n"/>
      <c r="K13" s="50" t="n"/>
      <c r="L13" s="50" t="n"/>
      <c r="M13" s="50" t="n"/>
      <c r="N13" s="50" t="n"/>
      <c r="O13" s="50" t="n"/>
      <c r="P13" s="50" t="n"/>
      <c r="Q13" s="50" t="n"/>
      <c r="R13" s="50" t="n"/>
      <c r="S13" s="50" t="n"/>
      <c r="T13" s="50" t="n"/>
      <c r="U13" s="51">
        <f>IF($F13="SUM",IF(COUNT($I13:$T13)=0,"",SUM($I13:$T13)),IF($F13="AVG",IFERROR(AVERAGE($I13:$T13),""),IF($F13="LAST",IFERROR(LOOKUP(2,1/($I13:$T13&lt;&gt;""),$I13:$T13),""),"")))</f>
        <v/>
      </c>
      <c r="V13" s="36">
        <f>IF($G13="","",IF($U13="","",IF($G13=0,IF($U13&lt;=0,1,0),IF($E13="↓",IFERROR($G13/$U13,0),IFERROR($U13/$G13,0)))))</f>
        <v/>
      </c>
      <c r="W13" s="16">
        <f>IF($V13="","—",IF($V13&gt;=1,"✅ محقق",IF($V13&gt;=0.85,"🟡 قريب","🔴 تحت الهدف")))</f>
        <v/>
      </c>
      <c r="X13" s="43" t="inlineStr">
        <is>
          <t>الاستدامة</t>
        </is>
      </c>
      <c r="Y13" s="19" t="inlineStr">
        <is>
          <t>جودة التشغيل</t>
        </is>
      </c>
    </row>
    <row r="14" ht="26" customHeight="1">
      <c r="A14" s="16" t="n">
        <v>11</v>
      </c>
      <c r="B14" s="19" t="inlineStr">
        <is>
          <t>الأداء المالي</t>
        </is>
      </c>
      <c r="C14" s="19" t="inlineStr">
        <is>
          <t>إجمالي المستحقات المتأخرة (+30 يوم)</t>
        </is>
      </c>
      <c r="D14" s="38" t="inlineStr">
        <is>
          <t>ر.س</t>
        </is>
      </c>
      <c r="E14" s="38" t="inlineStr">
        <is>
          <t>↓</t>
        </is>
      </c>
      <c r="F14" s="38" t="inlineStr">
        <is>
          <t>LAST</t>
        </is>
      </c>
      <c r="G14" s="38" t="inlineStr"/>
      <c r="H14" s="40" t="inlineStr">
        <is>
          <t>تراجع مستمر</t>
        </is>
      </c>
      <c r="I14" s="47" t="n"/>
      <c r="J14" s="47" t="n"/>
      <c r="K14" s="47" t="n"/>
      <c r="L14" s="47" t="n"/>
      <c r="M14" s="47" t="n"/>
      <c r="N14" s="47" t="n"/>
      <c r="O14" s="47" t="n"/>
      <c r="P14" s="47" t="n"/>
      <c r="Q14" s="47" t="n"/>
      <c r="R14" s="47" t="n"/>
      <c r="S14" s="47" t="n"/>
      <c r="T14" s="47" t="n"/>
      <c r="U14" s="48">
        <f>IF($F14="SUM",IF(COUNT($I14:$T14)=0,"",SUM($I14:$T14)),IF($F14="AVG",IFERROR(AVERAGE($I14:$T14),""),IF($F14="LAST",IFERROR(LOOKUP(2,1/($I14:$T14&lt;&gt;""),$I14:$T14),""),"")))</f>
        <v/>
      </c>
      <c r="V14" s="36">
        <f>IF($G14="","",IF($U14="","",IF($G14=0,IF($U14&lt;=0,1,0),IF($E14="↓",IFERROR($G14/$U14,0),IFERROR($U14/$G14,0)))))</f>
        <v/>
      </c>
      <c r="W14" s="16">
        <f>IF($V14="","—",IF($V14&gt;=1,"✅ محقق",IF($V14&gt;=0.85,"🟡 قريب","🔴 تحت الهدف")))</f>
        <v/>
      </c>
      <c r="X14" s="43" t="inlineStr">
        <is>
          <t>الاستدامة</t>
        </is>
      </c>
      <c r="Y14" s="19" t="inlineStr">
        <is>
          <t>جودة التشغيل</t>
        </is>
      </c>
    </row>
    <row r="15" ht="26" customHeight="1">
      <c r="A15" s="16" t="n">
        <v>12</v>
      </c>
      <c r="B15" s="19" t="inlineStr">
        <is>
          <t>الأداء المالي</t>
        </is>
      </c>
      <c r="C15" s="19" t="inlineStr">
        <is>
          <t>نسبة الشركاء الملتزمين بمواعيد السداد</t>
        </is>
      </c>
      <c r="D15" s="38" t="inlineStr">
        <is>
          <t>%</t>
        </is>
      </c>
      <c r="E15" s="38" t="inlineStr">
        <is>
          <t>↑</t>
        </is>
      </c>
      <c r="F15" s="38" t="inlineStr">
        <is>
          <t>AVG</t>
        </is>
      </c>
      <c r="G15" s="44" t="n">
        <v>0.9</v>
      </c>
      <c r="H15" s="40" t="inlineStr">
        <is>
          <t>90%+</t>
        </is>
      </c>
      <c r="I15" s="45" t="n"/>
      <c r="J15" s="45" t="n"/>
      <c r="K15" s="45" t="n"/>
      <c r="L15" s="45" t="n"/>
      <c r="M15" s="45" t="n"/>
      <c r="N15" s="45" t="n"/>
      <c r="O15" s="45" t="n"/>
      <c r="P15" s="45" t="n"/>
      <c r="Q15" s="45" t="n"/>
      <c r="R15" s="45" t="n"/>
      <c r="S15" s="45" t="n"/>
      <c r="T15" s="45" t="n"/>
      <c r="U15" s="46">
        <f>IF($F15="SUM",IF(COUNT($I15:$T15)=0,"",SUM($I15:$T15)),IF($F15="AVG",IFERROR(AVERAGE($I15:$T15),""),IF($F15="LAST",IFERROR(LOOKUP(2,1/($I15:$T15&lt;&gt;""),$I15:$T15),""),"")))</f>
        <v/>
      </c>
      <c r="V15" s="36">
        <f>IF($G15="","",IF($U15="","",IF($G15=0,IF($U15&lt;=0,1,0),IF($E15="↓",IFERROR($G15/$U15,0),IFERROR($U15/$G15,0)))))</f>
        <v/>
      </c>
      <c r="W15" s="16">
        <f>IF($V15="","—",IF($V15&gt;=1,"✅ محقق",IF($V15&gt;=0.85,"🟡 قريب","🔴 تحت الهدف")))</f>
        <v/>
      </c>
      <c r="X15" s="43" t="inlineStr">
        <is>
          <t>الاستدامة</t>
        </is>
      </c>
      <c r="Y15" s="19" t="inlineStr">
        <is>
          <t>جودة التشغيل</t>
        </is>
      </c>
    </row>
    <row r="16" ht="26" customHeight="1">
      <c r="A16" s="16" t="n">
        <v>13</v>
      </c>
      <c r="B16" s="19" t="inlineStr">
        <is>
          <t>الأداء المالي</t>
        </is>
      </c>
      <c r="C16" s="19" t="inlineStr">
        <is>
          <t>معدل دوران رأس المال (أيام الدورة)</t>
        </is>
      </c>
      <c r="D16" s="38" t="inlineStr">
        <is>
          <t>يوم</t>
        </is>
      </c>
      <c r="E16" s="38" t="inlineStr">
        <is>
          <t>↓</t>
        </is>
      </c>
      <c r="F16" s="38" t="inlineStr">
        <is>
          <t>AVG</t>
        </is>
      </c>
      <c r="G16" s="49" t="n">
        <v>5</v>
      </c>
      <c r="H16" s="40" t="inlineStr">
        <is>
          <t>≤ 5 أيام</t>
        </is>
      </c>
      <c r="I16" s="50" t="n"/>
      <c r="J16" s="50" t="n"/>
      <c r="K16" s="50" t="n"/>
      <c r="L16" s="50" t="n"/>
      <c r="M16" s="50" t="n"/>
      <c r="N16" s="50" t="n"/>
      <c r="O16" s="50" t="n"/>
      <c r="P16" s="50" t="n"/>
      <c r="Q16" s="50" t="n"/>
      <c r="R16" s="50" t="n"/>
      <c r="S16" s="50" t="n"/>
      <c r="T16" s="50" t="n"/>
      <c r="U16" s="51">
        <f>IF($F16="SUM",IF(COUNT($I16:$T16)=0,"",SUM($I16:$T16)),IF($F16="AVG",IFERROR(AVERAGE($I16:$T16),""),IF($F16="LAST",IFERROR(LOOKUP(2,1/($I16:$T16&lt;&gt;""),$I16:$T16),""),"")))</f>
        <v/>
      </c>
      <c r="V16" s="36">
        <f>IF($G16="","",IF($U16="","",IF($G16=0,IF($U16&lt;=0,1,0),IF($E16="↓",IFERROR($G16/$U16,0),IFERROR($U16/$G16,0)))))</f>
        <v/>
      </c>
      <c r="W16" s="16">
        <f>IF($V16="","—",IF($V16&gt;=1,"✅ محقق",IF($V16&gt;=0.85,"🟡 قريب","🔴 تحت الهدف")))</f>
        <v/>
      </c>
      <c r="X16" s="43" t="inlineStr">
        <is>
          <t>الاستدامة</t>
        </is>
      </c>
      <c r="Y16" s="19" t="inlineStr">
        <is>
          <t>جودة التشغيل</t>
        </is>
      </c>
    </row>
    <row r="17" ht="26" customHeight="1">
      <c r="A17" s="16" t="n">
        <v>14</v>
      </c>
      <c r="B17" s="19" t="inlineStr">
        <is>
          <t>التشغيل والجودة</t>
        </is>
      </c>
      <c r="C17" s="19" t="inlineStr">
        <is>
          <t>نسبة جاهزية محطات الامتياز (صفر انقطاع)</t>
        </is>
      </c>
      <c r="D17" s="38" t="inlineStr">
        <is>
          <t>%</t>
        </is>
      </c>
      <c r="E17" s="38" t="inlineStr">
        <is>
          <t>↑</t>
        </is>
      </c>
      <c r="F17" s="38" t="inlineStr">
        <is>
          <t>AVG</t>
        </is>
      </c>
      <c r="G17" s="44" t="n">
        <v>0.99</v>
      </c>
      <c r="H17" s="40" t="inlineStr">
        <is>
          <t>99%+</t>
        </is>
      </c>
      <c r="I17" s="45" t="n"/>
      <c r="J17" s="45" t="n"/>
      <c r="K17" s="45" t="n"/>
      <c r="L17" s="45" t="n"/>
      <c r="M17" s="45" t="n"/>
      <c r="N17" s="45" t="n"/>
      <c r="O17" s="45" t="n"/>
      <c r="P17" s="45" t="n"/>
      <c r="Q17" s="45" t="n"/>
      <c r="R17" s="45" t="n"/>
      <c r="S17" s="45" t="n"/>
      <c r="T17" s="45" t="n"/>
      <c r="U17" s="46">
        <f>IF($F17="SUM",IF(COUNT($I17:$T17)=0,"",SUM($I17:$T17)),IF($F17="AVG",IFERROR(AVERAGE($I17:$T17),""),IF($F17="LAST",IFERROR(LOOKUP(2,1/($I17:$T17&lt;&gt;""),$I17:$T17),""),"")))</f>
        <v/>
      </c>
      <c r="V17" s="36">
        <f>IF($G17="","",IF($U17="","",IF($G17=0,IF($U17&lt;=0,1,0),IF($E17="↓",IFERROR($G17/$U17,0),IFERROR($U17/$G17,0)))))</f>
        <v/>
      </c>
      <c r="W17" s="16">
        <f>IF($V17="","—",IF($V17&gt;=1,"✅ محقق",IF($V17&gt;=0.85,"🟡 قريب","🔴 تحت الهدف")))</f>
        <v/>
      </c>
      <c r="X17" s="43" t="inlineStr">
        <is>
          <t>الاستدامة</t>
        </is>
      </c>
      <c r="Y17" s="19" t="inlineStr">
        <is>
          <t>جودة التشغيل</t>
        </is>
      </c>
    </row>
    <row r="18" ht="26" customHeight="1">
      <c r="A18" s="16" t="n">
        <v>15</v>
      </c>
      <c r="B18" s="19" t="inlineStr">
        <is>
          <t>التشغيل والجودة</t>
        </is>
      </c>
      <c r="C18" s="19" t="inlineStr">
        <is>
          <t>عدد حالات انقطاع الوقود الموثّقة</t>
        </is>
      </c>
      <c r="D18" s="38" t="inlineStr">
        <is>
          <t>حالة</t>
        </is>
      </c>
      <c r="E18" s="38" t="inlineStr">
        <is>
          <t>↓</t>
        </is>
      </c>
      <c r="F18" s="38" t="inlineStr">
        <is>
          <t>SUM</t>
        </is>
      </c>
      <c r="G18" s="39" t="n">
        <v>0</v>
      </c>
      <c r="H18" s="40" t="inlineStr">
        <is>
          <t>0 حالة</t>
        </is>
      </c>
      <c r="I18" s="41" t="n"/>
      <c r="J18" s="41" t="n"/>
      <c r="K18" s="41" t="n"/>
      <c r="L18" s="41" t="n"/>
      <c r="M18" s="41" t="n"/>
      <c r="N18" s="41" t="n"/>
      <c r="O18" s="41" t="n"/>
      <c r="P18" s="41" t="n"/>
      <c r="Q18" s="41" t="n"/>
      <c r="R18" s="41" t="n"/>
      <c r="S18" s="41" t="n"/>
      <c r="T18" s="41" t="n"/>
      <c r="U18" s="42">
        <f>IF($F18="SUM",IF(COUNT($I18:$T18)=0,"",SUM($I18:$T18)),IF($F18="AVG",IFERROR(AVERAGE($I18:$T18),""),IF($F18="LAST",IFERROR(LOOKUP(2,1/($I18:$T18&lt;&gt;""),$I18:$T18),""),"")))</f>
        <v/>
      </c>
      <c r="V18" s="36">
        <f>IF($G18="","",IF($U18="","",IF($G18=0,IF($U18&lt;=0,1,0),IF($E18="↓",IFERROR($G18/$U18,0),IFERROR($U18/$G18,0)))))</f>
        <v/>
      </c>
      <c r="W18" s="16">
        <f>IF($V18="","—",IF($V18&gt;=1,"✅ محقق",IF($V18&gt;=0.85,"🟡 قريب","🔴 تحت الهدف")))</f>
        <v/>
      </c>
      <c r="X18" s="43" t="inlineStr">
        <is>
          <t>الاستدامة</t>
        </is>
      </c>
      <c r="Y18" s="19" t="inlineStr">
        <is>
          <t>جودة التشغيل</t>
        </is>
      </c>
    </row>
    <row r="19" ht="26" customHeight="1">
      <c r="A19" s="16" t="n">
        <v>16</v>
      </c>
      <c r="B19" s="19" t="inlineStr">
        <is>
          <t>التشغيل والجودة</t>
        </is>
      </c>
      <c r="C19" s="19" t="inlineStr">
        <is>
          <t>نسبة إغلاق ملاحظات الجودة الميدانية</t>
        </is>
      </c>
      <c r="D19" s="38" t="inlineStr">
        <is>
          <t>%</t>
        </is>
      </c>
      <c r="E19" s="38" t="inlineStr">
        <is>
          <t>↑</t>
        </is>
      </c>
      <c r="F19" s="38" t="inlineStr">
        <is>
          <t>AVG</t>
        </is>
      </c>
      <c r="G19" s="44" t="n">
        <v>0.95</v>
      </c>
      <c r="H19" s="40" t="inlineStr">
        <is>
          <t>95%+</t>
        </is>
      </c>
      <c r="I19" s="45" t="n"/>
      <c r="J19" s="45" t="n"/>
      <c r="K19" s="45" t="n"/>
      <c r="L19" s="45" t="n"/>
      <c r="M19" s="45" t="n"/>
      <c r="N19" s="45" t="n"/>
      <c r="O19" s="45" t="n"/>
      <c r="P19" s="45" t="n"/>
      <c r="Q19" s="45" t="n"/>
      <c r="R19" s="45" t="n"/>
      <c r="S19" s="45" t="n"/>
      <c r="T19" s="45" t="n"/>
      <c r="U19" s="46">
        <f>IF($F19="SUM",IF(COUNT($I19:$T19)=0,"",SUM($I19:$T19)),IF($F19="AVG",IFERROR(AVERAGE($I19:$T19),""),IF($F19="LAST",IFERROR(LOOKUP(2,1/($I19:$T19&lt;&gt;""),$I19:$T19),""),"")))</f>
        <v/>
      </c>
      <c r="V19" s="36">
        <f>IF($G19="","",IF($U19="","",IF($G19=0,IF($U19&lt;=0,1,0),IF($E19="↓",IFERROR($G19/$U19,0),IFERROR($U19/$G19,0)))))</f>
        <v/>
      </c>
      <c r="W19" s="16">
        <f>IF($V19="","—",IF($V19&gt;=1,"✅ محقق",IF($V19&gt;=0.85,"🟡 قريب","🔴 تحت الهدف")))</f>
        <v/>
      </c>
      <c r="X19" s="43" t="inlineStr">
        <is>
          <t>الاستدامة</t>
        </is>
      </c>
      <c r="Y19" s="19" t="inlineStr">
        <is>
          <t>جودة التشغيل</t>
        </is>
      </c>
    </row>
    <row r="20" ht="26" customHeight="1">
      <c r="A20" s="16" t="n">
        <v>17</v>
      </c>
      <c r="B20" s="19" t="inlineStr">
        <is>
          <t>التشغيل والجودة</t>
        </is>
      </c>
      <c r="C20" s="19" t="inlineStr">
        <is>
          <t>متوسط درجة تقييم جودة المحطة (قائمة التحقق)</t>
        </is>
      </c>
      <c r="D20" s="38" t="inlineStr">
        <is>
          <t>درجة/100</t>
        </is>
      </c>
      <c r="E20" s="38" t="inlineStr">
        <is>
          <t>↑</t>
        </is>
      </c>
      <c r="F20" s="38" t="inlineStr">
        <is>
          <t>AVG</t>
        </is>
      </c>
      <c r="G20" s="49" t="n">
        <v>85</v>
      </c>
      <c r="H20" s="40" t="inlineStr">
        <is>
          <t>85+</t>
        </is>
      </c>
      <c r="I20" s="50" t="n"/>
      <c r="J20" s="50" t="n"/>
      <c r="K20" s="50" t="n"/>
      <c r="L20" s="50" t="n"/>
      <c r="M20" s="50" t="n"/>
      <c r="N20" s="50" t="n"/>
      <c r="O20" s="50" t="n"/>
      <c r="P20" s="50" t="n"/>
      <c r="Q20" s="50" t="n"/>
      <c r="R20" s="50" t="n"/>
      <c r="S20" s="50" t="n"/>
      <c r="T20" s="50" t="n"/>
      <c r="U20" s="51">
        <f>IF($F20="SUM",IF(COUNT($I20:$T20)=0,"",SUM($I20:$T20)),IF($F20="AVG",IFERROR(AVERAGE($I20:$T20),""),IF($F20="LAST",IFERROR(LOOKUP(2,1/($I20:$T20&lt;&gt;""),$I20:$T20),""),"")))</f>
        <v/>
      </c>
      <c r="V20" s="36">
        <f>IF($G20="","",IF($U20="","",IF($G20=0,IF($U20&lt;=0,1,0),IF($E20="↓",IFERROR($G20/$U20,0),IFERROR($U20/$G20,0)))))</f>
        <v/>
      </c>
      <c r="W20" s="16">
        <f>IF($V20="","—",IF($V20&gt;=1,"✅ محقق",IF($V20&gt;=0.85,"🟡 قريب","🔴 تحت الهدف")))</f>
        <v/>
      </c>
      <c r="X20" s="43" t="inlineStr">
        <is>
          <t>الاستدامة</t>
        </is>
      </c>
      <c r="Y20" s="19" t="inlineStr">
        <is>
          <t>جودة التشغيل</t>
        </is>
      </c>
    </row>
    <row r="21" ht="26" customHeight="1">
      <c r="A21" s="16" t="n">
        <v>18</v>
      </c>
      <c r="B21" s="19" t="inlineStr">
        <is>
          <t>التشغيل والجودة</t>
        </is>
      </c>
      <c r="C21" s="19" t="inlineStr">
        <is>
          <t>نسبة تنفيذ الزيارات الميدانية المجدولة</t>
        </is>
      </c>
      <c r="D21" s="38" t="inlineStr">
        <is>
          <t>%</t>
        </is>
      </c>
      <c r="E21" s="38" t="inlineStr">
        <is>
          <t>↑</t>
        </is>
      </c>
      <c r="F21" s="38" t="inlineStr">
        <is>
          <t>AVG</t>
        </is>
      </c>
      <c r="G21" s="44" t="n">
        <v>1</v>
      </c>
      <c r="H21" s="40" t="inlineStr">
        <is>
          <t>100%</t>
        </is>
      </c>
      <c r="I21" s="45" t="n"/>
      <c r="J21" s="45" t="n"/>
      <c r="K21" s="45" t="n"/>
      <c r="L21" s="45" t="n"/>
      <c r="M21" s="45" t="n"/>
      <c r="N21" s="45" t="n"/>
      <c r="O21" s="45" t="n"/>
      <c r="P21" s="45" t="n"/>
      <c r="Q21" s="45" t="n"/>
      <c r="R21" s="45" t="n"/>
      <c r="S21" s="45" t="n"/>
      <c r="T21" s="45" t="n"/>
      <c r="U21" s="46">
        <f>IF($F21="SUM",IF(COUNT($I21:$T21)=0,"",SUM($I21:$T21)),IF($F21="AVG",IFERROR(AVERAGE($I21:$T21),""),IF($F21="LAST",IFERROR(LOOKUP(2,1/($I21:$T21&lt;&gt;""),$I21:$T21),""),"")))</f>
        <v/>
      </c>
      <c r="V21" s="36">
        <f>IF($G21="","",IF($U21="","",IF($G21=0,IF($U21&lt;=0,1,0),IF($E21="↓",IFERROR($G21/$U21,0),IFERROR($U21/$G21,0)))))</f>
        <v/>
      </c>
      <c r="W21" s="16">
        <f>IF($V21="","—",IF($V21&gt;=1,"✅ محقق",IF($V21&gt;=0.85,"🟡 قريب","🔴 تحت الهدف")))</f>
        <v/>
      </c>
      <c r="X21" s="43" t="inlineStr">
        <is>
          <t>الاستدامة</t>
        </is>
      </c>
      <c r="Y21" s="19" t="inlineStr">
        <is>
          <t>جودة التشغيل</t>
        </is>
      </c>
    </row>
    <row r="22" ht="26" customHeight="1">
      <c r="A22" s="16" t="n">
        <v>19</v>
      </c>
      <c r="B22" s="19" t="inlineStr">
        <is>
          <t>التشغيل والجودة</t>
        </is>
      </c>
      <c r="C22" s="19" t="inlineStr">
        <is>
          <t>نسبة المحطات المستوفية لمعايير السلامة</t>
        </is>
      </c>
      <c r="D22" s="38" t="inlineStr">
        <is>
          <t>%</t>
        </is>
      </c>
      <c r="E22" s="38" t="inlineStr">
        <is>
          <t>↑</t>
        </is>
      </c>
      <c r="F22" s="38" t="inlineStr">
        <is>
          <t>AVG</t>
        </is>
      </c>
      <c r="G22" s="44" t="n">
        <v>1</v>
      </c>
      <c r="H22" s="40" t="inlineStr">
        <is>
          <t>100%</t>
        </is>
      </c>
      <c r="I22" s="45" t="n"/>
      <c r="J22" s="45" t="n"/>
      <c r="K22" s="45" t="n"/>
      <c r="L22" s="45" t="n"/>
      <c r="M22" s="45" t="n"/>
      <c r="N22" s="45" t="n"/>
      <c r="O22" s="45" t="n"/>
      <c r="P22" s="45" t="n"/>
      <c r="Q22" s="45" t="n"/>
      <c r="R22" s="45" t="n"/>
      <c r="S22" s="45" t="n"/>
      <c r="T22" s="45" t="n"/>
      <c r="U22" s="46">
        <f>IF($F22="SUM",IF(COUNT($I22:$T22)=0,"",SUM($I22:$T22)),IF($F22="AVG",IFERROR(AVERAGE($I22:$T22),""),IF($F22="LAST",IFERROR(LOOKUP(2,1/($I22:$T22&lt;&gt;""),$I22:$T22),""),"")))</f>
        <v/>
      </c>
      <c r="V22" s="36">
        <f>IF($G22="","",IF($U22="","",IF($G22=0,IF($U22&lt;=0,1,0),IF($E22="↓",IFERROR($G22/$U22,0),IFERROR($U22/$G22,0)))))</f>
        <v/>
      </c>
      <c r="W22" s="16">
        <f>IF($V22="","—",IF($V22&gt;=1,"✅ محقق",IF($V22&gt;=0.85,"🟡 قريب","🔴 تحت الهدف")))</f>
        <v/>
      </c>
      <c r="X22" s="43" t="inlineStr">
        <is>
          <t>الاستدامة</t>
        </is>
      </c>
      <c r="Y22" s="19" t="inlineStr">
        <is>
          <t>جودة التشغيل</t>
        </is>
      </c>
    </row>
    <row r="23" ht="26" customHeight="1">
      <c r="A23" s="16" t="n">
        <v>20</v>
      </c>
      <c r="B23" s="19" t="inlineStr">
        <is>
          <t>التشغيل والجودة</t>
        </is>
      </c>
      <c r="C23" s="19" t="inlineStr">
        <is>
          <t>متوسط وقت معالجة البلاغات التشغيلية</t>
        </is>
      </c>
      <c r="D23" s="38" t="inlineStr">
        <is>
          <t>ساعة</t>
        </is>
      </c>
      <c r="E23" s="38" t="inlineStr">
        <is>
          <t>↓</t>
        </is>
      </c>
      <c r="F23" s="38" t="inlineStr">
        <is>
          <t>AVG</t>
        </is>
      </c>
      <c r="G23" s="49" t="n">
        <v>24</v>
      </c>
      <c r="H23" s="40" t="inlineStr">
        <is>
          <t>≤ 24 ساعة</t>
        </is>
      </c>
      <c r="I23" s="50" t="n"/>
      <c r="J23" s="50" t="n"/>
      <c r="K23" s="50" t="n"/>
      <c r="L23" s="50" t="n"/>
      <c r="M23" s="50" t="n"/>
      <c r="N23" s="50" t="n"/>
      <c r="O23" s="50" t="n"/>
      <c r="P23" s="50" t="n"/>
      <c r="Q23" s="50" t="n"/>
      <c r="R23" s="50" t="n"/>
      <c r="S23" s="50" t="n"/>
      <c r="T23" s="50" t="n"/>
      <c r="U23" s="51">
        <f>IF($F23="SUM",IF(COUNT($I23:$T23)=0,"",SUM($I23:$T23)),IF($F23="AVG",IFERROR(AVERAGE($I23:$T23),""),IF($F23="LAST",IFERROR(LOOKUP(2,1/($I23:$T23&lt;&gt;""),$I23:$T23),""),"")))</f>
        <v/>
      </c>
      <c r="V23" s="36">
        <f>IF($G23="","",IF($U23="","",IF($G23=0,IF($U23&lt;=0,1,0),IF($E23="↓",IFERROR($G23/$U23,0),IFERROR($U23/$G23,0)))))</f>
        <v/>
      </c>
      <c r="W23" s="16">
        <f>IF($V23="","—",IF($V23&gt;=1,"✅ محقق",IF($V23&gt;=0.85,"🟡 قريب","🔴 تحت الهدف")))</f>
        <v/>
      </c>
      <c r="X23" s="43" t="inlineStr">
        <is>
          <t>الاستدامة</t>
        </is>
      </c>
      <c r="Y23" s="19" t="inlineStr">
        <is>
          <t>جودة التشغيل</t>
        </is>
      </c>
    </row>
    <row r="24" ht="26" customHeight="1">
      <c r="A24" s="16" t="n">
        <v>21</v>
      </c>
      <c r="B24" s="19" t="inlineStr">
        <is>
          <t>التشغيل والجودة</t>
        </is>
      </c>
      <c r="C24" s="19" t="inlineStr">
        <is>
          <t>نسبة أتمتة محطات الامتياز</t>
        </is>
      </c>
      <c r="D24" s="38" t="inlineStr">
        <is>
          <t>%</t>
        </is>
      </c>
      <c r="E24" s="38" t="inlineStr">
        <is>
          <t>↑</t>
        </is>
      </c>
      <c r="F24" s="38" t="inlineStr">
        <is>
          <t>LAST</t>
        </is>
      </c>
      <c r="G24" s="44" t="n">
        <v>0.9</v>
      </c>
      <c r="H24" s="40" t="inlineStr">
        <is>
          <t>90%</t>
        </is>
      </c>
      <c r="I24" s="45" t="n"/>
      <c r="J24" s="45" t="n"/>
      <c r="K24" s="45" t="n"/>
      <c r="L24" s="45" t="n"/>
      <c r="M24" s="45" t="n"/>
      <c r="N24" s="45" t="n"/>
      <c r="O24" s="45" t="n"/>
      <c r="P24" s="45" t="n"/>
      <c r="Q24" s="45" t="n"/>
      <c r="R24" s="45" t="n"/>
      <c r="S24" s="45" t="n"/>
      <c r="T24" s="45" t="n"/>
      <c r="U24" s="46">
        <f>IF($F24="SUM",IF(COUNT($I24:$T24)=0,"",SUM($I24:$T24)),IF($F24="AVG",IFERROR(AVERAGE($I24:$T24),""),IF($F24="LAST",IFERROR(LOOKUP(2,1/($I24:$T24&lt;&gt;""),$I24:$T24),""),"")))</f>
        <v/>
      </c>
      <c r="V24" s="36">
        <f>IF($G24="","",IF($U24="","",IF($G24=0,IF($U24&lt;=0,1,0),IF($E24="↓",IFERROR($G24/$U24,0),IFERROR($U24/$G24,0)))))</f>
        <v/>
      </c>
      <c r="W24" s="16">
        <f>IF($V24="","—",IF($V24&gt;=1,"✅ محقق",IF($V24&gt;=0.85,"🟡 قريب","🔴 تحت الهدف")))</f>
        <v/>
      </c>
      <c r="X24" s="43" t="inlineStr">
        <is>
          <t>الابتكار</t>
        </is>
      </c>
      <c r="Y24" s="19" t="inlineStr">
        <is>
          <t>التحول التقني</t>
        </is>
      </c>
    </row>
    <row r="25" ht="26" customHeight="1">
      <c r="A25" s="16" t="n">
        <v>22</v>
      </c>
      <c r="B25" s="19" t="inlineStr">
        <is>
          <t>التشغيل والجودة</t>
        </is>
      </c>
      <c r="C25" s="19" t="inlineStr">
        <is>
          <t>نسبة تطبيق المعيار الشامل داخل المحطات</t>
        </is>
      </c>
      <c r="D25" s="38" t="inlineStr">
        <is>
          <t>%</t>
        </is>
      </c>
      <c r="E25" s="38" t="inlineStr">
        <is>
          <t>↑</t>
        </is>
      </c>
      <c r="F25" s="38" t="inlineStr">
        <is>
          <t>LAST</t>
        </is>
      </c>
      <c r="G25" s="44" t="n">
        <v>0.3</v>
      </c>
      <c r="H25" s="40" t="inlineStr">
        <is>
          <t>30%</t>
        </is>
      </c>
      <c r="I25" s="45" t="n"/>
      <c r="J25" s="45" t="n"/>
      <c r="K25" s="45" t="n"/>
      <c r="L25" s="45" t="n"/>
      <c r="M25" s="45" t="n"/>
      <c r="N25" s="45" t="n"/>
      <c r="O25" s="45" t="n"/>
      <c r="P25" s="45" t="n"/>
      <c r="Q25" s="45" t="n"/>
      <c r="R25" s="45" t="n"/>
      <c r="S25" s="45" t="n"/>
      <c r="T25" s="45" t="n"/>
      <c r="U25" s="46">
        <f>IF($F25="SUM",IF(COUNT($I25:$T25)=0,"",SUM($I25:$T25)),IF($F25="AVG",IFERROR(AVERAGE($I25:$T25),""),IF($F25="LAST",IFERROR(LOOKUP(2,1/($I25:$T25&lt;&gt;""),$I25:$T25),""),"")))</f>
        <v/>
      </c>
      <c r="V25" s="36">
        <f>IF($G25="","",IF($U25="","",IF($G25=0,IF($U25&lt;=0,1,0),IF($E25="↓",IFERROR($G25/$U25,0),IFERROR($U25/$G25,0)))))</f>
        <v/>
      </c>
      <c r="W25" s="16">
        <f>IF($V25="","—",IF($V25&gt;=1,"✅ محقق",IF($V25&gt;=0.85,"🟡 قريب","🔴 تحت الهدف")))</f>
        <v/>
      </c>
      <c r="X25" s="43" t="inlineStr">
        <is>
          <t>الابتكار</t>
        </is>
      </c>
      <c r="Y25" s="19" t="inlineStr">
        <is>
          <t>التحول التقني</t>
        </is>
      </c>
    </row>
    <row r="26" ht="26" customHeight="1">
      <c r="A26" s="16" t="n">
        <v>23</v>
      </c>
      <c r="B26" s="19" t="inlineStr">
        <is>
          <t>الهوية والتسويق</t>
        </is>
      </c>
      <c r="C26" s="19" t="inlineStr">
        <is>
          <t>نسبة التزام المحطات بالهوية المؤسسية</t>
        </is>
      </c>
      <c r="D26" s="38" t="inlineStr">
        <is>
          <t>%</t>
        </is>
      </c>
      <c r="E26" s="38" t="inlineStr">
        <is>
          <t>↑</t>
        </is>
      </c>
      <c r="F26" s="38" t="inlineStr">
        <is>
          <t>LAST</t>
        </is>
      </c>
      <c r="G26" s="44" t="n">
        <v>0.55</v>
      </c>
      <c r="H26" s="40" t="inlineStr">
        <is>
          <t>55%</t>
        </is>
      </c>
      <c r="I26" s="45" t="n"/>
      <c r="J26" s="45" t="n"/>
      <c r="K26" s="45" t="n"/>
      <c r="L26" s="45" t="n"/>
      <c r="M26" s="45" t="n"/>
      <c r="N26" s="45" t="n"/>
      <c r="O26" s="45" t="n"/>
      <c r="P26" s="45" t="n"/>
      <c r="Q26" s="45" t="n"/>
      <c r="R26" s="45" t="n"/>
      <c r="S26" s="45" t="n"/>
      <c r="T26" s="45" t="n"/>
      <c r="U26" s="46">
        <f>IF($F26="SUM",IF(COUNT($I26:$T26)=0,"",SUM($I26:$T26)),IF($F26="AVG",IFERROR(AVERAGE($I26:$T26),""),IF($F26="LAST",IFERROR(LOOKUP(2,1/($I26:$T26&lt;&gt;""),$I26:$T26),""),"")))</f>
        <v/>
      </c>
      <c r="V26" s="36">
        <f>IF($G26="","",IF($U26="","",IF($G26=0,IF($U26&lt;=0,1,0),IF($E26="↓",IFERROR($G26/$U26,0),IFERROR($U26/$G26,0)))))</f>
        <v/>
      </c>
      <c r="W26" s="16">
        <f>IF($V26="","—",IF($V26&gt;=1,"✅ محقق",IF($V26&gt;=0.85,"🟡 قريب","🔴 تحت الهدف")))</f>
        <v/>
      </c>
      <c r="X26" s="43" t="inlineStr">
        <is>
          <t>الابتكار</t>
        </is>
      </c>
      <c r="Y26" s="19" t="inlineStr">
        <is>
          <t>تطوير التصاميم والهوية</t>
        </is>
      </c>
    </row>
    <row r="27" ht="26" customHeight="1">
      <c r="A27" s="16" t="n">
        <v>24</v>
      </c>
      <c r="B27" s="19" t="inlineStr">
        <is>
          <t>التوسع الإقليمي</t>
        </is>
      </c>
      <c r="C27" s="19" t="inlineStr">
        <is>
          <t>نسبة العقود التي تغطي المناطق الـ13</t>
        </is>
      </c>
      <c r="D27" s="38" t="inlineStr">
        <is>
          <t>%</t>
        </is>
      </c>
      <c r="E27" s="38" t="inlineStr">
        <is>
          <t>↑</t>
        </is>
      </c>
      <c r="F27" s="38" t="inlineStr">
        <is>
          <t>LAST</t>
        </is>
      </c>
      <c r="G27" s="44" t="n">
        <v>1</v>
      </c>
      <c r="H27" s="40" t="inlineStr">
        <is>
          <t>100%</t>
        </is>
      </c>
      <c r="I27" s="45" t="n"/>
      <c r="J27" s="45" t="n"/>
      <c r="K27" s="45" t="n"/>
      <c r="L27" s="45" t="n"/>
      <c r="M27" s="45" t="n"/>
      <c r="N27" s="45" t="n"/>
      <c r="O27" s="45" t="n"/>
      <c r="P27" s="45" t="n"/>
      <c r="Q27" s="45" t="n"/>
      <c r="R27" s="45" t="n"/>
      <c r="S27" s="45" t="n"/>
      <c r="T27" s="45" t="n"/>
      <c r="U27" s="46">
        <f>IF($F27="SUM",IF(COUNT($I27:$T27)=0,"",SUM($I27:$T27)),IF($F27="AVG",IFERROR(AVERAGE($I27:$T27),""),IF($F27="LAST",IFERROR(LOOKUP(2,1/($I27:$T27&lt;&gt;""),$I27:$T27),""),"")))</f>
        <v/>
      </c>
      <c r="V27" s="36">
        <f>IF($G27="","",IF($U27="","",IF($G27=0,IF($U27&lt;=0,1,0),IF($E27="↓",IFERROR($G27/$U27,0),IFERROR($U27/$G27,0)))))</f>
        <v/>
      </c>
      <c r="W27" s="16">
        <f>IF($V27="","—",IF($V27&gt;=1,"✅ محقق",IF($V27&gt;=0.85,"🟡 قريب","🔴 تحت الهدف")))</f>
        <v/>
      </c>
      <c r="X27" s="43" t="inlineStr">
        <is>
          <t>النمو</t>
        </is>
      </c>
      <c r="Y27" s="19" t="inlineStr">
        <is>
          <t>التوسع في المواقع</t>
        </is>
      </c>
    </row>
    <row r="28" ht="26" customHeight="1">
      <c r="A28" s="16" t="n">
        <v>25</v>
      </c>
      <c r="B28" s="19" t="inlineStr">
        <is>
          <t>التوسع الإقليمي</t>
        </is>
      </c>
      <c r="C28" s="19" t="inlineStr">
        <is>
          <t>نسبة العقود في الـ12 مدينة الرئيسية</t>
        </is>
      </c>
      <c r="D28" s="38" t="inlineStr">
        <is>
          <t>%</t>
        </is>
      </c>
      <c r="E28" s="38" t="inlineStr">
        <is>
          <t>↓</t>
        </is>
      </c>
      <c r="F28" s="38" t="inlineStr">
        <is>
          <t>LAST</t>
        </is>
      </c>
      <c r="G28" s="44" t="n">
        <v>0.4</v>
      </c>
      <c r="H28" s="40" t="inlineStr">
        <is>
          <t>&lt; 40%</t>
        </is>
      </c>
      <c r="I28" s="45" t="n"/>
      <c r="J28" s="45" t="n"/>
      <c r="K28" s="45" t="n"/>
      <c r="L28" s="45" t="n"/>
      <c r="M28" s="45" t="n"/>
      <c r="N28" s="45" t="n"/>
      <c r="O28" s="45" t="n"/>
      <c r="P28" s="45" t="n"/>
      <c r="Q28" s="45" t="n"/>
      <c r="R28" s="45" t="n"/>
      <c r="S28" s="45" t="n"/>
      <c r="T28" s="45" t="n"/>
      <c r="U28" s="46">
        <f>IF($F28="SUM",IF(COUNT($I28:$T28)=0,"",SUM($I28:$T28)),IF($F28="AVG",IFERROR(AVERAGE($I28:$T28),""),IF($F28="LAST",IFERROR(LOOKUP(2,1/($I28:$T28&lt;&gt;""),$I28:$T28),""),"")))</f>
        <v/>
      </c>
      <c r="V28" s="36">
        <f>IF($G28="","",IF($U28="","",IF($G28=0,IF($U28&lt;=0,1,0),IF($E28="↓",IFERROR($G28/$U28,0),IFERROR($U28/$G28,0)))))</f>
        <v/>
      </c>
      <c r="W28" s="16">
        <f>IF($V28="","—",IF($V28&gt;=1,"✅ محقق",IF($V28&gt;=0.85,"🟡 قريب","🔴 تحت الهدف")))</f>
        <v/>
      </c>
      <c r="X28" s="43" t="inlineStr">
        <is>
          <t>النمو</t>
        </is>
      </c>
      <c r="Y28" s="19" t="inlineStr">
        <is>
          <t>التوسع في المواقع</t>
        </is>
      </c>
    </row>
    <row r="29" ht="26" customHeight="1">
      <c r="A29" s="16" t="n">
        <v>26</v>
      </c>
      <c r="B29" s="19" t="inlineStr">
        <is>
          <t>التوسع الإقليمي</t>
        </is>
      </c>
      <c r="C29" s="19" t="inlineStr">
        <is>
          <t>نسبة العقود خارج المدن الرئيسية</t>
        </is>
      </c>
      <c r="D29" s="38" t="inlineStr">
        <is>
          <t>%</t>
        </is>
      </c>
      <c r="E29" s="38" t="inlineStr">
        <is>
          <t>↑</t>
        </is>
      </c>
      <c r="F29" s="38" t="inlineStr">
        <is>
          <t>LAST</t>
        </is>
      </c>
      <c r="G29" s="44" t="n">
        <v>0.6</v>
      </c>
      <c r="H29" s="40" t="inlineStr">
        <is>
          <t>&gt; 60%</t>
        </is>
      </c>
      <c r="I29" s="45" t="n"/>
      <c r="J29" s="45" t="n"/>
      <c r="K29" s="45" t="n"/>
      <c r="L29" s="45" t="n"/>
      <c r="M29" s="45" t="n"/>
      <c r="N29" s="45" t="n"/>
      <c r="O29" s="45" t="n"/>
      <c r="P29" s="45" t="n"/>
      <c r="Q29" s="45" t="n"/>
      <c r="R29" s="45" t="n"/>
      <c r="S29" s="45" t="n"/>
      <c r="T29" s="45" t="n"/>
      <c r="U29" s="46">
        <f>IF($F29="SUM",IF(COUNT($I29:$T29)=0,"",SUM($I29:$T29)),IF($F29="AVG",IFERROR(AVERAGE($I29:$T29),""),IF($F29="LAST",IFERROR(LOOKUP(2,1/($I29:$T29&lt;&gt;""),$I29:$T29),""),"")))</f>
        <v/>
      </c>
      <c r="V29" s="36">
        <f>IF($G29="","",IF($U29="","",IF($G29=0,IF($U29&lt;=0,1,0),IF($E29="↓",IFERROR($G29/$U29,0),IFERROR($U29/$G29,0)))))</f>
        <v/>
      </c>
      <c r="W29" s="16">
        <f>IF($V29="","—",IF($V29&gt;=1,"✅ محقق",IF($V29&gt;=0.85,"🟡 قريب","🔴 تحت الهدف")))</f>
        <v/>
      </c>
      <c r="X29" s="43" t="inlineStr">
        <is>
          <t>النمو</t>
        </is>
      </c>
      <c r="Y29" s="19" t="inlineStr">
        <is>
          <t>التوسع في المواقع</t>
        </is>
      </c>
    </row>
    <row r="30" ht="26" customHeight="1">
      <c r="A30" s="16" t="n">
        <v>27</v>
      </c>
      <c r="B30" s="19" t="inlineStr">
        <is>
          <t>التوسع الإقليمي</t>
        </is>
      </c>
      <c r="C30" s="19" t="inlineStr">
        <is>
          <t>نسبة العقود على الطرق الإقليمية</t>
        </is>
      </c>
      <c r="D30" s="38" t="inlineStr">
        <is>
          <t>%</t>
        </is>
      </c>
      <c r="E30" s="38" t="inlineStr">
        <is>
          <t>↑</t>
        </is>
      </c>
      <c r="F30" s="38" t="inlineStr">
        <is>
          <t>LAST</t>
        </is>
      </c>
      <c r="G30" s="44" t="n">
        <v>0.25</v>
      </c>
      <c r="H30" s="40" t="inlineStr">
        <is>
          <t>&gt; 25%</t>
        </is>
      </c>
      <c r="I30" s="45" t="n"/>
      <c r="J30" s="45" t="n"/>
      <c r="K30" s="45" t="n"/>
      <c r="L30" s="45" t="n"/>
      <c r="M30" s="45" t="n"/>
      <c r="N30" s="45" t="n"/>
      <c r="O30" s="45" t="n"/>
      <c r="P30" s="45" t="n"/>
      <c r="Q30" s="45" t="n"/>
      <c r="R30" s="45" t="n"/>
      <c r="S30" s="45" t="n"/>
      <c r="T30" s="45" t="n"/>
      <c r="U30" s="46">
        <f>IF($F30="SUM",IF(COUNT($I30:$T30)=0,"",SUM($I30:$T30)),IF($F30="AVG",IFERROR(AVERAGE($I30:$T30),""),IF($F30="LAST",IFERROR(LOOKUP(2,1/($I30:$T30&lt;&gt;""),$I30:$T30),""),"")))</f>
        <v/>
      </c>
      <c r="V30" s="36">
        <f>IF($G30="","",IF($U30="","",IF($G30=0,IF($U30&lt;=0,1,0),IF($E30="↓",IFERROR($G30/$U30,0),IFERROR($U30/$G30,0)))))</f>
        <v/>
      </c>
      <c r="W30" s="16">
        <f>IF($V30="","—",IF($V30&gt;=1,"✅ محقق",IF($V30&gt;=0.85,"🟡 قريب","🔴 تحت الهدف")))</f>
        <v/>
      </c>
      <c r="X30" s="43" t="inlineStr">
        <is>
          <t>النمو</t>
        </is>
      </c>
      <c r="Y30" s="19" t="inlineStr">
        <is>
          <t>التوسع في المواقع</t>
        </is>
      </c>
    </row>
    <row r="31" ht="26" customHeight="1">
      <c r="A31" s="16" t="n">
        <v>28</v>
      </c>
      <c r="B31" s="19" t="inlineStr">
        <is>
          <t>تجربة العملاء والشركاء</t>
        </is>
      </c>
      <c r="C31" s="19" t="inlineStr">
        <is>
          <t>متوسط تقييم المحطات على خرائط قوقل</t>
        </is>
      </c>
      <c r="D31" s="38" t="inlineStr">
        <is>
          <t>نجمة/5</t>
        </is>
      </c>
      <c r="E31" s="38" t="inlineStr">
        <is>
          <t>↑</t>
        </is>
      </c>
      <c r="F31" s="38" t="inlineStr">
        <is>
          <t>AVG</t>
        </is>
      </c>
      <c r="G31" s="49" t="n">
        <v>4.7</v>
      </c>
      <c r="H31" s="40" t="inlineStr">
        <is>
          <t>≥ 4.7 نجمة</t>
        </is>
      </c>
      <c r="I31" s="50" t="n"/>
      <c r="J31" s="50" t="n"/>
      <c r="K31" s="50" t="n"/>
      <c r="L31" s="50" t="n"/>
      <c r="M31" s="50" t="n"/>
      <c r="N31" s="50" t="n"/>
      <c r="O31" s="50" t="n"/>
      <c r="P31" s="50" t="n"/>
      <c r="Q31" s="50" t="n"/>
      <c r="R31" s="50" t="n"/>
      <c r="S31" s="50" t="n"/>
      <c r="T31" s="50" t="n"/>
      <c r="U31" s="51">
        <f>IF($F31="SUM",IF(COUNT($I31:$T31)=0,"",SUM($I31:$T31)),IF($F31="AVG",IFERROR(AVERAGE($I31:$T31),""),IF($F31="LAST",IFERROR(LOOKUP(2,1/($I31:$T31&lt;&gt;""),$I31:$T31),""),"")))</f>
        <v/>
      </c>
      <c r="V31" s="36">
        <f>IF($G31="","",IF($U31="","",IF($G31=0,IF($U31&lt;=0,1,0),IF($E31="↓",IFERROR($G31/$U31,0),IFERROR($U31/$G31,0)))))</f>
        <v/>
      </c>
      <c r="W31" s="16">
        <f>IF($V31="","—",IF($V31&gt;=1,"✅ محقق",IF($V31&gt;=0.85,"🟡 قريب","🔴 تحت الهدف")))</f>
        <v/>
      </c>
      <c r="X31" s="43" t="inlineStr">
        <is>
          <t>الاستدامة</t>
        </is>
      </c>
      <c r="Y31" s="19" t="inlineStr">
        <is>
          <t>تعزيز تجربة العملاء</t>
        </is>
      </c>
    </row>
    <row r="32" ht="26" customHeight="1">
      <c r="A32" s="16" t="n">
        <v>29</v>
      </c>
      <c r="B32" s="19" t="inlineStr">
        <is>
          <t>تجربة العملاء والشركاء</t>
        </is>
      </c>
      <c r="C32" s="19" t="inlineStr">
        <is>
          <t>معدل رضا شركاء الامتياز (CSAT)</t>
        </is>
      </c>
      <c r="D32" s="38" t="inlineStr">
        <is>
          <t>%</t>
        </is>
      </c>
      <c r="E32" s="38" t="inlineStr">
        <is>
          <t>↑</t>
        </is>
      </c>
      <c r="F32" s="38" t="inlineStr">
        <is>
          <t>AVG</t>
        </is>
      </c>
      <c r="G32" s="44" t="n">
        <v>0.9</v>
      </c>
      <c r="H32" s="40" t="inlineStr">
        <is>
          <t>90%+</t>
        </is>
      </c>
      <c r="I32" s="45" t="n"/>
      <c r="J32" s="45" t="n"/>
      <c r="K32" s="45" t="n"/>
      <c r="L32" s="45" t="n"/>
      <c r="M32" s="45" t="n"/>
      <c r="N32" s="45" t="n"/>
      <c r="O32" s="45" t="n"/>
      <c r="P32" s="45" t="n"/>
      <c r="Q32" s="45" t="n"/>
      <c r="R32" s="45" t="n"/>
      <c r="S32" s="45" t="n"/>
      <c r="T32" s="45" t="n"/>
      <c r="U32" s="46">
        <f>IF($F32="SUM",IF(COUNT($I32:$T32)=0,"",SUM($I32:$T32)),IF($F32="AVG",IFERROR(AVERAGE($I32:$T32),""),IF($F32="LAST",IFERROR(LOOKUP(2,1/($I32:$T32&lt;&gt;""),$I32:$T32),""),"")))</f>
        <v/>
      </c>
      <c r="V32" s="36">
        <f>IF($G32="","",IF($U32="","",IF($G32=0,IF($U32&lt;=0,1,0),IF($E32="↓",IFERROR($G32/$U32,0),IFERROR($U32/$G32,0)))))</f>
        <v/>
      </c>
      <c r="W32" s="16">
        <f>IF($V32="","—",IF($V32&gt;=1,"✅ محقق",IF($V32&gt;=0.85,"🟡 قريب","🔴 تحت الهدف")))</f>
        <v/>
      </c>
      <c r="X32" s="43" t="inlineStr">
        <is>
          <t>الاستدامة</t>
        </is>
      </c>
      <c r="Y32" s="19" t="inlineStr">
        <is>
          <t>تعزيز تجربة العملاء</t>
        </is>
      </c>
    </row>
    <row r="33" ht="26" customHeight="1">
      <c r="A33" s="16" t="n">
        <v>30</v>
      </c>
      <c r="B33" s="19" t="inlineStr">
        <is>
          <t>تجربة العملاء والشركاء</t>
        </is>
      </c>
      <c r="C33" s="19" t="inlineStr">
        <is>
          <t>نسبة حل الشكاوى خلال المدة المحددة</t>
        </is>
      </c>
      <c r="D33" s="38" t="inlineStr">
        <is>
          <t>%</t>
        </is>
      </c>
      <c r="E33" s="38" t="inlineStr">
        <is>
          <t>↑</t>
        </is>
      </c>
      <c r="F33" s="38" t="inlineStr">
        <is>
          <t>AVG</t>
        </is>
      </c>
      <c r="G33" s="44" t="n">
        <v>0.95</v>
      </c>
      <c r="H33" s="40" t="inlineStr">
        <is>
          <t>95%+</t>
        </is>
      </c>
      <c r="I33" s="45" t="n"/>
      <c r="J33" s="45" t="n"/>
      <c r="K33" s="45" t="n"/>
      <c r="L33" s="45" t="n"/>
      <c r="M33" s="45" t="n"/>
      <c r="N33" s="45" t="n"/>
      <c r="O33" s="45" t="n"/>
      <c r="P33" s="45" t="n"/>
      <c r="Q33" s="45" t="n"/>
      <c r="R33" s="45" t="n"/>
      <c r="S33" s="45" t="n"/>
      <c r="T33" s="45" t="n"/>
      <c r="U33" s="46">
        <f>IF($F33="SUM",IF(COUNT($I33:$T33)=0,"",SUM($I33:$T33)),IF($F33="AVG",IFERROR(AVERAGE($I33:$T33),""),IF($F33="LAST",IFERROR(LOOKUP(2,1/($I33:$T33&lt;&gt;""),$I33:$T33),""),"")))</f>
        <v/>
      </c>
      <c r="V33" s="36">
        <f>IF($G33="","",IF($U33="","",IF($G33=0,IF($U33&lt;=0,1,0),IF($E33="↓",IFERROR($G33/$U33,0),IFERROR($U33/$G33,0)))))</f>
        <v/>
      </c>
      <c r="W33" s="16">
        <f>IF($V33="","—",IF($V33&gt;=1,"✅ محقق",IF($V33&gt;=0.85,"🟡 قريب","🔴 تحت الهدف")))</f>
        <v/>
      </c>
      <c r="X33" s="43" t="inlineStr">
        <is>
          <t>الاستدامة</t>
        </is>
      </c>
      <c r="Y33" s="19" t="inlineStr">
        <is>
          <t>تعزيز تجربة العملاء</t>
        </is>
      </c>
    </row>
    <row r="34" ht="26" customHeight="1">
      <c r="A34" s="16" t="n">
        <v>31</v>
      </c>
      <c r="B34" s="19" t="inlineStr">
        <is>
          <t>تجربة العملاء والشركاء</t>
        </is>
      </c>
      <c r="C34" s="19" t="inlineStr">
        <is>
          <t>نسبة انخفاض الشكاوى التشغيلية والإدارية</t>
        </is>
      </c>
      <c r="D34" s="38" t="inlineStr">
        <is>
          <t>%</t>
        </is>
      </c>
      <c r="E34" s="38" t="inlineStr">
        <is>
          <t>↑</t>
        </is>
      </c>
      <c r="F34" s="38" t="inlineStr">
        <is>
          <t>AVG</t>
        </is>
      </c>
      <c r="G34" s="38" t="inlineStr"/>
      <c r="H34" s="40" t="inlineStr">
        <is>
          <t>-30%</t>
        </is>
      </c>
      <c r="I34" s="45" t="n"/>
      <c r="J34" s="45" t="n"/>
      <c r="K34" s="45" t="n"/>
      <c r="L34" s="45" t="n"/>
      <c r="M34" s="45" t="n"/>
      <c r="N34" s="45" t="n"/>
      <c r="O34" s="45" t="n"/>
      <c r="P34" s="45" t="n"/>
      <c r="Q34" s="45" t="n"/>
      <c r="R34" s="45" t="n"/>
      <c r="S34" s="45" t="n"/>
      <c r="T34" s="45" t="n"/>
      <c r="U34" s="46">
        <f>IF($F34="SUM",IF(COUNT($I34:$T34)=0,"",SUM($I34:$T34)),IF($F34="AVG",IFERROR(AVERAGE($I34:$T34),""),IF($F34="LAST",IFERROR(LOOKUP(2,1/($I34:$T34&lt;&gt;""),$I34:$T34),""),"")))</f>
        <v/>
      </c>
      <c r="V34" s="36">
        <f>IF($G34="","",IF($U34="","",IF($G34=0,IF($U34&lt;=0,1,0),IF($E34="↓",IFERROR($G34/$U34,0),IFERROR($U34/$G34,0)))))</f>
        <v/>
      </c>
      <c r="W34" s="16">
        <f>IF($V34="","—",IF($V34&gt;=1,"✅ محقق",IF($V34&gt;=0.85,"🟡 قريب","🔴 تحت الهدف")))</f>
        <v/>
      </c>
      <c r="X34" s="43" t="inlineStr">
        <is>
          <t>الاستدامة</t>
        </is>
      </c>
      <c r="Y34" s="19" t="inlineStr">
        <is>
          <t>تعزيز تجربة العملاء</t>
        </is>
      </c>
    </row>
    <row r="35" ht="26" customHeight="1">
      <c r="A35" s="16" t="n">
        <v>32</v>
      </c>
      <c r="B35" s="19" t="inlineStr">
        <is>
          <t>استدامة الشراكة والامتثال</t>
        </is>
      </c>
      <c r="C35" s="19" t="inlineStr">
        <is>
          <t>نسبة استدامة أصحاب الامتياز (Retention)</t>
        </is>
      </c>
      <c r="D35" s="38" t="inlineStr">
        <is>
          <t>%</t>
        </is>
      </c>
      <c r="E35" s="38" t="inlineStr">
        <is>
          <t>↑</t>
        </is>
      </c>
      <c r="F35" s="38" t="inlineStr">
        <is>
          <t>LAST</t>
        </is>
      </c>
      <c r="G35" s="44" t="n">
        <v>0.9</v>
      </c>
      <c r="H35" s="40" t="inlineStr">
        <is>
          <t>90%</t>
        </is>
      </c>
      <c r="I35" s="45" t="n"/>
      <c r="J35" s="45" t="n"/>
      <c r="K35" s="45" t="n"/>
      <c r="L35" s="45" t="n"/>
      <c r="M35" s="45" t="n"/>
      <c r="N35" s="45" t="n"/>
      <c r="O35" s="45" t="n"/>
      <c r="P35" s="45" t="n"/>
      <c r="Q35" s="45" t="n"/>
      <c r="R35" s="45" t="n"/>
      <c r="S35" s="45" t="n"/>
      <c r="T35" s="45" t="n"/>
      <c r="U35" s="46">
        <f>IF($F35="SUM",IF(COUNT($I35:$T35)=0,"",SUM($I35:$T35)),IF($F35="AVG",IFERROR(AVERAGE($I35:$T35),""),IF($F35="LAST",IFERROR(LOOKUP(2,1/($I35:$T35&lt;&gt;""),$I35:$T35),""),"")))</f>
        <v/>
      </c>
      <c r="V35" s="36">
        <f>IF($G35="","",IF($U35="","",IF($G35=0,IF($U35&lt;=0,1,0),IF($E35="↓",IFERROR($G35/$U35,0),IFERROR($U35/$G35,0)))))</f>
        <v/>
      </c>
      <c r="W35" s="16">
        <f>IF($V35="","—",IF($V35&gt;=1,"✅ محقق",IF($V35&gt;=0.85,"🟡 قريب","🔴 تحت الهدف")))</f>
        <v/>
      </c>
      <c r="X35" s="43" t="inlineStr">
        <is>
          <t>الاستدامة</t>
        </is>
      </c>
      <c r="Y35" s="19" t="inlineStr">
        <is>
          <t>تعزيز تجربة العملاء</t>
        </is>
      </c>
    </row>
    <row r="36" ht="26" customHeight="1">
      <c r="A36" s="16" t="n">
        <v>33</v>
      </c>
      <c r="B36" s="19" t="inlineStr">
        <is>
          <t>استدامة الشراكة والامتثال</t>
        </is>
      </c>
      <c r="C36" s="19" t="inlineStr">
        <is>
          <t>نسبة زيادة عدد أصحاب الامتياز</t>
        </is>
      </c>
      <c r="D36" s="38" t="inlineStr">
        <is>
          <t>%</t>
        </is>
      </c>
      <c r="E36" s="38" t="inlineStr">
        <is>
          <t>↑</t>
        </is>
      </c>
      <c r="F36" s="38" t="inlineStr">
        <is>
          <t>LAST</t>
        </is>
      </c>
      <c r="G36" s="44" t="n">
        <v>1</v>
      </c>
      <c r="H36" s="40" t="inlineStr">
        <is>
          <t>100% نمو</t>
        </is>
      </c>
      <c r="I36" s="45" t="n"/>
      <c r="J36" s="45" t="n"/>
      <c r="K36" s="45" t="n"/>
      <c r="L36" s="45" t="n"/>
      <c r="M36" s="45" t="n"/>
      <c r="N36" s="45" t="n"/>
      <c r="O36" s="45" t="n"/>
      <c r="P36" s="45" t="n"/>
      <c r="Q36" s="45" t="n"/>
      <c r="R36" s="45" t="n"/>
      <c r="S36" s="45" t="n"/>
      <c r="T36" s="45" t="n"/>
      <c r="U36" s="46">
        <f>IF($F36="SUM",IF(COUNT($I36:$T36)=0,"",SUM($I36:$T36)),IF($F36="AVG",IFERROR(AVERAGE($I36:$T36),""),IF($F36="LAST",IFERROR(LOOKUP(2,1/($I36:$T36&lt;&gt;""),$I36:$T36),""),"")))</f>
        <v/>
      </c>
      <c r="V36" s="36">
        <f>IF($G36="","",IF($U36="","",IF($G36=0,IF($U36&lt;=0,1,0),IF($E36="↓",IFERROR($G36/$U36,0),IFERROR($U36/$G36,0)))))</f>
        <v/>
      </c>
      <c r="W36" s="16">
        <f>IF($V36="","—",IF($V36&gt;=1,"✅ محقق",IF($V36&gt;=0.85,"🟡 قريب","🔴 تحت الهدف")))</f>
        <v/>
      </c>
      <c r="X36" s="43" t="inlineStr">
        <is>
          <t>الاستدامة</t>
        </is>
      </c>
      <c r="Y36" s="19" t="inlineStr">
        <is>
          <t>تعزيز تجربة العملاء</t>
        </is>
      </c>
    </row>
    <row r="37" ht="26" customHeight="1">
      <c r="A37" s="16" t="n">
        <v>34</v>
      </c>
      <c r="B37" s="19" t="inlineStr">
        <is>
          <t>استدامة الشراكة والامتثال</t>
        </is>
      </c>
      <c r="C37" s="19" t="inlineStr">
        <is>
          <t>نسبة اكتمال المستندات النظامية قبل التوقيع</t>
        </is>
      </c>
      <c r="D37" s="38" t="inlineStr">
        <is>
          <t>%</t>
        </is>
      </c>
      <c r="E37" s="38" t="inlineStr">
        <is>
          <t>↑</t>
        </is>
      </c>
      <c r="F37" s="38" t="inlineStr">
        <is>
          <t>AVG</t>
        </is>
      </c>
      <c r="G37" s="44" t="n">
        <v>1</v>
      </c>
      <c r="H37" s="40" t="inlineStr">
        <is>
          <t>100%</t>
        </is>
      </c>
      <c r="I37" s="45" t="n"/>
      <c r="J37" s="45" t="n"/>
      <c r="K37" s="45" t="n"/>
      <c r="L37" s="45" t="n"/>
      <c r="M37" s="45" t="n"/>
      <c r="N37" s="45" t="n"/>
      <c r="O37" s="45" t="n"/>
      <c r="P37" s="45" t="n"/>
      <c r="Q37" s="45" t="n"/>
      <c r="R37" s="45" t="n"/>
      <c r="S37" s="45" t="n"/>
      <c r="T37" s="45" t="n"/>
      <c r="U37" s="46">
        <f>IF($F37="SUM",IF(COUNT($I37:$T37)=0,"",SUM($I37:$T37)),IF($F37="AVG",IFERROR(AVERAGE($I37:$T37),""),IF($F37="LAST",IFERROR(LOOKUP(2,1/($I37:$T37&lt;&gt;""),$I37:$T37),""),"")))</f>
        <v/>
      </c>
      <c r="V37" s="36">
        <f>IF($G37="","",IF($U37="","",IF($G37=0,IF($U37&lt;=0,1,0),IF($E37="↓",IFERROR($G37/$U37,0),IFERROR($U37/$G37,0)))))</f>
        <v/>
      </c>
      <c r="W37" s="16">
        <f>IF($V37="","—",IF($V37&gt;=1,"✅ محقق",IF($V37&gt;=0.85,"🟡 قريب","🔴 تحت الهدف")))</f>
        <v/>
      </c>
      <c r="X37" s="43" t="inlineStr">
        <is>
          <t>الاستدامة</t>
        </is>
      </c>
      <c r="Y37" s="19" t="inlineStr">
        <is>
          <t>جودة التشغيل</t>
        </is>
      </c>
    </row>
    <row r="38" ht="26" customHeight="1">
      <c r="A38" s="16" t="n">
        <v>35</v>
      </c>
      <c r="B38" s="19" t="inlineStr">
        <is>
          <t>استدامة الشراكة والامتثال</t>
        </is>
      </c>
      <c r="C38" s="19" t="inlineStr">
        <is>
          <t>متوسط مدة إغلاق عقد الامتياز</t>
        </is>
      </c>
      <c r="D38" s="38" t="inlineStr">
        <is>
          <t>أسبوع</t>
        </is>
      </c>
      <c r="E38" s="38" t="inlineStr">
        <is>
          <t>↓</t>
        </is>
      </c>
      <c r="F38" s="38" t="inlineStr">
        <is>
          <t>AVG</t>
        </is>
      </c>
      <c r="G38" s="49" t="n">
        <v>1</v>
      </c>
      <c r="H38" s="40" t="inlineStr">
        <is>
          <t>≤ أسبوع</t>
        </is>
      </c>
      <c r="I38" s="50" t="n"/>
      <c r="J38" s="50" t="n"/>
      <c r="K38" s="50" t="n"/>
      <c r="L38" s="50" t="n"/>
      <c r="M38" s="50" t="n"/>
      <c r="N38" s="50" t="n"/>
      <c r="O38" s="50" t="n"/>
      <c r="P38" s="50" t="n"/>
      <c r="Q38" s="50" t="n"/>
      <c r="R38" s="50" t="n"/>
      <c r="S38" s="50" t="n"/>
      <c r="T38" s="50" t="n"/>
      <c r="U38" s="51">
        <f>IF($F38="SUM",IF(COUNT($I38:$T38)=0,"",SUM($I38:$T38)),IF($F38="AVG",IFERROR(AVERAGE($I38:$T38),""),IF($F38="LAST",IFERROR(LOOKUP(2,1/($I38:$T38&lt;&gt;""),$I38:$T38),""),"")))</f>
        <v/>
      </c>
      <c r="V38" s="36">
        <f>IF($G38="","",IF($U38="","",IF($G38=0,IF($U38&lt;=0,1,0),IF($E38="↓",IFERROR($G38/$U38,0),IFERROR($U38/$G38,0)))))</f>
        <v/>
      </c>
      <c r="W38" s="16">
        <f>IF($V38="","—",IF($V38&gt;=1,"✅ محقق",IF($V38&gt;=0.85,"🟡 قريب","🔴 تحت الهدف")))</f>
        <v/>
      </c>
      <c r="X38" s="43" t="inlineStr">
        <is>
          <t>النمو</t>
        </is>
      </c>
      <c r="Y38" s="19" t="inlineStr">
        <is>
          <t>الامتياز التجاري</t>
        </is>
      </c>
    </row>
    <row r="39" ht="26" customHeight="1">
      <c r="A39" s="16" t="n">
        <v>36</v>
      </c>
      <c r="B39" s="19" t="inlineStr">
        <is>
          <t>استدامة الشراكة والامتثال</t>
        </is>
      </c>
      <c r="C39" s="19" t="inlineStr">
        <is>
          <t>نسبة إنجاز التقارير الدورية في موعدها</t>
        </is>
      </c>
      <c r="D39" s="38" t="inlineStr">
        <is>
          <t>%</t>
        </is>
      </c>
      <c r="E39" s="38" t="inlineStr">
        <is>
          <t>↑</t>
        </is>
      </c>
      <c r="F39" s="38" t="inlineStr">
        <is>
          <t>AVG</t>
        </is>
      </c>
      <c r="G39" s="44" t="n">
        <v>1</v>
      </c>
      <c r="H39" s="40" t="inlineStr">
        <is>
          <t>100%</t>
        </is>
      </c>
      <c r="I39" s="45" t="n"/>
      <c r="J39" s="45" t="n"/>
      <c r="K39" s="45" t="n"/>
      <c r="L39" s="45" t="n"/>
      <c r="M39" s="45" t="n"/>
      <c r="N39" s="45" t="n"/>
      <c r="O39" s="45" t="n"/>
      <c r="P39" s="45" t="n"/>
      <c r="Q39" s="45" t="n"/>
      <c r="R39" s="45" t="n"/>
      <c r="S39" s="45" t="n"/>
      <c r="T39" s="45" t="n"/>
      <c r="U39" s="46">
        <f>IF($F39="SUM",IF(COUNT($I39:$T39)=0,"",SUM($I39:$T39)),IF($F39="AVG",IFERROR(AVERAGE($I39:$T39),""),IF($F39="LAST",IFERROR(LOOKUP(2,1/($I39:$T39&lt;&gt;""),$I39:$T39),""),"")))</f>
        <v/>
      </c>
      <c r="V39" s="36">
        <f>IF($G39="","",IF($U39="","",IF($G39=0,IF($U39&lt;=0,1,0),IF($E39="↓",IFERROR($G39/$U39,0),IFERROR($U39/$G39,0)))))</f>
        <v/>
      </c>
      <c r="W39" s="16">
        <f>IF($V39="","—",IF($V39&gt;=1,"✅ محقق",IF($V39&gt;=0.85,"🟡 قريب","🔴 تحت الهدف")))</f>
        <v/>
      </c>
      <c r="X39" s="43" t="inlineStr">
        <is>
          <t>الاستدامة</t>
        </is>
      </c>
      <c r="Y39" s="19" t="inlineStr">
        <is>
          <t>جودة التشغيل</t>
        </is>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Y2"/>
    <mergeCell ref="A1:Y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13" t="inlineStr">
        <is>
          <t>إدارة الامتياز · مؤشرات كل موظف (مرجع الربط)</t>
        </is>
      </c>
    </row>
    <row r="4">
      <c r="B4" s="7" t="inlineStr">
        <is>
          <t>علاء عزت  —  أخصائي امتياز — عقود واستقطاب  ·  4 مؤشر</t>
        </is>
      </c>
    </row>
    <row r="5">
      <c r="B5" s="52" t="inlineStr">
        <is>
          <t>المؤشر</t>
        </is>
      </c>
      <c r="C5" s="52" t="inlineStr">
        <is>
          <t>الأولوية</t>
        </is>
      </c>
      <c r="D5" s="52" t="inlineStr">
        <is>
          <t>●/○</t>
        </is>
      </c>
    </row>
    <row r="6">
      <c r="B6" s="19" t="inlineStr">
        <is>
          <t>عدد عقود الامتياز الجديدة الموقّعة</t>
        </is>
      </c>
      <c r="C6" s="53" t="inlineStr">
        <is>
          <t>🔴 رئيسي</t>
        </is>
      </c>
      <c r="D6" s="35" t="inlineStr">
        <is>
          <t>●</t>
        </is>
      </c>
    </row>
    <row r="7">
      <c r="B7" s="19" t="inlineStr">
        <is>
          <t>عدد محطات الامتياز المشغّلة (تراكمي)</t>
        </is>
      </c>
      <c r="C7" s="53" t="inlineStr">
        <is>
          <t>🔴 رئيسي</t>
        </is>
      </c>
      <c r="D7" s="35" t="inlineStr">
        <is>
          <t>●</t>
        </is>
      </c>
    </row>
    <row r="8">
      <c r="B8" s="19" t="inlineStr">
        <is>
          <t>نسبة تحويل الفرص إلى عقود موقّعة</t>
        </is>
      </c>
      <c r="C8" s="53" t="inlineStr">
        <is>
          <t>🔴 رئيسي</t>
        </is>
      </c>
      <c r="D8" s="35" t="inlineStr">
        <is>
          <t>●</t>
        </is>
      </c>
    </row>
    <row r="9">
      <c r="B9" s="19" t="inlineStr">
        <is>
          <t>نسبة استدامة أصحاب الامتياز</t>
        </is>
      </c>
      <c r="C9" s="53" t="inlineStr">
        <is>
          <t>🔴 رئيسي</t>
        </is>
      </c>
      <c r="D9" s="35" t="inlineStr">
        <is>
          <t>●</t>
        </is>
      </c>
    </row>
    <row r="11">
      <c r="B11" s="7" t="inlineStr">
        <is>
          <t>أنس أبو طوق  —  مراقب ميداني — هوية وبنية تحتية  ·  4 مؤشر</t>
        </is>
      </c>
    </row>
    <row r="12">
      <c r="B12" s="52" t="inlineStr">
        <is>
          <t>المؤشر</t>
        </is>
      </c>
      <c r="C12" s="52" t="inlineStr">
        <is>
          <t>الأولوية</t>
        </is>
      </c>
      <c r="D12" s="52" t="inlineStr">
        <is>
          <t>●/○</t>
        </is>
      </c>
    </row>
    <row r="13">
      <c r="B13" s="19" t="inlineStr">
        <is>
          <t>نسبة جاهزية محطات الامتياز</t>
        </is>
      </c>
      <c r="C13" s="53" t="inlineStr">
        <is>
          <t>🔴 رئيسي</t>
        </is>
      </c>
      <c r="D13" s="35" t="inlineStr">
        <is>
          <t>●</t>
        </is>
      </c>
    </row>
    <row r="14">
      <c r="B14" s="19" t="inlineStr">
        <is>
          <t>نسبة إغلاق ملاحظات الجودة الميدانية</t>
        </is>
      </c>
      <c r="C14" s="53" t="inlineStr">
        <is>
          <t>🔴 رئيسي</t>
        </is>
      </c>
      <c r="D14" s="35" t="inlineStr">
        <is>
          <t>●</t>
        </is>
      </c>
    </row>
    <row r="15">
      <c r="B15" s="19" t="inlineStr">
        <is>
          <t>نسبة المحطات المستوفية لمعايير السلامة</t>
        </is>
      </c>
      <c r="C15" s="53" t="inlineStr">
        <is>
          <t>🔴 رئيسي</t>
        </is>
      </c>
      <c r="D15" s="35" t="inlineStr">
        <is>
          <t>●</t>
        </is>
      </c>
    </row>
    <row r="16">
      <c r="B16" s="19" t="inlineStr">
        <is>
          <t>نسبة التزام المحطات بالهوية المؤسسية</t>
        </is>
      </c>
      <c r="C16" s="53" t="inlineStr">
        <is>
          <t>🔴 رئيسي</t>
        </is>
      </c>
      <c r="D16" s="35" t="inlineStr">
        <is>
          <t>●</t>
        </is>
      </c>
    </row>
    <row r="18">
      <c r="B18" s="7" t="inlineStr">
        <is>
          <t>حمدي عبد الجليل  —  أخصائي امتياز — زيارات واستقطاب  ·  3 مؤشر</t>
        </is>
      </c>
    </row>
    <row r="19">
      <c r="B19" s="52" t="inlineStr">
        <is>
          <t>المؤشر</t>
        </is>
      </c>
      <c r="C19" s="52" t="inlineStr">
        <is>
          <t>الأولوية</t>
        </is>
      </c>
      <c r="D19" s="52" t="inlineStr">
        <is>
          <t>●/○</t>
        </is>
      </c>
    </row>
    <row r="20">
      <c r="B20" s="19" t="inlineStr">
        <is>
          <t>نسبة تنفيذ الزيارات الميدانية المجدولة</t>
        </is>
      </c>
      <c r="C20" s="53" t="inlineStr">
        <is>
          <t>🔴 رئيسي</t>
        </is>
      </c>
      <c r="D20" s="35" t="inlineStr">
        <is>
          <t>●</t>
        </is>
      </c>
    </row>
    <row r="21">
      <c r="B21" s="19" t="inlineStr">
        <is>
          <t>عدد عقود الامتياز الجديدة الموقّعة</t>
        </is>
      </c>
      <c r="C21" s="53" t="inlineStr">
        <is>
          <t>🔴 رئيسي</t>
        </is>
      </c>
      <c r="D21" s="35" t="inlineStr">
        <is>
          <t>○</t>
        </is>
      </c>
    </row>
    <row r="22">
      <c r="B22" s="19" t="inlineStr">
        <is>
          <t>متوسط درجة تقييم جودة المحطة</t>
        </is>
      </c>
      <c r="C22" s="53" t="inlineStr">
        <is>
          <t>🔴 رئيسي</t>
        </is>
      </c>
      <c r="D22" s="35" t="inlineStr">
        <is>
          <t>○</t>
        </is>
      </c>
    </row>
    <row r="24">
      <c r="B24" s="7" t="inlineStr">
        <is>
          <t>رغد الجندي  —  أخصائية امتياز — تسويق ومالية  ·  4 مؤشر</t>
        </is>
      </c>
    </row>
    <row r="25">
      <c r="B25" s="52" t="inlineStr">
        <is>
          <t>المؤشر</t>
        </is>
      </c>
      <c r="C25" s="52" t="inlineStr">
        <is>
          <t>الأولوية</t>
        </is>
      </c>
      <c r="D25" s="52" t="inlineStr">
        <is>
          <t>●/○</t>
        </is>
      </c>
    </row>
    <row r="26">
      <c r="B26" s="19" t="inlineStr">
        <is>
          <t>إجمالي إيرادات إدارة الامتياز</t>
        </is>
      </c>
      <c r="C26" s="53" t="inlineStr">
        <is>
          <t>🔴 رئيسي</t>
        </is>
      </c>
      <c r="D26" s="35" t="inlineStr">
        <is>
          <t>●</t>
        </is>
      </c>
    </row>
    <row r="27">
      <c r="B27" s="19" t="inlineStr">
        <is>
          <t>نسبة التحصيل المالي من شركاء الامتياز</t>
        </is>
      </c>
      <c r="C27" s="53" t="inlineStr">
        <is>
          <t>🔴 رئيسي</t>
        </is>
      </c>
      <c r="D27" s="35" t="inlineStr">
        <is>
          <t>●</t>
        </is>
      </c>
    </row>
    <row r="28">
      <c r="B28" s="19" t="inlineStr">
        <is>
          <t>متوسط تقييم المحطات على خرائط قوقل</t>
        </is>
      </c>
      <c r="C28" s="53" t="inlineStr">
        <is>
          <t>🔴 رئيسي</t>
        </is>
      </c>
      <c r="D28" s="35" t="inlineStr">
        <is>
          <t>●</t>
        </is>
      </c>
    </row>
    <row r="29">
      <c r="B29" s="19" t="inlineStr">
        <is>
          <t>عدد الحملات التسويقية الميدانية</t>
        </is>
      </c>
      <c r="C29" s="53" t="inlineStr">
        <is>
          <t>🟠 مهم</t>
        </is>
      </c>
      <c r="D29" s="35" t="inlineStr">
        <is>
          <t>●</t>
        </is>
      </c>
    </row>
    <row r="31">
      <c r="B31" s="7" t="inlineStr">
        <is>
          <t>إدريس الوائلي  —  أخصائي امتياز — تقارير وتنسيق مالي  ·  3 مؤشر</t>
        </is>
      </c>
    </row>
    <row r="32">
      <c r="B32" s="52" t="inlineStr">
        <is>
          <t>المؤشر</t>
        </is>
      </c>
      <c r="C32" s="52" t="inlineStr">
        <is>
          <t>الأولوية</t>
        </is>
      </c>
      <c r="D32" s="52" t="inlineStr">
        <is>
          <t>●/○</t>
        </is>
      </c>
    </row>
    <row r="33">
      <c r="B33" s="19" t="inlineStr">
        <is>
          <t>متوسط أيام التحصيل (DSO)</t>
        </is>
      </c>
      <c r="C33" s="53" t="inlineStr">
        <is>
          <t>🟠 مهم</t>
        </is>
      </c>
      <c r="D33" s="35" t="inlineStr">
        <is>
          <t>●</t>
        </is>
      </c>
    </row>
    <row r="34">
      <c r="B34" s="19" t="inlineStr">
        <is>
          <t>إجمالي المستحقات المتأخرة (+30 يوم)</t>
        </is>
      </c>
      <c r="C34" s="53" t="inlineStr">
        <is>
          <t>🟠 مهم</t>
        </is>
      </c>
      <c r="D34" s="35" t="inlineStr">
        <is>
          <t>●</t>
        </is>
      </c>
    </row>
    <row r="35">
      <c r="B35" s="19" t="inlineStr">
        <is>
          <t>نسبة إنجاز التقارير الدورية في موعدها</t>
        </is>
      </c>
      <c r="C35" s="53" t="inlineStr">
        <is>
          <t>🟠 مهم</t>
        </is>
      </c>
      <c r="D35" s="35" t="inlineStr">
        <is>
          <t>●</t>
        </is>
      </c>
    </row>
    <row r="37">
      <c r="B37" s="7" t="inlineStr">
        <is>
          <t>أحمد رمضان  —  أخصائي امتياز — Dynamics ومتابعة نظام  ·  2 مؤشر</t>
        </is>
      </c>
    </row>
    <row r="38">
      <c r="B38" s="52" t="inlineStr">
        <is>
          <t>المؤشر</t>
        </is>
      </c>
      <c r="C38" s="52" t="inlineStr">
        <is>
          <t>الأولوية</t>
        </is>
      </c>
      <c r="D38" s="52" t="inlineStr">
        <is>
          <t>●/○</t>
        </is>
      </c>
    </row>
    <row r="39">
      <c r="B39" s="19" t="inlineStr">
        <is>
          <t>نسبة اكتمال المستندات النظامية قبل التوقيع</t>
        </is>
      </c>
      <c r="C39" s="53" t="inlineStr">
        <is>
          <t>🟠 مهم</t>
        </is>
      </c>
      <c r="D39" s="35" t="inlineStr">
        <is>
          <t>○</t>
        </is>
      </c>
    </row>
    <row r="40">
      <c r="B40" s="19" t="inlineStr">
        <is>
          <t>نسبة إنجاز التقارير الدورية في موعدها</t>
        </is>
      </c>
      <c r="C40" s="53" t="inlineStr">
        <is>
          <t>🟠 مهم</t>
        </is>
      </c>
      <c r="D40" s="35" t="inlineStr">
        <is>
          <t>○</t>
        </is>
      </c>
    </row>
    <row r="42">
      <c r="B42" s="7" t="inlineStr">
        <is>
          <t>عبدالسلام الوالي  —  أخصائي امتياز — عمليات ومخزون  ·  2 مؤشر</t>
        </is>
      </c>
    </row>
    <row r="43">
      <c r="B43" s="52" t="inlineStr">
        <is>
          <t>المؤشر</t>
        </is>
      </c>
      <c r="C43" s="52" t="inlineStr">
        <is>
          <t>الأولوية</t>
        </is>
      </c>
      <c r="D43" s="52" t="inlineStr">
        <is>
          <t>●/○</t>
        </is>
      </c>
    </row>
    <row r="44">
      <c r="B44" s="19" t="inlineStr">
        <is>
          <t>عدد حالات انقطاع الوقود الموثّقة</t>
        </is>
      </c>
      <c r="C44" s="53" t="inlineStr">
        <is>
          <t>🔴 رئيسي</t>
        </is>
      </c>
      <c r="D44" s="35" t="inlineStr">
        <is>
          <t>●</t>
        </is>
      </c>
    </row>
    <row r="45">
      <c r="B45" s="19" t="inlineStr">
        <is>
          <t>متوسط وقت معالجة البلاغات التشغيلية</t>
        </is>
      </c>
      <c r="C45" s="53" t="inlineStr">
        <is>
          <t>🟠 مهم</t>
        </is>
      </c>
      <c r="D45" s="35" t="inlineStr">
        <is>
          <t>●</t>
        </is>
      </c>
    </row>
    <row r="47">
      <c r="B47" s="7" t="inlineStr">
        <is>
          <t>المعتصم المصعبي  —  أخصائي امتياز — عمليات ومبيعات  ·  2 مؤشر</t>
        </is>
      </c>
    </row>
    <row r="48">
      <c r="B48" s="52" t="inlineStr">
        <is>
          <t>المؤشر</t>
        </is>
      </c>
      <c r="C48" s="52" t="inlineStr">
        <is>
          <t>الأولوية</t>
        </is>
      </c>
      <c r="D48" s="52" t="inlineStr">
        <is>
          <t>●/○</t>
        </is>
      </c>
    </row>
    <row r="49">
      <c r="B49" s="19" t="inlineStr">
        <is>
          <t>متوسط مبيعات المحطة الواحدة شهرياً</t>
        </is>
      </c>
      <c r="C49" s="53" t="inlineStr">
        <is>
          <t>🟠 مهم</t>
        </is>
      </c>
      <c r="D49" s="35" t="inlineStr">
        <is>
          <t>●</t>
        </is>
      </c>
    </row>
    <row r="50">
      <c r="B50" s="19" t="inlineStr">
        <is>
          <t>إجمالي مبيعات وقود محطات الامتياز</t>
        </is>
      </c>
      <c r="C50" s="53" t="inlineStr">
        <is>
          <t>🔴 رئيسي</t>
        </is>
      </c>
      <c r="D50" s="35" t="inlineStr">
        <is>
          <t>○</t>
        </is>
      </c>
    </row>
    <row r="52">
      <c r="B52" s="7" t="inlineStr">
        <is>
          <t>يحيى العدله  —  أخصائي امتياز — تسجيل وتوثيق  ·  2 مؤشر</t>
        </is>
      </c>
    </row>
    <row r="53">
      <c r="B53" s="52" t="inlineStr">
        <is>
          <t>المؤشر</t>
        </is>
      </c>
      <c r="C53" s="52" t="inlineStr">
        <is>
          <t>الأولوية</t>
        </is>
      </c>
      <c r="D53" s="52" t="inlineStr">
        <is>
          <t>●/○</t>
        </is>
      </c>
    </row>
    <row r="54">
      <c r="B54" s="19" t="inlineStr">
        <is>
          <t>نسبة اكتمال المستندات النظامية قبل التوقيع</t>
        </is>
      </c>
      <c r="C54" s="53" t="inlineStr">
        <is>
          <t>🟠 مهم</t>
        </is>
      </c>
      <c r="D54" s="35" t="inlineStr">
        <is>
          <t>●</t>
        </is>
      </c>
    </row>
    <row r="55">
      <c r="B55" s="19" t="inlineStr">
        <is>
          <t>نسبة حل الشكاوى خلال المدة المحددة</t>
        </is>
      </c>
      <c r="C55" s="53" t="inlineStr">
        <is>
          <t>🟠 مهم</t>
        </is>
      </c>
      <c r="D55" s="35" t="inlineStr">
        <is>
          <t>○</t>
        </is>
      </c>
    </row>
    <row r="57">
      <c r="B57" s="7" t="inlineStr">
        <is>
          <t>إسماعيل سندي  —  أخصائي امتياز — تواصل عملاء وتأجير  ·  3 مؤشر</t>
        </is>
      </c>
    </row>
    <row r="58">
      <c r="B58" s="52" t="inlineStr">
        <is>
          <t>المؤشر</t>
        </is>
      </c>
      <c r="C58" s="52" t="inlineStr">
        <is>
          <t>الأولوية</t>
        </is>
      </c>
      <c r="D58" s="52" t="inlineStr">
        <is>
          <t>●/○</t>
        </is>
      </c>
    </row>
    <row r="59">
      <c r="B59" s="19" t="inlineStr">
        <is>
          <t>معدل رضا شركاء الامتياز (CSAT)</t>
        </is>
      </c>
      <c r="C59" s="53" t="inlineStr">
        <is>
          <t>🔴 رئيسي</t>
        </is>
      </c>
      <c r="D59" s="35" t="inlineStr">
        <is>
          <t>●</t>
        </is>
      </c>
    </row>
    <row r="60">
      <c r="B60" s="19" t="inlineStr">
        <is>
          <t>نسبة حل الشكاوى خلال المدة المحددة</t>
        </is>
      </c>
      <c r="C60" s="53" t="inlineStr">
        <is>
          <t>🟠 مهم</t>
        </is>
      </c>
      <c r="D60" s="35" t="inlineStr">
        <is>
          <t>●</t>
        </is>
      </c>
    </row>
    <row r="61">
      <c r="B61" s="19" t="inlineStr">
        <is>
          <t>نسبة انخفاض الشكاوى التشغيلية والإدارية</t>
        </is>
      </c>
      <c r="C61" s="53" t="inlineStr">
        <is>
          <t>🟠 مهم</t>
        </is>
      </c>
      <c r="D61" s="35"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54" t="inlineStr">
        <is>
          <t>إدارة الامتياز التجاري · نموذج تقييم الأداء — مدير إدارة الامتياز التجاري</t>
        </is>
      </c>
    </row>
    <row r="2">
      <c r="A2" s="37" t="inlineStr">
        <is>
          <t>الكود: FM-01  ·  ربع سنوي  ·  🟩 أدخل «نسبة التحقيق» فقط — الدرجة تُحسب تلقائياً</t>
        </is>
      </c>
    </row>
    <row r="3">
      <c r="A3" s="55" t="inlineStr">
        <is>
          <t>اسم الموظف:</t>
        </is>
      </c>
      <c r="B3" s="56" t="inlineStr"/>
      <c r="C3" s="57" t="n"/>
      <c r="D3" s="55" t="inlineStr">
        <is>
          <t>القسم: الامتياز التجاري</t>
        </is>
      </c>
      <c r="E3" s="56" t="inlineStr"/>
      <c r="F3" s="58" t="n"/>
      <c r="G3" s="57" t="n"/>
    </row>
    <row r="4">
      <c r="A4" s="55" t="inlineStr">
        <is>
          <t>المدير المباشر:</t>
        </is>
      </c>
      <c r="B4" s="56" t="inlineStr"/>
      <c r="C4" s="57" t="n"/>
      <c r="D4" s="55" t="inlineStr">
        <is>
          <t>الربع / السنة:</t>
        </is>
      </c>
      <c r="E4" s="56" t="inlineStr"/>
      <c r="F4" s="58" t="n"/>
      <c r="G4" s="57" t="n"/>
    </row>
    <row r="5">
      <c r="A5" s="55" t="inlineStr">
        <is>
          <t>تاريخ التقييم:</t>
        </is>
      </c>
      <c r="B5" s="56" t="inlineStr"/>
      <c r="C5" s="57" t="n"/>
      <c r="D5" s="55" t="inlineStr">
        <is>
          <t>حالة التقييم:</t>
        </is>
      </c>
      <c r="E5" s="56" t="inlineStr"/>
      <c r="F5" s="58" t="n"/>
      <c r="G5" s="57" t="n"/>
    </row>
    <row r="6" ht="30" customHeight="1">
      <c r="A6" s="15" t="inlineStr">
        <is>
          <t>#</t>
        </is>
      </c>
      <c r="B6" s="15" t="inlineStr">
        <is>
          <t>مؤشر الأداء</t>
        </is>
      </c>
      <c r="C6" s="15" t="inlineStr">
        <is>
          <t>الوزن %</t>
        </is>
      </c>
      <c r="D6" s="15" t="inlineStr">
        <is>
          <t>المستهدف</t>
        </is>
      </c>
      <c r="E6" s="15" t="inlineStr">
        <is>
          <t>نسبة التحقيق</t>
        </is>
      </c>
      <c r="F6" s="15" t="inlineStr">
        <is>
          <t>الدرجة المحققة</t>
        </is>
      </c>
      <c r="G6" s="15" t="inlineStr">
        <is>
          <t>ملاحظات</t>
        </is>
      </c>
    </row>
    <row r="7" ht="28" customHeight="1">
      <c r="A7" s="16" t="n">
        <v>1</v>
      </c>
      <c r="B7" s="19" t="inlineStr">
        <is>
          <t>عدد محطات الامتياز الجديدة</t>
        </is>
      </c>
      <c r="C7" s="44" t="n">
        <v>0.15</v>
      </c>
      <c r="D7" s="59" t="inlineStr">
        <is>
          <t>100%+ من المحطات المستهدفة</t>
        </is>
      </c>
      <c r="E7" s="60" t="n"/>
      <c r="F7" s="36">
        <f>C7*MIN(E7,1)</f>
        <v/>
      </c>
      <c r="G7" s="56" t="inlineStr"/>
    </row>
    <row r="8" ht="28" customHeight="1">
      <c r="A8" s="16" t="n">
        <v>2</v>
      </c>
      <c r="B8" s="19" t="inlineStr">
        <is>
          <t>إجمالي مبيعات محطات الامتياز</t>
        </is>
      </c>
      <c r="C8" s="44" t="n">
        <v>0.15</v>
      </c>
      <c r="D8" s="59" t="inlineStr">
        <is>
          <t>100%+ من مستهدف المبيعات الربعي</t>
        </is>
      </c>
      <c r="E8" s="60" t="n"/>
      <c r="F8" s="36">
        <f>C8*MIN(E8,1)</f>
        <v/>
      </c>
      <c r="G8" s="56" t="inlineStr"/>
    </row>
    <row r="9" ht="28" customHeight="1">
      <c r="A9" s="16" t="n">
        <v>3</v>
      </c>
      <c r="B9" s="19" t="inlineStr">
        <is>
          <t>استمرارية تزويد الوقود</t>
        </is>
      </c>
      <c r="C9" s="44" t="n">
        <v>0.1</v>
      </c>
      <c r="D9" s="59" t="inlineStr">
        <is>
          <t>0 حالات انقطاع</t>
        </is>
      </c>
      <c r="E9" s="60" t="n"/>
      <c r="F9" s="36">
        <f>C9*MIN(E9,1)</f>
        <v/>
      </c>
      <c r="G9" s="56" t="inlineStr"/>
    </row>
    <row r="10" ht="28" customHeight="1">
      <c r="A10" s="16" t="n">
        <v>4</v>
      </c>
      <c r="B10" s="19" t="inlineStr">
        <is>
          <t>نسبة التحصيل المالي</t>
        </is>
      </c>
      <c r="C10" s="44" t="n">
        <v>0.15</v>
      </c>
      <c r="D10" s="59" t="inlineStr">
        <is>
          <t>100%+ من المستحقات الربعية</t>
        </is>
      </c>
      <c r="E10" s="60" t="n"/>
      <c r="F10" s="36">
        <f>C10*MIN(E10,1)</f>
        <v/>
      </c>
      <c r="G10" s="56" t="inlineStr"/>
    </row>
    <row r="11" ht="28" customHeight="1">
      <c r="A11" s="16" t="n">
        <v>5</v>
      </c>
      <c r="B11" s="19" t="inlineStr">
        <is>
          <t>الالتزام بالهوية المؤسسية</t>
        </is>
      </c>
      <c r="C11" s="44" t="n">
        <v>0.15</v>
      </c>
      <c r="D11" s="59" t="inlineStr">
        <is>
          <t>70%+ من المحطات ملتزمة</t>
        </is>
      </c>
      <c r="E11" s="60" t="n"/>
      <c r="F11" s="36">
        <f>C11*MIN(E11,1)</f>
        <v/>
      </c>
      <c r="G11" s="56" t="inlineStr"/>
    </row>
    <row r="12" ht="28" customHeight="1">
      <c r="A12" s="16" t="n">
        <v>6</v>
      </c>
      <c r="B12" s="19" t="inlineStr">
        <is>
          <t>انخفاض عدد الشكاوى</t>
        </is>
      </c>
      <c r="C12" s="44" t="n">
        <v>0.1</v>
      </c>
      <c r="D12" s="59" t="inlineStr">
        <is>
          <t>خفض 20%+ عن الربع السابق</t>
        </is>
      </c>
      <c r="E12" s="60" t="n"/>
      <c r="F12" s="36">
        <f>C12*MIN(E12,1)</f>
        <v/>
      </c>
      <c r="G12" s="56" t="inlineStr"/>
    </row>
    <row r="13" ht="28" customHeight="1">
      <c r="A13" s="16" t="n">
        <v>7</v>
      </c>
      <c r="B13" s="19" t="inlineStr">
        <is>
          <t>تقييمات خرائط قوقل</t>
        </is>
      </c>
      <c r="C13" s="44" t="n">
        <v>0.1</v>
      </c>
      <c r="D13" s="59" t="inlineStr">
        <is>
          <t>4.7 – 5</t>
        </is>
      </c>
      <c r="E13" s="60" t="n"/>
      <c r="F13" s="36">
        <f>C13*MIN(E13,1)</f>
        <v/>
      </c>
      <c r="G13" s="56" t="inlineStr"/>
    </row>
    <row r="14" ht="28" customHeight="1">
      <c r="A14" s="16" t="n">
        <v>8</v>
      </c>
      <c r="B14" s="19" t="inlineStr">
        <is>
          <t>انتظام وجودة التقارير</t>
        </is>
      </c>
      <c r="C14" s="44" t="n">
        <v>0.1</v>
      </c>
      <c r="D14" s="59" t="inlineStr">
        <is>
          <t>100% في موعدها</t>
        </is>
      </c>
      <c r="E14" s="60" t="n"/>
      <c r="F14" s="36">
        <f>C14*MIN(E14,1)</f>
        <v/>
      </c>
      <c r="G14" s="56" t="inlineStr"/>
    </row>
    <row r="15">
      <c r="A15" s="61" t="inlineStr"/>
      <c r="B15" s="62" t="inlineStr">
        <is>
          <t>المجموع الكلي</t>
        </is>
      </c>
      <c r="C15" s="63">
        <f>SUM(C7:C14)</f>
        <v/>
      </c>
      <c r="D15" s="61" t="inlineStr"/>
      <c r="E15" s="62" t="inlineStr">
        <is>
          <t>الدرجة:</t>
        </is>
      </c>
      <c r="F15" s="64">
        <f>SUM(F7:F14)</f>
        <v/>
      </c>
      <c r="G15" s="61" t="inlineStr"/>
    </row>
    <row r="16">
      <c r="B16" s="5" t="inlineStr">
        <is>
          <t>التقدير</t>
        </is>
      </c>
      <c r="C16" s="65">
        <f>IF(F15&gt;=0.9,"ممتاز",IF(F15&gt;=0.8,"جيد جداً",IF(F15&gt;=0.7,"جيد",IF(F15&gt;=0.6,"مقبول","ضعيف"))))</f>
        <v/>
      </c>
      <c r="D16" s="29" t="n"/>
    </row>
    <row r="18">
      <c r="B18" s="5" t="inlineStr">
        <is>
          <t>سلّم التقييم</t>
        </is>
      </c>
      <c r="C18" s="28" t="n"/>
      <c r="D18" s="29" t="n"/>
    </row>
    <row r="19">
      <c r="B19" s="16" t="inlineStr">
        <is>
          <t>ممتاز</t>
        </is>
      </c>
      <c r="C19" s="53" t="inlineStr">
        <is>
          <t>90% – 100%</t>
        </is>
      </c>
      <c r="D19" s="19" t="inlineStr">
        <is>
          <t>تجاوز المستهدف</t>
        </is>
      </c>
    </row>
    <row r="20">
      <c r="B20" s="16" t="inlineStr">
        <is>
          <t>جيد جداً</t>
        </is>
      </c>
      <c r="C20" s="53" t="inlineStr">
        <is>
          <t>80% – 89%</t>
        </is>
      </c>
      <c r="D20" s="19" t="inlineStr">
        <is>
          <t>حقق المستهدف تقريباً</t>
        </is>
      </c>
    </row>
    <row r="21">
      <c r="B21" s="16" t="inlineStr">
        <is>
          <t>جيد</t>
        </is>
      </c>
      <c r="C21" s="53" t="inlineStr">
        <is>
          <t>70% – 79%</t>
        </is>
      </c>
      <c r="D21" s="19" t="inlineStr">
        <is>
          <t>حقق معظم المستهدفات</t>
        </is>
      </c>
    </row>
    <row r="22">
      <c r="B22" s="16" t="inlineStr">
        <is>
          <t>مقبول</t>
        </is>
      </c>
      <c r="C22" s="53" t="inlineStr">
        <is>
          <t>60% – 69%</t>
        </is>
      </c>
      <c r="D22" s="19" t="inlineStr">
        <is>
          <t>يحتاج تحسين</t>
        </is>
      </c>
    </row>
    <row r="23">
      <c r="B23" s="16" t="inlineStr">
        <is>
          <t>ضعيف</t>
        </is>
      </c>
      <c r="C23" s="53" t="inlineStr">
        <is>
          <t>أقل من 60%</t>
        </is>
      </c>
      <c r="D23" s="19"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54" t="inlineStr">
        <is>
          <t>إدارة الامتياز التجاري · نموذج تقييم الأداء — مسؤول الامتياز التجاري</t>
        </is>
      </c>
    </row>
    <row r="2">
      <c r="A2" s="37" t="inlineStr">
        <is>
          <t>الكود: FM-02  ·  ربع سنوي  ·  🟩 أدخل «نسبة التحقيق» فقط — الدرجة تُحسب تلقائياً</t>
        </is>
      </c>
    </row>
    <row r="3">
      <c r="A3" s="55" t="inlineStr">
        <is>
          <t>اسم الموظف:</t>
        </is>
      </c>
      <c r="B3" s="56" t="inlineStr"/>
      <c r="C3" s="57" t="n"/>
      <c r="D3" s="55" t="inlineStr">
        <is>
          <t>القسم: الامتياز التجاري</t>
        </is>
      </c>
      <c r="E3" s="56" t="inlineStr"/>
      <c r="F3" s="58" t="n"/>
      <c r="G3" s="57" t="n"/>
    </row>
    <row r="4">
      <c r="A4" s="55" t="inlineStr">
        <is>
          <t>المدير المباشر:</t>
        </is>
      </c>
      <c r="B4" s="56" t="inlineStr"/>
      <c r="C4" s="57" t="n"/>
      <c r="D4" s="55" t="inlineStr">
        <is>
          <t>الربع / السنة:</t>
        </is>
      </c>
      <c r="E4" s="56" t="inlineStr"/>
      <c r="F4" s="58" t="n"/>
      <c r="G4" s="57" t="n"/>
    </row>
    <row r="5">
      <c r="A5" s="55" t="inlineStr">
        <is>
          <t>تاريخ التقييم:</t>
        </is>
      </c>
      <c r="B5" s="56" t="inlineStr"/>
      <c r="C5" s="57" t="n"/>
      <c r="D5" s="55" t="inlineStr">
        <is>
          <t>حالة التقييم:</t>
        </is>
      </c>
      <c r="E5" s="56" t="inlineStr"/>
      <c r="F5" s="58" t="n"/>
      <c r="G5" s="57" t="n"/>
    </row>
    <row r="6" ht="30" customHeight="1">
      <c r="A6" s="15" t="inlineStr">
        <is>
          <t>#</t>
        </is>
      </c>
      <c r="B6" s="15" t="inlineStr">
        <is>
          <t>مؤشر الأداء</t>
        </is>
      </c>
      <c r="C6" s="15" t="inlineStr">
        <is>
          <t>الوزن %</t>
        </is>
      </c>
      <c r="D6" s="15" t="inlineStr">
        <is>
          <t>المستهدف</t>
        </is>
      </c>
      <c r="E6" s="15" t="inlineStr">
        <is>
          <t>نسبة التحقيق</t>
        </is>
      </c>
      <c r="F6" s="15" t="inlineStr">
        <is>
          <t>الدرجة المحققة</t>
        </is>
      </c>
      <c r="G6" s="15" t="inlineStr">
        <is>
          <t>ملاحظات</t>
        </is>
      </c>
    </row>
    <row r="7" ht="28" customHeight="1">
      <c r="A7" s="16" t="n">
        <v>1</v>
      </c>
      <c r="B7" s="19" t="inlineStr">
        <is>
          <t>المتابعة مع عملاء الامتياز</t>
        </is>
      </c>
      <c r="C7" s="44" t="n">
        <v>0.3</v>
      </c>
      <c r="D7" s="59" t="inlineStr">
        <is>
          <t>متابعة مستمرة 100%</t>
        </is>
      </c>
      <c r="E7" s="60" t="n"/>
      <c r="F7" s="36">
        <f>C7*MIN(E7,1)</f>
        <v/>
      </c>
      <c r="G7" s="56" t="inlineStr"/>
    </row>
    <row r="8" ht="28" customHeight="1">
      <c r="A8" s="16" t="n">
        <v>2</v>
      </c>
      <c r="B8" s="19" t="inlineStr">
        <is>
          <t>عدم انقطاع المحطات من الوقود</t>
        </is>
      </c>
      <c r="C8" s="44" t="n">
        <v>0.35</v>
      </c>
      <c r="D8" s="59" t="inlineStr">
        <is>
          <t>0 حالات انقطاع</t>
        </is>
      </c>
      <c r="E8" s="60" t="n"/>
      <c r="F8" s="36">
        <f>C8*MIN(E8,1)</f>
        <v/>
      </c>
      <c r="G8" s="56" t="inlineStr"/>
    </row>
    <row r="9" ht="28" customHeight="1">
      <c r="A9" s="16" t="n">
        <v>3</v>
      </c>
      <c r="B9" s="19" t="inlineStr">
        <is>
          <t>متابعة طلبات وتوريد الوقود</t>
        </is>
      </c>
      <c r="C9" s="44" t="n">
        <v>0.1</v>
      </c>
      <c r="D9" s="59" t="inlineStr">
        <is>
          <t>100% متابعة يومية</t>
        </is>
      </c>
      <c r="E9" s="60" t="n"/>
      <c r="F9" s="36">
        <f>C9*MIN(E9,1)</f>
        <v/>
      </c>
      <c r="G9" s="56" t="inlineStr"/>
    </row>
    <row r="10" ht="28" customHeight="1">
      <c r="A10" s="16" t="n">
        <v>4</v>
      </c>
      <c r="B10" s="19" t="inlineStr">
        <is>
          <t>إجمالي مبيعات المحطات</t>
        </is>
      </c>
      <c r="C10" s="44" t="n">
        <v>0.1</v>
      </c>
      <c r="D10" s="59" t="inlineStr">
        <is>
          <t>تحقيق هدف المبيعات</t>
        </is>
      </c>
      <c r="E10" s="60" t="n"/>
      <c r="F10" s="36">
        <f>C10*MIN(E10,1)</f>
        <v/>
      </c>
      <c r="G10" s="56" t="inlineStr"/>
    </row>
    <row r="11" ht="28" customHeight="1">
      <c r="A11" s="16" t="n">
        <v>5</v>
      </c>
      <c r="B11" s="19" t="inlineStr">
        <is>
          <t>التحصيل المالي</t>
        </is>
      </c>
      <c r="C11" s="44" t="n">
        <v>0.1</v>
      </c>
      <c r="D11" s="59" t="inlineStr">
        <is>
          <t>100% خلال الربع</t>
        </is>
      </c>
      <c r="E11" s="60" t="n"/>
      <c r="F11" s="36">
        <f>C11*MIN(E11,1)</f>
        <v/>
      </c>
      <c r="G11" s="56" t="inlineStr"/>
    </row>
    <row r="12" ht="28" customHeight="1">
      <c r="A12" s="16" t="n">
        <v>6</v>
      </c>
      <c r="B12" s="19" t="inlineStr">
        <is>
          <t>التقارير الدورية الشاملة</t>
        </is>
      </c>
      <c r="C12" s="44" t="n">
        <v>0.05</v>
      </c>
      <c r="D12" s="59" t="inlineStr">
        <is>
          <t>100% في مواعيدها</t>
        </is>
      </c>
      <c r="E12" s="60" t="n"/>
      <c r="F12" s="36">
        <f>C12*MIN(E12,1)</f>
        <v/>
      </c>
      <c r="G12" s="56" t="inlineStr"/>
    </row>
    <row r="13">
      <c r="A13" s="61" t="inlineStr"/>
      <c r="B13" s="62" t="inlineStr">
        <is>
          <t>المجموع الكلي</t>
        </is>
      </c>
      <c r="C13" s="63">
        <f>SUM(C7:C12)</f>
        <v/>
      </c>
      <c r="D13" s="61" t="inlineStr"/>
      <c r="E13" s="62" t="inlineStr">
        <is>
          <t>الدرجة:</t>
        </is>
      </c>
      <c r="F13" s="64">
        <f>SUM(F7:F12)</f>
        <v/>
      </c>
      <c r="G13" s="61" t="inlineStr"/>
    </row>
    <row r="14">
      <c r="B14" s="5" t="inlineStr">
        <is>
          <t>التقدير</t>
        </is>
      </c>
      <c r="C14" s="65">
        <f>IF(F13&gt;=0.9,"ممتاز",IF(F13&gt;=0.8,"جيد جداً",IF(F13&gt;=0.7,"جيد",IF(F13&gt;=0.6,"مقبول","ضعيف"))))</f>
        <v/>
      </c>
      <c r="D14" s="29" t="n"/>
    </row>
    <row r="16">
      <c r="B16" s="5" t="inlineStr">
        <is>
          <t>سلّم التقييم</t>
        </is>
      </c>
      <c r="C16" s="28" t="n"/>
      <c r="D16" s="29" t="n"/>
    </row>
    <row r="17">
      <c r="B17" s="16" t="inlineStr">
        <is>
          <t>ممتاز</t>
        </is>
      </c>
      <c r="C17" s="53" t="inlineStr">
        <is>
          <t>90% – 100%</t>
        </is>
      </c>
      <c r="D17" s="19" t="inlineStr">
        <is>
          <t>تجاوز المستهدف</t>
        </is>
      </c>
    </row>
    <row r="18">
      <c r="B18" s="16" t="inlineStr">
        <is>
          <t>جيد جداً</t>
        </is>
      </c>
      <c r="C18" s="53" t="inlineStr">
        <is>
          <t>80% – 89%</t>
        </is>
      </c>
      <c r="D18" s="19" t="inlineStr">
        <is>
          <t>حقق المستهدف تقريباً</t>
        </is>
      </c>
    </row>
    <row r="19">
      <c r="B19" s="16" t="inlineStr">
        <is>
          <t>جيد</t>
        </is>
      </c>
      <c r="C19" s="53" t="inlineStr">
        <is>
          <t>70% – 79%</t>
        </is>
      </c>
      <c r="D19" s="19" t="inlineStr">
        <is>
          <t>حقق معظم المستهدفات</t>
        </is>
      </c>
    </row>
    <row r="20">
      <c r="B20" s="16" t="inlineStr">
        <is>
          <t>مقبول</t>
        </is>
      </c>
      <c r="C20" s="53" t="inlineStr">
        <is>
          <t>60% – 69%</t>
        </is>
      </c>
      <c r="D20" s="19" t="inlineStr">
        <is>
          <t>يحتاج تحسين</t>
        </is>
      </c>
    </row>
    <row r="21">
      <c r="B21" s="16" t="inlineStr">
        <is>
          <t>ضعيف</t>
        </is>
      </c>
      <c r="C21" s="53" t="inlineStr">
        <is>
          <t>أقل من 60%</t>
        </is>
      </c>
      <c r="D21" s="19"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54" t="inlineStr">
        <is>
          <t>إدارة الامتياز التجاري · نموذج تقييم الأداء — المراقب الميداني</t>
        </is>
      </c>
    </row>
    <row r="2">
      <c r="A2" s="37" t="inlineStr">
        <is>
          <t>الكود: FM-03  ·  ربع سنوي  ·  🟩 أدخل «نسبة التحقيق» فقط — الدرجة تُحسب تلقائياً</t>
        </is>
      </c>
    </row>
    <row r="3">
      <c r="A3" s="55" t="inlineStr">
        <is>
          <t>اسم الموظف:</t>
        </is>
      </c>
      <c r="B3" s="56" t="inlineStr"/>
      <c r="C3" s="57" t="n"/>
      <c r="D3" s="55" t="inlineStr">
        <is>
          <t>القسم: الامتياز التجاري</t>
        </is>
      </c>
      <c r="E3" s="56" t="inlineStr"/>
      <c r="F3" s="58" t="n"/>
      <c r="G3" s="57" t="n"/>
    </row>
    <row r="4">
      <c r="A4" s="55" t="inlineStr">
        <is>
          <t>المدير المباشر:</t>
        </is>
      </c>
      <c r="B4" s="56" t="inlineStr"/>
      <c r="C4" s="57" t="n"/>
      <c r="D4" s="55" t="inlineStr">
        <is>
          <t>الربع / السنة:</t>
        </is>
      </c>
      <c r="E4" s="56" t="inlineStr"/>
      <c r="F4" s="58" t="n"/>
      <c r="G4" s="57" t="n"/>
    </row>
    <row r="5">
      <c r="A5" s="55" t="inlineStr">
        <is>
          <t>تاريخ التقييم:</t>
        </is>
      </c>
      <c r="B5" s="56" t="inlineStr"/>
      <c r="C5" s="57" t="n"/>
      <c r="D5" s="55" t="inlineStr">
        <is>
          <t>حالة التقييم:</t>
        </is>
      </c>
      <c r="E5" s="56" t="inlineStr"/>
      <c r="F5" s="58" t="n"/>
      <c r="G5" s="57" t="n"/>
    </row>
    <row r="6" ht="30" customHeight="1">
      <c r="A6" s="15" t="inlineStr">
        <is>
          <t>#</t>
        </is>
      </c>
      <c r="B6" s="15" t="inlineStr">
        <is>
          <t>مؤشر الأداء</t>
        </is>
      </c>
      <c r="C6" s="15" t="inlineStr">
        <is>
          <t>الوزن %</t>
        </is>
      </c>
      <c r="D6" s="15" t="inlineStr">
        <is>
          <t>المستهدف</t>
        </is>
      </c>
      <c r="E6" s="15" t="inlineStr">
        <is>
          <t>نسبة التحقيق</t>
        </is>
      </c>
      <c r="F6" s="15" t="inlineStr">
        <is>
          <t>الدرجة المحققة</t>
        </is>
      </c>
      <c r="G6" s="15" t="inlineStr">
        <is>
          <t>ملاحظات</t>
        </is>
      </c>
    </row>
    <row r="7" ht="28" customHeight="1">
      <c r="A7" s="16" t="n">
        <v>1</v>
      </c>
      <c r="B7" s="19" t="inlineStr">
        <is>
          <t>عدد الزيارات الميدانية المنفذة</t>
        </is>
      </c>
      <c r="C7" s="44" t="n">
        <v>0.3</v>
      </c>
      <c r="D7" s="59" t="inlineStr">
        <is>
          <t>100% من الزيارات المجدولة</t>
        </is>
      </c>
      <c r="E7" s="60" t="n"/>
      <c r="F7" s="36">
        <f>C7*MIN(E7,1)</f>
        <v/>
      </c>
      <c r="G7" s="56" t="inlineStr"/>
    </row>
    <row r="8" ht="28" customHeight="1">
      <c r="A8" s="16" t="n">
        <v>2</v>
      </c>
      <c r="B8" s="19" t="inlineStr">
        <is>
          <t>متابعة تطبيق الهوية المؤسسية</t>
        </is>
      </c>
      <c r="C8" s="44" t="n">
        <v>0.2</v>
      </c>
      <c r="D8" s="59" t="inlineStr">
        <is>
          <t>100% دون ملاحظات متكررة</t>
        </is>
      </c>
      <c r="E8" s="60" t="n"/>
      <c r="F8" s="36">
        <f>C8*MIN(E8,1)</f>
        <v/>
      </c>
      <c r="G8" s="56" t="inlineStr"/>
    </row>
    <row r="9" ht="28" customHeight="1">
      <c r="A9" s="16" t="n">
        <v>3</v>
      </c>
      <c r="B9" s="19" t="inlineStr">
        <is>
          <t>تقارير الجودة الميدانية والـChecklist</t>
        </is>
      </c>
      <c r="C9" s="44" t="n">
        <v>0.2</v>
      </c>
      <c r="D9" s="59" t="inlineStr">
        <is>
          <t>100% رفع التقارير</t>
        </is>
      </c>
      <c r="E9" s="60" t="n"/>
      <c r="F9" s="36">
        <f>C9*MIN(E9,1)</f>
        <v/>
      </c>
      <c r="G9" s="56" t="inlineStr"/>
    </row>
    <row r="10" ht="28" customHeight="1">
      <c r="A10" s="16" t="n">
        <v>4</v>
      </c>
      <c r="B10" s="19" t="inlineStr">
        <is>
          <t>متابعة العلامات التجارية</t>
        </is>
      </c>
      <c r="C10" s="44" t="n">
        <v>0.1</v>
      </c>
      <c r="D10" s="59" t="inlineStr">
        <is>
          <t>100% حسب الجدول</t>
        </is>
      </c>
      <c r="E10" s="60" t="n"/>
      <c r="F10" s="36">
        <f>C10*MIN(E10,1)</f>
        <v/>
      </c>
      <c r="G10" s="56" t="inlineStr"/>
    </row>
    <row r="11" ht="28" customHeight="1">
      <c r="A11" s="16" t="n">
        <v>5</v>
      </c>
      <c r="B11" s="19" t="inlineStr">
        <is>
          <t>تطبيق معايير السلامة الميدانية</t>
        </is>
      </c>
      <c r="C11" s="44" t="n">
        <v>0.1</v>
      </c>
      <c r="D11" s="59" t="inlineStr">
        <is>
          <t>100%</t>
        </is>
      </c>
      <c r="E11" s="60" t="n"/>
      <c r="F11" s="36">
        <f>C11*MIN(E11,1)</f>
        <v/>
      </c>
      <c r="G11" s="56" t="inlineStr"/>
    </row>
    <row r="12" ht="28" customHeight="1">
      <c r="A12" s="16" t="n">
        <v>6</v>
      </c>
      <c r="B12" s="19" t="inlineStr">
        <is>
          <t>متابعة الشكاوى وإغلاقها</t>
        </is>
      </c>
      <c r="C12" s="44" t="n">
        <v>0.1</v>
      </c>
      <c r="D12" s="59" t="inlineStr">
        <is>
          <t>الاستجابة خلال 24 ساعة</t>
        </is>
      </c>
      <c r="E12" s="60" t="n"/>
      <c r="F12" s="36">
        <f>C12*MIN(E12,1)</f>
        <v/>
      </c>
      <c r="G12" s="56" t="inlineStr"/>
    </row>
    <row r="13">
      <c r="A13" s="61" t="inlineStr"/>
      <c r="B13" s="62" t="inlineStr">
        <is>
          <t>المجموع الكلي</t>
        </is>
      </c>
      <c r="C13" s="63">
        <f>SUM(C7:C12)</f>
        <v/>
      </c>
      <c r="D13" s="61" t="inlineStr"/>
      <c r="E13" s="62" t="inlineStr">
        <is>
          <t>الدرجة:</t>
        </is>
      </c>
      <c r="F13" s="64">
        <f>SUM(F7:F12)</f>
        <v/>
      </c>
      <c r="G13" s="61" t="inlineStr"/>
    </row>
    <row r="14">
      <c r="B14" s="5" t="inlineStr">
        <is>
          <t>التقدير</t>
        </is>
      </c>
      <c r="C14" s="65">
        <f>IF(F13&gt;=0.9,"ممتاز",IF(F13&gt;=0.8,"جيد جداً",IF(F13&gt;=0.7,"جيد",IF(F13&gt;=0.6,"مقبول","ضعيف"))))</f>
        <v/>
      </c>
      <c r="D14" s="29" t="n"/>
    </row>
    <row r="16">
      <c r="B16" s="5" t="inlineStr">
        <is>
          <t>سلّم التقييم</t>
        </is>
      </c>
      <c r="C16" s="28" t="n"/>
      <c r="D16" s="29" t="n"/>
    </row>
    <row r="17">
      <c r="B17" s="16" t="inlineStr">
        <is>
          <t>ممتاز</t>
        </is>
      </c>
      <c r="C17" s="53" t="inlineStr">
        <is>
          <t>90% – 100%</t>
        </is>
      </c>
      <c r="D17" s="19" t="inlineStr">
        <is>
          <t>تجاوز المستهدف</t>
        </is>
      </c>
    </row>
    <row r="18">
      <c r="B18" s="16" t="inlineStr">
        <is>
          <t>جيد جداً</t>
        </is>
      </c>
      <c r="C18" s="53" t="inlineStr">
        <is>
          <t>80% – 89%</t>
        </is>
      </c>
      <c r="D18" s="19" t="inlineStr">
        <is>
          <t>حقق المستهدف تقريباً</t>
        </is>
      </c>
    </row>
    <row r="19">
      <c r="B19" s="16" t="inlineStr">
        <is>
          <t>جيد</t>
        </is>
      </c>
      <c r="C19" s="53" t="inlineStr">
        <is>
          <t>70% – 79%</t>
        </is>
      </c>
      <c r="D19" s="19" t="inlineStr">
        <is>
          <t>حقق معظم المستهدفات</t>
        </is>
      </c>
    </row>
    <row r="20">
      <c r="B20" s="16" t="inlineStr">
        <is>
          <t>مقبول</t>
        </is>
      </c>
      <c r="C20" s="53" t="inlineStr">
        <is>
          <t>60% – 69%</t>
        </is>
      </c>
      <c r="D20" s="19" t="inlineStr">
        <is>
          <t>يحتاج تحسين</t>
        </is>
      </c>
    </row>
    <row r="21">
      <c r="B21" s="16" t="inlineStr">
        <is>
          <t>ضعيف</t>
        </is>
      </c>
      <c r="C21" s="53" t="inlineStr">
        <is>
          <t>أقل من 60%</t>
        </is>
      </c>
      <c r="D21" s="19"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54" t="inlineStr">
        <is>
          <t>إدارة الامتياز التجاري · نموذج تقييم الأداء — مسؤول التعاقدات</t>
        </is>
      </c>
    </row>
    <row r="2">
      <c r="A2" s="37" t="inlineStr">
        <is>
          <t>الكود: FM-04  ·  ربع سنوي  ·  🟩 أدخل «نسبة التحقيق» فقط — الدرجة تُحسب تلقائياً</t>
        </is>
      </c>
    </row>
    <row r="3">
      <c r="A3" s="55" t="inlineStr">
        <is>
          <t>اسم الموظف:</t>
        </is>
      </c>
      <c r="B3" s="56" t="inlineStr"/>
      <c r="C3" s="57" t="n"/>
      <c r="D3" s="55" t="inlineStr">
        <is>
          <t>القسم: الامتياز التجاري</t>
        </is>
      </c>
      <c r="E3" s="56" t="inlineStr"/>
      <c r="F3" s="58" t="n"/>
      <c r="G3" s="57" t="n"/>
    </row>
    <row r="4">
      <c r="A4" s="55" t="inlineStr">
        <is>
          <t>المدير المباشر:</t>
        </is>
      </c>
      <c r="B4" s="56" t="inlineStr"/>
      <c r="C4" s="57" t="n"/>
      <c r="D4" s="55" t="inlineStr">
        <is>
          <t>الربع / السنة:</t>
        </is>
      </c>
      <c r="E4" s="56" t="inlineStr"/>
      <c r="F4" s="58" t="n"/>
      <c r="G4" s="57" t="n"/>
    </row>
    <row r="5">
      <c r="A5" s="55" t="inlineStr">
        <is>
          <t>تاريخ التقييم:</t>
        </is>
      </c>
      <c r="B5" s="56" t="inlineStr"/>
      <c r="C5" s="57" t="n"/>
      <c r="D5" s="55" t="inlineStr">
        <is>
          <t>حالة التقييم:</t>
        </is>
      </c>
      <c r="E5" s="56" t="inlineStr"/>
      <c r="F5" s="58" t="n"/>
      <c r="G5" s="57" t="n"/>
    </row>
    <row r="6" ht="30" customHeight="1">
      <c r="A6" s="15" t="inlineStr">
        <is>
          <t>#</t>
        </is>
      </c>
      <c r="B6" s="15" t="inlineStr">
        <is>
          <t>مؤشر الأداء</t>
        </is>
      </c>
      <c r="C6" s="15" t="inlineStr">
        <is>
          <t>الوزن %</t>
        </is>
      </c>
      <c r="D6" s="15" t="inlineStr">
        <is>
          <t>المستهدف</t>
        </is>
      </c>
      <c r="E6" s="15" t="inlineStr">
        <is>
          <t>نسبة التحقيق</t>
        </is>
      </c>
      <c r="F6" s="15" t="inlineStr">
        <is>
          <t>الدرجة المحققة</t>
        </is>
      </c>
      <c r="G6" s="15" t="inlineStr">
        <is>
          <t>ملاحظات</t>
        </is>
      </c>
    </row>
    <row r="7" ht="28" customHeight="1">
      <c r="A7" s="16" t="n">
        <v>1</v>
      </c>
      <c r="B7" s="19" t="inlineStr">
        <is>
          <t>جودة التفاوض مع العملاء</t>
        </is>
      </c>
      <c r="C7" s="44" t="n">
        <v>0.2</v>
      </c>
      <c r="D7" s="59" t="inlineStr">
        <is>
          <t>98% توافق مع المستهدفات</t>
        </is>
      </c>
      <c r="E7" s="60" t="n"/>
      <c r="F7" s="36">
        <f>C7*MIN(E7,1)</f>
        <v/>
      </c>
      <c r="G7" s="56" t="inlineStr"/>
    </row>
    <row r="8" ht="28" customHeight="1">
      <c r="A8" s="16" t="n">
        <v>2</v>
      </c>
      <c r="B8" s="19" t="inlineStr">
        <is>
          <t>اكتمال المستندات النظامية قبل التوقيع</t>
        </is>
      </c>
      <c r="C8" s="44" t="n">
        <v>0.15</v>
      </c>
      <c r="D8" s="59" t="inlineStr">
        <is>
          <t>100%</t>
        </is>
      </c>
      <c r="E8" s="60" t="n"/>
      <c r="F8" s="36">
        <f>C8*MIN(E8,1)</f>
        <v/>
      </c>
      <c r="G8" s="56" t="inlineStr"/>
    </row>
    <row r="9" ht="28" customHeight="1">
      <c r="A9" s="16" t="n">
        <v>3</v>
      </c>
      <c r="B9" s="19" t="inlineStr">
        <is>
          <t>سرعة إنجاز إجراءات العقد</t>
        </is>
      </c>
      <c r="C9" s="44" t="n">
        <v>0.3</v>
      </c>
      <c r="D9" s="59" t="inlineStr">
        <is>
          <t>خلال يومي عمل 100%</t>
        </is>
      </c>
      <c r="E9" s="60" t="n"/>
      <c r="F9" s="36">
        <f>C9*MIN(E9,1)</f>
        <v/>
      </c>
      <c r="G9" s="56" t="inlineStr"/>
    </row>
    <row r="10" ht="28" customHeight="1">
      <c r="A10" s="16" t="n">
        <v>4</v>
      </c>
      <c r="B10" s="19" t="inlineStr">
        <is>
          <t>أرشفة العقود الإلكترونية</t>
        </is>
      </c>
      <c r="C10" s="44" t="n">
        <v>0.1</v>
      </c>
      <c r="D10" s="59" t="inlineStr">
        <is>
          <t>خلال 48 ساعة 100%</t>
        </is>
      </c>
      <c r="E10" s="60" t="n"/>
      <c r="F10" s="36">
        <f>C10*MIN(E10,1)</f>
        <v/>
      </c>
      <c r="G10" s="56" t="inlineStr"/>
    </row>
    <row r="11" ht="28" customHeight="1">
      <c r="A11" s="16" t="n">
        <v>5</v>
      </c>
      <c r="B11" s="19" t="inlineStr">
        <is>
          <t>متابعة تنفيذ بنود العقد</t>
        </is>
      </c>
      <c r="C11" s="44" t="n">
        <v>0.1</v>
      </c>
      <c r="D11" s="59" t="inlineStr">
        <is>
          <t>100%</t>
        </is>
      </c>
      <c r="E11" s="60" t="n"/>
      <c r="F11" s="36">
        <f>C11*MIN(E11,1)</f>
        <v/>
      </c>
      <c r="G11" s="56" t="inlineStr"/>
    </row>
    <row r="12" ht="28" customHeight="1">
      <c r="A12" s="16" t="n">
        <v>6</v>
      </c>
      <c r="B12" s="19" t="inlineStr">
        <is>
          <t>مدى رضا العملاء</t>
        </is>
      </c>
      <c r="C12" s="44" t="n">
        <v>0.1</v>
      </c>
      <c r="D12" s="59" t="inlineStr">
        <is>
          <t>95% رضا</t>
        </is>
      </c>
      <c r="E12" s="60" t="n"/>
      <c r="F12" s="36">
        <f>C12*MIN(E12,1)</f>
        <v/>
      </c>
      <c r="G12" s="56" t="inlineStr"/>
    </row>
    <row r="13" ht="28" customHeight="1">
      <c r="A13" s="16" t="n">
        <v>7</v>
      </c>
      <c r="B13" s="19" t="inlineStr">
        <is>
          <t>تحديث قاعدة بيانات العملاء</t>
        </is>
      </c>
      <c r="C13" s="44" t="n">
        <v>0.05</v>
      </c>
      <c r="D13" s="59" t="inlineStr">
        <is>
          <t>100% دوري</t>
        </is>
      </c>
      <c r="E13" s="60" t="n"/>
      <c r="F13" s="36">
        <f>C13*MIN(E13,1)</f>
        <v/>
      </c>
      <c r="G13" s="56" t="inlineStr"/>
    </row>
    <row r="14">
      <c r="A14" s="61" t="inlineStr"/>
      <c r="B14" s="62" t="inlineStr">
        <is>
          <t>المجموع الكلي</t>
        </is>
      </c>
      <c r="C14" s="63">
        <f>SUM(C7:C13)</f>
        <v/>
      </c>
      <c r="D14" s="61" t="inlineStr"/>
      <c r="E14" s="62" t="inlineStr">
        <is>
          <t>الدرجة:</t>
        </is>
      </c>
      <c r="F14" s="64">
        <f>SUM(F7:F13)</f>
        <v/>
      </c>
      <c r="G14" s="61" t="inlineStr"/>
    </row>
    <row r="15">
      <c r="B15" s="5" t="inlineStr">
        <is>
          <t>التقدير</t>
        </is>
      </c>
      <c r="C15" s="65">
        <f>IF(F14&gt;=0.9,"ممتاز",IF(F14&gt;=0.8,"جيد جداً",IF(F14&gt;=0.7,"جيد",IF(F14&gt;=0.6,"مقبول","ضعيف"))))</f>
        <v/>
      </c>
      <c r="D15" s="29" t="n"/>
    </row>
    <row r="17">
      <c r="B17" s="5" t="inlineStr">
        <is>
          <t>سلّم التقييم</t>
        </is>
      </c>
      <c r="C17" s="28" t="n"/>
      <c r="D17" s="29" t="n"/>
    </row>
    <row r="18">
      <c r="B18" s="16" t="inlineStr">
        <is>
          <t>ممتاز</t>
        </is>
      </c>
      <c r="C18" s="53" t="inlineStr">
        <is>
          <t>90% – 100%</t>
        </is>
      </c>
      <c r="D18" s="19" t="inlineStr">
        <is>
          <t>تجاوز المستهدف</t>
        </is>
      </c>
    </row>
    <row r="19">
      <c r="B19" s="16" t="inlineStr">
        <is>
          <t>جيد جداً</t>
        </is>
      </c>
      <c r="C19" s="53" t="inlineStr">
        <is>
          <t>80% – 89%</t>
        </is>
      </c>
      <c r="D19" s="19" t="inlineStr">
        <is>
          <t>حقق المستهدف تقريباً</t>
        </is>
      </c>
    </row>
    <row r="20">
      <c r="B20" s="16" t="inlineStr">
        <is>
          <t>جيد</t>
        </is>
      </c>
      <c r="C20" s="53" t="inlineStr">
        <is>
          <t>70% – 79%</t>
        </is>
      </c>
      <c r="D20" s="19" t="inlineStr">
        <is>
          <t>حقق معظم المستهدفات</t>
        </is>
      </c>
    </row>
    <row r="21">
      <c r="B21" s="16" t="inlineStr">
        <is>
          <t>مقبول</t>
        </is>
      </c>
      <c r="C21" s="53" t="inlineStr">
        <is>
          <t>60% – 69%</t>
        </is>
      </c>
      <c r="D21" s="19" t="inlineStr">
        <is>
          <t>يحتاج تحسين</t>
        </is>
      </c>
    </row>
    <row r="22">
      <c r="B22" s="16" t="inlineStr">
        <is>
          <t>ضعيف</t>
        </is>
      </c>
      <c r="C22" s="53" t="inlineStr">
        <is>
          <t>أقل من 60%</t>
        </is>
      </c>
      <c r="D22" s="19"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54" t="inlineStr">
        <is>
          <t>إدارة الامتياز التجاري · نموذج تقييم الأداء — الموظف الإداري</t>
        </is>
      </c>
    </row>
    <row r="2">
      <c r="A2" s="37" t="inlineStr">
        <is>
          <t>الكود: FM-05  ·  ربع سنوي  ·  🟩 أدخل «نسبة التحقيق» فقط — الدرجة تُحسب تلقائياً</t>
        </is>
      </c>
    </row>
    <row r="3">
      <c r="A3" s="55" t="inlineStr">
        <is>
          <t>اسم الموظف:</t>
        </is>
      </c>
      <c r="B3" s="56" t="inlineStr"/>
      <c r="C3" s="57" t="n"/>
      <c r="D3" s="55" t="inlineStr">
        <is>
          <t>القسم: الامتياز التجاري</t>
        </is>
      </c>
      <c r="E3" s="56" t="inlineStr"/>
      <c r="F3" s="58" t="n"/>
      <c r="G3" s="57" t="n"/>
    </row>
    <row r="4">
      <c r="A4" s="55" t="inlineStr">
        <is>
          <t>المدير المباشر:</t>
        </is>
      </c>
      <c r="B4" s="56" t="inlineStr"/>
      <c r="C4" s="57" t="n"/>
      <c r="D4" s="55" t="inlineStr">
        <is>
          <t>الربع / السنة:</t>
        </is>
      </c>
      <c r="E4" s="56" t="inlineStr"/>
      <c r="F4" s="58" t="n"/>
      <c r="G4" s="57" t="n"/>
    </row>
    <row r="5">
      <c r="A5" s="55" t="inlineStr">
        <is>
          <t>تاريخ التقييم:</t>
        </is>
      </c>
      <c r="B5" s="56" t="inlineStr"/>
      <c r="C5" s="57" t="n"/>
      <c r="D5" s="55" t="inlineStr">
        <is>
          <t>حالة التقييم:</t>
        </is>
      </c>
      <c r="E5" s="56" t="inlineStr"/>
      <c r="F5" s="58" t="n"/>
      <c r="G5" s="57" t="n"/>
    </row>
    <row r="6" ht="30" customHeight="1">
      <c r="A6" s="15" t="inlineStr">
        <is>
          <t>#</t>
        </is>
      </c>
      <c r="B6" s="15" t="inlineStr">
        <is>
          <t>مؤشر الأداء</t>
        </is>
      </c>
      <c r="C6" s="15" t="inlineStr">
        <is>
          <t>الوزن %</t>
        </is>
      </c>
      <c r="D6" s="15" t="inlineStr">
        <is>
          <t>المستهدف</t>
        </is>
      </c>
      <c r="E6" s="15" t="inlineStr">
        <is>
          <t>نسبة التحقيق</t>
        </is>
      </c>
      <c r="F6" s="15" t="inlineStr">
        <is>
          <t>الدرجة المحققة</t>
        </is>
      </c>
      <c r="G6" s="15" t="inlineStr">
        <is>
          <t>ملاحظات</t>
        </is>
      </c>
    </row>
    <row r="7" ht="28" customHeight="1">
      <c r="A7" s="16" t="n">
        <v>1</v>
      </c>
      <c r="B7" s="19" t="inlineStr">
        <is>
          <t>دقة وسرعة إعداد التقارير الدورية</t>
        </is>
      </c>
      <c r="C7" s="44" t="n">
        <v>0.3</v>
      </c>
      <c r="D7" s="59" t="inlineStr">
        <is>
          <t>100% في الوقت المحدد</t>
        </is>
      </c>
      <c r="E7" s="60" t="n"/>
      <c r="F7" s="36">
        <f>C7*MIN(E7,1)</f>
        <v/>
      </c>
      <c r="G7" s="56" t="inlineStr"/>
    </row>
    <row r="8" ht="28" customHeight="1">
      <c r="A8" s="16" t="n">
        <v>2</v>
      </c>
      <c r="B8" s="19" t="inlineStr">
        <is>
          <t>متابعة الشكاوى وحالات العملاء</t>
        </is>
      </c>
      <c r="C8" s="44" t="n">
        <v>0.3</v>
      </c>
      <c r="D8" s="59" t="inlineStr">
        <is>
          <t>100% حتى الإغلاق</t>
        </is>
      </c>
      <c r="E8" s="60" t="n"/>
      <c r="F8" s="36">
        <f>C8*MIN(E8,1)</f>
        <v/>
      </c>
      <c r="G8" s="56" t="inlineStr"/>
    </row>
    <row r="9" ht="28" customHeight="1">
      <c r="A9" s="16" t="n">
        <v>3</v>
      </c>
      <c r="B9" s="19" t="inlineStr">
        <is>
          <t>متابعة عمولات تأجير الوحدات</t>
        </is>
      </c>
      <c r="C9" s="44" t="n">
        <v>0.2</v>
      </c>
      <c r="D9" s="59" t="inlineStr">
        <is>
          <t>100%</t>
        </is>
      </c>
      <c r="E9" s="60" t="n"/>
      <c r="F9" s="36">
        <f>C9*MIN(E9,1)</f>
        <v/>
      </c>
      <c r="G9" s="56" t="inlineStr"/>
    </row>
    <row r="10" ht="28" customHeight="1">
      <c r="A10" s="16" t="n">
        <v>4</v>
      </c>
      <c r="B10" s="19" t="inlineStr">
        <is>
          <t>تحديث بيانات العملاء والمحطات</t>
        </is>
      </c>
      <c r="C10" s="44" t="n">
        <v>0.1</v>
      </c>
      <c r="D10" s="59" t="inlineStr">
        <is>
          <t>100% دقة</t>
        </is>
      </c>
      <c r="E10" s="60" t="n"/>
      <c r="F10" s="36">
        <f>C10*MIN(E10,1)</f>
        <v/>
      </c>
      <c r="G10" s="56" t="inlineStr"/>
    </row>
    <row r="11" ht="28" customHeight="1">
      <c r="A11" s="16" t="n">
        <v>5</v>
      </c>
      <c r="B11" s="19" t="inlineStr">
        <is>
          <t>إعداد المراسلات الرسمية</t>
        </is>
      </c>
      <c r="C11" s="44" t="n">
        <v>0.1</v>
      </c>
      <c r="D11" s="59" t="inlineStr">
        <is>
          <t>100% في الوقت المحدد</t>
        </is>
      </c>
      <c r="E11" s="60" t="n"/>
      <c r="F11" s="36">
        <f>C11*MIN(E11,1)</f>
        <v/>
      </c>
      <c r="G11" s="56" t="inlineStr"/>
    </row>
    <row r="12">
      <c r="A12" s="61" t="inlineStr"/>
      <c r="B12" s="62" t="inlineStr">
        <is>
          <t>المجموع الكلي</t>
        </is>
      </c>
      <c r="C12" s="63">
        <f>SUM(C7:C11)</f>
        <v/>
      </c>
      <c r="D12" s="61" t="inlineStr"/>
      <c r="E12" s="62" t="inlineStr">
        <is>
          <t>الدرجة:</t>
        </is>
      </c>
      <c r="F12" s="64">
        <f>SUM(F7:F11)</f>
        <v/>
      </c>
      <c r="G12" s="61" t="inlineStr"/>
    </row>
    <row r="13">
      <c r="B13" s="5" t="inlineStr">
        <is>
          <t>التقدير</t>
        </is>
      </c>
      <c r="C13" s="65">
        <f>IF(F12&gt;=0.9,"ممتاز",IF(F12&gt;=0.8,"جيد جداً",IF(F12&gt;=0.7,"جيد",IF(F12&gt;=0.6,"مقبول","ضعيف"))))</f>
        <v/>
      </c>
      <c r="D13" s="29" t="n"/>
    </row>
    <row r="15">
      <c r="B15" s="5" t="inlineStr">
        <is>
          <t>سلّم التقييم</t>
        </is>
      </c>
      <c r="C15" s="28" t="n"/>
      <c r="D15" s="29" t="n"/>
    </row>
    <row r="16">
      <c r="B16" s="16" t="inlineStr">
        <is>
          <t>ممتاز</t>
        </is>
      </c>
      <c r="C16" s="53" t="inlineStr">
        <is>
          <t>90% – 100%</t>
        </is>
      </c>
      <c r="D16" s="19" t="inlineStr">
        <is>
          <t>تجاوز المستهدف</t>
        </is>
      </c>
    </row>
    <row r="17">
      <c r="B17" s="16" t="inlineStr">
        <is>
          <t>جيد جداً</t>
        </is>
      </c>
      <c r="C17" s="53" t="inlineStr">
        <is>
          <t>80% – 89%</t>
        </is>
      </c>
      <c r="D17" s="19" t="inlineStr">
        <is>
          <t>حقق المستهدف تقريباً</t>
        </is>
      </c>
    </row>
    <row r="18">
      <c r="B18" s="16" t="inlineStr">
        <is>
          <t>جيد</t>
        </is>
      </c>
      <c r="C18" s="53" t="inlineStr">
        <is>
          <t>70% – 79%</t>
        </is>
      </c>
      <c r="D18" s="19" t="inlineStr">
        <is>
          <t>حقق معظم المستهدفات</t>
        </is>
      </c>
    </row>
    <row r="19">
      <c r="B19" s="16" t="inlineStr">
        <is>
          <t>مقبول</t>
        </is>
      </c>
      <c r="C19" s="53" t="inlineStr">
        <is>
          <t>60% – 69%</t>
        </is>
      </c>
      <c r="D19" s="19" t="inlineStr">
        <is>
          <t>يحتاج تحسين</t>
        </is>
      </c>
    </row>
    <row r="20">
      <c r="B20" s="16" t="inlineStr">
        <is>
          <t>ضعيف</t>
        </is>
      </c>
      <c r="C20" s="53" t="inlineStr">
        <is>
          <t>أقل من 60%</t>
        </is>
      </c>
      <c r="D20" s="19"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19"/>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s>
  <sheetData>
    <row r="1" ht="30" customHeight="1">
      <c r="A1" s="13" t="inlineStr">
        <is>
          <t>إدارة التشغيل والمحطات · مؤشرات الأداء 2026  (16 مؤشر / 7 محاور)</t>
        </is>
      </c>
    </row>
    <row r="2">
      <c r="A2" s="37" t="inlineStr">
        <is>
          <t>🟩 الخلايا الخضراء = إدخال شهري للمسؤول  ·  باقي الأعمدة محسوبة/مقفولة  ·  كل مؤشر يغذّي ركيزته ومشروعه</t>
        </is>
      </c>
    </row>
    <row r="3" ht="34" customHeight="1">
      <c r="A3" s="15" t="inlineStr">
        <is>
          <t>#</t>
        </is>
      </c>
      <c r="B3" s="15" t="inlineStr">
        <is>
          <t>المحور</t>
        </is>
      </c>
      <c r="C3" s="15" t="inlineStr">
        <is>
          <t>المؤشر</t>
        </is>
      </c>
      <c r="D3" s="15" t="inlineStr">
        <is>
          <t>الوحدة</t>
        </is>
      </c>
      <c r="E3" s="15" t="inlineStr">
        <is>
          <t>القطبية</t>
        </is>
      </c>
      <c r="F3" s="15" t="inlineStr">
        <is>
          <t>التجميع</t>
        </is>
      </c>
      <c r="G3" s="15" t="inlineStr">
        <is>
          <t>المستهدف</t>
        </is>
      </c>
      <c r="H3" s="15" t="inlineStr">
        <is>
          <t>نص المستهدف</t>
        </is>
      </c>
      <c r="I3" s="15" t="inlineStr">
        <is>
          <t>يناير</t>
        </is>
      </c>
      <c r="J3" s="15" t="inlineStr">
        <is>
          <t>فبراير</t>
        </is>
      </c>
      <c r="K3" s="15" t="inlineStr">
        <is>
          <t>مارس</t>
        </is>
      </c>
      <c r="L3" s="15" t="inlineStr">
        <is>
          <t>أبريل</t>
        </is>
      </c>
      <c r="M3" s="15" t="inlineStr">
        <is>
          <t>مايو</t>
        </is>
      </c>
      <c r="N3" s="15" t="inlineStr">
        <is>
          <t>يونيو</t>
        </is>
      </c>
      <c r="O3" s="15" t="inlineStr">
        <is>
          <t>يوليو</t>
        </is>
      </c>
      <c r="P3" s="15" t="inlineStr">
        <is>
          <t>أغسطس</t>
        </is>
      </c>
      <c r="Q3" s="15" t="inlineStr">
        <is>
          <t>سبتمبر</t>
        </is>
      </c>
      <c r="R3" s="15" t="inlineStr">
        <is>
          <t>أكتوبر</t>
        </is>
      </c>
      <c r="S3" s="15" t="inlineStr">
        <is>
          <t>نوفمبر</t>
        </is>
      </c>
      <c r="T3" s="15" t="inlineStr">
        <is>
          <t>ديسمبر</t>
        </is>
      </c>
      <c r="U3" s="15" t="inlineStr">
        <is>
          <t>YTD</t>
        </is>
      </c>
      <c r="V3" s="15" t="inlineStr">
        <is>
          <t>نسبة التحقيق</t>
        </is>
      </c>
      <c r="W3" s="15" t="inlineStr">
        <is>
          <t>الحالة</t>
        </is>
      </c>
      <c r="X3" s="15" t="inlineStr">
        <is>
          <t>الركيزة (5س)</t>
        </is>
      </c>
      <c r="Y3" s="15" t="inlineStr">
        <is>
          <t>المشروع (الخارطة)</t>
        </is>
      </c>
    </row>
    <row r="4" ht="26" customHeight="1">
      <c r="A4" s="16" t="n">
        <v>1</v>
      </c>
      <c r="B4" s="19" t="inlineStr">
        <is>
          <t>النمو</t>
        </is>
      </c>
      <c r="C4" s="19" t="inlineStr">
        <is>
          <t>عدد المحطات المشغّلة (تراكمي)</t>
        </is>
      </c>
      <c r="D4" s="38" t="inlineStr">
        <is>
          <t>محطة</t>
        </is>
      </c>
      <c r="E4" s="38" t="inlineStr">
        <is>
          <t>↑</t>
        </is>
      </c>
      <c r="F4" s="38" t="inlineStr">
        <is>
          <t>LAST</t>
        </is>
      </c>
      <c r="G4" s="39" t="n">
        <v>85</v>
      </c>
      <c r="H4" s="40" t="inlineStr">
        <is>
          <t>85 محطة</t>
        </is>
      </c>
      <c r="I4" s="41" t="n"/>
      <c r="J4" s="41" t="n"/>
      <c r="K4" s="41" t="n"/>
      <c r="L4" s="41" t="n"/>
      <c r="M4" s="41" t="n"/>
      <c r="N4" s="41" t="n"/>
      <c r="O4" s="41" t="n"/>
      <c r="P4" s="41" t="n"/>
      <c r="Q4" s="41" t="n"/>
      <c r="R4" s="41" t="n"/>
      <c r="S4" s="41" t="n"/>
      <c r="T4" s="41" t="n"/>
      <c r="U4" s="42">
        <f>IF($F4="SUM",IF(COUNT($I4:$T4)=0,"",SUM($I4:$T4)),IF($F4="AVG",IFERROR(AVERAGE($I4:$T4),""),IF($F4="LAST",IFERROR(LOOKUP(2,1/($I4:$T4&lt;&gt;""),$I4:$T4),""),"")))</f>
        <v/>
      </c>
      <c r="V4" s="36">
        <f>IF($G4="","",IF($U4="","",IF($G4=0,IF($U4&lt;=0,1,0),IF($E4="↓",IFERROR($G4/$U4,0),IFERROR($U4/$G4,0)))))</f>
        <v/>
      </c>
      <c r="W4" s="16">
        <f>IF($V4="","—",IF($V4&gt;=1,"✅ محقق",IF($V4&gt;=0.85,"🟡 قريب","🔴 تحت الهدف")))</f>
        <v/>
      </c>
      <c r="X4" s="43" t="inlineStr">
        <is>
          <t>النمو</t>
        </is>
      </c>
      <c r="Y4" s="19" t="inlineStr">
        <is>
          <t>التوسع في المواقع</t>
        </is>
      </c>
    </row>
    <row r="5" ht="26" customHeight="1">
      <c r="A5" s="16" t="n">
        <v>2</v>
      </c>
      <c r="B5" s="19" t="inlineStr">
        <is>
          <t>الربحية</t>
        </is>
      </c>
      <c r="C5" s="19" t="inlineStr">
        <is>
          <t>نمو مبيعات بنزين 91 مقارنة بالعام السابق</t>
        </is>
      </c>
      <c r="D5" s="38" t="inlineStr">
        <is>
          <t>%</t>
        </is>
      </c>
      <c r="E5" s="38" t="inlineStr">
        <is>
          <t>↑</t>
        </is>
      </c>
      <c r="F5" s="38" t="inlineStr">
        <is>
          <t>AVG</t>
        </is>
      </c>
      <c r="G5" s="38" t="inlineStr"/>
      <c r="H5" s="40" t="inlineStr">
        <is>
          <t>يُحدد لاحقاً</t>
        </is>
      </c>
      <c r="I5" s="45" t="n"/>
      <c r="J5" s="45" t="n"/>
      <c r="K5" s="45" t="n"/>
      <c r="L5" s="45" t="n"/>
      <c r="M5" s="45" t="n"/>
      <c r="N5" s="45" t="n"/>
      <c r="O5" s="45" t="n"/>
      <c r="P5" s="45" t="n"/>
      <c r="Q5" s="45" t="n"/>
      <c r="R5" s="45" t="n"/>
      <c r="S5" s="45" t="n"/>
      <c r="T5" s="45" t="n"/>
      <c r="U5" s="46">
        <f>IF($F5="SUM",IF(COUNT($I5:$T5)=0,"",SUM($I5:$T5)),IF($F5="AVG",IFERROR(AVERAGE($I5:$T5),""),IF($F5="LAST",IFERROR(LOOKUP(2,1/($I5:$T5&lt;&gt;""),$I5:$T5),""),"")))</f>
        <v/>
      </c>
      <c r="V5" s="36">
        <f>IF($G5="","",IF($U5="","",IF($G5=0,IF($U5&lt;=0,1,0),IF($E5="↓",IFERROR($G5/$U5,0),IFERROR($U5/$G5,0)))))</f>
        <v/>
      </c>
      <c r="W5" s="16">
        <f>IF($V5="","—",IF($V5&gt;=1,"✅ محقق",IF($V5&gt;=0.85,"🟡 قريب","🔴 تحت الهدف")))</f>
        <v/>
      </c>
      <c r="X5" s="43" t="inlineStr">
        <is>
          <t>النمو</t>
        </is>
      </c>
      <c r="Y5" s="19" t="inlineStr">
        <is>
          <t>زيادة وصول العملاء</t>
        </is>
      </c>
    </row>
    <row r="6" ht="26" customHeight="1">
      <c r="A6" s="16" t="n">
        <v>3</v>
      </c>
      <c r="B6" s="19" t="inlineStr">
        <is>
          <t>الربحية</t>
        </is>
      </c>
      <c r="C6" s="19" t="inlineStr">
        <is>
          <t>نمو مبيعات بنزين 95 مقارنة بالعام السابق</t>
        </is>
      </c>
      <c r="D6" s="38" t="inlineStr">
        <is>
          <t>%</t>
        </is>
      </c>
      <c r="E6" s="38" t="inlineStr">
        <is>
          <t>↑</t>
        </is>
      </c>
      <c r="F6" s="38" t="inlineStr">
        <is>
          <t>AVG</t>
        </is>
      </c>
      <c r="G6" s="38" t="inlineStr"/>
      <c r="H6" s="40" t="inlineStr">
        <is>
          <t>يُحدد لاحقاً</t>
        </is>
      </c>
      <c r="I6" s="45" t="n"/>
      <c r="J6" s="45" t="n"/>
      <c r="K6" s="45" t="n"/>
      <c r="L6" s="45" t="n"/>
      <c r="M6" s="45" t="n"/>
      <c r="N6" s="45" t="n"/>
      <c r="O6" s="45" t="n"/>
      <c r="P6" s="45" t="n"/>
      <c r="Q6" s="45" t="n"/>
      <c r="R6" s="45" t="n"/>
      <c r="S6" s="45" t="n"/>
      <c r="T6" s="45" t="n"/>
      <c r="U6" s="46">
        <f>IF($F6="SUM",IF(COUNT($I6:$T6)=0,"",SUM($I6:$T6)),IF($F6="AVG",IFERROR(AVERAGE($I6:$T6),""),IF($F6="LAST",IFERROR(LOOKUP(2,1/($I6:$T6&lt;&gt;""),$I6:$T6),""),"")))</f>
        <v/>
      </c>
      <c r="V6" s="36">
        <f>IF($G6="","",IF($U6="","",IF($G6=0,IF($U6&lt;=0,1,0),IF($E6="↓",IFERROR($G6/$U6,0),IFERROR($U6/$G6,0)))))</f>
        <v/>
      </c>
      <c r="W6" s="16">
        <f>IF($V6="","—",IF($V6&gt;=1,"✅ محقق",IF($V6&gt;=0.85,"🟡 قريب","🔴 تحت الهدف")))</f>
        <v/>
      </c>
      <c r="X6" s="43" t="inlineStr">
        <is>
          <t>النمو</t>
        </is>
      </c>
      <c r="Y6" s="19" t="inlineStr">
        <is>
          <t>زيادة وصول العملاء</t>
        </is>
      </c>
    </row>
    <row r="7" ht="26" customHeight="1">
      <c r="A7" s="16" t="n">
        <v>4</v>
      </c>
      <c r="B7" s="19" t="inlineStr">
        <is>
          <t>الربحية</t>
        </is>
      </c>
      <c r="C7" s="19" t="inlineStr">
        <is>
          <t>نمو مبيعات بنزين 98 مقارنة بالعام السابق</t>
        </is>
      </c>
      <c r="D7" s="38" t="inlineStr">
        <is>
          <t>%</t>
        </is>
      </c>
      <c r="E7" s="38" t="inlineStr">
        <is>
          <t>↑</t>
        </is>
      </c>
      <c r="F7" s="38" t="inlineStr">
        <is>
          <t>AVG</t>
        </is>
      </c>
      <c r="G7" s="38" t="inlineStr"/>
      <c r="H7" s="40" t="inlineStr">
        <is>
          <t>يُحدد لاحقاً</t>
        </is>
      </c>
      <c r="I7" s="45" t="n"/>
      <c r="J7" s="45" t="n"/>
      <c r="K7" s="45" t="n"/>
      <c r="L7" s="45" t="n"/>
      <c r="M7" s="45" t="n"/>
      <c r="N7" s="45" t="n"/>
      <c r="O7" s="45" t="n"/>
      <c r="P7" s="45" t="n"/>
      <c r="Q7" s="45" t="n"/>
      <c r="R7" s="45" t="n"/>
      <c r="S7" s="45" t="n"/>
      <c r="T7" s="45" t="n"/>
      <c r="U7" s="46">
        <f>IF($F7="SUM",IF(COUNT($I7:$T7)=0,"",SUM($I7:$T7)),IF($F7="AVG",IFERROR(AVERAGE($I7:$T7),""),IF($F7="LAST",IFERROR(LOOKUP(2,1/($I7:$T7&lt;&gt;""),$I7:$T7),""),"")))</f>
        <v/>
      </c>
      <c r="V7" s="36">
        <f>IF($G7="","",IF($U7="","",IF($G7=0,IF($U7&lt;=0,1,0),IF($E7="↓",IFERROR($G7/$U7,0),IFERROR($U7/$G7,0)))))</f>
        <v/>
      </c>
      <c r="W7" s="16">
        <f>IF($V7="","—",IF($V7&gt;=1,"✅ محقق",IF($V7&gt;=0.85,"🟡 قريب","🔴 تحت الهدف")))</f>
        <v/>
      </c>
      <c r="X7" s="43" t="inlineStr">
        <is>
          <t>النمو</t>
        </is>
      </c>
      <c r="Y7" s="19" t="inlineStr">
        <is>
          <t>زيادة وصول العملاء</t>
        </is>
      </c>
    </row>
    <row r="8" ht="26" customHeight="1">
      <c r="A8" s="16" t="n">
        <v>5</v>
      </c>
      <c r="B8" s="19" t="inlineStr">
        <is>
          <t>الربحية</t>
        </is>
      </c>
      <c r="C8" s="19" t="inlineStr">
        <is>
          <t>نمو مبيعات الديزل مقارنة بالعام السابق</t>
        </is>
      </c>
      <c r="D8" s="38" t="inlineStr">
        <is>
          <t>%</t>
        </is>
      </c>
      <c r="E8" s="38" t="inlineStr">
        <is>
          <t>↑</t>
        </is>
      </c>
      <c r="F8" s="38" t="inlineStr">
        <is>
          <t>AVG</t>
        </is>
      </c>
      <c r="G8" s="38" t="inlineStr"/>
      <c r="H8" s="40" t="inlineStr">
        <is>
          <t>يُحدد لاحقاً</t>
        </is>
      </c>
      <c r="I8" s="45" t="n"/>
      <c r="J8" s="45" t="n"/>
      <c r="K8" s="45" t="n"/>
      <c r="L8" s="45" t="n"/>
      <c r="M8" s="45" t="n"/>
      <c r="N8" s="45" t="n"/>
      <c r="O8" s="45" t="n"/>
      <c r="P8" s="45" t="n"/>
      <c r="Q8" s="45" t="n"/>
      <c r="R8" s="45" t="n"/>
      <c r="S8" s="45" t="n"/>
      <c r="T8" s="45" t="n"/>
      <c r="U8" s="46">
        <f>IF($F8="SUM",IF(COUNT($I8:$T8)=0,"",SUM($I8:$T8)),IF($F8="AVG",IFERROR(AVERAGE($I8:$T8),""),IF($F8="LAST",IFERROR(LOOKUP(2,1/($I8:$T8&lt;&gt;""),$I8:$T8),""),"")))</f>
        <v/>
      </c>
      <c r="V8" s="36">
        <f>IF($G8="","",IF($U8="","",IF($G8=0,IF($U8&lt;=0,1,0),IF($E8="↓",IFERROR($G8/$U8,0),IFERROR($U8/$G8,0)))))</f>
        <v/>
      </c>
      <c r="W8" s="16">
        <f>IF($V8="","—",IF($V8&gt;=1,"✅ محقق",IF($V8&gt;=0.85,"🟡 قريب","🔴 تحت الهدف")))</f>
        <v/>
      </c>
      <c r="X8" s="43" t="inlineStr">
        <is>
          <t>النمو</t>
        </is>
      </c>
      <c r="Y8" s="19" t="inlineStr">
        <is>
          <t>زيادة وصول العملاء</t>
        </is>
      </c>
    </row>
    <row r="9" ht="26" customHeight="1">
      <c r="A9" s="16" t="n">
        <v>6</v>
      </c>
      <c r="B9" s="19" t="inlineStr">
        <is>
          <t>حماية الإيراد</t>
        </is>
      </c>
      <c r="C9" s="19" t="inlineStr">
        <is>
          <t>نسبة جاهزية المحطة الشاملة (Uptime)</t>
        </is>
      </c>
      <c r="D9" s="38" t="inlineStr">
        <is>
          <t>%</t>
        </is>
      </c>
      <c r="E9" s="38" t="inlineStr">
        <is>
          <t>↑</t>
        </is>
      </c>
      <c r="F9" s="38" t="inlineStr">
        <is>
          <t>AVG</t>
        </is>
      </c>
      <c r="G9" s="44" t="n">
        <v>0.99</v>
      </c>
      <c r="H9" s="40" t="inlineStr">
        <is>
          <t>99%+</t>
        </is>
      </c>
      <c r="I9" s="45" t="n"/>
      <c r="J9" s="45" t="n"/>
      <c r="K9" s="45" t="n"/>
      <c r="L9" s="45" t="n"/>
      <c r="M9" s="45" t="n"/>
      <c r="N9" s="45" t="n"/>
      <c r="O9" s="45" t="n"/>
      <c r="P9" s="45" t="n"/>
      <c r="Q9" s="45" t="n"/>
      <c r="R9" s="45" t="n"/>
      <c r="S9" s="45" t="n"/>
      <c r="T9" s="45" t="n"/>
      <c r="U9" s="46">
        <f>IF($F9="SUM",IF(COUNT($I9:$T9)=0,"",SUM($I9:$T9)),IF($F9="AVG",IFERROR(AVERAGE($I9:$T9),""),IF($F9="LAST",IFERROR(LOOKUP(2,1/($I9:$T9&lt;&gt;""),$I9:$T9),""),"")))</f>
        <v/>
      </c>
      <c r="V9" s="36">
        <f>IF($G9="","",IF($U9="","",IF($G9=0,IF($U9&lt;=0,1,0),IF($E9="↓",IFERROR($G9/$U9,0),IFERROR($U9/$G9,0)))))</f>
        <v/>
      </c>
      <c r="W9" s="16">
        <f>IF($V9="","—",IF($V9&gt;=1,"✅ محقق",IF($V9&gt;=0.85,"🟡 قريب","🔴 تحت الهدف")))</f>
        <v/>
      </c>
      <c r="X9" s="43" t="inlineStr">
        <is>
          <t>الاستدامة</t>
        </is>
      </c>
      <c r="Y9" s="19" t="inlineStr">
        <is>
          <t>جودة التشغيل</t>
        </is>
      </c>
    </row>
    <row r="10" ht="26" customHeight="1">
      <c r="A10" s="16" t="n">
        <v>7</v>
      </c>
      <c r="B10" s="19" t="inlineStr">
        <is>
          <t>حماية الإيراد</t>
        </is>
      </c>
      <c r="C10" s="19" t="inlineStr">
        <is>
          <t>نسبة المضخات العاملة</t>
        </is>
      </c>
      <c r="D10" s="38" t="inlineStr">
        <is>
          <t>%</t>
        </is>
      </c>
      <c r="E10" s="38" t="inlineStr">
        <is>
          <t>↑</t>
        </is>
      </c>
      <c r="F10" s="38" t="inlineStr">
        <is>
          <t>AVG</t>
        </is>
      </c>
      <c r="G10" s="44" t="n">
        <v>0.97</v>
      </c>
      <c r="H10" s="40" t="inlineStr">
        <is>
          <t>≥ 97%</t>
        </is>
      </c>
      <c r="I10" s="45" t="n"/>
      <c r="J10" s="45" t="n"/>
      <c r="K10" s="45" t="n"/>
      <c r="L10" s="45" t="n"/>
      <c r="M10" s="45" t="n"/>
      <c r="N10" s="45" t="n"/>
      <c r="O10" s="45" t="n"/>
      <c r="P10" s="45" t="n"/>
      <c r="Q10" s="45" t="n"/>
      <c r="R10" s="45" t="n"/>
      <c r="S10" s="45" t="n"/>
      <c r="T10" s="45" t="n"/>
      <c r="U10" s="46">
        <f>IF($F10="SUM",IF(COUNT($I10:$T10)=0,"",SUM($I10:$T10)),IF($F10="AVG",IFERROR(AVERAGE($I10:$T10),""),IF($F10="LAST",IFERROR(LOOKUP(2,1/($I10:$T10&lt;&gt;""),$I10:$T10),""),"")))</f>
        <v/>
      </c>
      <c r="V10" s="36">
        <f>IF($G10="","",IF($U10="","",IF($G10=0,IF($U10&lt;=0,1,0),IF($E10="↓",IFERROR($G10/$U10,0),IFERROR($U10/$G10,0)))))</f>
        <v/>
      </c>
      <c r="W10" s="16">
        <f>IF($V10="","—",IF($V10&gt;=1,"✅ محقق",IF($V10&gt;=0.85,"🟡 قريب","🔴 تحت الهدف")))</f>
        <v/>
      </c>
      <c r="X10" s="43" t="inlineStr">
        <is>
          <t>الاستدامة</t>
        </is>
      </c>
      <c r="Y10" s="19" t="inlineStr">
        <is>
          <t>جودة التشغيل</t>
        </is>
      </c>
    </row>
    <row r="11" ht="26" customHeight="1">
      <c r="A11" s="16" t="n">
        <v>8</v>
      </c>
      <c r="B11" s="19" t="inlineStr">
        <is>
          <t>ضغط التكلفة</t>
        </is>
      </c>
      <c r="C11" s="19" t="inlineStr">
        <is>
          <t>تكلفة التشغيل لكل لتر مباع</t>
        </is>
      </c>
      <c r="D11" s="38" t="inlineStr">
        <is>
          <t>هللة/لتر</t>
        </is>
      </c>
      <c r="E11" s="38" t="inlineStr">
        <is>
          <t>↓</t>
        </is>
      </c>
      <c r="F11" s="38" t="inlineStr">
        <is>
          <t>AVG</t>
        </is>
      </c>
      <c r="G11" s="38" t="inlineStr"/>
      <c r="H11" s="40" t="inlineStr">
        <is>
          <t>خفض ≥5% سنوياً</t>
        </is>
      </c>
      <c r="I11" s="50" t="n"/>
      <c r="J11" s="50" t="n"/>
      <c r="K11" s="50" t="n"/>
      <c r="L11" s="50" t="n"/>
      <c r="M11" s="50" t="n"/>
      <c r="N11" s="50" t="n"/>
      <c r="O11" s="50" t="n"/>
      <c r="P11" s="50" t="n"/>
      <c r="Q11" s="50" t="n"/>
      <c r="R11" s="50" t="n"/>
      <c r="S11" s="50" t="n"/>
      <c r="T11" s="50" t="n"/>
      <c r="U11" s="51">
        <f>IF($F11="SUM",IF(COUNT($I11:$T11)=0,"",SUM($I11:$T11)),IF($F11="AVG",IFERROR(AVERAGE($I11:$T11),""),IF($F11="LAST",IFERROR(LOOKUP(2,1/($I11:$T11&lt;&gt;""),$I11:$T11),""),"")))</f>
        <v/>
      </c>
      <c r="V11" s="36">
        <f>IF($G11="","",IF($U11="","",IF($G11=0,IF($U11&lt;=0,1,0),IF($E11="↓",IFERROR($G11/$U11,0),IFERROR($U11/$G11,0)))))</f>
        <v/>
      </c>
      <c r="W11" s="16">
        <f>IF($V11="","—",IF($V11&gt;=1,"✅ محقق",IF($V11&gt;=0.85,"🟡 قريب","🔴 تحت الهدف")))</f>
        <v/>
      </c>
      <c r="X11" s="43" t="inlineStr">
        <is>
          <t>الاستدامة</t>
        </is>
      </c>
      <c r="Y11" s="19" t="inlineStr">
        <is>
          <t>جودة التشغيل</t>
        </is>
      </c>
    </row>
    <row r="12" ht="26" customHeight="1">
      <c r="A12" s="16" t="n">
        <v>9</v>
      </c>
      <c r="B12" s="19" t="inlineStr">
        <is>
          <t>حماية الأصول</t>
        </is>
      </c>
      <c r="C12" s="19" t="inlineStr">
        <is>
          <t>نسبة الصيانة الوقائية المنفذة في موعدها</t>
        </is>
      </c>
      <c r="D12" s="38" t="inlineStr">
        <is>
          <t>%</t>
        </is>
      </c>
      <c r="E12" s="38" t="inlineStr">
        <is>
          <t>↑</t>
        </is>
      </c>
      <c r="F12" s="38" t="inlineStr">
        <is>
          <t>AVG</t>
        </is>
      </c>
      <c r="G12" s="44" t="n">
        <v>0.95</v>
      </c>
      <c r="H12" s="40" t="inlineStr">
        <is>
          <t>≥ 95%</t>
        </is>
      </c>
      <c r="I12" s="45" t="n"/>
      <c r="J12" s="45" t="n"/>
      <c r="K12" s="45" t="n"/>
      <c r="L12" s="45" t="n"/>
      <c r="M12" s="45" t="n"/>
      <c r="N12" s="45" t="n"/>
      <c r="O12" s="45" t="n"/>
      <c r="P12" s="45" t="n"/>
      <c r="Q12" s="45" t="n"/>
      <c r="R12" s="45" t="n"/>
      <c r="S12" s="45" t="n"/>
      <c r="T12" s="45" t="n"/>
      <c r="U12" s="46">
        <f>IF($F12="SUM",IF(COUNT($I12:$T12)=0,"",SUM($I12:$T12)),IF($F12="AVG",IFERROR(AVERAGE($I12:$T12),""),IF($F12="LAST",IFERROR(LOOKUP(2,1/($I12:$T12&lt;&gt;""),$I12:$T12),""),"")))</f>
        <v/>
      </c>
      <c r="V12" s="36">
        <f>IF($G12="","",IF($U12="","",IF($G12=0,IF($U12&lt;=0,1,0),IF($E12="↓",IFERROR($G12/$U12,0),IFERROR($U12/$G12,0)))))</f>
        <v/>
      </c>
      <c r="W12" s="16">
        <f>IF($V12="","—",IF($V12&gt;=1,"✅ محقق",IF($V12&gt;=0.85,"🟡 قريب","🔴 تحت الهدف")))</f>
        <v/>
      </c>
      <c r="X12" s="43" t="inlineStr">
        <is>
          <t>الاستدامة</t>
        </is>
      </c>
      <c r="Y12" s="19" t="inlineStr">
        <is>
          <t>جودة التشغيل</t>
        </is>
      </c>
    </row>
    <row r="13" ht="26" customHeight="1">
      <c r="A13" s="16" t="n">
        <v>10</v>
      </c>
      <c r="B13" s="19" t="inlineStr">
        <is>
          <t>تجربة العميل</t>
        </is>
      </c>
      <c r="C13" s="19" t="inlineStr">
        <is>
          <t>نسبة انخفاض الشكاوى مقارنة بالشهر السابق</t>
        </is>
      </c>
      <c r="D13" s="38" t="inlineStr">
        <is>
          <t>%</t>
        </is>
      </c>
      <c r="E13" s="38" t="inlineStr">
        <is>
          <t>↑</t>
        </is>
      </c>
      <c r="F13" s="38" t="inlineStr">
        <is>
          <t>AVG</t>
        </is>
      </c>
      <c r="G13" s="38" t="inlineStr"/>
      <c r="H13" s="40" t="inlineStr">
        <is>
          <t>−30%</t>
        </is>
      </c>
      <c r="I13" s="45" t="n"/>
      <c r="J13" s="45" t="n"/>
      <c r="K13" s="45" t="n"/>
      <c r="L13" s="45" t="n"/>
      <c r="M13" s="45" t="n"/>
      <c r="N13" s="45" t="n"/>
      <c r="O13" s="45" t="n"/>
      <c r="P13" s="45" t="n"/>
      <c r="Q13" s="45" t="n"/>
      <c r="R13" s="45" t="n"/>
      <c r="S13" s="45" t="n"/>
      <c r="T13" s="45" t="n"/>
      <c r="U13" s="46">
        <f>IF($F13="SUM",IF(COUNT($I13:$T13)=0,"",SUM($I13:$T13)),IF($F13="AVG",IFERROR(AVERAGE($I13:$T13),""),IF($F13="LAST",IFERROR(LOOKUP(2,1/($I13:$T13&lt;&gt;""),$I13:$T13),""),"")))</f>
        <v/>
      </c>
      <c r="V13" s="36">
        <f>IF($G13="","",IF($U13="","",IF($G13=0,IF($U13&lt;=0,1,0),IF($E13="↓",IFERROR($G13/$U13,0),IFERROR($U13/$G13,0)))))</f>
        <v/>
      </c>
      <c r="W13" s="16">
        <f>IF($V13="","—",IF($V13&gt;=1,"✅ محقق",IF($V13&gt;=0.85,"🟡 قريب","🔴 تحت الهدف")))</f>
        <v/>
      </c>
      <c r="X13" s="43" t="inlineStr">
        <is>
          <t>الاستدامة</t>
        </is>
      </c>
      <c r="Y13" s="19" t="inlineStr">
        <is>
          <t>تعزيز تجربة العملاء</t>
        </is>
      </c>
    </row>
    <row r="14" ht="26" customHeight="1">
      <c r="A14" s="16" t="n">
        <v>11</v>
      </c>
      <c r="B14" s="19" t="inlineStr">
        <is>
          <t>تجربة العميل</t>
        </is>
      </c>
      <c r="C14" s="19" t="inlineStr">
        <is>
          <t>تقييم Google Maps للمحطات</t>
        </is>
      </c>
      <c r="D14" s="38" t="inlineStr">
        <is>
          <t>نجمة/5</t>
        </is>
      </c>
      <c r="E14" s="38" t="inlineStr">
        <is>
          <t>↑</t>
        </is>
      </c>
      <c r="F14" s="38" t="inlineStr">
        <is>
          <t>AVG</t>
        </is>
      </c>
      <c r="G14" s="49" t="n">
        <v>4.5</v>
      </c>
      <c r="H14" s="40" t="inlineStr">
        <is>
          <t>≥ 4.5</t>
        </is>
      </c>
      <c r="I14" s="50" t="n"/>
      <c r="J14" s="50" t="n"/>
      <c r="K14" s="50" t="n"/>
      <c r="L14" s="50" t="n"/>
      <c r="M14" s="50" t="n"/>
      <c r="N14" s="50" t="n"/>
      <c r="O14" s="50" t="n"/>
      <c r="P14" s="50" t="n"/>
      <c r="Q14" s="50" t="n"/>
      <c r="R14" s="50" t="n"/>
      <c r="S14" s="50" t="n"/>
      <c r="T14" s="50" t="n"/>
      <c r="U14" s="51">
        <f>IF($F14="SUM",IF(COUNT($I14:$T14)=0,"",SUM($I14:$T14)),IF($F14="AVG",IFERROR(AVERAGE($I14:$T14),""),IF($F14="LAST",IFERROR(LOOKUP(2,1/($I14:$T14&lt;&gt;""),$I14:$T14),""),"")))</f>
        <v/>
      </c>
      <c r="V14" s="36">
        <f>IF($G14="","",IF($U14="","",IF($G14=0,IF($U14&lt;=0,1,0),IF($E14="↓",IFERROR($G14/$U14,0),IFERROR($U14/$G14,0)))))</f>
        <v/>
      </c>
      <c r="W14" s="16">
        <f>IF($V14="","—",IF($V14&gt;=1,"✅ محقق",IF($V14&gt;=0.85,"🟡 قريب","🔴 تحت الهدف")))</f>
        <v/>
      </c>
      <c r="X14" s="43" t="inlineStr">
        <is>
          <t>الاستدامة</t>
        </is>
      </c>
      <c r="Y14" s="19" t="inlineStr">
        <is>
          <t>تعزيز تجربة العملاء</t>
        </is>
      </c>
    </row>
    <row r="15" ht="26" customHeight="1">
      <c r="A15" s="16" t="n">
        <v>12</v>
      </c>
      <c r="B15" s="19" t="inlineStr">
        <is>
          <t>تجربة العميل</t>
        </is>
      </c>
      <c r="C15" s="19" t="inlineStr">
        <is>
          <t>سرعة تعبئة الوقود</t>
        </is>
      </c>
      <c r="D15" s="38" t="inlineStr">
        <is>
          <t>دقيقة</t>
        </is>
      </c>
      <c r="E15" s="38" t="inlineStr">
        <is>
          <t>↓</t>
        </is>
      </c>
      <c r="F15" s="38" t="inlineStr">
        <is>
          <t>AVG</t>
        </is>
      </c>
      <c r="G15" s="49" t="n">
        <v>3</v>
      </c>
      <c r="H15" s="40" t="inlineStr">
        <is>
          <t>≤ 3 دقائق</t>
        </is>
      </c>
      <c r="I15" s="50" t="n"/>
      <c r="J15" s="50" t="n"/>
      <c r="K15" s="50" t="n"/>
      <c r="L15" s="50" t="n"/>
      <c r="M15" s="50" t="n"/>
      <c r="N15" s="50" t="n"/>
      <c r="O15" s="50" t="n"/>
      <c r="P15" s="50" t="n"/>
      <c r="Q15" s="50" t="n"/>
      <c r="R15" s="50" t="n"/>
      <c r="S15" s="50" t="n"/>
      <c r="T15" s="50" t="n"/>
      <c r="U15" s="51">
        <f>IF($F15="SUM",IF(COUNT($I15:$T15)=0,"",SUM($I15:$T15)),IF($F15="AVG",IFERROR(AVERAGE($I15:$T15),""),IF($F15="LAST",IFERROR(LOOKUP(2,1/($I15:$T15&lt;&gt;""),$I15:$T15),""),"")))</f>
        <v/>
      </c>
      <c r="V15" s="36">
        <f>IF($G15="","",IF($U15="","",IF($G15=0,IF($U15&lt;=0,1,0),IF($E15="↓",IFERROR($G15/$U15,0),IFERROR($U15/$G15,0)))))</f>
        <v/>
      </c>
      <c r="W15" s="16">
        <f>IF($V15="","—",IF($V15&gt;=1,"✅ محقق",IF($V15&gt;=0.85,"🟡 قريب","🔴 تحت الهدف")))</f>
        <v/>
      </c>
      <c r="X15" s="43" t="inlineStr">
        <is>
          <t>الاستدامة</t>
        </is>
      </c>
      <c r="Y15" s="19" t="inlineStr">
        <is>
          <t>تعزيز تجربة العملاء</t>
        </is>
      </c>
    </row>
    <row r="16" ht="26" customHeight="1">
      <c r="A16" s="16" t="n">
        <v>13</v>
      </c>
      <c r="B16" s="19" t="inlineStr">
        <is>
          <t>تجربة العميل</t>
        </is>
      </c>
      <c r="C16" s="19" t="inlineStr">
        <is>
          <t>دقة التعبئة بدون أخطاء</t>
        </is>
      </c>
      <c r="D16" s="38" t="inlineStr">
        <is>
          <t>%</t>
        </is>
      </c>
      <c r="E16" s="38" t="inlineStr">
        <is>
          <t>↑</t>
        </is>
      </c>
      <c r="F16" s="38" t="inlineStr">
        <is>
          <t>AVG</t>
        </is>
      </c>
      <c r="G16" s="44" t="n">
        <v>0.99</v>
      </c>
      <c r="H16" s="40" t="inlineStr">
        <is>
          <t>≥ 99%</t>
        </is>
      </c>
      <c r="I16" s="45" t="n"/>
      <c r="J16" s="45" t="n"/>
      <c r="K16" s="45" t="n"/>
      <c r="L16" s="45" t="n"/>
      <c r="M16" s="45" t="n"/>
      <c r="N16" s="45" t="n"/>
      <c r="O16" s="45" t="n"/>
      <c r="P16" s="45" t="n"/>
      <c r="Q16" s="45" t="n"/>
      <c r="R16" s="45" t="n"/>
      <c r="S16" s="45" t="n"/>
      <c r="T16" s="45" t="n"/>
      <c r="U16" s="46">
        <f>IF($F16="SUM",IF(COUNT($I16:$T16)=0,"",SUM($I16:$T16)),IF($F16="AVG",IFERROR(AVERAGE($I16:$T16),""),IF($F16="LAST",IFERROR(LOOKUP(2,1/($I16:$T16&lt;&gt;""),$I16:$T16),""),"")))</f>
        <v/>
      </c>
      <c r="V16" s="36">
        <f>IF($G16="","",IF($U16="","",IF($G16=0,IF($U16&lt;=0,1,0),IF($E16="↓",IFERROR($G16/$U16,0),IFERROR($U16/$G16,0)))))</f>
        <v/>
      </c>
      <c r="W16" s="16">
        <f>IF($V16="","—",IF($V16&gt;=1,"✅ محقق",IF($V16&gt;=0.85,"🟡 قريب","🔴 تحت الهدف")))</f>
        <v/>
      </c>
      <c r="X16" s="43" t="inlineStr">
        <is>
          <t>الاستدامة</t>
        </is>
      </c>
      <c r="Y16" s="19" t="inlineStr">
        <is>
          <t>جودة التشغيل</t>
        </is>
      </c>
    </row>
    <row r="17" ht="26" customHeight="1">
      <c r="A17" s="16" t="n">
        <v>14</v>
      </c>
      <c r="B17" s="19" t="inlineStr">
        <is>
          <t>تجربة العميل</t>
        </is>
      </c>
      <c r="C17" s="19" t="inlineStr">
        <is>
          <t>تطبيق المعيار الشامل في المحطات</t>
        </is>
      </c>
      <c r="D17" s="38" t="inlineStr">
        <is>
          <t>%</t>
        </is>
      </c>
      <c r="E17" s="38" t="inlineStr">
        <is>
          <t>↑</t>
        </is>
      </c>
      <c r="F17" s="38" t="inlineStr">
        <is>
          <t>LAST</t>
        </is>
      </c>
      <c r="G17" s="44" t="n">
        <v>0.8</v>
      </c>
      <c r="H17" s="40" t="inlineStr">
        <is>
          <t>≥ 80%</t>
        </is>
      </c>
      <c r="I17" s="45" t="n"/>
      <c r="J17" s="45" t="n"/>
      <c r="K17" s="45" t="n"/>
      <c r="L17" s="45" t="n"/>
      <c r="M17" s="45" t="n"/>
      <c r="N17" s="45" t="n"/>
      <c r="O17" s="45" t="n"/>
      <c r="P17" s="45" t="n"/>
      <c r="Q17" s="45" t="n"/>
      <c r="R17" s="45" t="n"/>
      <c r="S17" s="45" t="n"/>
      <c r="T17" s="45" t="n"/>
      <c r="U17" s="46">
        <f>IF($F17="SUM",IF(COUNT($I17:$T17)=0,"",SUM($I17:$T17)),IF($F17="AVG",IFERROR(AVERAGE($I17:$T17),""),IF($F17="LAST",IFERROR(LOOKUP(2,1/($I17:$T17&lt;&gt;""),$I17:$T17),""),"")))</f>
        <v/>
      </c>
      <c r="V17" s="36">
        <f>IF($G17="","",IF($U17="","",IF($G17=0,IF($U17&lt;=0,1,0),IF($E17="↓",IFERROR($G17/$U17,0),IFERROR($U17/$G17,0)))))</f>
        <v/>
      </c>
      <c r="W17" s="16">
        <f>IF($V17="","—",IF($V17&gt;=1,"✅ محقق",IF($V17&gt;=0.85,"🟡 قريب","🔴 تحت الهدف")))</f>
        <v/>
      </c>
      <c r="X17" s="43" t="inlineStr">
        <is>
          <t>الابتكار</t>
        </is>
      </c>
      <c r="Y17" s="19" t="inlineStr">
        <is>
          <t>التحول التقني</t>
        </is>
      </c>
    </row>
    <row r="18" ht="26" customHeight="1">
      <c r="A18" s="16" t="n">
        <v>15</v>
      </c>
      <c r="B18" s="19" t="inlineStr">
        <is>
          <t>السلامة</t>
        </is>
      </c>
      <c r="C18" s="19" t="inlineStr">
        <is>
          <t>الالتزام بمعايير السلامة داخل المحطة</t>
        </is>
      </c>
      <c r="D18" s="38" t="inlineStr">
        <is>
          <t>%</t>
        </is>
      </c>
      <c r="E18" s="38" t="inlineStr">
        <is>
          <t>↑</t>
        </is>
      </c>
      <c r="F18" s="38" t="inlineStr">
        <is>
          <t>AVG</t>
        </is>
      </c>
      <c r="G18" s="44" t="n">
        <v>1</v>
      </c>
      <c r="H18" s="40" t="inlineStr">
        <is>
          <t>100%</t>
        </is>
      </c>
      <c r="I18" s="45" t="n"/>
      <c r="J18" s="45" t="n"/>
      <c r="K18" s="45" t="n"/>
      <c r="L18" s="45" t="n"/>
      <c r="M18" s="45" t="n"/>
      <c r="N18" s="45" t="n"/>
      <c r="O18" s="45" t="n"/>
      <c r="P18" s="45" t="n"/>
      <c r="Q18" s="45" t="n"/>
      <c r="R18" s="45" t="n"/>
      <c r="S18" s="45" t="n"/>
      <c r="T18" s="45" t="n"/>
      <c r="U18" s="46">
        <f>IF($F18="SUM",IF(COUNT($I18:$T18)=0,"",SUM($I18:$T18)),IF($F18="AVG",IFERROR(AVERAGE($I18:$T18),""),IF($F18="LAST",IFERROR(LOOKUP(2,1/($I18:$T18&lt;&gt;""),$I18:$T18),""),"")))</f>
        <v/>
      </c>
      <c r="V18" s="36">
        <f>IF($G18="","",IF($U18="","",IF($G18=0,IF($U18&lt;=0,1,0),IF($E18="↓",IFERROR($G18/$U18,0),IFERROR($U18/$G18,0)))))</f>
        <v/>
      </c>
      <c r="W18" s="16">
        <f>IF($V18="","—",IF($V18&gt;=1,"✅ محقق",IF($V18&gt;=0.85,"🟡 قريب","🔴 تحت الهدف")))</f>
        <v/>
      </c>
      <c r="X18" s="43" t="inlineStr">
        <is>
          <t>الاستدامة</t>
        </is>
      </c>
      <c r="Y18" s="19" t="inlineStr">
        <is>
          <t>جودة التشغيل</t>
        </is>
      </c>
    </row>
    <row r="19" ht="26" customHeight="1">
      <c r="A19" s="16" t="n">
        <v>16</v>
      </c>
      <c r="B19" s="19" t="inlineStr">
        <is>
          <t>البيئة</t>
        </is>
      </c>
      <c r="C19" s="19" t="inlineStr">
        <is>
          <t>التشجير داخل المحطة (معيار الوزارة)</t>
        </is>
      </c>
      <c r="D19" s="38" t="inlineStr">
        <is>
          <t>%</t>
        </is>
      </c>
      <c r="E19" s="38" t="inlineStr">
        <is>
          <t>↑</t>
        </is>
      </c>
      <c r="F19" s="38" t="inlineStr">
        <is>
          <t>LAST</t>
        </is>
      </c>
      <c r="G19" s="44" t="n">
        <v>1</v>
      </c>
      <c r="H19" s="40" t="inlineStr">
        <is>
          <t>100%</t>
        </is>
      </c>
      <c r="I19" s="45" t="n"/>
      <c r="J19" s="45" t="n"/>
      <c r="K19" s="45" t="n"/>
      <c r="L19" s="45" t="n"/>
      <c r="M19" s="45" t="n"/>
      <c r="N19" s="45" t="n"/>
      <c r="O19" s="45" t="n"/>
      <c r="P19" s="45" t="n"/>
      <c r="Q19" s="45" t="n"/>
      <c r="R19" s="45" t="n"/>
      <c r="S19" s="45" t="n"/>
      <c r="T19" s="45" t="n"/>
      <c r="U19" s="46">
        <f>IF($F19="SUM",IF(COUNT($I19:$T19)=0,"",SUM($I19:$T19)),IF($F19="AVG",IFERROR(AVERAGE($I19:$T19),""),IF($F19="LAST",IFERROR(LOOKUP(2,1/($I19:$T19&lt;&gt;""),$I19:$T19),""),"")))</f>
        <v/>
      </c>
      <c r="V19" s="36">
        <f>IF($G19="","",IF($U19="","",IF($G19=0,IF($U19&lt;=0,1,0),IF($E19="↓",IFERROR($G19/$U19,0),IFERROR($U19/$G19,0)))))</f>
        <v/>
      </c>
      <c r="W19" s="16">
        <f>IF($V19="","—",IF($V19&gt;=1,"✅ محقق",IF($V19&gt;=0.85,"🟡 قريب","🔴 تحت الهدف")))</f>
        <v/>
      </c>
      <c r="X19" s="43" t="inlineStr">
        <is>
          <t>الاستدامة</t>
        </is>
      </c>
      <c r="Y19" s="19" t="inlineStr">
        <is>
          <t>جودة التشغيل</t>
        </is>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Y2"/>
    <mergeCell ref="A1:Y1"/>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7"/>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s>
  <sheetData>
    <row r="1" ht="30" customHeight="1">
      <c r="A1" s="13" t="inlineStr">
        <is>
          <t>مؤشرات الأداء — مدير المحطة (شهري · SOP-OM-02/13)</t>
        </is>
      </c>
    </row>
    <row r="2">
      <c r="A2" s="37" t="inlineStr">
        <is>
          <t>🟩 الخلايا الخضراء = إدخال شهري للمسؤول  ·  باقي الأعمدة محسوبة/مقفولة  ·  كل مؤشر يغذّي ركيزته ومشروعه</t>
        </is>
      </c>
    </row>
    <row r="3" ht="34" customHeight="1">
      <c r="A3" s="15" t="inlineStr">
        <is>
          <t>#</t>
        </is>
      </c>
      <c r="B3" s="15" t="inlineStr">
        <is>
          <t>المحور</t>
        </is>
      </c>
      <c r="C3" s="15" t="inlineStr">
        <is>
          <t>المؤشر</t>
        </is>
      </c>
      <c r="D3" s="15" t="inlineStr">
        <is>
          <t>الوحدة</t>
        </is>
      </c>
      <c r="E3" s="15" t="inlineStr">
        <is>
          <t>القطبية</t>
        </is>
      </c>
      <c r="F3" s="15" t="inlineStr">
        <is>
          <t>التجميع</t>
        </is>
      </c>
      <c r="G3" s="15" t="inlineStr">
        <is>
          <t>المستهدف</t>
        </is>
      </c>
      <c r="H3" s="15" t="inlineStr">
        <is>
          <t>نص المستهدف</t>
        </is>
      </c>
      <c r="I3" s="15" t="inlineStr">
        <is>
          <t>يناير</t>
        </is>
      </c>
      <c r="J3" s="15" t="inlineStr">
        <is>
          <t>فبراير</t>
        </is>
      </c>
      <c r="K3" s="15" t="inlineStr">
        <is>
          <t>مارس</t>
        </is>
      </c>
      <c r="L3" s="15" t="inlineStr">
        <is>
          <t>أبريل</t>
        </is>
      </c>
      <c r="M3" s="15" t="inlineStr">
        <is>
          <t>مايو</t>
        </is>
      </c>
      <c r="N3" s="15" t="inlineStr">
        <is>
          <t>يونيو</t>
        </is>
      </c>
      <c r="O3" s="15" t="inlineStr">
        <is>
          <t>يوليو</t>
        </is>
      </c>
      <c r="P3" s="15" t="inlineStr">
        <is>
          <t>أغسطس</t>
        </is>
      </c>
      <c r="Q3" s="15" t="inlineStr">
        <is>
          <t>سبتمبر</t>
        </is>
      </c>
      <c r="R3" s="15" t="inlineStr">
        <is>
          <t>أكتوبر</t>
        </is>
      </c>
      <c r="S3" s="15" t="inlineStr">
        <is>
          <t>نوفمبر</t>
        </is>
      </c>
      <c r="T3" s="15" t="inlineStr">
        <is>
          <t>ديسمبر</t>
        </is>
      </c>
      <c r="U3" s="15" t="inlineStr">
        <is>
          <t>YTD</t>
        </is>
      </c>
      <c r="V3" s="15" t="inlineStr">
        <is>
          <t>نسبة التحقيق</t>
        </is>
      </c>
      <c r="W3" s="15" t="inlineStr">
        <is>
          <t>الحالة</t>
        </is>
      </c>
      <c r="X3" s="15" t="inlineStr">
        <is>
          <t>الركيزة (5س)</t>
        </is>
      </c>
      <c r="Y3" s="15" t="inlineStr">
        <is>
          <t>المشروع (الخارطة)</t>
        </is>
      </c>
    </row>
    <row r="4" ht="26" customHeight="1">
      <c r="A4" s="16" t="n">
        <v>1</v>
      </c>
      <c r="B4" s="19" t="inlineStr">
        <is>
          <t>الرقابة المالية</t>
        </is>
      </c>
      <c r="C4" s="19" t="inlineStr">
        <is>
          <t>تنفيذ جرد الوردية مرتين يومياً</t>
        </is>
      </c>
      <c r="D4" s="38" t="inlineStr">
        <is>
          <t>%</t>
        </is>
      </c>
      <c r="E4" s="38" t="inlineStr">
        <is>
          <t>↑</t>
        </is>
      </c>
      <c r="F4" s="38" t="inlineStr">
        <is>
          <t>AVG</t>
        </is>
      </c>
      <c r="G4" s="44" t="n">
        <v>1</v>
      </c>
      <c r="H4" s="40" t="inlineStr">
        <is>
          <t>100%</t>
        </is>
      </c>
      <c r="I4" s="45" t="n"/>
      <c r="J4" s="45" t="n"/>
      <c r="K4" s="45" t="n"/>
      <c r="L4" s="45" t="n"/>
      <c r="M4" s="45" t="n"/>
      <c r="N4" s="45" t="n"/>
      <c r="O4" s="45" t="n"/>
      <c r="P4" s="45" t="n"/>
      <c r="Q4" s="45" t="n"/>
      <c r="R4" s="45" t="n"/>
      <c r="S4" s="45" t="n"/>
      <c r="T4" s="45" t="n"/>
      <c r="U4" s="46">
        <f>IF($F4="SUM",IF(COUNT($I4:$T4)=0,"",SUM($I4:$T4)),IF($F4="AVG",IFERROR(AVERAGE($I4:$T4),""),IF($F4="LAST",IFERROR(LOOKUP(2,1/($I4:$T4&lt;&gt;""),$I4:$T4),""),"")))</f>
        <v/>
      </c>
      <c r="V4" s="36">
        <f>IF($G4="","",IF($U4="","",IF($G4=0,IF($U4&lt;=0,1,0),IF($E4="↓",IFERROR($G4/$U4,0),IFERROR($U4/$G4,0)))))</f>
        <v/>
      </c>
      <c r="W4" s="16">
        <f>IF($V4="","—",IF($V4&gt;=1,"✅ محقق",IF($V4&gt;=0.85,"🟡 قريب","🔴 تحت الهدف")))</f>
        <v/>
      </c>
      <c r="X4" s="43" t="inlineStr"/>
      <c r="Y4" s="19" t="inlineStr"/>
    </row>
    <row r="5" ht="26" customHeight="1">
      <c r="A5" s="16" t="n">
        <v>2</v>
      </c>
      <c r="B5" s="19" t="inlineStr">
        <is>
          <t>الرقابة المالية</t>
        </is>
      </c>
      <c r="C5" s="19" t="inlineStr">
        <is>
          <t>تسليم حصيلة المبيعات في الموعد</t>
        </is>
      </c>
      <c r="D5" s="38" t="inlineStr">
        <is>
          <t>%</t>
        </is>
      </c>
      <c r="E5" s="38" t="inlineStr">
        <is>
          <t>↑</t>
        </is>
      </c>
      <c r="F5" s="38" t="inlineStr">
        <is>
          <t>AVG</t>
        </is>
      </c>
      <c r="G5" s="44" t="n">
        <v>1</v>
      </c>
      <c r="H5" s="40" t="inlineStr">
        <is>
          <t>100%</t>
        </is>
      </c>
      <c r="I5" s="45" t="n"/>
      <c r="J5" s="45" t="n"/>
      <c r="K5" s="45" t="n"/>
      <c r="L5" s="45" t="n"/>
      <c r="M5" s="45" t="n"/>
      <c r="N5" s="45" t="n"/>
      <c r="O5" s="45" t="n"/>
      <c r="P5" s="45" t="n"/>
      <c r="Q5" s="45" t="n"/>
      <c r="R5" s="45" t="n"/>
      <c r="S5" s="45" t="n"/>
      <c r="T5" s="45" t="n"/>
      <c r="U5" s="46">
        <f>IF($F5="SUM",IF(COUNT($I5:$T5)=0,"",SUM($I5:$T5)),IF($F5="AVG",IFERROR(AVERAGE($I5:$T5),""),IF($F5="LAST",IFERROR(LOOKUP(2,1/($I5:$T5&lt;&gt;""),$I5:$T5),""),"")))</f>
        <v/>
      </c>
      <c r="V5" s="36">
        <f>IF($G5="","",IF($U5="","",IF($G5=0,IF($U5&lt;=0,1,0),IF($E5="↓",IFERROR($G5/$U5,0),IFERROR($U5/$G5,0)))))</f>
        <v/>
      </c>
      <c r="W5" s="16">
        <f>IF($V5="","—",IF($V5&gt;=1,"✅ محقق",IF($V5&gt;=0.85,"🟡 قريب","🔴 تحت الهدف")))</f>
        <v/>
      </c>
      <c r="X5" s="43" t="inlineStr"/>
      <c r="Y5" s="19" t="inlineStr"/>
    </row>
    <row r="6" ht="26" customHeight="1">
      <c r="A6" s="16" t="n">
        <v>3</v>
      </c>
      <c r="B6" s="19" t="inlineStr">
        <is>
          <t>الرقابة المالية</t>
        </is>
      </c>
      <c r="C6" s="19" t="inlineStr">
        <is>
          <t>التطابق بين POS والنقدية</t>
        </is>
      </c>
      <c r="D6" s="38" t="inlineStr">
        <is>
          <t>%</t>
        </is>
      </c>
      <c r="E6" s="38" t="inlineStr">
        <is>
          <t>↑</t>
        </is>
      </c>
      <c r="F6" s="38" t="inlineStr">
        <is>
          <t>AVG</t>
        </is>
      </c>
      <c r="G6" s="44" t="n">
        <v>1</v>
      </c>
      <c r="H6" s="40" t="inlineStr">
        <is>
          <t>100%</t>
        </is>
      </c>
      <c r="I6" s="45" t="n"/>
      <c r="J6" s="45" t="n"/>
      <c r="K6" s="45" t="n"/>
      <c r="L6" s="45" t="n"/>
      <c r="M6" s="45" t="n"/>
      <c r="N6" s="45" t="n"/>
      <c r="O6" s="45" t="n"/>
      <c r="P6" s="45" t="n"/>
      <c r="Q6" s="45" t="n"/>
      <c r="R6" s="45" t="n"/>
      <c r="S6" s="45" t="n"/>
      <c r="T6" s="45" t="n"/>
      <c r="U6" s="46">
        <f>IF($F6="SUM",IF(COUNT($I6:$T6)=0,"",SUM($I6:$T6)),IF($F6="AVG",IFERROR(AVERAGE($I6:$T6),""),IF($F6="LAST",IFERROR(LOOKUP(2,1/($I6:$T6&lt;&gt;""),$I6:$T6),""),"")))</f>
        <v/>
      </c>
      <c r="V6" s="36">
        <f>IF($G6="","",IF($U6="","",IF($G6=0,IF($U6&lt;=0,1,0),IF($E6="↓",IFERROR($G6/$U6,0),IFERROR($U6/$G6,0)))))</f>
        <v/>
      </c>
      <c r="W6" s="16">
        <f>IF($V6="","—",IF($V6&gt;=1,"✅ محقق",IF($V6&gt;=0.85,"🟡 قريب","🔴 تحت الهدف")))</f>
        <v/>
      </c>
      <c r="X6" s="43" t="inlineStr"/>
      <c r="Y6" s="19" t="inlineStr"/>
    </row>
    <row r="7" ht="26" customHeight="1">
      <c r="A7" s="16" t="n">
        <v>4</v>
      </c>
      <c r="B7" s="19" t="inlineStr">
        <is>
          <t>الرقابة المالية</t>
        </is>
      </c>
      <c r="C7" s="19" t="inlineStr">
        <is>
          <t>حالات عدم تطابق غير مبررة</t>
        </is>
      </c>
      <c r="D7" s="38" t="inlineStr">
        <is>
          <t>حالة</t>
        </is>
      </c>
      <c r="E7" s="38" t="inlineStr">
        <is>
          <t>↓</t>
        </is>
      </c>
      <c r="F7" s="38" t="inlineStr">
        <is>
          <t>SUM</t>
        </is>
      </c>
      <c r="G7" s="39" t="n">
        <v>0</v>
      </c>
      <c r="H7" s="40" t="inlineStr">
        <is>
          <t>0 حالة</t>
        </is>
      </c>
      <c r="I7" s="41" t="n"/>
      <c r="J7" s="41" t="n"/>
      <c r="K7" s="41" t="n"/>
      <c r="L7" s="41" t="n"/>
      <c r="M7" s="41" t="n"/>
      <c r="N7" s="41" t="n"/>
      <c r="O7" s="41" t="n"/>
      <c r="P7" s="41" t="n"/>
      <c r="Q7" s="41" t="n"/>
      <c r="R7" s="41" t="n"/>
      <c r="S7" s="41" t="n"/>
      <c r="T7" s="41" t="n"/>
      <c r="U7" s="42">
        <f>IF($F7="SUM",IF(COUNT($I7:$T7)=0,"",SUM($I7:$T7)),IF($F7="AVG",IFERROR(AVERAGE($I7:$T7),""),IF($F7="LAST",IFERROR(LOOKUP(2,1/($I7:$T7&lt;&gt;""),$I7:$T7),""),"")))</f>
        <v/>
      </c>
      <c r="V7" s="36">
        <f>IF($G7="","",IF($U7="","",IF($G7=0,IF($U7&lt;=0,1,0),IF($E7="↓",IFERROR($G7/$U7,0),IFERROR($U7/$G7,0)))))</f>
        <v/>
      </c>
      <c r="W7" s="16">
        <f>IF($V7="","—",IF($V7&gt;=1,"✅ محقق",IF($V7&gt;=0.85,"🟡 قريب","🔴 تحت الهدف")))</f>
        <v/>
      </c>
      <c r="X7" s="43" t="inlineStr"/>
      <c r="Y7" s="19" t="inlineStr"/>
    </row>
    <row r="8" ht="26" customHeight="1">
      <c r="A8" s="16" t="n">
        <v>5</v>
      </c>
      <c r="B8" s="19" t="inlineStr">
        <is>
          <t>توريد الوقود</t>
        </is>
      </c>
      <c r="C8" s="19" t="inlineStr">
        <is>
          <t>دقة قياس مستوى الخزان يومياً</t>
        </is>
      </c>
      <c r="D8" s="38" t="inlineStr">
        <is>
          <t>%</t>
        </is>
      </c>
      <c r="E8" s="38" t="inlineStr">
        <is>
          <t>↑</t>
        </is>
      </c>
      <c r="F8" s="38" t="inlineStr">
        <is>
          <t>AVG</t>
        </is>
      </c>
      <c r="G8" s="44" t="n">
        <v>1</v>
      </c>
      <c r="H8" s="40" t="inlineStr">
        <is>
          <t>100%</t>
        </is>
      </c>
      <c r="I8" s="45" t="n"/>
      <c r="J8" s="45" t="n"/>
      <c r="K8" s="45" t="n"/>
      <c r="L8" s="45" t="n"/>
      <c r="M8" s="45" t="n"/>
      <c r="N8" s="45" t="n"/>
      <c r="O8" s="45" t="n"/>
      <c r="P8" s="45" t="n"/>
      <c r="Q8" s="45" t="n"/>
      <c r="R8" s="45" t="n"/>
      <c r="S8" s="45" t="n"/>
      <c r="T8" s="45" t="n"/>
      <c r="U8" s="46">
        <f>IF($F8="SUM",IF(COUNT($I8:$T8)=0,"",SUM($I8:$T8)),IF($F8="AVG",IFERROR(AVERAGE($I8:$T8),""),IF($F8="LAST",IFERROR(LOOKUP(2,1/($I8:$T8&lt;&gt;""),$I8:$T8),""),"")))</f>
        <v/>
      </c>
      <c r="V8" s="36">
        <f>IF($G8="","",IF($U8="","",IF($G8=0,IF($U8&lt;=0,1,0),IF($E8="↓",IFERROR($G8/$U8,0),IFERROR($U8/$G8,0)))))</f>
        <v/>
      </c>
      <c r="W8" s="16">
        <f>IF($V8="","—",IF($V8&gt;=1,"✅ محقق",IF($V8&gt;=0.85,"🟡 قريب","🔴 تحت الهدف")))</f>
        <v/>
      </c>
      <c r="X8" s="43" t="inlineStr"/>
      <c r="Y8" s="19" t="inlineStr"/>
    </row>
    <row r="9" ht="26" customHeight="1">
      <c r="A9" s="16" t="n">
        <v>6</v>
      </c>
      <c r="B9" s="19" t="inlineStr">
        <is>
          <t>توريد الوقود</t>
        </is>
      </c>
      <c r="C9" s="19" t="inlineStr">
        <is>
          <t>طلب توريد الوقود قبل نفاده</t>
        </is>
      </c>
      <c r="D9" s="38" t="inlineStr">
        <is>
          <t>%</t>
        </is>
      </c>
      <c r="E9" s="38" t="inlineStr">
        <is>
          <t>↑</t>
        </is>
      </c>
      <c r="F9" s="38" t="inlineStr">
        <is>
          <t>AVG</t>
        </is>
      </c>
      <c r="G9" s="44" t="n">
        <v>1</v>
      </c>
      <c r="H9" s="40" t="inlineStr">
        <is>
          <t>100%</t>
        </is>
      </c>
      <c r="I9" s="45" t="n"/>
      <c r="J9" s="45" t="n"/>
      <c r="K9" s="45" t="n"/>
      <c r="L9" s="45" t="n"/>
      <c r="M9" s="45" t="n"/>
      <c r="N9" s="45" t="n"/>
      <c r="O9" s="45" t="n"/>
      <c r="P9" s="45" t="n"/>
      <c r="Q9" s="45" t="n"/>
      <c r="R9" s="45" t="n"/>
      <c r="S9" s="45" t="n"/>
      <c r="T9" s="45" t="n"/>
      <c r="U9" s="46">
        <f>IF($F9="SUM",IF(COUNT($I9:$T9)=0,"",SUM($I9:$T9)),IF($F9="AVG",IFERROR(AVERAGE($I9:$T9),""),IF($F9="LAST",IFERROR(LOOKUP(2,1/($I9:$T9&lt;&gt;""),$I9:$T9),""),"")))</f>
        <v/>
      </c>
      <c r="V9" s="36">
        <f>IF($G9="","",IF($U9="","",IF($G9=0,IF($U9&lt;=0,1,0),IF($E9="↓",IFERROR($G9/$U9,0),IFERROR($U9/$G9,0)))))</f>
        <v/>
      </c>
      <c r="W9" s="16">
        <f>IF($V9="","—",IF($V9&gt;=1,"✅ محقق",IF($V9&gt;=0.85,"🟡 قريب","🔴 تحت الهدف")))</f>
        <v/>
      </c>
      <c r="X9" s="43" t="inlineStr"/>
      <c r="Y9" s="19" t="inlineStr"/>
    </row>
    <row r="10" ht="26" customHeight="1">
      <c r="A10" s="16" t="n">
        <v>7</v>
      </c>
      <c r="B10" s="19" t="inlineStr">
        <is>
          <t>توريد الوقود</t>
        </is>
      </c>
      <c r="C10" s="19" t="inlineStr">
        <is>
          <t>حالات انقطاع الوقود</t>
        </is>
      </c>
      <c r="D10" s="38" t="inlineStr">
        <is>
          <t>حالة</t>
        </is>
      </c>
      <c r="E10" s="38" t="inlineStr">
        <is>
          <t>↓</t>
        </is>
      </c>
      <c r="F10" s="38" t="inlineStr">
        <is>
          <t>SUM</t>
        </is>
      </c>
      <c r="G10" s="39" t="n">
        <v>0</v>
      </c>
      <c r="H10" s="40" t="inlineStr">
        <is>
          <t>0 حالة</t>
        </is>
      </c>
      <c r="I10" s="41" t="n"/>
      <c r="J10" s="41" t="n"/>
      <c r="K10" s="41" t="n"/>
      <c r="L10" s="41" t="n"/>
      <c r="M10" s="41" t="n"/>
      <c r="N10" s="41" t="n"/>
      <c r="O10" s="41" t="n"/>
      <c r="P10" s="41" t="n"/>
      <c r="Q10" s="41" t="n"/>
      <c r="R10" s="41" t="n"/>
      <c r="S10" s="41" t="n"/>
      <c r="T10" s="41" t="n"/>
      <c r="U10" s="42">
        <f>IF($F10="SUM",IF(COUNT($I10:$T10)=0,"",SUM($I10:$T10)),IF($F10="AVG",IFERROR(AVERAGE($I10:$T10),""),IF($F10="LAST",IFERROR(LOOKUP(2,1/($I10:$T10&lt;&gt;""),$I10:$T10),""),"")))</f>
        <v/>
      </c>
      <c r="V10" s="36">
        <f>IF($G10="","",IF($U10="","",IF($G10=0,IF($U10&lt;=0,1,0),IF($E10="↓",IFERROR($G10/$U10,0),IFERROR($U10/$G10,0)))))</f>
        <v/>
      </c>
      <c r="W10" s="16">
        <f>IF($V10="","—",IF($V10&gt;=1,"✅ محقق",IF($V10&gt;=0.85,"🟡 قريب","🔴 تحت الهدف")))</f>
        <v/>
      </c>
      <c r="X10" s="43" t="inlineStr"/>
      <c r="Y10" s="19" t="inlineStr"/>
    </row>
    <row r="11" ht="26" customHeight="1">
      <c r="A11" s="16" t="n">
        <v>8</v>
      </c>
      <c r="B11" s="19" t="inlineStr">
        <is>
          <t>توريد الوقود</t>
        </is>
      </c>
      <c r="C11" s="19" t="inlineStr">
        <is>
          <t>توثيق تفريغ الوقود (OP-F-36)</t>
        </is>
      </c>
      <c r="D11" s="38" t="inlineStr">
        <is>
          <t>%</t>
        </is>
      </c>
      <c r="E11" s="38" t="inlineStr">
        <is>
          <t>↑</t>
        </is>
      </c>
      <c r="F11" s="38" t="inlineStr">
        <is>
          <t>AVG</t>
        </is>
      </c>
      <c r="G11" s="44" t="n">
        <v>1</v>
      </c>
      <c r="H11" s="40" t="inlineStr">
        <is>
          <t>100%</t>
        </is>
      </c>
      <c r="I11" s="45" t="n"/>
      <c r="J11" s="45" t="n"/>
      <c r="K11" s="45" t="n"/>
      <c r="L11" s="45" t="n"/>
      <c r="M11" s="45" t="n"/>
      <c r="N11" s="45" t="n"/>
      <c r="O11" s="45" t="n"/>
      <c r="P11" s="45" t="n"/>
      <c r="Q11" s="45" t="n"/>
      <c r="R11" s="45" t="n"/>
      <c r="S11" s="45" t="n"/>
      <c r="T11" s="45" t="n"/>
      <c r="U11" s="46">
        <f>IF($F11="SUM",IF(COUNT($I11:$T11)=0,"",SUM($I11:$T11)),IF($F11="AVG",IFERROR(AVERAGE($I11:$T11),""),IF($F11="LAST",IFERROR(LOOKUP(2,1/($I11:$T11&lt;&gt;""),$I11:$T11),""),"")))</f>
        <v/>
      </c>
      <c r="V11" s="36">
        <f>IF($G11="","",IF($U11="","",IF($G11=0,IF($U11&lt;=0,1,0),IF($E11="↓",IFERROR($G11/$U11,0),IFERROR($U11/$G11,0)))))</f>
        <v/>
      </c>
      <c r="W11" s="16">
        <f>IF($V11="","—",IF($V11&gt;=1,"✅ محقق",IF($V11&gt;=0.85,"🟡 قريب","🔴 تحت الهدف")))</f>
        <v/>
      </c>
      <c r="X11" s="43" t="inlineStr"/>
      <c r="Y11" s="19" t="inlineStr"/>
    </row>
    <row r="12" ht="26" customHeight="1">
      <c r="A12" s="16" t="n">
        <v>9</v>
      </c>
      <c r="B12" s="19" t="inlineStr">
        <is>
          <t>إدارة الفريق</t>
        </is>
      </c>
      <c r="C12" s="19" t="inlineStr">
        <is>
          <t>الالتزام بزي الفريق ومظهره</t>
        </is>
      </c>
      <c r="D12" s="38" t="inlineStr">
        <is>
          <t>%</t>
        </is>
      </c>
      <c r="E12" s="38" t="inlineStr">
        <is>
          <t>↑</t>
        </is>
      </c>
      <c r="F12" s="38" t="inlineStr">
        <is>
          <t>AVG</t>
        </is>
      </c>
      <c r="G12" s="44" t="n">
        <v>1</v>
      </c>
      <c r="H12" s="40" t="inlineStr">
        <is>
          <t>100%</t>
        </is>
      </c>
      <c r="I12" s="45" t="n"/>
      <c r="J12" s="45" t="n"/>
      <c r="K12" s="45" t="n"/>
      <c r="L12" s="45" t="n"/>
      <c r="M12" s="45" t="n"/>
      <c r="N12" s="45" t="n"/>
      <c r="O12" s="45" t="n"/>
      <c r="P12" s="45" t="n"/>
      <c r="Q12" s="45" t="n"/>
      <c r="R12" s="45" t="n"/>
      <c r="S12" s="45" t="n"/>
      <c r="T12" s="45" t="n"/>
      <c r="U12" s="46">
        <f>IF($F12="SUM",IF(COUNT($I12:$T12)=0,"",SUM($I12:$T12)),IF($F12="AVG",IFERROR(AVERAGE($I12:$T12),""),IF($F12="LAST",IFERROR(LOOKUP(2,1/($I12:$T12&lt;&gt;""),$I12:$T12),""),"")))</f>
        <v/>
      </c>
      <c r="V12" s="36">
        <f>IF($G12="","",IF($U12="","",IF($G12=0,IF($U12&lt;=0,1,0),IF($E12="↓",IFERROR($G12/$U12,0),IFERROR($U12/$G12,0)))))</f>
        <v/>
      </c>
      <c r="W12" s="16">
        <f>IF($V12="","—",IF($V12&gt;=1,"✅ محقق",IF($V12&gt;=0.85,"🟡 قريب","🔴 تحت الهدف")))</f>
        <v/>
      </c>
      <c r="X12" s="43" t="inlineStr"/>
      <c r="Y12" s="19" t="inlineStr"/>
    </row>
    <row r="13" ht="26" customHeight="1">
      <c r="A13" s="16" t="n">
        <v>10</v>
      </c>
      <c r="B13" s="19" t="inlineStr">
        <is>
          <t>إدارة الفريق</t>
        </is>
      </c>
      <c r="C13" s="19" t="inlineStr">
        <is>
          <t>توزيع الزي بعهدة موقّعة</t>
        </is>
      </c>
      <c r="D13" s="38" t="inlineStr">
        <is>
          <t>%</t>
        </is>
      </c>
      <c r="E13" s="38" t="inlineStr">
        <is>
          <t>↑</t>
        </is>
      </c>
      <c r="F13" s="38" t="inlineStr">
        <is>
          <t>AVG</t>
        </is>
      </c>
      <c r="G13" s="44" t="n">
        <v>1</v>
      </c>
      <c r="H13" s="40" t="inlineStr">
        <is>
          <t>100%</t>
        </is>
      </c>
      <c r="I13" s="45" t="n"/>
      <c r="J13" s="45" t="n"/>
      <c r="K13" s="45" t="n"/>
      <c r="L13" s="45" t="n"/>
      <c r="M13" s="45" t="n"/>
      <c r="N13" s="45" t="n"/>
      <c r="O13" s="45" t="n"/>
      <c r="P13" s="45" t="n"/>
      <c r="Q13" s="45" t="n"/>
      <c r="R13" s="45" t="n"/>
      <c r="S13" s="45" t="n"/>
      <c r="T13" s="45" t="n"/>
      <c r="U13" s="46">
        <f>IF($F13="SUM",IF(COUNT($I13:$T13)=0,"",SUM($I13:$T13)),IF($F13="AVG",IFERROR(AVERAGE($I13:$T13),""),IF($F13="LAST",IFERROR(LOOKUP(2,1/($I13:$T13&lt;&gt;""),$I13:$T13),""),"")))</f>
        <v/>
      </c>
      <c r="V13" s="36">
        <f>IF($G13="","",IF($U13="","",IF($G13=0,IF($U13&lt;=0,1,0),IF($E13="↓",IFERROR($G13/$U13,0),IFERROR($U13/$G13,0)))))</f>
        <v/>
      </c>
      <c r="W13" s="16">
        <f>IF($V13="","—",IF($V13&gt;=1,"✅ محقق",IF($V13&gt;=0.85,"🟡 قريب","🔴 تحت الهدف")))</f>
        <v/>
      </c>
      <c r="X13" s="43" t="inlineStr"/>
      <c r="Y13" s="19" t="inlineStr"/>
    </row>
    <row r="14" ht="26" customHeight="1">
      <c r="A14" s="16" t="n">
        <v>11</v>
      </c>
      <c r="B14" s="19" t="inlineStr">
        <is>
          <t>إدارة الفريق</t>
        </is>
      </c>
      <c r="C14" s="19" t="inlineStr">
        <is>
          <t>تجديد الوثائق والتراخيص مبكراً</t>
        </is>
      </c>
      <c r="D14" s="38" t="inlineStr">
        <is>
          <t>%</t>
        </is>
      </c>
      <c r="E14" s="38" t="inlineStr">
        <is>
          <t>↑</t>
        </is>
      </c>
      <c r="F14" s="38" t="inlineStr">
        <is>
          <t>AVG</t>
        </is>
      </c>
      <c r="G14" s="44" t="n">
        <v>1</v>
      </c>
      <c r="H14" s="40" t="inlineStr">
        <is>
          <t>100%</t>
        </is>
      </c>
      <c r="I14" s="45" t="n"/>
      <c r="J14" s="45" t="n"/>
      <c r="K14" s="45" t="n"/>
      <c r="L14" s="45" t="n"/>
      <c r="M14" s="45" t="n"/>
      <c r="N14" s="45" t="n"/>
      <c r="O14" s="45" t="n"/>
      <c r="P14" s="45" t="n"/>
      <c r="Q14" s="45" t="n"/>
      <c r="R14" s="45" t="n"/>
      <c r="S14" s="45" t="n"/>
      <c r="T14" s="45" t="n"/>
      <c r="U14" s="46">
        <f>IF($F14="SUM",IF(COUNT($I14:$T14)=0,"",SUM($I14:$T14)),IF($F14="AVG",IFERROR(AVERAGE($I14:$T14),""),IF($F14="LAST",IFERROR(LOOKUP(2,1/($I14:$T14&lt;&gt;""),$I14:$T14),""),"")))</f>
        <v/>
      </c>
      <c r="V14" s="36">
        <f>IF($G14="","",IF($U14="","",IF($G14=0,IF($U14&lt;=0,1,0),IF($E14="↓",IFERROR($G14/$U14,0),IFERROR($U14/$G14,0)))))</f>
        <v/>
      </c>
      <c r="W14" s="16">
        <f>IF($V14="","—",IF($V14&gt;=1,"✅ محقق",IF($V14&gt;=0.85,"🟡 قريب","🔴 تحت الهدف")))</f>
        <v/>
      </c>
      <c r="X14" s="43" t="inlineStr"/>
      <c r="Y14" s="19" t="inlineStr"/>
    </row>
    <row r="15" ht="26" customHeight="1">
      <c r="A15" s="16" t="n">
        <v>12</v>
      </c>
      <c r="B15" s="19" t="inlineStr">
        <is>
          <t>إدارة الفريق</t>
        </is>
      </c>
      <c r="C15" s="19" t="inlineStr">
        <is>
          <t>الاستجابة لبلاغات الطوارئ والأعطال</t>
        </is>
      </c>
      <c r="D15" s="38" t="inlineStr">
        <is>
          <t>دقيقة</t>
        </is>
      </c>
      <c r="E15" s="38" t="inlineStr">
        <is>
          <t>↓</t>
        </is>
      </c>
      <c r="F15" s="38" t="inlineStr">
        <is>
          <t>AVG</t>
        </is>
      </c>
      <c r="G15" s="49" t="n">
        <v>15</v>
      </c>
      <c r="H15" s="40" t="inlineStr">
        <is>
          <t>≤ 15 د</t>
        </is>
      </c>
      <c r="I15" s="50" t="n"/>
      <c r="J15" s="50" t="n"/>
      <c r="K15" s="50" t="n"/>
      <c r="L15" s="50" t="n"/>
      <c r="M15" s="50" t="n"/>
      <c r="N15" s="50" t="n"/>
      <c r="O15" s="50" t="n"/>
      <c r="P15" s="50" t="n"/>
      <c r="Q15" s="50" t="n"/>
      <c r="R15" s="50" t="n"/>
      <c r="S15" s="50" t="n"/>
      <c r="T15" s="50" t="n"/>
      <c r="U15" s="51">
        <f>IF($F15="SUM",IF(COUNT($I15:$T15)=0,"",SUM($I15:$T15)),IF($F15="AVG",IFERROR(AVERAGE($I15:$T15),""),IF($F15="LAST",IFERROR(LOOKUP(2,1/($I15:$T15&lt;&gt;""),$I15:$T15),""),"")))</f>
        <v/>
      </c>
      <c r="V15" s="36">
        <f>IF($G15="","",IF($U15="","",IF($G15=0,IF($U15&lt;=0,1,0),IF($E15="↓",IFERROR($G15/$U15,0),IFERROR($U15/$G15,0)))))</f>
        <v/>
      </c>
      <c r="W15" s="16">
        <f>IF($V15="","—",IF($V15&gt;=1,"✅ محقق",IF($V15&gt;=0.85,"🟡 قريب","🔴 تحت الهدف")))</f>
        <v/>
      </c>
      <c r="X15" s="43" t="inlineStr"/>
      <c r="Y15" s="19" t="inlineStr"/>
    </row>
    <row r="16" ht="26" customHeight="1">
      <c r="A16" s="16" t="n">
        <v>13</v>
      </c>
      <c r="B16" s="19" t="inlineStr">
        <is>
          <t>جودة الخدمة</t>
        </is>
      </c>
      <c r="C16" s="19" t="inlineStr">
        <is>
          <t>نظافة المرافق يومياً</t>
        </is>
      </c>
      <c r="D16" s="38" t="inlineStr">
        <is>
          <t>%</t>
        </is>
      </c>
      <c r="E16" s="38" t="inlineStr">
        <is>
          <t>↑</t>
        </is>
      </c>
      <c r="F16" s="38" t="inlineStr">
        <is>
          <t>AVG</t>
        </is>
      </c>
      <c r="G16" s="44" t="n">
        <v>1</v>
      </c>
      <c r="H16" s="40" t="inlineStr">
        <is>
          <t>100%</t>
        </is>
      </c>
      <c r="I16" s="45" t="n"/>
      <c r="J16" s="45" t="n"/>
      <c r="K16" s="45" t="n"/>
      <c r="L16" s="45" t="n"/>
      <c r="M16" s="45" t="n"/>
      <c r="N16" s="45" t="n"/>
      <c r="O16" s="45" t="n"/>
      <c r="P16" s="45" t="n"/>
      <c r="Q16" s="45" t="n"/>
      <c r="R16" s="45" t="n"/>
      <c r="S16" s="45" t="n"/>
      <c r="T16" s="45" t="n"/>
      <c r="U16" s="46">
        <f>IF($F16="SUM",IF(COUNT($I16:$T16)=0,"",SUM($I16:$T16)),IF($F16="AVG",IFERROR(AVERAGE($I16:$T16),""),IF($F16="LAST",IFERROR(LOOKUP(2,1/($I16:$T16&lt;&gt;""),$I16:$T16),""),"")))</f>
        <v/>
      </c>
      <c r="V16" s="36">
        <f>IF($G16="","",IF($U16="","",IF($G16=0,IF($U16&lt;=0,1,0),IF($E16="↓",IFERROR($G16/$U16,0),IFERROR($U16/$G16,0)))))</f>
        <v/>
      </c>
      <c r="W16" s="16">
        <f>IF($V16="","—",IF($V16&gt;=1,"✅ محقق",IF($V16&gt;=0.85,"🟡 قريب","🔴 تحت الهدف")))</f>
        <v/>
      </c>
      <c r="X16" s="43" t="inlineStr"/>
      <c r="Y16" s="19" t="inlineStr"/>
    </row>
    <row r="17" ht="26" customHeight="1">
      <c r="A17" s="16" t="n">
        <v>14</v>
      </c>
      <c r="B17" s="19" t="inlineStr">
        <is>
          <t>جودة الخدمة</t>
        </is>
      </c>
      <c r="C17" s="19" t="inlineStr">
        <is>
          <t>معالجة شكاوى العملاء خلال 24 ساعة</t>
        </is>
      </c>
      <c r="D17" s="38" t="inlineStr">
        <is>
          <t>%</t>
        </is>
      </c>
      <c r="E17" s="38" t="inlineStr">
        <is>
          <t>↑</t>
        </is>
      </c>
      <c r="F17" s="38" t="inlineStr">
        <is>
          <t>AVG</t>
        </is>
      </c>
      <c r="G17" s="44" t="n">
        <v>0.9</v>
      </c>
      <c r="H17" s="40" t="inlineStr">
        <is>
          <t>90%+</t>
        </is>
      </c>
      <c r="I17" s="45" t="n"/>
      <c r="J17" s="45" t="n"/>
      <c r="K17" s="45" t="n"/>
      <c r="L17" s="45" t="n"/>
      <c r="M17" s="45" t="n"/>
      <c r="N17" s="45" t="n"/>
      <c r="O17" s="45" t="n"/>
      <c r="P17" s="45" t="n"/>
      <c r="Q17" s="45" t="n"/>
      <c r="R17" s="45" t="n"/>
      <c r="S17" s="45" t="n"/>
      <c r="T17" s="45" t="n"/>
      <c r="U17" s="46">
        <f>IF($F17="SUM",IF(COUNT($I17:$T17)=0,"",SUM($I17:$T17)),IF($F17="AVG",IFERROR(AVERAGE($I17:$T17),""),IF($F17="LAST",IFERROR(LOOKUP(2,1/($I17:$T17&lt;&gt;""),$I17:$T17),""),"")))</f>
        <v/>
      </c>
      <c r="V17" s="36">
        <f>IF($G17="","",IF($U17="","",IF($G17=0,IF($U17&lt;=0,1,0),IF($E17="↓",IFERROR($G17/$U17,0),IFERROR($U17/$G17,0)))))</f>
        <v/>
      </c>
      <c r="W17" s="16">
        <f>IF($V17="","—",IF($V17&gt;=1,"✅ محقق",IF($V17&gt;=0.85,"🟡 قريب","🔴 تحت الهدف")))</f>
        <v/>
      </c>
      <c r="X17" s="43" t="inlineStr"/>
      <c r="Y17" s="19" t="inlineStr"/>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Y2"/>
    <mergeCell ref="A1:Y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15"/>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s>
  <sheetData>
    <row r="1" ht="30" customHeight="1">
      <c r="A1" s="13" t="inlineStr">
        <is>
          <t>مؤشرات الأداء — مشرف ميداني (شهري · TQM-M-02)</t>
        </is>
      </c>
    </row>
    <row r="2">
      <c r="A2" s="37" t="inlineStr">
        <is>
          <t>🟩 الخلايا الخضراء = إدخال شهري للمسؤول  ·  باقي الأعمدة محسوبة/مقفولة  ·  كل مؤشر يغذّي ركيزته ومشروعه</t>
        </is>
      </c>
    </row>
    <row r="3" ht="34" customHeight="1">
      <c r="A3" s="15" t="inlineStr">
        <is>
          <t>#</t>
        </is>
      </c>
      <c r="B3" s="15" t="inlineStr">
        <is>
          <t>المحور</t>
        </is>
      </c>
      <c r="C3" s="15" t="inlineStr">
        <is>
          <t>المؤشر</t>
        </is>
      </c>
      <c r="D3" s="15" t="inlineStr">
        <is>
          <t>الوحدة</t>
        </is>
      </c>
      <c r="E3" s="15" t="inlineStr">
        <is>
          <t>القطبية</t>
        </is>
      </c>
      <c r="F3" s="15" t="inlineStr">
        <is>
          <t>التجميع</t>
        </is>
      </c>
      <c r="G3" s="15" t="inlineStr">
        <is>
          <t>المستهدف</t>
        </is>
      </c>
      <c r="H3" s="15" t="inlineStr">
        <is>
          <t>نص المستهدف</t>
        </is>
      </c>
      <c r="I3" s="15" t="inlineStr">
        <is>
          <t>يناير</t>
        </is>
      </c>
      <c r="J3" s="15" t="inlineStr">
        <is>
          <t>فبراير</t>
        </is>
      </c>
      <c r="K3" s="15" t="inlineStr">
        <is>
          <t>مارس</t>
        </is>
      </c>
      <c r="L3" s="15" t="inlineStr">
        <is>
          <t>أبريل</t>
        </is>
      </c>
      <c r="M3" s="15" t="inlineStr">
        <is>
          <t>مايو</t>
        </is>
      </c>
      <c r="N3" s="15" t="inlineStr">
        <is>
          <t>يونيو</t>
        </is>
      </c>
      <c r="O3" s="15" t="inlineStr">
        <is>
          <t>يوليو</t>
        </is>
      </c>
      <c r="P3" s="15" t="inlineStr">
        <is>
          <t>أغسطس</t>
        </is>
      </c>
      <c r="Q3" s="15" t="inlineStr">
        <is>
          <t>سبتمبر</t>
        </is>
      </c>
      <c r="R3" s="15" t="inlineStr">
        <is>
          <t>أكتوبر</t>
        </is>
      </c>
      <c r="S3" s="15" t="inlineStr">
        <is>
          <t>نوفمبر</t>
        </is>
      </c>
      <c r="T3" s="15" t="inlineStr">
        <is>
          <t>ديسمبر</t>
        </is>
      </c>
      <c r="U3" s="15" t="inlineStr">
        <is>
          <t>YTD</t>
        </is>
      </c>
      <c r="V3" s="15" t="inlineStr">
        <is>
          <t>نسبة التحقيق</t>
        </is>
      </c>
      <c r="W3" s="15" t="inlineStr">
        <is>
          <t>الحالة</t>
        </is>
      </c>
      <c r="X3" s="15" t="inlineStr">
        <is>
          <t>الركيزة (5س)</t>
        </is>
      </c>
      <c r="Y3" s="15" t="inlineStr">
        <is>
          <t>المشروع (الخارطة)</t>
        </is>
      </c>
    </row>
    <row r="4" ht="26" customHeight="1">
      <c r="A4" s="16" t="n">
        <v>1</v>
      </c>
      <c r="B4" s="19" t="inlineStr">
        <is>
          <t>الزيارات الميدانية</t>
        </is>
      </c>
      <c r="C4" s="19" t="inlineStr">
        <is>
          <t>تنفيذ الزيارات المجدولة كاملاً</t>
        </is>
      </c>
      <c r="D4" s="38" t="inlineStr">
        <is>
          <t>%</t>
        </is>
      </c>
      <c r="E4" s="38" t="inlineStr">
        <is>
          <t>↑</t>
        </is>
      </c>
      <c r="F4" s="38" t="inlineStr">
        <is>
          <t>AVG</t>
        </is>
      </c>
      <c r="G4" s="44" t="n">
        <v>1</v>
      </c>
      <c r="H4" s="40" t="inlineStr">
        <is>
          <t>100%</t>
        </is>
      </c>
      <c r="I4" s="45" t="n"/>
      <c r="J4" s="45" t="n"/>
      <c r="K4" s="45" t="n"/>
      <c r="L4" s="45" t="n"/>
      <c r="M4" s="45" t="n"/>
      <c r="N4" s="45" t="n"/>
      <c r="O4" s="45" t="n"/>
      <c r="P4" s="45" t="n"/>
      <c r="Q4" s="45" t="n"/>
      <c r="R4" s="45" t="n"/>
      <c r="S4" s="45" t="n"/>
      <c r="T4" s="45" t="n"/>
      <c r="U4" s="46">
        <f>IF($F4="SUM",IF(COUNT($I4:$T4)=0,"",SUM($I4:$T4)),IF($F4="AVG",IFERROR(AVERAGE($I4:$T4),""),IF($F4="LAST",IFERROR(LOOKUP(2,1/($I4:$T4&lt;&gt;""),$I4:$T4),""),"")))</f>
        <v/>
      </c>
      <c r="V4" s="36">
        <f>IF($G4="","",IF($U4="","",IF($G4=0,IF($U4&lt;=0,1,0),IF($E4="↓",IFERROR($G4/$U4,0),IFERROR($U4/$G4,0)))))</f>
        <v/>
      </c>
      <c r="W4" s="16">
        <f>IF($V4="","—",IF($V4&gt;=1,"✅ محقق",IF($V4&gt;=0.85,"🟡 قريب","🔴 تحت الهدف")))</f>
        <v/>
      </c>
      <c r="X4" s="43" t="inlineStr"/>
      <c r="Y4" s="19" t="inlineStr"/>
    </row>
    <row r="5" ht="26" customHeight="1">
      <c r="A5" s="16" t="n">
        <v>2</v>
      </c>
      <c r="B5" s="19" t="inlineStr">
        <is>
          <t>الزيارات الميدانية</t>
        </is>
      </c>
      <c r="C5" s="19" t="inlineStr">
        <is>
          <t>رفع تقرير الزيارة خلال 24 ساعة</t>
        </is>
      </c>
      <c r="D5" s="38" t="inlineStr">
        <is>
          <t>%</t>
        </is>
      </c>
      <c r="E5" s="38" t="inlineStr">
        <is>
          <t>↑</t>
        </is>
      </c>
      <c r="F5" s="38" t="inlineStr">
        <is>
          <t>AVG</t>
        </is>
      </c>
      <c r="G5" s="44" t="n">
        <v>1</v>
      </c>
      <c r="H5" s="40" t="inlineStr">
        <is>
          <t>100%</t>
        </is>
      </c>
      <c r="I5" s="45" t="n"/>
      <c r="J5" s="45" t="n"/>
      <c r="K5" s="45" t="n"/>
      <c r="L5" s="45" t="n"/>
      <c r="M5" s="45" t="n"/>
      <c r="N5" s="45" t="n"/>
      <c r="O5" s="45" t="n"/>
      <c r="P5" s="45" t="n"/>
      <c r="Q5" s="45" t="n"/>
      <c r="R5" s="45" t="n"/>
      <c r="S5" s="45" t="n"/>
      <c r="T5" s="45" t="n"/>
      <c r="U5" s="46">
        <f>IF($F5="SUM",IF(COUNT($I5:$T5)=0,"",SUM($I5:$T5)),IF($F5="AVG",IFERROR(AVERAGE($I5:$T5),""),IF($F5="LAST",IFERROR(LOOKUP(2,1/($I5:$T5&lt;&gt;""),$I5:$T5),""),"")))</f>
        <v/>
      </c>
      <c r="V5" s="36">
        <f>IF($G5="","",IF($U5="","",IF($G5=0,IF($U5&lt;=0,1,0),IF($E5="↓",IFERROR($G5/$U5,0),IFERROR($U5/$G5,0)))))</f>
        <v/>
      </c>
      <c r="W5" s="16">
        <f>IF($V5="","—",IF($V5&gt;=1,"✅ محقق",IF($V5&gt;=0.85,"🟡 قريب","🔴 تحت الهدف")))</f>
        <v/>
      </c>
      <c r="X5" s="43" t="inlineStr"/>
      <c r="Y5" s="19" t="inlineStr"/>
    </row>
    <row r="6" ht="26" customHeight="1">
      <c r="A6" s="16" t="n">
        <v>3</v>
      </c>
      <c r="B6" s="19" t="inlineStr">
        <is>
          <t>الزيارات الميدانية</t>
        </is>
      </c>
      <c r="C6" s="19" t="inlineStr">
        <is>
          <t>التحقق من جرد الوردية أثناء الزيارة</t>
        </is>
      </c>
      <c r="D6" s="38" t="inlineStr">
        <is>
          <t>%</t>
        </is>
      </c>
      <c r="E6" s="38" t="inlineStr">
        <is>
          <t>↑</t>
        </is>
      </c>
      <c r="F6" s="38" t="inlineStr">
        <is>
          <t>AVG</t>
        </is>
      </c>
      <c r="G6" s="44" t="n">
        <v>1</v>
      </c>
      <c r="H6" s="40" t="inlineStr">
        <is>
          <t>100%</t>
        </is>
      </c>
      <c r="I6" s="45" t="n"/>
      <c r="J6" s="45" t="n"/>
      <c r="K6" s="45" t="n"/>
      <c r="L6" s="45" t="n"/>
      <c r="M6" s="45" t="n"/>
      <c r="N6" s="45" t="n"/>
      <c r="O6" s="45" t="n"/>
      <c r="P6" s="45" t="n"/>
      <c r="Q6" s="45" t="n"/>
      <c r="R6" s="45" t="n"/>
      <c r="S6" s="45" t="n"/>
      <c r="T6" s="45" t="n"/>
      <c r="U6" s="46">
        <f>IF($F6="SUM",IF(COUNT($I6:$T6)=0,"",SUM($I6:$T6)),IF($F6="AVG",IFERROR(AVERAGE($I6:$T6),""),IF($F6="LAST",IFERROR(LOOKUP(2,1/($I6:$T6&lt;&gt;""),$I6:$T6),""),"")))</f>
        <v/>
      </c>
      <c r="V6" s="36">
        <f>IF($G6="","",IF($U6="","",IF($G6=0,IF($U6&lt;=0,1,0),IF($E6="↓",IFERROR($G6/$U6,0),IFERROR($U6/$G6,0)))))</f>
        <v/>
      </c>
      <c r="W6" s="16">
        <f>IF($V6="","—",IF($V6&gt;=1,"✅ محقق",IF($V6&gt;=0.85,"🟡 قريب","🔴 تحت الهدف")))</f>
        <v/>
      </c>
      <c r="X6" s="43" t="inlineStr"/>
      <c r="Y6" s="19" t="inlineStr"/>
    </row>
    <row r="7" ht="26" customHeight="1">
      <c r="A7" s="16" t="n">
        <v>4</v>
      </c>
      <c r="B7" s="19" t="inlineStr">
        <is>
          <t>الزيارات الميدانية</t>
        </is>
      </c>
      <c r="C7" s="19" t="inlineStr">
        <is>
          <t>إغلاق ملاحظات الزيارة خلال أسبوع</t>
        </is>
      </c>
      <c r="D7" s="38" t="inlineStr">
        <is>
          <t>%</t>
        </is>
      </c>
      <c r="E7" s="38" t="inlineStr">
        <is>
          <t>↑</t>
        </is>
      </c>
      <c r="F7" s="38" t="inlineStr">
        <is>
          <t>AVG</t>
        </is>
      </c>
      <c r="G7" s="44" t="n">
        <v>0.9</v>
      </c>
      <c r="H7" s="40" t="inlineStr">
        <is>
          <t>90%+</t>
        </is>
      </c>
      <c r="I7" s="45" t="n"/>
      <c r="J7" s="45" t="n"/>
      <c r="K7" s="45" t="n"/>
      <c r="L7" s="45" t="n"/>
      <c r="M7" s="45" t="n"/>
      <c r="N7" s="45" t="n"/>
      <c r="O7" s="45" t="n"/>
      <c r="P7" s="45" t="n"/>
      <c r="Q7" s="45" t="n"/>
      <c r="R7" s="45" t="n"/>
      <c r="S7" s="45" t="n"/>
      <c r="T7" s="45" t="n"/>
      <c r="U7" s="46">
        <f>IF($F7="SUM",IF(COUNT($I7:$T7)=0,"",SUM($I7:$T7)),IF($F7="AVG",IFERROR(AVERAGE($I7:$T7),""),IF($F7="LAST",IFERROR(LOOKUP(2,1/($I7:$T7&lt;&gt;""),$I7:$T7),""),"")))</f>
        <v/>
      </c>
      <c r="V7" s="36">
        <f>IF($G7="","",IF($U7="","",IF($G7=0,IF($U7&lt;=0,1,0),IF($E7="↓",IFERROR($G7/$U7,0),IFERROR($U7/$G7,0)))))</f>
        <v/>
      </c>
      <c r="W7" s="16">
        <f>IF($V7="","—",IF($V7&gt;=1,"✅ محقق",IF($V7&gt;=0.85,"🟡 قريب","🔴 تحت الهدف")))</f>
        <v/>
      </c>
      <c r="X7" s="43" t="inlineStr"/>
      <c r="Y7" s="19" t="inlineStr"/>
    </row>
    <row r="8" ht="26" customHeight="1">
      <c r="A8" s="16" t="n">
        <v>5</v>
      </c>
      <c r="B8" s="19" t="inlineStr">
        <is>
          <t>الرقابة والتوريد</t>
        </is>
      </c>
      <c r="C8" s="19" t="inlineStr">
        <is>
          <t>التحقق من تطابق POS والنقدية</t>
        </is>
      </c>
      <c r="D8" s="38" t="inlineStr">
        <is>
          <t>%</t>
        </is>
      </c>
      <c r="E8" s="38" t="inlineStr">
        <is>
          <t>↑</t>
        </is>
      </c>
      <c r="F8" s="38" t="inlineStr">
        <is>
          <t>AVG</t>
        </is>
      </c>
      <c r="G8" s="44" t="n">
        <v>1</v>
      </c>
      <c r="H8" s="40" t="inlineStr">
        <is>
          <t>100%</t>
        </is>
      </c>
      <c r="I8" s="45" t="n"/>
      <c r="J8" s="45" t="n"/>
      <c r="K8" s="45" t="n"/>
      <c r="L8" s="45" t="n"/>
      <c r="M8" s="45" t="n"/>
      <c r="N8" s="45" t="n"/>
      <c r="O8" s="45" t="n"/>
      <c r="P8" s="45" t="n"/>
      <c r="Q8" s="45" t="n"/>
      <c r="R8" s="45" t="n"/>
      <c r="S8" s="45" t="n"/>
      <c r="T8" s="45" t="n"/>
      <c r="U8" s="46">
        <f>IF($F8="SUM",IF(COUNT($I8:$T8)=0,"",SUM($I8:$T8)),IF($F8="AVG",IFERROR(AVERAGE($I8:$T8),""),IF($F8="LAST",IFERROR(LOOKUP(2,1/($I8:$T8&lt;&gt;""),$I8:$T8),""),"")))</f>
        <v/>
      </c>
      <c r="V8" s="36">
        <f>IF($G8="","",IF($U8="","",IF($G8=0,IF($U8&lt;=0,1,0),IF($E8="↓",IFERROR($G8/$U8,0),IFERROR($U8/$G8,0)))))</f>
        <v/>
      </c>
      <c r="W8" s="16">
        <f>IF($V8="","—",IF($V8&gt;=1,"✅ محقق",IF($V8&gt;=0.85,"🟡 قريب","🔴 تحت الهدف")))</f>
        <v/>
      </c>
      <c r="X8" s="43" t="inlineStr"/>
      <c r="Y8" s="19" t="inlineStr"/>
    </row>
    <row r="9" ht="26" customHeight="1">
      <c r="A9" s="16" t="n">
        <v>6</v>
      </c>
      <c r="B9" s="19" t="inlineStr">
        <is>
          <t>الرقابة والتوريد</t>
        </is>
      </c>
      <c r="C9" s="19" t="inlineStr">
        <is>
          <t>متابعة طلبات التوريد وتسليم الوقود</t>
        </is>
      </c>
      <c r="D9" s="38" t="inlineStr">
        <is>
          <t>%</t>
        </is>
      </c>
      <c r="E9" s="38" t="inlineStr">
        <is>
          <t>↑</t>
        </is>
      </c>
      <c r="F9" s="38" t="inlineStr">
        <is>
          <t>AVG</t>
        </is>
      </c>
      <c r="G9" s="44" t="n">
        <v>1</v>
      </c>
      <c r="H9" s="40" t="inlineStr">
        <is>
          <t>100%</t>
        </is>
      </c>
      <c r="I9" s="45" t="n"/>
      <c r="J9" s="45" t="n"/>
      <c r="K9" s="45" t="n"/>
      <c r="L9" s="45" t="n"/>
      <c r="M9" s="45" t="n"/>
      <c r="N9" s="45" t="n"/>
      <c r="O9" s="45" t="n"/>
      <c r="P9" s="45" t="n"/>
      <c r="Q9" s="45" t="n"/>
      <c r="R9" s="45" t="n"/>
      <c r="S9" s="45" t="n"/>
      <c r="T9" s="45" t="n"/>
      <c r="U9" s="46">
        <f>IF($F9="SUM",IF(COUNT($I9:$T9)=0,"",SUM($I9:$T9)),IF($F9="AVG",IFERROR(AVERAGE($I9:$T9),""),IF($F9="LAST",IFERROR(LOOKUP(2,1/($I9:$T9&lt;&gt;""),$I9:$T9),""),"")))</f>
        <v/>
      </c>
      <c r="V9" s="36">
        <f>IF($G9="","",IF($U9="","",IF($G9=0,IF($U9&lt;=0,1,0),IF($E9="↓",IFERROR($G9/$U9,0),IFERROR($U9/$G9,0)))))</f>
        <v/>
      </c>
      <c r="W9" s="16">
        <f>IF($V9="","—",IF($V9&gt;=1,"✅ محقق",IF($V9&gt;=0.85,"🟡 قريب","🔴 تحت الهدف")))</f>
        <v/>
      </c>
      <c r="X9" s="43" t="inlineStr"/>
      <c r="Y9" s="19" t="inlineStr"/>
    </row>
    <row r="10" ht="26" customHeight="1">
      <c r="A10" s="16" t="n">
        <v>7</v>
      </c>
      <c r="B10" s="19" t="inlineStr">
        <is>
          <t>الرقابة والتوريد</t>
        </is>
      </c>
      <c r="C10" s="19" t="inlineStr">
        <is>
          <t>مراجعة نسبة جاهزية المضخات</t>
        </is>
      </c>
      <c r="D10" s="38" t="inlineStr">
        <is>
          <t>%</t>
        </is>
      </c>
      <c r="E10" s="38" t="inlineStr">
        <is>
          <t>↑</t>
        </is>
      </c>
      <c r="F10" s="38" t="inlineStr">
        <is>
          <t>AVG</t>
        </is>
      </c>
      <c r="G10" s="44" t="n">
        <v>0.97</v>
      </c>
      <c r="H10" s="40" t="inlineStr">
        <is>
          <t>≥ 97%</t>
        </is>
      </c>
      <c r="I10" s="45" t="n"/>
      <c r="J10" s="45" t="n"/>
      <c r="K10" s="45" t="n"/>
      <c r="L10" s="45" t="n"/>
      <c r="M10" s="45" t="n"/>
      <c r="N10" s="45" t="n"/>
      <c r="O10" s="45" t="n"/>
      <c r="P10" s="45" t="n"/>
      <c r="Q10" s="45" t="n"/>
      <c r="R10" s="45" t="n"/>
      <c r="S10" s="45" t="n"/>
      <c r="T10" s="45" t="n"/>
      <c r="U10" s="46">
        <f>IF($F10="SUM",IF(COUNT($I10:$T10)=0,"",SUM($I10:$T10)),IF($F10="AVG",IFERROR(AVERAGE($I10:$T10),""),IF($F10="LAST",IFERROR(LOOKUP(2,1/($I10:$T10&lt;&gt;""),$I10:$T10),""),"")))</f>
        <v/>
      </c>
      <c r="V10" s="36">
        <f>IF($G10="","",IF($U10="","",IF($G10=0,IF($U10&lt;=0,1,0),IF($E10="↓",IFERROR($G10/$U10,0),IFERROR($U10/$G10,0)))))</f>
        <v/>
      </c>
      <c r="W10" s="16">
        <f>IF($V10="","—",IF($V10&gt;=1,"✅ محقق",IF($V10&gt;=0.85,"🟡 قريب","🔴 تحت الهدف")))</f>
        <v/>
      </c>
      <c r="X10" s="43" t="inlineStr"/>
      <c r="Y10" s="19" t="inlineStr"/>
    </row>
    <row r="11" ht="26" customHeight="1">
      <c r="A11" s="16" t="n">
        <v>8</v>
      </c>
      <c r="B11" s="19" t="inlineStr">
        <is>
          <t>متابعة الموظفين</t>
        </is>
      </c>
      <c r="C11" s="19" t="inlineStr">
        <is>
          <t>تقييم أداء الموظفين بنموذج OP-F-51</t>
        </is>
      </c>
      <c r="D11" s="38" t="inlineStr">
        <is>
          <t>%</t>
        </is>
      </c>
      <c r="E11" s="38" t="inlineStr">
        <is>
          <t>↑</t>
        </is>
      </c>
      <c r="F11" s="38" t="inlineStr">
        <is>
          <t>AVG</t>
        </is>
      </c>
      <c r="G11" s="44" t="n">
        <v>1</v>
      </c>
      <c r="H11" s="40" t="inlineStr">
        <is>
          <t>100%</t>
        </is>
      </c>
      <c r="I11" s="45" t="n"/>
      <c r="J11" s="45" t="n"/>
      <c r="K11" s="45" t="n"/>
      <c r="L11" s="45" t="n"/>
      <c r="M11" s="45" t="n"/>
      <c r="N11" s="45" t="n"/>
      <c r="O11" s="45" t="n"/>
      <c r="P11" s="45" t="n"/>
      <c r="Q11" s="45" t="n"/>
      <c r="R11" s="45" t="n"/>
      <c r="S11" s="45" t="n"/>
      <c r="T11" s="45" t="n"/>
      <c r="U11" s="46">
        <f>IF($F11="SUM",IF(COUNT($I11:$T11)=0,"",SUM($I11:$T11)),IF($F11="AVG",IFERROR(AVERAGE($I11:$T11),""),IF($F11="LAST",IFERROR(LOOKUP(2,1/($I11:$T11&lt;&gt;""),$I11:$T11),""),"")))</f>
        <v/>
      </c>
      <c r="V11" s="36">
        <f>IF($G11="","",IF($U11="","",IF($G11=0,IF($U11&lt;=0,1,0),IF($E11="↓",IFERROR($G11/$U11,0),IFERROR($U11/$G11,0)))))</f>
        <v/>
      </c>
      <c r="W11" s="16">
        <f>IF($V11="","—",IF($V11&gt;=1,"✅ محقق",IF($V11&gt;=0.85,"🟡 قريب","🔴 تحت الهدف")))</f>
        <v/>
      </c>
      <c r="X11" s="43" t="inlineStr"/>
      <c r="Y11" s="19" t="inlineStr"/>
    </row>
    <row r="12" ht="26" customHeight="1">
      <c r="A12" s="16" t="n">
        <v>9</v>
      </c>
      <c r="B12" s="19" t="inlineStr">
        <is>
          <t>متابعة الموظفين</t>
        </is>
      </c>
      <c r="C12" s="19" t="inlineStr">
        <is>
          <t>متابعة الالتزام بالزي والمظهر</t>
        </is>
      </c>
      <c r="D12" s="38" t="inlineStr">
        <is>
          <t>%</t>
        </is>
      </c>
      <c r="E12" s="38" t="inlineStr">
        <is>
          <t>↑</t>
        </is>
      </c>
      <c r="F12" s="38" t="inlineStr">
        <is>
          <t>AVG</t>
        </is>
      </c>
      <c r="G12" s="44" t="n">
        <v>1</v>
      </c>
      <c r="H12" s="40" t="inlineStr">
        <is>
          <t>100%</t>
        </is>
      </c>
      <c r="I12" s="45" t="n"/>
      <c r="J12" s="45" t="n"/>
      <c r="K12" s="45" t="n"/>
      <c r="L12" s="45" t="n"/>
      <c r="M12" s="45" t="n"/>
      <c r="N12" s="45" t="n"/>
      <c r="O12" s="45" t="n"/>
      <c r="P12" s="45" t="n"/>
      <c r="Q12" s="45" t="n"/>
      <c r="R12" s="45" t="n"/>
      <c r="S12" s="45" t="n"/>
      <c r="T12" s="45" t="n"/>
      <c r="U12" s="46">
        <f>IF($F12="SUM",IF(COUNT($I12:$T12)=0,"",SUM($I12:$T12)),IF($F12="AVG",IFERROR(AVERAGE($I12:$T12),""),IF($F12="LAST",IFERROR(LOOKUP(2,1/($I12:$T12&lt;&gt;""),$I12:$T12),""),"")))</f>
        <v/>
      </c>
      <c r="V12" s="36">
        <f>IF($G12="","",IF($U12="","",IF($G12=0,IF($U12&lt;=0,1,0),IF($E12="↓",IFERROR($G12/$U12,0),IFERROR($U12/$G12,0)))))</f>
        <v/>
      </c>
      <c r="W12" s="16">
        <f>IF($V12="","—",IF($V12&gt;=1,"✅ محقق",IF($V12&gt;=0.85,"🟡 قريب","🔴 تحت الهدف")))</f>
        <v/>
      </c>
      <c r="X12" s="43" t="inlineStr"/>
      <c r="Y12" s="19" t="inlineStr"/>
    </row>
    <row r="13" ht="26" customHeight="1">
      <c r="A13" s="16" t="n">
        <v>10</v>
      </c>
      <c r="B13" s="19" t="inlineStr">
        <is>
          <t>متابعة الموظفين</t>
        </is>
      </c>
      <c r="C13" s="19" t="inlineStr">
        <is>
          <t>حالات مخالفة السلامة دون إجراء</t>
        </is>
      </c>
      <c r="D13" s="38" t="inlineStr">
        <is>
          <t>حالة</t>
        </is>
      </c>
      <c r="E13" s="38" t="inlineStr">
        <is>
          <t>↓</t>
        </is>
      </c>
      <c r="F13" s="38" t="inlineStr">
        <is>
          <t>SUM</t>
        </is>
      </c>
      <c r="G13" s="39" t="n">
        <v>0</v>
      </c>
      <c r="H13" s="40" t="inlineStr">
        <is>
          <t>0 حالة</t>
        </is>
      </c>
      <c r="I13" s="41" t="n"/>
      <c r="J13" s="41" t="n"/>
      <c r="K13" s="41" t="n"/>
      <c r="L13" s="41" t="n"/>
      <c r="M13" s="41" t="n"/>
      <c r="N13" s="41" t="n"/>
      <c r="O13" s="41" t="n"/>
      <c r="P13" s="41" t="n"/>
      <c r="Q13" s="41" t="n"/>
      <c r="R13" s="41" t="n"/>
      <c r="S13" s="41" t="n"/>
      <c r="T13" s="41" t="n"/>
      <c r="U13" s="42">
        <f>IF($F13="SUM",IF(COUNT($I13:$T13)=0,"",SUM($I13:$T13)),IF($F13="AVG",IFERROR(AVERAGE($I13:$T13),""),IF($F13="LAST",IFERROR(LOOKUP(2,1/($I13:$T13&lt;&gt;""),$I13:$T13),""),"")))</f>
        <v/>
      </c>
      <c r="V13" s="36">
        <f>IF($G13="","",IF($U13="","",IF($G13=0,IF($U13&lt;=0,1,0),IF($E13="↓",IFERROR($G13/$U13,0),IFERROR($U13/$G13,0)))))</f>
        <v/>
      </c>
      <c r="W13" s="16">
        <f>IF($V13="","—",IF($V13&gt;=1,"✅ محقق",IF($V13&gt;=0.85,"🟡 قريب","🔴 تحت الهدف")))</f>
        <v/>
      </c>
      <c r="X13" s="43" t="inlineStr"/>
      <c r="Y13" s="19" t="inlineStr"/>
    </row>
    <row r="14" ht="26" customHeight="1">
      <c r="A14" s="16" t="n">
        <v>11</v>
      </c>
      <c r="B14" s="19" t="inlineStr">
        <is>
          <t>التقارير</t>
        </is>
      </c>
      <c r="C14" s="19" t="inlineStr">
        <is>
          <t>رفع التقارير الشهرية في موعدها</t>
        </is>
      </c>
      <c r="D14" s="38" t="inlineStr">
        <is>
          <t>%</t>
        </is>
      </c>
      <c r="E14" s="38" t="inlineStr">
        <is>
          <t>↑</t>
        </is>
      </c>
      <c r="F14" s="38" t="inlineStr">
        <is>
          <t>AVG</t>
        </is>
      </c>
      <c r="G14" s="44" t="n">
        <v>1</v>
      </c>
      <c r="H14" s="40" t="inlineStr">
        <is>
          <t>100%</t>
        </is>
      </c>
      <c r="I14" s="45" t="n"/>
      <c r="J14" s="45" t="n"/>
      <c r="K14" s="45" t="n"/>
      <c r="L14" s="45" t="n"/>
      <c r="M14" s="45" t="n"/>
      <c r="N14" s="45" t="n"/>
      <c r="O14" s="45" t="n"/>
      <c r="P14" s="45" t="n"/>
      <c r="Q14" s="45" t="n"/>
      <c r="R14" s="45" t="n"/>
      <c r="S14" s="45" t="n"/>
      <c r="T14" s="45" t="n"/>
      <c r="U14" s="46">
        <f>IF($F14="SUM",IF(COUNT($I14:$T14)=0,"",SUM($I14:$T14)),IF($F14="AVG",IFERROR(AVERAGE($I14:$T14),""),IF($F14="LAST",IFERROR(LOOKUP(2,1/($I14:$T14&lt;&gt;""),$I14:$T14),""),"")))</f>
        <v/>
      </c>
      <c r="V14" s="36">
        <f>IF($G14="","",IF($U14="","",IF($G14=0,IF($U14&lt;=0,1,0),IF($E14="↓",IFERROR($G14/$U14,0),IFERROR($U14/$G14,0)))))</f>
        <v/>
      </c>
      <c r="W14" s="16">
        <f>IF($V14="","—",IF($V14&gt;=1,"✅ محقق",IF($V14&gt;=0.85,"🟡 قريب","🔴 تحت الهدف")))</f>
        <v/>
      </c>
      <c r="X14" s="43" t="inlineStr"/>
      <c r="Y14" s="19" t="inlineStr"/>
    </row>
    <row r="15" ht="26" customHeight="1">
      <c r="A15" s="16" t="n">
        <v>12</v>
      </c>
      <c r="B15" s="19" t="inlineStr">
        <is>
          <t>التقارير</t>
        </is>
      </c>
      <c r="C15" s="19" t="inlineStr">
        <is>
          <t>متابعة تجديد تراخيص المحطات</t>
        </is>
      </c>
      <c r="D15" s="38" t="inlineStr">
        <is>
          <t>%</t>
        </is>
      </c>
      <c r="E15" s="38" t="inlineStr">
        <is>
          <t>↑</t>
        </is>
      </c>
      <c r="F15" s="38" t="inlineStr">
        <is>
          <t>AVG</t>
        </is>
      </c>
      <c r="G15" s="44" t="n">
        <v>1</v>
      </c>
      <c r="H15" s="40" t="inlineStr">
        <is>
          <t>100%</t>
        </is>
      </c>
      <c r="I15" s="45" t="n"/>
      <c r="J15" s="45" t="n"/>
      <c r="K15" s="45" t="n"/>
      <c r="L15" s="45" t="n"/>
      <c r="M15" s="45" t="n"/>
      <c r="N15" s="45" t="n"/>
      <c r="O15" s="45" t="n"/>
      <c r="P15" s="45" t="n"/>
      <c r="Q15" s="45" t="n"/>
      <c r="R15" s="45" t="n"/>
      <c r="S15" s="45" t="n"/>
      <c r="T15" s="45" t="n"/>
      <c r="U15" s="46">
        <f>IF($F15="SUM",IF(COUNT($I15:$T15)=0,"",SUM($I15:$T15)),IF($F15="AVG",IFERROR(AVERAGE($I15:$T15),""),IF($F15="LAST",IFERROR(LOOKUP(2,1/($I15:$T15&lt;&gt;""),$I15:$T15),""),"")))</f>
        <v/>
      </c>
      <c r="V15" s="36">
        <f>IF($G15="","",IF($U15="","",IF($G15=0,IF($U15&lt;=0,1,0),IF($E15="↓",IFERROR($G15/$U15,0),IFERROR($U15/$G15,0)))))</f>
        <v/>
      </c>
      <c r="W15" s="16">
        <f>IF($V15="","—",IF($V15&gt;=1,"✅ محقق",IF($V15&gt;=0.85,"🟡 قريب","🔴 تحت الهدف")))</f>
        <v/>
      </c>
      <c r="X15" s="43" t="inlineStr"/>
      <c r="Y15" s="19" t="inlineStr"/>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Y2"/>
    <mergeCell ref="A1:Y1"/>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13"/>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s>
  <sheetData>
    <row r="1" ht="30" customHeight="1">
      <c r="A1" s="13" t="inlineStr">
        <is>
          <t>مؤشرات الأداء — عامل تعبئة الوقود (شهري · SOP-OM-08)</t>
        </is>
      </c>
    </row>
    <row r="2">
      <c r="A2" s="37" t="inlineStr">
        <is>
          <t>🟩 الخلايا الخضراء = إدخال شهري للمسؤول  ·  باقي الأعمدة محسوبة/مقفولة  ·  كل مؤشر يغذّي ركيزته ومشروعه</t>
        </is>
      </c>
    </row>
    <row r="3" ht="34" customHeight="1">
      <c r="A3" s="15" t="inlineStr">
        <is>
          <t>#</t>
        </is>
      </c>
      <c r="B3" s="15" t="inlineStr">
        <is>
          <t>المحور</t>
        </is>
      </c>
      <c r="C3" s="15" t="inlineStr">
        <is>
          <t>المؤشر</t>
        </is>
      </c>
      <c r="D3" s="15" t="inlineStr">
        <is>
          <t>الوحدة</t>
        </is>
      </c>
      <c r="E3" s="15" t="inlineStr">
        <is>
          <t>القطبية</t>
        </is>
      </c>
      <c r="F3" s="15" t="inlineStr">
        <is>
          <t>التجميع</t>
        </is>
      </c>
      <c r="G3" s="15" t="inlineStr">
        <is>
          <t>المستهدف</t>
        </is>
      </c>
      <c r="H3" s="15" t="inlineStr">
        <is>
          <t>نص المستهدف</t>
        </is>
      </c>
      <c r="I3" s="15" t="inlineStr">
        <is>
          <t>يناير</t>
        </is>
      </c>
      <c r="J3" s="15" t="inlineStr">
        <is>
          <t>فبراير</t>
        </is>
      </c>
      <c r="K3" s="15" t="inlineStr">
        <is>
          <t>مارس</t>
        </is>
      </c>
      <c r="L3" s="15" t="inlineStr">
        <is>
          <t>أبريل</t>
        </is>
      </c>
      <c r="M3" s="15" t="inlineStr">
        <is>
          <t>مايو</t>
        </is>
      </c>
      <c r="N3" s="15" t="inlineStr">
        <is>
          <t>يونيو</t>
        </is>
      </c>
      <c r="O3" s="15" t="inlineStr">
        <is>
          <t>يوليو</t>
        </is>
      </c>
      <c r="P3" s="15" t="inlineStr">
        <is>
          <t>أغسطس</t>
        </is>
      </c>
      <c r="Q3" s="15" t="inlineStr">
        <is>
          <t>سبتمبر</t>
        </is>
      </c>
      <c r="R3" s="15" t="inlineStr">
        <is>
          <t>أكتوبر</t>
        </is>
      </c>
      <c r="S3" s="15" t="inlineStr">
        <is>
          <t>نوفمبر</t>
        </is>
      </c>
      <c r="T3" s="15" t="inlineStr">
        <is>
          <t>ديسمبر</t>
        </is>
      </c>
      <c r="U3" s="15" t="inlineStr">
        <is>
          <t>YTD</t>
        </is>
      </c>
      <c r="V3" s="15" t="inlineStr">
        <is>
          <t>نسبة التحقيق</t>
        </is>
      </c>
      <c r="W3" s="15" t="inlineStr">
        <is>
          <t>الحالة</t>
        </is>
      </c>
      <c r="X3" s="15" t="inlineStr">
        <is>
          <t>الركيزة (5س)</t>
        </is>
      </c>
      <c r="Y3" s="15" t="inlineStr">
        <is>
          <t>المشروع (الخارطة)</t>
        </is>
      </c>
    </row>
    <row r="4" ht="26" customHeight="1">
      <c r="A4" s="16" t="n">
        <v>1</v>
      </c>
      <c r="B4" s="19" t="inlineStr">
        <is>
          <t>الخدمة والسرعة</t>
        </is>
      </c>
      <c r="C4" s="19" t="inlineStr">
        <is>
          <t>وقت تعبئة الوقود للعميل</t>
        </is>
      </c>
      <c r="D4" s="38" t="inlineStr">
        <is>
          <t>دقيقة</t>
        </is>
      </c>
      <c r="E4" s="38" t="inlineStr">
        <is>
          <t>↓</t>
        </is>
      </c>
      <c r="F4" s="38" t="inlineStr">
        <is>
          <t>AVG</t>
        </is>
      </c>
      <c r="G4" s="49" t="n">
        <v>5</v>
      </c>
      <c r="H4" s="40" t="inlineStr">
        <is>
          <t>≤ 5 دقائق</t>
        </is>
      </c>
      <c r="I4" s="50" t="n"/>
      <c r="J4" s="50" t="n"/>
      <c r="K4" s="50" t="n"/>
      <c r="L4" s="50" t="n"/>
      <c r="M4" s="50" t="n"/>
      <c r="N4" s="50" t="n"/>
      <c r="O4" s="50" t="n"/>
      <c r="P4" s="50" t="n"/>
      <c r="Q4" s="50" t="n"/>
      <c r="R4" s="50" t="n"/>
      <c r="S4" s="50" t="n"/>
      <c r="T4" s="50" t="n"/>
      <c r="U4" s="51">
        <f>IF($F4="SUM",IF(COUNT($I4:$T4)=0,"",SUM($I4:$T4)),IF($F4="AVG",IFERROR(AVERAGE($I4:$T4),""),IF($F4="LAST",IFERROR(LOOKUP(2,1/($I4:$T4&lt;&gt;""),$I4:$T4),""),"")))</f>
        <v/>
      </c>
      <c r="V4" s="36">
        <f>IF($G4="","",IF($U4="","",IF($G4=0,IF($U4&lt;=0,1,0),IF($E4="↓",IFERROR($G4/$U4,0),IFERROR($U4/$G4,0)))))</f>
        <v/>
      </c>
      <c r="W4" s="16">
        <f>IF($V4="","—",IF($V4&gt;=1,"✅ محقق",IF($V4&gt;=0.85,"🟡 قريب","🔴 تحت الهدف")))</f>
        <v/>
      </c>
      <c r="X4" s="43" t="inlineStr"/>
      <c r="Y4" s="19" t="inlineStr"/>
    </row>
    <row r="5" ht="26" customHeight="1">
      <c r="A5" s="16" t="n">
        <v>2</v>
      </c>
      <c r="B5" s="19" t="inlineStr">
        <is>
          <t>الخدمة والسرعة</t>
        </is>
      </c>
      <c r="C5" s="19" t="inlineStr">
        <is>
          <t>الترحيب بالعميل عند الوصول</t>
        </is>
      </c>
      <c r="D5" s="38" t="inlineStr">
        <is>
          <t>%</t>
        </is>
      </c>
      <c r="E5" s="38" t="inlineStr">
        <is>
          <t>↑</t>
        </is>
      </c>
      <c r="F5" s="38" t="inlineStr">
        <is>
          <t>AVG</t>
        </is>
      </c>
      <c r="G5" s="44" t="n">
        <v>1</v>
      </c>
      <c r="H5" s="40" t="inlineStr">
        <is>
          <t>100%</t>
        </is>
      </c>
      <c r="I5" s="45" t="n"/>
      <c r="J5" s="45" t="n"/>
      <c r="K5" s="45" t="n"/>
      <c r="L5" s="45" t="n"/>
      <c r="M5" s="45" t="n"/>
      <c r="N5" s="45" t="n"/>
      <c r="O5" s="45" t="n"/>
      <c r="P5" s="45" t="n"/>
      <c r="Q5" s="45" t="n"/>
      <c r="R5" s="45" t="n"/>
      <c r="S5" s="45" t="n"/>
      <c r="T5" s="45" t="n"/>
      <c r="U5" s="46">
        <f>IF($F5="SUM",IF(COUNT($I5:$T5)=0,"",SUM($I5:$T5)),IF($F5="AVG",IFERROR(AVERAGE($I5:$T5),""),IF($F5="LAST",IFERROR(LOOKUP(2,1/($I5:$T5&lt;&gt;""),$I5:$T5),""),"")))</f>
        <v/>
      </c>
      <c r="V5" s="36">
        <f>IF($G5="","",IF($U5="","",IF($G5=0,IF($U5&lt;=0,1,0),IF($E5="↓",IFERROR($G5/$U5,0),IFERROR($U5/$G5,0)))))</f>
        <v/>
      </c>
      <c r="W5" s="16">
        <f>IF($V5="","—",IF($V5&gt;=1,"✅ محقق",IF($V5&gt;=0.85,"🟡 قريب","🔴 تحت الهدف")))</f>
        <v/>
      </c>
      <c r="X5" s="43" t="inlineStr"/>
      <c r="Y5" s="19" t="inlineStr"/>
    </row>
    <row r="6" ht="26" customHeight="1">
      <c r="A6" s="16" t="n">
        <v>3</v>
      </c>
      <c r="B6" s="19" t="inlineStr">
        <is>
          <t>الخدمة والسرعة</t>
        </is>
      </c>
      <c r="C6" s="19" t="inlineStr">
        <is>
          <t>إعادة تركيب غطاء الخزان</t>
        </is>
      </c>
      <c r="D6" s="38" t="inlineStr">
        <is>
          <t>%</t>
        </is>
      </c>
      <c r="E6" s="38" t="inlineStr">
        <is>
          <t>↑</t>
        </is>
      </c>
      <c r="F6" s="38" t="inlineStr">
        <is>
          <t>AVG</t>
        </is>
      </c>
      <c r="G6" s="44" t="n">
        <v>1</v>
      </c>
      <c r="H6" s="40" t="inlineStr">
        <is>
          <t>100%</t>
        </is>
      </c>
      <c r="I6" s="45" t="n"/>
      <c r="J6" s="45" t="n"/>
      <c r="K6" s="45" t="n"/>
      <c r="L6" s="45" t="n"/>
      <c r="M6" s="45" t="n"/>
      <c r="N6" s="45" t="n"/>
      <c r="O6" s="45" t="n"/>
      <c r="P6" s="45" t="n"/>
      <c r="Q6" s="45" t="n"/>
      <c r="R6" s="45" t="n"/>
      <c r="S6" s="45" t="n"/>
      <c r="T6" s="45" t="n"/>
      <c r="U6" s="46">
        <f>IF($F6="SUM",IF(COUNT($I6:$T6)=0,"",SUM($I6:$T6)),IF($F6="AVG",IFERROR(AVERAGE($I6:$T6),""),IF($F6="LAST",IFERROR(LOOKUP(2,1/($I6:$T6&lt;&gt;""),$I6:$T6),""),"")))</f>
        <v/>
      </c>
      <c r="V6" s="36">
        <f>IF($G6="","",IF($U6="","",IF($G6=0,IF($U6&lt;=0,1,0),IF($E6="↓",IFERROR($G6/$U6,0),IFERROR($U6/$G6,0)))))</f>
        <v/>
      </c>
      <c r="W6" s="16">
        <f>IF($V6="","—",IF($V6&gt;=1,"✅ محقق",IF($V6&gt;=0.85,"🟡 قريب","🔴 تحت الهدف")))</f>
        <v/>
      </c>
      <c r="X6" s="43" t="inlineStr"/>
      <c r="Y6" s="19" t="inlineStr"/>
    </row>
    <row r="7" ht="26" customHeight="1">
      <c r="A7" s="16" t="n">
        <v>4</v>
      </c>
      <c r="B7" s="19" t="inlineStr">
        <is>
          <t>الخدمة والسرعة</t>
        </is>
      </c>
      <c r="C7" s="19" t="inlineStr">
        <is>
          <t>عرض إيصال الدفع على العميل</t>
        </is>
      </c>
      <c r="D7" s="38" t="inlineStr">
        <is>
          <t>%</t>
        </is>
      </c>
      <c r="E7" s="38" t="inlineStr">
        <is>
          <t>↑</t>
        </is>
      </c>
      <c r="F7" s="38" t="inlineStr">
        <is>
          <t>AVG</t>
        </is>
      </c>
      <c r="G7" s="44" t="n">
        <v>1</v>
      </c>
      <c r="H7" s="40" t="inlineStr">
        <is>
          <t>100%</t>
        </is>
      </c>
      <c r="I7" s="45" t="n"/>
      <c r="J7" s="45" t="n"/>
      <c r="K7" s="45" t="n"/>
      <c r="L7" s="45" t="n"/>
      <c r="M7" s="45" t="n"/>
      <c r="N7" s="45" t="n"/>
      <c r="O7" s="45" t="n"/>
      <c r="P7" s="45" t="n"/>
      <c r="Q7" s="45" t="n"/>
      <c r="R7" s="45" t="n"/>
      <c r="S7" s="45" t="n"/>
      <c r="T7" s="45" t="n"/>
      <c r="U7" s="46">
        <f>IF($F7="SUM",IF(COUNT($I7:$T7)=0,"",SUM($I7:$T7)),IF($F7="AVG",IFERROR(AVERAGE($I7:$T7),""),IF($F7="LAST",IFERROR(LOOKUP(2,1/($I7:$T7&lt;&gt;""),$I7:$T7),""),"")))</f>
        <v/>
      </c>
      <c r="V7" s="36">
        <f>IF($G7="","",IF($U7="","",IF($G7=0,IF($U7&lt;=0,1,0),IF($E7="↓",IFERROR($G7/$U7,0),IFERROR($U7/$G7,0)))))</f>
        <v/>
      </c>
      <c r="W7" s="16">
        <f>IF($V7="","—",IF($V7&gt;=1,"✅ محقق",IF($V7&gt;=0.85,"🟡 قريب","🔴 تحت الهدف")))</f>
        <v/>
      </c>
      <c r="X7" s="43" t="inlineStr"/>
      <c r="Y7" s="19" t="inlineStr"/>
    </row>
    <row r="8" ht="26" customHeight="1">
      <c r="A8" s="16" t="n">
        <v>5</v>
      </c>
      <c r="B8" s="19" t="inlineStr">
        <is>
          <t>المظهر والالتزام</t>
        </is>
      </c>
      <c r="C8" s="19" t="inlineStr">
        <is>
          <t>الالتزام بالزي الرسمي كاملاً</t>
        </is>
      </c>
      <c r="D8" s="38" t="inlineStr">
        <is>
          <t>%</t>
        </is>
      </c>
      <c r="E8" s="38" t="inlineStr">
        <is>
          <t>↑</t>
        </is>
      </c>
      <c r="F8" s="38" t="inlineStr">
        <is>
          <t>AVG</t>
        </is>
      </c>
      <c r="G8" s="44" t="n">
        <v>1</v>
      </c>
      <c r="H8" s="40" t="inlineStr">
        <is>
          <t>100%</t>
        </is>
      </c>
      <c r="I8" s="45" t="n"/>
      <c r="J8" s="45" t="n"/>
      <c r="K8" s="45" t="n"/>
      <c r="L8" s="45" t="n"/>
      <c r="M8" s="45" t="n"/>
      <c r="N8" s="45" t="n"/>
      <c r="O8" s="45" t="n"/>
      <c r="P8" s="45" t="n"/>
      <c r="Q8" s="45" t="n"/>
      <c r="R8" s="45" t="n"/>
      <c r="S8" s="45" t="n"/>
      <c r="T8" s="45" t="n"/>
      <c r="U8" s="46">
        <f>IF($F8="SUM",IF(COUNT($I8:$T8)=0,"",SUM($I8:$T8)),IF($F8="AVG",IFERROR(AVERAGE($I8:$T8),""),IF($F8="LAST",IFERROR(LOOKUP(2,1/($I8:$T8&lt;&gt;""),$I8:$T8),""),"")))</f>
        <v/>
      </c>
      <c r="V8" s="36">
        <f>IF($G8="","",IF($U8="","",IF($G8=0,IF($U8&lt;=0,1,0),IF($E8="↓",IFERROR($G8/$U8,0),IFERROR($U8/$G8,0)))))</f>
        <v/>
      </c>
      <c r="W8" s="16">
        <f>IF($V8="","—",IF($V8&gt;=1,"✅ محقق",IF($V8&gt;=0.85,"🟡 قريب","🔴 تحت الهدف")))</f>
        <v/>
      </c>
      <c r="X8" s="43" t="inlineStr"/>
      <c r="Y8" s="19" t="inlineStr"/>
    </row>
    <row r="9" ht="26" customHeight="1">
      <c r="A9" s="16" t="n">
        <v>6</v>
      </c>
      <c r="B9" s="19" t="inlineStr">
        <is>
          <t>المظهر والالتزام</t>
        </is>
      </c>
      <c r="C9" s="19" t="inlineStr">
        <is>
          <t>النظافة الشخصية والمظهر العام</t>
        </is>
      </c>
      <c r="D9" s="38" t="inlineStr">
        <is>
          <t>%</t>
        </is>
      </c>
      <c r="E9" s="38" t="inlineStr">
        <is>
          <t>↑</t>
        </is>
      </c>
      <c r="F9" s="38" t="inlineStr">
        <is>
          <t>AVG</t>
        </is>
      </c>
      <c r="G9" s="44" t="n">
        <v>1</v>
      </c>
      <c r="H9" s="40" t="inlineStr">
        <is>
          <t>100%</t>
        </is>
      </c>
      <c r="I9" s="45" t="n"/>
      <c r="J9" s="45" t="n"/>
      <c r="K9" s="45" t="n"/>
      <c r="L9" s="45" t="n"/>
      <c r="M9" s="45" t="n"/>
      <c r="N9" s="45" t="n"/>
      <c r="O9" s="45" t="n"/>
      <c r="P9" s="45" t="n"/>
      <c r="Q9" s="45" t="n"/>
      <c r="R9" s="45" t="n"/>
      <c r="S9" s="45" t="n"/>
      <c r="T9" s="45" t="n"/>
      <c r="U9" s="46">
        <f>IF($F9="SUM",IF(COUNT($I9:$T9)=0,"",SUM($I9:$T9)),IF($F9="AVG",IFERROR(AVERAGE($I9:$T9),""),IF($F9="LAST",IFERROR(LOOKUP(2,1/($I9:$T9&lt;&gt;""),$I9:$T9),""),"")))</f>
        <v/>
      </c>
      <c r="V9" s="36">
        <f>IF($G9="","",IF($U9="","",IF($G9=0,IF($U9&lt;=0,1,0),IF($E9="↓",IFERROR($G9/$U9,0),IFERROR($U9/$G9,0)))))</f>
        <v/>
      </c>
      <c r="W9" s="16">
        <f>IF($V9="","—",IF($V9&gt;=1,"✅ محقق",IF($V9&gt;=0.85,"🟡 قريب","🔴 تحت الهدف")))</f>
        <v/>
      </c>
      <c r="X9" s="43" t="inlineStr"/>
      <c r="Y9" s="19" t="inlineStr"/>
    </row>
    <row r="10" ht="26" customHeight="1">
      <c r="A10" s="16" t="n">
        <v>7</v>
      </c>
      <c r="B10" s="19" t="inlineStr">
        <is>
          <t>المظهر والالتزام</t>
        </is>
      </c>
      <c r="C10" s="19" t="inlineStr">
        <is>
          <t>حالات استخدام الجوال أثناء العمل</t>
        </is>
      </c>
      <c r="D10" s="38" t="inlineStr">
        <is>
          <t>حالة</t>
        </is>
      </c>
      <c r="E10" s="38" t="inlineStr">
        <is>
          <t>↓</t>
        </is>
      </c>
      <c r="F10" s="38" t="inlineStr">
        <is>
          <t>SUM</t>
        </is>
      </c>
      <c r="G10" s="39" t="n">
        <v>0</v>
      </c>
      <c r="H10" s="40" t="inlineStr">
        <is>
          <t>0 حالة</t>
        </is>
      </c>
      <c r="I10" s="41" t="n"/>
      <c r="J10" s="41" t="n"/>
      <c r="K10" s="41" t="n"/>
      <c r="L10" s="41" t="n"/>
      <c r="M10" s="41" t="n"/>
      <c r="N10" s="41" t="n"/>
      <c r="O10" s="41" t="n"/>
      <c r="P10" s="41" t="n"/>
      <c r="Q10" s="41" t="n"/>
      <c r="R10" s="41" t="n"/>
      <c r="S10" s="41" t="n"/>
      <c r="T10" s="41" t="n"/>
      <c r="U10" s="42">
        <f>IF($F10="SUM",IF(COUNT($I10:$T10)=0,"",SUM($I10:$T10)),IF($F10="AVG",IFERROR(AVERAGE($I10:$T10),""),IF($F10="LAST",IFERROR(LOOKUP(2,1/($I10:$T10&lt;&gt;""),$I10:$T10),""),"")))</f>
        <v/>
      </c>
      <c r="V10" s="36">
        <f>IF($G10="","",IF($U10="","",IF($G10=0,IF($U10&lt;=0,1,0),IF($E10="↓",IFERROR($G10/$U10,0),IFERROR($U10/$G10,0)))))</f>
        <v/>
      </c>
      <c r="W10" s="16">
        <f>IF($V10="","—",IF($V10&gt;=1,"✅ محقق",IF($V10&gt;=0.85,"🟡 قريب","🔴 تحت الهدف")))</f>
        <v/>
      </c>
      <c r="X10" s="43" t="inlineStr"/>
      <c r="Y10" s="19" t="inlineStr"/>
    </row>
    <row r="11" ht="26" customHeight="1">
      <c r="A11" s="16" t="n">
        <v>8</v>
      </c>
      <c r="B11" s="19" t="inlineStr">
        <is>
          <t>الدقة والسلامة</t>
        </is>
      </c>
      <c r="C11" s="19" t="inlineStr">
        <is>
          <t>دقة نوع الوقود المُضخ</t>
        </is>
      </c>
      <c r="D11" s="38" t="inlineStr">
        <is>
          <t>%</t>
        </is>
      </c>
      <c r="E11" s="38" t="inlineStr">
        <is>
          <t>↑</t>
        </is>
      </c>
      <c r="F11" s="38" t="inlineStr">
        <is>
          <t>AVG</t>
        </is>
      </c>
      <c r="G11" s="44" t="n">
        <v>1</v>
      </c>
      <c r="H11" s="40" t="inlineStr">
        <is>
          <t>100%</t>
        </is>
      </c>
      <c r="I11" s="45" t="n"/>
      <c r="J11" s="45" t="n"/>
      <c r="K11" s="45" t="n"/>
      <c r="L11" s="45" t="n"/>
      <c r="M11" s="45" t="n"/>
      <c r="N11" s="45" t="n"/>
      <c r="O11" s="45" t="n"/>
      <c r="P11" s="45" t="n"/>
      <c r="Q11" s="45" t="n"/>
      <c r="R11" s="45" t="n"/>
      <c r="S11" s="45" t="n"/>
      <c r="T11" s="45" t="n"/>
      <c r="U11" s="46">
        <f>IF($F11="SUM",IF(COUNT($I11:$T11)=0,"",SUM($I11:$T11)),IF($F11="AVG",IFERROR(AVERAGE($I11:$T11),""),IF($F11="LAST",IFERROR(LOOKUP(2,1/($I11:$T11&lt;&gt;""),$I11:$T11),""),"")))</f>
        <v/>
      </c>
      <c r="V11" s="36">
        <f>IF($G11="","",IF($U11="","",IF($G11=0,IF($U11&lt;=0,1,0),IF($E11="↓",IFERROR($G11/$U11,0),IFERROR($U11/$G11,0)))))</f>
        <v/>
      </c>
      <c r="W11" s="16">
        <f>IF($V11="","—",IF($V11&gt;=1,"✅ محقق",IF($V11&gt;=0.85,"🟡 قريب","🔴 تحت الهدف")))</f>
        <v/>
      </c>
      <c r="X11" s="43" t="inlineStr"/>
      <c r="Y11" s="19" t="inlineStr"/>
    </row>
    <row r="12" ht="26" customHeight="1">
      <c r="A12" s="16" t="n">
        <v>9</v>
      </c>
      <c r="B12" s="19" t="inlineStr">
        <is>
          <t>الدقة والسلامة</t>
        </is>
      </c>
      <c r="C12" s="19" t="inlineStr">
        <is>
          <t>إغلاق المضخة عند اكتمال الكمية</t>
        </is>
      </c>
      <c r="D12" s="38" t="inlineStr">
        <is>
          <t>%</t>
        </is>
      </c>
      <c r="E12" s="38" t="inlineStr">
        <is>
          <t>↑</t>
        </is>
      </c>
      <c r="F12" s="38" t="inlineStr">
        <is>
          <t>AVG</t>
        </is>
      </c>
      <c r="G12" s="44" t="n">
        <v>1</v>
      </c>
      <c r="H12" s="40" t="inlineStr">
        <is>
          <t>100%</t>
        </is>
      </c>
      <c r="I12" s="45" t="n"/>
      <c r="J12" s="45" t="n"/>
      <c r="K12" s="45" t="n"/>
      <c r="L12" s="45" t="n"/>
      <c r="M12" s="45" t="n"/>
      <c r="N12" s="45" t="n"/>
      <c r="O12" s="45" t="n"/>
      <c r="P12" s="45" t="n"/>
      <c r="Q12" s="45" t="n"/>
      <c r="R12" s="45" t="n"/>
      <c r="S12" s="45" t="n"/>
      <c r="T12" s="45" t="n"/>
      <c r="U12" s="46">
        <f>IF($F12="SUM",IF(COUNT($I12:$T12)=0,"",SUM($I12:$T12)),IF($F12="AVG",IFERROR(AVERAGE($I12:$T12),""),IF($F12="LAST",IFERROR(LOOKUP(2,1/($I12:$T12&lt;&gt;""),$I12:$T12),""),"")))</f>
        <v/>
      </c>
      <c r="V12" s="36">
        <f>IF($G12="","",IF($U12="","",IF($G12=0,IF($U12&lt;=0,1,0),IF($E12="↓",IFERROR($G12/$U12,0),IFERROR($U12/$G12,0)))))</f>
        <v/>
      </c>
      <c r="W12" s="16">
        <f>IF($V12="","—",IF($V12&gt;=1,"✅ محقق",IF($V12&gt;=0.85,"🟡 قريب","🔴 تحت الهدف")))</f>
        <v/>
      </c>
      <c r="X12" s="43" t="inlineStr"/>
      <c r="Y12" s="19" t="inlineStr"/>
    </row>
    <row r="13" ht="26" customHeight="1">
      <c r="A13" s="16" t="n">
        <v>10</v>
      </c>
      <c r="B13" s="19" t="inlineStr">
        <is>
          <t>الدقة والسلامة</t>
        </is>
      </c>
      <c r="C13" s="19" t="inlineStr">
        <is>
          <t>الالتزام بإجراءات السلامة عند الضخ</t>
        </is>
      </c>
      <c r="D13" s="38" t="inlineStr">
        <is>
          <t>%</t>
        </is>
      </c>
      <c r="E13" s="38" t="inlineStr">
        <is>
          <t>↑</t>
        </is>
      </c>
      <c r="F13" s="38" t="inlineStr">
        <is>
          <t>AVG</t>
        </is>
      </c>
      <c r="G13" s="44" t="n">
        <v>1</v>
      </c>
      <c r="H13" s="40" t="inlineStr">
        <is>
          <t>100%</t>
        </is>
      </c>
      <c r="I13" s="45" t="n"/>
      <c r="J13" s="45" t="n"/>
      <c r="K13" s="45" t="n"/>
      <c r="L13" s="45" t="n"/>
      <c r="M13" s="45" t="n"/>
      <c r="N13" s="45" t="n"/>
      <c r="O13" s="45" t="n"/>
      <c r="P13" s="45" t="n"/>
      <c r="Q13" s="45" t="n"/>
      <c r="R13" s="45" t="n"/>
      <c r="S13" s="45" t="n"/>
      <c r="T13" s="45" t="n"/>
      <c r="U13" s="46">
        <f>IF($F13="SUM",IF(COUNT($I13:$T13)=0,"",SUM($I13:$T13)),IF($F13="AVG",IFERROR(AVERAGE($I13:$T13),""),IF($F13="LAST",IFERROR(LOOKUP(2,1/($I13:$T13&lt;&gt;""),$I13:$T13),""),"")))</f>
        <v/>
      </c>
      <c r="V13" s="36">
        <f>IF($G13="","",IF($U13="","",IF($G13=0,IF($U13&lt;=0,1,0),IF($E13="↓",IFERROR($G13/$U13,0),IFERROR($U13/$G13,0)))))</f>
        <v/>
      </c>
      <c r="W13" s="16">
        <f>IF($V13="","—",IF($V13&gt;=1,"✅ محقق",IF($V13&gt;=0.85,"🟡 قريب","🔴 تحت الهدف")))</f>
        <v/>
      </c>
      <c r="X13" s="43" t="inlineStr"/>
      <c r="Y13" s="19" t="inlineStr"/>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Y2"/>
    <mergeCell ref="A1:Y1"/>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27"/>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s>
  <sheetData>
    <row r="1" ht="30" customHeight="1">
      <c r="A1" s="13" t="inlineStr">
        <is>
          <t>إدارة الاستثمار · مؤشرات الأداء 2026  (24 مؤشر / 6 محاور)</t>
        </is>
      </c>
    </row>
    <row r="2">
      <c r="A2" s="37" t="inlineStr">
        <is>
          <t>🟩 الخلايا الخضراء = إدخال شهري للمسؤول  ·  باقي الأعمدة محسوبة/مقفولة  ·  كل مؤشر يغذّي ركيزته ومشروعه</t>
        </is>
      </c>
    </row>
    <row r="3" ht="34" customHeight="1">
      <c r="A3" s="15" t="inlineStr">
        <is>
          <t>#</t>
        </is>
      </c>
      <c r="B3" s="15" t="inlineStr">
        <is>
          <t>المحور</t>
        </is>
      </c>
      <c r="C3" s="15" t="inlineStr">
        <is>
          <t>المؤشر</t>
        </is>
      </c>
      <c r="D3" s="15" t="inlineStr">
        <is>
          <t>الوحدة</t>
        </is>
      </c>
      <c r="E3" s="15" t="inlineStr">
        <is>
          <t>القطبية</t>
        </is>
      </c>
      <c r="F3" s="15" t="inlineStr">
        <is>
          <t>التجميع</t>
        </is>
      </c>
      <c r="G3" s="15" t="inlineStr">
        <is>
          <t>المستهدف</t>
        </is>
      </c>
      <c r="H3" s="15" t="inlineStr">
        <is>
          <t>نص المستهدف</t>
        </is>
      </c>
      <c r="I3" s="15" t="inlineStr">
        <is>
          <t>يناير</t>
        </is>
      </c>
      <c r="J3" s="15" t="inlineStr">
        <is>
          <t>فبراير</t>
        </is>
      </c>
      <c r="K3" s="15" t="inlineStr">
        <is>
          <t>مارس</t>
        </is>
      </c>
      <c r="L3" s="15" t="inlineStr">
        <is>
          <t>أبريل</t>
        </is>
      </c>
      <c r="M3" s="15" t="inlineStr">
        <is>
          <t>مايو</t>
        </is>
      </c>
      <c r="N3" s="15" t="inlineStr">
        <is>
          <t>يونيو</t>
        </is>
      </c>
      <c r="O3" s="15" t="inlineStr">
        <is>
          <t>يوليو</t>
        </is>
      </c>
      <c r="P3" s="15" t="inlineStr">
        <is>
          <t>أغسطس</t>
        </is>
      </c>
      <c r="Q3" s="15" t="inlineStr">
        <is>
          <t>سبتمبر</t>
        </is>
      </c>
      <c r="R3" s="15" t="inlineStr">
        <is>
          <t>أكتوبر</t>
        </is>
      </c>
      <c r="S3" s="15" t="inlineStr">
        <is>
          <t>نوفمبر</t>
        </is>
      </c>
      <c r="T3" s="15" t="inlineStr">
        <is>
          <t>ديسمبر</t>
        </is>
      </c>
      <c r="U3" s="15" t="inlineStr">
        <is>
          <t>YTD</t>
        </is>
      </c>
      <c r="V3" s="15" t="inlineStr">
        <is>
          <t>نسبة التحقيق</t>
        </is>
      </c>
      <c r="W3" s="15" t="inlineStr">
        <is>
          <t>الحالة</t>
        </is>
      </c>
      <c r="X3" s="15" t="inlineStr">
        <is>
          <t>الركيزة (5س)</t>
        </is>
      </c>
      <c r="Y3" s="15" t="inlineStr">
        <is>
          <t>المشروع (الخارطة)</t>
        </is>
      </c>
    </row>
    <row r="4" ht="26" customHeight="1">
      <c r="A4" s="16" t="n">
        <v>1</v>
      </c>
      <c r="B4" s="19" t="inlineStr">
        <is>
          <t>نمو المحفظة</t>
        </is>
      </c>
      <c r="C4" s="19" t="inlineStr">
        <is>
          <t>إجمالي عقود الاستثمار الجديدة (جميع النماذج)</t>
        </is>
      </c>
      <c r="D4" s="38" t="inlineStr">
        <is>
          <t>عقد</t>
        </is>
      </c>
      <c r="E4" s="38" t="inlineStr">
        <is>
          <t>↑</t>
        </is>
      </c>
      <c r="F4" s="38" t="inlineStr">
        <is>
          <t>SUM</t>
        </is>
      </c>
      <c r="G4" s="39" t="n">
        <v>190</v>
      </c>
      <c r="H4" s="40" t="inlineStr">
        <is>
          <t>190 عقد</t>
        </is>
      </c>
      <c r="I4" s="41" t="n"/>
      <c r="J4" s="41" t="n"/>
      <c r="K4" s="41" t="n"/>
      <c r="L4" s="41" t="n"/>
      <c r="M4" s="41" t="n"/>
      <c r="N4" s="41" t="n"/>
      <c r="O4" s="41" t="n"/>
      <c r="P4" s="41" t="n"/>
      <c r="Q4" s="41" t="n"/>
      <c r="R4" s="41" t="n"/>
      <c r="S4" s="41" t="n"/>
      <c r="T4" s="41" t="n"/>
      <c r="U4" s="42">
        <f>IF($F4="SUM",IF(COUNT($I4:$T4)=0,"",SUM($I4:$T4)),IF($F4="AVG",IFERROR(AVERAGE($I4:$T4),""),IF($F4="LAST",IFERROR(LOOKUP(2,1/($I4:$T4&lt;&gt;""),$I4:$T4),""),"")))</f>
        <v/>
      </c>
      <c r="V4" s="36">
        <f>IF($G4="","",IF($U4="","",IF($G4=0,IF($U4&lt;=0,1,0),IF($E4="↓",IFERROR($G4/$U4,0),IFERROR($U4/$G4,0)))))</f>
        <v/>
      </c>
      <c r="W4" s="16">
        <f>IF($V4="","—",IF($V4&gt;=1,"✅ محقق",IF($V4&gt;=0.85,"🟡 قريب","🔴 تحت الهدف")))</f>
        <v/>
      </c>
      <c r="X4" s="43" t="inlineStr">
        <is>
          <t>النمو</t>
        </is>
      </c>
      <c r="Y4" s="19" t="inlineStr">
        <is>
          <t>التوسع في المواقع</t>
        </is>
      </c>
    </row>
    <row r="5" ht="26" customHeight="1">
      <c r="A5" s="16" t="n">
        <v>2</v>
      </c>
      <c r="B5" s="19" t="inlineStr">
        <is>
          <t>نمو المحفظة</t>
        </is>
      </c>
      <c r="C5" s="19" t="inlineStr">
        <is>
          <t>عقود الاستثمار العادي الجديدة</t>
        </is>
      </c>
      <c r="D5" s="38" t="inlineStr">
        <is>
          <t>عقد</t>
        </is>
      </c>
      <c r="E5" s="38" t="inlineStr">
        <is>
          <t>↑</t>
        </is>
      </c>
      <c r="F5" s="38" t="inlineStr">
        <is>
          <t>SUM</t>
        </is>
      </c>
      <c r="G5" s="39" t="n">
        <v>90</v>
      </c>
      <c r="H5" s="40" t="inlineStr">
        <is>
          <t>90 عقد</t>
        </is>
      </c>
      <c r="I5" s="41" t="n"/>
      <c r="J5" s="41" t="n"/>
      <c r="K5" s="41" t="n"/>
      <c r="L5" s="41" t="n"/>
      <c r="M5" s="41" t="n"/>
      <c r="N5" s="41" t="n"/>
      <c r="O5" s="41" t="n"/>
      <c r="P5" s="41" t="n"/>
      <c r="Q5" s="41" t="n"/>
      <c r="R5" s="41" t="n"/>
      <c r="S5" s="41" t="n"/>
      <c r="T5" s="41" t="n"/>
      <c r="U5" s="42">
        <f>IF($F5="SUM",IF(COUNT($I5:$T5)=0,"",SUM($I5:$T5)),IF($F5="AVG",IFERROR(AVERAGE($I5:$T5),""),IF($F5="LAST",IFERROR(LOOKUP(2,1/($I5:$T5&lt;&gt;""),$I5:$T5),""),"")))</f>
        <v/>
      </c>
      <c r="V5" s="36">
        <f>IF($G5="","",IF($U5="","",IF($G5=0,IF($U5&lt;=0,1,0),IF($E5="↓",IFERROR($G5/$U5,0),IFERROR($U5/$G5,0)))))</f>
        <v/>
      </c>
      <c r="W5" s="16">
        <f>IF($V5="","—",IF($V5&gt;=1,"✅ محقق",IF($V5&gt;=0.85,"🟡 قريب","🔴 تحت الهدف")))</f>
        <v/>
      </c>
      <c r="X5" s="43" t="inlineStr">
        <is>
          <t>النمو</t>
        </is>
      </c>
      <c r="Y5" s="19" t="inlineStr">
        <is>
          <t>التوسع في المواقع</t>
        </is>
      </c>
    </row>
    <row r="6" ht="26" customHeight="1">
      <c r="A6" s="16" t="n">
        <v>3</v>
      </c>
      <c r="B6" s="19" t="inlineStr">
        <is>
          <t>نمو المحفظة</t>
        </is>
      </c>
      <c r="C6" s="19" t="inlineStr">
        <is>
          <t>عقود الاستحواذ الجديدة</t>
        </is>
      </c>
      <c r="D6" s="38" t="inlineStr">
        <is>
          <t>عقد</t>
        </is>
      </c>
      <c r="E6" s="38" t="inlineStr">
        <is>
          <t>↑</t>
        </is>
      </c>
      <c r="F6" s="38" t="inlineStr">
        <is>
          <t>SUM</t>
        </is>
      </c>
      <c r="G6" s="39" t="n">
        <v>100</v>
      </c>
      <c r="H6" s="40" t="inlineStr">
        <is>
          <t>100 عقد</t>
        </is>
      </c>
      <c r="I6" s="41" t="n"/>
      <c r="J6" s="41" t="n"/>
      <c r="K6" s="41" t="n"/>
      <c r="L6" s="41" t="n"/>
      <c r="M6" s="41" t="n"/>
      <c r="N6" s="41" t="n"/>
      <c r="O6" s="41" t="n"/>
      <c r="P6" s="41" t="n"/>
      <c r="Q6" s="41" t="n"/>
      <c r="R6" s="41" t="n"/>
      <c r="S6" s="41" t="n"/>
      <c r="T6" s="41" t="n"/>
      <c r="U6" s="42">
        <f>IF($F6="SUM",IF(COUNT($I6:$T6)=0,"",SUM($I6:$T6)),IF($F6="AVG",IFERROR(AVERAGE($I6:$T6),""),IF($F6="LAST",IFERROR(LOOKUP(2,1/($I6:$T6&lt;&gt;""),$I6:$T6),""),"")))</f>
        <v/>
      </c>
      <c r="V6" s="36">
        <f>IF($G6="","",IF($U6="","",IF($G6=0,IF($U6&lt;=0,1,0),IF($E6="↓",IFERROR($G6/$U6,0),IFERROR($U6/$G6,0)))))</f>
        <v/>
      </c>
      <c r="W6" s="16">
        <f>IF($V6="","—",IF($V6&gt;=1,"✅ محقق",IF($V6&gt;=0.85,"🟡 قريب","🔴 تحت الهدف")))</f>
        <v/>
      </c>
      <c r="X6" s="43" t="inlineStr">
        <is>
          <t>النمو</t>
        </is>
      </c>
      <c r="Y6" s="19" t="inlineStr">
        <is>
          <t>التوسع في المواقع</t>
        </is>
      </c>
    </row>
    <row r="7" ht="26" customHeight="1">
      <c r="A7" s="16" t="n">
        <v>4</v>
      </c>
      <c r="B7" s="19" t="inlineStr">
        <is>
          <t>نمو المحفظة</t>
        </is>
      </c>
      <c r="C7" s="19" t="inlineStr">
        <is>
          <t>المحطات المستحوَذ عليها المشغّلة (تراكمي)</t>
        </is>
      </c>
      <c r="D7" s="38" t="inlineStr">
        <is>
          <t>محطة</t>
        </is>
      </c>
      <c r="E7" s="38" t="inlineStr">
        <is>
          <t>↑</t>
        </is>
      </c>
      <c r="F7" s="38" t="inlineStr">
        <is>
          <t>LAST</t>
        </is>
      </c>
      <c r="G7" s="39" t="n">
        <v>120</v>
      </c>
      <c r="H7" s="40" t="inlineStr">
        <is>
          <t>120 محطة</t>
        </is>
      </c>
      <c r="I7" s="41" t="n"/>
      <c r="J7" s="41" t="n"/>
      <c r="K7" s="41" t="n"/>
      <c r="L7" s="41" t="n"/>
      <c r="M7" s="41" t="n"/>
      <c r="N7" s="41" t="n"/>
      <c r="O7" s="41" t="n"/>
      <c r="P7" s="41" t="n"/>
      <c r="Q7" s="41" t="n"/>
      <c r="R7" s="41" t="n"/>
      <c r="S7" s="41" t="n"/>
      <c r="T7" s="41" t="n"/>
      <c r="U7" s="42">
        <f>IF($F7="SUM",IF(COUNT($I7:$T7)=0,"",SUM($I7:$T7)),IF($F7="AVG",IFERROR(AVERAGE($I7:$T7),""),IF($F7="LAST",IFERROR(LOOKUP(2,1/($I7:$T7&lt;&gt;""),$I7:$T7),""),"")))</f>
        <v/>
      </c>
      <c r="V7" s="36">
        <f>IF($G7="","",IF($U7="","",IF($G7=0,IF($U7&lt;=0,1,0),IF($E7="↓",IFERROR($G7/$U7,0),IFERROR($U7/$G7,0)))))</f>
        <v/>
      </c>
      <c r="W7" s="16">
        <f>IF($V7="","—",IF($V7&gt;=1,"✅ محقق",IF($V7&gt;=0.85,"🟡 قريب","🔴 تحت الهدف")))</f>
        <v/>
      </c>
      <c r="X7" s="43" t="inlineStr">
        <is>
          <t>النمو</t>
        </is>
      </c>
      <c r="Y7" s="19" t="inlineStr">
        <is>
          <t>التوسع في المواقع</t>
        </is>
      </c>
    </row>
    <row r="8" ht="26" customHeight="1">
      <c r="A8" s="16" t="n">
        <v>5</v>
      </c>
      <c r="B8" s="19" t="inlineStr">
        <is>
          <t>نمو المحفظة</t>
        </is>
      </c>
      <c r="C8" s="19" t="inlineStr">
        <is>
          <t>عقود تأجير الأرض الجديدة</t>
        </is>
      </c>
      <c r="D8" s="38" t="inlineStr">
        <is>
          <t>عقد</t>
        </is>
      </c>
      <c r="E8" s="38" t="inlineStr">
        <is>
          <t>↑</t>
        </is>
      </c>
      <c r="F8" s="38" t="inlineStr">
        <is>
          <t>SUM</t>
        </is>
      </c>
      <c r="G8" s="39" t="n">
        <v>11</v>
      </c>
      <c r="H8" s="40" t="inlineStr">
        <is>
          <t>11 عقد</t>
        </is>
      </c>
      <c r="I8" s="41" t="n"/>
      <c r="J8" s="41" t="n"/>
      <c r="K8" s="41" t="n"/>
      <c r="L8" s="41" t="n"/>
      <c r="M8" s="41" t="n"/>
      <c r="N8" s="41" t="n"/>
      <c r="O8" s="41" t="n"/>
      <c r="P8" s="41" t="n"/>
      <c r="Q8" s="41" t="n"/>
      <c r="R8" s="41" t="n"/>
      <c r="S8" s="41" t="n"/>
      <c r="T8" s="41" t="n"/>
      <c r="U8" s="42">
        <f>IF($F8="SUM",IF(COUNT($I8:$T8)=0,"",SUM($I8:$T8)),IF($F8="AVG",IFERROR(AVERAGE($I8:$T8),""),IF($F8="LAST",IFERROR(LOOKUP(2,1/($I8:$T8&lt;&gt;""),$I8:$T8),""),"")))</f>
        <v/>
      </c>
      <c r="V8" s="36">
        <f>IF($G8="","",IF($U8="","",IF($G8=0,IF($U8&lt;=0,1,0),IF($E8="↓",IFERROR($G8/$U8,0),IFERROR($U8/$G8,0)))))</f>
        <v/>
      </c>
      <c r="W8" s="16">
        <f>IF($V8="","—",IF($V8&gt;=1,"✅ محقق",IF($V8&gt;=0.85,"🟡 قريب","🔴 تحت الهدف")))</f>
        <v/>
      </c>
      <c r="X8" s="43" t="inlineStr">
        <is>
          <t>النمو</t>
        </is>
      </c>
      <c r="Y8" s="19" t="inlineStr">
        <is>
          <t>التوسع في المواقع</t>
        </is>
      </c>
    </row>
    <row r="9" ht="26" customHeight="1">
      <c r="A9" s="16" t="n">
        <v>6</v>
      </c>
      <c r="B9" s="19" t="inlineStr">
        <is>
          <t>نمو المحفظة</t>
        </is>
      </c>
      <c r="C9" s="19" t="inlineStr">
        <is>
          <t>عقود إيجار المحطة الجديدة</t>
        </is>
      </c>
      <c r="D9" s="38" t="inlineStr">
        <is>
          <t>عقد</t>
        </is>
      </c>
      <c r="E9" s="38" t="inlineStr">
        <is>
          <t>↑</t>
        </is>
      </c>
      <c r="F9" s="38" t="inlineStr">
        <is>
          <t>SUM</t>
        </is>
      </c>
      <c r="G9" s="39" t="n">
        <v>12</v>
      </c>
      <c r="H9" s="40" t="inlineStr">
        <is>
          <t>12 عقد</t>
        </is>
      </c>
      <c r="I9" s="41" t="n"/>
      <c r="J9" s="41" t="n"/>
      <c r="K9" s="41" t="n"/>
      <c r="L9" s="41" t="n"/>
      <c r="M9" s="41" t="n"/>
      <c r="N9" s="41" t="n"/>
      <c r="O9" s="41" t="n"/>
      <c r="P9" s="41" t="n"/>
      <c r="Q9" s="41" t="n"/>
      <c r="R9" s="41" t="n"/>
      <c r="S9" s="41" t="n"/>
      <c r="T9" s="41" t="n"/>
      <c r="U9" s="42">
        <f>IF($F9="SUM",IF(COUNT($I9:$T9)=0,"",SUM($I9:$T9)),IF($F9="AVG",IFERROR(AVERAGE($I9:$T9),""),IF($F9="LAST",IFERROR(LOOKUP(2,1/($I9:$T9&lt;&gt;""),$I9:$T9),""),"")))</f>
        <v/>
      </c>
      <c r="V9" s="36">
        <f>IF($G9="","",IF($U9="","",IF($G9=0,IF($U9&lt;=0,1,0),IF($E9="↓",IFERROR($G9/$U9,0),IFERROR($U9/$G9,0)))))</f>
        <v/>
      </c>
      <c r="W9" s="16">
        <f>IF($V9="","—",IF($V9&gt;=1,"✅ محقق",IF($V9&gt;=0.85,"🟡 قريب","🔴 تحت الهدف")))</f>
        <v/>
      </c>
      <c r="X9" s="43" t="inlineStr">
        <is>
          <t>النمو</t>
        </is>
      </c>
      <c r="Y9" s="19" t="inlineStr">
        <is>
          <t>التوسع في المواقع</t>
        </is>
      </c>
    </row>
    <row r="10" ht="26" customHeight="1">
      <c r="A10" s="16" t="n">
        <v>7</v>
      </c>
      <c r="B10" s="19" t="inlineStr">
        <is>
          <t>نمو المحفظة</t>
        </is>
      </c>
      <c r="C10" s="19" t="inlineStr">
        <is>
          <t>عقود تشغيل المحطة الجديدة</t>
        </is>
      </c>
      <c r="D10" s="38" t="inlineStr">
        <is>
          <t>عقد</t>
        </is>
      </c>
      <c r="E10" s="38" t="inlineStr">
        <is>
          <t>↑</t>
        </is>
      </c>
      <c r="F10" s="38" t="inlineStr">
        <is>
          <t>SUM</t>
        </is>
      </c>
      <c r="G10" s="39" t="n">
        <v>68</v>
      </c>
      <c r="H10" s="40" t="inlineStr">
        <is>
          <t>68 عقد</t>
        </is>
      </c>
      <c r="I10" s="41" t="n"/>
      <c r="J10" s="41" t="n"/>
      <c r="K10" s="41" t="n"/>
      <c r="L10" s="41" t="n"/>
      <c r="M10" s="41" t="n"/>
      <c r="N10" s="41" t="n"/>
      <c r="O10" s="41" t="n"/>
      <c r="P10" s="41" t="n"/>
      <c r="Q10" s="41" t="n"/>
      <c r="R10" s="41" t="n"/>
      <c r="S10" s="41" t="n"/>
      <c r="T10" s="41" t="n"/>
      <c r="U10" s="42">
        <f>IF($F10="SUM",IF(COUNT($I10:$T10)=0,"",SUM($I10:$T10)),IF($F10="AVG",IFERROR(AVERAGE($I10:$T10),""),IF($F10="LAST",IFERROR(LOOKUP(2,1/($I10:$T10&lt;&gt;""),$I10:$T10),""),"")))</f>
        <v/>
      </c>
      <c r="V10" s="36">
        <f>IF($G10="","",IF($U10="","",IF($G10=0,IF($U10&lt;=0,1,0),IF($E10="↓",IFERROR($G10/$U10,0),IFERROR($U10/$G10,0)))))</f>
        <v/>
      </c>
      <c r="W10" s="16">
        <f>IF($V10="","—",IF($V10&gt;=1,"✅ محقق",IF($V10&gt;=0.85,"🟡 قريب","🔴 تحت الهدف")))</f>
        <v/>
      </c>
      <c r="X10" s="43" t="inlineStr">
        <is>
          <t>النمو</t>
        </is>
      </c>
      <c r="Y10" s="19" t="inlineStr">
        <is>
          <t>التوسع في المواقع</t>
        </is>
      </c>
    </row>
    <row r="11" ht="26" customHeight="1">
      <c r="A11" s="16" t="n">
        <v>8</v>
      </c>
      <c r="B11" s="19" t="inlineStr">
        <is>
          <t>الربحية وجودة الموقع</t>
        </is>
      </c>
      <c r="C11" s="19" t="inlineStr">
        <is>
          <t>نسبة المواقع المعتمدة ذات العائد المجدي</t>
        </is>
      </c>
      <c r="D11" s="38" t="inlineStr">
        <is>
          <t>%</t>
        </is>
      </c>
      <c r="E11" s="38" t="inlineStr">
        <is>
          <t>↑</t>
        </is>
      </c>
      <c r="F11" s="38" t="inlineStr">
        <is>
          <t>AVG</t>
        </is>
      </c>
      <c r="G11" s="44" t="n">
        <v>0.8</v>
      </c>
      <c r="H11" s="40" t="inlineStr">
        <is>
          <t>80%+</t>
        </is>
      </c>
      <c r="I11" s="45" t="n"/>
      <c r="J11" s="45" t="n"/>
      <c r="K11" s="45" t="n"/>
      <c r="L11" s="45" t="n"/>
      <c r="M11" s="45" t="n"/>
      <c r="N11" s="45" t="n"/>
      <c r="O11" s="45" t="n"/>
      <c r="P11" s="45" t="n"/>
      <c r="Q11" s="45" t="n"/>
      <c r="R11" s="45" t="n"/>
      <c r="S11" s="45" t="n"/>
      <c r="T11" s="45" t="n"/>
      <c r="U11" s="46">
        <f>IF($F11="SUM",IF(COUNT($I11:$T11)=0,"",SUM($I11:$T11)),IF($F11="AVG",IFERROR(AVERAGE($I11:$T11),""),IF($F11="LAST",IFERROR(LOOKUP(2,1/($I11:$T11&lt;&gt;""),$I11:$T11),""),"")))</f>
        <v/>
      </c>
      <c r="V11" s="36">
        <f>IF($G11="","",IF($U11="","",IF($G11=0,IF($U11&lt;=0,1,0),IF($E11="↓",IFERROR($G11/$U11,0),IFERROR($U11/$G11,0)))))</f>
        <v/>
      </c>
      <c r="W11" s="16">
        <f>IF($V11="","—",IF($V11&gt;=1,"✅ محقق",IF($V11&gt;=0.85,"🟡 قريب","🔴 تحت الهدف")))</f>
        <v/>
      </c>
      <c r="X11" s="43" t="inlineStr">
        <is>
          <t>الاستدامة</t>
        </is>
      </c>
      <c r="Y11" s="19" t="inlineStr">
        <is>
          <t>جودة التشغيل</t>
        </is>
      </c>
    </row>
    <row r="12" ht="26" customHeight="1">
      <c r="A12" s="16" t="n">
        <v>9</v>
      </c>
      <c r="B12" s="19" t="inlineStr">
        <is>
          <t>الربحية وجودة الموقع</t>
        </is>
      </c>
      <c r="C12" s="19" t="inlineStr">
        <is>
          <t>متوسط فترة استرداد رأس المال</t>
        </is>
      </c>
      <c r="D12" s="38" t="inlineStr">
        <is>
          <t>سنة</t>
        </is>
      </c>
      <c r="E12" s="38" t="inlineStr">
        <is>
          <t>↓</t>
        </is>
      </c>
      <c r="F12" s="38" t="inlineStr">
        <is>
          <t>AVG</t>
        </is>
      </c>
      <c r="G12" s="49" t="n">
        <v>5</v>
      </c>
      <c r="H12" s="40" t="inlineStr">
        <is>
          <t>≤ 5 سنوات</t>
        </is>
      </c>
      <c r="I12" s="50" t="n"/>
      <c r="J12" s="50" t="n"/>
      <c r="K12" s="50" t="n"/>
      <c r="L12" s="50" t="n"/>
      <c r="M12" s="50" t="n"/>
      <c r="N12" s="50" t="n"/>
      <c r="O12" s="50" t="n"/>
      <c r="P12" s="50" t="n"/>
      <c r="Q12" s="50" t="n"/>
      <c r="R12" s="50" t="n"/>
      <c r="S12" s="50" t="n"/>
      <c r="T12" s="50" t="n"/>
      <c r="U12" s="51">
        <f>IF($F12="SUM",IF(COUNT($I12:$T12)=0,"",SUM($I12:$T12)),IF($F12="AVG",IFERROR(AVERAGE($I12:$T12),""),IF($F12="LAST",IFERROR(LOOKUP(2,1/($I12:$T12&lt;&gt;""),$I12:$T12),""),"")))</f>
        <v/>
      </c>
      <c r="V12" s="36">
        <f>IF($G12="","",IF($U12="","",IF($G12=0,IF($U12&lt;=0,1,0),IF($E12="↓",IFERROR($G12/$U12,0),IFERROR($U12/$G12,0)))))</f>
        <v/>
      </c>
      <c r="W12" s="16">
        <f>IF($V12="","—",IF($V12&gt;=1,"✅ محقق",IF($V12&gt;=0.85,"🟡 قريب","🔴 تحت الهدف")))</f>
        <v/>
      </c>
      <c r="X12" s="43" t="inlineStr">
        <is>
          <t>الاستدامة</t>
        </is>
      </c>
      <c r="Y12" s="19" t="inlineStr">
        <is>
          <t>جودة التشغيل</t>
        </is>
      </c>
    </row>
    <row r="13" ht="26" customHeight="1">
      <c r="A13" s="16" t="n">
        <v>10</v>
      </c>
      <c r="B13" s="19" t="inlineStr">
        <is>
          <t>الربحية وجودة الموقع</t>
        </is>
      </c>
      <c r="C13" s="19" t="inlineStr">
        <is>
          <t>متوسط قيمة عقد الإيجار السنوي (أرض)</t>
        </is>
      </c>
      <c r="D13" s="38" t="inlineStr">
        <is>
          <t>ر.س</t>
        </is>
      </c>
      <c r="E13" s="38" t="inlineStr">
        <is>
          <t>↑</t>
        </is>
      </c>
      <c r="F13" s="38" t="inlineStr">
        <is>
          <t>AVG</t>
        </is>
      </c>
      <c r="G13" s="38" t="inlineStr"/>
      <c r="H13" s="40" t="inlineStr">
        <is>
          <t>يُحدد لاحقاً</t>
        </is>
      </c>
      <c r="I13" s="47" t="n"/>
      <c r="J13" s="47" t="n"/>
      <c r="K13" s="47" t="n"/>
      <c r="L13" s="47" t="n"/>
      <c r="M13" s="47" t="n"/>
      <c r="N13" s="47" t="n"/>
      <c r="O13" s="47" t="n"/>
      <c r="P13" s="47" t="n"/>
      <c r="Q13" s="47" t="n"/>
      <c r="R13" s="47" t="n"/>
      <c r="S13" s="47" t="n"/>
      <c r="T13" s="47" t="n"/>
      <c r="U13" s="48">
        <f>IF($F13="SUM",IF(COUNT($I13:$T13)=0,"",SUM($I13:$T13)),IF($F13="AVG",IFERROR(AVERAGE($I13:$T13),""),IF($F13="LAST",IFERROR(LOOKUP(2,1/($I13:$T13&lt;&gt;""),$I13:$T13),""),"")))</f>
        <v/>
      </c>
      <c r="V13" s="36">
        <f>IF($G13="","",IF($U13="","",IF($G13=0,IF($U13&lt;=0,1,0),IF($E13="↓",IFERROR($G13/$U13,0),IFERROR($U13/$G13,0)))))</f>
        <v/>
      </c>
      <c r="W13" s="16">
        <f>IF($V13="","—",IF($V13&gt;=1,"✅ محقق",IF($V13&gt;=0.85,"🟡 قريب","🔴 تحت الهدف")))</f>
        <v/>
      </c>
      <c r="X13" s="43" t="inlineStr">
        <is>
          <t>النمو</t>
        </is>
      </c>
      <c r="Y13" s="19" t="inlineStr">
        <is>
          <t>التوسع في المواقع</t>
        </is>
      </c>
    </row>
    <row r="14" ht="26" customHeight="1">
      <c r="A14" s="16" t="n">
        <v>11</v>
      </c>
      <c r="B14" s="19" t="inlineStr">
        <is>
          <t>التوسع الإقليمي</t>
        </is>
      </c>
      <c r="C14" s="19" t="inlineStr">
        <is>
          <t>نسبة العقود التي تغطي المناطق الـ13</t>
        </is>
      </c>
      <c r="D14" s="38" t="inlineStr">
        <is>
          <t>%</t>
        </is>
      </c>
      <c r="E14" s="38" t="inlineStr">
        <is>
          <t>↑</t>
        </is>
      </c>
      <c r="F14" s="38" t="inlineStr">
        <is>
          <t>LAST</t>
        </is>
      </c>
      <c r="G14" s="44" t="n">
        <v>1</v>
      </c>
      <c r="H14" s="40" t="inlineStr">
        <is>
          <t>100%</t>
        </is>
      </c>
      <c r="I14" s="45" t="n"/>
      <c r="J14" s="45" t="n"/>
      <c r="K14" s="45" t="n"/>
      <c r="L14" s="45" t="n"/>
      <c r="M14" s="45" t="n"/>
      <c r="N14" s="45" t="n"/>
      <c r="O14" s="45" t="n"/>
      <c r="P14" s="45" t="n"/>
      <c r="Q14" s="45" t="n"/>
      <c r="R14" s="45" t="n"/>
      <c r="S14" s="45" t="n"/>
      <c r="T14" s="45" t="n"/>
      <c r="U14" s="46">
        <f>IF($F14="SUM",IF(COUNT($I14:$T14)=0,"",SUM($I14:$T14)),IF($F14="AVG",IFERROR(AVERAGE($I14:$T14),""),IF($F14="LAST",IFERROR(LOOKUP(2,1/($I14:$T14&lt;&gt;""),$I14:$T14),""),"")))</f>
        <v/>
      </c>
      <c r="V14" s="36">
        <f>IF($G14="","",IF($U14="","",IF($G14=0,IF($U14&lt;=0,1,0),IF($E14="↓",IFERROR($G14/$U14,0),IFERROR($U14/$G14,0)))))</f>
        <v/>
      </c>
      <c r="W14" s="16">
        <f>IF($V14="","—",IF($V14&gt;=1,"✅ محقق",IF($V14&gt;=0.85,"🟡 قريب","🔴 تحت الهدف")))</f>
        <v/>
      </c>
      <c r="X14" s="43" t="inlineStr">
        <is>
          <t>النمو</t>
        </is>
      </c>
      <c r="Y14" s="19" t="inlineStr">
        <is>
          <t>التوسع في المواقع</t>
        </is>
      </c>
    </row>
    <row r="15" ht="26" customHeight="1">
      <c r="A15" s="16" t="n">
        <v>12</v>
      </c>
      <c r="B15" s="19" t="inlineStr">
        <is>
          <t>التوسع الإقليمي</t>
        </is>
      </c>
      <c r="C15" s="19" t="inlineStr">
        <is>
          <t>نسبة العقود خارج المدن الرئيسية</t>
        </is>
      </c>
      <c r="D15" s="38" t="inlineStr">
        <is>
          <t>%</t>
        </is>
      </c>
      <c r="E15" s="38" t="inlineStr">
        <is>
          <t>↑</t>
        </is>
      </c>
      <c r="F15" s="38" t="inlineStr">
        <is>
          <t>LAST</t>
        </is>
      </c>
      <c r="G15" s="44" t="n">
        <v>0.6</v>
      </c>
      <c r="H15" s="40" t="inlineStr">
        <is>
          <t>&gt; 60%</t>
        </is>
      </c>
      <c r="I15" s="45" t="n"/>
      <c r="J15" s="45" t="n"/>
      <c r="K15" s="45" t="n"/>
      <c r="L15" s="45" t="n"/>
      <c r="M15" s="45" t="n"/>
      <c r="N15" s="45" t="n"/>
      <c r="O15" s="45" t="n"/>
      <c r="P15" s="45" t="n"/>
      <c r="Q15" s="45" t="n"/>
      <c r="R15" s="45" t="n"/>
      <c r="S15" s="45" t="n"/>
      <c r="T15" s="45" t="n"/>
      <c r="U15" s="46">
        <f>IF($F15="SUM",IF(COUNT($I15:$T15)=0,"",SUM($I15:$T15)),IF($F15="AVG",IFERROR(AVERAGE($I15:$T15),""),IF($F15="LAST",IFERROR(LOOKUP(2,1/($I15:$T15&lt;&gt;""),$I15:$T15),""),"")))</f>
        <v/>
      </c>
      <c r="V15" s="36">
        <f>IF($G15="","",IF($U15="","",IF($G15=0,IF($U15&lt;=0,1,0),IF($E15="↓",IFERROR($G15/$U15,0),IFERROR($U15/$G15,0)))))</f>
        <v/>
      </c>
      <c r="W15" s="16">
        <f>IF($V15="","—",IF($V15&gt;=1,"✅ محقق",IF($V15&gt;=0.85,"🟡 قريب","🔴 تحت الهدف")))</f>
        <v/>
      </c>
      <c r="X15" s="43" t="inlineStr">
        <is>
          <t>النمو</t>
        </is>
      </c>
      <c r="Y15" s="19" t="inlineStr">
        <is>
          <t>التوسع في المواقع</t>
        </is>
      </c>
    </row>
    <row r="16" ht="26" customHeight="1">
      <c r="A16" s="16" t="n">
        <v>13</v>
      </c>
      <c r="B16" s="19" t="inlineStr">
        <is>
          <t>التوسع الإقليمي</t>
        </is>
      </c>
      <c r="C16" s="19" t="inlineStr">
        <is>
          <t>نسبة العقود في الـ12 مدينة الرئيسية</t>
        </is>
      </c>
      <c r="D16" s="38" t="inlineStr">
        <is>
          <t>%</t>
        </is>
      </c>
      <c r="E16" s="38" t="inlineStr">
        <is>
          <t>↓</t>
        </is>
      </c>
      <c r="F16" s="38" t="inlineStr">
        <is>
          <t>LAST</t>
        </is>
      </c>
      <c r="G16" s="44" t="n">
        <v>0.4</v>
      </c>
      <c r="H16" s="40" t="inlineStr">
        <is>
          <t>&lt; 40%</t>
        </is>
      </c>
      <c r="I16" s="45" t="n"/>
      <c r="J16" s="45" t="n"/>
      <c r="K16" s="45" t="n"/>
      <c r="L16" s="45" t="n"/>
      <c r="M16" s="45" t="n"/>
      <c r="N16" s="45" t="n"/>
      <c r="O16" s="45" t="n"/>
      <c r="P16" s="45" t="n"/>
      <c r="Q16" s="45" t="n"/>
      <c r="R16" s="45" t="n"/>
      <c r="S16" s="45" t="n"/>
      <c r="T16" s="45" t="n"/>
      <c r="U16" s="46">
        <f>IF($F16="SUM",IF(COUNT($I16:$T16)=0,"",SUM($I16:$T16)),IF($F16="AVG",IFERROR(AVERAGE($I16:$T16),""),IF($F16="LAST",IFERROR(LOOKUP(2,1/($I16:$T16&lt;&gt;""),$I16:$T16),""),"")))</f>
        <v/>
      </c>
      <c r="V16" s="36">
        <f>IF($G16="","",IF($U16="","",IF($G16=0,IF($U16&lt;=0,1,0),IF($E16="↓",IFERROR($G16/$U16,0),IFERROR($U16/$G16,0)))))</f>
        <v/>
      </c>
      <c r="W16" s="16">
        <f>IF($V16="","—",IF($V16&gt;=1,"✅ محقق",IF($V16&gt;=0.85,"🟡 قريب","🔴 تحت الهدف")))</f>
        <v/>
      </c>
      <c r="X16" s="43" t="inlineStr">
        <is>
          <t>النمو</t>
        </is>
      </c>
      <c r="Y16" s="19" t="inlineStr">
        <is>
          <t>التوسع في المواقع</t>
        </is>
      </c>
    </row>
    <row r="17" ht="26" customHeight="1">
      <c r="A17" s="16" t="n">
        <v>14</v>
      </c>
      <c r="B17" s="19" t="inlineStr">
        <is>
          <t>التوسع الإقليمي</t>
        </is>
      </c>
      <c r="C17" s="19" t="inlineStr">
        <is>
          <t>نسبة العقود على الطرق الإقليمية</t>
        </is>
      </c>
      <c r="D17" s="38" t="inlineStr">
        <is>
          <t>%</t>
        </is>
      </c>
      <c r="E17" s="38" t="inlineStr">
        <is>
          <t>↑</t>
        </is>
      </c>
      <c r="F17" s="38" t="inlineStr">
        <is>
          <t>LAST</t>
        </is>
      </c>
      <c r="G17" s="44" t="n">
        <v>0.25</v>
      </c>
      <c r="H17" s="40" t="inlineStr">
        <is>
          <t>&gt; 25%</t>
        </is>
      </c>
      <c r="I17" s="45" t="n"/>
      <c r="J17" s="45" t="n"/>
      <c r="K17" s="45" t="n"/>
      <c r="L17" s="45" t="n"/>
      <c r="M17" s="45" t="n"/>
      <c r="N17" s="45" t="n"/>
      <c r="O17" s="45" t="n"/>
      <c r="P17" s="45" t="n"/>
      <c r="Q17" s="45" t="n"/>
      <c r="R17" s="45" t="n"/>
      <c r="S17" s="45" t="n"/>
      <c r="T17" s="45" t="n"/>
      <c r="U17" s="46">
        <f>IF($F17="SUM",IF(COUNT($I17:$T17)=0,"",SUM($I17:$T17)),IF($F17="AVG",IFERROR(AVERAGE($I17:$T17),""),IF($F17="LAST",IFERROR(LOOKUP(2,1/($I17:$T17&lt;&gt;""),$I17:$T17),""),"")))</f>
        <v/>
      </c>
      <c r="V17" s="36">
        <f>IF($G17="","",IF($U17="","",IF($G17=0,IF($U17&lt;=0,1,0),IF($E17="↓",IFERROR($G17/$U17,0),IFERROR($U17/$G17,0)))))</f>
        <v/>
      </c>
      <c r="W17" s="16">
        <f>IF($V17="","—",IF($V17&gt;=1,"✅ محقق",IF($V17&gt;=0.85,"🟡 قريب","🔴 تحت الهدف")))</f>
        <v/>
      </c>
      <c r="X17" s="43" t="inlineStr">
        <is>
          <t>النمو</t>
        </is>
      </c>
      <c r="Y17" s="19" t="inlineStr">
        <is>
          <t>التوسع في المواقع</t>
        </is>
      </c>
    </row>
    <row r="18" ht="26" customHeight="1">
      <c r="A18" s="16" t="n">
        <v>15</v>
      </c>
      <c r="B18" s="19" t="inlineStr">
        <is>
          <t>كفاءة الدورة</t>
        </is>
      </c>
      <c r="C18" s="19" t="inlineStr">
        <is>
          <t>متوسط مدة إغلاق عقد الاستثمار</t>
        </is>
      </c>
      <c r="D18" s="38" t="inlineStr">
        <is>
          <t>أسبوع</t>
        </is>
      </c>
      <c r="E18" s="38" t="inlineStr">
        <is>
          <t>↓</t>
        </is>
      </c>
      <c r="F18" s="38" t="inlineStr">
        <is>
          <t>AVG</t>
        </is>
      </c>
      <c r="G18" s="49" t="n">
        <v>1</v>
      </c>
      <c r="H18" s="40" t="inlineStr">
        <is>
          <t>≤ أسبوع</t>
        </is>
      </c>
      <c r="I18" s="50" t="n"/>
      <c r="J18" s="50" t="n"/>
      <c r="K18" s="50" t="n"/>
      <c r="L18" s="50" t="n"/>
      <c r="M18" s="50" t="n"/>
      <c r="N18" s="50" t="n"/>
      <c r="O18" s="50" t="n"/>
      <c r="P18" s="50" t="n"/>
      <c r="Q18" s="50" t="n"/>
      <c r="R18" s="50" t="n"/>
      <c r="S18" s="50" t="n"/>
      <c r="T18" s="50" t="n"/>
      <c r="U18" s="51">
        <f>IF($F18="SUM",IF(COUNT($I18:$T18)=0,"",SUM($I18:$T18)),IF($F18="AVG",IFERROR(AVERAGE($I18:$T18),""),IF($F18="LAST",IFERROR(LOOKUP(2,1/($I18:$T18&lt;&gt;""),$I18:$T18),""),"")))</f>
        <v/>
      </c>
      <c r="V18" s="36">
        <f>IF($G18="","",IF($U18="","",IF($G18=0,IF($U18&lt;=0,1,0),IF($E18="↓",IFERROR($G18/$U18,0),IFERROR($U18/$G18,0)))))</f>
        <v/>
      </c>
      <c r="W18" s="16">
        <f>IF($V18="","—",IF($V18&gt;=1,"✅ محقق",IF($V18&gt;=0.85,"🟡 قريب","🔴 تحت الهدف")))</f>
        <v/>
      </c>
      <c r="X18" s="43" t="inlineStr">
        <is>
          <t>النمو</t>
        </is>
      </c>
      <c r="Y18" s="19" t="inlineStr">
        <is>
          <t>التوسع في المواقع</t>
        </is>
      </c>
    </row>
    <row r="19" ht="26" customHeight="1">
      <c r="A19" s="16" t="n">
        <v>16</v>
      </c>
      <c r="B19" s="19" t="inlineStr">
        <is>
          <t>كفاءة الدورة</t>
        </is>
      </c>
      <c r="C19" s="19" t="inlineStr">
        <is>
          <t>نسبة العقود المتحوّلة لمحطات مشغّلة</t>
        </is>
      </c>
      <c r="D19" s="38" t="inlineStr">
        <is>
          <t>%</t>
        </is>
      </c>
      <c r="E19" s="38" t="inlineStr">
        <is>
          <t>↑</t>
        </is>
      </c>
      <c r="F19" s="38" t="inlineStr">
        <is>
          <t>AVG</t>
        </is>
      </c>
      <c r="G19" s="44" t="n">
        <v>0.3</v>
      </c>
      <c r="H19" s="40" t="inlineStr">
        <is>
          <t>≥ 30%</t>
        </is>
      </c>
      <c r="I19" s="45" t="n"/>
      <c r="J19" s="45" t="n"/>
      <c r="K19" s="45" t="n"/>
      <c r="L19" s="45" t="n"/>
      <c r="M19" s="45" t="n"/>
      <c r="N19" s="45" t="n"/>
      <c r="O19" s="45" t="n"/>
      <c r="P19" s="45" t="n"/>
      <c r="Q19" s="45" t="n"/>
      <c r="R19" s="45" t="n"/>
      <c r="S19" s="45" t="n"/>
      <c r="T19" s="45" t="n"/>
      <c r="U19" s="46">
        <f>IF($F19="SUM",IF(COUNT($I19:$T19)=0,"",SUM($I19:$T19)),IF($F19="AVG",IFERROR(AVERAGE($I19:$T19),""),IF($F19="LAST",IFERROR(LOOKUP(2,1/($I19:$T19&lt;&gt;""),$I19:$T19),""),"")))</f>
        <v/>
      </c>
      <c r="V19" s="36">
        <f>IF($G19="","",IF($U19="","",IF($G19=0,IF($U19&lt;=0,1,0),IF($E19="↓",IFERROR($G19/$U19,0),IFERROR($U19/$G19,0)))))</f>
        <v/>
      </c>
      <c r="W19" s="16">
        <f>IF($V19="","—",IF($V19&gt;=1,"✅ محقق",IF($V19&gt;=0.85,"🟡 قريب","🔴 تحت الهدف")))</f>
        <v/>
      </c>
      <c r="X19" s="43" t="inlineStr">
        <is>
          <t>النمو</t>
        </is>
      </c>
      <c r="Y19" s="19" t="inlineStr">
        <is>
          <t>التوسع في المواقع</t>
        </is>
      </c>
    </row>
    <row r="20" ht="26" customHeight="1">
      <c r="A20" s="16" t="n">
        <v>17</v>
      </c>
      <c r="B20" s="19" t="inlineStr">
        <is>
          <t>كفاءة الدورة</t>
        </is>
      </c>
      <c r="C20" s="19" t="inlineStr">
        <is>
          <t>نسبة تخفيض إيجار المواقع عالية التكاليف</t>
        </is>
      </c>
      <c r="D20" s="38" t="inlineStr">
        <is>
          <t>%</t>
        </is>
      </c>
      <c r="E20" s="38" t="inlineStr">
        <is>
          <t>↑</t>
        </is>
      </c>
      <c r="F20" s="38" t="inlineStr">
        <is>
          <t>AVG</t>
        </is>
      </c>
      <c r="G20" s="44" t="n">
        <v>0.3</v>
      </c>
      <c r="H20" s="40" t="inlineStr">
        <is>
          <t>≥ 30%</t>
        </is>
      </c>
      <c r="I20" s="45" t="n"/>
      <c r="J20" s="45" t="n"/>
      <c r="K20" s="45" t="n"/>
      <c r="L20" s="45" t="n"/>
      <c r="M20" s="45" t="n"/>
      <c r="N20" s="45" t="n"/>
      <c r="O20" s="45" t="n"/>
      <c r="P20" s="45" t="n"/>
      <c r="Q20" s="45" t="n"/>
      <c r="R20" s="45" t="n"/>
      <c r="S20" s="45" t="n"/>
      <c r="T20" s="45" t="n"/>
      <c r="U20" s="46">
        <f>IF($F20="SUM",IF(COUNT($I20:$T20)=0,"",SUM($I20:$T20)),IF($F20="AVG",IFERROR(AVERAGE($I20:$T20),""),IF($F20="LAST",IFERROR(LOOKUP(2,1/($I20:$T20&lt;&gt;""),$I20:$T20),""),"")))</f>
        <v/>
      </c>
      <c r="V20" s="36">
        <f>IF($G20="","",IF($U20="","",IF($G20=0,IF($U20&lt;=0,1,0),IF($E20="↓",IFERROR($G20/$U20,0),IFERROR($U20/$G20,0)))))</f>
        <v/>
      </c>
      <c r="W20" s="16">
        <f>IF($V20="","—",IF($V20&gt;=1,"✅ محقق",IF($V20&gt;=0.85,"🟡 قريب","🔴 تحت الهدف")))</f>
        <v/>
      </c>
      <c r="X20" s="43" t="inlineStr">
        <is>
          <t>الاستدامة</t>
        </is>
      </c>
      <c r="Y20" s="19" t="inlineStr">
        <is>
          <t>جودة التشغيل</t>
        </is>
      </c>
    </row>
    <row r="21" ht="26" customHeight="1">
      <c r="A21" s="16" t="n">
        <v>18</v>
      </c>
      <c r="B21" s="19" t="inlineStr">
        <is>
          <t>الامتثال</t>
        </is>
      </c>
      <c r="C21" s="19" t="inlineStr">
        <is>
          <t>نسبة اكتمال المستندات النظامية قبل التوقيع</t>
        </is>
      </c>
      <c r="D21" s="38" t="inlineStr">
        <is>
          <t>%</t>
        </is>
      </c>
      <c r="E21" s="38" t="inlineStr">
        <is>
          <t>↑</t>
        </is>
      </c>
      <c r="F21" s="38" t="inlineStr">
        <is>
          <t>AVG</t>
        </is>
      </c>
      <c r="G21" s="44" t="n">
        <v>1</v>
      </c>
      <c r="H21" s="40" t="inlineStr">
        <is>
          <t>100%</t>
        </is>
      </c>
      <c r="I21" s="45" t="n"/>
      <c r="J21" s="45" t="n"/>
      <c r="K21" s="45" t="n"/>
      <c r="L21" s="45" t="n"/>
      <c r="M21" s="45" t="n"/>
      <c r="N21" s="45" t="n"/>
      <c r="O21" s="45" t="n"/>
      <c r="P21" s="45" t="n"/>
      <c r="Q21" s="45" t="n"/>
      <c r="R21" s="45" t="n"/>
      <c r="S21" s="45" t="n"/>
      <c r="T21" s="45" t="n"/>
      <c r="U21" s="46">
        <f>IF($F21="SUM",IF(COUNT($I21:$T21)=0,"",SUM($I21:$T21)),IF($F21="AVG",IFERROR(AVERAGE($I21:$T21),""),IF($F21="LAST",IFERROR(LOOKUP(2,1/($I21:$T21&lt;&gt;""),$I21:$T21),""),"")))</f>
        <v/>
      </c>
      <c r="V21" s="36">
        <f>IF($G21="","",IF($U21="","",IF($G21=0,IF($U21&lt;=0,1,0),IF($E21="↓",IFERROR($G21/$U21,0),IFERROR($U21/$G21,0)))))</f>
        <v/>
      </c>
      <c r="W21" s="16">
        <f>IF($V21="","—",IF($V21&gt;=1,"✅ محقق",IF($V21&gt;=0.85,"🟡 قريب","🔴 تحت الهدف")))</f>
        <v/>
      </c>
      <c r="X21" s="43" t="inlineStr">
        <is>
          <t>الاستدامة</t>
        </is>
      </c>
      <c r="Y21" s="19" t="inlineStr">
        <is>
          <t>جودة التشغيل</t>
        </is>
      </c>
    </row>
    <row r="22" ht="26" customHeight="1">
      <c r="A22" s="16" t="n">
        <v>19</v>
      </c>
      <c r="B22" s="19" t="inlineStr">
        <is>
          <t>الامتثال</t>
        </is>
      </c>
      <c r="C22" s="19" t="inlineStr">
        <is>
          <t>نسبة العقود المؤرشفة إلكترونياً خلال 48 ساعة</t>
        </is>
      </c>
      <c r="D22" s="38" t="inlineStr">
        <is>
          <t>%</t>
        </is>
      </c>
      <c r="E22" s="38" t="inlineStr">
        <is>
          <t>↑</t>
        </is>
      </c>
      <c r="F22" s="38" t="inlineStr">
        <is>
          <t>AVG</t>
        </is>
      </c>
      <c r="G22" s="44" t="n">
        <v>0.95</v>
      </c>
      <c r="H22" s="40" t="inlineStr">
        <is>
          <t>95%+</t>
        </is>
      </c>
      <c r="I22" s="45" t="n"/>
      <c r="J22" s="45" t="n"/>
      <c r="K22" s="45" t="n"/>
      <c r="L22" s="45" t="n"/>
      <c r="M22" s="45" t="n"/>
      <c r="N22" s="45" t="n"/>
      <c r="O22" s="45" t="n"/>
      <c r="P22" s="45" t="n"/>
      <c r="Q22" s="45" t="n"/>
      <c r="R22" s="45" t="n"/>
      <c r="S22" s="45" t="n"/>
      <c r="T22" s="45" t="n"/>
      <c r="U22" s="46">
        <f>IF($F22="SUM",IF(COUNT($I22:$T22)=0,"",SUM($I22:$T22)),IF($F22="AVG",IFERROR(AVERAGE($I22:$T22),""),IF($F22="LAST",IFERROR(LOOKUP(2,1/($I22:$T22&lt;&gt;""),$I22:$T22),""),"")))</f>
        <v/>
      </c>
      <c r="V22" s="36">
        <f>IF($G22="","",IF($U22="","",IF($G22=0,IF($U22&lt;=0,1,0),IF($E22="↓",IFERROR($G22/$U22,0),IFERROR($U22/$G22,0)))))</f>
        <v/>
      </c>
      <c r="W22" s="16">
        <f>IF($V22="","—",IF($V22&gt;=1,"✅ محقق",IF($V22&gt;=0.85,"🟡 قريب","🔴 تحت الهدف")))</f>
        <v/>
      </c>
      <c r="X22" s="43" t="inlineStr">
        <is>
          <t>الاستدامة</t>
        </is>
      </c>
      <c r="Y22" s="19" t="inlineStr">
        <is>
          <t>جودة التشغيل</t>
        </is>
      </c>
    </row>
    <row r="23" ht="26" customHeight="1">
      <c r="A23" s="16" t="n">
        <v>20</v>
      </c>
      <c r="B23" s="19" t="inlineStr">
        <is>
          <t>جودة التعاقد</t>
        </is>
      </c>
      <c r="C23" s="19" t="inlineStr">
        <is>
          <t>جودة التفاوض مع المستثمرين (توافق مع المستهدفات)</t>
        </is>
      </c>
      <c r="D23" s="38" t="inlineStr">
        <is>
          <t>%</t>
        </is>
      </c>
      <c r="E23" s="38" t="inlineStr">
        <is>
          <t>↑</t>
        </is>
      </c>
      <c r="F23" s="38" t="inlineStr">
        <is>
          <t>AVG</t>
        </is>
      </c>
      <c r="G23" s="44" t="n">
        <v>0.98</v>
      </c>
      <c r="H23" s="40" t="inlineStr">
        <is>
          <t>98%</t>
        </is>
      </c>
      <c r="I23" s="45" t="n"/>
      <c r="J23" s="45" t="n"/>
      <c r="K23" s="45" t="n"/>
      <c r="L23" s="45" t="n"/>
      <c r="M23" s="45" t="n"/>
      <c r="N23" s="45" t="n"/>
      <c r="O23" s="45" t="n"/>
      <c r="P23" s="45" t="n"/>
      <c r="Q23" s="45" t="n"/>
      <c r="R23" s="45" t="n"/>
      <c r="S23" s="45" t="n"/>
      <c r="T23" s="45" t="n"/>
      <c r="U23" s="46">
        <f>IF($F23="SUM",IF(COUNT($I23:$T23)=0,"",SUM($I23:$T23)),IF($F23="AVG",IFERROR(AVERAGE($I23:$T23),""),IF($F23="LAST",IFERROR(LOOKUP(2,1/($I23:$T23&lt;&gt;""),$I23:$T23),""),"")))</f>
        <v/>
      </c>
      <c r="V23" s="36">
        <f>IF($G23="","",IF($U23="","",IF($G23=0,IF($U23&lt;=0,1,0),IF($E23="↓",IFERROR($G23/$U23,0),IFERROR($U23/$G23,0)))))</f>
        <v/>
      </c>
      <c r="W23" s="16">
        <f>IF($V23="","—",IF($V23&gt;=1,"✅ محقق",IF($V23&gt;=0.85,"🟡 قريب","🔴 تحت الهدف")))</f>
        <v/>
      </c>
      <c r="X23" s="43" t="inlineStr">
        <is>
          <t>النمو</t>
        </is>
      </c>
      <c r="Y23" s="19" t="inlineStr">
        <is>
          <t>التوسع في المواقع</t>
        </is>
      </c>
    </row>
    <row r="24" ht="26" customHeight="1">
      <c r="A24" s="16" t="n">
        <v>21</v>
      </c>
      <c r="B24" s="19" t="inlineStr">
        <is>
          <t>جودة التعاقد</t>
        </is>
      </c>
      <c r="C24" s="19" t="inlineStr">
        <is>
          <t>سرعة إنجاز إجراءات التعاقد</t>
        </is>
      </c>
      <c r="D24" s="38" t="inlineStr">
        <is>
          <t>أسبوع</t>
        </is>
      </c>
      <c r="E24" s="38" t="inlineStr">
        <is>
          <t>↓</t>
        </is>
      </c>
      <c r="F24" s="38" t="inlineStr">
        <is>
          <t>AVG</t>
        </is>
      </c>
      <c r="G24" s="49" t="n">
        <v>1</v>
      </c>
      <c r="H24" s="40" t="inlineStr">
        <is>
          <t>≤ أسبوع</t>
        </is>
      </c>
      <c r="I24" s="50" t="n"/>
      <c r="J24" s="50" t="n"/>
      <c r="K24" s="50" t="n"/>
      <c r="L24" s="50" t="n"/>
      <c r="M24" s="50" t="n"/>
      <c r="N24" s="50" t="n"/>
      <c r="O24" s="50" t="n"/>
      <c r="P24" s="50" t="n"/>
      <c r="Q24" s="50" t="n"/>
      <c r="R24" s="50" t="n"/>
      <c r="S24" s="50" t="n"/>
      <c r="T24" s="50" t="n"/>
      <c r="U24" s="51">
        <f>IF($F24="SUM",IF(COUNT($I24:$T24)=0,"",SUM($I24:$T24)),IF($F24="AVG",IFERROR(AVERAGE($I24:$T24),""),IF($F24="LAST",IFERROR(LOOKUP(2,1/($I24:$T24&lt;&gt;""),$I24:$T24),""),"")))</f>
        <v/>
      </c>
      <c r="V24" s="36">
        <f>IF($G24="","",IF($U24="","",IF($G24=0,IF($U24&lt;=0,1,0),IF($E24="↓",IFERROR($G24/$U24,0),IFERROR($U24/$G24,0)))))</f>
        <v/>
      </c>
      <c r="W24" s="16">
        <f>IF($V24="","—",IF($V24&gt;=1,"✅ محقق",IF($V24&gt;=0.85,"🟡 قريب","🔴 تحت الهدف")))</f>
        <v/>
      </c>
      <c r="X24" s="43" t="inlineStr">
        <is>
          <t>النمو</t>
        </is>
      </c>
      <c r="Y24" s="19" t="inlineStr">
        <is>
          <t>التوسع في المواقع</t>
        </is>
      </c>
    </row>
    <row r="25" ht="26" customHeight="1">
      <c r="A25" s="16" t="n">
        <v>22</v>
      </c>
      <c r="B25" s="19" t="inlineStr">
        <is>
          <t>جودة التعاقد</t>
        </is>
      </c>
      <c r="C25" s="19" t="inlineStr">
        <is>
          <t>مدى رضا المستثمرين وشركاء الاستثمار</t>
        </is>
      </c>
      <c r="D25" s="38" t="inlineStr">
        <is>
          <t>%</t>
        </is>
      </c>
      <c r="E25" s="38" t="inlineStr">
        <is>
          <t>↑</t>
        </is>
      </c>
      <c r="F25" s="38" t="inlineStr">
        <is>
          <t>AVG</t>
        </is>
      </c>
      <c r="G25" s="44" t="n">
        <v>0.8</v>
      </c>
      <c r="H25" s="40" t="inlineStr">
        <is>
          <t>80%+</t>
        </is>
      </c>
      <c r="I25" s="45" t="n"/>
      <c r="J25" s="45" t="n"/>
      <c r="K25" s="45" t="n"/>
      <c r="L25" s="45" t="n"/>
      <c r="M25" s="45" t="n"/>
      <c r="N25" s="45" t="n"/>
      <c r="O25" s="45" t="n"/>
      <c r="P25" s="45" t="n"/>
      <c r="Q25" s="45" t="n"/>
      <c r="R25" s="45" t="n"/>
      <c r="S25" s="45" t="n"/>
      <c r="T25" s="45" t="n"/>
      <c r="U25" s="46">
        <f>IF($F25="SUM",IF(COUNT($I25:$T25)=0,"",SUM($I25:$T25)),IF($F25="AVG",IFERROR(AVERAGE($I25:$T25),""),IF($F25="LAST",IFERROR(LOOKUP(2,1/($I25:$T25&lt;&gt;""),$I25:$T25),""),"")))</f>
        <v/>
      </c>
      <c r="V25" s="36">
        <f>IF($G25="","",IF($U25="","",IF($G25=0,IF($U25&lt;=0,1,0),IF($E25="↓",IFERROR($G25/$U25,0),IFERROR($U25/$G25,0)))))</f>
        <v/>
      </c>
      <c r="W25" s="16">
        <f>IF($V25="","—",IF($V25&gt;=1,"✅ محقق",IF($V25&gt;=0.85,"🟡 قريب","🔴 تحت الهدف")))</f>
        <v/>
      </c>
      <c r="X25" s="43" t="inlineStr">
        <is>
          <t>الاستدامة</t>
        </is>
      </c>
      <c r="Y25" s="19" t="inlineStr">
        <is>
          <t>تعزيز تجربة العملاء</t>
        </is>
      </c>
    </row>
    <row r="26" ht="26" customHeight="1">
      <c r="A26" s="16" t="n">
        <v>23</v>
      </c>
      <c r="B26" s="19" t="inlineStr">
        <is>
          <t>جودة التعاقد</t>
        </is>
      </c>
      <c r="C26" s="19" t="inlineStr">
        <is>
          <t>نسبة اكتمال أرشفة ملفات العملاء</t>
        </is>
      </c>
      <c r="D26" s="38" t="inlineStr">
        <is>
          <t>%</t>
        </is>
      </c>
      <c r="E26" s="38" t="inlineStr">
        <is>
          <t>↑</t>
        </is>
      </c>
      <c r="F26" s="38" t="inlineStr">
        <is>
          <t>AVG</t>
        </is>
      </c>
      <c r="G26" s="44" t="n">
        <v>1</v>
      </c>
      <c r="H26" s="40" t="inlineStr">
        <is>
          <t>100%</t>
        </is>
      </c>
      <c r="I26" s="45" t="n"/>
      <c r="J26" s="45" t="n"/>
      <c r="K26" s="45" t="n"/>
      <c r="L26" s="45" t="n"/>
      <c r="M26" s="45" t="n"/>
      <c r="N26" s="45" t="n"/>
      <c r="O26" s="45" t="n"/>
      <c r="P26" s="45" t="n"/>
      <c r="Q26" s="45" t="n"/>
      <c r="R26" s="45" t="n"/>
      <c r="S26" s="45" t="n"/>
      <c r="T26" s="45" t="n"/>
      <c r="U26" s="46">
        <f>IF($F26="SUM",IF(COUNT($I26:$T26)=0,"",SUM($I26:$T26)),IF($F26="AVG",IFERROR(AVERAGE($I26:$T26),""),IF($F26="LAST",IFERROR(LOOKUP(2,1/($I26:$T26&lt;&gt;""),$I26:$T26),""),"")))</f>
        <v/>
      </c>
      <c r="V26" s="36">
        <f>IF($G26="","",IF($U26="","",IF($G26=0,IF($U26&lt;=0,1,0),IF($E26="↓",IFERROR($G26/$U26,0),IFERROR($U26/$G26,0)))))</f>
        <v/>
      </c>
      <c r="W26" s="16">
        <f>IF($V26="","—",IF($V26&gt;=1,"✅ محقق",IF($V26&gt;=0.85,"🟡 قريب","🔴 تحت الهدف")))</f>
        <v/>
      </c>
      <c r="X26" s="43" t="inlineStr">
        <is>
          <t>الاستدامة</t>
        </is>
      </c>
      <c r="Y26" s="19" t="inlineStr">
        <is>
          <t>جودة التشغيل</t>
        </is>
      </c>
    </row>
    <row r="27" ht="26" customHeight="1">
      <c r="A27" s="16" t="n">
        <v>24</v>
      </c>
      <c r="B27" s="19" t="inlineStr">
        <is>
          <t>جودة التعاقد</t>
        </is>
      </c>
      <c r="C27" s="19" t="inlineStr">
        <is>
          <t>نسبة إنجاز التقارير الدورية في موعدها</t>
        </is>
      </c>
      <c r="D27" s="38" t="inlineStr">
        <is>
          <t>%</t>
        </is>
      </c>
      <c r="E27" s="38" t="inlineStr">
        <is>
          <t>↑</t>
        </is>
      </c>
      <c r="F27" s="38" t="inlineStr">
        <is>
          <t>AVG</t>
        </is>
      </c>
      <c r="G27" s="44" t="n">
        <v>1</v>
      </c>
      <c r="H27" s="40" t="inlineStr">
        <is>
          <t>100%</t>
        </is>
      </c>
      <c r="I27" s="45" t="n"/>
      <c r="J27" s="45" t="n"/>
      <c r="K27" s="45" t="n"/>
      <c r="L27" s="45" t="n"/>
      <c r="M27" s="45" t="n"/>
      <c r="N27" s="45" t="n"/>
      <c r="O27" s="45" t="n"/>
      <c r="P27" s="45" t="n"/>
      <c r="Q27" s="45" t="n"/>
      <c r="R27" s="45" t="n"/>
      <c r="S27" s="45" t="n"/>
      <c r="T27" s="45" t="n"/>
      <c r="U27" s="46">
        <f>IF($F27="SUM",IF(COUNT($I27:$T27)=0,"",SUM($I27:$T27)),IF($F27="AVG",IFERROR(AVERAGE($I27:$T27),""),IF($F27="LAST",IFERROR(LOOKUP(2,1/($I27:$T27&lt;&gt;""),$I27:$T27),""),"")))</f>
        <v/>
      </c>
      <c r="V27" s="36">
        <f>IF($G27="","",IF($U27="","",IF($G27=0,IF($U27&lt;=0,1,0),IF($E27="↓",IFERROR($G27/$U27,0),IFERROR($U27/$G27,0)))))</f>
        <v/>
      </c>
      <c r="W27" s="16">
        <f>IF($V27="","—",IF($V27&gt;=1,"✅ محقق",IF($V27&gt;=0.85,"🟡 قريب","🔴 تحت الهدف")))</f>
        <v/>
      </c>
      <c r="X27" s="43" t="inlineStr">
        <is>
          <t>الاستدامة</t>
        </is>
      </c>
      <c r="Y27" s="19" t="inlineStr">
        <is>
          <t>جودة التشغيل</t>
        </is>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Y2"/>
    <mergeCell ref="A1:Y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9"/>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s>
  <sheetData>
    <row r="1" ht="30" customHeight="1">
      <c r="A1" s="13" t="inlineStr">
        <is>
          <t>إدارة العقار · مؤشرات الأداء 2026  (16 مؤشر / 6 محاور)</t>
        </is>
      </c>
    </row>
    <row r="2">
      <c r="A2" s="37" t="inlineStr">
        <is>
          <t>🟩 الخلايا الخضراء = إدخال شهري للمسؤول  ·  باقي الأعمدة محسوبة/مقفولة  ·  كل مؤشر يغذّي ركيزته ومشروعه</t>
        </is>
      </c>
    </row>
    <row r="3" ht="34" customHeight="1">
      <c r="A3" s="15" t="inlineStr">
        <is>
          <t>#</t>
        </is>
      </c>
      <c r="B3" s="15" t="inlineStr">
        <is>
          <t>المحور</t>
        </is>
      </c>
      <c r="C3" s="15" t="inlineStr">
        <is>
          <t>المؤشر</t>
        </is>
      </c>
      <c r="D3" s="15" t="inlineStr">
        <is>
          <t>الوحدة</t>
        </is>
      </c>
      <c r="E3" s="15" t="inlineStr">
        <is>
          <t>القطبية</t>
        </is>
      </c>
      <c r="F3" s="15" t="inlineStr">
        <is>
          <t>التجميع</t>
        </is>
      </c>
      <c r="G3" s="15" t="inlineStr">
        <is>
          <t>المستهدف</t>
        </is>
      </c>
      <c r="H3" s="15" t="inlineStr">
        <is>
          <t>نص المستهدف</t>
        </is>
      </c>
      <c r="I3" s="15" t="inlineStr">
        <is>
          <t>يناير</t>
        </is>
      </c>
      <c r="J3" s="15" t="inlineStr">
        <is>
          <t>فبراير</t>
        </is>
      </c>
      <c r="K3" s="15" t="inlineStr">
        <is>
          <t>مارس</t>
        </is>
      </c>
      <c r="L3" s="15" t="inlineStr">
        <is>
          <t>أبريل</t>
        </is>
      </c>
      <c r="M3" s="15" t="inlineStr">
        <is>
          <t>مايو</t>
        </is>
      </c>
      <c r="N3" s="15" t="inlineStr">
        <is>
          <t>يونيو</t>
        </is>
      </c>
      <c r="O3" s="15" t="inlineStr">
        <is>
          <t>يوليو</t>
        </is>
      </c>
      <c r="P3" s="15" t="inlineStr">
        <is>
          <t>أغسطس</t>
        </is>
      </c>
      <c r="Q3" s="15" t="inlineStr">
        <is>
          <t>سبتمبر</t>
        </is>
      </c>
      <c r="R3" s="15" t="inlineStr">
        <is>
          <t>أكتوبر</t>
        </is>
      </c>
      <c r="S3" s="15" t="inlineStr">
        <is>
          <t>نوفمبر</t>
        </is>
      </c>
      <c r="T3" s="15" t="inlineStr">
        <is>
          <t>ديسمبر</t>
        </is>
      </c>
      <c r="U3" s="15" t="inlineStr">
        <is>
          <t>YTD</t>
        </is>
      </c>
      <c r="V3" s="15" t="inlineStr">
        <is>
          <t>نسبة التحقيق</t>
        </is>
      </c>
      <c r="W3" s="15" t="inlineStr">
        <is>
          <t>الحالة</t>
        </is>
      </c>
      <c r="X3" s="15" t="inlineStr">
        <is>
          <t>الركيزة (5س)</t>
        </is>
      </c>
      <c r="Y3" s="15" t="inlineStr">
        <is>
          <t>المشروع (الخارطة)</t>
        </is>
      </c>
    </row>
    <row r="4" ht="26" customHeight="1">
      <c r="A4" s="16" t="n">
        <v>1</v>
      </c>
      <c r="B4" s="19" t="inlineStr">
        <is>
          <t>الإدارة</t>
        </is>
      </c>
      <c r="C4" s="19" t="inlineStr">
        <is>
          <t>نمو الإيرادات الإيجارية</t>
        </is>
      </c>
      <c r="D4" s="38" t="inlineStr">
        <is>
          <t>%</t>
        </is>
      </c>
      <c r="E4" s="38" t="inlineStr">
        <is>
          <t>↑</t>
        </is>
      </c>
      <c r="F4" s="38" t="inlineStr">
        <is>
          <t>AVG</t>
        </is>
      </c>
      <c r="G4" s="44" t="n">
        <v>0.08</v>
      </c>
      <c r="H4" s="40" t="inlineStr">
        <is>
          <t>&gt; 8% سنوياً</t>
        </is>
      </c>
      <c r="I4" s="45" t="n"/>
      <c r="J4" s="45" t="n"/>
      <c r="K4" s="45" t="n"/>
      <c r="L4" s="45" t="n"/>
      <c r="M4" s="45" t="n"/>
      <c r="N4" s="45" t="n"/>
      <c r="O4" s="45" t="n"/>
      <c r="P4" s="45" t="n"/>
      <c r="Q4" s="45" t="n"/>
      <c r="R4" s="45" t="n"/>
      <c r="S4" s="45" t="n"/>
      <c r="T4" s="45" t="n"/>
      <c r="U4" s="46">
        <f>IF($F4="SUM",IF(COUNT($I4:$T4)=0,"",SUM($I4:$T4)),IF($F4="AVG",IFERROR(AVERAGE($I4:$T4),""),IF($F4="LAST",IFERROR(LOOKUP(2,1/($I4:$T4&lt;&gt;""),$I4:$T4),""),"")))</f>
        <v/>
      </c>
      <c r="V4" s="36">
        <f>IF($G4="","",IF($U4="","",IF($G4=0,IF($U4&lt;=0,1,0),IF($E4="↓",IFERROR($G4/$U4,0),IFERROR($U4/$G4,0)))))</f>
        <v/>
      </c>
      <c r="W4" s="16">
        <f>IF($V4="","—",IF($V4&gt;=1,"✅ محقق",IF($V4&gt;=0.85,"🟡 قريب","🔴 تحت الهدف")))</f>
        <v/>
      </c>
      <c r="X4" s="43" t="inlineStr">
        <is>
          <t>الاستدامة</t>
        </is>
      </c>
      <c r="Y4" s="19" t="inlineStr">
        <is>
          <t>منظومة التأجير</t>
        </is>
      </c>
    </row>
    <row r="5" ht="26" customHeight="1">
      <c r="A5" s="16" t="n">
        <v>2</v>
      </c>
      <c r="B5" s="19" t="inlineStr">
        <is>
          <t>الإدارة</t>
        </is>
      </c>
      <c r="C5" s="19" t="inlineStr">
        <is>
          <t>نسبة الالتزام بالعقود</t>
        </is>
      </c>
      <c r="D5" s="38" t="inlineStr">
        <is>
          <t>%</t>
        </is>
      </c>
      <c r="E5" s="38" t="inlineStr">
        <is>
          <t>↑</t>
        </is>
      </c>
      <c r="F5" s="38" t="inlineStr">
        <is>
          <t>AVG</t>
        </is>
      </c>
      <c r="G5" s="44" t="n">
        <v>1</v>
      </c>
      <c r="H5" s="40" t="inlineStr">
        <is>
          <t>100%</t>
        </is>
      </c>
      <c r="I5" s="45" t="n"/>
      <c r="J5" s="45" t="n"/>
      <c r="K5" s="45" t="n"/>
      <c r="L5" s="45" t="n"/>
      <c r="M5" s="45" t="n"/>
      <c r="N5" s="45" t="n"/>
      <c r="O5" s="45" t="n"/>
      <c r="P5" s="45" t="n"/>
      <c r="Q5" s="45" t="n"/>
      <c r="R5" s="45" t="n"/>
      <c r="S5" s="45" t="n"/>
      <c r="T5" s="45" t="n"/>
      <c r="U5" s="46">
        <f>IF($F5="SUM",IF(COUNT($I5:$T5)=0,"",SUM($I5:$T5)),IF($F5="AVG",IFERROR(AVERAGE($I5:$T5),""),IF($F5="LAST",IFERROR(LOOKUP(2,1/($I5:$T5&lt;&gt;""),$I5:$T5),""),"")))</f>
        <v/>
      </c>
      <c r="V5" s="36">
        <f>IF($G5="","",IF($U5="","",IF($G5=0,IF($U5&lt;=0,1,0),IF($E5="↓",IFERROR($G5/$U5,0),IFERROR($U5/$G5,0)))))</f>
        <v/>
      </c>
      <c r="W5" s="16">
        <f>IF($V5="","—",IF($V5&gt;=1,"✅ محقق",IF($V5&gt;=0.85,"🟡 قريب","🔴 تحت الهدف")))</f>
        <v/>
      </c>
      <c r="X5" s="43" t="inlineStr">
        <is>
          <t>الاستدامة</t>
        </is>
      </c>
      <c r="Y5" s="19" t="inlineStr">
        <is>
          <t>منظومة التأجير</t>
        </is>
      </c>
    </row>
    <row r="6" ht="26" customHeight="1">
      <c r="A6" s="16" t="n">
        <v>3</v>
      </c>
      <c r="B6" s="19" t="inlineStr">
        <is>
          <t>الإدارة</t>
        </is>
      </c>
      <c r="C6" s="19" t="inlineStr">
        <is>
          <t>نسبة التحصيل</t>
        </is>
      </c>
      <c r="D6" s="38" t="inlineStr">
        <is>
          <t>%</t>
        </is>
      </c>
      <c r="E6" s="38" t="inlineStr">
        <is>
          <t>↑</t>
        </is>
      </c>
      <c r="F6" s="38" t="inlineStr">
        <is>
          <t>AVG</t>
        </is>
      </c>
      <c r="G6" s="44" t="n">
        <v>0.95</v>
      </c>
      <c r="H6" s="40" t="inlineStr">
        <is>
          <t>&gt; 95%</t>
        </is>
      </c>
      <c r="I6" s="45" t="n"/>
      <c r="J6" s="45" t="n"/>
      <c r="K6" s="45" t="n"/>
      <c r="L6" s="45" t="n"/>
      <c r="M6" s="45" t="n"/>
      <c r="N6" s="45" t="n"/>
      <c r="O6" s="45" t="n"/>
      <c r="P6" s="45" t="n"/>
      <c r="Q6" s="45" t="n"/>
      <c r="R6" s="45" t="n"/>
      <c r="S6" s="45" t="n"/>
      <c r="T6" s="45" t="n"/>
      <c r="U6" s="46">
        <f>IF($F6="SUM",IF(COUNT($I6:$T6)=0,"",SUM($I6:$T6)),IF($F6="AVG",IFERROR(AVERAGE($I6:$T6),""),IF($F6="LAST",IFERROR(LOOKUP(2,1/($I6:$T6&lt;&gt;""),$I6:$T6),""),"")))</f>
        <v/>
      </c>
      <c r="V6" s="36">
        <f>IF($G6="","",IF($U6="","",IF($G6=0,IF($U6&lt;=0,1,0),IF($E6="↓",IFERROR($G6/$U6,0),IFERROR($U6/$G6,0)))))</f>
        <v/>
      </c>
      <c r="W6" s="16">
        <f>IF($V6="","—",IF($V6&gt;=1,"✅ محقق",IF($V6&gt;=0.85,"🟡 قريب","🔴 تحت الهدف")))</f>
        <v/>
      </c>
      <c r="X6" s="43" t="inlineStr">
        <is>
          <t>الاستدامة</t>
        </is>
      </c>
      <c r="Y6" s="19" t="inlineStr">
        <is>
          <t>منظومة التأجير</t>
        </is>
      </c>
    </row>
    <row r="7" ht="26" customHeight="1">
      <c r="A7" s="16" t="n">
        <v>4</v>
      </c>
      <c r="B7" s="19" t="inlineStr">
        <is>
          <t>التأجير</t>
        </is>
      </c>
      <c r="C7" s="19" t="inlineStr">
        <is>
          <t>نسبة الإشغال</t>
        </is>
      </c>
      <c r="D7" s="38" t="inlineStr">
        <is>
          <t>%</t>
        </is>
      </c>
      <c r="E7" s="38" t="inlineStr">
        <is>
          <t>↑</t>
        </is>
      </c>
      <c r="F7" s="38" t="inlineStr">
        <is>
          <t>AVG</t>
        </is>
      </c>
      <c r="G7" s="44" t="n">
        <v>0.6</v>
      </c>
      <c r="H7" s="40" t="inlineStr">
        <is>
          <t>≥ 60%</t>
        </is>
      </c>
      <c r="I7" s="45" t="n"/>
      <c r="J7" s="45" t="n"/>
      <c r="K7" s="45" t="n"/>
      <c r="L7" s="45" t="n"/>
      <c r="M7" s="45" t="n"/>
      <c r="N7" s="45" t="n"/>
      <c r="O7" s="45" t="n"/>
      <c r="P7" s="45" t="n"/>
      <c r="Q7" s="45" t="n"/>
      <c r="R7" s="45" t="n"/>
      <c r="S7" s="45" t="n"/>
      <c r="T7" s="45" t="n"/>
      <c r="U7" s="46">
        <f>IF($F7="SUM",IF(COUNT($I7:$T7)=0,"",SUM($I7:$T7)),IF($F7="AVG",IFERROR(AVERAGE($I7:$T7),""),IF($F7="LAST",IFERROR(LOOKUP(2,1/($I7:$T7&lt;&gt;""),$I7:$T7),""),"")))</f>
        <v/>
      </c>
      <c r="V7" s="36">
        <f>IF($G7="","",IF($U7="","",IF($G7=0,IF($U7&lt;=0,1,0),IF($E7="↓",IFERROR($G7/$U7,0),IFERROR($U7/$G7,0)))))</f>
        <v/>
      </c>
      <c r="W7" s="16">
        <f>IF($V7="","—",IF($V7&gt;=1,"✅ محقق",IF($V7&gt;=0.85,"🟡 قريب","🔴 تحت الهدف")))</f>
        <v/>
      </c>
      <c r="X7" s="43" t="inlineStr">
        <is>
          <t>الاستدامة</t>
        </is>
      </c>
      <c r="Y7" s="19" t="inlineStr">
        <is>
          <t>منظومة التأجير</t>
        </is>
      </c>
    </row>
    <row r="8" ht="26" customHeight="1">
      <c r="A8" s="16" t="n">
        <v>5</v>
      </c>
      <c r="B8" s="19" t="inlineStr">
        <is>
          <t>التأجير</t>
        </is>
      </c>
      <c r="C8" s="19" t="inlineStr">
        <is>
          <t>الوحدات المؤجَّرة شهرياً</t>
        </is>
      </c>
      <c r="D8" s="38" t="inlineStr">
        <is>
          <t>وحدة</t>
        </is>
      </c>
      <c r="E8" s="38" t="inlineStr">
        <is>
          <t>↑</t>
        </is>
      </c>
      <c r="F8" s="38" t="inlineStr">
        <is>
          <t>AVG</t>
        </is>
      </c>
      <c r="G8" s="39" t="n">
        <v>68</v>
      </c>
      <c r="H8" s="40" t="inlineStr">
        <is>
          <t>68 شهرياً</t>
        </is>
      </c>
      <c r="I8" s="41" t="n"/>
      <c r="J8" s="41" t="n"/>
      <c r="K8" s="41" t="n"/>
      <c r="L8" s="41" t="n"/>
      <c r="M8" s="41" t="n"/>
      <c r="N8" s="41" t="n"/>
      <c r="O8" s="41" t="n"/>
      <c r="P8" s="41" t="n"/>
      <c r="Q8" s="41" t="n"/>
      <c r="R8" s="41" t="n"/>
      <c r="S8" s="41" t="n"/>
      <c r="T8" s="41" t="n"/>
      <c r="U8" s="42">
        <f>IF($F8="SUM",IF(COUNT($I8:$T8)=0,"",SUM($I8:$T8)),IF($F8="AVG",IFERROR(AVERAGE($I8:$T8),""),IF($F8="LAST",IFERROR(LOOKUP(2,1/($I8:$T8&lt;&gt;""),$I8:$T8),""),"")))</f>
        <v/>
      </c>
      <c r="V8" s="36">
        <f>IF($G8="","",IF($U8="","",IF($G8=0,IF($U8&lt;=0,1,0),IF($E8="↓",IFERROR($G8/$U8,0),IFERROR($U8/$G8,0)))))</f>
        <v/>
      </c>
      <c r="W8" s="16">
        <f>IF($V8="","—",IF($V8&gt;=1,"✅ محقق",IF($V8&gt;=0.85,"🟡 قريب","🔴 تحت الهدف")))</f>
        <v/>
      </c>
      <c r="X8" s="43" t="inlineStr">
        <is>
          <t>الاستدامة</t>
        </is>
      </c>
      <c r="Y8" s="19" t="inlineStr">
        <is>
          <t>منظومة التأجير</t>
        </is>
      </c>
    </row>
    <row r="9" ht="26" customHeight="1">
      <c r="A9" s="16" t="n">
        <v>6</v>
      </c>
      <c r="B9" s="19" t="inlineStr">
        <is>
          <t>التأجير</t>
        </is>
      </c>
      <c r="C9" s="19" t="inlineStr">
        <is>
          <t>العملاء المحتملون (LEADS)</t>
        </is>
      </c>
      <c r="D9" s="38" t="inlineStr">
        <is>
          <t>عميل</t>
        </is>
      </c>
      <c r="E9" s="38" t="inlineStr">
        <is>
          <t>↑</t>
        </is>
      </c>
      <c r="F9" s="38" t="inlineStr">
        <is>
          <t>AVG</t>
        </is>
      </c>
      <c r="G9" s="39" t="n">
        <v>680</v>
      </c>
      <c r="H9" s="40" t="inlineStr">
        <is>
          <t>544–680</t>
        </is>
      </c>
      <c r="I9" s="41" t="n"/>
      <c r="J9" s="41" t="n"/>
      <c r="K9" s="41" t="n"/>
      <c r="L9" s="41" t="n"/>
      <c r="M9" s="41" t="n"/>
      <c r="N9" s="41" t="n"/>
      <c r="O9" s="41" t="n"/>
      <c r="P9" s="41" t="n"/>
      <c r="Q9" s="41" t="n"/>
      <c r="R9" s="41" t="n"/>
      <c r="S9" s="41" t="n"/>
      <c r="T9" s="41" t="n"/>
      <c r="U9" s="42">
        <f>IF($F9="SUM",IF(COUNT($I9:$T9)=0,"",SUM($I9:$T9)),IF($F9="AVG",IFERROR(AVERAGE($I9:$T9),""),IF($F9="LAST",IFERROR(LOOKUP(2,1/($I9:$T9&lt;&gt;""),$I9:$T9),""),"")))</f>
        <v/>
      </c>
      <c r="V9" s="36">
        <f>IF($G9="","",IF($U9="","",IF($G9=0,IF($U9&lt;=0,1,0),IF($E9="↓",IFERROR($G9/$U9,0),IFERROR($U9/$G9,0)))))</f>
        <v/>
      </c>
      <c r="W9" s="16">
        <f>IF($V9="","—",IF($V9&gt;=1,"✅ محقق",IF($V9&gt;=0.85,"🟡 قريب","🔴 تحت الهدف")))</f>
        <v/>
      </c>
      <c r="X9" s="43" t="inlineStr">
        <is>
          <t>النمو</t>
        </is>
      </c>
      <c r="Y9" s="19" t="inlineStr">
        <is>
          <t>زيادة وصول العملاء</t>
        </is>
      </c>
    </row>
    <row r="10" ht="26" customHeight="1">
      <c r="A10" s="16" t="n">
        <v>7</v>
      </c>
      <c r="B10" s="19" t="inlineStr">
        <is>
          <t>التأجير</t>
        </is>
      </c>
      <c r="C10" s="19" t="inlineStr">
        <is>
          <t>معدل التحويل</t>
        </is>
      </c>
      <c r="D10" s="38" t="inlineStr">
        <is>
          <t>%</t>
        </is>
      </c>
      <c r="E10" s="38" t="inlineStr">
        <is>
          <t>↑</t>
        </is>
      </c>
      <c r="F10" s="38" t="inlineStr">
        <is>
          <t>AVG</t>
        </is>
      </c>
      <c r="G10" s="44" t="n">
        <v>0.2</v>
      </c>
      <c r="H10" s="40" t="inlineStr">
        <is>
          <t>15–25%</t>
        </is>
      </c>
      <c r="I10" s="45" t="n"/>
      <c r="J10" s="45" t="n"/>
      <c r="K10" s="45" t="n"/>
      <c r="L10" s="45" t="n"/>
      <c r="M10" s="45" t="n"/>
      <c r="N10" s="45" t="n"/>
      <c r="O10" s="45" t="n"/>
      <c r="P10" s="45" t="n"/>
      <c r="Q10" s="45" t="n"/>
      <c r="R10" s="45" t="n"/>
      <c r="S10" s="45" t="n"/>
      <c r="T10" s="45" t="n"/>
      <c r="U10" s="46">
        <f>IF($F10="SUM",IF(COUNT($I10:$T10)=0,"",SUM($I10:$T10)),IF($F10="AVG",IFERROR(AVERAGE($I10:$T10),""),IF($F10="LAST",IFERROR(LOOKUP(2,1/($I10:$T10&lt;&gt;""),$I10:$T10),""),"")))</f>
        <v/>
      </c>
      <c r="V10" s="36">
        <f>IF($G10="","",IF($U10="","",IF($G10=0,IF($U10&lt;=0,1,0),IF($E10="↓",IFERROR($G10/$U10,0),IFERROR($U10/$G10,0)))))</f>
        <v/>
      </c>
      <c r="W10" s="16">
        <f>IF($V10="","—",IF($V10&gt;=1,"✅ محقق",IF($V10&gt;=0.85,"🟡 قريب","🔴 تحت الهدف")))</f>
        <v/>
      </c>
      <c r="X10" s="43" t="inlineStr">
        <is>
          <t>النمو</t>
        </is>
      </c>
      <c r="Y10" s="19" t="inlineStr">
        <is>
          <t>زيادة وصول العملاء</t>
        </is>
      </c>
    </row>
    <row r="11" ht="26" customHeight="1">
      <c r="A11" s="16" t="n">
        <v>8</v>
      </c>
      <c r="B11" s="19" t="inlineStr">
        <is>
          <t>التأجير</t>
        </is>
      </c>
      <c r="C11" s="19" t="inlineStr">
        <is>
          <t>زيادة عدد العلامات التجارية</t>
        </is>
      </c>
      <c r="D11" s="38" t="inlineStr">
        <is>
          <t>علامة</t>
        </is>
      </c>
      <c r="E11" s="38" t="inlineStr">
        <is>
          <t>↑</t>
        </is>
      </c>
      <c r="F11" s="38" t="inlineStr">
        <is>
          <t>LAST</t>
        </is>
      </c>
      <c r="G11" s="39" t="n">
        <v>246</v>
      </c>
      <c r="H11" s="40" t="inlineStr">
        <is>
          <t>246 علامة</t>
        </is>
      </c>
      <c r="I11" s="41" t="n"/>
      <c r="J11" s="41" t="n"/>
      <c r="K11" s="41" t="n"/>
      <c r="L11" s="41" t="n"/>
      <c r="M11" s="41" t="n"/>
      <c r="N11" s="41" t="n"/>
      <c r="O11" s="41" t="n"/>
      <c r="P11" s="41" t="n"/>
      <c r="Q11" s="41" t="n"/>
      <c r="R11" s="41" t="n"/>
      <c r="S11" s="41" t="n"/>
      <c r="T11" s="41" t="n"/>
      <c r="U11" s="42">
        <f>IF($F11="SUM",IF(COUNT($I11:$T11)=0,"",SUM($I11:$T11)),IF($F11="AVG",IFERROR(AVERAGE($I11:$T11),""),IF($F11="LAST",IFERROR(LOOKUP(2,1/($I11:$T11&lt;&gt;""),$I11:$T11),""),"")))</f>
        <v/>
      </c>
      <c r="V11" s="36">
        <f>IF($G11="","",IF($U11="","",IF($G11=0,IF($U11&lt;=0,1,0),IF($E11="↓",IFERROR($G11/$U11,0),IFERROR($U11/$G11,0)))))</f>
        <v/>
      </c>
      <c r="W11" s="16">
        <f>IF($V11="","—",IF($V11&gt;=1,"✅ محقق",IF($V11&gt;=0.85,"🟡 قريب","🔴 تحت الهدف")))</f>
        <v/>
      </c>
      <c r="X11" s="43" t="inlineStr">
        <is>
          <t>الاستدامة</t>
        </is>
      </c>
      <c r="Y11" s="19" t="inlineStr">
        <is>
          <t>منظومة التأجير</t>
        </is>
      </c>
    </row>
    <row r="12" ht="26" customHeight="1">
      <c r="A12" s="16" t="n">
        <v>9</v>
      </c>
      <c r="B12" s="19" t="inlineStr">
        <is>
          <t>الإبداع والتكامل</t>
        </is>
      </c>
      <c r="C12" s="19" t="inlineStr">
        <is>
          <t>نسبة تأجير ساحة درب</t>
        </is>
      </c>
      <c r="D12" s="38" t="inlineStr">
        <is>
          <t>%</t>
        </is>
      </c>
      <c r="E12" s="38" t="inlineStr">
        <is>
          <t>↑</t>
        </is>
      </c>
      <c r="F12" s="38" t="inlineStr">
        <is>
          <t>LAST</t>
        </is>
      </c>
      <c r="G12" s="44" t="n">
        <v>0.8</v>
      </c>
      <c r="H12" s="40" t="inlineStr">
        <is>
          <t>≥ 80%</t>
        </is>
      </c>
      <c r="I12" s="45" t="n"/>
      <c r="J12" s="45" t="n"/>
      <c r="K12" s="45" t="n"/>
      <c r="L12" s="45" t="n"/>
      <c r="M12" s="45" t="n"/>
      <c r="N12" s="45" t="n"/>
      <c r="O12" s="45" t="n"/>
      <c r="P12" s="45" t="n"/>
      <c r="Q12" s="45" t="n"/>
      <c r="R12" s="45" t="n"/>
      <c r="S12" s="45" t="n"/>
      <c r="T12" s="45" t="n"/>
      <c r="U12" s="46">
        <f>IF($F12="SUM",IF(COUNT($I12:$T12)=0,"",SUM($I12:$T12)),IF($F12="AVG",IFERROR(AVERAGE($I12:$T12),""),IF($F12="LAST",IFERROR(LOOKUP(2,1/($I12:$T12&lt;&gt;""),$I12:$T12),""),"")))</f>
        <v/>
      </c>
      <c r="V12" s="36">
        <f>IF($G12="","",IF($U12="","",IF($G12=0,IF($U12&lt;=0,1,0),IF($E12="↓",IFERROR($G12/$U12,0),IFERROR($U12/$G12,0)))))</f>
        <v/>
      </c>
      <c r="W12" s="16">
        <f>IF($V12="","—",IF($V12&gt;=1,"✅ محقق",IF($V12&gt;=0.85,"🟡 قريب","🔴 تحت الهدف")))</f>
        <v/>
      </c>
      <c r="X12" s="43" t="inlineStr">
        <is>
          <t>الابتكار</t>
        </is>
      </c>
      <c r="Y12" s="19" t="inlineStr">
        <is>
          <t>ساحات درب</t>
        </is>
      </c>
    </row>
    <row r="13" ht="26" customHeight="1">
      <c r="A13" s="16" t="n">
        <v>10</v>
      </c>
      <c r="B13" s="19" t="inlineStr">
        <is>
          <t>الإبداع والتكامل</t>
        </is>
      </c>
      <c r="C13" s="19" t="inlineStr">
        <is>
          <t>علامات تجارية جديدة (ساحة درب)</t>
        </is>
      </c>
      <c r="D13" s="38" t="inlineStr">
        <is>
          <t>علامة</t>
        </is>
      </c>
      <c r="E13" s="38" t="inlineStr">
        <is>
          <t>↑</t>
        </is>
      </c>
      <c r="F13" s="38" t="inlineStr">
        <is>
          <t>SUM</t>
        </is>
      </c>
      <c r="G13" s="39" t="n">
        <v>6</v>
      </c>
      <c r="H13" s="40" t="inlineStr">
        <is>
          <t>6 علامات</t>
        </is>
      </c>
      <c r="I13" s="41" t="n"/>
      <c r="J13" s="41" t="n"/>
      <c r="K13" s="41" t="n"/>
      <c r="L13" s="41" t="n"/>
      <c r="M13" s="41" t="n"/>
      <c r="N13" s="41" t="n"/>
      <c r="O13" s="41" t="n"/>
      <c r="P13" s="41" t="n"/>
      <c r="Q13" s="41" t="n"/>
      <c r="R13" s="41" t="n"/>
      <c r="S13" s="41" t="n"/>
      <c r="T13" s="41" t="n"/>
      <c r="U13" s="42">
        <f>IF($F13="SUM",IF(COUNT($I13:$T13)=0,"",SUM($I13:$T13)),IF($F13="AVG",IFERROR(AVERAGE($I13:$T13),""),IF($F13="LAST",IFERROR(LOOKUP(2,1/($I13:$T13&lt;&gt;""),$I13:$T13),""),"")))</f>
        <v/>
      </c>
      <c r="V13" s="36">
        <f>IF($G13="","",IF($U13="","",IF($G13=0,IF($U13&lt;=0,1,0),IF($E13="↓",IFERROR($G13/$U13,0),IFERROR($U13/$G13,0)))))</f>
        <v/>
      </c>
      <c r="W13" s="16">
        <f>IF($V13="","—",IF($V13&gt;=1,"✅ محقق",IF($V13&gt;=0.85,"🟡 قريب","🔴 تحت الهدف")))</f>
        <v/>
      </c>
      <c r="X13" s="43" t="inlineStr">
        <is>
          <t>الابتكار</t>
        </is>
      </c>
      <c r="Y13" s="19" t="inlineStr">
        <is>
          <t>ساحات درب</t>
        </is>
      </c>
    </row>
    <row r="14" ht="26" customHeight="1">
      <c r="A14" s="16" t="n">
        <v>11</v>
      </c>
      <c r="B14" s="19" t="inlineStr">
        <is>
          <t>الإبداع والتكامل</t>
        </is>
      </c>
      <c r="C14" s="19" t="inlineStr">
        <is>
          <t>الشراكات الاستراتيجية</t>
        </is>
      </c>
      <c r="D14" s="38" t="inlineStr">
        <is>
          <t>شراكة</t>
        </is>
      </c>
      <c r="E14" s="38" t="inlineStr">
        <is>
          <t>↑</t>
        </is>
      </c>
      <c r="F14" s="38" t="inlineStr">
        <is>
          <t>SUM</t>
        </is>
      </c>
      <c r="G14" s="39" t="n">
        <v>5</v>
      </c>
      <c r="H14" s="40" t="inlineStr">
        <is>
          <t>5 شراكات</t>
        </is>
      </c>
      <c r="I14" s="41" t="n"/>
      <c r="J14" s="41" t="n"/>
      <c r="K14" s="41" t="n"/>
      <c r="L14" s="41" t="n"/>
      <c r="M14" s="41" t="n"/>
      <c r="N14" s="41" t="n"/>
      <c r="O14" s="41" t="n"/>
      <c r="P14" s="41" t="n"/>
      <c r="Q14" s="41" t="n"/>
      <c r="R14" s="41" t="n"/>
      <c r="S14" s="41" t="n"/>
      <c r="T14" s="41" t="n"/>
      <c r="U14" s="42">
        <f>IF($F14="SUM",IF(COUNT($I14:$T14)=0,"",SUM($I14:$T14)),IF($F14="AVG",IFERROR(AVERAGE($I14:$T14),""),IF($F14="LAST",IFERROR(LOOKUP(2,1/($I14:$T14&lt;&gt;""),$I14:$T14),""),"")))</f>
        <v/>
      </c>
      <c r="V14" s="36">
        <f>IF($G14="","",IF($U14="","",IF($G14=0,IF($U14&lt;=0,1,0),IF($E14="↓",IFERROR($G14/$U14,0),IFERROR($U14/$G14,0)))))</f>
        <v/>
      </c>
      <c r="W14" s="16">
        <f>IF($V14="","—",IF($V14&gt;=1,"✅ محقق",IF($V14&gt;=0.85,"🟡 قريب","🔴 تحت الهدف")))</f>
        <v/>
      </c>
      <c r="X14" s="43" t="inlineStr">
        <is>
          <t>الابتكار</t>
        </is>
      </c>
      <c r="Y14" s="19" t="inlineStr">
        <is>
          <t>إطلاق مشاريع جديدة</t>
        </is>
      </c>
    </row>
    <row r="15" ht="26" customHeight="1">
      <c r="A15" s="16" t="n">
        <v>12</v>
      </c>
      <c r="B15" s="19" t="inlineStr">
        <is>
          <t>إدارة الأملاك</t>
        </is>
      </c>
      <c r="C15" s="19" t="inlineStr">
        <is>
          <t>نسبة تجديد العقود</t>
        </is>
      </c>
      <c r="D15" s="38" t="inlineStr">
        <is>
          <t>%</t>
        </is>
      </c>
      <c r="E15" s="38" t="inlineStr">
        <is>
          <t>↑</t>
        </is>
      </c>
      <c r="F15" s="38" t="inlineStr">
        <is>
          <t>AVG</t>
        </is>
      </c>
      <c r="G15" s="44" t="n">
        <v>1</v>
      </c>
      <c r="H15" s="40" t="inlineStr">
        <is>
          <t>100%</t>
        </is>
      </c>
      <c r="I15" s="45" t="n"/>
      <c r="J15" s="45" t="n"/>
      <c r="K15" s="45" t="n"/>
      <c r="L15" s="45" t="n"/>
      <c r="M15" s="45" t="n"/>
      <c r="N15" s="45" t="n"/>
      <c r="O15" s="45" t="n"/>
      <c r="P15" s="45" t="n"/>
      <c r="Q15" s="45" t="n"/>
      <c r="R15" s="45" t="n"/>
      <c r="S15" s="45" t="n"/>
      <c r="T15" s="45" t="n"/>
      <c r="U15" s="46">
        <f>IF($F15="SUM",IF(COUNT($I15:$T15)=0,"",SUM($I15:$T15)),IF($F15="AVG",IFERROR(AVERAGE($I15:$T15),""),IF($F15="LAST",IFERROR(LOOKUP(2,1/($I15:$T15&lt;&gt;""),$I15:$T15),""),"")))</f>
        <v/>
      </c>
      <c r="V15" s="36">
        <f>IF($G15="","",IF($U15="","",IF($G15=0,IF($U15&lt;=0,1,0),IF($E15="↓",IFERROR($G15/$U15,0),IFERROR($U15/$G15,0)))))</f>
        <v/>
      </c>
      <c r="W15" s="16">
        <f>IF($V15="","—",IF($V15&gt;=1,"✅ محقق",IF($V15&gt;=0.85,"🟡 قريب","🔴 تحت الهدف")))</f>
        <v/>
      </c>
      <c r="X15" s="43" t="inlineStr">
        <is>
          <t>الاستدامة</t>
        </is>
      </c>
      <c r="Y15" s="19" t="inlineStr">
        <is>
          <t>منظومة التأجير</t>
        </is>
      </c>
    </row>
    <row r="16" ht="26" customHeight="1">
      <c r="A16" s="16" t="n">
        <v>13</v>
      </c>
      <c r="B16" s="19" t="inlineStr">
        <is>
          <t>تنسيق المشاريع</t>
        </is>
      </c>
      <c r="C16" s="19" t="inlineStr">
        <is>
          <t>متوسط زمن تسليم الوحدة</t>
        </is>
      </c>
      <c r="D16" s="38" t="inlineStr">
        <is>
          <t>يوم</t>
        </is>
      </c>
      <c r="E16" s="38" t="inlineStr">
        <is>
          <t>↓</t>
        </is>
      </c>
      <c r="F16" s="38" t="inlineStr">
        <is>
          <t>AVG</t>
        </is>
      </c>
      <c r="G16" s="49" t="n">
        <v>7</v>
      </c>
      <c r="H16" s="40" t="inlineStr">
        <is>
          <t>≤ 7 أيام</t>
        </is>
      </c>
      <c r="I16" s="50" t="n"/>
      <c r="J16" s="50" t="n"/>
      <c r="K16" s="50" t="n"/>
      <c r="L16" s="50" t="n"/>
      <c r="M16" s="50" t="n"/>
      <c r="N16" s="50" t="n"/>
      <c r="O16" s="50" t="n"/>
      <c r="P16" s="50" t="n"/>
      <c r="Q16" s="50" t="n"/>
      <c r="R16" s="50" t="n"/>
      <c r="S16" s="50" t="n"/>
      <c r="T16" s="50" t="n"/>
      <c r="U16" s="51">
        <f>IF($F16="SUM",IF(COUNT($I16:$T16)=0,"",SUM($I16:$T16)),IF($F16="AVG",IFERROR(AVERAGE($I16:$T16),""),IF($F16="LAST",IFERROR(LOOKUP(2,1/($I16:$T16&lt;&gt;""),$I16:$T16),""),"")))</f>
        <v/>
      </c>
      <c r="V16" s="36">
        <f>IF($G16="","",IF($U16="","",IF($G16=0,IF($U16&lt;=0,1,0),IF($E16="↓",IFERROR($G16/$U16,0),IFERROR($U16/$G16,0)))))</f>
        <v/>
      </c>
      <c r="W16" s="16">
        <f>IF($V16="","—",IF($V16&gt;=1,"✅ محقق",IF($V16&gt;=0.85,"🟡 قريب","🔴 تحت الهدف")))</f>
        <v/>
      </c>
      <c r="X16" s="43" t="inlineStr">
        <is>
          <t>الاستدامة</t>
        </is>
      </c>
      <c r="Y16" s="19" t="inlineStr">
        <is>
          <t>جودة التشغيل</t>
        </is>
      </c>
    </row>
    <row r="17" ht="26" customHeight="1">
      <c r="A17" s="16" t="n">
        <v>14</v>
      </c>
      <c r="B17" s="19" t="inlineStr">
        <is>
          <t>تنسيق المشاريع</t>
        </is>
      </c>
      <c r="C17" s="19" t="inlineStr">
        <is>
          <t>نسبة إغلاق الطلبات خلال 3 أسابيع</t>
        </is>
      </c>
      <c r="D17" s="38" t="inlineStr">
        <is>
          <t>%</t>
        </is>
      </c>
      <c r="E17" s="38" t="inlineStr">
        <is>
          <t>↑</t>
        </is>
      </c>
      <c r="F17" s="38" t="inlineStr">
        <is>
          <t>AVG</t>
        </is>
      </c>
      <c r="G17" s="44" t="n">
        <v>0.9</v>
      </c>
      <c r="H17" s="40" t="inlineStr">
        <is>
          <t>&gt; 90%</t>
        </is>
      </c>
      <c r="I17" s="45" t="n"/>
      <c r="J17" s="45" t="n"/>
      <c r="K17" s="45" t="n"/>
      <c r="L17" s="45" t="n"/>
      <c r="M17" s="45" t="n"/>
      <c r="N17" s="45" t="n"/>
      <c r="O17" s="45" t="n"/>
      <c r="P17" s="45" t="n"/>
      <c r="Q17" s="45" t="n"/>
      <c r="R17" s="45" t="n"/>
      <c r="S17" s="45" t="n"/>
      <c r="T17" s="45" t="n"/>
      <c r="U17" s="46">
        <f>IF($F17="SUM",IF(COUNT($I17:$T17)=0,"",SUM($I17:$T17)),IF($F17="AVG",IFERROR(AVERAGE($I17:$T17),""),IF($F17="LAST",IFERROR(LOOKUP(2,1/($I17:$T17&lt;&gt;""),$I17:$T17),""),"")))</f>
        <v/>
      </c>
      <c r="V17" s="36">
        <f>IF($G17="","",IF($U17="","",IF($G17=0,IF($U17&lt;=0,1,0),IF($E17="↓",IFERROR($G17/$U17,0),IFERROR($U17/$G17,0)))))</f>
        <v/>
      </c>
      <c r="W17" s="16">
        <f>IF($V17="","—",IF($V17&gt;=1,"✅ محقق",IF($V17&gt;=0.85,"🟡 قريب","🔴 تحت الهدف")))</f>
        <v/>
      </c>
      <c r="X17" s="43" t="inlineStr">
        <is>
          <t>الاستدامة</t>
        </is>
      </c>
      <c r="Y17" s="19" t="inlineStr">
        <is>
          <t>جودة التشغيل</t>
        </is>
      </c>
    </row>
    <row r="18" ht="26" customHeight="1">
      <c r="A18" s="16" t="n">
        <v>15</v>
      </c>
      <c r="B18" s="19" t="inlineStr">
        <is>
          <t>الجودة والاستدامة</t>
        </is>
      </c>
      <c r="C18" s="19" t="inlineStr">
        <is>
          <t>استدامة المستأجرين (لم يُنهَ مبكراً)</t>
        </is>
      </c>
      <c r="D18" s="38" t="inlineStr">
        <is>
          <t>%</t>
        </is>
      </c>
      <c r="E18" s="38" t="inlineStr">
        <is>
          <t>↑</t>
        </is>
      </c>
      <c r="F18" s="38" t="inlineStr">
        <is>
          <t>AVG</t>
        </is>
      </c>
      <c r="G18" s="44" t="n">
        <v>0.8</v>
      </c>
      <c r="H18" s="40" t="inlineStr">
        <is>
          <t>≥ 80%</t>
        </is>
      </c>
      <c r="I18" s="45" t="n"/>
      <c r="J18" s="45" t="n"/>
      <c r="K18" s="45" t="n"/>
      <c r="L18" s="45" t="n"/>
      <c r="M18" s="45" t="n"/>
      <c r="N18" s="45" t="n"/>
      <c r="O18" s="45" t="n"/>
      <c r="P18" s="45" t="n"/>
      <c r="Q18" s="45" t="n"/>
      <c r="R18" s="45" t="n"/>
      <c r="S18" s="45" t="n"/>
      <c r="T18" s="45" t="n"/>
      <c r="U18" s="46">
        <f>IF($F18="SUM",IF(COUNT($I18:$T18)=0,"",SUM($I18:$T18)),IF($F18="AVG",IFERROR(AVERAGE($I18:$T18),""),IF($F18="LAST",IFERROR(LOOKUP(2,1/($I18:$T18&lt;&gt;""),$I18:$T18),""),"")))</f>
        <v/>
      </c>
      <c r="V18" s="36">
        <f>IF($G18="","",IF($U18="","",IF($G18=0,IF($U18&lt;=0,1,0),IF($E18="↓",IFERROR($G18/$U18,0),IFERROR($U18/$G18,0)))))</f>
        <v/>
      </c>
      <c r="W18" s="16">
        <f>IF($V18="","—",IF($V18&gt;=1,"✅ محقق",IF($V18&gt;=0.85,"🟡 قريب","🔴 تحت الهدف")))</f>
        <v/>
      </c>
      <c r="X18" s="43" t="inlineStr">
        <is>
          <t>الاستدامة</t>
        </is>
      </c>
      <c r="Y18" s="19" t="inlineStr">
        <is>
          <t>تعزيز تجربة العملاء</t>
        </is>
      </c>
    </row>
    <row r="19" ht="26" customHeight="1">
      <c r="A19" s="16" t="n">
        <v>16</v>
      </c>
      <c r="B19" s="19" t="inlineStr">
        <is>
          <t>الجودة والاستدامة</t>
        </is>
      </c>
      <c r="C19" s="19" t="inlineStr">
        <is>
          <t>معدل رضا المستأجرين (استبيان ربعي)</t>
        </is>
      </c>
      <c r="D19" s="38" t="inlineStr">
        <is>
          <t>%</t>
        </is>
      </c>
      <c r="E19" s="38" t="inlineStr">
        <is>
          <t>↑</t>
        </is>
      </c>
      <c r="F19" s="38" t="inlineStr">
        <is>
          <t>AVG</t>
        </is>
      </c>
      <c r="G19" s="44" t="n">
        <v>0.9</v>
      </c>
      <c r="H19" s="40" t="inlineStr">
        <is>
          <t>≥ 90%</t>
        </is>
      </c>
      <c r="I19" s="45" t="n"/>
      <c r="J19" s="45" t="n"/>
      <c r="K19" s="45" t="n"/>
      <c r="L19" s="45" t="n"/>
      <c r="M19" s="45" t="n"/>
      <c r="N19" s="45" t="n"/>
      <c r="O19" s="45" t="n"/>
      <c r="P19" s="45" t="n"/>
      <c r="Q19" s="45" t="n"/>
      <c r="R19" s="45" t="n"/>
      <c r="S19" s="45" t="n"/>
      <c r="T19" s="45" t="n"/>
      <c r="U19" s="46">
        <f>IF($F19="SUM",IF(COUNT($I19:$T19)=0,"",SUM($I19:$T19)),IF($F19="AVG",IFERROR(AVERAGE($I19:$T19),""),IF($F19="LAST",IFERROR(LOOKUP(2,1/($I19:$T19&lt;&gt;""),$I19:$T19),""),"")))</f>
        <v/>
      </c>
      <c r="V19" s="36">
        <f>IF($G19="","",IF($U19="","",IF($G19=0,IF($U19&lt;=0,1,0),IF($E19="↓",IFERROR($G19/$U19,0),IFERROR($U19/$G19,0)))))</f>
        <v/>
      </c>
      <c r="W19" s="16">
        <f>IF($V19="","—",IF($V19&gt;=1,"✅ محقق",IF($V19&gt;=0.85,"🟡 قريب","🔴 تحت الهدف")))</f>
        <v/>
      </c>
      <c r="X19" s="43" t="inlineStr">
        <is>
          <t>الاستدامة</t>
        </is>
      </c>
      <c r="Y19" s="19" t="inlineStr">
        <is>
          <t>تعزيز تجربة العملاء</t>
        </is>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Y2"/>
    <mergeCell ref="A1:Y1"/>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5"/>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s>
  <sheetData>
    <row r="1">
      <c r="A1" s="54" t="inlineStr">
        <is>
          <t>قاعدة المؤشرات الموحّدة — مصدر تغذية اللوحة والخارطة والركائز (آلي)</t>
        </is>
      </c>
    </row>
    <row r="2">
      <c r="A2" s="37" t="inlineStr">
        <is>
          <t>تُحدَّث آلياً من أوراق المؤشرات — لا تُعدَّل يدوياً</t>
        </is>
      </c>
    </row>
    <row r="3">
      <c r="A3" s="15" t="inlineStr">
        <is>
          <t>#</t>
        </is>
      </c>
      <c r="B3" s="15" t="inlineStr">
        <is>
          <t>الإدارة</t>
        </is>
      </c>
      <c r="C3" s="15" t="inlineStr">
        <is>
          <t>المؤشر</t>
        </is>
      </c>
      <c r="D3" s="15" t="inlineStr">
        <is>
          <t>الركيزة</t>
        </is>
      </c>
      <c r="E3" s="15" t="inlineStr">
        <is>
          <t>المشروع</t>
        </is>
      </c>
      <c r="F3" s="15" t="inlineStr">
        <is>
          <t>نسبة التحقيق</t>
        </is>
      </c>
      <c r="G3" s="15" t="inlineStr">
        <is>
          <t>الحالة</t>
        </is>
      </c>
    </row>
    <row r="4">
      <c r="A4" s="66" t="n">
        <v>1</v>
      </c>
      <c r="B4" s="67" t="inlineStr">
        <is>
          <t>الامتياز التجاري</t>
        </is>
      </c>
      <c r="C4" s="67">
        <f>'الامتياز · المؤشرات'!C4</f>
        <v/>
      </c>
      <c r="D4" s="66">
        <f>'الامتياز · المؤشرات'!X4</f>
        <v/>
      </c>
      <c r="E4" s="67">
        <f>'الامتياز · المؤشرات'!Y4</f>
        <v/>
      </c>
      <c r="F4" s="68">
        <f>'الامتياز · المؤشرات'!V4</f>
        <v/>
      </c>
      <c r="G4" s="66">
        <f>'الامتياز · المؤشرات'!W4</f>
        <v/>
      </c>
    </row>
    <row r="5">
      <c r="A5" s="66" t="n">
        <v>2</v>
      </c>
      <c r="B5" s="67" t="inlineStr">
        <is>
          <t>الامتياز التجاري</t>
        </is>
      </c>
      <c r="C5" s="67">
        <f>'الامتياز · المؤشرات'!C5</f>
        <v/>
      </c>
      <c r="D5" s="66">
        <f>'الامتياز · المؤشرات'!X5</f>
        <v/>
      </c>
      <c r="E5" s="67">
        <f>'الامتياز · المؤشرات'!Y5</f>
        <v/>
      </c>
      <c r="F5" s="68">
        <f>'الامتياز · المؤشرات'!V5</f>
        <v/>
      </c>
      <c r="G5" s="66">
        <f>'الامتياز · المؤشرات'!W5</f>
        <v/>
      </c>
    </row>
    <row r="6">
      <c r="A6" s="66" t="n">
        <v>3</v>
      </c>
      <c r="B6" s="67" t="inlineStr">
        <is>
          <t>الامتياز التجاري</t>
        </is>
      </c>
      <c r="C6" s="67">
        <f>'الامتياز · المؤشرات'!C6</f>
        <v/>
      </c>
      <c r="D6" s="66">
        <f>'الامتياز · المؤشرات'!X6</f>
        <v/>
      </c>
      <c r="E6" s="67">
        <f>'الامتياز · المؤشرات'!Y6</f>
        <v/>
      </c>
      <c r="F6" s="68">
        <f>'الامتياز · المؤشرات'!V6</f>
        <v/>
      </c>
      <c r="G6" s="66">
        <f>'الامتياز · المؤشرات'!W6</f>
        <v/>
      </c>
    </row>
    <row r="7">
      <c r="A7" s="66" t="n">
        <v>4</v>
      </c>
      <c r="B7" s="67" t="inlineStr">
        <is>
          <t>الامتياز التجاري</t>
        </is>
      </c>
      <c r="C7" s="67">
        <f>'الامتياز · المؤشرات'!C7</f>
        <v/>
      </c>
      <c r="D7" s="66">
        <f>'الامتياز · المؤشرات'!X7</f>
        <v/>
      </c>
      <c r="E7" s="67">
        <f>'الامتياز · المؤشرات'!Y7</f>
        <v/>
      </c>
      <c r="F7" s="68">
        <f>'الامتياز · المؤشرات'!V7</f>
        <v/>
      </c>
      <c r="G7" s="66">
        <f>'الامتياز · المؤشرات'!W7</f>
        <v/>
      </c>
    </row>
    <row r="8">
      <c r="A8" s="66" t="n">
        <v>5</v>
      </c>
      <c r="B8" s="67" t="inlineStr">
        <is>
          <t>الامتياز التجاري</t>
        </is>
      </c>
      <c r="C8" s="67">
        <f>'الامتياز · المؤشرات'!C8</f>
        <v/>
      </c>
      <c r="D8" s="66">
        <f>'الامتياز · المؤشرات'!X8</f>
        <v/>
      </c>
      <c r="E8" s="67">
        <f>'الامتياز · المؤشرات'!Y8</f>
        <v/>
      </c>
      <c r="F8" s="68">
        <f>'الامتياز · المؤشرات'!V8</f>
        <v/>
      </c>
      <c r="G8" s="66">
        <f>'الامتياز · المؤشرات'!W8</f>
        <v/>
      </c>
    </row>
    <row r="9">
      <c r="A9" s="66" t="n">
        <v>6</v>
      </c>
      <c r="B9" s="67" t="inlineStr">
        <is>
          <t>الامتياز التجاري</t>
        </is>
      </c>
      <c r="C9" s="67">
        <f>'الامتياز · المؤشرات'!C9</f>
        <v/>
      </c>
      <c r="D9" s="66">
        <f>'الامتياز · المؤشرات'!X9</f>
        <v/>
      </c>
      <c r="E9" s="67">
        <f>'الامتياز · المؤشرات'!Y9</f>
        <v/>
      </c>
      <c r="F9" s="68">
        <f>'الامتياز · المؤشرات'!V9</f>
        <v/>
      </c>
      <c r="G9" s="66">
        <f>'الامتياز · المؤشرات'!W9</f>
        <v/>
      </c>
    </row>
    <row r="10">
      <c r="A10" s="66" t="n">
        <v>7</v>
      </c>
      <c r="B10" s="67" t="inlineStr">
        <is>
          <t>الامتياز التجاري</t>
        </is>
      </c>
      <c r="C10" s="67">
        <f>'الامتياز · المؤشرات'!C10</f>
        <v/>
      </c>
      <c r="D10" s="66">
        <f>'الامتياز · المؤشرات'!X10</f>
        <v/>
      </c>
      <c r="E10" s="67">
        <f>'الامتياز · المؤشرات'!Y10</f>
        <v/>
      </c>
      <c r="F10" s="68">
        <f>'الامتياز · المؤشرات'!V10</f>
        <v/>
      </c>
      <c r="G10" s="66">
        <f>'الامتياز · المؤشرات'!W10</f>
        <v/>
      </c>
    </row>
    <row r="11">
      <c r="A11" s="66" t="n">
        <v>8</v>
      </c>
      <c r="B11" s="67" t="inlineStr">
        <is>
          <t>الامتياز التجاري</t>
        </is>
      </c>
      <c r="C11" s="67">
        <f>'الامتياز · المؤشرات'!C11</f>
        <v/>
      </c>
      <c r="D11" s="66">
        <f>'الامتياز · المؤشرات'!X11</f>
        <v/>
      </c>
      <c r="E11" s="67">
        <f>'الامتياز · المؤشرات'!Y11</f>
        <v/>
      </c>
      <c r="F11" s="68">
        <f>'الامتياز · المؤشرات'!V11</f>
        <v/>
      </c>
      <c r="G11" s="66">
        <f>'الامتياز · المؤشرات'!W11</f>
        <v/>
      </c>
    </row>
    <row r="12">
      <c r="A12" s="66" t="n">
        <v>9</v>
      </c>
      <c r="B12" s="67" t="inlineStr">
        <is>
          <t>الامتياز التجاري</t>
        </is>
      </c>
      <c r="C12" s="67">
        <f>'الامتياز · المؤشرات'!C12</f>
        <v/>
      </c>
      <c r="D12" s="66">
        <f>'الامتياز · المؤشرات'!X12</f>
        <v/>
      </c>
      <c r="E12" s="67">
        <f>'الامتياز · المؤشرات'!Y12</f>
        <v/>
      </c>
      <c r="F12" s="68">
        <f>'الامتياز · المؤشرات'!V12</f>
        <v/>
      </c>
      <c r="G12" s="66">
        <f>'الامتياز · المؤشرات'!W12</f>
        <v/>
      </c>
    </row>
    <row r="13">
      <c r="A13" s="66" t="n">
        <v>10</v>
      </c>
      <c r="B13" s="67" t="inlineStr">
        <is>
          <t>الامتياز التجاري</t>
        </is>
      </c>
      <c r="C13" s="67">
        <f>'الامتياز · المؤشرات'!C13</f>
        <v/>
      </c>
      <c r="D13" s="66">
        <f>'الامتياز · المؤشرات'!X13</f>
        <v/>
      </c>
      <c r="E13" s="67">
        <f>'الامتياز · المؤشرات'!Y13</f>
        <v/>
      </c>
      <c r="F13" s="68">
        <f>'الامتياز · المؤشرات'!V13</f>
        <v/>
      </c>
      <c r="G13" s="66">
        <f>'الامتياز · المؤشرات'!W13</f>
        <v/>
      </c>
    </row>
    <row r="14">
      <c r="A14" s="66" t="n">
        <v>11</v>
      </c>
      <c r="B14" s="67" t="inlineStr">
        <is>
          <t>الامتياز التجاري</t>
        </is>
      </c>
      <c r="C14" s="67">
        <f>'الامتياز · المؤشرات'!C14</f>
        <v/>
      </c>
      <c r="D14" s="66">
        <f>'الامتياز · المؤشرات'!X14</f>
        <v/>
      </c>
      <c r="E14" s="67">
        <f>'الامتياز · المؤشرات'!Y14</f>
        <v/>
      </c>
      <c r="F14" s="68">
        <f>'الامتياز · المؤشرات'!V14</f>
        <v/>
      </c>
      <c r="G14" s="66">
        <f>'الامتياز · المؤشرات'!W14</f>
        <v/>
      </c>
    </row>
    <row r="15">
      <c r="A15" s="66" t="n">
        <v>12</v>
      </c>
      <c r="B15" s="67" t="inlineStr">
        <is>
          <t>الامتياز التجاري</t>
        </is>
      </c>
      <c r="C15" s="67">
        <f>'الامتياز · المؤشرات'!C15</f>
        <v/>
      </c>
      <c r="D15" s="66">
        <f>'الامتياز · المؤشرات'!X15</f>
        <v/>
      </c>
      <c r="E15" s="67">
        <f>'الامتياز · المؤشرات'!Y15</f>
        <v/>
      </c>
      <c r="F15" s="68">
        <f>'الامتياز · المؤشرات'!V15</f>
        <v/>
      </c>
      <c r="G15" s="66">
        <f>'الامتياز · المؤشرات'!W15</f>
        <v/>
      </c>
    </row>
    <row r="16">
      <c r="A16" s="66" t="n">
        <v>13</v>
      </c>
      <c r="B16" s="67" t="inlineStr">
        <is>
          <t>الامتياز التجاري</t>
        </is>
      </c>
      <c r="C16" s="67">
        <f>'الامتياز · المؤشرات'!C16</f>
        <v/>
      </c>
      <c r="D16" s="66">
        <f>'الامتياز · المؤشرات'!X16</f>
        <v/>
      </c>
      <c r="E16" s="67">
        <f>'الامتياز · المؤشرات'!Y16</f>
        <v/>
      </c>
      <c r="F16" s="68">
        <f>'الامتياز · المؤشرات'!V16</f>
        <v/>
      </c>
      <c r="G16" s="66">
        <f>'الامتياز · المؤشرات'!W16</f>
        <v/>
      </c>
    </row>
    <row r="17">
      <c r="A17" s="66" t="n">
        <v>14</v>
      </c>
      <c r="B17" s="67" t="inlineStr">
        <is>
          <t>الامتياز التجاري</t>
        </is>
      </c>
      <c r="C17" s="67">
        <f>'الامتياز · المؤشرات'!C17</f>
        <v/>
      </c>
      <c r="D17" s="66">
        <f>'الامتياز · المؤشرات'!X17</f>
        <v/>
      </c>
      <c r="E17" s="67">
        <f>'الامتياز · المؤشرات'!Y17</f>
        <v/>
      </c>
      <c r="F17" s="68">
        <f>'الامتياز · المؤشرات'!V17</f>
        <v/>
      </c>
      <c r="G17" s="66">
        <f>'الامتياز · المؤشرات'!W17</f>
        <v/>
      </c>
    </row>
    <row r="18">
      <c r="A18" s="66" t="n">
        <v>15</v>
      </c>
      <c r="B18" s="67" t="inlineStr">
        <is>
          <t>الامتياز التجاري</t>
        </is>
      </c>
      <c r="C18" s="67">
        <f>'الامتياز · المؤشرات'!C18</f>
        <v/>
      </c>
      <c r="D18" s="66">
        <f>'الامتياز · المؤشرات'!X18</f>
        <v/>
      </c>
      <c r="E18" s="67">
        <f>'الامتياز · المؤشرات'!Y18</f>
        <v/>
      </c>
      <c r="F18" s="68">
        <f>'الامتياز · المؤشرات'!V18</f>
        <v/>
      </c>
      <c r="G18" s="66">
        <f>'الامتياز · المؤشرات'!W18</f>
        <v/>
      </c>
    </row>
    <row r="19">
      <c r="A19" s="66" t="n">
        <v>16</v>
      </c>
      <c r="B19" s="67" t="inlineStr">
        <is>
          <t>الامتياز التجاري</t>
        </is>
      </c>
      <c r="C19" s="67">
        <f>'الامتياز · المؤشرات'!C19</f>
        <v/>
      </c>
      <c r="D19" s="66">
        <f>'الامتياز · المؤشرات'!X19</f>
        <v/>
      </c>
      <c r="E19" s="67">
        <f>'الامتياز · المؤشرات'!Y19</f>
        <v/>
      </c>
      <c r="F19" s="68">
        <f>'الامتياز · المؤشرات'!V19</f>
        <v/>
      </c>
      <c r="G19" s="66">
        <f>'الامتياز · المؤشرات'!W19</f>
        <v/>
      </c>
    </row>
    <row r="20">
      <c r="A20" s="66" t="n">
        <v>17</v>
      </c>
      <c r="B20" s="67" t="inlineStr">
        <is>
          <t>الامتياز التجاري</t>
        </is>
      </c>
      <c r="C20" s="67">
        <f>'الامتياز · المؤشرات'!C20</f>
        <v/>
      </c>
      <c r="D20" s="66">
        <f>'الامتياز · المؤشرات'!X20</f>
        <v/>
      </c>
      <c r="E20" s="67">
        <f>'الامتياز · المؤشرات'!Y20</f>
        <v/>
      </c>
      <c r="F20" s="68">
        <f>'الامتياز · المؤشرات'!V20</f>
        <v/>
      </c>
      <c r="G20" s="66">
        <f>'الامتياز · المؤشرات'!W20</f>
        <v/>
      </c>
    </row>
    <row r="21">
      <c r="A21" s="66" t="n">
        <v>18</v>
      </c>
      <c r="B21" s="67" t="inlineStr">
        <is>
          <t>الامتياز التجاري</t>
        </is>
      </c>
      <c r="C21" s="67">
        <f>'الامتياز · المؤشرات'!C21</f>
        <v/>
      </c>
      <c r="D21" s="66">
        <f>'الامتياز · المؤشرات'!X21</f>
        <v/>
      </c>
      <c r="E21" s="67">
        <f>'الامتياز · المؤشرات'!Y21</f>
        <v/>
      </c>
      <c r="F21" s="68">
        <f>'الامتياز · المؤشرات'!V21</f>
        <v/>
      </c>
      <c r="G21" s="66">
        <f>'الامتياز · المؤشرات'!W21</f>
        <v/>
      </c>
    </row>
    <row r="22">
      <c r="A22" s="66" t="n">
        <v>19</v>
      </c>
      <c r="B22" s="67" t="inlineStr">
        <is>
          <t>الامتياز التجاري</t>
        </is>
      </c>
      <c r="C22" s="67">
        <f>'الامتياز · المؤشرات'!C22</f>
        <v/>
      </c>
      <c r="D22" s="66">
        <f>'الامتياز · المؤشرات'!X22</f>
        <v/>
      </c>
      <c r="E22" s="67">
        <f>'الامتياز · المؤشرات'!Y22</f>
        <v/>
      </c>
      <c r="F22" s="68">
        <f>'الامتياز · المؤشرات'!V22</f>
        <v/>
      </c>
      <c r="G22" s="66">
        <f>'الامتياز · المؤشرات'!W22</f>
        <v/>
      </c>
    </row>
    <row r="23">
      <c r="A23" s="66" t="n">
        <v>20</v>
      </c>
      <c r="B23" s="67" t="inlineStr">
        <is>
          <t>الامتياز التجاري</t>
        </is>
      </c>
      <c r="C23" s="67">
        <f>'الامتياز · المؤشرات'!C23</f>
        <v/>
      </c>
      <c r="D23" s="66">
        <f>'الامتياز · المؤشرات'!X23</f>
        <v/>
      </c>
      <c r="E23" s="67">
        <f>'الامتياز · المؤشرات'!Y23</f>
        <v/>
      </c>
      <c r="F23" s="68">
        <f>'الامتياز · المؤشرات'!V23</f>
        <v/>
      </c>
      <c r="G23" s="66">
        <f>'الامتياز · المؤشرات'!W23</f>
        <v/>
      </c>
    </row>
    <row r="24">
      <c r="A24" s="66" t="n">
        <v>21</v>
      </c>
      <c r="B24" s="67" t="inlineStr">
        <is>
          <t>الامتياز التجاري</t>
        </is>
      </c>
      <c r="C24" s="67">
        <f>'الامتياز · المؤشرات'!C24</f>
        <v/>
      </c>
      <c r="D24" s="66">
        <f>'الامتياز · المؤشرات'!X24</f>
        <v/>
      </c>
      <c r="E24" s="67">
        <f>'الامتياز · المؤشرات'!Y24</f>
        <v/>
      </c>
      <c r="F24" s="68">
        <f>'الامتياز · المؤشرات'!V24</f>
        <v/>
      </c>
      <c r="G24" s="66">
        <f>'الامتياز · المؤشرات'!W24</f>
        <v/>
      </c>
    </row>
    <row r="25">
      <c r="A25" s="66" t="n">
        <v>22</v>
      </c>
      <c r="B25" s="67" t="inlineStr">
        <is>
          <t>الامتياز التجاري</t>
        </is>
      </c>
      <c r="C25" s="67">
        <f>'الامتياز · المؤشرات'!C25</f>
        <v/>
      </c>
      <c r="D25" s="66">
        <f>'الامتياز · المؤشرات'!X25</f>
        <v/>
      </c>
      <c r="E25" s="67">
        <f>'الامتياز · المؤشرات'!Y25</f>
        <v/>
      </c>
      <c r="F25" s="68">
        <f>'الامتياز · المؤشرات'!V25</f>
        <v/>
      </c>
      <c r="G25" s="66">
        <f>'الامتياز · المؤشرات'!W25</f>
        <v/>
      </c>
    </row>
    <row r="26">
      <c r="A26" s="66" t="n">
        <v>23</v>
      </c>
      <c r="B26" s="67" t="inlineStr">
        <is>
          <t>الامتياز التجاري</t>
        </is>
      </c>
      <c r="C26" s="67">
        <f>'الامتياز · المؤشرات'!C26</f>
        <v/>
      </c>
      <c r="D26" s="66">
        <f>'الامتياز · المؤشرات'!X26</f>
        <v/>
      </c>
      <c r="E26" s="67">
        <f>'الامتياز · المؤشرات'!Y26</f>
        <v/>
      </c>
      <c r="F26" s="68">
        <f>'الامتياز · المؤشرات'!V26</f>
        <v/>
      </c>
      <c r="G26" s="66">
        <f>'الامتياز · المؤشرات'!W26</f>
        <v/>
      </c>
    </row>
    <row r="27">
      <c r="A27" s="66" t="n">
        <v>24</v>
      </c>
      <c r="B27" s="67" t="inlineStr">
        <is>
          <t>الامتياز التجاري</t>
        </is>
      </c>
      <c r="C27" s="67">
        <f>'الامتياز · المؤشرات'!C27</f>
        <v/>
      </c>
      <c r="D27" s="66">
        <f>'الامتياز · المؤشرات'!X27</f>
        <v/>
      </c>
      <c r="E27" s="67">
        <f>'الامتياز · المؤشرات'!Y27</f>
        <v/>
      </c>
      <c r="F27" s="68">
        <f>'الامتياز · المؤشرات'!V27</f>
        <v/>
      </c>
      <c r="G27" s="66">
        <f>'الامتياز · المؤشرات'!W27</f>
        <v/>
      </c>
    </row>
    <row r="28">
      <c r="A28" s="66" t="n">
        <v>25</v>
      </c>
      <c r="B28" s="67" t="inlineStr">
        <is>
          <t>الامتياز التجاري</t>
        </is>
      </c>
      <c r="C28" s="67">
        <f>'الامتياز · المؤشرات'!C28</f>
        <v/>
      </c>
      <c r="D28" s="66">
        <f>'الامتياز · المؤشرات'!X28</f>
        <v/>
      </c>
      <c r="E28" s="67">
        <f>'الامتياز · المؤشرات'!Y28</f>
        <v/>
      </c>
      <c r="F28" s="68">
        <f>'الامتياز · المؤشرات'!V28</f>
        <v/>
      </c>
      <c r="G28" s="66">
        <f>'الامتياز · المؤشرات'!W28</f>
        <v/>
      </c>
    </row>
    <row r="29">
      <c r="A29" s="66" t="n">
        <v>26</v>
      </c>
      <c r="B29" s="67" t="inlineStr">
        <is>
          <t>الامتياز التجاري</t>
        </is>
      </c>
      <c r="C29" s="67">
        <f>'الامتياز · المؤشرات'!C29</f>
        <v/>
      </c>
      <c r="D29" s="66">
        <f>'الامتياز · المؤشرات'!X29</f>
        <v/>
      </c>
      <c r="E29" s="67">
        <f>'الامتياز · المؤشرات'!Y29</f>
        <v/>
      </c>
      <c r="F29" s="68">
        <f>'الامتياز · المؤشرات'!V29</f>
        <v/>
      </c>
      <c r="G29" s="66">
        <f>'الامتياز · المؤشرات'!W29</f>
        <v/>
      </c>
    </row>
    <row r="30">
      <c r="A30" s="66" t="n">
        <v>27</v>
      </c>
      <c r="B30" s="67" t="inlineStr">
        <is>
          <t>الامتياز التجاري</t>
        </is>
      </c>
      <c r="C30" s="67">
        <f>'الامتياز · المؤشرات'!C30</f>
        <v/>
      </c>
      <c r="D30" s="66">
        <f>'الامتياز · المؤشرات'!X30</f>
        <v/>
      </c>
      <c r="E30" s="67">
        <f>'الامتياز · المؤشرات'!Y30</f>
        <v/>
      </c>
      <c r="F30" s="68">
        <f>'الامتياز · المؤشرات'!V30</f>
        <v/>
      </c>
      <c r="G30" s="66">
        <f>'الامتياز · المؤشرات'!W30</f>
        <v/>
      </c>
    </row>
    <row r="31">
      <c r="A31" s="66" t="n">
        <v>28</v>
      </c>
      <c r="B31" s="67" t="inlineStr">
        <is>
          <t>الامتياز التجاري</t>
        </is>
      </c>
      <c r="C31" s="67">
        <f>'الامتياز · المؤشرات'!C31</f>
        <v/>
      </c>
      <c r="D31" s="66">
        <f>'الامتياز · المؤشرات'!X31</f>
        <v/>
      </c>
      <c r="E31" s="67">
        <f>'الامتياز · المؤشرات'!Y31</f>
        <v/>
      </c>
      <c r="F31" s="68">
        <f>'الامتياز · المؤشرات'!V31</f>
        <v/>
      </c>
      <c r="G31" s="66">
        <f>'الامتياز · المؤشرات'!W31</f>
        <v/>
      </c>
    </row>
    <row r="32">
      <c r="A32" s="66" t="n">
        <v>29</v>
      </c>
      <c r="B32" s="67" t="inlineStr">
        <is>
          <t>الامتياز التجاري</t>
        </is>
      </c>
      <c r="C32" s="67">
        <f>'الامتياز · المؤشرات'!C32</f>
        <v/>
      </c>
      <c r="D32" s="66">
        <f>'الامتياز · المؤشرات'!X32</f>
        <v/>
      </c>
      <c r="E32" s="67">
        <f>'الامتياز · المؤشرات'!Y32</f>
        <v/>
      </c>
      <c r="F32" s="68">
        <f>'الامتياز · المؤشرات'!V32</f>
        <v/>
      </c>
      <c r="G32" s="66">
        <f>'الامتياز · المؤشرات'!W32</f>
        <v/>
      </c>
    </row>
    <row r="33">
      <c r="A33" s="66" t="n">
        <v>30</v>
      </c>
      <c r="B33" s="67" t="inlineStr">
        <is>
          <t>الامتياز التجاري</t>
        </is>
      </c>
      <c r="C33" s="67">
        <f>'الامتياز · المؤشرات'!C33</f>
        <v/>
      </c>
      <c r="D33" s="66">
        <f>'الامتياز · المؤشرات'!X33</f>
        <v/>
      </c>
      <c r="E33" s="67">
        <f>'الامتياز · المؤشرات'!Y33</f>
        <v/>
      </c>
      <c r="F33" s="68">
        <f>'الامتياز · المؤشرات'!V33</f>
        <v/>
      </c>
      <c r="G33" s="66">
        <f>'الامتياز · المؤشرات'!W33</f>
        <v/>
      </c>
    </row>
    <row r="34">
      <c r="A34" s="66" t="n">
        <v>31</v>
      </c>
      <c r="B34" s="67" t="inlineStr">
        <is>
          <t>الامتياز التجاري</t>
        </is>
      </c>
      <c r="C34" s="67">
        <f>'الامتياز · المؤشرات'!C34</f>
        <v/>
      </c>
      <c r="D34" s="66">
        <f>'الامتياز · المؤشرات'!X34</f>
        <v/>
      </c>
      <c r="E34" s="67">
        <f>'الامتياز · المؤشرات'!Y34</f>
        <v/>
      </c>
      <c r="F34" s="68">
        <f>'الامتياز · المؤشرات'!V34</f>
        <v/>
      </c>
      <c r="G34" s="66">
        <f>'الامتياز · المؤشرات'!W34</f>
        <v/>
      </c>
    </row>
    <row r="35">
      <c r="A35" s="66" t="n">
        <v>32</v>
      </c>
      <c r="B35" s="67" t="inlineStr">
        <is>
          <t>الامتياز التجاري</t>
        </is>
      </c>
      <c r="C35" s="67">
        <f>'الامتياز · المؤشرات'!C35</f>
        <v/>
      </c>
      <c r="D35" s="66">
        <f>'الامتياز · المؤشرات'!X35</f>
        <v/>
      </c>
      <c r="E35" s="67">
        <f>'الامتياز · المؤشرات'!Y35</f>
        <v/>
      </c>
      <c r="F35" s="68">
        <f>'الامتياز · المؤشرات'!V35</f>
        <v/>
      </c>
      <c r="G35" s="66">
        <f>'الامتياز · المؤشرات'!W35</f>
        <v/>
      </c>
    </row>
    <row r="36">
      <c r="A36" s="66" t="n">
        <v>33</v>
      </c>
      <c r="B36" s="67" t="inlineStr">
        <is>
          <t>الامتياز التجاري</t>
        </is>
      </c>
      <c r="C36" s="67">
        <f>'الامتياز · المؤشرات'!C36</f>
        <v/>
      </c>
      <c r="D36" s="66">
        <f>'الامتياز · المؤشرات'!X36</f>
        <v/>
      </c>
      <c r="E36" s="67">
        <f>'الامتياز · المؤشرات'!Y36</f>
        <v/>
      </c>
      <c r="F36" s="68">
        <f>'الامتياز · المؤشرات'!V36</f>
        <v/>
      </c>
      <c r="G36" s="66">
        <f>'الامتياز · المؤشرات'!W36</f>
        <v/>
      </c>
    </row>
    <row r="37">
      <c r="A37" s="66" t="n">
        <v>34</v>
      </c>
      <c r="B37" s="67" t="inlineStr">
        <is>
          <t>الامتياز التجاري</t>
        </is>
      </c>
      <c r="C37" s="67">
        <f>'الامتياز · المؤشرات'!C37</f>
        <v/>
      </c>
      <c r="D37" s="66">
        <f>'الامتياز · المؤشرات'!X37</f>
        <v/>
      </c>
      <c r="E37" s="67">
        <f>'الامتياز · المؤشرات'!Y37</f>
        <v/>
      </c>
      <c r="F37" s="68">
        <f>'الامتياز · المؤشرات'!V37</f>
        <v/>
      </c>
      <c r="G37" s="66">
        <f>'الامتياز · المؤشرات'!W37</f>
        <v/>
      </c>
    </row>
    <row r="38">
      <c r="A38" s="66" t="n">
        <v>35</v>
      </c>
      <c r="B38" s="67" t="inlineStr">
        <is>
          <t>الامتياز التجاري</t>
        </is>
      </c>
      <c r="C38" s="67">
        <f>'الامتياز · المؤشرات'!C38</f>
        <v/>
      </c>
      <c r="D38" s="66">
        <f>'الامتياز · المؤشرات'!X38</f>
        <v/>
      </c>
      <c r="E38" s="67">
        <f>'الامتياز · المؤشرات'!Y38</f>
        <v/>
      </c>
      <c r="F38" s="68">
        <f>'الامتياز · المؤشرات'!V38</f>
        <v/>
      </c>
      <c r="G38" s="66">
        <f>'الامتياز · المؤشرات'!W38</f>
        <v/>
      </c>
    </row>
    <row r="39">
      <c r="A39" s="66" t="n">
        <v>36</v>
      </c>
      <c r="B39" s="67" t="inlineStr">
        <is>
          <t>الامتياز التجاري</t>
        </is>
      </c>
      <c r="C39" s="67">
        <f>'الامتياز · المؤشرات'!C39</f>
        <v/>
      </c>
      <c r="D39" s="66">
        <f>'الامتياز · المؤشرات'!X39</f>
        <v/>
      </c>
      <c r="E39" s="67">
        <f>'الامتياز · المؤشرات'!Y39</f>
        <v/>
      </c>
      <c r="F39" s="68">
        <f>'الامتياز · المؤشرات'!V39</f>
        <v/>
      </c>
      <c r="G39" s="66">
        <f>'الامتياز · المؤشرات'!W39</f>
        <v/>
      </c>
    </row>
    <row r="40">
      <c r="A40" s="66" t="n">
        <v>37</v>
      </c>
      <c r="B40" s="67" t="inlineStr">
        <is>
          <t>التشغيل والمحطات</t>
        </is>
      </c>
      <c r="C40" s="67">
        <f>'التشغيل · المؤشرات'!C4</f>
        <v/>
      </c>
      <c r="D40" s="66">
        <f>'التشغيل · المؤشرات'!X4</f>
        <v/>
      </c>
      <c r="E40" s="67">
        <f>'التشغيل · المؤشرات'!Y4</f>
        <v/>
      </c>
      <c r="F40" s="68">
        <f>'التشغيل · المؤشرات'!V4</f>
        <v/>
      </c>
      <c r="G40" s="66">
        <f>'التشغيل · المؤشرات'!W4</f>
        <v/>
      </c>
    </row>
    <row r="41">
      <c r="A41" s="66" t="n">
        <v>38</v>
      </c>
      <c r="B41" s="67" t="inlineStr">
        <is>
          <t>التشغيل والمحطات</t>
        </is>
      </c>
      <c r="C41" s="67">
        <f>'التشغيل · المؤشرات'!C5</f>
        <v/>
      </c>
      <c r="D41" s="66">
        <f>'التشغيل · المؤشرات'!X5</f>
        <v/>
      </c>
      <c r="E41" s="67">
        <f>'التشغيل · المؤشرات'!Y5</f>
        <v/>
      </c>
      <c r="F41" s="68">
        <f>'التشغيل · المؤشرات'!V5</f>
        <v/>
      </c>
      <c r="G41" s="66">
        <f>'التشغيل · المؤشرات'!W5</f>
        <v/>
      </c>
    </row>
    <row r="42">
      <c r="A42" s="66" t="n">
        <v>39</v>
      </c>
      <c r="B42" s="67" t="inlineStr">
        <is>
          <t>التشغيل والمحطات</t>
        </is>
      </c>
      <c r="C42" s="67">
        <f>'التشغيل · المؤشرات'!C6</f>
        <v/>
      </c>
      <c r="D42" s="66">
        <f>'التشغيل · المؤشرات'!X6</f>
        <v/>
      </c>
      <c r="E42" s="67">
        <f>'التشغيل · المؤشرات'!Y6</f>
        <v/>
      </c>
      <c r="F42" s="68">
        <f>'التشغيل · المؤشرات'!V6</f>
        <v/>
      </c>
      <c r="G42" s="66">
        <f>'التشغيل · المؤشرات'!W6</f>
        <v/>
      </c>
    </row>
    <row r="43">
      <c r="A43" s="66" t="n">
        <v>40</v>
      </c>
      <c r="B43" s="67" t="inlineStr">
        <is>
          <t>التشغيل والمحطات</t>
        </is>
      </c>
      <c r="C43" s="67">
        <f>'التشغيل · المؤشرات'!C7</f>
        <v/>
      </c>
      <c r="D43" s="66">
        <f>'التشغيل · المؤشرات'!X7</f>
        <v/>
      </c>
      <c r="E43" s="67">
        <f>'التشغيل · المؤشرات'!Y7</f>
        <v/>
      </c>
      <c r="F43" s="68">
        <f>'التشغيل · المؤشرات'!V7</f>
        <v/>
      </c>
      <c r="G43" s="66">
        <f>'التشغيل · المؤشرات'!W7</f>
        <v/>
      </c>
    </row>
    <row r="44">
      <c r="A44" s="66" t="n">
        <v>41</v>
      </c>
      <c r="B44" s="67" t="inlineStr">
        <is>
          <t>التشغيل والمحطات</t>
        </is>
      </c>
      <c r="C44" s="67">
        <f>'التشغيل · المؤشرات'!C8</f>
        <v/>
      </c>
      <c r="D44" s="66">
        <f>'التشغيل · المؤشرات'!X8</f>
        <v/>
      </c>
      <c r="E44" s="67">
        <f>'التشغيل · المؤشرات'!Y8</f>
        <v/>
      </c>
      <c r="F44" s="68">
        <f>'التشغيل · المؤشرات'!V8</f>
        <v/>
      </c>
      <c r="G44" s="66">
        <f>'التشغيل · المؤشرات'!W8</f>
        <v/>
      </c>
    </row>
    <row r="45">
      <c r="A45" s="66" t="n">
        <v>42</v>
      </c>
      <c r="B45" s="67" t="inlineStr">
        <is>
          <t>التشغيل والمحطات</t>
        </is>
      </c>
      <c r="C45" s="67">
        <f>'التشغيل · المؤشرات'!C9</f>
        <v/>
      </c>
      <c r="D45" s="66">
        <f>'التشغيل · المؤشرات'!X9</f>
        <v/>
      </c>
      <c r="E45" s="67">
        <f>'التشغيل · المؤشرات'!Y9</f>
        <v/>
      </c>
      <c r="F45" s="68">
        <f>'التشغيل · المؤشرات'!V9</f>
        <v/>
      </c>
      <c r="G45" s="66">
        <f>'التشغيل · المؤشرات'!W9</f>
        <v/>
      </c>
    </row>
    <row r="46">
      <c r="A46" s="66" t="n">
        <v>43</v>
      </c>
      <c r="B46" s="67" t="inlineStr">
        <is>
          <t>التشغيل والمحطات</t>
        </is>
      </c>
      <c r="C46" s="67">
        <f>'التشغيل · المؤشرات'!C10</f>
        <v/>
      </c>
      <c r="D46" s="66">
        <f>'التشغيل · المؤشرات'!X10</f>
        <v/>
      </c>
      <c r="E46" s="67">
        <f>'التشغيل · المؤشرات'!Y10</f>
        <v/>
      </c>
      <c r="F46" s="68">
        <f>'التشغيل · المؤشرات'!V10</f>
        <v/>
      </c>
      <c r="G46" s="66">
        <f>'التشغيل · المؤشرات'!W10</f>
        <v/>
      </c>
    </row>
    <row r="47">
      <c r="A47" s="66" t="n">
        <v>44</v>
      </c>
      <c r="B47" s="67" t="inlineStr">
        <is>
          <t>التشغيل والمحطات</t>
        </is>
      </c>
      <c r="C47" s="67">
        <f>'التشغيل · المؤشرات'!C11</f>
        <v/>
      </c>
      <c r="D47" s="66">
        <f>'التشغيل · المؤشرات'!X11</f>
        <v/>
      </c>
      <c r="E47" s="67">
        <f>'التشغيل · المؤشرات'!Y11</f>
        <v/>
      </c>
      <c r="F47" s="68">
        <f>'التشغيل · المؤشرات'!V11</f>
        <v/>
      </c>
      <c r="G47" s="66">
        <f>'التشغيل · المؤشرات'!W11</f>
        <v/>
      </c>
    </row>
    <row r="48">
      <c r="A48" s="66" t="n">
        <v>45</v>
      </c>
      <c r="B48" s="67" t="inlineStr">
        <is>
          <t>التشغيل والمحطات</t>
        </is>
      </c>
      <c r="C48" s="67">
        <f>'التشغيل · المؤشرات'!C12</f>
        <v/>
      </c>
      <c r="D48" s="66">
        <f>'التشغيل · المؤشرات'!X12</f>
        <v/>
      </c>
      <c r="E48" s="67">
        <f>'التشغيل · المؤشرات'!Y12</f>
        <v/>
      </c>
      <c r="F48" s="68">
        <f>'التشغيل · المؤشرات'!V12</f>
        <v/>
      </c>
      <c r="G48" s="66">
        <f>'التشغيل · المؤشرات'!W12</f>
        <v/>
      </c>
    </row>
    <row r="49">
      <c r="A49" s="66" t="n">
        <v>46</v>
      </c>
      <c r="B49" s="67" t="inlineStr">
        <is>
          <t>التشغيل والمحطات</t>
        </is>
      </c>
      <c r="C49" s="67">
        <f>'التشغيل · المؤشرات'!C13</f>
        <v/>
      </c>
      <c r="D49" s="66">
        <f>'التشغيل · المؤشرات'!X13</f>
        <v/>
      </c>
      <c r="E49" s="67">
        <f>'التشغيل · المؤشرات'!Y13</f>
        <v/>
      </c>
      <c r="F49" s="68">
        <f>'التشغيل · المؤشرات'!V13</f>
        <v/>
      </c>
      <c r="G49" s="66">
        <f>'التشغيل · المؤشرات'!W13</f>
        <v/>
      </c>
    </row>
    <row r="50">
      <c r="A50" s="66" t="n">
        <v>47</v>
      </c>
      <c r="B50" s="67" t="inlineStr">
        <is>
          <t>التشغيل والمحطات</t>
        </is>
      </c>
      <c r="C50" s="67">
        <f>'التشغيل · المؤشرات'!C14</f>
        <v/>
      </c>
      <c r="D50" s="66">
        <f>'التشغيل · المؤشرات'!X14</f>
        <v/>
      </c>
      <c r="E50" s="67">
        <f>'التشغيل · المؤشرات'!Y14</f>
        <v/>
      </c>
      <c r="F50" s="68">
        <f>'التشغيل · المؤشرات'!V14</f>
        <v/>
      </c>
      <c r="G50" s="66">
        <f>'التشغيل · المؤشرات'!W14</f>
        <v/>
      </c>
    </row>
    <row r="51">
      <c r="A51" s="66" t="n">
        <v>48</v>
      </c>
      <c r="B51" s="67" t="inlineStr">
        <is>
          <t>التشغيل والمحطات</t>
        </is>
      </c>
      <c r="C51" s="67">
        <f>'التشغيل · المؤشرات'!C15</f>
        <v/>
      </c>
      <c r="D51" s="66">
        <f>'التشغيل · المؤشرات'!X15</f>
        <v/>
      </c>
      <c r="E51" s="67">
        <f>'التشغيل · المؤشرات'!Y15</f>
        <v/>
      </c>
      <c r="F51" s="68">
        <f>'التشغيل · المؤشرات'!V15</f>
        <v/>
      </c>
      <c r="G51" s="66">
        <f>'التشغيل · المؤشرات'!W15</f>
        <v/>
      </c>
    </row>
    <row r="52">
      <c r="A52" s="66" t="n">
        <v>49</v>
      </c>
      <c r="B52" s="67" t="inlineStr">
        <is>
          <t>التشغيل والمحطات</t>
        </is>
      </c>
      <c r="C52" s="67">
        <f>'التشغيل · المؤشرات'!C16</f>
        <v/>
      </c>
      <c r="D52" s="66">
        <f>'التشغيل · المؤشرات'!X16</f>
        <v/>
      </c>
      <c r="E52" s="67">
        <f>'التشغيل · المؤشرات'!Y16</f>
        <v/>
      </c>
      <c r="F52" s="68">
        <f>'التشغيل · المؤشرات'!V16</f>
        <v/>
      </c>
      <c r="G52" s="66">
        <f>'التشغيل · المؤشرات'!W16</f>
        <v/>
      </c>
    </row>
    <row r="53">
      <c r="A53" s="66" t="n">
        <v>50</v>
      </c>
      <c r="B53" s="67" t="inlineStr">
        <is>
          <t>التشغيل والمحطات</t>
        </is>
      </c>
      <c r="C53" s="67">
        <f>'التشغيل · المؤشرات'!C17</f>
        <v/>
      </c>
      <c r="D53" s="66">
        <f>'التشغيل · المؤشرات'!X17</f>
        <v/>
      </c>
      <c r="E53" s="67">
        <f>'التشغيل · المؤشرات'!Y17</f>
        <v/>
      </c>
      <c r="F53" s="68">
        <f>'التشغيل · المؤشرات'!V17</f>
        <v/>
      </c>
      <c r="G53" s="66">
        <f>'التشغيل · المؤشرات'!W17</f>
        <v/>
      </c>
    </row>
    <row r="54">
      <c r="A54" s="66" t="n">
        <v>51</v>
      </c>
      <c r="B54" s="67" t="inlineStr">
        <is>
          <t>التشغيل والمحطات</t>
        </is>
      </c>
      <c r="C54" s="67">
        <f>'التشغيل · المؤشرات'!C18</f>
        <v/>
      </c>
      <c r="D54" s="66">
        <f>'التشغيل · المؤشرات'!X18</f>
        <v/>
      </c>
      <c r="E54" s="67">
        <f>'التشغيل · المؤشرات'!Y18</f>
        <v/>
      </c>
      <c r="F54" s="68">
        <f>'التشغيل · المؤشرات'!V18</f>
        <v/>
      </c>
      <c r="G54" s="66">
        <f>'التشغيل · المؤشرات'!W18</f>
        <v/>
      </c>
    </row>
    <row r="55">
      <c r="A55" s="66" t="n">
        <v>52</v>
      </c>
      <c r="B55" s="67" t="inlineStr">
        <is>
          <t>التشغيل والمحطات</t>
        </is>
      </c>
      <c r="C55" s="67">
        <f>'التشغيل · المؤشرات'!C19</f>
        <v/>
      </c>
      <c r="D55" s="66">
        <f>'التشغيل · المؤشرات'!X19</f>
        <v/>
      </c>
      <c r="E55" s="67">
        <f>'التشغيل · المؤشرات'!Y19</f>
        <v/>
      </c>
      <c r="F55" s="68">
        <f>'التشغيل · المؤشرات'!V19</f>
        <v/>
      </c>
      <c r="G55" s="66">
        <f>'التشغيل · المؤشرات'!W19</f>
        <v/>
      </c>
    </row>
    <row r="56">
      <c r="A56" s="66" t="n">
        <v>53</v>
      </c>
      <c r="B56" s="67" t="inlineStr">
        <is>
          <t>الاستثمار</t>
        </is>
      </c>
      <c r="C56" s="67">
        <f>'الاستثمار · المؤشرات'!C4</f>
        <v/>
      </c>
      <c r="D56" s="66">
        <f>'الاستثمار · المؤشرات'!X4</f>
        <v/>
      </c>
      <c r="E56" s="67">
        <f>'الاستثمار · المؤشرات'!Y4</f>
        <v/>
      </c>
      <c r="F56" s="68">
        <f>'الاستثمار · المؤشرات'!V4</f>
        <v/>
      </c>
      <c r="G56" s="66">
        <f>'الاستثمار · المؤشرات'!W4</f>
        <v/>
      </c>
    </row>
    <row r="57">
      <c r="A57" s="66" t="n">
        <v>54</v>
      </c>
      <c r="B57" s="67" t="inlineStr">
        <is>
          <t>الاستثمار</t>
        </is>
      </c>
      <c r="C57" s="67">
        <f>'الاستثمار · المؤشرات'!C5</f>
        <v/>
      </c>
      <c r="D57" s="66">
        <f>'الاستثمار · المؤشرات'!X5</f>
        <v/>
      </c>
      <c r="E57" s="67">
        <f>'الاستثمار · المؤشرات'!Y5</f>
        <v/>
      </c>
      <c r="F57" s="68">
        <f>'الاستثمار · المؤشرات'!V5</f>
        <v/>
      </c>
      <c r="G57" s="66">
        <f>'الاستثمار · المؤشرات'!W5</f>
        <v/>
      </c>
    </row>
    <row r="58">
      <c r="A58" s="66" t="n">
        <v>55</v>
      </c>
      <c r="B58" s="67" t="inlineStr">
        <is>
          <t>الاستثمار</t>
        </is>
      </c>
      <c r="C58" s="67">
        <f>'الاستثمار · المؤشرات'!C6</f>
        <v/>
      </c>
      <c r="D58" s="66">
        <f>'الاستثمار · المؤشرات'!X6</f>
        <v/>
      </c>
      <c r="E58" s="67">
        <f>'الاستثمار · المؤشرات'!Y6</f>
        <v/>
      </c>
      <c r="F58" s="68">
        <f>'الاستثمار · المؤشرات'!V6</f>
        <v/>
      </c>
      <c r="G58" s="66">
        <f>'الاستثمار · المؤشرات'!W6</f>
        <v/>
      </c>
    </row>
    <row r="59">
      <c r="A59" s="66" t="n">
        <v>56</v>
      </c>
      <c r="B59" s="67" t="inlineStr">
        <is>
          <t>الاستثمار</t>
        </is>
      </c>
      <c r="C59" s="67">
        <f>'الاستثمار · المؤشرات'!C7</f>
        <v/>
      </c>
      <c r="D59" s="66">
        <f>'الاستثمار · المؤشرات'!X7</f>
        <v/>
      </c>
      <c r="E59" s="67">
        <f>'الاستثمار · المؤشرات'!Y7</f>
        <v/>
      </c>
      <c r="F59" s="68">
        <f>'الاستثمار · المؤشرات'!V7</f>
        <v/>
      </c>
      <c r="G59" s="66">
        <f>'الاستثمار · المؤشرات'!W7</f>
        <v/>
      </c>
    </row>
    <row r="60">
      <c r="A60" s="66" t="n">
        <v>57</v>
      </c>
      <c r="B60" s="67" t="inlineStr">
        <is>
          <t>الاستثمار</t>
        </is>
      </c>
      <c r="C60" s="67">
        <f>'الاستثمار · المؤشرات'!C8</f>
        <v/>
      </c>
      <c r="D60" s="66">
        <f>'الاستثمار · المؤشرات'!X8</f>
        <v/>
      </c>
      <c r="E60" s="67">
        <f>'الاستثمار · المؤشرات'!Y8</f>
        <v/>
      </c>
      <c r="F60" s="68">
        <f>'الاستثمار · المؤشرات'!V8</f>
        <v/>
      </c>
      <c r="G60" s="66">
        <f>'الاستثمار · المؤشرات'!W8</f>
        <v/>
      </c>
    </row>
    <row r="61">
      <c r="A61" s="66" t="n">
        <v>58</v>
      </c>
      <c r="B61" s="67" t="inlineStr">
        <is>
          <t>الاستثمار</t>
        </is>
      </c>
      <c r="C61" s="67">
        <f>'الاستثمار · المؤشرات'!C9</f>
        <v/>
      </c>
      <c r="D61" s="66">
        <f>'الاستثمار · المؤشرات'!X9</f>
        <v/>
      </c>
      <c r="E61" s="67">
        <f>'الاستثمار · المؤشرات'!Y9</f>
        <v/>
      </c>
      <c r="F61" s="68">
        <f>'الاستثمار · المؤشرات'!V9</f>
        <v/>
      </c>
      <c r="G61" s="66">
        <f>'الاستثمار · المؤشرات'!W9</f>
        <v/>
      </c>
    </row>
    <row r="62">
      <c r="A62" s="66" t="n">
        <v>59</v>
      </c>
      <c r="B62" s="67" t="inlineStr">
        <is>
          <t>الاستثمار</t>
        </is>
      </c>
      <c r="C62" s="67">
        <f>'الاستثمار · المؤشرات'!C10</f>
        <v/>
      </c>
      <c r="D62" s="66">
        <f>'الاستثمار · المؤشرات'!X10</f>
        <v/>
      </c>
      <c r="E62" s="67">
        <f>'الاستثمار · المؤشرات'!Y10</f>
        <v/>
      </c>
      <c r="F62" s="68">
        <f>'الاستثمار · المؤشرات'!V10</f>
        <v/>
      </c>
      <c r="G62" s="66">
        <f>'الاستثمار · المؤشرات'!W10</f>
        <v/>
      </c>
    </row>
    <row r="63">
      <c r="A63" s="66" t="n">
        <v>60</v>
      </c>
      <c r="B63" s="67" t="inlineStr">
        <is>
          <t>الاستثمار</t>
        </is>
      </c>
      <c r="C63" s="67">
        <f>'الاستثمار · المؤشرات'!C11</f>
        <v/>
      </c>
      <c r="D63" s="66">
        <f>'الاستثمار · المؤشرات'!X11</f>
        <v/>
      </c>
      <c r="E63" s="67">
        <f>'الاستثمار · المؤشرات'!Y11</f>
        <v/>
      </c>
      <c r="F63" s="68">
        <f>'الاستثمار · المؤشرات'!V11</f>
        <v/>
      </c>
      <c r="G63" s="66">
        <f>'الاستثمار · المؤشرات'!W11</f>
        <v/>
      </c>
    </row>
    <row r="64">
      <c r="A64" s="66" t="n">
        <v>61</v>
      </c>
      <c r="B64" s="67" t="inlineStr">
        <is>
          <t>الاستثمار</t>
        </is>
      </c>
      <c r="C64" s="67">
        <f>'الاستثمار · المؤشرات'!C12</f>
        <v/>
      </c>
      <c r="D64" s="66">
        <f>'الاستثمار · المؤشرات'!X12</f>
        <v/>
      </c>
      <c r="E64" s="67">
        <f>'الاستثمار · المؤشرات'!Y12</f>
        <v/>
      </c>
      <c r="F64" s="68">
        <f>'الاستثمار · المؤشرات'!V12</f>
        <v/>
      </c>
      <c r="G64" s="66">
        <f>'الاستثمار · المؤشرات'!W12</f>
        <v/>
      </c>
    </row>
    <row r="65">
      <c r="A65" s="66" t="n">
        <v>62</v>
      </c>
      <c r="B65" s="67" t="inlineStr">
        <is>
          <t>الاستثمار</t>
        </is>
      </c>
      <c r="C65" s="67">
        <f>'الاستثمار · المؤشرات'!C13</f>
        <v/>
      </c>
      <c r="D65" s="66">
        <f>'الاستثمار · المؤشرات'!X13</f>
        <v/>
      </c>
      <c r="E65" s="67">
        <f>'الاستثمار · المؤشرات'!Y13</f>
        <v/>
      </c>
      <c r="F65" s="68">
        <f>'الاستثمار · المؤشرات'!V13</f>
        <v/>
      </c>
      <c r="G65" s="66">
        <f>'الاستثمار · المؤشرات'!W13</f>
        <v/>
      </c>
    </row>
    <row r="66">
      <c r="A66" s="66" t="n">
        <v>63</v>
      </c>
      <c r="B66" s="67" t="inlineStr">
        <is>
          <t>الاستثمار</t>
        </is>
      </c>
      <c r="C66" s="67">
        <f>'الاستثمار · المؤشرات'!C14</f>
        <v/>
      </c>
      <c r="D66" s="66">
        <f>'الاستثمار · المؤشرات'!X14</f>
        <v/>
      </c>
      <c r="E66" s="67">
        <f>'الاستثمار · المؤشرات'!Y14</f>
        <v/>
      </c>
      <c r="F66" s="68">
        <f>'الاستثمار · المؤشرات'!V14</f>
        <v/>
      </c>
      <c r="G66" s="66">
        <f>'الاستثمار · المؤشرات'!W14</f>
        <v/>
      </c>
    </row>
    <row r="67">
      <c r="A67" s="66" t="n">
        <v>64</v>
      </c>
      <c r="B67" s="67" t="inlineStr">
        <is>
          <t>الاستثمار</t>
        </is>
      </c>
      <c r="C67" s="67">
        <f>'الاستثمار · المؤشرات'!C15</f>
        <v/>
      </c>
      <c r="D67" s="66">
        <f>'الاستثمار · المؤشرات'!X15</f>
        <v/>
      </c>
      <c r="E67" s="67">
        <f>'الاستثمار · المؤشرات'!Y15</f>
        <v/>
      </c>
      <c r="F67" s="68">
        <f>'الاستثمار · المؤشرات'!V15</f>
        <v/>
      </c>
      <c r="G67" s="66">
        <f>'الاستثمار · المؤشرات'!W15</f>
        <v/>
      </c>
    </row>
    <row r="68">
      <c r="A68" s="66" t="n">
        <v>65</v>
      </c>
      <c r="B68" s="67" t="inlineStr">
        <is>
          <t>الاستثمار</t>
        </is>
      </c>
      <c r="C68" s="67">
        <f>'الاستثمار · المؤشرات'!C16</f>
        <v/>
      </c>
      <c r="D68" s="66">
        <f>'الاستثمار · المؤشرات'!X16</f>
        <v/>
      </c>
      <c r="E68" s="67">
        <f>'الاستثمار · المؤشرات'!Y16</f>
        <v/>
      </c>
      <c r="F68" s="68">
        <f>'الاستثمار · المؤشرات'!V16</f>
        <v/>
      </c>
      <c r="G68" s="66">
        <f>'الاستثمار · المؤشرات'!W16</f>
        <v/>
      </c>
    </row>
    <row r="69">
      <c r="A69" s="66" t="n">
        <v>66</v>
      </c>
      <c r="B69" s="67" t="inlineStr">
        <is>
          <t>الاستثمار</t>
        </is>
      </c>
      <c r="C69" s="67">
        <f>'الاستثمار · المؤشرات'!C17</f>
        <v/>
      </c>
      <c r="D69" s="66">
        <f>'الاستثمار · المؤشرات'!X17</f>
        <v/>
      </c>
      <c r="E69" s="67">
        <f>'الاستثمار · المؤشرات'!Y17</f>
        <v/>
      </c>
      <c r="F69" s="68">
        <f>'الاستثمار · المؤشرات'!V17</f>
        <v/>
      </c>
      <c r="G69" s="66">
        <f>'الاستثمار · المؤشرات'!W17</f>
        <v/>
      </c>
    </row>
    <row r="70">
      <c r="A70" s="66" t="n">
        <v>67</v>
      </c>
      <c r="B70" s="67" t="inlineStr">
        <is>
          <t>الاستثمار</t>
        </is>
      </c>
      <c r="C70" s="67">
        <f>'الاستثمار · المؤشرات'!C18</f>
        <v/>
      </c>
      <c r="D70" s="66">
        <f>'الاستثمار · المؤشرات'!X18</f>
        <v/>
      </c>
      <c r="E70" s="67">
        <f>'الاستثمار · المؤشرات'!Y18</f>
        <v/>
      </c>
      <c r="F70" s="68">
        <f>'الاستثمار · المؤشرات'!V18</f>
        <v/>
      </c>
      <c r="G70" s="66">
        <f>'الاستثمار · المؤشرات'!W18</f>
        <v/>
      </c>
    </row>
    <row r="71">
      <c r="A71" s="66" t="n">
        <v>68</v>
      </c>
      <c r="B71" s="67" t="inlineStr">
        <is>
          <t>الاستثمار</t>
        </is>
      </c>
      <c r="C71" s="67">
        <f>'الاستثمار · المؤشرات'!C19</f>
        <v/>
      </c>
      <c r="D71" s="66">
        <f>'الاستثمار · المؤشرات'!X19</f>
        <v/>
      </c>
      <c r="E71" s="67">
        <f>'الاستثمار · المؤشرات'!Y19</f>
        <v/>
      </c>
      <c r="F71" s="68">
        <f>'الاستثمار · المؤشرات'!V19</f>
        <v/>
      </c>
      <c r="G71" s="66">
        <f>'الاستثمار · المؤشرات'!W19</f>
        <v/>
      </c>
    </row>
    <row r="72">
      <c r="A72" s="66" t="n">
        <v>69</v>
      </c>
      <c r="B72" s="67" t="inlineStr">
        <is>
          <t>الاستثمار</t>
        </is>
      </c>
      <c r="C72" s="67">
        <f>'الاستثمار · المؤشرات'!C20</f>
        <v/>
      </c>
      <c r="D72" s="66">
        <f>'الاستثمار · المؤشرات'!X20</f>
        <v/>
      </c>
      <c r="E72" s="67">
        <f>'الاستثمار · المؤشرات'!Y20</f>
        <v/>
      </c>
      <c r="F72" s="68">
        <f>'الاستثمار · المؤشرات'!V20</f>
        <v/>
      </c>
      <c r="G72" s="66">
        <f>'الاستثمار · المؤشرات'!W20</f>
        <v/>
      </c>
    </row>
    <row r="73">
      <c r="A73" s="66" t="n">
        <v>70</v>
      </c>
      <c r="B73" s="67" t="inlineStr">
        <is>
          <t>الاستثمار</t>
        </is>
      </c>
      <c r="C73" s="67">
        <f>'الاستثمار · المؤشرات'!C21</f>
        <v/>
      </c>
      <c r="D73" s="66">
        <f>'الاستثمار · المؤشرات'!X21</f>
        <v/>
      </c>
      <c r="E73" s="67">
        <f>'الاستثمار · المؤشرات'!Y21</f>
        <v/>
      </c>
      <c r="F73" s="68">
        <f>'الاستثمار · المؤشرات'!V21</f>
        <v/>
      </c>
      <c r="G73" s="66">
        <f>'الاستثمار · المؤشرات'!W21</f>
        <v/>
      </c>
    </row>
    <row r="74">
      <c r="A74" s="66" t="n">
        <v>71</v>
      </c>
      <c r="B74" s="67" t="inlineStr">
        <is>
          <t>الاستثمار</t>
        </is>
      </c>
      <c r="C74" s="67">
        <f>'الاستثمار · المؤشرات'!C22</f>
        <v/>
      </c>
      <c r="D74" s="66">
        <f>'الاستثمار · المؤشرات'!X22</f>
        <v/>
      </c>
      <c r="E74" s="67">
        <f>'الاستثمار · المؤشرات'!Y22</f>
        <v/>
      </c>
      <c r="F74" s="68">
        <f>'الاستثمار · المؤشرات'!V22</f>
        <v/>
      </c>
      <c r="G74" s="66">
        <f>'الاستثمار · المؤشرات'!W22</f>
        <v/>
      </c>
    </row>
    <row r="75">
      <c r="A75" s="66" t="n">
        <v>72</v>
      </c>
      <c r="B75" s="67" t="inlineStr">
        <is>
          <t>الاستثمار</t>
        </is>
      </c>
      <c r="C75" s="67">
        <f>'الاستثمار · المؤشرات'!C23</f>
        <v/>
      </c>
      <c r="D75" s="66">
        <f>'الاستثمار · المؤشرات'!X23</f>
        <v/>
      </c>
      <c r="E75" s="67">
        <f>'الاستثمار · المؤشرات'!Y23</f>
        <v/>
      </c>
      <c r="F75" s="68">
        <f>'الاستثمار · المؤشرات'!V23</f>
        <v/>
      </c>
      <c r="G75" s="66">
        <f>'الاستثمار · المؤشرات'!W23</f>
        <v/>
      </c>
    </row>
    <row r="76">
      <c r="A76" s="66" t="n">
        <v>73</v>
      </c>
      <c r="B76" s="67" t="inlineStr">
        <is>
          <t>الاستثمار</t>
        </is>
      </c>
      <c r="C76" s="67">
        <f>'الاستثمار · المؤشرات'!C24</f>
        <v/>
      </c>
      <c r="D76" s="66">
        <f>'الاستثمار · المؤشرات'!X24</f>
        <v/>
      </c>
      <c r="E76" s="67">
        <f>'الاستثمار · المؤشرات'!Y24</f>
        <v/>
      </c>
      <c r="F76" s="68">
        <f>'الاستثمار · المؤشرات'!V24</f>
        <v/>
      </c>
      <c r="G76" s="66">
        <f>'الاستثمار · المؤشرات'!W24</f>
        <v/>
      </c>
    </row>
    <row r="77">
      <c r="A77" s="66" t="n">
        <v>74</v>
      </c>
      <c r="B77" s="67" t="inlineStr">
        <is>
          <t>الاستثمار</t>
        </is>
      </c>
      <c r="C77" s="67">
        <f>'الاستثمار · المؤشرات'!C25</f>
        <v/>
      </c>
      <c r="D77" s="66">
        <f>'الاستثمار · المؤشرات'!X25</f>
        <v/>
      </c>
      <c r="E77" s="67">
        <f>'الاستثمار · المؤشرات'!Y25</f>
        <v/>
      </c>
      <c r="F77" s="68">
        <f>'الاستثمار · المؤشرات'!V25</f>
        <v/>
      </c>
      <c r="G77" s="66">
        <f>'الاستثمار · المؤشرات'!W25</f>
        <v/>
      </c>
    </row>
    <row r="78">
      <c r="A78" s="66" t="n">
        <v>75</v>
      </c>
      <c r="B78" s="67" t="inlineStr">
        <is>
          <t>الاستثمار</t>
        </is>
      </c>
      <c r="C78" s="67">
        <f>'الاستثمار · المؤشرات'!C26</f>
        <v/>
      </c>
      <c r="D78" s="66">
        <f>'الاستثمار · المؤشرات'!X26</f>
        <v/>
      </c>
      <c r="E78" s="67">
        <f>'الاستثمار · المؤشرات'!Y26</f>
        <v/>
      </c>
      <c r="F78" s="68">
        <f>'الاستثمار · المؤشرات'!V26</f>
        <v/>
      </c>
      <c r="G78" s="66">
        <f>'الاستثمار · المؤشرات'!W26</f>
        <v/>
      </c>
    </row>
    <row r="79">
      <c r="A79" s="66" t="n">
        <v>76</v>
      </c>
      <c r="B79" s="67" t="inlineStr">
        <is>
          <t>الاستثمار</t>
        </is>
      </c>
      <c r="C79" s="67">
        <f>'الاستثمار · المؤشرات'!C27</f>
        <v/>
      </c>
      <c r="D79" s="66">
        <f>'الاستثمار · المؤشرات'!X27</f>
        <v/>
      </c>
      <c r="E79" s="67">
        <f>'الاستثمار · المؤشرات'!Y27</f>
        <v/>
      </c>
      <c r="F79" s="68">
        <f>'الاستثمار · المؤشرات'!V27</f>
        <v/>
      </c>
      <c r="G79" s="66">
        <f>'الاستثمار · المؤشرات'!W27</f>
        <v/>
      </c>
    </row>
    <row r="80">
      <c r="A80" s="66" t="n">
        <v>77</v>
      </c>
      <c r="B80" s="67" t="inlineStr">
        <is>
          <t>العقار</t>
        </is>
      </c>
      <c r="C80" s="67">
        <f>'العقار · المؤشرات'!C4</f>
        <v/>
      </c>
      <c r="D80" s="66">
        <f>'العقار · المؤشرات'!X4</f>
        <v/>
      </c>
      <c r="E80" s="67">
        <f>'العقار · المؤشرات'!Y4</f>
        <v/>
      </c>
      <c r="F80" s="68">
        <f>'العقار · المؤشرات'!V4</f>
        <v/>
      </c>
      <c r="G80" s="66">
        <f>'العقار · المؤشرات'!W4</f>
        <v/>
      </c>
    </row>
    <row r="81">
      <c r="A81" s="66" t="n">
        <v>78</v>
      </c>
      <c r="B81" s="67" t="inlineStr">
        <is>
          <t>العقار</t>
        </is>
      </c>
      <c r="C81" s="67">
        <f>'العقار · المؤشرات'!C5</f>
        <v/>
      </c>
      <c r="D81" s="66">
        <f>'العقار · المؤشرات'!X5</f>
        <v/>
      </c>
      <c r="E81" s="67">
        <f>'العقار · المؤشرات'!Y5</f>
        <v/>
      </c>
      <c r="F81" s="68">
        <f>'العقار · المؤشرات'!V5</f>
        <v/>
      </c>
      <c r="G81" s="66">
        <f>'العقار · المؤشرات'!W5</f>
        <v/>
      </c>
    </row>
    <row r="82">
      <c r="A82" s="66" t="n">
        <v>79</v>
      </c>
      <c r="B82" s="67" t="inlineStr">
        <is>
          <t>العقار</t>
        </is>
      </c>
      <c r="C82" s="67">
        <f>'العقار · المؤشرات'!C6</f>
        <v/>
      </c>
      <c r="D82" s="66">
        <f>'العقار · المؤشرات'!X6</f>
        <v/>
      </c>
      <c r="E82" s="67">
        <f>'العقار · المؤشرات'!Y6</f>
        <v/>
      </c>
      <c r="F82" s="68">
        <f>'العقار · المؤشرات'!V6</f>
        <v/>
      </c>
      <c r="G82" s="66">
        <f>'العقار · المؤشرات'!W6</f>
        <v/>
      </c>
    </row>
    <row r="83">
      <c r="A83" s="66" t="n">
        <v>80</v>
      </c>
      <c r="B83" s="67" t="inlineStr">
        <is>
          <t>العقار</t>
        </is>
      </c>
      <c r="C83" s="67">
        <f>'العقار · المؤشرات'!C7</f>
        <v/>
      </c>
      <c r="D83" s="66">
        <f>'العقار · المؤشرات'!X7</f>
        <v/>
      </c>
      <c r="E83" s="67">
        <f>'العقار · المؤشرات'!Y7</f>
        <v/>
      </c>
      <c r="F83" s="68">
        <f>'العقار · المؤشرات'!V7</f>
        <v/>
      </c>
      <c r="G83" s="66">
        <f>'العقار · المؤشرات'!W7</f>
        <v/>
      </c>
    </row>
    <row r="84">
      <c r="A84" s="66" t="n">
        <v>81</v>
      </c>
      <c r="B84" s="67" t="inlineStr">
        <is>
          <t>العقار</t>
        </is>
      </c>
      <c r="C84" s="67">
        <f>'العقار · المؤشرات'!C8</f>
        <v/>
      </c>
      <c r="D84" s="66">
        <f>'العقار · المؤشرات'!X8</f>
        <v/>
      </c>
      <c r="E84" s="67">
        <f>'العقار · المؤشرات'!Y8</f>
        <v/>
      </c>
      <c r="F84" s="68">
        <f>'العقار · المؤشرات'!V8</f>
        <v/>
      </c>
      <c r="G84" s="66">
        <f>'العقار · المؤشرات'!W8</f>
        <v/>
      </c>
    </row>
    <row r="85">
      <c r="A85" s="66" t="n">
        <v>82</v>
      </c>
      <c r="B85" s="67" t="inlineStr">
        <is>
          <t>العقار</t>
        </is>
      </c>
      <c r="C85" s="67">
        <f>'العقار · المؤشرات'!C9</f>
        <v/>
      </c>
      <c r="D85" s="66">
        <f>'العقار · المؤشرات'!X9</f>
        <v/>
      </c>
      <c r="E85" s="67">
        <f>'العقار · المؤشرات'!Y9</f>
        <v/>
      </c>
      <c r="F85" s="68">
        <f>'العقار · المؤشرات'!V9</f>
        <v/>
      </c>
      <c r="G85" s="66">
        <f>'العقار · المؤشرات'!W9</f>
        <v/>
      </c>
    </row>
    <row r="86">
      <c r="A86" s="66" t="n">
        <v>83</v>
      </c>
      <c r="B86" s="67" t="inlineStr">
        <is>
          <t>العقار</t>
        </is>
      </c>
      <c r="C86" s="67">
        <f>'العقار · المؤشرات'!C10</f>
        <v/>
      </c>
      <c r="D86" s="66">
        <f>'العقار · المؤشرات'!X10</f>
        <v/>
      </c>
      <c r="E86" s="67">
        <f>'العقار · المؤشرات'!Y10</f>
        <v/>
      </c>
      <c r="F86" s="68">
        <f>'العقار · المؤشرات'!V10</f>
        <v/>
      </c>
      <c r="G86" s="66">
        <f>'العقار · المؤشرات'!W10</f>
        <v/>
      </c>
    </row>
    <row r="87">
      <c r="A87" s="66" t="n">
        <v>84</v>
      </c>
      <c r="B87" s="67" t="inlineStr">
        <is>
          <t>العقار</t>
        </is>
      </c>
      <c r="C87" s="67">
        <f>'العقار · المؤشرات'!C11</f>
        <v/>
      </c>
      <c r="D87" s="66">
        <f>'العقار · المؤشرات'!X11</f>
        <v/>
      </c>
      <c r="E87" s="67">
        <f>'العقار · المؤشرات'!Y11</f>
        <v/>
      </c>
      <c r="F87" s="68">
        <f>'العقار · المؤشرات'!V11</f>
        <v/>
      </c>
      <c r="G87" s="66">
        <f>'العقار · المؤشرات'!W11</f>
        <v/>
      </c>
    </row>
    <row r="88">
      <c r="A88" s="66" t="n">
        <v>85</v>
      </c>
      <c r="B88" s="67" t="inlineStr">
        <is>
          <t>العقار</t>
        </is>
      </c>
      <c r="C88" s="67">
        <f>'العقار · المؤشرات'!C12</f>
        <v/>
      </c>
      <c r="D88" s="66">
        <f>'العقار · المؤشرات'!X12</f>
        <v/>
      </c>
      <c r="E88" s="67">
        <f>'العقار · المؤشرات'!Y12</f>
        <v/>
      </c>
      <c r="F88" s="68">
        <f>'العقار · المؤشرات'!V12</f>
        <v/>
      </c>
      <c r="G88" s="66">
        <f>'العقار · المؤشرات'!W12</f>
        <v/>
      </c>
    </row>
    <row r="89">
      <c r="A89" s="66" t="n">
        <v>86</v>
      </c>
      <c r="B89" s="67" t="inlineStr">
        <is>
          <t>العقار</t>
        </is>
      </c>
      <c r="C89" s="67">
        <f>'العقار · المؤشرات'!C13</f>
        <v/>
      </c>
      <c r="D89" s="66">
        <f>'العقار · المؤشرات'!X13</f>
        <v/>
      </c>
      <c r="E89" s="67">
        <f>'العقار · المؤشرات'!Y13</f>
        <v/>
      </c>
      <c r="F89" s="68">
        <f>'العقار · المؤشرات'!V13</f>
        <v/>
      </c>
      <c r="G89" s="66">
        <f>'العقار · المؤشرات'!W13</f>
        <v/>
      </c>
    </row>
    <row r="90">
      <c r="A90" s="66" t="n">
        <v>87</v>
      </c>
      <c r="B90" s="67" t="inlineStr">
        <is>
          <t>العقار</t>
        </is>
      </c>
      <c r="C90" s="67">
        <f>'العقار · المؤشرات'!C14</f>
        <v/>
      </c>
      <c r="D90" s="66">
        <f>'العقار · المؤشرات'!X14</f>
        <v/>
      </c>
      <c r="E90" s="67">
        <f>'العقار · المؤشرات'!Y14</f>
        <v/>
      </c>
      <c r="F90" s="68">
        <f>'العقار · المؤشرات'!V14</f>
        <v/>
      </c>
      <c r="G90" s="66">
        <f>'العقار · المؤشرات'!W14</f>
        <v/>
      </c>
    </row>
    <row r="91">
      <c r="A91" s="66" t="n">
        <v>88</v>
      </c>
      <c r="B91" s="67" t="inlineStr">
        <is>
          <t>العقار</t>
        </is>
      </c>
      <c r="C91" s="67">
        <f>'العقار · المؤشرات'!C15</f>
        <v/>
      </c>
      <c r="D91" s="66">
        <f>'العقار · المؤشرات'!X15</f>
        <v/>
      </c>
      <c r="E91" s="67">
        <f>'العقار · المؤشرات'!Y15</f>
        <v/>
      </c>
      <c r="F91" s="68">
        <f>'العقار · المؤشرات'!V15</f>
        <v/>
      </c>
      <c r="G91" s="66">
        <f>'العقار · المؤشرات'!W15</f>
        <v/>
      </c>
    </row>
    <row r="92">
      <c r="A92" s="66" t="n">
        <v>89</v>
      </c>
      <c r="B92" s="67" t="inlineStr">
        <is>
          <t>العقار</t>
        </is>
      </c>
      <c r="C92" s="67">
        <f>'العقار · المؤشرات'!C16</f>
        <v/>
      </c>
      <c r="D92" s="66">
        <f>'العقار · المؤشرات'!X16</f>
        <v/>
      </c>
      <c r="E92" s="67">
        <f>'العقار · المؤشرات'!Y16</f>
        <v/>
      </c>
      <c r="F92" s="68">
        <f>'العقار · المؤشرات'!V16</f>
        <v/>
      </c>
      <c r="G92" s="66">
        <f>'العقار · المؤشرات'!W16</f>
        <v/>
      </c>
    </row>
    <row r="93">
      <c r="A93" s="66" t="n">
        <v>90</v>
      </c>
      <c r="B93" s="67" t="inlineStr">
        <is>
          <t>العقار</t>
        </is>
      </c>
      <c r="C93" s="67">
        <f>'العقار · المؤشرات'!C17</f>
        <v/>
      </c>
      <c r="D93" s="66">
        <f>'العقار · المؤشرات'!X17</f>
        <v/>
      </c>
      <c r="E93" s="67">
        <f>'العقار · المؤشرات'!Y17</f>
        <v/>
      </c>
      <c r="F93" s="68">
        <f>'العقار · المؤشرات'!V17</f>
        <v/>
      </c>
      <c r="G93" s="66">
        <f>'العقار · المؤشرات'!W17</f>
        <v/>
      </c>
    </row>
    <row r="94">
      <c r="A94" s="66" t="n">
        <v>91</v>
      </c>
      <c r="B94" s="67" t="inlineStr">
        <is>
          <t>العقار</t>
        </is>
      </c>
      <c r="C94" s="67">
        <f>'العقار · المؤشرات'!C18</f>
        <v/>
      </c>
      <c r="D94" s="66">
        <f>'العقار · المؤشرات'!X18</f>
        <v/>
      </c>
      <c r="E94" s="67">
        <f>'العقار · المؤشرات'!Y18</f>
        <v/>
      </c>
      <c r="F94" s="68">
        <f>'العقار · المؤشرات'!V18</f>
        <v/>
      </c>
      <c r="G94" s="66">
        <f>'العقار · المؤشرات'!W18</f>
        <v/>
      </c>
    </row>
    <row r="95">
      <c r="A95" s="66" t="n">
        <v>92</v>
      </c>
      <c r="B95" s="67" t="inlineStr">
        <is>
          <t>العقار</t>
        </is>
      </c>
      <c r="C95" s="67">
        <f>'العقار · المؤشرات'!C19</f>
        <v/>
      </c>
      <c r="D95" s="66">
        <f>'العقار · المؤشرات'!X19</f>
        <v/>
      </c>
      <c r="E95" s="67">
        <f>'العقار · المؤشرات'!Y19</f>
        <v/>
      </c>
      <c r="F95" s="68">
        <f>'العقار · المؤشرات'!V19</f>
        <v/>
      </c>
      <c r="G95" s="66">
        <f>'العقار · المؤشرات'!W19</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2026-06-10T05:39:40Z</dcterms:created>
  <dcterms:modified xsi:type="dcterms:W3CDTF">2026-06-10T05:39:41Z</dcterms:modified>
</cp:coreProperties>
</file>