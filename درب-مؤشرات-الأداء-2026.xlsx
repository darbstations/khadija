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xmlns:r="http://schemas.openxmlformats.org/officeDocument/2006/relationships" name="دليل الاستخدام" sheetId="1" state="visible" r:id="rId1"/>
    <sheet xmlns:r="http://schemas.openxmlformats.org/officeDocument/2006/relationships" name="الاستراتيجية" sheetId="2" state="visible" r:id="rId2"/>
    <sheet xmlns:r="http://schemas.openxmlformats.org/officeDocument/2006/relationships" name="المؤشرات الحيوية" sheetId="3" state="visible" r:id="rId3"/>
    <sheet xmlns:r="http://schemas.openxmlformats.org/officeDocument/2006/relationships" name="خريطة الاستراتيجية" sheetId="4" state="visible" r:id="rId4"/>
    <sheet xmlns:r="http://schemas.openxmlformats.org/officeDocument/2006/relationships" name="الخارطة التنفيذية" sheetId="5" state="visible" r:id="rId5"/>
    <sheet xmlns:r="http://schemas.openxmlformats.org/officeDocument/2006/relationships" name="لوحة الإدارة التنفيذية" sheetId="6" state="visible" r:id="rId6"/>
    <sheet xmlns:r="http://schemas.openxmlformats.org/officeDocument/2006/relationships" name="سجل المبادرات" sheetId="7" state="visible" r:id="rId7"/>
    <sheet xmlns:r="http://schemas.openxmlformats.org/officeDocument/2006/relationships" name="الحوكمة" sheetId="8" state="visible" r:id="rId8"/>
    <sheet xmlns:r="http://schemas.openxmlformats.org/officeDocument/2006/relationships" name="فحص السلامة" sheetId="9" state="visible" r:id="rId9"/>
    <sheet xmlns:r="http://schemas.openxmlformats.org/officeDocument/2006/relationships" name="الإدارة التنفيذية · المؤشرات" sheetId="10" state="visible" r:id="rId10"/>
    <sheet xmlns:r="http://schemas.openxmlformats.org/officeDocument/2006/relationships" name="الامتياز · المؤشرات" sheetId="11" state="visible" r:id="rId11"/>
    <sheet xmlns:r="http://schemas.openxmlformats.org/officeDocument/2006/relationships" name="الامتياز · الموظفون" sheetId="12" state="visible" r:id="rId12"/>
    <sheet xmlns:r="http://schemas.openxmlformats.org/officeDocument/2006/relationships" name="الامتياز · مدير الإدارة" sheetId="13" state="visible" r:id="rId13"/>
    <sheet xmlns:r="http://schemas.openxmlformats.org/officeDocument/2006/relationships" name="الامتياز · مسؤول الامتياز" sheetId="14" state="visible" r:id="rId14"/>
    <sheet xmlns:r="http://schemas.openxmlformats.org/officeDocument/2006/relationships" name="الامتياز · المراقب الميداني" sheetId="15" state="visible" r:id="rId15"/>
    <sheet xmlns:r="http://schemas.openxmlformats.org/officeDocument/2006/relationships" name="الامتياز · مسؤول التعاقدات" sheetId="16" state="visible" r:id="rId16"/>
    <sheet xmlns:r="http://schemas.openxmlformats.org/officeDocument/2006/relationships" name="الامتياز · الموظف الإداري" sheetId="17" state="visible" r:id="rId17"/>
    <sheet xmlns:r="http://schemas.openxmlformats.org/officeDocument/2006/relationships" name="التشغيل · المؤشرات" sheetId="18" state="visible" r:id="rId18"/>
    <sheet xmlns:r="http://schemas.openxmlformats.org/officeDocument/2006/relationships" name="التشغيل · مدير المحطة" sheetId="19" state="visible" r:id="rId19"/>
    <sheet xmlns:r="http://schemas.openxmlformats.org/officeDocument/2006/relationships" name="التشغيل · مشرف ميداني" sheetId="20" state="visible" r:id="rId20"/>
    <sheet xmlns:r="http://schemas.openxmlformats.org/officeDocument/2006/relationships" name="التشغيل · عامل التعبئة" sheetId="21" state="visible" r:id="rId21"/>
    <sheet xmlns:r="http://schemas.openxmlformats.org/officeDocument/2006/relationships" name="الاستثمار · المؤشرات" sheetId="22" state="visible" r:id="rId22"/>
    <sheet xmlns:r="http://schemas.openxmlformats.org/officeDocument/2006/relationships" name="الاستثمار · مدير الإدارة" sheetId="23" state="visible" r:id="rId23"/>
    <sheet xmlns:r="http://schemas.openxmlformats.org/officeDocument/2006/relationships" name="العقار · المؤشرات" sheetId="24" state="visible" r:id="rId24"/>
    <sheet xmlns:r="http://schemas.openxmlformats.org/officeDocument/2006/relationships" name="العقار · مدير الإدارة" sheetId="25" state="visible" r:id="rId25"/>
    <sheet xmlns:r="http://schemas.openxmlformats.org/officeDocument/2006/relationships" name="التقنية الرقمية · المؤشرات" sheetId="26" state="visible" r:id="rId26"/>
    <sheet xmlns:r="http://schemas.openxmlformats.org/officeDocument/2006/relationships" name="التقنية · مدير الإدارة" sheetId="27" state="visible" r:id="rId27"/>
    <sheet xmlns:r="http://schemas.openxmlformats.org/officeDocument/2006/relationships" name="الموارد البشرية · المؤشرات" sheetId="28" state="visible" r:id="rId28"/>
    <sheet xmlns:r="http://schemas.openxmlformats.org/officeDocument/2006/relationships" name="الموارد البشرية · مدير الإدارة" sheetId="29" state="visible" r:id="rId29"/>
    <sheet xmlns:r="http://schemas.openxmlformats.org/officeDocument/2006/relationships" name="قاموس المؤشرات" sheetId="30" state="visible" r:id="rId30"/>
    <sheet xmlns:r="http://schemas.openxmlformats.org/officeDocument/2006/relationships" name="سجل المخاطر" sheetId="31" state="visible" r:id="rId31"/>
    <sheet xmlns:r="http://schemas.openxmlformats.org/officeDocument/2006/relationships" name="سجل الإجراءات" sheetId="32" state="visible" r:id="rId32"/>
    <sheet xmlns:r="http://schemas.openxmlformats.org/officeDocument/2006/relationships" name="قاعدة المؤشرات" sheetId="33" state="visible" r:id="rId33"/>
    <sheet xmlns:r="http://schemas.openxmlformats.org/officeDocument/2006/relationships" name="التسويق · المؤشرات" sheetId="34" state="visible" r:id="rId34"/>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5">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000000"/>
      <sz val="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4"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0" fontId="33"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الأداء حسب الركائز</a:t>
            </a:r>
          </a:p>
        </rich>
      </tx>
    </title>
    <plotArea>
      <barChart>
        <barDir val="col"/>
        <grouping val="clustered"/>
        <ser>
          <idx val="0"/>
          <order val="0"/>
          <spPr>
            <a:solidFill xmlns:a="http://schemas.openxmlformats.org/drawingml/2006/main">
              <a:srgbClr val="F47A21"/>
            </a:solidFill>
            <a:ln xmlns:a="http://schemas.openxmlformats.org/drawingml/2006/mai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الأداء حسب الإدارة</a:t>
            </a:r>
          </a:p>
        </rich>
      </tx>
    </title>
    <plotArea>
      <barChart>
        <barDir val="bar"/>
        <grouping val="clustered"/>
        <ser>
          <idx val="0"/>
          <order val="0"/>
          <spPr>
            <a:solidFill xmlns:a="http://schemas.openxmlformats.org/drawingml/2006/main">
              <a:srgbClr val="808285"/>
            </a:solidFill>
            <a:ln xmlns:a="http://schemas.openxmlformats.org/drawingml/2006/main">
              <a:prstDash val="solid"/>
            </a:ln>
          </spPr>
          <cat>
            <numRef>
              <f>'لوحة الإدارة التنفيذية'!$B$11:$B$18</f>
            </numRef>
          </cat>
          <val>
            <numRef>
              <f>'لوحة الإدارة التنفيذية'!$C$11:$C$18</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0</row>
      <rowOff>0</rowOff>
    </from>
    <ext cx="2381250" cy="6191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11</col>
      <colOff>0</colOff>
      <row>3</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17</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0</row>
      <rowOff>0</rowOff>
    </from>
    <ext cx="2000250" cy="514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المؤشرات'!$F$4:$F$159,'قاعدة المؤشرات'!$H$4:$H$159,"مالي"),"—")</f>
        <v/>
      </c>
      <c r="D5" s="26">
        <f>COUNTIF('قاعدة المؤشرات'!$H$4:$H$159,"مالي")</f>
        <v/>
      </c>
      <c r="E5" s="22" t="inlineStr">
        <is>
          <t>الإيرادات · التحصيل · الهامش · العائد على الاستثمار</t>
        </is>
      </c>
    </row>
    <row r="6" ht="34" customHeight="1">
      <c r="B6" s="20" t="inlineStr">
        <is>
          <t>العملاء</t>
        </is>
      </c>
      <c r="C6" s="25">
        <f>IFERROR(AVERAGEIFS('قاعدة المؤشرات'!$F$4:$F$159,'قاعدة المؤشرات'!$H$4:$H$159,"العملاء"),"—")</f>
        <v/>
      </c>
      <c r="D6" s="26">
        <f>COUNTIF('قاعدة المؤشرات'!$H$4:$H$159,"العملاء")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المؤشرات'!$F$4:$F$159,'قاعدة المؤشرات'!$H$4:$H$159,"العمليات الداخلية"),"—")</f>
        <v/>
      </c>
      <c r="D7" s="26">
        <f>COUNTIF('قاعدة المؤشرات'!$H$4:$H$159,"العمليات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المؤشرات'!$F$4:$F$159,'قاعدة المؤشرات'!$H$4:$H$159,"التعلّم والنمو"),"—")</f>
        <v/>
      </c>
      <c r="D8" s="26">
        <f>COUNTIF('قاعدة المؤشرات'!$H$4:$H$159,"التعلّم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المؤشرات'!$E$4:$E$159,"التوسع في المواقع")=0,"—",IFERROR(AVERAGEIFS('قاعدة المؤشرات'!$F$4:$F$159,'قاعدة المؤشرات'!$E$4:$E$159,"التوسع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المؤشرات'!$E$4:$E$159,"الامتياز التجاري")=0,"—",IFERROR(AVERAGEIFS('قاعدة المؤشرات'!$F$4:$F$159,'قاعدة المؤشرات'!$E$4:$E$159,"الامتياز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المؤشرات'!$E$4:$E$159,"زيادة وصول العملاء")=0,"—",IFERROR(AVERAGEIFS('قاعدة المؤشرات'!$F$4:$F$159,'قاعدة المؤشرات'!$E$4:$E$159,"زيادة وصول العملاء"),"—"))</f>
        <v/>
      </c>
    </row>
    <row r="7" ht="30" customHeight="1">
      <c r="A7" s="17" t="n">
        <v>4</v>
      </c>
      <c r="B7" s="15" t="inlineStr">
        <is>
          <t>الابتكار</t>
        </is>
      </c>
      <c r="C7" s="31" t="inlineStr">
        <is>
          <t>إطلاق مشاريع جديدة</t>
        </is>
      </c>
      <c r="D7" s="22" t="inlineStr">
        <is>
          <t>التسويق + العقار</t>
        </is>
      </c>
      <c r="E7" s="22" t="inlineStr">
        <is>
          <t>المعارض · الاتفاقيات الاستراتيجية · الشراكات</t>
        </is>
      </c>
      <c r="F7" s="32" t="inlineStr">
        <is>
          <t>✅ مرتبط</t>
        </is>
      </c>
      <c r="G7" s="33">
        <f>IF(COUNTIFS('قاعدة المؤشرات'!$E$4:$E$159,"إطلاق مشاريع جديدة")=0,"—",IFERROR(AVERAGEIFS('قاعدة المؤشرات'!$F$4:$F$159,'قاعدة المؤشرات'!$E$4:$E$159,"إطلاق مشاريع جديدة"),"—"))</f>
        <v/>
      </c>
    </row>
    <row r="8" ht="30" customHeight="1">
      <c r="A8" s="17" t="n">
        <v>5</v>
      </c>
      <c r="C8" s="31" t="inlineStr">
        <is>
          <t>تطوير التصاميم والهوية</t>
        </is>
      </c>
      <c r="D8" s="22" t="inlineStr">
        <is>
          <t>التسويق (الدعاية والإعلان)</t>
        </is>
      </c>
      <c r="E8" s="22" t="inlineStr">
        <is>
          <t>التزام الهوية البصرية · جودة التصميم</t>
        </is>
      </c>
      <c r="F8" s="32" t="inlineStr">
        <is>
          <t>✅ مرتبط</t>
        </is>
      </c>
      <c r="G8" s="33">
        <f>IF(COUNTIFS('قاعدة المؤشرات'!$E$4:$E$159,"تطوير التصاميم والهوية")=0,"—",IFERROR(AVERAGEIFS('قاعدة المؤشرات'!$F$4:$F$159,'قاعدة المؤشرات'!$E$4:$E$159,"تطوير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المؤشرات'!$E$4:$E$159,"التحول التقني")=0,"—",IFERROR(AVERAGEIFS('قاعدة المؤشرات'!$F$4:$F$159,'قاعدة المؤشرات'!$E$4:$E$159,"التحول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المؤشرات'!$E$4:$E$159,"ساحات درب")=0,"—",IFERROR(AVERAGEIFS('قاعدة المؤشرات'!$F$4:$F$159,'قاعدة المؤشرات'!$E$4:$E$159,"ساحات درب"),"—"))</f>
        <v/>
      </c>
    </row>
    <row r="11" ht="30" customHeight="1">
      <c r="A11" s="17" t="n">
        <v>8</v>
      </c>
      <c r="C11" s="31" t="inlineStr">
        <is>
          <t>تطبيق «تانكي»</t>
        </is>
      </c>
      <c r="D11" s="22" t="inlineStr">
        <is>
          <t>التقنية الرقمية</t>
        </is>
      </c>
      <c r="E11" s="22" t="inlineStr">
        <is>
          <t>MAU · التنزيلات · المعاملات الرقمية · الرضا</t>
        </is>
      </c>
      <c r="F11" s="32" t="inlineStr">
        <is>
          <t>✅ مرتبط</t>
        </is>
      </c>
      <c r="G11" s="33">
        <f>IF(COUNTIFS('قاعدة المؤشرات'!$E$4:$E$159,"تطبيق «تانكي»")=0,"—",IFERROR(AVERAGEIFS('قاعدة المؤشرات'!$F$4:$F$159,'قاعدة المؤشرات'!$E$4:$E$159,"تطبيق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المؤشرات'!$E$4:$E$159,"تعزيز تجربة العملاء")=0,"—",IFERROR(AVERAGEIFS('قاعدة المؤشرات'!$F$4:$F$159,'قاعدة المؤشرات'!$E$4:$E$159,"تعزيز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المؤشرات'!$E$4:$E$159,"جودة التشغيل")=0,"—",IFERROR(AVERAGEIFS('قاعدة المؤشرات'!$F$4:$F$159,'قاعدة المؤشرات'!$E$4:$E$159,"جودة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المؤشرات'!$E$4:$E$159,"منظومة التأجير")=0,"—",IFERROR(AVERAGEIFS('قاعدة المؤشرات'!$F$4:$F$159,'قاعدة المؤشرات'!$E$4:$E$159,"منظومة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المؤشرات'!$E$4:$E$159,"الاستثمار في الموظفين")=0,"—",IFERROR(AVERAGEIFS('قاعدة المؤشرات'!$F$4:$F$159,'قاعدة المؤشرات'!$E$4:$E$159,"الاستثمار في الموظفين"),"—"))</f>
        <v/>
      </c>
    </row>
    <row r="17">
      <c r="B17" s="34" t="inlineStr">
        <is>
          <t>✅ كل مشاريع الخارطة أصبحت مغطّاة بمؤشرات وإدارات مسؤولة (التقنية الرقمية + الموارد البشرية + التسويق) · لا فجوات.</t>
        </is>
      </c>
    </row>
    <row r="18" ht="24" customHeight="1">
      <c r="B18" s="22" t="inlineStr">
        <is>
          <t>✅ تطوير التصاميم والهوية — يملكه التسويق (الدعاية والإعلان + التزام الهوية البصرية).</t>
        </is>
      </c>
    </row>
    <row r="19" ht="24" customHeight="1">
      <c r="B19" s="22" t="inlineStr">
        <is>
          <t>✅ إطلاق مشاريع جديدة — يغذّيه التسويق (المعارض + الاتفاقيات الاستراتيجية) والعقار (الشراكات).</t>
        </is>
      </c>
    </row>
    <row r="20" ht="24" customHeight="1">
      <c r="B20" s="22" t="inlineStr">
        <is>
          <t>📌 توصية: تثبيت خطوط الأساس 2025 والأوزان لكل مؤشر، وإدخال المُحقَّق الفعلي من منصة درب.</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8"/>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5" t="inlineStr">
        <is>
          <t>اضبط الشهر لتفعيل التنبؤ والانحراف ↙</t>
        </is>
      </c>
    </row>
    <row r="2" ht="38" customHeight="1">
      <c r="B2" s="36" t="inlineStr">
        <is>
          <t>درب · لوحة الإدارة التنفيذية 2026 — المحطات والعقار</t>
        </is>
      </c>
      <c r="O2" s="37" t="inlineStr">
        <is>
          <t>🗓️ الأشهر المكتملة (شهر التقرير):</t>
        </is>
      </c>
      <c r="P2" s="38" t="n"/>
    </row>
    <row r="4" ht="22" customHeight="1">
      <c r="B4" s="5" t="inlineStr">
        <is>
          <t>مؤشر الإنجاز العام للشركة</t>
        </is>
      </c>
      <c r="D4" s="32" t="inlineStr">
        <is>
          <t>✅ محقق</t>
        </is>
      </c>
      <c r="E4" s="39" t="inlineStr">
        <is>
          <t>🟡 قريب</t>
        </is>
      </c>
      <c r="F4" s="40" t="inlineStr">
        <is>
          <t>🔴 تحت الهدف</t>
        </is>
      </c>
      <c r="H4" s="41" t="inlineStr">
        <is>
          <t>الأداء حسب الركائز (5 سنوات)</t>
        </is>
      </c>
      <c r="I4" s="42" t="n"/>
      <c r="J4" s="43" t="n"/>
    </row>
    <row r="5" ht="30" customHeight="1">
      <c r="B5" s="44">
        <f>IFERROR(AVERAGE('قاعدة المؤشرات'!$F$4:$F$159),0)</f>
        <v/>
      </c>
      <c r="D5" s="45">
        <f>COUNTIF('قاعدة المؤشرات'!$G$4:$G$159,"✅ محقق")</f>
        <v/>
      </c>
      <c r="E5" s="45">
        <f>COUNTIF('قاعدة المؤشرات'!$G$4:$G$159,"🟡 قريب")</f>
        <v/>
      </c>
      <c r="F5" s="45">
        <f>COUNTIF('قاعدة المؤشرات'!$G$4:$G$159,"🔴 تحت الهدف")</f>
        <v/>
      </c>
      <c r="H5" s="46" t="inlineStr">
        <is>
          <t>الركيزة</t>
        </is>
      </c>
      <c r="I5" s="46" t="inlineStr">
        <is>
          <t>الإنجاز</t>
        </is>
      </c>
      <c r="J5" s="46" t="inlineStr">
        <is>
          <t>الحالة</t>
        </is>
      </c>
    </row>
    <row r="6">
      <c r="D6" s="47" t="n"/>
      <c r="E6" s="47" t="n"/>
      <c r="F6" s="47" t="n"/>
      <c r="H6" s="48" t="inlineStr">
        <is>
          <t>النمو</t>
        </is>
      </c>
      <c r="I6" s="33">
        <f>IFERROR(AVERAGEIFS('قاعدة المؤشرات'!$F$4:$F$159,'قاعدة المؤشرات'!$D$4:$D$159,"النمو"),"—")</f>
        <v/>
      </c>
      <c r="J6" s="49">
        <f>IF(ISNUMBER(I6),IF(I6&gt;=1,"✅",IF(I6&gt;=0.85,"🟡","🔴")),"—")</f>
        <v/>
      </c>
    </row>
    <row r="7">
      <c r="H7" s="48" t="inlineStr">
        <is>
          <t>الابتكار</t>
        </is>
      </c>
      <c r="I7" s="33">
        <f>IFERROR(AVERAGEIFS('قاعدة المؤشرات'!$F$4:$F$159,'قاعدة المؤشرات'!$D$4:$D$159,"الابتكار"),"—")</f>
        <v/>
      </c>
      <c r="J7" s="49">
        <f>IF(ISNUMBER(I7),IF(I7&gt;=1,"✅",IF(I7&gt;=0.85,"🟡","🔴")),"—")</f>
        <v/>
      </c>
    </row>
    <row r="8">
      <c r="H8" s="48" t="inlineStr">
        <is>
          <t>الاستدامة</t>
        </is>
      </c>
      <c r="I8" s="33">
        <f>IFERROR(AVERAGEIFS('قاعدة المؤشرات'!$F$4:$F$159,'قاعدة المؤشرات'!$D$4:$D$159,"الاستدامة"),"—")</f>
        <v/>
      </c>
      <c r="J8" s="49">
        <f>IF(ISNUMBER(I8),IF(I8&gt;=1,"✅",IF(I8&gt;=0.85,"🟡","🔴")),"—")</f>
        <v/>
      </c>
    </row>
    <row r="9">
      <c r="B9" s="15" t="inlineStr">
        <is>
          <t>الأداء حسب الإدارة (تغذّي نفس اللوحة)</t>
        </is>
      </c>
      <c r="C9" s="42" t="n"/>
      <c r="D9" s="43" t="n"/>
    </row>
    <row r="10">
      <c r="B10" s="46" t="inlineStr">
        <is>
          <t>الإدارة</t>
        </is>
      </c>
      <c r="C10" s="46" t="inlineStr">
        <is>
          <t>الإنجاز</t>
        </is>
      </c>
      <c r="D10" s="46" t="inlineStr">
        <is>
          <t>الحالة</t>
        </is>
      </c>
    </row>
    <row r="11">
      <c r="B11" s="22" t="inlineStr">
        <is>
          <t>الإدارة التنفيذية</t>
        </is>
      </c>
      <c r="C11" s="23">
        <f>IFERROR(AVERAGEIFS('قاعدة المؤشرات'!$F$4:$F$159,'قاعدة المؤشرات'!$B$4:$B$159,"الإدارة التنفيذية"),"—")</f>
        <v/>
      </c>
      <c r="D11" s="17">
        <f>IF(ISNUMBER(C11),IF(C11&gt;=1,"✅ محقق",IF(C11&gt;=0.85,"🟡 قريب","🔴 تحت الهدف")),"—")</f>
        <v/>
      </c>
    </row>
    <row r="12">
      <c r="B12" s="22" t="inlineStr">
        <is>
          <t>الامتياز التجاري</t>
        </is>
      </c>
      <c r="C12" s="23">
        <f>IFERROR(AVERAGEIFS('قاعدة المؤشرات'!$F$4:$F$159,'قاعدة المؤشرات'!$B$4:$B$159,"الامتياز التجاري"),"—")</f>
        <v/>
      </c>
      <c r="D12" s="17">
        <f>IF(ISNUMBER(C12),IF(C12&gt;=1,"✅ محقق",IF(C12&gt;=0.85,"🟡 قريب","🔴 تحت الهدف")),"—")</f>
        <v/>
      </c>
    </row>
    <row r="13">
      <c r="B13" s="22" t="inlineStr">
        <is>
          <t>التشغيل والمحطات</t>
        </is>
      </c>
      <c r="C13" s="23">
        <f>IFERROR(AVERAGEIFS('قاعدة المؤشرات'!$F$4:$F$159,'قاعدة المؤشرات'!$B$4:$B$159,"التشغيل والمحطات"),"—")</f>
        <v/>
      </c>
      <c r="D13" s="17">
        <f>IF(ISNUMBER(C13),IF(C13&gt;=1,"✅ محقق",IF(C13&gt;=0.85,"🟡 قريب","🔴 تحت الهدف")),"—")</f>
        <v/>
      </c>
    </row>
    <row r="14">
      <c r="B14" s="22" t="inlineStr">
        <is>
          <t>الاستثمار</t>
        </is>
      </c>
      <c r="C14" s="23">
        <f>IFERROR(AVERAGEIFS('قاعدة المؤشرات'!$F$4:$F$159,'قاعدة المؤشرات'!$B$4:$B$159,"الاستثمار"),"—")</f>
        <v/>
      </c>
      <c r="D14" s="17">
        <f>IF(ISNUMBER(C14),IF(C14&gt;=1,"✅ محقق",IF(C14&gt;=0.85,"🟡 قريب","🔴 تحت الهدف")),"—")</f>
        <v/>
      </c>
    </row>
    <row r="15">
      <c r="B15" s="22" t="inlineStr">
        <is>
          <t>العقار</t>
        </is>
      </c>
      <c r="C15" s="23">
        <f>IFERROR(AVERAGEIFS('قاعدة المؤشرات'!$F$4:$F$159,'قاعدة المؤشرات'!$B$4:$B$159,"العقار"),"—")</f>
        <v/>
      </c>
      <c r="D15" s="17">
        <f>IF(ISNUMBER(C15),IF(C15&gt;=1,"✅ محقق",IF(C15&gt;=0.85,"🟡 قريب","🔴 تحت الهدف")),"—")</f>
        <v/>
      </c>
    </row>
    <row r="16">
      <c r="B16" s="22" t="inlineStr">
        <is>
          <t>التقنية الرقمية</t>
        </is>
      </c>
      <c r="C16" s="23">
        <f>IFERROR(AVERAGEIFS('قاعدة المؤشرات'!$F$4:$F$159,'قاعدة المؤشرات'!$B$4:$B$159,"التقنية الرقمية"),"—")</f>
        <v/>
      </c>
      <c r="D16" s="17">
        <f>IF(ISNUMBER(C16),IF(C16&gt;=1,"✅ محقق",IF(C16&gt;=0.85,"🟡 قريب","🔴 تحت الهدف")),"—")</f>
        <v/>
      </c>
    </row>
    <row r="17">
      <c r="B17" s="22" t="inlineStr">
        <is>
          <t>الموارد البشرية</t>
        </is>
      </c>
      <c r="C17" s="23">
        <f>IFERROR(AVERAGEIFS('قاعدة المؤشرات'!$F$4:$F$159,'قاعدة المؤشرات'!$B$4:$B$159,"الموارد البشرية"),"—")</f>
        <v/>
      </c>
      <c r="D17" s="17">
        <f>IF(ISNUMBER(C17),IF(C17&gt;=1,"✅ محقق",IF(C17&gt;=0.85,"🟡 قريب","🔴 تحت الهدف")),"—")</f>
        <v/>
      </c>
    </row>
    <row r="18">
      <c r="B18" s="22" t="inlineStr">
        <is>
          <t>التسويق</t>
        </is>
      </c>
      <c r="C18" s="23">
        <f>IFERROR(AVERAGEIFS('قاعدة المؤشرات'!$F$4:$F$159,'قاعدة المؤشرات'!$B$4:$B$159,"التسويق"),"—")</f>
        <v/>
      </c>
      <c r="D18" s="17">
        <f>IF(ISNUMBER(C18),IF(C18&gt;=1,"✅ محقق",IF(C18&gt;=0.85,"🟡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0"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1" t="inlineStr">
        <is>
          <t>إطلاق تطبيق «تانكي»</t>
        </is>
      </c>
      <c r="C4" s="38" t="inlineStr">
        <is>
          <t>الابتكار</t>
        </is>
      </c>
      <c r="D4" s="51" t="inlineStr">
        <is>
          <t>تطبيق «تانكي»</t>
        </is>
      </c>
      <c r="E4" s="51" t="inlineStr">
        <is>
          <t>عدد المستخدمين النشطين (MAU)</t>
        </is>
      </c>
      <c r="F4" s="38" t="inlineStr">
        <is>
          <t>التقنية الرقمية</t>
        </is>
      </c>
      <c r="G4" s="38" t="n"/>
      <c r="H4" s="38" t="n"/>
      <c r="I4" s="52" t="n"/>
      <c r="J4" s="53" t="n"/>
      <c r="K4" s="17">
        <f>IF($J4="","—",IF($J4&gt;=1,"✅ مكتملة",IF($J4&gt;0,"🟠 جارية","⚪ لم تبدأ")))</f>
        <v/>
      </c>
      <c r="L4" s="51" t="n"/>
    </row>
    <row r="5" ht="26" customHeight="1">
      <c r="A5" s="17" t="n">
        <v>2</v>
      </c>
      <c r="B5" s="51" t="inlineStr">
        <is>
          <t>برنامج التحول الرقمي وأتمتة العمليات</t>
        </is>
      </c>
      <c r="C5" s="38" t="inlineStr">
        <is>
          <t>الابتكار</t>
        </is>
      </c>
      <c r="D5" s="51" t="inlineStr">
        <is>
          <t>التحول التقني</t>
        </is>
      </c>
      <c r="E5" s="51" t="inlineStr">
        <is>
          <t>نسبة الأتمتة على مستوى الشركة</t>
        </is>
      </c>
      <c r="F5" s="38" t="inlineStr">
        <is>
          <t>التقنية الرقمية</t>
        </is>
      </c>
      <c r="G5" s="38" t="n"/>
      <c r="H5" s="38" t="n"/>
      <c r="I5" s="52" t="n"/>
      <c r="J5" s="53" t="n"/>
      <c r="K5" s="17">
        <f>IF($J5="","—",IF($J5&gt;=1,"✅ مكتملة",IF($J5&gt;0,"🟠 جارية","⚪ لم تبدأ")))</f>
        <v/>
      </c>
      <c r="L5" s="51" t="n"/>
    </row>
    <row r="6" ht="26" customHeight="1">
      <c r="A6" s="17" t="n">
        <v>3</v>
      </c>
      <c r="B6" s="51" t="inlineStr">
        <is>
          <t>برنامج تطوير واستبقاء الموظفين</t>
        </is>
      </c>
      <c r="C6" s="38" t="inlineStr">
        <is>
          <t>الاستدامة</t>
        </is>
      </c>
      <c r="D6" s="51" t="inlineStr">
        <is>
          <t>الاستثمار في الموظفين</t>
        </is>
      </c>
      <c r="E6" s="51" t="inlineStr">
        <is>
          <t>الاستبقاء + eNPS</t>
        </is>
      </c>
      <c r="F6" s="38" t="inlineStr">
        <is>
          <t>الموارد البشرية</t>
        </is>
      </c>
      <c r="G6" s="38" t="n"/>
      <c r="H6" s="38" t="n"/>
      <c r="I6" s="52" t="n"/>
      <c r="J6" s="53" t="n"/>
      <c r="K6" s="17">
        <f>IF($J6="","—",IF($J6&gt;=1,"✅ مكتملة",IF($J6&gt;0,"🟠 جارية","⚪ لم تبدأ")))</f>
        <v/>
      </c>
      <c r="L6" s="51" t="n"/>
    </row>
    <row r="7" ht="26" customHeight="1">
      <c r="A7" s="17" t="n">
        <v>4</v>
      </c>
      <c r="B7" s="51" t="inlineStr">
        <is>
          <t>خطة افتتاح 30 محطة جديدة</t>
        </is>
      </c>
      <c r="C7" s="38" t="inlineStr">
        <is>
          <t>النمو</t>
        </is>
      </c>
      <c r="D7" s="51" t="inlineStr">
        <is>
          <t>التوسع في المواقع</t>
        </is>
      </c>
      <c r="E7" s="51" t="inlineStr">
        <is>
          <t>عدد المحطات المشغّلة</t>
        </is>
      </c>
      <c r="F7" s="38" t="inlineStr">
        <is>
          <t>التشغيل والمحطات</t>
        </is>
      </c>
      <c r="G7" s="38" t="n"/>
      <c r="H7" s="38" t="n"/>
      <c r="I7" s="52" t="n"/>
      <c r="J7" s="53" t="n"/>
      <c r="K7" s="17">
        <f>IF($J7="","—",IF($J7&gt;=1,"✅ مكتملة",IF($J7&gt;0,"🟠 جارية","⚪ لم تبدأ")))</f>
        <v/>
      </c>
      <c r="L7" s="51" t="n"/>
    </row>
    <row r="8" ht="26" customHeight="1">
      <c r="A8" s="17" t="n">
        <v>5</v>
      </c>
      <c r="B8" s="51" t="inlineStr">
        <is>
          <t>حملة استقطاب 167 عقد امتياز</t>
        </is>
      </c>
      <c r="C8" s="38" t="inlineStr">
        <is>
          <t>النمو</t>
        </is>
      </c>
      <c r="D8" s="51" t="inlineStr">
        <is>
          <t>الامتياز التجاري</t>
        </is>
      </c>
      <c r="E8" s="51" t="inlineStr">
        <is>
          <t>عقود الامتياز الجديدة</t>
        </is>
      </c>
      <c r="F8" s="38" t="inlineStr">
        <is>
          <t>الامتياز التجاري</t>
        </is>
      </c>
      <c r="G8" s="38" t="n"/>
      <c r="H8" s="38" t="n"/>
      <c r="I8" s="52" t="n"/>
      <c r="J8" s="53" t="n"/>
      <c r="K8" s="17">
        <f>IF($J8="","—",IF($J8&gt;=1,"✅ مكتملة",IF($J8&gt;0,"🟠 جارية","⚪ لم تبدأ")))</f>
        <v/>
      </c>
      <c r="L8" s="51" t="n"/>
    </row>
    <row r="9" ht="26" customHeight="1">
      <c r="A9" s="17" t="n">
        <v>6</v>
      </c>
      <c r="B9" s="51" t="inlineStr">
        <is>
          <t>تطوير وتشغيل ساحات درب</t>
        </is>
      </c>
      <c r="C9" s="38" t="inlineStr">
        <is>
          <t>الابتكار</t>
        </is>
      </c>
      <c r="D9" s="51" t="inlineStr">
        <is>
          <t>ساحات درب</t>
        </is>
      </c>
      <c r="E9" s="51" t="inlineStr">
        <is>
          <t>نسبة تأجير ساحة درب</t>
        </is>
      </c>
      <c r="F9" s="38" t="inlineStr">
        <is>
          <t>العقار</t>
        </is>
      </c>
      <c r="G9" s="38" t="n"/>
      <c r="H9" s="38" t="n"/>
      <c r="I9" s="52" t="n"/>
      <c r="J9" s="53" t="n"/>
      <c r="K9" s="17">
        <f>IF($J9="","—",IF($J9&gt;=1,"✅ مكتملة",IF($J9&gt;0,"🟠 جارية","⚪ لم تبدأ")))</f>
        <v/>
      </c>
      <c r="L9" s="51" t="n"/>
    </row>
    <row r="10" ht="26" customHeight="1">
      <c r="A10" s="17" t="n">
        <v>7</v>
      </c>
      <c r="B10" s="51" t="inlineStr">
        <is>
          <t>مشروع تطوير الهوية والتصاميم</t>
        </is>
      </c>
      <c r="C10" s="38" t="inlineStr">
        <is>
          <t>الابتكار</t>
        </is>
      </c>
      <c r="D10" s="51" t="inlineStr">
        <is>
          <t>تطوير التصاميم والهوية</t>
        </is>
      </c>
      <c r="E10" s="51" t="inlineStr">
        <is>
          <t>التزام المحطات بالهوية</t>
        </is>
      </c>
      <c r="F10" s="38" t="inlineStr">
        <is>
          <t>التسويق (مقترح)</t>
        </is>
      </c>
      <c r="G10" s="38" t="n"/>
      <c r="H10" s="38" t="n"/>
      <c r="I10" s="52" t="n"/>
      <c r="J10" s="53" t="n"/>
      <c r="K10" s="17">
        <f>IF($J10="","—",IF($J10&gt;=1,"✅ مكتملة",IF($J10&gt;0,"🟠 جارية","⚪ لم تبدأ")))</f>
        <v/>
      </c>
      <c r="L10" s="51" t="n"/>
    </row>
    <row r="11" ht="26" customHeight="1">
      <c r="A11" s="17" t="n">
        <v>8</v>
      </c>
      <c r="B11" s="51" t="n"/>
      <c r="C11" s="38" t="n"/>
      <c r="D11" s="51" t="n"/>
      <c r="E11" s="51" t="n"/>
      <c r="F11" s="38" t="n"/>
      <c r="G11" s="38" t="n"/>
      <c r="H11" s="38" t="n"/>
      <c r="I11" s="52" t="n"/>
      <c r="J11" s="53" t="n"/>
      <c r="K11" s="17">
        <f>IF($J11="","—",IF($J11&gt;=1,"✅ مكتملة",IF($J11&gt;0,"🟠 جارية","⚪ لم تبدأ")))</f>
        <v/>
      </c>
      <c r="L11" s="51" t="n"/>
    </row>
    <row r="12" ht="26" customHeight="1">
      <c r="A12" s="17" t="n">
        <v>9</v>
      </c>
      <c r="B12" s="51" t="n"/>
      <c r="C12" s="38" t="n"/>
      <c r="D12" s="51" t="n"/>
      <c r="E12" s="51" t="n"/>
      <c r="F12" s="38" t="n"/>
      <c r="G12" s="38" t="n"/>
      <c r="H12" s="38" t="n"/>
      <c r="I12" s="52" t="n"/>
      <c r="J12" s="53" t="n"/>
      <c r="K12" s="17">
        <f>IF($J12="","—",IF($J12&gt;=1,"✅ مكتملة",IF($J12&gt;0,"🟠 جارية","⚪ لم تبدأ")))</f>
        <v/>
      </c>
      <c r="L12" s="51" t="n"/>
    </row>
    <row r="13" ht="26" customHeight="1">
      <c r="A13" s="17" t="n">
        <v>10</v>
      </c>
      <c r="B13" s="51" t="n"/>
      <c r="C13" s="38" t="n"/>
      <c r="D13" s="51" t="n"/>
      <c r="E13" s="51" t="n"/>
      <c r="F13" s="38" t="n"/>
      <c r="G13" s="38" t="n"/>
      <c r="H13" s="38" t="n"/>
      <c r="I13" s="52" t="n"/>
      <c r="J13" s="53" t="n"/>
      <c r="K13" s="17">
        <f>IF($J13="","—",IF($J13&gt;=1,"✅ مكتملة",IF($J13&gt;0,"🟠 جارية","⚪ لم تبدأ")))</f>
        <v/>
      </c>
      <c r="L13" s="51" t="n"/>
    </row>
    <row r="14" ht="26" customHeight="1">
      <c r="A14" s="17" t="n">
        <v>11</v>
      </c>
      <c r="B14" s="51" t="n"/>
      <c r="C14" s="38" t="n"/>
      <c r="D14" s="51" t="n"/>
      <c r="E14" s="51" t="n"/>
      <c r="F14" s="38" t="n"/>
      <c r="G14" s="38" t="n"/>
      <c r="H14" s="38" t="n"/>
      <c r="I14" s="52" t="n"/>
      <c r="J14" s="53" t="n"/>
      <c r="K14" s="17">
        <f>IF($J14="","—",IF($J14&gt;=1,"✅ مكتملة",IF($J14&gt;0,"🟠 جارية","⚪ لم تبدأ")))</f>
        <v/>
      </c>
      <c r="L14" s="51" t="n"/>
    </row>
    <row r="15" ht="26" customHeight="1">
      <c r="A15" s="17" t="n">
        <v>12</v>
      </c>
      <c r="B15" s="51" t="n"/>
      <c r="C15" s="38" t="n"/>
      <c r="D15" s="51" t="n"/>
      <c r="E15" s="51" t="n"/>
      <c r="F15" s="38" t="n"/>
      <c r="G15" s="38" t="n"/>
      <c r="H15" s="38" t="n"/>
      <c r="I15" s="52" t="n"/>
      <c r="J15" s="53" t="n"/>
      <c r="K15" s="17">
        <f>IF($J15="","—",IF($J15&gt;=1,"✅ مكتملة",IF($J15&gt;0,"🟠 جارية","⚪ لم تبدأ")))</f>
        <v/>
      </c>
      <c r="L15" s="51" t="n"/>
    </row>
    <row r="16" ht="26" customHeight="1">
      <c r="A16" s="17" t="n">
        <v>13</v>
      </c>
      <c r="B16" s="51" t="n"/>
      <c r="C16" s="38" t="n"/>
      <c r="D16" s="51" t="n"/>
      <c r="E16" s="51" t="n"/>
      <c r="F16" s="38" t="n"/>
      <c r="G16" s="38" t="n"/>
      <c r="H16" s="38" t="n"/>
      <c r="I16" s="52" t="n"/>
      <c r="J16" s="53" t="n"/>
      <c r="K16" s="17">
        <f>IF($J16="","—",IF($J16&gt;=1,"✅ مكتملة",IF($J16&gt;0,"🟠 جارية","⚪ لم تبدأ")))</f>
        <v/>
      </c>
      <c r="L16" s="51"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2" t="n"/>
      <c r="D4" s="42" t="n"/>
      <c r="E4" s="43" t="n"/>
    </row>
    <row r="5">
      <c r="B5" s="54" t="inlineStr">
        <is>
          <t>الدورية</t>
        </is>
      </c>
      <c r="C5" s="54" t="inlineStr">
        <is>
          <t>النشاط</t>
        </is>
      </c>
      <c r="D5" s="54" t="inlineStr">
        <is>
          <t>المسؤول</t>
        </is>
      </c>
      <c r="E5" s="5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2" t="n"/>
      <c r="D11" s="42" t="n"/>
      <c r="E11" s="43" t="n"/>
    </row>
    <row r="12">
      <c r="B12" s="55" t="inlineStr">
        <is>
          <t>R = منفّذ · A = مُساءل · C = مُستشار · I = مُطّلع</t>
        </is>
      </c>
      <c r="C12" s="42" t="n"/>
      <c r="D12" s="42" t="n"/>
      <c r="E12" s="43" t="n"/>
    </row>
    <row r="13">
      <c r="B13" s="54" t="inlineStr">
        <is>
          <t>المهمة</t>
        </is>
      </c>
      <c r="C13" s="54" t="inlineStr">
        <is>
          <t>المسؤول (A)</t>
        </is>
      </c>
      <c r="D13" s="54" t="inlineStr">
        <is>
          <t>المنفّذ (R)</t>
        </is>
      </c>
      <c r="E13" s="5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2" t="n"/>
      <c r="D19" s="42" t="n"/>
      <c r="E19" s="43" t="n"/>
    </row>
    <row r="20">
      <c r="B20" s="54" t="inlineStr">
        <is>
          <t>الركيزة</t>
        </is>
      </c>
      <c r="C20" s="54" t="inlineStr">
        <is>
          <t>2026</t>
        </is>
      </c>
      <c r="D20" s="54" t="inlineStr">
        <is>
          <t>2027</t>
        </is>
      </c>
      <c r="E20" s="54" t="inlineStr">
        <is>
          <t>2028</t>
        </is>
      </c>
    </row>
    <row r="21" ht="26" customHeight="1">
      <c r="B21" s="22" t="inlineStr">
        <is>
          <t>النمو — المحطات المشغّلة</t>
        </is>
      </c>
      <c r="C21" s="56" t="inlineStr">
        <is>
          <t>85 + 150</t>
        </is>
      </c>
      <c r="D21" s="56" t="inlineStr">
        <is>
          <t>≈ 320</t>
        </is>
      </c>
      <c r="E21" s="56" t="inlineStr">
        <is>
          <t>≈ 450</t>
        </is>
      </c>
    </row>
    <row r="22" ht="26" customHeight="1">
      <c r="B22" s="22" t="inlineStr">
        <is>
          <t>النمو — العقود الجديدة</t>
        </is>
      </c>
      <c r="C22" s="56" t="inlineStr">
        <is>
          <t>167 + 190</t>
        </is>
      </c>
      <c r="D22" s="56" t="inlineStr">
        <is>
          <t>تصاعدي</t>
        </is>
      </c>
      <c r="E22" s="56" t="inlineStr">
        <is>
          <t>تصاعدي</t>
        </is>
      </c>
    </row>
    <row r="23" ht="26" customHeight="1">
      <c r="B23" s="22" t="inlineStr">
        <is>
          <t>الابتكار — أتمتة/تانكي</t>
        </is>
      </c>
      <c r="C23" s="56" t="inlineStr">
        <is>
          <t>إطلاق وتثبيت</t>
        </is>
      </c>
      <c r="D23" s="56" t="inlineStr">
        <is>
          <t>توسّع</t>
        </is>
      </c>
      <c r="E23" s="56" t="inlineStr">
        <is>
          <t>نضج رقمي</t>
        </is>
      </c>
    </row>
    <row r="24" ht="26" customHeight="1">
      <c r="B24" s="22" t="inlineStr">
        <is>
          <t>الاستدامة — رضا وجودة</t>
        </is>
      </c>
      <c r="C24" s="56" t="inlineStr">
        <is>
          <t>CSAT 90% · جاهزية 99%</t>
        </is>
      </c>
      <c r="D24" s="56" t="inlineStr">
        <is>
          <t>الحفاظ والتحسين</t>
        </is>
      </c>
      <c r="E24" s="56" t="inlineStr">
        <is>
          <t>تميّز تشغيلي</t>
        </is>
      </c>
    </row>
    <row r="26">
      <c r="B26" s="57" t="inlineStr">
        <is>
          <t>📌 الأرقام التقديرية للطموحات الثلاثية تحتاج اعتماد الإدارة التنفيذية وربطها بخطوط الأساس 2025.</t>
        </is>
      </c>
      <c r="C26" s="42" t="n"/>
      <c r="D26" s="42" t="n"/>
      <c r="E26" s="43"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6"/>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2" t="n"/>
      <c r="D4" s="43" t="n"/>
    </row>
    <row r="5">
      <c r="B5" s="22" t="inlineStr">
        <is>
          <t>إجمالي المؤشرات في القاعدة</t>
        </is>
      </c>
      <c r="C5" s="58">
        <f>159-3</f>
        <v/>
      </c>
    </row>
    <row r="6">
      <c r="B6" s="22" t="inlineStr">
        <is>
          <t>✅ محقق</t>
        </is>
      </c>
      <c r="C6" s="58">
        <f>COUNTIF('قاعدة المؤشرات'!$G$4:$G$159,"✅ محقق")</f>
        <v/>
      </c>
    </row>
    <row r="7">
      <c r="B7" s="22" t="inlineStr">
        <is>
          <t>🟡 قريب</t>
        </is>
      </c>
      <c r="C7" s="58">
        <f>COUNTIF('قاعدة المؤشرات'!$G$4:$G$159,"🟡 قريب")</f>
        <v/>
      </c>
    </row>
    <row r="8">
      <c r="B8" s="22" t="inlineStr">
        <is>
          <t>🔴 تحت الهدف</t>
        </is>
      </c>
      <c r="C8" s="58">
        <f>COUNTIF('قاعدة المؤشرات'!$G$4:$G$159,"🔴 تحت الهدف")</f>
        <v/>
      </c>
    </row>
    <row r="9">
      <c r="B9" s="22" t="inlineStr">
        <is>
          <t>— بانتظار بيانات</t>
        </is>
      </c>
      <c r="C9" s="58">
        <f>COUNTIF('قاعدة المؤشرات'!$G$4:$G$159,"—")</f>
        <v/>
      </c>
    </row>
    <row r="11">
      <c r="B11" s="7" t="inlineStr">
        <is>
          <t>② تكامل الأوزان لكل إدارة (يجب = 100%)</t>
        </is>
      </c>
      <c r="C11" s="42" t="n"/>
      <c r="D11" s="43" t="n"/>
    </row>
    <row r="12">
      <c r="B12" s="54" t="inlineStr">
        <is>
          <t>الإدارة</t>
        </is>
      </c>
      <c r="C12" s="54" t="inlineStr">
        <is>
          <t>مجموع الأوزان</t>
        </is>
      </c>
      <c r="D12" s="54" t="inlineStr">
        <is>
          <t>النتيجة</t>
        </is>
      </c>
    </row>
    <row r="13">
      <c r="B13" s="22" t="inlineStr">
        <is>
          <t>الإدارة التنفيذية</t>
        </is>
      </c>
      <c r="C13" s="59">
        <f>'الإدارة التنفيذية · المؤشرات'!AB14</f>
        <v/>
      </c>
      <c r="D13" s="17">
        <f>IF(ROUND('الإدارة التنفيذية · المؤشرات'!AB14,3)=1,"✅ سليم","⚠️ يحتاج ضبط")</f>
        <v/>
      </c>
    </row>
    <row r="14">
      <c r="B14" s="22" t="inlineStr">
        <is>
          <t>الامتياز التجاري</t>
        </is>
      </c>
      <c r="C14" s="59">
        <f>'الامتياز · المؤشرات'!AB40</f>
        <v/>
      </c>
      <c r="D14" s="17">
        <f>IF(ROUND('الامتياز · المؤشرات'!AB40,3)=1,"✅ سليم","⚠️ يحتاج ضبط")</f>
        <v/>
      </c>
    </row>
    <row r="15">
      <c r="B15" s="22" t="inlineStr">
        <is>
          <t>التشغيل والمحطات</t>
        </is>
      </c>
      <c r="C15" s="59">
        <f>'التشغيل · المؤشرات'!AB20</f>
        <v/>
      </c>
      <c r="D15" s="17">
        <f>IF(ROUND('التشغيل · المؤشرات'!AB20,3)=1,"✅ سليم","⚠️ يحتاج ضبط")</f>
        <v/>
      </c>
    </row>
    <row r="16">
      <c r="B16" s="22" t="inlineStr">
        <is>
          <t>الاستثمار</t>
        </is>
      </c>
      <c r="C16" s="59">
        <f>'الاستثمار · المؤشرات'!AB28</f>
        <v/>
      </c>
      <c r="D16" s="17">
        <f>IF(ROUND('الاستثمار · المؤشرات'!AB28,3)=1,"✅ سليم","⚠️ يحتاج ضبط")</f>
        <v/>
      </c>
    </row>
    <row r="17">
      <c r="B17" s="22" t="inlineStr">
        <is>
          <t>العقار</t>
        </is>
      </c>
      <c r="C17" s="59">
        <f>'العقار · المؤشرات'!AB20</f>
        <v/>
      </c>
      <c r="D17" s="17">
        <f>IF(ROUND('العقار · المؤشرات'!AB20,3)=1,"✅ سليم","⚠️ يحتاج ضبط")</f>
        <v/>
      </c>
    </row>
    <row r="18">
      <c r="B18" s="22" t="inlineStr">
        <is>
          <t>التقنية الرقمية</t>
        </is>
      </c>
      <c r="C18" s="59">
        <f>'التقنية الرقمية · المؤشرات'!AB28</f>
        <v/>
      </c>
      <c r="D18" s="17">
        <f>IF(ROUND('التقنية الرقمية · المؤشرات'!AB28,3)=1,"✅ سليم","⚠️ يحتاج ضبط")</f>
        <v/>
      </c>
    </row>
    <row r="19">
      <c r="B19" s="22" t="inlineStr">
        <is>
          <t>الموارد البشرية</t>
        </is>
      </c>
      <c r="C19" s="59">
        <f>'الموارد البشرية · المؤشرات'!AB21</f>
        <v/>
      </c>
      <c r="D19" s="17">
        <f>IF(ROUND('الموارد البشرية · المؤشرات'!AB21,3)=1,"✅ سليم","⚠️ يحتاج ضبط")</f>
        <v/>
      </c>
    </row>
    <row r="20">
      <c r="B20" s="22" t="inlineStr">
        <is>
          <t>التسويق</t>
        </is>
      </c>
      <c r="C20" s="59">
        <f>'التسويق · المؤشرات'!AB17</f>
        <v/>
      </c>
      <c r="D20" s="17">
        <f>IF(ROUND('التسويق · المؤشرات'!AB17,3)=1,"✅ سليم","⚠️ يحتاج ضبط")</f>
        <v/>
      </c>
    </row>
    <row r="22">
      <c r="B22" s="7" t="inlineStr">
        <is>
          <t>③ اكتمال خطوط الأساس 2025 (المتبقّي بلا إدخال)</t>
        </is>
      </c>
      <c r="C22" s="42" t="n"/>
      <c r="D22" s="43" t="n"/>
    </row>
    <row r="23">
      <c r="B23" s="54" t="inlineStr">
        <is>
          <t>الإدارة</t>
        </is>
      </c>
      <c r="C23" s="54" t="inlineStr">
        <is>
          <t>مؤشرات بلا خط أساس</t>
        </is>
      </c>
      <c r="D23" s="54" t="inlineStr">
        <is>
          <t>النتيجة</t>
        </is>
      </c>
    </row>
    <row r="24">
      <c r="B24" s="22" t="inlineStr">
        <is>
          <t>الإدارة التنفيذية</t>
        </is>
      </c>
      <c r="C24" s="58">
        <f>COUNTBLANK('الإدارة التنفيذية · المؤشرات'!Z4:Z13)</f>
        <v/>
      </c>
      <c r="D24" s="21">
        <f>IF(COUNTBLANK('الإدارة التنفيذية · المؤشرات'!Z4:Z13)=0,"✅ مكتمل","⏳ "&amp;COUNTBLANK('الإدارة التنفيذية · المؤشرات'!Z4:Z13)&amp;" بانتظار")</f>
        <v/>
      </c>
    </row>
    <row r="25">
      <c r="B25" s="22" t="inlineStr">
        <is>
          <t>الامتياز التجاري</t>
        </is>
      </c>
      <c r="C25" s="58">
        <f>COUNTBLANK('الامتياز · المؤشرات'!Z4:Z39)</f>
        <v/>
      </c>
      <c r="D25" s="21">
        <f>IF(COUNTBLANK('الامتياز · المؤشرات'!Z4:Z39)=0,"✅ مكتمل","⏳ "&amp;COUNTBLANK('الامتياز · المؤشرات'!Z4:Z39)&amp;" بانتظار")</f>
        <v/>
      </c>
    </row>
    <row r="26">
      <c r="B26" s="22" t="inlineStr">
        <is>
          <t>التشغيل والمحطات</t>
        </is>
      </c>
      <c r="C26" s="58">
        <f>COUNTBLANK('التشغيل · المؤشرات'!Z4:Z19)</f>
        <v/>
      </c>
      <c r="D26" s="21">
        <f>IF(COUNTBLANK('التشغيل · المؤشرات'!Z4:Z19)=0,"✅ مكتمل","⏳ "&amp;COUNTBLANK('التشغيل · المؤشرات'!Z4:Z19)&amp;" بانتظار")</f>
        <v/>
      </c>
    </row>
    <row r="27">
      <c r="B27" s="22" t="inlineStr">
        <is>
          <t>الاستثمار</t>
        </is>
      </c>
      <c r="C27" s="58">
        <f>COUNTBLANK('الاستثمار · المؤشرات'!Z4:Z27)</f>
        <v/>
      </c>
      <c r="D27" s="21">
        <f>IF(COUNTBLANK('الاستثمار · المؤشرات'!Z4:Z27)=0,"✅ مكتمل","⏳ "&amp;COUNTBLANK('الاستثمار · المؤشرات'!Z4:Z27)&amp;" بانتظار")</f>
        <v/>
      </c>
    </row>
    <row r="28">
      <c r="B28" s="22" t="inlineStr">
        <is>
          <t>العقار</t>
        </is>
      </c>
      <c r="C28" s="58">
        <f>COUNTBLANK('العقار · المؤشرات'!Z4:Z19)</f>
        <v/>
      </c>
      <c r="D28" s="21">
        <f>IF(COUNTBLANK('العقار · المؤشرات'!Z4:Z19)=0,"✅ مكتمل","⏳ "&amp;COUNTBLANK('العقار · المؤشرات'!Z4:Z19)&amp;" بانتظار")</f>
        <v/>
      </c>
    </row>
    <row r="29">
      <c r="B29" s="22" t="inlineStr">
        <is>
          <t>التقنية الرقمية</t>
        </is>
      </c>
      <c r="C29" s="58">
        <f>COUNTBLANK('التقنية الرقمية · المؤشرات'!Z4:Z27)</f>
        <v/>
      </c>
      <c r="D29" s="21">
        <f>IF(COUNTBLANK('التقنية الرقمية · المؤشرات'!Z4:Z27)=0,"✅ مكتمل","⏳ "&amp;COUNTBLANK('التقنية الرقمية · المؤشرات'!Z4:Z27)&amp;" بانتظار")</f>
        <v/>
      </c>
    </row>
    <row r="30">
      <c r="B30" s="22" t="inlineStr">
        <is>
          <t>الموارد البشرية</t>
        </is>
      </c>
      <c r="C30" s="58">
        <f>COUNTBLANK('الموارد البشرية · المؤشرات'!Z4:Z20)</f>
        <v/>
      </c>
      <c r="D30" s="21">
        <f>IF(COUNTBLANK('الموارد البشرية · المؤشرات'!Z4:Z20)=0,"✅ مكتمل","⏳ "&amp;COUNTBLANK('الموارد البشرية · المؤشرات'!Z4:Z20)&amp;" بانتظار")</f>
        <v/>
      </c>
    </row>
    <row r="31">
      <c r="B31" s="22" t="inlineStr">
        <is>
          <t>التسويق</t>
        </is>
      </c>
      <c r="C31" s="58">
        <f>COUNTBLANK('التسويق · المؤشرات'!Z4:Z16)</f>
        <v/>
      </c>
      <c r="D31" s="21">
        <f>IF(COUNTBLANK('التسويق · المؤشرات'!Z4:Z16)=0,"✅ مكتمل","⏳ "&amp;COUNTBLANK('التسويق · المؤشرات'!Z4:Z16)&amp;" بانتظار")</f>
        <v/>
      </c>
    </row>
    <row r="33">
      <c r="B33" s="7" t="inlineStr">
        <is>
          <t>④ تغطية مشاريع الخارطة بالمؤشرات</t>
        </is>
      </c>
      <c r="C33" s="42" t="n"/>
      <c r="D33" s="43" t="n"/>
    </row>
    <row r="34">
      <c r="B34" s="54" t="inlineStr">
        <is>
          <t>المشروع</t>
        </is>
      </c>
      <c r="C34" s="54" t="inlineStr">
        <is>
          <t>عدد المؤشرات</t>
        </is>
      </c>
      <c r="D34" s="54" t="inlineStr">
        <is>
          <t>النتيجة</t>
        </is>
      </c>
    </row>
    <row r="35">
      <c r="B35" s="22" t="inlineStr">
        <is>
          <t>التوسع في المواقع</t>
        </is>
      </c>
      <c r="C35" s="58">
        <f>COUNTIF('قاعدة المؤشرات'!$E$4:$E$159,"التوسع في المواقع")</f>
        <v/>
      </c>
      <c r="D35" s="17">
        <f>IF(COUNTIF('قاعدة المؤشرات'!$E$4:$E$159,"التوسع في المواقع")=0,"🔴 فجوة — بلا مؤشر","✅ مغطّى")</f>
        <v/>
      </c>
    </row>
    <row r="36">
      <c r="B36" s="22" t="inlineStr">
        <is>
          <t>الامتياز التجاري</t>
        </is>
      </c>
      <c r="C36" s="58">
        <f>COUNTIF('قاعدة المؤشرات'!$E$4:$E$159,"الامتياز التجاري")</f>
        <v/>
      </c>
      <c r="D36" s="17">
        <f>IF(COUNTIF('قاعدة المؤشرات'!$E$4:$E$159,"الامتياز التجاري")=0,"🔴 فجوة — بلا مؤشر","✅ مغطّى")</f>
        <v/>
      </c>
    </row>
    <row r="37">
      <c r="B37" s="22" t="inlineStr">
        <is>
          <t>زيادة وصول العملاء</t>
        </is>
      </c>
      <c r="C37" s="58">
        <f>COUNTIF('قاعدة المؤشرات'!$E$4:$E$159,"زيادة وصول العملاء")</f>
        <v/>
      </c>
      <c r="D37" s="17">
        <f>IF(COUNTIF('قاعدة المؤشرات'!$E$4:$E$159,"زيادة وصول العملاء")=0,"🔴 فجوة — بلا مؤشر","✅ مغطّى")</f>
        <v/>
      </c>
    </row>
    <row r="38">
      <c r="B38" s="22" t="inlineStr">
        <is>
          <t>إطلاق مشاريع جديدة</t>
        </is>
      </c>
      <c r="C38" s="58">
        <f>COUNTIF('قاعدة المؤشرات'!$E$4:$E$159,"إطلاق مشاريع جديدة")</f>
        <v/>
      </c>
      <c r="D38" s="17">
        <f>IF(COUNTIF('قاعدة المؤشرات'!$E$4:$E$159,"إطلاق مشاريع جديدة")=0,"🔴 فجوة — بلا مؤشر","✅ مغطّى")</f>
        <v/>
      </c>
    </row>
    <row r="39">
      <c r="B39" s="22" t="inlineStr">
        <is>
          <t>تطوير التصاميم والهوية</t>
        </is>
      </c>
      <c r="C39" s="58">
        <f>COUNTIF('قاعدة المؤشرات'!$E$4:$E$159,"تطوير التصاميم والهوية")</f>
        <v/>
      </c>
      <c r="D39" s="17">
        <f>IF(COUNTIF('قاعدة المؤشرات'!$E$4:$E$159,"تطوير التصاميم والهوية")=0,"🔴 فجوة — بلا مؤشر","✅ مغطّى")</f>
        <v/>
      </c>
    </row>
    <row r="40">
      <c r="B40" s="22" t="inlineStr">
        <is>
          <t>التحول التقني</t>
        </is>
      </c>
      <c r="C40" s="58">
        <f>COUNTIF('قاعدة المؤشرات'!$E$4:$E$159,"التحول التقني")</f>
        <v/>
      </c>
      <c r="D40" s="17">
        <f>IF(COUNTIF('قاعدة المؤشرات'!$E$4:$E$159,"التحول التقني")=0,"🔴 فجوة — بلا مؤشر","✅ مغطّى")</f>
        <v/>
      </c>
    </row>
    <row r="41">
      <c r="B41" s="22" t="inlineStr">
        <is>
          <t>ساحات درب</t>
        </is>
      </c>
      <c r="C41" s="58">
        <f>COUNTIF('قاعدة المؤشرات'!$E$4:$E$159,"ساحات درب")</f>
        <v/>
      </c>
      <c r="D41" s="17">
        <f>IF(COUNTIF('قاعدة المؤشرات'!$E$4:$E$159,"ساحات درب")=0,"🔴 فجوة — بلا مؤشر","✅ مغطّى")</f>
        <v/>
      </c>
    </row>
    <row r="42">
      <c r="B42" s="22" t="inlineStr">
        <is>
          <t>تطبيق «تانكي»</t>
        </is>
      </c>
      <c r="C42" s="58">
        <f>COUNTIF('قاعدة المؤشرات'!$E$4:$E$159,"تطبيق «تانكي»")</f>
        <v/>
      </c>
      <c r="D42" s="17">
        <f>IF(COUNTIF('قاعدة المؤشرات'!$E$4:$E$159,"تطبيق «تانكي»")=0,"🔴 فجوة — بلا مؤشر","✅ مغطّى")</f>
        <v/>
      </c>
    </row>
    <row r="43">
      <c r="B43" s="22" t="inlineStr">
        <is>
          <t>تعزيز تجربة العملاء</t>
        </is>
      </c>
      <c r="C43" s="58">
        <f>COUNTIF('قاعدة المؤشرات'!$E$4:$E$159,"تعزيز تجربة العملاء")</f>
        <v/>
      </c>
      <c r="D43" s="17">
        <f>IF(COUNTIF('قاعدة المؤشرات'!$E$4:$E$159,"تعزيز تجربة العملاء")=0,"🔴 فجوة — بلا مؤشر","✅ مغطّى")</f>
        <v/>
      </c>
    </row>
    <row r="44">
      <c r="B44" s="22" t="inlineStr">
        <is>
          <t>جودة التشغيل</t>
        </is>
      </c>
      <c r="C44" s="58">
        <f>COUNTIF('قاعدة المؤشرات'!$E$4:$E$159,"جودة التشغيل")</f>
        <v/>
      </c>
      <c r="D44" s="17">
        <f>IF(COUNTIF('قاعدة المؤشرات'!$E$4:$E$159,"جودة التشغيل")=0,"🔴 فجوة — بلا مؤشر","✅ مغطّى")</f>
        <v/>
      </c>
    </row>
    <row r="45">
      <c r="B45" s="22" t="inlineStr">
        <is>
          <t>منظومة التأجير</t>
        </is>
      </c>
      <c r="C45" s="58">
        <f>COUNTIF('قاعدة المؤشرات'!$E$4:$E$159,"منظومة التأجير")</f>
        <v/>
      </c>
      <c r="D45" s="17">
        <f>IF(COUNTIF('قاعدة المؤشرات'!$E$4:$E$159,"منظومة التأجير")=0,"🔴 فجوة — بلا مؤشر","✅ مغطّى")</f>
        <v/>
      </c>
    </row>
    <row r="46">
      <c r="B46" s="22" t="inlineStr">
        <is>
          <t>الاستثمار في الموظفين</t>
        </is>
      </c>
      <c r="C46" s="58">
        <f>COUNTIF('قاعدة المؤشرات'!$E$4:$E$159,"الاستثمار في الموظفين")</f>
        <v/>
      </c>
      <c r="D46" s="17">
        <f>IF(COUNTIF('قاعدة المؤشرات'!$E$4:$E$159,"الاستثمار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33:D33"/>
    <mergeCell ref="B11:D11"/>
    <mergeCell ref="B22:D22"/>
    <mergeCell ref="B4:D4"/>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0" t="inlineStr">
        <is>
          <t>محطة</t>
        </is>
      </c>
      <c r="E4" s="60" t="inlineStr">
        <is>
          <t>↑</t>
        </is>
      </c>
      <c r="F4" s="60" t="inlineStr">
        <is>
          <t>LAST</t>
        </is>
      </c>
      <c r="G4" s="61" t="n">
        <v>235</v>
      </c>
      <c r="H4" s="62" t="inlineStr">
        <is>
          <t>≥ 235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0.1</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t>
        </is>
      </c>
      <c r="C5" s="22" t="inlineStr">
        <is>
          <t>إجمالي العقود الجديدة — الشركة</t>
        </is>
      </c>
      <c r="D5" s="60" t="inlineStr">
        <is>
          <t>عقد</t>
        </is>
      </c>
      <c r="E5" s="60" t="inlineStr">
        <is>
          <t>↑</t>
        </is>
      </c>
      <c r="F5" s="60" t="inlineStr">
        <is>
          <t>SUM</t>
        </is>
      </c>
      <c r="G5" s="61" t="n">
        <v>357</v>
      </c>
      <c r="H5" s="62" t="inlineStr">
        <is>
          <t>357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لاحق</t>
        </is>
      </c>
      <c r="AB5" s="53" t="n">
        <v>0.1</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النمو</t>
        </is>
      </c>
      <c r="C6" s="22" t="inlineStr">
        <is>
          <t>إجمالي إيرادات الشركة السنوية</t>
        </is>
      </c>
      <c r="D6" s="60" t="inlineStr">
        <is>
          <t>ر.س</t>
        </is>
      </c>
      <c r="E6" s="60" t="inlineStr">
        <is>
          <t>↑</t>
        </is>
      </c>
      <c r="F6" s="60" t="inlineStr">
        <is>
          <t>SUM</t>
        </is>
      </c>
      <c r="G6" s="60" t="inlineStr"/>
      <c r="H6" s="62" t="inlineStr">
        <is>
          <t>تصاعدي مستمر</t>
        </is>
      </c>
      <c r="I6" s="69" t="n"/>
      <c r="J6" s="69" t="n"/>
      <c r="K6" s="69" t="n"/>
      <c r="L6" s="69" t="n"/>
      <c r="M6" s="69" t="n"/>
      <c r="N6" s="69" t="n"/>
      <c r="O6" s="69" t="n"/>
      <c r="P6" s="69" t="n"/>
      <c r="Q6" s="69" t="n"/>
      <c r="R6" s="69" t="n"/>
      <c r="S6" s="69" t="n"/>
      <c r="T6" s="69" t="n"/>
      <c r="U6" s="70">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2" t="n"/>
      <c r="AA6" s="21" t="inlineStr">
        <is>
          <t>🟣 لاحق</t>
        </is>
      </c>
      <c r="AB6" s="53" t="n">
        <v>0.1</v>
      </c>
      <c r="AC6" s="23">
        <f>IF($V6="","",$AB6*MIN($V6,1))</f>
        <v/>
      </c>
      <c r="AD6" s="71">
        <f>IF($G6="","",IF($F6="SUM",IF('لوحة الإدارة التنفيذية'!$P$2="","",$G6/12*'لوحة الإدارة التنفيذية'!$P$2),$G6))</f>
        <v/>
      </c>
      <c r="AE6" s="72">
        <f>IF($F6="SUM",IF(OR('لوحة الإدارة التنفيذية'!$P$2="",'لوحة الإدارة التنفيذية'!$P$2=0),"",IF($U6="","",$U6/'لوحة الإدارة التنفيذية'!$P$2*12)),IF($U6="","",$U6))</f>
        <v/>
      </c>
      <c r="AF6" s="7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النمو</t>
        </is>
      </c>
      <c r="C7" s="22" t="inlineStr">
        <is>
          <t>نسبة نمو إيرادات الشركة (سنوي)</t>
        </is>
      </c>
      <c r="D7" s="60" t="inlineStr">
        <is>
          <t>%</t>
        </is>
      </c>
      <c r="E7" s="60" t="inlineStr">
        <is>
          <t>↑</t>
        </is>
      </c>
      <c r="F7" s="60" t="inlineStr">
        <is>
          <t>AVG</t>
        </is>
      </c>
      <c r="G7" s="60" t="inlineStr"/>
      <c r="H7" s="62" t="inlineStr">
        <is>
          <t>مستهدف تنفيذي</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الابتكار</t>
        </is>
      </c>
      <c r="C8" s="22" t="inlineStr">
        <is>
          <t>نسبة إنجاز مشاريع الخارطة التنفيذية</t>
        </is>
      </c>
      <c r="D8" s="60" t="inlineStr">
        <is>
          <t>%</t>
        </is>
      </c>
      <c r="E8" s="60" t="inlineStr">
        <is>
          <t>↑</t>
        </is>
      </c>
      <c r="F8" s="60" t="inlineStr">
        <is>
          <t>LAST</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إطلاق مشاريع جديدة</t>
        </is>
      </c>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الابتكار</t>
        </is>
      </c>
      <c r="C9" s="22" t="inlineStr">
        <is>
          <t>نسبة التحول الرقمي على مستوى الشركة</t>
        </is>
      </c>
      <c r="D9" s="60" t="inlineStr">
        <is>
          <t>%</t>
        </is>
      </c>
      <c r="E9" s="60" t="inlineStr">
        <is>
          <t>↑</t>
        </is>
      </c>
      <c r="F9" s="60" t="inlineStr">
        <is>
          <t>LAST</t>
        </is>
      </c>
      <c r="G9" s="74" t="n">
        <v>0.9</v>
      </c>
      <c r="H9" s="62" t="inlineStr">
        <is>
          <t>≥ 90%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التعلّم والنمو</t>
        </is>
      </c>
    </row>
    <row r="10" ht="26" customHeight="1">
      <c r="A10" s="17" t="n">
        <v>7</v>
      </c>
      <c r="B10" s="22" t="inlineStr">
        <is>
          <t>الاستدامة</t>
        </is>
      </c>
      <c r="C10" s="22" t="inlineStr">
        <is>
          <t>مؤشر رضا العملاء العام (الشركة)</t>
        </is>
      </c>
      <c r="D10" s="60" t="inlineStr">
        <is>
          <t>%</t>
        </is>
      </c>
      <c r="E10" s="60" t="inlineStr">
        <is>
          <t>↑</t>
        </is>
      </c>
      <c r="F10" s="60" t="inlineStr">
        <is>
          <t>AVG</t>
        </is>
      </c>
      <c r="G10" s="74" t="n">
        <v>0.9</v>
      </c>
      <c r="H10" s="62" t="inlineStr">
        <is>
          <t>≥ 90%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تعزيز تجربة العملاء</t>
        </is>
      </c>
      <c r="Z10" s="53" t="n"/>
      <c r="AA10" s="21" t="inlineStr">
        <is>
          <t>🟣 لاحق</t>
        </is>
      </c>
      <c r="AB10" s="53" t="n">
        <v>0.1</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العملاء</t>
        </is>
      </c>
    </row>
    <row r="11" ht="26" customHeight="1">
      <c r="A11" s="17" t="n">
        <v>8</v>
      </c>
      <c r="B11" s="22" t="inlineStr">
        <is>
          <t>الاستدامة</t>
        </is>
      </c>
      <c r="C11" s="22" t="inlineStr">
        <is>
          <t>مؤشر رضا الموظفين العام (eNPS)</t>
        </is>
      </c>
      <c r="D11" s="60" t="inlineStr">
        <is>
          <t>نقطة</t>
        </is>
      </c>
      <c r="E11" s="60" t="inlineStr">
        <is>
          <t>↑</t>
        </is>
      </c>
      <c r="F11" s="60" t="inlineStr">
        <is>
          <t>AVG</t>
        </is>
      </c>
      <c r="G11" s="75" t="n">
        <v>30</v>
      </c>
      <c r="H11" s="62" t="inlineStr">
        <is>
          <t>≥ 30</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78" t="n"/>
      <c r="AA11" s="21" t="inlineStr">
        <is>
          <t>🟣 لاحق</t>
        </is>
      </c>
      <c r="AB11" s="53" t="n">
        <v>0.1</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الاستدامة</t>
        </is>
      </c>
      <c r="C12" s="22" t="inlineStr">
        <is>
          <t>نسبة تحقيق المستهدفات الاستراتيجية العامة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النمو</t>
        </is>
      </c>
      <c r="C13" s="22" t="inlineStr">
        <is>
          <t>الالتزام بمعايير وزارة الطاقة (تغطية 13 منطقة)</t>
        </is>
      </c>
      <c r="D13" s="60" t="inlineStr">
        <is>
          <t>%</t>
        </is>
      </c>
      <c r="E13" s="60" t="inlineStr">
        <is>
          <t>↑</t>
        </is>
      </c>
      <c r="F13" s="60" t="inlineStr">
        <is>
          <t>LAST</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0" t="inlineStr">
        <is>
          <t>محطة</t>
        </is>
      </c>
      <c r="E4" s="60" t="inlineStr">
        <is>
          <t>↑</t>
        </is>
      </c>
      <c r="F4" s="60" t="inlineStr">
        <is>
          <t>LAST</t>
        </is>
      </c>
      <c r="G4" s="61" t="n">
        <v>150</v>
      </c>
      <c r="H4" s="62" t="inlineStr">
        <is>
          <t>150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0.0278</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 والتوسع</t>
        </is>
      </c>
      <c r="C5" s="22" t="inlineStr">
        <is>
          <t>عدد عقود الامتياز الجديدة الموقّعة</t>
        </is>
      </c>
      <c r="D5" s="60" t="inlineStr">
        <is>
          <t>عقد</t>
        </is>
      </c>
      <c r="E5" s="60" t="inlineStr">
        <is>
          <t>↑</t>
        </is>
      </c>
      <c r="F5" s="60" t="inlineStr">
        <is>
          <t>SUM</t>
        </is>
      </c>
      <c r="G5" s="61" t="n">
        <v>167</v>
      </c>
      <c r="H5" s="62" t="inlineStr">
        <is>
          <t>167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قائد</t>
        </is>
      </c>
      <c r="AB5" s="53" t="n">
        <v>0.0278</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0" t="inlineStr">
        <is>
          <t>لتر</t>
        </is>
      </c>
      <c r="E6" s="60" t="inlineStr">
        <is>
          <t>↑</t>
        </is>
      </c>
      <c r="F6" s="60" t="inlineStr">
        <is>
          <t>SUM</t>
        </is>
      </c>
      <c r="G6" s="61" t="n">
        <v>718838077</v>
      </c>
      <c r="H6" s="62" t="inlineStr">
        <is>
          <t>718.8M لتر</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قائد</t>
        </is>
      </c>
      <c r="AB6" s="53" t="n">
        <v>0.0278</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المبيعات والأداء التجاري</t>
        </is>
      </c>
      <c r="C7" s="22" t="inlineStr">
        <is>
          <t>نسبة المحطات التي حققت مستهدف المبيعات</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0.0278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المبيعات والأداء التجاري</t>
        </is>
      </c>
      <c r="C8" s="22" t="inlineStr">
        <is>
          <t>متوسط مبيعات المحطة الواحدة شهرياً</t>
        </is>
      </c>
      <c r="D8" s="60" t="inlineStr">
        <is>
          <t>لتر/محطة</t>
        </is>
      </c>
      <c r="E8" s="60" t="inlineStr">
        <is>
          <t>↑</t>
        </is>
      </c>
      <c r="F8" s="60" t="inlineStr">
        <is>
          <t>AVG</t>
        </is>
      </c>
      <c r="G8" s="60" t="inlineStr"/>
      <c r="H8" s="62" t="inlineStr">
        <is>
          <t>+10% نمو شهري</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0.0278</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المبيعات والأداء التجاري</t>
        </is>
      </c>
      <c r="C9" s="22" t="inlineStr">
        <is>
          <t>نسبة تأجير وحدات الامتياز</t>
        </is>
      </c>
      <c r="D9" s="60" t="inlineStr">
        <is>
          <t>%</t>
        </is>
      </c>
      <c r="E9" s="60" t="inlineStr">
        <is>
          <t>↑</t>
        </is>
      </c>
      <c r="F9" s="60" t="inlineStr">
        <is>
          <t>AVG</t>
        </is>
      </c>
      <c r="G9" s="74" t="n">
        <v>0.7</v>
      </c>
      <c r="H9" s="62" t="inlineStr">
        <is>
          <t>70%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منظومة التأجير</t>
        </is>
      </c>
      <c r="Z9" s="53" t="n"/>
      <c r="AA9" s="21" t="inlineStr">
        <is>
          <t>🟣 لاحق</t>
        </is>
      </c>
      <c r="AB9" s="53" t="n">
        <v>0.0278</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الأداء المالي</t>
        </is>
      </c>
      <c r="C10" s="22" t="inlineStr">
        <is>
          <t>إجمالي إيرادات إدارة الامتياز</t>
        </is>
      </c>
      <c r="D10" s="60" t="inlineStr">
        <is>
          <t>ر.س</t>
        </is>
      </c>
      <c r="E10" s="60" t="inlineStr">
        <is>
          <t>↑</t>
        </is>
      </c>
      <c r="F10" s="60" t="inlineStr">
        <is>
          <t>SUM</t>
        </is>
      </c>
      <c r="G10" s="60" t="inlineStr"/>
      <c r="H10" s="62" t="inlineStr">
        <is>
          <t>تصاعدي مستمر</t>
        </is>
      </c>
      <c r="I10" s="69" t="n"/>
      <c r="J10" s="69" t="n"/>
      <c r="K10" s="69" t="n"/>
      <c r="L10" s="69" t="n"/>
      <c r="M10" s="69" t="n"/>
      <c r="N10" s="69" t="n"/>
      <c r="O10" s="69" t="n"/>
      <c r="P10" s="69" t="n"/>
      <c r="Q10" s="69" t="n"/>
      <c r="R10" s="69" t="n"/>
      <c r="S10" s="69" t="n"/>
      <c r="T10" s="69" t="n"/>
      <c r="U10" s="70">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الامتياز التجاري</t>
        </is>
      </c>
      <c r="Z10" s="52" t="n"/>
      <c r="AA10" s="21" t="inlineStr">
        <is>
          <t>🟣 لاحق</t>
        </is>
      </c>
      <c r="AB10" s="53" t="n">
        <v>0.0278</v>
      </c>
      <c r="AC10" s="23">
        <f>IF($V10="","",$AB10*MIN($V10,1))</f>
        <v/>
      </c>
      <c r="AD10" s="71">
        <f>IF($G10="","",IF($F10="SUM",IF('لوحة الإدارة التنفيذية'!$P$2="","",$G10/12*'لوحة الإدارة التنفيذية'!$P$2),$G10))</f>
        <v/>
      </c>
      <c r="AE10" s="72">
        <f>IF($F10="SUM",IF(OR('لوحة الإدارة التنفيذية'!$P$2="",'لوحة الإدارة التنفيذية'!$P$2=0),"",IF($U10="","",$U10/'لوحة الإدارة التنفيذية'!$P$2*12)),IF($U10="","",$U10))</f>
        <v/>
      </c>
      <c r="AF10" s="71">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الأداء المالي</t>
        </is>
      </c>
      <c r="C11" s="22" t="inlineStr">
        <is>
          <t>رفع هامش الربحية للامتياز</t>
        </is>
      </c>
      <c r="D11" s="60" t="inlineStr">
        <is>
          <t>هللة/لتر</t>
        </is>
      </c>
      <c r="E11" s="60" t="inlineStr">
        <is>
          <t>↑</t>
        </is>
      </c>
      <c r="F11" s="60" t="inlineStr">
        <is>
          <t>AVG</t>
        </is>
      </c>
      <c r="G11" s="75" t="n">
        <v>1.8</v>
      </c>
      <c r="H11" s="62" t="inlineStr">
        <is>
          <t>+1.8 هللة/لتر</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النمو</t>
        </is>
      </c>
      <c r="Y11" s="22" t="inlineStr">
        <is>
          <t>الامتياز التجاري</t>
        </is>
      </c>
      <c r="Z11" s="78" t="n"/>
      <c r="AA11" s="21" t="inlineStr">
        <is>
          <t>🟣 لاحق</t>
        </is>
      </c>
      <c r="AB11" s="53" t="n">
        <v>0.0278</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الأداء المالي</t>
        </is>
      </c>
      <c r="C12" s="22" t="inlineStr">
        <is>
          <t>نسبة التحصيل المالي من شركاء الامتياز</t>
        </is>
      </c>
      <c r="D12" s="60" t="inlineStr">
        <is>
          <t>%</t>
        </is>
      </c>
      <c r="E12" s="60" t="inlineStr">
        <is>
          <t>↑</t>
        </is>
      </c>
      <c r="F12" s="60" t="inlineStr">
        <is>
          <t>AVG</t>
        </is>
      </c>
      <c r="G12" s="74" t="n">
        <v>0.95</v>
      </c>
      <c r="H12" s="62" t="inlineStr">
        <is>
          <t>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0.0278</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الأداء المالي</t>
        </is>
      </c>
      <c r="C13" s="22" t="inlineStr">
        <is>
          <t>متوسط أيام التحصيل (DSO)</t>
        </is>
      </c>
      <c r="D13" s="60" t="inlineStr">
        <is>
          <t>يوم</t>
        </is>
      </c>
      <c r="E13" s="60" t="inlineStr">
        <is>
          <t>↓</t>
        </is>
      </c>
      <c r="F13" s="60" t="inlineStr">
        <is>
          <t>AVG</t>
        </is>
      </c>
      <c r="G13" s="75" t="n">
        <v>30</v>
      </c>
      <c r="H13" s="62" t="inlineStr">
        <is>
          <t>≤ 30 يوم</t>
        </is>
      </c>
      <c r="I13" s="76" t="n"/>
      <c r="J13" s="76" t="n"/>
      <c r="K13" s="76" t="n"/>
      <c r="L13" s="76" t="n"/>
      <c r="M13" s="76" t="n"/>
      <c r="N13" s="76" t="n"/>
      <c r="O13" s="76" t="n"/>
      <c r="P13" s="76" t="n"/>
      <c r="Q13" s="76" t="n"/>
      <c r="R13" s="76" t="n"/>
      <c r="S13" s="76" t="n"/>
      <c r="T13" s="76" t="n"/>
      <c r="U13" s="77">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جودة التشغيل</t>
        </is>
      </c>
      <c r="Z13" s="78" t="n"/>
      <c r="AA13" s="21" t="inlineStr">
        <is>
          <t>🟣 لاحق</t>
        </is>
      </c>
      <c r="AB13" s="53" t="n">
        <v>0.0278</v>
      </c>
      <c r="AC13" s="23">
        <f>IF($V13="","",$AB13*MIN($V13,1))</f>
        <v/>
      </c>
      <c r="AD13" s="75">
        <f>IF($G13="","",IF($F13="SUM",IF('لوحة الإدارة التنفيذية'!$P$2="","",$G13/12*'لوحة الإدارة التنفيذية'!$P$2),$G13))</f>
        <v/>
      </c>
      <c r="AE13" s="79">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الأداء المالي</t>
        </is>
      </c>
      <c r="C14" s="22" t="inlineStr">
        <is>
          <t>إجمالي المستحقات المتأخرة (+30 يوم)</t>
        </is>
      </c>
      <c r="D14" s="60" t="inlineStr">
        <is>
          <t>ر.س</t>
        </is>
      </c>
      <c r="E14" s="60" t="inlineStr">
        <is>
          <t>↓</t>
        </is>
      </c>
      <c r="F14" s="60" t="inlineStr">
        <is>
          <t>LAST</t>
        </is>
      </c>
      <c r="G14" s="60" t="inlineStr"/>
      <c r="H14" s="62" t="inlineStr">
        <is>
          <t>تراجع مستمر</t>
        </is>
      </c>
      <c r="I14" s="69" t="n"/>
      <c r="J14" s="69" t="n"/>
      <c r="K14" s="69" t="n"/>
      <c r="L14" s="69" t="n"/>
      <c r="M14" s="69" t="n"/>
      <c r="N14" s="69" t="n"/>
      <c r="O14" s="69" t="n"/>
      <c r="P14" s="69" t="n"/>
      <c r="Q14" s="69" t="n"/>
      <c r="R14" s="69" t="n"/>
      <c r="S14" s="69" t="n"/>
      <c r="T14" s="69" t="n"/>
      <c r="U14" s="70">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52" t="n"/>
      <c r="AA14" s="21" t="inlineStr">
        <is>
          <t>🟣 لاحق</t>
        </is>
      </c>
      <c r="AB14" s="53" t="n">
        <v>0.0278</v>
      </c>
      <c r="AC14" s="23">
        <f>IF($V14="","",$AB14*MIN($V14,1))</f>
        <v/>
      </c>
      <c r="AD14" s="71">
        <f>IF($G14="","",IF($F14="SUM",IF('لوحة الإدارة التنفيذية'!$P$2="","",$G14/12*'لوحة الإدارة التنفيذية'!$P$2),$G14))</f>
        <v/>
      </c>
      <c r="AE14" s="72">
        <f>IF($F14="SUM",IF(OR('لوحة الإدارة التنفيذية'!$P$2="",'لوحة الإدارة التنفيذية'!$P$2=0),"",IF($U14="","",$U14/'لوحة الإدارة التنفيذية'!$P$2*12)),IF($U14="","",$U14))</f>
        <v/>
      </c>
      <c r="AF14" s="71">
        <f>IF(OR($AE14="",$G14=""),"",$AE14-$G14)</f>
        <v/>
      </c>
      <c r="AG14" s="17">
        <f>IF(OR($AE14="",$G14=""),"—",IF($E14="↓",IF($AE14&lt;=$G14,"🟢 على المسار",IF($AE14&lt;=$G14*1.1,"🟡 متابعة","🔴 خطر")),IF($AE14&gt;=$G14,"🟢 على المسار",IF($AE14&gt;=$G14*0.85,"🟡 متابعة","🔴 خطر"))))</f>
        <v/>
      </c>
      <c r="AH14" s="68" t="inlineStr">
        <is>
          <t>مالي</t>
        </is>
      </c>
    </row>
    <row r="15" ht="26" customHeight="1">
      <c r="A15" s="17" t="n">
        <v>12</v>
      </c>
      <c r="B15" s="22" t="inlineStr">
        <is>
          <t>الأداء المالي</t>
        </is>
      </c>
      <c r="C15" s="22" t="inlineStr">
        <is>
          <t>نسبة الشركاء الملتزمين بمواعيد السداد</t>
        </is>
      </c>
      <c r="D15" s="60" t="inlineStr">
        <is>
          <t>%</t>
        </is>
      </c>
      <c r="E15" s="60" t="inlineStr">
        <is>
          <t>↑</t>
        </is>
      </c>
      <c r="F15" s="60" t="inlineStr">
        <is>
          <t>AVG</t>
        </is>
      </c>
      <c r="G15" s="74" t="n">
        <v>0.9</v>
      </c>
      <c r="H15" s="62" t="inlineStr">
        <is>
          <t>90%+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53" t="n"/>
      <c r="AA15" s="21" t="inlineStr">
        <is>
          <t>🟣 لاحق</t>
        </is>
      </c>
      <c r="AB15" s="53" t="n">
        <v>0.0278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مالي</t>
        </is>
      </c>
    </row>
    <row r="16" ht="26" customHeight="1">
      <c r="A16" s="17" t="n">
        <v>13</v>
      </c>
      <c r="B16" s="22" t="inlineStr">
        <is>
          <t>الأداء المالي</t>
        </is>
      </c>
      <c r="C16" s="22" t="inlineStr">
        <is>
          <t>معدل دوران رأس المال (أيام الدورة)</t>
        </is>
      </c>
      <c r="D16" s="60" t="inlineStr">
        <is>
          <t>يوم</t>
        </is>
      </c>
      <c r="E16" s="60" t="inlineStr">
        <is>
          <t>↓</t>
        </is>
      </c>
      <c r="F16" s="60" t="inlineStr">
        <is>
          <t>AVG</t>
        </is>
      </c>
      <c r="G16" s="75" t="n">
        <v>5</v>
      </c>
      <c r="H16" s="62" t="inlineStr">
        <is>
          <t>≤ 5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0.0278</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مالي</t>
        </is>
      </c>
    </row>
    <row r="17" ht="26" customHeight="1">
      <c r="A17" s="17" t="n">
        <v>14</v>
      </c>
      <c r="B17" s="22" t="inlineStr">
        <is>
          <t>التشغيل والجودة</t>
        </is>
      </c>
      <c r="C17" s="22" t="inlineStr">
        <is>
          <t>نسبة جاهزية محطات الامتياز (صفر انقطاع)</t>
        </is>
      </c>
      <c r="D17" s="60" t="inlineStr">
        <is>
          <t>%</t>
        </is>
      </c>
      <c r="E17" s="60" t="inlineStr">
        <is>
          <t>↑</t>
        </is>
      </c>
      <c r="F17" s="60" t="inlineStr">
        <is>
          <t>AVG</t>
        </is>
      </c>
      <c r="G17" s="74" t="n">
        <v>0.99</v>
      </c>
      <c r="H17" s="62" t="inlineStr">
        <is>
          <t>99%+</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0.0278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التشغيل والجودة</t>
        </is>
      </c>
      <c r="C18" s="22" t="inlineStr">
        <is>
          <t>عدد حالات انقطاع الوقود الموثّقة</t>
        </is>
      </c>
      <c r="D18" s="60" t="inlineStr">
        <is>
          <t>حالة</t>
        </is>
      </c>
      <c r="E18" s="60" t="inlineStr">
        <is>
          <t>↓</t>
        </is>
      </c>
      <c r="F18" s="60" t="inlineStr">
        <is>
          <t>SUM</t>
        </is>
      </c>
      <c r="G18" s="61" t="n">
        <v>0</v>
      </c>
      <c r="H18" s="62" t="inlineStr">
        <is>
          <t>0 حالة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قائد</t>
        </is>
      </c>
      <c r="AB18" s="53" t="n">
        <v>0.0278</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التشغيل والجودة</t>
        </is>
      </c>
      <c r="C19" s="22" t="inlineStr">
        <is>
          <t>نسبة إغلاق ملاحظات الجودة الميدانية</t>
        </is>
      </c>
      <c r="D19" s="60" t="inlineStr">
        <is>
          <t>%</t>
        </is>
      </c>
      <c r="E19" s="60" t="inlineStr">
        <is>
          <t>↑</t>
        </is>
      </c>
      <c r="F19" s="60" t="inlineStr">
        <is>
          <t>AVG</t>
        </is>
      </c>
      <c r="G19" s="74" t="n">
        <v>0.95</v>
      </c>
      <c r="H19" s="62" t="inlineStr">
        <is>
          <t>95%+</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0.0278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0" t="inlineStr">
        <is>
          <t>درجة/100</t>
        </is>
      </c>
      <c r="E20" s="60" t="inlineStr">
        <is>
          <t>↑</t>
        </is>
      </c>
      <c r="F20" s="60" t="inlineStr">
        <is>
          <t>AVG</t>
        </is>
      </c>
      <c r="G20" s="75" t="n">
        <v>85</v>
      </c>
      <c r="H20" s="62" t="inlineStr">
        <is>
          <t>85+</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0.0278</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قائد</t>
        </is>
      </c>
      <c r="AB21" s="53" t="n">
        <v>0.0278</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0" t="inlineStr">
        <is>
          <t>%</t>
        </is>
      </c>
      <c r="E22" s="60" t="inlineStr">
        <is>
          <t>↑</t>
        </is>
      </c>
      <c r="F22" s="60" t="inlineStr">
        <is>
          <t>AVG</t>
        </is>
      </c>
      <c r="G22" s="74" t="n">
        <v>1</v>
      </c>
      <c r="H22" s="62" t="inlineStr">
        <is>
          <t>100%</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0.0278</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التشغيل والجودة</t>
        </is>
      </c>
      <c r="C23" s="22" t="inlineStr">
        <is>
          <t>متوسط وقت معالجة البلاغات التشغيلية</t>
        </is>
      </c>
      <c r="D23" s="60" t="inlineStr">
        <is>
          <t>ساعة</t>
        </is>
      </c>
      <c r="E23" s="60" t="inlineStr">
        <is>
          <t>↓</t>
        </is>
      </c>
      <c r="F23" s="60" t="inlineStr">
        <is>
          <t>AVG</t>
        </is>
      </c>
      <c r="G23" s="75" t="n">
        <v>24</v>
      </c>
      <c r="H23" s="62" t="inlineStr">
        <is>
          <t>≤ 24 ساعة</t>
        </is>
      </c>
      <c r="I23" s="76" t="n"/>
      <c r="J23" s="76" t="n"/>
      <c r="K23" s="76" t="n"/>
      <c r="L23" s="76" t="n"/>
      <c r="M23" s="76" t="n"/>
      <c r="N23" s="76" t="n"/>
      <c r="O23" s="76" t="n"/>
      <c r="P23" s="76" t="n"/>
      <c r="Q23" s="76" t="n"/>
      <c r="R23" s="76" t="n"/>
      <c r="S23" s="76" t="n"/>
      <c r="T23" s="76" t="n"/>
      <c r="U23" s="77">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جودة التشغيل</t>
        </is>
      </c>
      <c r="Z23" s="78" t="n"/>
      <c r="AA23" s="21" t="inlineStr">
        <is>
          <t>🟣 لاحق</t>
        </is>
      </c>
      <c r="AB23" s="53" t="n">
        <v>0.0278</v>
      </c>
      <c r="AC23" s="23">
        <f>IF($V23="","",$AB23*MIN($V23,1))</f>
        <v/>
      </c>
      <c r="AD23" s="75">
        <f>IF($G23="","",IF($F23="SUM",IF('لوحة الإدارة التنفيذية'!$P$2="","",$G23/12*'لوحة الإدارة التنفيذية'!$P$2),$G23))</f>
        <v/>
      </c>
      <c r="AE23" s="79">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التشغيل والجودة</t>
        </is>
      </c>
      <c r="C24" s="22" t="inlineStr">
        <is>
          <t>نسبة أتمتة محطات الامتياز</t>
        </is>
      </c>
      <c r="D24" s="60" t="inlineStr">
        <is>
          <t>%</t>
        </is>
      </c>
      <c r="E24" s="60" t="inlineStr">
        <is>
          <t>↑</t>
        </is>
      </c>
      <c r="F24" s="60" t="inlineStr">
        <is>
          <t>LAST</t>
        </is>
      </c>
      <c r="G24" s="74" t="n">
        <v>0.9</v>
      </c>
      <c r="H24" s="62" t="inlineStr">
        <is>
          <t>90%</t>
        </is>
      </c>
      <c r="I24" s="73" t="n"/>
      <c r="J24" s="73" t="n"/>
      <c r="K24" s="73" t="n"/>
      <c r="L24" s="73" t="n"/>
      <c r="M24" s="73" t="n"/>
      <c r="N24" s="73" t="n"/>
      <c r="O24" s="73" t="n"/>
      <c r="P24" s="73" t="n"/>
      <c r="Q24" s="73" t="n"/>
      <c r="R24" s="73" t="n"/>
      <c r="S24" s="73" t="n"/>
      <c r="T24" s="73"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الابتكار</t>
        </is>
      </c>
      <c r="Y24" s="22" t="inlineStr">
        <is>
          <t>التحول التقني</t>
        </is>
      </c>
      <c r="Z24" s="53" t="n"/>
      <c r="AA24" s="21" t="inlineStr">
        <is>
          <t>🟣 لاحق</t>
        </is>
      </c>
      <c r="AB24" s="53" t="n">
        <v>0.0278</v>
      </c>
      <c r="AC24" s="23">
        <f>IF($V24="","",$AB24*MIN($V24,1))</f>
        <v/>
      </c>
      <c r="AD24" s="74">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4">
        <f>IF(OR($AE24="",$G24=""),"",$AE24-$G24)</f>
        <v/>
      </c>
      <c r="AG24" s="17">
        <f>IF(OR($AE24="",$G24=""),"—",IF($E24="↓",IF($AE24&lt;=$G24,"🟢 على المسار",IF($AE24&lt;=$G24*1.1,"🟡 متابعة","🔴 خطر")),IF($AE24&gt;=$G24,"🟢 على المسار",IF($AE24&gt;=$G24*0.85,"🟡 متابعة","🔴 خطر"))))</f>
        <v/>
      </c>
      <c r="AH24" s="68" t="inlineStr">
        <is>
          <t>التعلّم والنمو</t>
        </is>
      </c>
    </row>
    <row r="25" ht="26" customHeight="1">
      <c r="A25" s="17" t="n">
        <v>22</v>
      </c>
      <c r="B25" s="22" t="inlineStr">
        <is>
          <t>التشغيل والجودة</t>
        </is>
      </c>
      <c r="C25" s="22" t="inlineStr">
        <is>
          <t>نسبة تطبيق المعيار الشامل داخل المحطات</t>
        </is>
      </c>
      <c r="D25" s="60" t="inlineStr">
        <is>
          <t>%</t>
        </is>
      </c>
      <c r="E25" s="60" t="inlineStr">
        <is>
          <t>↑</t>
        </is>
      </c>
      <c r="F25" s="60" t="inlineStr">
        <is>
          <t>LAST</t>
        </is>
      </c>
      <c r="G25" s="74" t="n">
        <v>0.3</v>
      </c>
      <c r="H25" s="62" t="inlineStr">
        <is>
          <t>30%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الابتكار</t>
        </is>
      </c>
      <c r="Y25" s="22" t="inlineStr">
        <is>
          <t>التحول التقني</t>
        </is>
      </c>
      <c r="Z25" s="53" t="n"/>
      <c r="AA25" s="21" t="inlineStr">
        <is>
          <t>🟣 لاحق</t>
        </is>
      </c>
      <c r="AB25" s="53" t="n">
        <v>0.0278</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0" t="inlineStr">
        <is>
          <t>%</t>
        </is>
      </c>
      <c r="E26" s="60" t="inlineStr">
        <is>
          <t>↑</t>
        </is>
      </c>
      <c r="F26" s="60" t="inlineStr">
        <is>
          <t>LAST</t>
        </is>
      </c>
      <c r="G26" s="74" t="n">
        <v>0.55</v>
      </c>
      <c r="H26" s="62" t="inlineStr">
        <is>
          <t>55%</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الابتكار</t>
        </is>
      </c>
      <c r="Y26" s="22" t="inlineStr">
        <is>
          <t>تطوير التصاميم والهوية</t>
        </is>
      </c>
      <c r="Z26" s="53" t="n"/>
      <c r="AA26" s="21" t="inlineStr">
        <is>
          <t>🟣 لاحق</t>
        </is>
      </c>
      <c r="AB26" s="53" t="n">
        <v>0.0278</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التعلّم والنمو</t>
        </is>
      </c>
    </row>
    <row r="27" ht="26" customHeight="1">
      <c r="A27" s="17" t="n">
        <v>24</v>
      </c>
      <c r="B27" s="22" t="inlineStr">
        <is>
          <t>التوسع الإقليمي</t>
        </is>
      </c>
      <c r="C27" s="22" t="inlineStr">
        <is>
          <t>نسبة العقود التي تغطي المناطق الـ13</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النمو</t>
        </is>
      </c>
      <c r="Y27" s="22" t="inlineStr">
        <is>
          <t>التوسع في المواقع</t>
        </is>
      </c>
      <c r="Z27" s="53" t="n"/>
      <c r="AA27" s="21" t="inlineStr">
        <is>
          <t>🟣 لاحق</t>
        </is>
      </c>
      <c r="AB27" s="53" t="n">
        <v>0.0278</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ht="26" customHeight="1">
      <c r="A28" s="17" t="n">
        <v>25</v>
      </c>
      <c r="B28" s="22" t="inlineStr">
        <is>
          <t>التوسع الإقليمي</t>
        </is>
      </c>
      <c r="C28" s="22" t="inlineStr">
        <is>
          <t>نسبة العقود في الـ12 مدينة الرئيسية</t>
        </is>
      </c>
      <c r="D28" s="60" t="inlineStr">
        <is>
          <t>%</t>
        </is>
      </c>
      <c r="E28" s="60" t="inlineStr">
        <is>
          <t>↓</t>
        </is>
      </c>
      <c r="F28" s="60" t="inlineStr">
        <is>
          <t>LAST</t>
        </is>
      </c>
      <c r="G28" s="74" t="n">
        <v>0.4</v>
      </c>
      <c r="H28" s="62" t="inlineStr">
        <is>
          <t>&lt; 40%</t>
        </is>
      </c>
      <c r="I28" s="73" t="n"/>
      <c r="J28" s="73" t="n"/>
      <c r="K28" s="73" t="n"/>
      <c r="L28" s="73" t="n"/>
      <c r="M28" s="73" t="n"/>
      <c r="N28" s="73" t="n"/>
      <c r="O28" s="73" t="n"/>
      <c r="P28" s="73" t="n"/>
      <c r="Q28" s="73" t="n"/>
      <c r="R28" s="73" t="n"/>
      <c r="S28" s="73" t="n"/>
      <c r="T28" s="73"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65" t="inlineStr">
        <is>
          <t>النمو</t>
        </is>
      </c>
      <c r="Y28" s="22" t="inlineStr">
        <is>
          <t>التوسع في المواقع</t>
        </is>
      </c>
      <c r="Z28" s="53" t="n"/>
      <c r="AA28" s="21" t="inlineStr">
        <is>
          <t>🟣 لاحق</t>
        </is>
      </c>
      <c r="AB28" s="53" t="n">
        <v>0.0278</v>
      </c>
      <c r="AC28" s="23">
        <f>IF($V28="","",$AB28*MIN($V28,1))</f>
        <v/>
      </c>
      <c r="AD28" s="74">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4">
        <f>IF(OR($AE28="",$G28=""),"",$AE28-$G28)</f>
        <v/>
      </c>
      <c r="AG28" s="17">
        <f>IF(OR($AE28="",$G28=""),"—",IF($E28="↓",IF($AE28&lt;=$G28,"🟢 على المسار",IF($AE28&lt;=$G28*1.1,"🟡 متابعة","🔴 خطر")),IF($AE28&gt;=$G28,"🟢 على المسار",IF($AE28&gt;=$G28*0.85,"🟡 متابعة","🔴 خطر"))))</f>
        <v/>
      </c>
      <c r="AH28" s="68" t="inlineStr">
        <is>
          <t>العمليات الداخلية</t>
        </is>
      </c>
    </row>
    <row r="29" ht="26" customHeight="1">
      <c r="A29" s="17" t="n">
        <v>26</v>
      </c>
      <c r="B29" s="22" t="inlineStr">
        <is>
          <t>التوسع الإقليمي</t>
        </is>
      </c>
      <c r="C29" s="22" t="inlineStr">
        <is>
          <t>نسبة العقود خارج المدن الرئيسية</t>
        </is>
      </c>
      <c r="D29" s="60" t="inlineStr">
        <is>
          <t>%</t>
        </is>
      </c>
      <c r="E29" s="60" t="inlineStr">
        <is>
          <t>↑</t>
        </is>
      </c>
      <c r="F29" s="60" t="inlineStr">
        <is>
          <t>LAST</t>
        </is>
      </c>
      <c r="G29" s="74" t="n">
        <v>0.6</v>
      </c>
      <c r="H29" s="62" t="inlineStr">
        <is>
          <t>&gt; 60%</t>
        </is>
      </c>
      <c r="I29" s="73" t="n"/>
      <c r="J29" s="73" t="n"/>
      <c r="K29" s="73" t="n"/>
      <c r="L29" s="73" t="n"/>
      <c r="M29" s="73" t="n"/>
      <c r="N29" s="73" t="n"/>
      <c r="O29" s="73" t="n"/>
      <c r="P29" s="73" t="n"/>
      <c r="Q29" s="73" t="n"/>
      <c r="R29" s="73" t="n"/>
      <c r="S29" s="73" t="n"/>
      <c r="T29" s="73"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65" t="inlineStr">
        <is>
          <t>النمو</t>
        </is>
      </c>
      <c r="Y29" s="22" t="inlineStr">
        <is>
          <t>التوسع في المواقع</t>
        </is>
      </c>
      <c r="Z29" s="53" t="n"/>
      <c r="AA29" s="21" t="inlineStr">
        <is>
          <t>🟣 لاحق</t>
        </is>
      </c>
      <c r="AB29" s="53" t="n">
        <v>0.0278</v>
      </c>
      <c r="AC29" s="23">
        <f>IF($V29="","",$AB29*MIN($V29,1))</f>
        <v/>
      </c>
      <c r="AD29" s="74">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4">
        <f>IF(OR($AE29="",$G29=""),"",$AE29-$G29)</f>
        <v/>
      </c>
      <c r="AG29" s="17">
        <f>IF(OR($AE29="",$G29=""),"—",IF($E29="↓",IF($AE29&lt;=$G29,"🟢 على المسار",IF($AE29&lt;=$G29*1.1,"🟡 متابعة","🔴 خطر")),IF($AE29&gt;=$G29,"🟢 على المسار",IF($AE29&gt;=$G29*0.85,"🟡 متابعة","🔴 خطر"))))</f>
        <v/>
      </c>
      <c r="AH29" s="68" t="inlineStr">
        <is>
          <t>العمليات الداخلية</t>
        </is>
      </c>
    </row>
    <row r="30" ht="26" customHeight="1">
      <c r="A30" s="17" t="n">
        <v>27</v>
      </c>
      <c r="B30" s="22" t="inlineStr">
        <is>
          <t>التوسع الإقليمي</t>
        </is>
      </c>
      <c r="C30" s="22" t="inlineStr">
        <is>
          <t>نسبة العقود على الطرق الإقليمية</t>
        </is>
      </c>
      <c r="D30" s="60" t="inlineStr">
        <is>
          <t>%</t>
        </is>
      </c>
      <c r="E30" s="60" t="inlineStr">
        <is>
          <t>↑</t>
        </is>
      </c>
      <c r="F30" s="60" t="inlineStr">
        <is>
          <t>LAST</t>
        </is>
      </c>
      <c r="G30" s="74" t="n">
        <v>0.25</v>
      </c>
      <c r="H30" s="62" t="inlineStr">
        <is>
          <t>&gt; 25%</t>
        </is>
      </c>
      <c r="I30" s="73" t="n"/>
      <c r="J30" s="73" t="n"/>
      <c r="K30" s="73" t="n"/>
      <c r="L30" s="73" t="n"/>
      <c r="M30" s="73" t="n"/>
      <c r="N30" s="73" t="n"/>
      <c r="O30" s="73" t="n"/>
      <c r="P30" s="73" t="n"/>
      <c r="Q30" s="73" t="n"/>
      <c r="R30" s="73" t="n"/>
      <c r="S30" s="73" t="n"/>
      <c r="T30" s="73"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65" t="inlineStr">
        <is>
          <t>النمو</t>
        </is>
      </c>
      <c r="Y30" s="22" t="inlineStr">
        <is>
          <t>التوسع في المواقع</t>
        </is>
      </c>
      <c r="Z30" s="53" t="n"/>
      <c r="AA30" s="21" t="inlineStr">
        <is>
          <t>🟣 لاحق</t>
        </is>
      </c>
      <c r="AB30" s="53" t="n">
        <v>0.0278</v>
      </c>
      <c r="AC30" s="23">
        <f>IF($V30="","",$AB30*MIN($V30,1))</f>
        <v/>
      </c>
      <c r="AD30" s="74">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4">
        <f>IF(OR($AE30="",$G30=""),"",$AE30-$G30)</f>
        <v/>
      </c>
      <c r="AG30" s="17">
        <f>IF(OR($AE30="",$G30=""),"—",IF($E30="↓",IF($AE30&lt;=$G30,"🟢 على المسار",IF($AE30&lt;=$G30*1.1,"🟡 متابعة","🔴 خطر")),IF($AE30&gt;=$G30,"🟢 على المسار",IF($AE30&gt;=$G30*0.85,"🟡 متابعة","🔴 خطر"))))</f>
        <v/>
      </c>
      <c r="AH30" s="68"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0" t="inlineStr">
        <is>
          <t>نجمة/5</t>
        </is>
      </c>
      <c r="E31" s="60" t="inlineStr">
        <is>
          <t>↑</t>
        </is>
      </c>
      <c r="F31" s="60" t="inlineStr">
        <is>
          <t>AVG</t>
        </is>
      </c>
      <c r="G31" s="75" t="n">
        <v>4.7</v>
      </c>
      <c r="H31" s="62" t="inlineStr">
        <is>
          <t>≥ 4.7 نجمة</t>
        </is>
      </c>
      <c r="I31" s="76" t="n"/>
      <c r="J31" s="76" t="n"/>
      <c r="K31" s="76" t="n"/>
      <c r="L31" s="76" t="n"/>
      <c r="M31" s="76" t="n"/>
      <c r="N31" s="76" t="n"/>
      <c r="O31" s="76" t="n"/>
      <c r="P31" s="76" t="n"/>
      <c r="Q31" s="76" t="n"/>
      <c r="R31" s="76" t="n"/>
      <c r="S31" s="76" t="n"/>
      <c r="T31" s="76" t="n"/>
      <c r="U31" s="77">
        <f>IF($F31="SUM",IF(COUNT($I31:$T31)=0,"",SUM($I31:$T31)),IF($F31="AVG",IFERROR(AVERAGE($I31:$T31),""),IF($F31="LAST",IFERROR(LOOKUP(2,1/($I31:$T31&lt;&gt;""),$I31:$T31),""),"")))</f>
        <v/>
      </c>
      <c r="V31" s="23">
        <f>IF($G31="","",IF($U31="","",IF($G31=0,IF($U31&lt;=0,1,0),IF($E31="↓",IFERROR($G31/$U31,0),IFERROR($U31/$G31,0)))))</f>
        <v/>
      </c>
      <c r="W31" s="17">
        <f>IF($V31="","—",IF($V31&gt;=1,"✅ محقق",IF($V31&gt;=0.85,"🟡 قريب","🔴 تحت الهدف")))</f>
        <v/>
      </c>
      <c r="X31" s="65" t="inlineStr">
        <is>
          <t>الاستدامة</t>
        </is>
      </c>
      <c r="Y31" s="22" t="inlineStr">
        <is>
          <t>تعزيز تجربة العملاء</t>
        </is>
      </c>
      <c r="Z31" s="78" t="n"/>
      <c r="AA31" s="21" t="inlineStr">
        <is>
          <t>🟣 لاحق</t>
        </is>
      </c>
      <c r="AB31" s="53" t="n">
        <v>0.0278</v>
      </c>
      <c r="AC31" s="23">
        <f>IF($V31="","",$AB31*MIN($V31,1))</f>
        <v/>
      </c>
      <c r="AD31" s="75">
        <f>IF($G31="","",IF($F31="SUM",IF('لوحة الإدارة التنفيذية'!$P$2="","",$G31/12*'لوحة الإدارة التنفيذية'!$P$2),$G31))</f>
        <v/>
      </c>
      <c r="AE31" s="79">
        <f>IF($F31="SUM",IF(OR('لوحة الإدارة التنفيذية'!$P$2="",'لوحة الإدارة التنفيذية'!$P$2=0),"",IF($U31="","",$U31/'لوحة الإدارة التنفيذية'!$P$2*12)),IF($U31="","",$U31))</f>
        <v/>
      </c>
      <c r="AF31" s="75">
        <f>IF(OR($AE31="",$G31=""),"",$AE31-$G31)</f>
        <v/>
      </c>
      <c r="AG31" s="17">
        <f>IF(OR($AE31="",$G31=""),"—",IF($E31="↓",IF($AE31&lt;=$G31,"🟢 على المسار",IF($AE31&lt;=$G31*1.1,"🟡 متابعة","🔴 خطر")),IF($AE31&gt;=$G31,"🟢 على المسار",IF($AE31&gt;=$G31*0.85,"🟡 متابعة","🔴 خطر"))))</f>
        <v/>
      </c>
      <c r="AH31" s="68" t="inlineStr">
        <is>
          <t>العملاء</t>
        </is>
      </c>
    </row>
    <row r="32" ht="26" customHeight="1">
      <c r="A32" s="17" t="n">
        <v>29</v>
      </c>
      <c r="B32" s="22" t="inlineStr">
        <is>
          <t>تجربة العملاء والشركاء</t>
        </is>
      </c>
      <c r="C32" s="22" t="inlineStr">
        <is>
          <t>معدل رضا شركاء الامتياز (CSAT)</t>
        </is>
      </c>
      <c r="D32" s="60" t="inlineStr">
        <is>
          <t>%</t>
        </is>
      </c>
      <c r="E32" s="60" t="inlineStr">
        <is>
          <t>↑</t>
        </is>
      </c>
      <c r="F32" s="60" t="inlineStr">
        <is>
          <t>AVG</t>
        </is>
      </c>
      <c r="G32" s="74" t="n">
        <v>0.9</v>
      </c>
      <c r="H32" s="62" t="inlineStr">
        <is>
          <t>90%+</t>
        </is>
      </c>
      <c r="I32" s="73" t="n"/>
      <c r="J32" s="73" t="n"/>
      <c r="K32" s="73" t="n"/>
      <c r="L32" s="73" t="n"/>
      <c r="M32" s="73" t="n"/>
      <c r="N32" s="73" t="n"/>
      <c r="O32" s="73" t="n"/>
      <c r="P32" s="73" t="n"/>
      <c r="Q32" s="73" t="n"/>
      <c r="R32" s="73" t="n"/>
      <c r="S32" s="73" t="n"/>
      <c r="T32" s="73"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65" t="inlineStr">
        <is>
          <t>الاستدامة</t>
        </is>
      </c>
      <c r="Y32" s="22" t="inlineStr">
        <is>
          <t>تعزيز تجربة العملاء</t>
        </is>
      </c>
      <c r="Z32" s="53" t="n"/>
      <c r="AA32" s="21" t="inlineStr">
        <is>
          <t>🟣 لاحق</t>
        </is>
      </c>
      <c r="AB32" s="53" t="n">
        <v>0.0278</v>
      </c>
      <c r="AC32" s="23">
        <f>IF($V32="","",$AB32*MIN($V32,1))</f>
        <v/>
      </c>
      <c r="AD32" s="74">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4">
        <f>IF(OR($AE32="",$G32=""),"",$AE32-$G32)</f>
        <v/>
      </c>
      <c r="AG32" s="17">
        <f>IF(OR($AE32="",$G32=""),"—",IF($E32="↓",IF($AE32&lt;=$G32,"🟢 على المسار",IF($AE32&lt;=$G32*1.1,"🟡 متابعة","🔴 خطر")),IF($AE32&gt;=$G32,"🟢 على المسار",IF($AE32&gt;=$G32*0.85,"🟡 متابعة","🔴 خطر"))))</f>
        <v/>
      </c>
      <c r="AH32" s="68" t="inlineStr">
        <is>
          <t>العملاء</t>
        </is>
      </c>
    </row>
    <row r="33" ht="26" customHeight="1">
      <c r="A33" s="17" t="n">
        <v>30</v>
      </c>
      <c r="B33" s="22" t="inlineStr">
        <is>
          <t>تجربة العملاء والشركاء</t>
        </is>
      </c>
      <c r="C33" s="22" t="inlineStr">
        <is>
          <t>نسبة حل الشكاوى خلال المدة المحددة</t>
        </is>
      </c>
      <c r="D33" s="60" t="inlineStr">
        <is>
          <t>%</t>
        </is>
      </c>
      <c r="E33" s="60" t="inlineStr">
        <is>
          <t>↑</t>
        </is>
      </c>
      <c r="F33" s="60" t="inlineStr">
        <is>
          <t>AVG</t>
        </is>
      </c>
      <c r="G33" s="74" t="n">
        <v>0.95</v>
      </c>
      <c r="H33" s="62" t="inlineStr">
        <is>
          <t>95%+</t>
        </is>
      </c>
      <c r="I33" s="73" t="n"/>
      <c r="J33" s="73" t="n"/>
      <c r="K33" s="73" t="n"/>
      <c r="L33" s="73" t="n"/>
      <c r="M33" s="73" t="n"/>
      <c r="N33" s="73" t="n"/>
      <c r="O33" s="73" t="n"/>
      <c r="P33" s="73" t="n"/>
      <c r="Q33" s="73" t="n"/>
      <c r="R33" s="73" t="n"/>
      <c r="S33" s="73" t="n"/>
      <c r="T33" s="73"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65" t="inlineStr">
        <is>
          <t>الاستدامة</t>
        </is>
      </c>
      <c r="Y33" s="22" t="inlineStr">
        <is>
          <t>تعزيز تجربة العملاء</t>
        </is>
      </c>
      <c r="Z33" s="53" t="n"/>
      <c r="AA33" s="21" t="inlineStr">
        <is>
          <t>🟣 لاحق</t>
        </is>
      </c>
      <c r="AB33" s="53" t="n">
        <v>0.0278</v>
      </c>
      <c r="AC33" s="23">
        <f>IF($V33="","",$AB33*MIN($V33,1))</f>
        <v/>
      </c>
      <c r="AD33" s="74">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4">
        <f>IF(OR($AE33="",$G33=""),"",$AE33-$G33)</f>
        <v/>
      </c>
      <c r="AG33" s="17">
        <f>IF(OR($AE33="",$G33=""),"—",IF($E33="↓",IF($AE33&lt;=$G33,"🟢 على المسار",IF($AE33&lt;=$G33*1.1,"🟡 متابعة","🔴 خطر")),IF($AE33&gt;=$G33,"🟢 على المسار",IF($AE33&gt;=$G33*0.85,"🟡 متابعة","🔴 خطر"))))</f>
        <v/>
      </c>
      <c r="AH33" s="68"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0" t="inlineStr">
        <is>
          <t>%</t>
        </is>
      </c>
      <c r="E34" s="60" t="inlineStr">
        <is>
          <t>↑</t>
        </is>
      </c>
      <c r="F34" s="60" t="inlineStr">
        <is>
          <t>AVG</t>
        </is>
      </c>
      <c r="G34" s="60" t="inlineStr"/>
      <c r="H34" s="62" t="inlineStr">
        <is>
          <t>-30%</t>
        </is>
      </c>
      <c r="I34" s="73" t="n"/>
      <c r="J34" s="73" t="n"/>
      <c r="K34" s="73" t="n"/>
      <c r="L34" s="73" t="n"/>
      <c r="M34" s="73" t="n"/>
      <c r="N34" s="73" t="n"/>
      <c r="O34" s="73" t="n"/>
      <c r="P34" s="73" t="n"/>
      <c r="Q34" s="73" t="n"/>
      <c r="R34" s="73" t="n"/>
      <c r="S34" s="73" t="n"/>
      <c r="T34" s="73"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65" t="inlineStr">
        <is>
          <t>الاستدامة</t>
        </is>
      </c>
      <c r="Y34" s="22" t="inlineStr">
        <is>
          <t>تعزيز تجربة العملاء</t>
        </is>
      </c>
      <c r="Z34" s="53" t="n"/>
      <c r="AA34" s="21" t="inlineStr">
        <is>
          <t>🟣 لاحق</t>
        </is>
      </c>
      <c r="AB34" s="53" t="n">
        <v>0.0278</v>
      </c>
      <c r="AC34" s="23">
        <f>IF($V34="","",$AB34*MIN($V34,1))</f>
        <v/>
      </c>
      <c r="AD34" s="74">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4">
        <f>IF(OR($AE34="",$G34=""),"",$AE34-$G34)</f>
        <v/>
      </c>
      <c r="AG34" s="17">
        <f>IF(OR($AE34="",$G34=""),"—",IF($E34="↓",IF($AE34&lt;=$G34,"🟢 على المسار",IF($AE34&lt;=$G34*1.1,"🟡 متابعة","🔴 خطر")),IF($AE34&gt;=$G34,"🟢 على المسار",IF($AE34&gt;=$G34*0.85,"🟡 متابعة","🔴 خطر"))))</f>
        <v/>
      </c>
      <c r="AH34" s="68" t="inlineStr">
        <is>
          <t>العملاء</t>
        </is>
      </c>
    </row>
    <row r="35" ht="26" customHeight="1">
      <c r="A35" s="17" t="n">
        <v>32</v>
      </c>
      <c r="B35" s="22" t="inlineStr">
        <is>
          <t>استدامة الشراكة والامتثال</t>
        </is>
      </c>
      <c r="C35" s="22" t="inlineStr">
        <is>
          <t>نسبة استدامة أصحاب الامتياز (Retention)</t>
        </is>
      </c>
      <c r="D35" s="60" t="inlineStr">
        <is>
          <t>%</t>
        </is>
      </c>
      <c r="E35" s="60" t="inlineStr">
        <is>
          <t>↑</t>
        </is>
      </c>
      <c r="F35" s="60" t="inlineStr">
        <is>
          <t>LAST</t>
        </is>
      </c>
      <c r="G35" s="74" t="n">
        <v>0.9</v>
      </c>
      <c r="H35" s="62" t="inlineStr">
        <is>
          <t>90%</t>
        </is>
      </c>
      <c r="I35" s="73" t="n"/>
      <c r="J35" s="73" t="n"/>
      <c r="K35" s="73" t="n"/>
      <c r="L35" s="73" t="n"/>
      <c r="M35" s="73" t="n"/>
      <c r="N35" s="73" t="n"/>
      <c r="O35" s="73" t="n"/>
      <c r="P35" s="73" t="n"/>
      <c r="Q35" s="73" t="n"/>
      <c r="R35" s="73" t="n"/>
      <c r="S35" s="73" t="n"/>
      <c r="T35" s="73"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65" t="inlineStr">
        <is>
          <t>الاستدامة</t>
        </is>
      </c>
      <c r="Y35" s="22" t="inlineStr">
        <is>
          <t>تعزيز تجربة العملاء</t>
        </is>
      </c>
      <c r="Z35" s="53" t="n"/>
      <c r="AA35" s="21" t="inlineStr">
        <is>
          <t>🟣 لاحق</t>
        </is>
      </c>
      <c r="AB35" s="53" t="n">
        <v>0.0278</v>
      </c>
      <c r="AC35" s="23">
        <f>IF($V35="","",$AB35*MIN($V35,1))</f>
        <v/>
      </c>
      <c r="AD35" s="74">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4">
        <f>IF(OR($AE35="",$G35=""),"",$AE35-$G35)</f>
        <v/>
      </c>
      <c r="AG35" s="17">
        <f>IF(OR($AE35="",$G35=""),"—",IF($E35="↓",IF($AE35&lt;=$G35,"🟢 على المسار",IF($AE35&lt;=$G35*1.1,"🟡 متابعة","🔴 خطر")),IF($AE35&gt;=$G35,"🟢 على المسار",IF($AE35&gt;=$G35*0.85,"🟡 متابعة","🔴 خطر"))))</f>
        <v/>
      </c>
      <c r="AH35" s="68"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0" t="inlineStr">
        <is>
          <t>%</t>
        </is>
      </c>
      <c r="E36" s="60" t="inlineStr">
        <is>
          <t>↑</t>
        </is>
      </c>
      <c r="F36" s="60" t="inlineStr">
        <is>
          <t>LAST</t>
        </is>
      </c>
      <c r="G36" s="74" t="n">
        <v>1</v>
      </c>
      <c r="H36" s="62" t="inlineStr">
        <is>
          <t>100% نمو</t>
        </is>
      </c>
      <c r="I36" s="73" t="n"/>
      <c r="J36" s="73" t="n"/>
      <c r="K36" s="73" t="n"/>
      <c r="L36" s="73" t="n"/>
      <c r="M36" s="73" t="n"/>
      <c r="N36" s="73" t="n"/>
      <c r="O36" s="73" t="n"/>
      <c r="P36" s="73" t="n"/>
      <c r="Q36" s="73" t="n"/>
      <c r="R36" s="73" t="n"/>
      <c r="S36" s="73" t="n"/>
      <c r="T36" s="73"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65" t="inlineStr">
        <is>
          <t>الاستدامة</t>
        </is>
      </c>
      <c r="Y36" s="22" t="inlineStr">
        <is>
          <t>تعزيز تجربة العملاء</t>
        </is>
      </c>
      <c r="Z36" s="53" t="n"/>
      <c r="AA36" s="21" t="inlineStr">
        <is>
          <t>🔵 قائد</t>
        </is>
      </c>
      <c r="AB36" s="53" t="n">
        <v>0.0278</v>
      </c>
      <c r="AC36" s="23">
        <f>IF($V36="","",$AB36*MIN($V36,1))</f>
        <v/>
      </c>
      <c r="AD36" s="74">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4">
        <f>IF(OR($AE36="",$G36=""),"",$AE36-$G36)</f>
        <v/>
      </c>
      <c r="AG36" s="17">
        <f>IF(OR($AE36="",$G36=""),"—",IF($E36="↓",IF($AE36&lt;=$G36,"🟢 على المسار",IF($AE36&lt;=$G36*1.1,"🟡 متابعة","🔴 خطر")),IF($AE36&gt;=$G36,"🟢 على المسار",IF($AE36&gt;=$G36*0.85,"🟡 متابعة","🔴 خطر"))))</f>
        <v/>
      </c>
      <c r="AH36" s="68"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0" t="inlineStr">
        <is>
          <t>%</t>
        </is>
      </c>
      <c r="E37" s="60" t="inlineStr">
        <is>
          <t>↑</t>
        </is>
      </c>
      <c r="F37" s="60" t="inlineStr">
        <is>
          <t>AVG</t>
        </is>
      </c>
      <c r="G37" s="74" t="n">
        <v>1</v>
      </c>
      <c r="H37" s="62" t="inlineStr">
        <is>
          <t>100%</t>
        </is>
      </c>
      <c r="I37" s="73" t="n"/>
      <c r="J37" s="73" t="n"/>
      <c r="K37" s="73" t="n"/>
      <c r="L37" s="73" t="n"/>
      <c r="M37" s="73" t="n"/>
      <c r="N37" s="73" t="n"/>
      <c r="O37" s="73" t="n"/>
      <c r="P37" s="73" t="n"/>
      <c r="Q37" s="73" t="n"/>
      <c r="R37" s="73" t="n"/>
      <c r="S37" s="73" t="n"/>
      <c r="T37" s="73"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65" t="inlineStr">
        <is>
          <t>الاستدامة</t>
        </is>
      </c>
      <c r="Y37" s="22" t="inlineStr">
        <is>
          <t>جودة التشغيل</t>
        </is>
      </c>
      <c r="Z37" s="53" t="n"/>
      <c r="AA37" s="21" t="inlineStr">
        <is>
          <t>🟣 لاحق</t>
        </is>
      </c>
      <c r="AB37" s="53" t="n">
        <v>0.0278</v>
      </c>
      <c r="AC37" s="23">
        <f>IF($V37="","",$AB37*MIN($V37,1))</f>
        <v/>
      </c>
      <c r="AD37" s="74">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4">
        <f>IF(OR($AE37="",$G37=""),"",$AE37-$G37)</f>
        <v/>
      </c>
      <c r="AG37" s="17">
        <f>IF(OR($AE37="",$G37=""),"—",IF($E37="↓",IF($AE37&lt;=$G37,"🟢 على المسار",IF($AE37&lt;=$G37*1.1,"🟡 متابعة","🔴 خطر")),IF($AE37&gt;=$G37,"🟢 على المسار",IF($AE37&gt;=$G37*0.85,"🟡 متابعة","🔴 خطر"))))</f>
        <v/>
      </c>
      <c r="AH37" s="68"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0" t="inlineStr">
        <is>
          <t>أسبوع</t>
        </is>
      </c>
      <c r="E38" s="60" t="inlineStr">
        <is>
          <t>↓</t>
        </is>
      </c>
      <c r="F38" s="60" t="inlineStr">
        <is>
          <t>AVG</t>
        </is>
      </c>
      <c r="G38" s="75" t="n">
        <v>1</v>
      </c>
      <c r="H38" s="62" t="inlineStr">
        <is>
          <t>≤ أسبوع</t>
        </is>
      </c>
      <c r="I38" s="76" t="n"/>
      <c r="J38" s="76" t="n"/>
      <c r="K38" s="76" t="n"/>
      <c r="L38" s="76" t="n"/>
      <c r="M38" s="76" t="n"/>
      <c r="N38" s="76" t="n"/>
      <c r="O38" s="76" t="n"/>
      <c r="P38" s="76" t="n"/>
      <c r="Q38" s="76" t="n"/>
      <c r="R38" s="76" t="n"/>
      <c r="S38" s="76" t="n"/>
      <c r="T38" s="76" t="n"/>
      <c r="U38" s="77">
        <f>IF($F38="SUM",IF(COUNT($I38:$T38)=0,"",SUM($I38:$T38)),IF($F38="AVG",IFERROR(AVERAGE($I38:$T38),""),IF($F38="LAST",IFERROR(LOOKUP(2,1/($I38:$T38&lt;&gt;""),$I38:$T38),""),"")))</f>
        <v/>
      </c>
      <c r="V38" s="23">
        <f>IF($G38="","",IF($U38="","",IF($G38=0,IF($U38&lt;=0,1,0),IF($E38="↓",IFERROR($G38/$U38,0),IFERROR($U38/$G38,0)))))</f>
        <v/>
      </c>
      <c r="W38" s="17">
        <f>IF($V38="","—",IF($V38&gt;=1,"✅ محقق",IF($V38&gt;=0.85,"🟡 قريب","🔴 تحت الهدف")))</f>
        <v/>
      </c>
      <c r="X38" s="65" t="inlineStr">
        <is>
          <t>النمو</t>
        </is>
      </c>
      <c r="Y38" s="22" t="inlineStr">
        <is>
          <t>الامتياز التجاري</t>
        </is>
      </c>
      <c r="Z38" s="78" t="n"/>
      <c r="AA38" s="21" t="inlineStr">
        <is>
          <t>🟣 لاحق</t>
        </is>
      </c>
      <c r="AB38" s="53" t="n">
        <v>0.0278</v>
      </c>
      <c r="AC38" s="23">
        <f>IF($V38="","",$AB38*MIN($V38,1))</f>
        <v/>
      </c>
      <c r="AD38" s="75">
        <f>IF($G38="","",IF($F38="SUM",IF('لوحة الإدارة التنفيذية'!$P$2="","",$G38/12*'لوحة الإدارة التنفيذية'!$P$2),$G38))</f>
        <v/>
      </c>
      <c r="AE38" s="79">
        <f>IF($F38="SUM",IF(OR('لوحة الإدارة التنفيذية'!$P$2="",'لوحة الإدارة التنفيذية'!$P$2=0),"",IF($U38="","",$U38/'لوحة الإدارة التنفيذية'!$P$2*12)),IF($U38="","",$U38))</f>
        <v/>
      </c>
      <c r="AF38" s="75">
        <f>IF(OR($AE38="",$G38=""),"",$AE38-$G38)</f>
        <v/>
      </c>
      <c r="AG38" s="17">
        <f>IF(OR($AE38="",$G38=""),"—",IF($E38="↓",IF($AE38&lt;=$G38,"🟢 على المسار",IF($AE38&lt;=$G38*1.1,"🟡 متابعة","🔴 خطر")),IF($AE38&gt;=$G38,"🟢 على المسار",IF($AE38&gt;=$G38*0.85,"🟡 متابعة","🔴 خطر"))))</f>
        <v/>
      </c>
      <c r="AH38" s="68"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0" t="inlineStr">
        <is>
          <t>%</t>
        </is>
      </c>
      <c r="E39" s="60" t="inlineStr">
        <is>
          <t>↑</t>
        </is>
      </c>
      <c r="F39" s="60" t="inlineStr">
        <is>
          <t>AVG</t>
        </is>
      </c>
      <c r="G39" s="74" t="n">
        <v>1</v>
      </c>
      <c r="H39" s="62" t="inlineStr">
        <is>
          <t>100%</t>
        </is>
      </c>
      <c r="I39" s="73" t="n"/>
      <c r="J39" s="73" t="n"/>
      <c r="K39" s="73" t="n"/>
      <c r="L39" s="73" t="n"/>
      <c r="M39" s="73" t="n"/>
      <c r="N39" s="73" t="n"/>
      <c r="O39" s="73" t="n"/>
      <c r="P39" s="73" t="n"/>
      <c r="Q39" s="73" t="n"/>
      <c r="R39" s="73" t="n"/>
      <c r="S39" s="73" t="n"/>
      <c r="T39" s="73"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65" t="inlineStr">
        <is>
          <t>الاستدامة</t>
        </is>
      </c>
      <c r="Y39" s="22" t="inlineStr">
        <is>
          <t>جودة التشغيل</t>
        </is>
      </c>
      <c r="Z39" s="53" t="n"/>
      <c r="AA39" s="21" t="inlineStr">
        <is>
          <t>🟣 لاحق</t>
        </is>
      </c>
      <c r="AB39" s="53" t="n">
        <v>0.0278</v>
      </c>
      <c r="AC39" s="23">
        <f>IF($V39="","",$AB39*MIN($V39,1))</f>
        <v/>
      </c>
      <c r="AD39" s="74">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4">
        <f>IF(OR($AE39="",$G39=""),"",$AE39-$G39)</f>
        <v/>
      </c>
      <c r="AG39" s="17">
        <f>IF(OR($AE39="",$G39=""),"—",IF($E39="↓",IF($AE39&lt;=$G39,"🟢 على المسار",IF($AE39&lt;=$G39*1.1,"🟡 متابعة","🔴 خطر")),IF($AE39&gt;=$G39,"🟢 على المسار",IF($AE39&gt;=$G39*0.85,"🟡 متابعة","🔴 خطر"))))</f>
        <v/>
      </c>
      <c r="AH39" s="68" t="inlineStr">
        <is>
          <t>العمليات الداخلية</t>
        </is>
      </c>
    </row>
    <row r="40">
      <c r="A40" s="80" t="inlineStr"/>
      <c r="B40" s="81" t="inlineStr">
        <is>
          <t>الإجمالي الموزون للإدارة</t>
        </is>
      </c>
      <c r="AB40" s="82">
        <f>SUM(AB4:AB39)</f>
        <v/>
      </c>
      <c r="AC40" s="83">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4" t="inlineStr">
        <is>
          <t>المؤشر</t>
        </is>
      </c>
      <c r="C5" s="54" t="inlineStr">
        <is>
          <t>الأولوية</t>
        </is>
      </c>
      <c r="D5" s="54" t="inlineStr">
        <is>
          <t>●/○</t>
        </is>
      </c>
    </row>
    <row r="6">
      <c r="B6" s="22" t="inlineStr">
        <is>
          <t>عدد عقود الامتياز الجديدة الموقّعة</t>
        </is>
      </c>
      <c r="C6" s="21" t="inlineStr">
        <is>
          <t>🔴 رئيسي</t>
        </is>
      </c>
      <c r="D6" s="49" t="inlineStr">
        <is>
          <t>●</t>
        </is>
      </c>
    </row>
    <row r="7">
      <c r="B7" s="22" t="inlineStr">
        <is>
          <t>عدد محطات الامتياز المشغّلة (تراكمي)</t>
        </is>
      </c>
      <c r="C7" s="21" t="inlineStr">
        <is>
          <t>🔴 رئيسي</t>
        </is>
      </c>
      <c r="D7" s="49" t="inlineStr">
        <is>
          <t>●</t>
        </is>
      </c>
    </row>
    <row r="8">
      <c r="B8" s="22" t="inlineStr">
        <is>
          <t>نسبة تحويل الفرص إلى عقود موقّعة</t>
        </is>
      </c>
      <c r="C8" s="21" t="inlineStr">
        <is>
          <t>🔴 رئيسي</t>
        </is>
      </c>
      <c r="D8" s="49" t="inlineStr">
        <is>
          <t>●</t>
        </is>
      </c>
    </row>
    <row r="9">
      <c r="B9" s="22" t="inlineStr">
        <is>
          <t>نسبة استدامة أصحاب الامتياز</t>
        </is>
      </c>
      <c r="C9" s="21" t="inlineStr">
        <is>
          <t>🔴 رئيسي</t>
        </is>
      </c>
      <c r="D9" s="49" t="inlineStr">
        <is>
          <t>●</t>
        </is>
      </c>
    </row>
    <row r="11">
      <c r="B11" s="7" t="inlineStr">
        <is>
          <t>أنس أبو طوق  —  مراقب ميداني — هوية وبنية تحتية  ·  4 مؤشر</t>
        </is>
      </c>
    </row>
    <row r="12">
      <c r="B12" s="54" t="inlineStr">
        <is>
          <t>المؤشر</t>
        </is>
      </c>
      <c r="C12" s="54" t="inlineStr">
        <is>
          <t>الأولوية</t>
        </is>
      </c>
      <c r="D12" s="54" t="inlineStr">
        <is>
          <t>●/○</t>
        </is>
      </c>
    </row>
    <row r="13">
      <c r="B13" s="22" t="inlineStr">
        <is>
          <t>نسبة جاهزية محطات الامتياز</t>
        </is>
      </c>
      <c r="C13" s="21" t="inlineStr">
        <is>
          <t>🔴 رئيسي</t>
        </is>
      </c>
      <c r="D13" s="49" t="inlineStr">
        <is>
          <t>●</t>
        </is>
      </c>
    </row>
    <row r="14">
      <c r="B14" s="22" t="inlineStr">
        <is>
          <t>نسبة إغلاق ملاحظات الجودة الميدانية</t>
        </is>
      </c>
      <c r="C14" s="21" t="inlineStr">
        <is>
          <t>🔴 رئيسي</t>
        </is>
      </c>
      <c r="D14" s="49" t="inlineStr">
        <is>
          <t>●</t>
        </is>
      </c>
    </row>
    <row r="15">
      <c r="B15" s="22" t="inlineStr">
        <is>
          <t>نسبة المحطات المستوفية لمعايير السلامة</t>
        </is>
      </c>
      <c r="C15" s="21" t="inlineStr">
        <is>
          <t>🔴 رئيسي</t>
        </is>
      </c>
      <c r="D15" s="49" t="inlineStr">
        <is>
          <t>●</t>
        </is>
      </c>
    </row>
    <row r="16">
      <c r="B16" s="22" t="inlineStr">
        <is>
          <t>نسبة التزام المحطات بالهوية المؤسسية</t>
        </is>
      </c>
      <c r="C16" s="21" t="inlineStr">
        <is>
          <t>🔴 رئيسي</t>
        </is>
      </c>
      <c r="D16" s="49" t="inlineStr">
        <is>
          <t>●</t>
        </is>
      </c>
    </row>
    <row r="18">
      <c r="B18" s="7" t="inlineStr">
        <is>
          <t>حمدي عبد الجليل  —  أخصائي امتياز — زيارات واستقطاب  ·  3 مؤشر</t>
        </is>
      </c>
    </row>
    <row r="19">
      <c r="B19" s="54" t="inlineStr">
        <is>
          <t>المؤشر</t>
        </is>
      </c>
      <c r="C19" s="54" t="inlineStr">
        <is>
          <t>الأولوية</t>
        </is>
      </c>
      <c r="D19" s="54" t="inlineStr">
        <is>
          <t>●/○</t>
        </is>
      </c>
    </row>
    <row r="20">
      <c r="B20" s="22" t="inlineStr">
        <is>
          <t>نسبة تنفيذ الزيارات الميدانية المجدولة</t>
        </is>
      </c>
      <c r="C20" s="21" t="inlineStr">
        <is>
          <t>🔴 رئيسي</t>
        </is>
      </c>
      <c r="D20" s="49" t="inlineStr">
        <is>
          <t>●</t>
        </is>
      </c>
    </row>
    <row r="21">
      <c r="B21" s="22" t="inlineStr">
        <is>
          <t>عدد عقود الامتياز الجديدة الموقّعة</t>
        </is>
      </c>
      <c r="C21" s="21" t="inlineStr">
        <is>
          <t>🔴 رئيسي</t>
        </is>
      </c>
      <c r="D21" s="49" t="inlineStr">
        <is>
          <t>○</t>
        </is>
      </c>
    </row>
    <row r="22">
      <c r="B22" s="22" t="inlineStr">
        <is>
          <t>متوسط درجة تقييم جودة المحطة</t>
        </is>
      </c>
      <c r="C22" s="21" t="inlineStr">
        <is>
          <t>🔴 رئيسي</t>
        </is>
      </c>
      <c r="D22" s="49" t="inlineStr">
        <is>
          <t>○</t>
        </is>
      </c>
    </row>
    <row r="24">
      <c r="B24" s="7" t="inlineStr">
        <is>
          <t>رغد الجندي  —  أخصائية امتياز — تسويق ومالية  ·  4 مؤشر</t>
        </is>
      </c>
    </row>
    <row r="25">
      <c r="B25" s="54" t="inlineStr">
        <is>
          <t>المؤشر</t>
        </is>
      </c>
      <c r="C25" s="54" t="inlineStr">
        <is>
          <t>الأولوية</t>
        </is>
      </c>
      <c r="D25" s="54" t="inlineStr">
        <is>
          <t>●/○</t>
        </is>
      </c>
    </row>
    <row r="26">
      <c r="B26" s="22" t="inlineStr">
        <is>
          <t>إجمالي إيرادات إدارة الامتياز</t>
        </is>
      </c>
      <c r="C26" s="21" t="inlineStr">
        <is>
          <t>🔴 رئيسي</t>
        </is>
      </c>
      <c r="D26" s="49" t="inlineStr">
        <is>
          <t>●</t>
        </is>
      </c>
    </row>
    <row r="27">
      <c r="B27" s="22" t="inlineStr">
        <is>
          <t>نسبة التحصيل المالي من شركاء الامتياز</t>
        </is>
      </c>
      <c r="C27" s="21" t="inlineStr">
        <is>
          <t>🔴 رئيسي</t>
        </is>
      </c>
      <c r="D27" s="49" t="inlineStr">
        <is>
          <t>●</t>
        </is>
      </c>
    </row>
    <row r="28">
      <c r="B28" s="22" t="inlineStr">
        <is>
          <t>متوسط تقييم المحطات على خرائط قوقل</t>
        </is>
      </c>
      <c r="C28" s="21" t="inlineStr">
        <is>
          <t>🔴 رئيسي</t>
        </is>
      </c>
      <c r="D28" s="49" t="inlineStr">
        <is>
          <t>●</t>
        </is>
      </c>
    </row>
    <row r="29">
      <c r="B29" s="22" t="inlineStr">
        <is>
          <t>عدد الحملات التسويقية الميدانية</t>
        </is>
      </c>
      <c r="C29" s="21" t="inlineStr">
        <is>
          <t>🟠 مهم</t>
        </is>
      </c>
      <c r="D29" s="49" t="inlineStr">
        <is>
          <t>●</t>
        </is>
      </c>
    </row>
    <row r="31">
      <c r="B31" s="7" t="inlineStr">
        <is>
          <t>إدريس الوائلي  —  أخصائي امتياز — تقارير وتنسيق مالي  ·  3 مؤشر</t>
        </is>
      </c>
    </row>
    <row r="32">
      <c r="B32" s="54" t="inlineStr">
        <is>
          <t>المؤشر</t>
        </is>
      </c>
      <c r="C32" s="54" t="inlineStr">
        <is>
          <t>الأولوية</t>
        </is>
      </c>
      <c r="D32" s="54" t="inlineStr">
        <is>
          <t>●/○</t>
        </is>
      </c>
    </row>
    <row r="33">
      <c r="B33" s="22" t="inlineStr">
        <is>
          <t>متوسط أيام التحصيل (DSO)</t>
        </is>
      </c>
      <c r="C33" s="21" t="inlineStr">
        <is>
          <t>🟠 مهم</t>
        </is>
      </c>
      <c r="D33" s="49" t="inlineStr">
        <is>
          <t>●</t>
        </is>
      </c>
    </row>
    <row r="34">
      <c r="B34" s="22" t="inlineStr">
        <is>
          <t>إجمالي المستحقات المتأخرة (+30 يوم)</t>
        </is>
      </c>
      <c r="C34" s="21" t="inlineStr">
        <is>
          <t>🟠 مهم</t>
        </is>
      </c>
      <c r="D34" s="49" t="inlineStr">
        <is>
          <t>●</t>
        </is>
      </c>
    </row>
    <row r="35">
      <c r="B35" s="22" t="inlineStr">
        <is>
          <t>نسبة إنجاز التقارير الدورية في موعدها</t>
        </is>
      </c>
      <c r="C35" s="21" t="inlineStr">
        <is>
          <t>🟠 مهم</t>
        </is>
      </c>
      <c r="D35" s="49" t="inlineStr">
        <is>
          <t>●</t>
        </is>
      </c>
    </row>
    <row r="37">
      <c r="B37" s="7" t="inlineStr">
        <is>
          <t>أحمد رمضان  —  أخصائي امتياز — Dynamics ومتابعة نظام  ·  2 مؤشر</t>
        </is>
      </c>
    </row>
    <row r="38">
      <c r="B38" s="54" t="inlineStr">
        <is>
          <t>المؤشر</t>
        </is>
      </c>
      <c r="C38" s="54" t="inlineStr">
        <is>
          <t>الأولوية</t>
        </is>
      </c>
      <c r="D38" s="54" t="inlineStr">
        <is>
          <t>●/○</t>
        </is>
      </c>
    </row>
    <row r="39">
      <c r="B39" s="22" t="inlineStr">
        <is>
          <t>نسبة اكتمال المستندات النظامية قبل التوقيع</t>
        </is>
      </c>
      <c r="C39" s="21" t="inlineStr">
        <is>
          <t>🟠 مهم</t>
        </is>
      </c>
      <c r="D39" s="49" t="inlineStr">
        <is>
          <t>○</t>
        </is>
      </c>
    </row>
    <row r="40">
      <c r="B40" s="22" t="inlineStr">
        <is>
          <t>نسبة إنجاز التقارير الدورية في موعدها</t>
        </is>
      </c>
      <c r="C40" s="21" t="inlineStr">
        <is>
          <t>🟠 مهم</t>
        </is>
      </c>
      <c r="D40" s="49" t="inlineStr">
        <is>
          <t>○</t>
        </is>
      </c>
    </row>
    <row r="42">
      <c r="B42" s="7" t="inlineStr">
        <is>
          <t>عبدالسلام الوالي  —  أخصائي امتياز — عمليات ومخزون  ·  2 مؤشر</t>
        </is>
      </c>
    </row>
    <row r="43">
      <c r="B43" s="54" t="inlineStr">
        <is>
          <t>المؤشر</t>
        </is>
      </c>
      <c r="C43" s="54" t="inlineStr">
        <is>
          <t>الأولوية</t>
        </is>
      </c>
      <c r="D43" s="54" t="inlineStr">
        <is>
          <t>●/○</t>
        </is>
      </c>
    </row>
    <row r="44">
      <c r="B44" s="22" t="inlineStr">
        <is>
          <t>عدد حالات انقطاع الوقود الموثّقة</t>
        </is>
      </c>
      <c r="C44" s="21" t="inlineStr">
        <is>
          <t>🔴 رئيسي</t>
        </is>
      </c>
      <c r="D44" s="49" t="inlineStr">
        <is>
          <t>●</t>
        </is>
      </c>
    </row>
    <row r="45">
      <c r="B45" s="22" t="inlineStr">
        <is>
          <t>متوسط وقت معالجة البلاغات التشغيلية</t>
        </is>
      </c>
      <c r="C45" s="21" t="inlineStr">
        <is>
          <t>🟠 مهم</t>
        </is>
      </c>
      <c r="D45" s="49" t="inlineStr">
        <is>
          <t>●</t>
        </is>
      </c>
    </row>
    <row r="47">
      <c r="B47" s="7" t="inlineStr">
        <is>
          <t>المعتصم المصعبي  —  أخصائي امتياز — عمليات ومبيعات  ·  2 مؤشر</t>
        </is>
      </c>
    </row>
    <row r="48">
      <c r="B48" s="54" t="inlineStr">
        <is>
          <t>المؤشر</t>
        </is>
      </c>
      <c r="C48" s="54" t="inlineStr">
        <is>
          <t>الأولوية</t>
        </is>
      </c>
      <c r="D48" s="54" t="inlineStr">
        <is>
          <t>●/○</t>
        </is>
      </c>
    </row>
    <row r="49">
      <c r="B49" s="22" t="inlineStr">
        <is>
          <t>متوسط مبيعات المحطة الواحدة شهرياً</t>
        </is>
      </c>
      <c r="C49" s="21" t="inlineStr">
        <is>
          <t>🟠 مهم</t>
        </is>
      </c>
      <c r="D49" s="49" t="inlineStr">
        <is>
          <t>●</t>
        </is>
      </c>
    </row>
    <row r="50">
      <c r="B50" s="22" t="inlineStr">
        <is>
          <t>إجمالي مبيعات وقود محطات الامتياز</t>
        </is>
      </c>
      <c r="C50" s="21" t="inlineStr">
        <is>
          <t>🔴 رئيسي</t>
        </is>
      </c>
      <c r="D50" s="49" t="inlineStr">
        <is>
          <t>○</t>
        </is>
      </c>
    </row>
    <row r="52">
      <c r="B52" s="7" t="inlineStr">
        <is>
          <t>يحيى العدله  —  أخصائي امتياز — تسجيل وتوثيق  ·  2 مؤشر</t>
        </is>
      </c>
    </row>
    <row r="53">
      <c r="B53" s="54" t="inlineStr">
        <is>
          <t>المؤشر</t>
        </is>
      </c>
      <c r="C53" s="54" t="inlineStr">
        <is>
          <t>الأولوية</t>
        </is>
      </c>
      <c r="D53" s="54" t="inlineStr">
        <is>
          <t>●/○</t>
        </is>
      </c>
    </row>
    <row r="54">
      <c r="B54" s="22" t="inlineStr">
        <is>
          <t>نسبة اكتمال المستندات النظامية قبل التوقيع</t>
        </is>
      </c>
      <c r="C54" s="21" t="inlineStr">
        <is>
          <t>🟠 مهم</t>
        </is>
      </c>
      <c r="D54" s="49" t="inlineStr">
        <is>
          <t>●</t>
        </is>
      </c>
    </row>
    <row r="55">
      <c r="B55" s="22" t="inlineStr">
        <is>
          <t>نسبة حل الشكاوى خلال المدة المحددة</t>
        </is>
      </c>
      <c r="C55" s="21" t="inlineStr">
        <is>
          <t>🟠 مهم</t>
        </is>
      </c>
      <c r="D55" s="49" t="inlineStr">
        <is>
          <t>○</t>
        </is>
      </c>
    </row>
    <row r="57">
      <c r="B57" s="7" t="inlineStr">
        <is>
          <t>إسماعيل سندي  —  أخصائي امتياز — تواصل عملاء وتأجير  ·  3 مؤشر</t>
        </is>
      </c>
    </row>
    <row r="58">
      <c r="B58" s="54" t="inlineStr">
        <is>
          <t>المؤشر</t>
        </is>
      </c>
      <c r="C58" s="54" t="inlineStr">
        <is>
          <t>الأولوية</t>
        </is>
      </c>
      <c r="D58" s="54" t="inlineStr">
        <is>
          <t>●/○</t>
        </is>
      </c>
    </row>
    <row r="59">
      <c r="B59" s="22" t="inlineStr">
        <is>
          <t>معدل رضا شركاء الامتياز (CSAT)</t>
        </is>
      </c>
      <c r="C59" s="21" t="inlineStr">
        <is>
          <t>🔴 رئيسي</t>
        </is>
      </c>
      <c r="D59" s="49" t="inlineStr">
        <is>
          <t>●</t>
        </is>
      </c>
    </row>
    <row r="60">
      <c r="B60" s="22" t="inlineStr">
        <is>
          <t>نسبة حل الشكاوى خلال المدة المحددة</t>
        </is>
      </c>
      <c r="C60" s="21" t="inlineStr">
        <is>
          <t>🟠 مهم</t>
        </is>
      </c>
      <c r="D60" s="49" t="inlineStr">
        <is>
          <t>●</t>
        </is>
      </c>
    </row>
    <row r="61">
      <c r="B61" s="22" t="inlineStr">
        <is>
          <t>نسبة انخفاض الشكاوى التشغيلية والإدارية</t>
        </is>
      </c>
      <c r="C61" s="21" t="inlineStr">
        <is>
          <t>🟠 مهم</t>
        </is>
      </c>
      <c r="D61" s="49"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مدير إدارة الامتياز التجاري</t>
        </is>
      </c>
    </row>
    <row r="2">
      <c r="A2" s="50" t="inlineStr">
        <is>
          <t>الكود: FM-01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4" t="n">
        <v>0.15</v>
      </c>
      <c r="D7" s="88" t="inlineStr">
        <is>
          <t>100%+ من المحطات المستهدفة</t>
        </is>
      </c>
      <c r="E7" s="53" t="n"/>
      <c r="F7" s="23">
        <f>C7*MIN(E7,1)</f>
        <v/>
      </c>
      <c r="G7" s="51" t="inlineStr"/>
    </row>
    <row r="8" ht="28" customHeight="1">
      <c r="A8" s="17" t="n">
        <v>2</v>
      </c>
      <c r="B8" s="22" t="inlineStr">
        <is>
          <t>إجمالي مبيعات محطات الامتياز</t>
        </is>
      </c>
      <c r="C8" s="74" t="n">
        <v>0.15</v>
      </c>
      <c r="D8" s="88" t="inlineStr">
        <is>
          <t>100%+ من مستهدف المبيعات الربعي</t>
        </is>
      </c>
      <c r="E8" s="53" t="n"/>
      <c r="F8" s="23">
        <f>C8*MIN(E8,1)</f>
        <v/>
      </c>
      <c r="G8" s="51" t="inlineStr"/>
    </row>
    <row r="9" ht="28" customHeight="1">
      <c r="A9" s="17" t="n">
        <v>3</v>
      </c>
      <c r="B9" s="22" t="inlineStr">
        <is>
          <t>استمرارية تزويد الوقود</t>
        </is>
      </c>
      <c r="C9" s="74" t="n">
        <v>0.1</v>
      </c>
      <c r="D9" s="88" t="inlineStr">
        <is>
          <t>0 حالات انقطاع</t>
        </is>
      </c>
      <c r="E9" s="53" t="n"/>
      <c r="F9" s="23">
        <f>C9*MIN(E9,1)</f>
        <v/>
      </c>
      <c r="G9" s="51" t="inlineStr"/>
    </row>
    <row r="10" ht="28" customHeight="1">
      <c r="A10" s="17" t="n">
        <v>4</v>
      </c>
      <c r="B10" s="22" t="inlineStr">
        <is>
          <t>نسبة التحصيل المالي</t>
        </is>
      </c>
      <c r="C10" s="74" t="n">
        <v>0.15</v>
      </c>
      <c r="D10" s="88" t="inlineStr">
        <is>
          <t>100%+ من المستحقات الربعية</t>
        </is>
      </c>
      <c r="E10" s="53" t="n"/>
      <c r="F10" s="23">
        <f>C10*MIN(E10,1)</f>
        <v/>
      </c>
      <c r="G10" s="51" t="inlineStr"/>
    </row>
    <row r="11" ht="28" customHeight="1">
      <c r="A11" s="17" t="n">
        <v>5</v>
      </c>
      <c r="B11" s="22" t="inlineStr">
        <is>
          <t>الالتزام بالهوية المؤسسية</t>
        </is>
      </c>
      <c r="C11" s="74" t="n">
        <v>0.15</v>
      </c>
      <c r="D11" s="88" t="inlineStr">
        <is>
          <t>70%+ من المحطات ملتزمة</t>
        </is>
      </c>
      <c r="E11" s="53" t="n"/>
      <c r="F11" s="23">
        <f>C11*MIN(E11,1)</f>
        <v/>
      </c>
      <c r="G11" s="51" t="inlineStr"/>
    </row>
    <row r="12" ht="28" customHeight="1">
      <c r="A12" s="17" t="n">
        <v>6</v>
      </c>
      <c r="B12" s="22" t="inlineStr">
        <is>
          <t>انخفاض عدد الشكاوى</t>
        </is>
      </c>
      <c r="C12" s="74" t="n">
        <v>0.1</v>
      </c>
      <c r="D12" s="88" t="inlineStr">
        <is>
          <t>خفض 20%+ عن الربع السابق</t>
        </is>
      </c>
      <c r="E12" s="53" t="n"/>
      <c r="F12" s="23">
        <f>C12*MIN(E12,1)</f>
        <v/>
      </c>
      <c r="G12" s="51" t="inlineStr"/>
    </row>
    <row r="13" ht="28" customHeight="1">
      <c r="A13" s="17" t="n">
        <v>7</v>
      </c>
      <c r="B13" s="22" t="inlineStr">
        <is>
          <t>تقييمات خرائط قوقل</t>
        </is>
      </c>
      <c r="C13" s="74" t="n">
        <v>0.1</v>
      </c>
      <c r="D13" s="88" t="inlineStr">
        <is>
          <t>4.7 – 5</t>
        </is>
      </c>
      <c r="E13" s="53" t="n"/>
      <c r="F13" s="23">
        <f>C13*MIN(E13,1)</f>
        <v/>
      </c>
      <c r="G13" s="51" t="inlineStr"/>
    </row>
    <row r="14" ht="28" customHeight="1">
      <c r="A14" s="17" t="n">
        <v>8</v>
      </c>
      <c r="B14" s="22" t="inlineStr">
        <is>
          <t>انتظام وجودة التقارير</t>
        </is>
      </c>
      <c r="C14" s="74" t="n">
        <v>0.1</v>
      </c>
      <c r="D14" s="88" t="inlineStr">
        <is>
          <t>100% في موعدها</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الامتياز التجاري</t>
        </is>
      </c>
    </row>
    <row r="2">
      <c r="A2" s="50" t="inlineStr">
        <is>
          <t>الكود: FM-02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4" t="n">
        <v>0.3</v>
      </c>
      <c r="D7" s="88" t="inlineStr">
        <is>
          <t>متابعة مستمرة 100%</t>
        </is>
      </c>
      <c r="E7" s="53" t="n"/>
      <c r="F7" s="23">
        <f>C7*MIN(E7,1)</f>
        <v/>
      </c>
      <c r="G7" s="51" t="inlineStr"/>
    </row>
    <row r="8" ht="28" customHeight="1">
      <c r="A8" s="17" t="n">
        <v>2</v>
      </c>
      <c r="B8" s="22" t="inlineStr">
        <is>
          <t>عدم انقطاع المحطات من الوقود</t>
        </is>
      </c>
      <c r="C8" s="74" t="n">
        <v>0.35</v>
      </c>
      <c r="D8" s="88" t="inlineStr">
        <is>
          <t>0 حالات انقطاع</t>
        </is>
      </c>
      <c r="E8" s="53" t="n"/>
      <c r="F8" s="23">
        <f>C8*MIN(E8,1)</f>
        <v/>
      </c>
      <c r="G8" s="51" t="inlineStr"/>
    </row>
    <row r="9" ht="28" customHeight="1">
      <c r="A9" s="17" t="n">
        <v>3</v>
      </c>
      <c r="B9" s="22" t="inlineStr">
        <is>
          <t>متابعة طلبات وتوريد الوقود</t>
        </is>
      </c>
      <c r="C9" s="74" t="n">
        <v>0.1</v>
      </c>
      <c r="D9" s="88" t="inlineStr">
        <is>
          <t>100% متابعة يومية</t>
        </is>
      </c>
      <c r="E9" s="53" t="n"/>
      <c r="F9" s="23">
        <f>C9*MIN(E9,1)</f>
        <v/>
      </c>
      <c r="G9" s="51" t="inlineStr"/>
    </row>
    <row r="10" ht="28" customHeight="1">
      <c r="A10" s="17" t="n">
        <v>4</v>
      </c>
      <c r="B10" s="22" t="inlineStr">
        <is>
          <t>إجمالي مبيعات المحطات</t>
        </is>
      </c>
      <c r="C10" s="74" t="n">
        <v>0.1</v>
      </c>
      <c r="D10" s="88" t="inlineStr">
        <is>
          <t>تحقيق هدف المبيعات</t>
        </is>
      </c>
      <c r="E10" s="53" t="n"/>
      <c r="F10" s="23">
        <f>C10*MIN(E10,1)</f>
        <v/>
      </c>
      <c r="G10" s="51" t="inlineStr"/>
    </row>
    <row r="11" ht="28" customHeight="1">
      <c r="A11" s="17" t="n">
        <v>5</v>
      </c>
      <c r="B11" s="22" t="inlineStr">
        <is>
          <t>التحصيل المالي</t>
        </is>
      </c>
      <c r="C11" s="74" t="n">
        <v>0.1</v>
      </c>
      <c r="D11" s="88" t="inlineStr">
        <is>
          <t>100% خلال الربع</t>
        </is>
      </c>
      <c r="E11" s="53" t="n"/>
      <c r="F11" s="23">
        <f>C11*MIN(E11,1)</f>
        <v/>
      </c>
      <c r="G11" s="51" t="inlineStr"/>
    </row>
    <row r="12" ht="28" customHeight="1">
      <c r="A12" s="17" t="n">
        <v>6</v>
      </c>
      <c r="B12" s="22" t="inlineStr">
        <is>
          <t>التقارير الدورية الشاملة</t>
        </is>
      </c>
      <c r="C12" s="74" t="n">
        <v>0.05</v>
      </c>
      <c r="D12" s="88" t="inlineStr">
        <is>
          <t>100% في مواعيدها</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المراقب الميداني</t>
        </is>
      </c>
    </row>
    <row r="2">
      <c r="A2" s="50" t="inlineStr">
        <is>
          <t>الكود: FM-03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4" t="n">
        <v>0.3</v>
      </c>
      <c r="D7" s="88" t="inlineStr">
        <is>
          <t>100% من الزيارات المجدولة</t>
        </is>
      </c>
      <c r="E7" s="53" t="n"/>
      <c r="F7" s="23">
        <f>C7*MIN(E7,1)</f>
        <v/>
      </c>
      <c r="G7" s="51" t="inlineStr"/>
    </row>
    <row r="8" ht="28" customHeight="1">
      <c r="A8" s="17" t="n">
        <v>2</v>
      </c>
      <c r="B8" s="22" t="inlineStr">
        <is>
          <t>متابعة تطبيق الهوية المؤسسية</t>
        </is>
      </c>
      <c r="C8" s="74" t="n">
        <v>0.2</v>
      </c>
      <c r="D8" s="88" t="inlineStr">
        <is>
          <t>100% دون ملاحظات متكررة</t>
        </is>
      </c>
      <c r="E8" s="53" t="n"/>
      <c r="F8" s="23">
        <f>C8*MIN(E8,1)</f>
        <v/>
      </c>
      <c r="G8" s="51" t="inlineStr"/>
    </row>
    <row r="9" ht="28" customHeight="1">
      <c r="A9" s="17" t="n">
        <v>3</v>
      </c>
      <c r="B9" s="22" t="inlineStr">
        <is>
          <t>تقارير الجودة الميدانية والـChecklist</t>
        </is>
      </c>
      <c r="C9" s="74" t="n">
        <v>0.2</v>
      </c>
      <c r="D9" s="88" t="inlineStr">
        <is>
          <t>100% رفع التقارير</t>
        </is>
      </c>
      <c r="E9" s="53" t="n"/>
      <c r="F9" s="23">
        <f>C9*MIN(E9,1)</f>
        <v/>
      </c>
      <c r="G9" s="51" t="inlineStr"/>
    </row>
    <row r="10" ht="28" customHeight="1">
      <c r="A10" s="17" t="n">
        <v>4</v>
      </c>
      <c r="B10" s="22" t="inlineStr">
        <is>
          <t>متابعة العلامات التجارية</t>
        </is>
      </c>
      <c r="C10" s="74" t="n">
        <v>0.1</v>
      </c>
      <c r="D10" s="88" t="inlineStr">
        <is>
          <t>100% حسب الجدول</t>
        </is>
      </c>
      <c r="E10" s="53" t="n"/>
      <c r="F10" s="23">
        <f>C10*MIN(E10,1)</f>
        <v/>
      </c>
      <c r="G10" s="51" t="inlineStr"/>
    </row>
    <row r="11" ht="28" customHeight="1">
      <c r="A11" s="17" t="n">
        <v>5</v>
      </c>
      <c r="B11" s="22" t="inlineStr">
        <is>
          <t>تطبيق معايير السلامة الميدانية</t>
        </is>
      </c>
      <c r="C11" s="74" t="n">
        <v>0.1</v>
      </c>
      <c r="D11" s="88" t="inlineStr">
        <is>
          <t>100%</t>
        </is>
      </c>
      <c r="E11" s="53" t="n"/>
      <c r="F11" s="23">
        <f>C11*MIN(E11,1)</f>
        <v/>
      </c>
      <c r="G11" s="51" t="inlineStr"/>
    </row>
    <row r="12" ht="28" customHeight="1">
      <c r="A12" s="17" t="n">
        <v>6</v>
      </c>
      <c r="B12" s="22" t="inlineStr">
        <is>
          <t>متابعة الشكاوى وإغلاقها</t>
        </is>
      </c>
      <c r="C12" s="74" t="n">
        <v>0.1</v>
      </c>
      <c r="D12" s="88" t="inlineStr">
        <is>
          <t>الاستجابة خلال 24 ساعة</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التعاقدات</t>
        </is>
      </c>
    </row>
    <row r="2">
      <c r="A2" s="50" t="inlineStr">
        <is>
          <t>الكود: FM-04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4" t="n">
        <v>0.2</v>
      </c>
      <c r="D7" s="88" t="inlineStr">
        <is>
          <t>98% توافق مع المستهدفات</t>
        </is>
      </c>
      <c r="E7" s="53" t="n"/>
      <c r="F7" s="23">
        <f>C7*MIN(E7,1)</f>
        <v/>
      </c>
      <c r="G7" s="51" t="inlineStr"/>
    </row>
    <row r="8" ht="28" customHeight="1">
      <c r="A8" s="17" t="n">
        <v>2</v>
      </c>
      <c r="B8" s="22" t="inlineStr">
        <is>
          <t>اكتمال المستندات النظامية قبل التوقيع</t>
        </is>
      </c>
      <c r="C8" s="74" t="n">
        <v>0.15</v>
      </c>
      <c r="D8" s="88" t="inlineStr">
        <is>
          <t>100%</t>
        </is>
      </c>
      <c r="E8" s="53" t="n"/>
      <c r="F8" s="23">
        <f>C8*MIN(E8,1)</f>
        <v/>
      </c>
      <c r="G8" s="51" t="inlineStr"/>
    </row>
    <row r="9" ht="28" customHeight="1">
      <c r="A9" s="17" t="n">
        <v>3</v>
      </c>
      <c r="B9" s="22" t="inlineStr">
        <is>
          <t>سرعة إنجاز إجراءات العقد</t>
        </is>
      </c>
      <c r="C9" s="74" t="n">
        <v>0.3</v>
      </c>
      <c r="D9" s="88" t="inlineStr">
        <is>
          <t>خلال يومي عمل 100%</t>
        </is>
      </c>
      <c r="E9" s="53" t="n"/>
      <c r="F9" s="23">
        <f>C9*MIN(E9,1)</f>
        <v/>
      </c>
      <c r="G9" s="51" t="inlineStr"/>
    </row>
    <row r="10" ht="28" customHeight="1">
      <c r="A10" s="17" t="n">
        <v>4</v>
      </c>
      <c r="B10" s="22" t="inlineStr">
        <is>
          <t>أرشفة العقود الإلكترونية</t>
        </is>
      </c>
      <c r="C10" s="74" t="n">
        <v>0.1</v>
      </c>
      <c r="D10" s="88" t="inlineStr">
        <is>
          <t>خلال 48 ساعة 100%</t>
        </is>
      </c>
      <c r="E10" s="53" t="n"/>
      <c r="F10" s="23">
        <f>C10*MIN(E10,1)</f>
        <v/>
      </c>
      <c r="G10" s="51" t="inlineStr"/>
    </row>
    <row r="11" ht="28" customHeight="1">
      <c r="A11" s="17" t="n">
        <v>5</v>
      </c>
      <c r="B11" s="22" t="inlineStr">
        <is>
          <t>متابعة تنفيذ بنود العقد</t>
        </is>
      </c>
      <c r="C11" s="74" t="n">
        <v>0.1</v>
      </c>
      <c r="D11" s="88" t="inlineStr">
        <is>
          <t>100%</t>
        </is>
      </c>
      <c r="E11" s="53" t="n"/>
      <c r="F11" s="23">
        <f>C11*MIN(E11,1)</f>
        <v/>
      </c>
      <c r="G11" s="51" t="inlineStr"/>
    </row>
    <row r="12" ht="28" customHeight="1">
      <c r="A12" s="17" t="n">
        <v>6</v>
      </c>
      <c r="B12" s="22" t="inlineStr">
        <is>
          <t>مدى رضا العملاء</t>
        </is>
      </c>
      <c r="C12" s="74" t="n">
        <v>0.1</v>
      </c>
      <c r="D12" s="88" t="inlineStr">
        <is>
          <t>95% رضا</t>
        </is>
      </c>
      <c r="E12" s="53" t="n"/>
      <c r="F12" s="23">
        <f>C12*MIN(E12,1)</f>
        <v/>
      </c>
      <c r="G12" s="51" t="inlineStr"/>
    </row>
    <row r="13" ht="28" customHeight="1">
      <c r="A13" s="17" t="n">
        <v>7</v>
      </c>
      <c r="B13" s="22" t="inlineStr">
        <is>
          <t>تحديث قاعدة بيانات العملاء</t>
        </is>
      </c>
      <c r="C13" s="74" t="n">
        <v>0.05</v>
      </c>
      <c r="D13" s="88" t="inlineStr">
        <is>
          <t>100% دوري</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الموظف الإداري</t>
        </is>
      </c>
    </row>
    <row r="2">
      <c r="A2" s="50" t="inlineStr">
        <is>
          <t>الكود: FM-05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4" t="n">
        <v>0.3</v>
      </c>
      <c r="D7" s="88" t="inlineStr">
        <is>
          <t>100% في الوقت المحدد</t>
        </is>
      </c>
      <c r="E7" s="53" t="n"/>
      <c r="F7" s="23">
        <f>C7*MIN(E7,1)</f>
        <v/>
      </c>
      <c r="G7" s="51" t="inlineStr"/>
    </row>
    <row r="8" ht="28" customHeight="1">
      <c r="A8" s="17" t="n">
        <v>2</v>
      </c>
      <c r="B8" s="22" t="inlineStr">
        <is>
          <t>متابعة الشكاوى وحالات العملاء</t>
        </is>
      </c>
      <c r="C8" s="74" t="n">
        <v>0.3</v>
      </c>
      <c r="D8" s="88" t="inlineStr">
        <is>
          <t>100% حتى الإغلاق</t>
        </is>
      </c>
      <c r="E8" s="53" t="n"/>
      <c r="F8" s="23">
        <f>C8*MIN(E8,1)</f>
        <v/>
      </c>
      <c r="G8" s="51" t="inlineStr"/>
    </row>
    <row r="9" ht="28" customHeight="1">
      <c r="A9" s="17" t="n">
        <v>3</v>
      </c>
      <c r="B9" s="22" t="inlineStr">
        <is>
          <t>متابعة عمولات تأجير الوحدات</t>
        </is>
      </c>
      <c r="C9" s="74" t="n">
        <v>0.2</v>
      </c>
      <c r="D9" s="88" t="inlineStr">
        <is>
          <t>100%</t>
        </is>
      </c>
      <c r="E9" s="53" t="n"/>
      <c r="F9" s="23">
        <f>C9*MIN(E9,1)</f>
        <v/>
      </c>
      <c r="G9" s="51" t="inlineStr"/>
    </row>
    <row r="10" ht="28" customHeight="1">
      <c r="A10" s="17" t="n">
        <v>4</v>
      </c>
      <c r="B10" s="22" t="inlineStr">
        <is>
          <t>تحديث بيانات العملاء والمحطات</t>
        </is>
      </c>
      <c r="C10" s="74" t="n">
        <v>0.1</v>
      </c>
      <c r="D10" s="88" t="inlineStr">
        <is>
          <t>100% دقة</t>
        </is>
      </c>
      <c r="E10" s="53" t="n"/>
      <c r="F10" s="23">
        <f>C10*MIN(E10,1)</f>
        <v/>
      </c>
      <c r="G10" s="51" t="inlineStr"/>
    </row>
    <row r="11" ht="28" customHeight="1">
      <c r="A11" s="17" t="n">
        <v>5</v>
      </c>
      <c r="B11" s="22" t="inlineStr">
        <is>
          <t>إعداد المراسلات الرسمية</t>
        </is>
      </c>
      <c r="C11" s="74" t="n">
        <v>0.1</v>
      </c>
      <c r="D11" s="88" t="inlineStr">
        <is>
          <t>100% في الوقت المحدد</t>
        </is>
      </c>
      <c r="E11" s="53" t="n"/>
      <c r="F11" s="23">
        <f>C11*MIN(E11,1)</f>
        <v/>
      </c>
      <c r="G11" s="51" t="inlineStr"/>
    </row>
    <row r="12">
      <c r="A12" s="80" t="inlineStr"/>
      <c r="B12" s="81" t="inlineStr">
        <is>
          <t>المجموع الكلي</t>
        </is>
      </c>
      <c r="C12" s="89">
        <f>SUM(C7:C11)</f>
        <v/>
      </c>
      <c r="D12" s="80" t="inlineStr"/>
      <c r="E12" s="81" t="inlineStr">
        <is>
          <t>الدرجة:</t>
        </is>
      </c>
      <c r="F12" s="90">
        <f>SUM(F7:F11)</f>
        <v/>
      </c>
      <c r="G12" s="80" t="inlineStr"/>
    </row>
    <row r="13">
      <c r="B13" s="5" t="inlineStr">
        <is>
          <t>التقدير</t>
        </is>
      </c>
      <c r="C13" s="26">
        <f>IF(F12&gt;=0.9,"ممتاز",IF(F12&gt;=0.8,"جيد جداً",IF(F12&gt;=0.7,"جيد",IF(F12&gt;=0.6,"مقبول","ضعيف"))))</f>
        <v/>
      </c>
      <c r="D13" s="43" t="n"/>
    </row>
    <row r="15">
      <c r="B15" s="5" t="inlineStr">
        <is>
          <t>سلّم التقييم</t>
        </is>
      </c>
      <c r="C15" s="42" t="n"/>
      <c r="D15" s="43"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0" t="inlineStr">
        <is>
          <t>محطة</t>
        </is>
      </c>
      <c r="E4" s="60" t="inlineStr">
        <is>
          <t>↑</t>
        </is>
      </c>
      <c r="F4" s="60" t="inlineStr">
        <is>
          <t>LAST</t>
        </is>
      </c>
      <c r="G4" s="61" t="n">
        <v>85</v>
      </c>
      <c r="H4" s="62" t="inlineStr">
        <is>
          <t>85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0.0625</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الربحية</t>
        </is>
      </c>
      <c r="C5" s="22" t="inlineStr">
        <is>
          <t>نمو مبيعات بنزين 91 مقارنة بالعام السابق</t>
        </is>
      </c>
      <c r="D5" s="60" t="inlineStr">
        <is>
          <t>%</t>
        </is>
      </c>
      <c r="E5" s="60" t="inlineStr">
        <is>
          <t>↑</t>
        </is>
      </c>
      <c r="F5" s="60" t="inlineStr">
        <is>
          <t>AVG</t>
        </is>
      </c>
      <c r="G5" s="60" t="inlineStr"/>
      <c r="H5" s="62" t="inlineStr">
        <is>
          <t>يُحدد لاحقاً</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53" t="n"/>
      <c r="AA5" s="21" t="inlineStr">
        <is>
          <t>🔵 قائد</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الربحية</t>
        </is>
      </c>
      <c r="C6" s="22" t="inlineStr">
        <is>
          <t>نمو مبيعات بنزين 95 مقارنة بالعام السابق</t>
        </is>
      </c>
      <c r="D6" s="60" t="inlineStr">
        <is>
          <t>%</t>
        </is>
      </c>
      <c r="E6" s="60" t="inlineStr">
        <is>
          <t>↑</t>
        </is>
      </c>
      <c r="F6" s="60" t="inlineStr">
        <is>
          <t>AVG</t>
        </is>
      </c>
      <c r="G6" s="60" t="inlineStr"/>
      <c r="H6" s="62" t="inlineStr">
        <is>
          <t>يُحدد لاحقاً</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3" t="n"/>
      <c r="AA6" s="21" t="inlineStr">
        <is>
          <t>🔵 قائد</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الربحية</t>
        </is>
      </c>
      <c r="C7" s="22" t="inlineStr">
        <is>
          <t>نمو مبيعات بنزين 98 مقارنة بالعام السابق</t>
        </is>
      </c>
      <c r="D7" s="60" t="inlineStr">
        <is>
          <t>%</t>
        </is>
      </c>
      <c r="E7" s="60" t="inlineStr">
        <is>
          <t>↑</t>
        </is>
      </c>
      <c r="F7" s="60" t="inlineStr">
        <is>
          <t>AVG</t>
        </is>
      </c>
      <c r="G7" s="60" t="inlineStr"/>
      <c r="H7" s="62" t="inlineStr">
        <is>
          <t>يُحدد لاحقاً</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الربحية</t>
        </is>
      </c>
      <c r="C8" s="22" t="inlineStr">
        <is>
          <t>نمو مبيعات الديزل مقارنة بالعام السابق</t>
        </is>
      </c>
      <c r="D8" s="60" t="inlineStr">
        <is>
          <t>%</t>
        </is>
      </c>
      <c r="E8" s="60" t="inlineStr">
        <is>
          <t>↑</t>
        </is>
      </c>
      <c r="F8" s="60" t="inlineStr">
        <is>
          <t>AVG</t>
        </is>
      </c>
      <c r="G8" s="60" t="inlineStr"/>
      <c r="H8" s="62" t="inlineStr">
        <is>
          <t>يُحدد لاحقاً</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53" t="n"/>
      <c r="AA8" s="21" t="inlineStr">
        <is>
          <t>🔵 قائد</t>
        </is>
      </c>
      <c r="AB8" s="53" t="n">
        <v>0.0625</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حماية الإيراد</t>
        </is>
      </c>
      <c r="C9" s="22" t="inlineStr">
        <is>
          <t>نسبة جاهزية المحطة الشاملة (Uptime)</t>
        </is>
      </c>
      <c r="D9" s="60" t="inlineStr">
        <is>
          <t>%</t>
        </is>
      </c>
      <c r="E9" s="60" t="inlineStr">
        <is>
          <t>↑</t>
        </is>
      </c>
      <c r="F9" s="60" t="inlineStr">
        <is>
          <t>AVG</t>
        </is>
      </c>
      <c r="G9" s="74" t="n">
        <v>0.99</v>
      </c>
      <c r="H9" s="62" t="inlineStr">
        <is>
          <t>99%+</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جودة التشغيل</t>
        </is>
      </c>
      <c r="Z9" s="53" t="n"/>
      <c r="AA9" s="21" t="inlineStr">
        <is>
          <t>🟣 لاحق</t>
        </is>
      </c>
      <c r="AB9" s="53" t="n">
        <v>0.0625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حماية الإيراد</t>
        </is>
      </c>
      <c r="C10" s="22" t="inlineStr">
        <is>
          <t>نسبة المضخات العاملة</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جودة التشغيل</t>
        </is>
      </c>
      <c r="Z10" s="53" t="n"/>
      <c r="AA10" s="21" t="inlineStr">
        <is>
          <t>🟣 لاحق</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ضغط التكلفة</t>
        </is>
      </c>
      <c r="C11" s="22" t="inlineStr">
        <is>
          <t>تكلفة التشغيل لكل لتر مباع</t>
        </is>
      </c>
      <c r="D11" s="60" t="inlineStr">
        <is>
          <t>هللة/لتر</t>
        </is>
      </c>
      <c r="E11" s="60" t="inlineStr">
        <is>
          <t>↓</t>
        </is>
      </c>
      <c r="F11" s="60" t="inlineStr">
        <is>
          <t>AVG</t>
        </is>
      </c>
      <c r="G11" s="60" t="inlineStr"/>
      <c r="H11" s="62" t="inlineStr">
        <is>
          <t>خفض ≥5% سنوياً</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78" t="n"/>
      <c r="AA11" s="21" t="inlineStr">
        <is>
          <t>🟣 لاحق</t>
        </is>
      </c>
      <c r="AB11" s="53" t="n">
        <v>0.0625</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حماية الأصول</t>
        </is>
      </c>
      <c r="C12" s="22" t="inlineStr">
        <is>
          <t>نسبة الصيانة الوقائية المنفذة في موعدها</t>
        </is>
      </c>
      <c r="D12" s="60" t="inlineStr">
        <is>
          <t>%</t>
        </is>
      </c>
      <c r="E12" s="60" t="inlineStr">
        <is>
          <t>↑</t>
        </is>
      </c>
      <c r="F12" s="60" t="inlineStr">
        <is>
          <t>AVG</t>
        </is>
      </c>
      <c r="G12" s="74" t="n">
        <v>0.95</v>
      </c>
      <c r="H12" s="62" t="inlineStr">
        <is>
          <t>≥ 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0" t="inlineStr">
        <is>
          <t>%</t>
        </is>
      </c>
      <c r="E13" s="60" t="inlineStr">
        <is>
          <t>↑</t>
        </is>
      </c>
      <c r="F13" s="60" t="inlineStr">
        <is>
          <t>AVG</t>
        </is>
      </c>
      <c r="G13" s="60" t="inlineStr"/>
      <c r="H13" s="62" t="inlineStr">
        <is>
          <t>−30%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تعزيز تجربة العملاء</t>
        </is>
      </c>
      <c r="Z13" s="53" t="n"/>
      <c r="AA13" s="21" t="inlineStr">
        <is>
          <t>🟣 لاحق</t>
        </is>
      </c>
      <c r="AB13" s="53" t="n">
        <v>0.0625</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تجربة العميل</t>
        </is>
      </c>
      <c r="C14" s="22" t="inlineStr">
        <is>
          <t>تقييم Google Maps للمحطات</t>
        </is>
      </c>
      <c r="D14" s="60" t="inlineStr">
        <is>
          <t>نجمة/5</t>
        </is>
      </c>
      <c r="E14" s="60" t="inlineStr">
        <is>
          <t>↑</t>
        </is>
      </c>
      <c r="F14" s="60" t="inlineStr">
        <is>
          <t>AVG</t>
        </is>
      </c>
      <c r="G14" s="75" t="n">
        <v>4.5</v>
      </c>
      <c r="H14" s="62" t="inlineStr">
        <is>
          <t>≥ 4.5</t>
        </is>
      </c>
      <c r="I14" s="76" t="n"/>
      <c r="J14" s="76" t="n"/>
      <c r="K14" s="76" t="n"/>
      <c r="L14" s="76" t="n"/>
      <c r="M14" s="76" t="n"/>
      <c r="N14" s="76" t="n"/>
      <c r="O14" s="76" t="n"/>
      <c r="P14" s="76" t="n"/>
      <c r="Q14" s="76" t="n"/>
      <c r="R14" s="76" t="n"/>
      <c r="S14" s="76" t="n"/>
      <c r="T14" s="76" t="n"/>
      <c r="U14" s="77">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تعزيز تجربة العملاء</t>
        </is>
      </c>
      <c r="Z14" s="78" t="n"/>
      <c r="AA14" s="21" t="inlineStr">
        <is>
          <t>🟣 لاحق</t>
        </is>
      </c>
      <c r="AB14" s="53" t="n">
        <v>0.0625</v>
      </c>
      <c r="AC14" s="23">
        <f>IF($V14="","",$AB14*MIN($V14,1))</f>
        <v/>
      </c>
      <c r="AD14" s="75">
        <f>IF($G14="","",IF($F14="SUM",IF('لوحة الإدارة التنفيذية'!$P$2="","",$G14/12*'لوحة الإدارة التنفيذية'!$P$2),$G14))</f>
        <v/>
      </c>
      <c r="AE14" s="79">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تجربة العميل</t>
        </is>
      </c>
      <c r="C15" s="22" t="inlineStr">
        <is>
          <t>سرعة تعبئة الوقود</t>
        </is>
      </c>
      <c r="D15" s="60" t="inlineStr">
        <is>
          <t>دقيقة</t>
        </is>
      </c>
      <c r="E15" s="60" t="inlineStr">
        <is>
          <t>↓</t>
        </is>
      </c>
      <c r="F15" s="60" t="inlineStr">
        <is>
          <t>AVG</t>
        </is>
      </c>
      <c r="G15" s="75" t="n">
        <v>3</v>
      </c>
      <c r="H15" s="62" t="inlineStr">
        <is>
          <t>≤ 3 دقائق</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0.0625</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تجربة العميل</t>
        </is>
      </c>
      <c r="C16" s="22" t="inlineStr">
        <is>
          <t>دقة التعبئة بدون أخطاء</t>
        </is>
      </c>
      <c r="D16" s="60" t="inlineStr">
        <is>
          <t>%</t>
        </is>
      </c>
      <c r="E16" s="60" t="inlineStr">
        <is>
          <t>↑</t>
        </is>
      </c>
      <c r="F16" s="60" t="inlineStr">
        <is>
          <t>AVG</t>
        </is>
      </c>
      <c r="G16" s="74" t="n">
        <v>0.99</v>
      </c>
      <c r="H16" s="62" t="inlineStr">
        <is>
          <t>≥ 99%</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0.0625</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تجربة العميل</t>
        </is>
      </c>
      <c r="C17" s="22" t="inlineStr">
        <is>
          <t>تطبيق المعيار الشامل في المحطات</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التحول التقني</t>
        </is>
      </c>
      <c r="Z17" s="53" t="n"/>
      <c r="AA17" s="21" t="inlineStr">
        <is>
          <t>🟣 لاحق</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السلامة</t>
        </is>
      </c>
      <c r="C18" s="22" t="inlineStr">
        <is>
          <t>الالتزام بمعايير السلامة داخل المحطة</t>
        </is>
      </c>
      <c r="D18" s="60" t="inlineStr">
        <is>
          <t>%</t>
        </is>
      </c>
      <c r="E18" s="60" t="inlineStr">
        <is>
          <t>↑</t>
        </is>
      </c>
      <c r="F18" s="60" t="inlineStr">
        <is>
          <t>AVG</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البيئة</t>
        </is>
      </c>
      <c r="C19" s="22" t="inlineStr">
        <is>
          <t>التشجير داخل المحطة (معيار الوزارة)</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لاحق</t>
        </is>
      </c>
      <c r="AB4" s="53" t="n">
        <v>0.07140000000000001</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الرقابة المالية</t>
        </is>
      </c>
      <c r="C5" s="22" t="inlineStr">
        <is>
          <t>تسليم حصيلة المبيعات في الموعد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قائد</t>
        </is>
      </c>
      <c r="AB5" s="53" t="n">
        <v>0.07140000000000001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الرقابة المالية</t>
        </is>
      </c>
      <c r="C6" s="22" t="inlineStr">
        <is>
          <t>التطابق بين POS والنقدية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0.07140000000000001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الرقابة المالية</t>
        </is>
      </c>
      <c r="C7" s="22" t="inlineStr">
        <is>
          <t>حالات عدم تطابق غير مبررة</t>
        </is>
      </c>
      <c r="D7" s="60" t="inlineStr">
        <is>
          <t>حالة</t>
        </is>
      </c>
      <c r="E7" s="60" t="inlineStr">
        <is>
          <t>↓</t>
        </is>
      </c>
      <c r="F7" s="60" t="inlineStr">
        <is>
          <t>SUM</t>
        </is>
      </c>
      <c r="G7" s="61" t="n">
        <v>0</v>
      </c>
      <c r="H7" s="62" t="inlineStr">
        <is>
          <t>0 حالة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66" t="n"/>
      <c r="AA7" s="21" t="inlineStr">
        <is>
          <t>🟣 لاحق</t>
        </is>
      </c>
      <c r="AB7" s="53" t="n">
        <v>0.07140000000000001</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توريد الوقود</t>
        </is>
      </c>
      <c r="C8" s="22" t="inlineStr">
        <is>
          <t>دقة قياس مستوى الخزان يومياً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0.07140000000000001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توريد الوقود</t>
        </is>
      </c>
      <c r="C9" s="22" t="inlineStr">
        <is>
          <t>طلب توريد الوقود قبل نفاده</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0.07140000000000001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توريد الوقود</t>
        </is>
      </c>
      <c r="C10" s="22" t="inlineStr">
        <is>
          <t>حالات انقطاع الوقود</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0.07140000000000001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توريد الوقود</t>
        </is>
      </c>
      <c r="C11" s="22" t="inlineStr">
        <is>
          <t>توثيق تفريغ الوقود (OP-F-36)</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0.07140000000000001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إدارة الفريق</t>
        </is>
      </c>
      <c r="C12" s="22" t="inlineStr">
        <is>
          <t>الالتزام بزي الفريق ومظهره</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0.07140000000000001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إدارة الفريق</t>
        </is>
      </c>
      <c r="C13" s="22" t="inlineStr">
        <is>
          <t>توزيع الزي بعهدة موقّعة</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0.07140000000000001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إدارة الفريق</t>
        </is>
      </c>
      <c r="C14" s="22" t="inlineStr">
        <is>
          <t>تجديد الوثائق والتراخيص مبكراً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0.07140000000000001</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إدارة الفريق</t>
        </is>
      </c>
      <c r="C15" s="22" t="inlineStr">
        <is>
          <t>الاستجابة لبلاغات الطوارئ والأعطال</t>
        </is>
      </c>
      <c r="D15" s="60" t="inlineStr">
        <is>
          <t>دقيقة</t>
        </is>
      </c>
      <c r="E15" s="60" t="inlineStr">
        <is>
          <t>↓</t>
        </is>
      </c>
      <c r="F15" s="60" t="inlineStr">
        <is>
          <t>AVG</t>
        </is>
      </c>
      <c r="G15" s="75" t="n">
        <v>15</v>
      </c>
      <c r="H15" s="62" t="inlineStr">
        <is>
          <t>≤ 15 د</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78" t="n"/>
      <c r="AA15" s="21" t="inlineStr">
        <is>
          <t>🟣 لاحق</t>
        </is>
      </c>
      <c r="AB15" s="53" t="n">
        <v>0.07140000000000001</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جودة الخدمة</t>
        </is>
      </c>
      <c r="C16" s="22" t="inlineStr">
        <is>
          <t>نظافة المرافق يومياً</t>
        </is>
      </c>
      <c r="D16" s="60" t="inlineStr">
        <is>
          <t>%</t>
        </is>
      </c>
      <c r="E16" s="60" t="inlineStr">
        <is>
          <t>↑</t>
        </is>
      </c>
      <c r="F16" s="60" t="inlineStr">
        <is>
          <t>AVG</t>
        </is>
      </c>
      <c r="G16" s="74" t="n">
        <v>1</v>
      </c>
      <c r="H16" s="62" t="inlineStr">
        <is>
          <t>100%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c r="Y16" s="22" t="inlineStr"/>
      <c r="Z16" s="53" t="n"/>
      <c r="AA16" s="21" t="inlineStr">
        <is>
          <t>🟣 لاحق</t>
        </is>
      </c>
      <c r="AB16" s="53" t="n">
        <v>0.07140000000000001</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جودة الخدمة</t>
        </is>
      </c>
      <c r="C17" s="22" t="inlineStr">
        <is>
          <t>معالجة شكاوى العملاء خلال 24 ساعة</t>
        </is>
      </c>
      <c r="D17" s="60" t="inlineStr">
        <is>
          <t>%</t>
        </is>
      </c>
      <c r="E17" s="60" t="inlineStr">
        <is>
          <t>↑</t>
        </is>
      </c>
      <c r="F17" s="60" t="inlineStr">
        <is>
          <t>AVG</t>
        </is>
      </c>
      <c r="G17" s="74" t="n">
        <v>0.9</v>
      </c>
      <c r="H17" s="62" t="inlineStr">
        <is>
          <t>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c r="Y17" s="22" t="inlineStr"/>
      <c r="Z17" s="53" t="n"/>
      <c r="AA17" s="21" t="inlineStr">
        <is>
          <t>🟣 لاحق</t>
        </is>
      </c>
      <c r="AB17" s="53" t="n">
        <v>0.07140000000000001</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العملاء</t>
        </is>
      </c>
    </row>
    <row r="18">
      <c r="A18" s="80" t="inlineStr"/>
      <c r="B18" s="81" t="inlineStr">
        <is>
          <t>الإجمالي الموزون للإدارة</t>
        </is>
      </c>
      <c r="AB18" s="82">
        <f>SUM(AB4:AB17)</f>
        <v/>
      </c>
      <c r="AC18" s="83">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قائد</t>
        </is>
      </c>
      <c r="AB4" s="53" t="n">
        <v>0.0833</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الزيارات الميدانية</t>
        </is>
      </c>
      <c r="C5" s="22" t="inlineStr">
        <is>
          <t>رفع تقرير الزيارة خلال 24 ساعة</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0.0833</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الزيارات الميدانية</t>
        </is>
      </c>
      <c r="C6" s="22" t="inlineStr">
        <is>
          <t>التحقق من جرد الوردية أثناء الزيارة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0.0833</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الزيارات الميدانية</t>
        </is>
      </c>
      <c r="C7" s="22" t="inlineStr">
        <is>
          <t>إغلاق ملاحظات الزيارة خلال أسبوع</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0.0833</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الرقابة والتوريد</t>
        </is>
      </c>
      <c r="C8" s="22" t="inlineStr">
        <is>
          <t>التحقق من تطابق POS والنقدية</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0.0833</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الرقابة والتوريد</t>
        </is>
      </c>
      <c r="C9" s="22" t="inlineStr">
        <is>
          <t>متابعة طلبات التوريد وتسليم الوقود</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0.0833</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الرقابة والتوريد</t>
        </is>
      </c>
      <c r="C10" s="22" t="inlineStr">
        <is>
          <t>مراجعة نسبة جاهزية المضخات</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53" t="n"/>
      <c r="AA10" s="21" t="inlineStr">
        <is>
          <t>🟣 لاحق</t>
        </is>
      </c>
      <c r="AB10" s="53" t="n">
        <v>0.0833</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متابعة الموظفين</t>
        </is>
      </c>
      <c r="C11" s="22" t="inlineStr">
        <is>
          <t>تقييم أداء الموظفين بنموذج OP-F-51</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قائد</t>
        </is>
      </c>
      <c r="AB11" s="53" t="n">
        <v>0.0833</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متابعة الموظفين</t>
        </is>
      </c>
      <c r="C12" s="22" t="inlineStr">
        <is>
          <t>متابعة الالتزام بالزي والمظهر</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0.0833</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متابعة الموظفين</t>
        </is>
      </c>
      <c r="C13" s="22" t="inlineStr">
        <is>
          <t>حالات مخالفة السلامة دون إجراء</t>
        </is>
      </c>
      <c r="D13" s="60" t="inlineStr">
        <is>
          <t>حالة</t>
        </is>
      </c>
      <c r="E13" s="60" t="inlineStr">
        <is>
          <t>↓</t>
        </is>
      </c>
      <c r="F13" s="60" t="inlineStr">
        <is>
          <t>SUM</t>
        </is>
      </c>
      <c r="G13" s="61" t="n">
        <v>0</v>
      </c>
      <c r="H13" s="62" t="inlineStr">
        <is>
          <t>0 حالة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66" t="n"/>
      <c r="AA13" s="21" t="inlineStr">
        <is>
          <t>🟣 لاحق</t>
        </is>
      </c>
      <c r="AB13" s="53" t="n">
        <v>0.0833</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التقارير</t>
        </is>
      </c>
      <c r="C14" s="22" t="inlineStr">
        <is>
          <t>رفع التقارير الشهرية في موعدها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0.0833</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التقارير</t>
        </is>
      </c>
      <c r="C15" s="22" t="inlineStr">
        <is>
          <t>متابعة تجديد تراخيص المحطات</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53" t="n"/>
      <c r="AA15" s="21" t="inlineStr">
        <is>
          <t>🟣 لاحق</t>
        </is>
      </c>
      <c r="AB15" s="53" t="n">
        <v>0.0833</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c r="A16" s="80" t="inlineStr"/>
      <c r="B16" s="81" t="inlineStr">
        <is>
          <t>الإجمالي الموزون للإدارة</t>
        </is>
      </c>
      <c r="AB16" s="82">
        <f>SUM(AB4:AB15)</f>
        <v/>
      </c>
      <c r="AC16" s="83">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0" t="inlineStr">
        <is>
          <t>دقيقة</t>
        </is>
      </c>
      <c r="E4" s="60" t="inlineStr">
        <is>
          <t>↓</t>
        </is>
      </c>
      <c r="F4" s="60" t="inlineStr">
        <is>
          <t>AVG</t>
        </is>
      </c>
      <c r="G4" s="75" t="n">
        <v>5</v>
      </c>
      <c r="H4" s="62" t="inlineStr">
        <is>
          <t>≤ 5 دقائق</t>
        </is>
      </c>
      <c r="I4" s="76" t="n"/>
      <c r="J4" s="76" t="n"/>
      <c r="K4" s="76" t="n"/>
      <c r="L4" s="76" t="n"/>
      <c r="M4" s="76" t="n"/>
      <c r="N4" s="76" t="n"/>
      <c r="O4" s="76" t="n"/>
      <c r="P4" s="76" t="n"/>
      <c r="Q4" s="76" t="n"/>
      <c r="R4" s="76" t="n"/>
      <c r="S4" s="76" t="n"/>
      <c r="T4" s="76" t="n"/>
      <c r="U4" s="77">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78" t="n"/>
      <c r="AA4" s="21" t="inlineStr">
        <is>
          <t>🟣 لاحق</t>
        </is>
      </c>
      <c r="AB4" s="53" t="n">
        <v>0.1</v>
      </c>
      <c r="AC4" s="23">
        <f>IF($V4="","",$AB4*MIN($V4,1))</f>
        <v/>
      </c>
      <c r="AD4" s="75">
        <f>IF($G4="","",IF($F4="SUM",IF('لوحة الإدارة التنفيذية'!$P$2="","",$G4/12*'لوحة الإدارة التنفيذية'!$P$2),$G4))</f>
        <v/>
      </c>
      <c r="AE4" s="79">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الخدمة والسرعة</t>
        </is>
      </c>
      <c r="C5" s="22" t="inlineStr">
        <is>
          <t>الترحيب بالعميل عند الوصول</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الخدمة والسرعة</t>
        </is>
      </c>
      <c r="C6" s="22" t="inlineStr">
        <is>
          <t>إعادة تركيب غطاء الخزان</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الخدمة والسرعة</t>
        </is>
      </c>
      <c r="C7" s="22" t="inlineStr">
        <is>
          <t>عرض إيصال الدفع على العميل</t>
        </is>
      </c>
      <c r="D7" s="60" t="inlineStr">
        <is>
          <t>%</t>
        </is>
      </c>
      <c r="E7" s="60" t="inlineStr">
        <is>
          <t>↑</t>
        </is>
      </c>
      <c r="F7" s="60" t="inlineStr">
        <is>
          <t>AVG</t>
        </is>
      </c>
      <c r="G7" s="74" t="n">
        <v>1</v>
      </c>
      <c r="H7" s="62" t="inlineStr">
        <is>
          <t>100%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العملاء</t>
        </is>
      </c>
    </row>
    <row r="8" ht="26" customHeight="1">
      <c r="A8" s="17" t="n">
        <v>5</v>
      </c>
      <c r="B8" s="22" t="inlineStr">
        <is>
          <t>المظهر والالتزام</t>
        </is>
      </c>
      <c r="C8" s="22" t="inlineStr">
        <is>
          <t>الالتزام بالزي الرسمي كاملاً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المظهر والالتزام</t>
        </is>
      </c>
      <c r="C9" s="22" t="inlineStr">
        <is>
          <t>النظافة الشخصية والمظهر العام</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المظهر والالتزام</t>
        </is>
      </c>
      <c r="C10" s="22" t="inlineStr">
        <is>
          <t>حالات استخدام الجوال أثناء العمل</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الدقة والسلامة</t>
        </is>
      </c>
      <c r="C11" s="22" t="inlineStr">
        <is>
          <t>دقة نوع الوقود المُضخ</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الدقة والسلامة</t>
        </is>
      </c>
      <c r="C12" s="22" t="inlineStr">
        <is>
          <t>إغلاق المضخة عند اكتمال الكمية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الدقة والسلامة</t>
        </is>
      </c>
      <c r="C13" s="22" t="inlineStr">
        <is>
          <t>الالتزام بإجراءات السلامة عند الضخ</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0" t="inlineStr">
        <is>
          <t>عقد</t>
        </is>
      </c>
      <c r="E4" s="60" t="inlineStr">
        <is>
          <t>↑</t>
        </is>
      </c>
      <c r="F4" s="60" t="inlineStr">
        <is>
          <t>SUM</t>
        </is>
      </c>
      <c r="G4" s="61" t="n">
        <v>190</v>
      </c>
      <c r="H4" s="62" t="inlineStr">
        <is>
          <t>190 عقد</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نمو المحفظة</t>
        </is>
      </c>
      <c r="C5" s="22" t="inlineStr">
        <is>
          <t>عقود الاستثمار العادي الجديدة</t>
        </is>
      </c>
      <c r="D5" s="60" t="inlineStr">
        <is>
          <t>عقد</t>
        </is>
      </c>
      <c r="E5" s="60" t="inlineStr">
        <is>
          <t>↑</t>
        </is>
      </c>
      <c r="F5" s="60" t="inlineStr">
        <is>
          <t>SUM</t>
        </is>
      </c>
      <c r="G5" s="61" t="n">
        <v>90</v>
      </c>
      <c r="H5" s="62" t="inlineStr">
        <is>
          <t>90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التوسع في المواقع</t>
        </is>
      </c>
      <c r="Z5" s="66" t="n"/>
      <c r="AA5" s="21" t="inlineStr">
        <is>
          <t>🟣 لاحق</t>
        </is>
      </c>
      <c r="AB5" s="53" t="n">
        <v>0.0417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نمو المحفظة</t>
        </is>
      </c>
      <c r="C6" s="22" t="inlineStr">
        <is>
          <t>عقود الاستحواذ الجديدة</t>
        </is>
      </c>
      <c r="D6" s="60" t="inlineStr">
        <is>
          <t>عقد</t>
        </is>
      </c>
      <c r="E6" s="60" t="inlineStr">
        <is>
          <t>↑</t>
        </is>
      </c>
      <c r="F6" s="60" t="inlineStr">
        <is>
          <t>SUM</t>
        </is>
      </c>
      <c r="G6" s="61" t="n">
        <v>100</v>
      </c>
      <c r="H6" s="62" t="inlineStr">
        <is>
          <t>100 عقد</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التوسع في المواقع</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نمو المحفظة</t>
        </is>
      </c>
      <c r="C7" s="22" t="inlineStr">
        <is>
          <t>المحطات المستحوَذ عليها المشغّلة (تراكمي)</t>
        </is>
      </c>
      <c r="D7" s="60" t="inlineStr">
        <is>
          <t>محطة</t>
        </is>
      </c>
      <c r="E7" s="60" t="inlineStr">
        <is>
          <t>↑</t>
        </is>
      </c>
      <c r="F7" s="60" t="inlineStr">
        <is>
          <t>LAST</t>
        </is>
      </c>
      <c r="G7" s="61" t="n">
        <v>120</v>
      </c>
      <c r="H7" s="62" t="inlineStr">
        <is>
          <t>120 محطة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التوسع في المواقع</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نمو المحفظة</t>
        </is>
      </c>
      <c r="C8" s="22" t="inlineStr">
        <is>
          <t>عقود تأجير الأرض الجديدة</t>
        </is>
      </c>
      <c r="D8" s="60" t="inlineStr">
        <is>
          <t>عقد</t>
        </is>
      </c>
      <c r="E8" s="60" t="inlineStr">
        <is>
          <t>↑</t>
        </is>
      </c>
      <c r="F8" s="60" t="inlineStr">
        <is>
          <t>SUM</t>
        </is>
      </c>
      <c r="G8" s="61" t="n">
        <v>11</v>
      </c>
      <c r="H8" s="62" t="inlineStr">
        <is>
          <t>11 عقد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التوسع في المواقع</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نمو المحفظة</t>
        </is>
      </c>
      <c r="C9" s="22" t="inlineStr">
        <is>
          <t>عقود إيجار المحطة الجديدة</t>
        </is>
      </c>
      <c r="D9" s="60" t="inlineStr">
        <is>
          <t>عقد</t>
        </is>
      </c>
      <c r="E9" s="60" t="inlineStr">
        <is>
          <t>↑</t>
        </is>
      </c>
      <c r="F9" s="60" t="inlineStr">
        <is>
          <t>SUM</t>
        </is>
      </c>
      <c r="G9" s="61" t="n">
        <v>12</v>
      </c>
      <c r="H9" s="62" t="inlineStr">
        <is>
          <t>12 عقد</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التوسع في المواقع</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نمو المحفظة</t>
        </is>
      </c>
      <c r="C10" s="22" t="inlineStr">
        <is>
          <t>عقود تشغيل المحطة الجديدة</t>
        </is>
      </c>
      <c r="D10" s="60" t="inlineStr">
        <is>
          <t>عقد</t>
        </is>
      </c>
      <c r="E10" s="60" t="inlineStr">
        <is>
          <t>↑</t>
        </is>
      </c>
      <c r="F10" s="60" t="inlineStr">
        <is>
          <t>SUM</t>
        </is>
      </c>
      <c r="G10" s="61" t="n">
        <v>68</v>
      </c>
      <c r="H10" s="62" t="inlineStr">
        <is>
          <t>68 عقد</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التوسع في المواقع</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0" t="inlineStr">
        <is>
          <t>%</t>
        </is>
      </c>
      <c r="E11" s="60" t="inlineStr">
        <is>
          <t>↑</t>
        </is>
      </c>
      <c r="F11" s="60" t="inlineStr">
        <is>
          <t>AVG</t>
        </is>
      </c>
      <c r="G11" s="74" t="n">
        <v>0.8</v>
      </c>
      <c r="H11" s="62" t="inlineStr">
        <is>
          <t>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53" t="n"/>
      <c r="AA11" s="21" t="inlineStr">
        <is>
          <t>🟣 لاحق</t>
        </is>
      </c>
      <c r="AB11" s="53" t="n">
        <v>0.0417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الربحية وجودة الموقع</t>
        </is>
      </c>
      <c r="C12" s="22" t="inlineStr">
        <is>
          <t>متوسط فترة استرداد رأس المال</t>
        </is>
      </c>
      <c r="D12" s="60" t="inlineStr">
        <is>
          <t>سنة</t>
        </is>
      </c>
      <c r="E12" s="60" t="inlineStr">
        <is>
          <t>↓</t>
        </is>
      </c>
      <c r="F12" s="60" t="inlineStr">
        <is>
          <t>AVG</t>
        </is>
      </c>
      <c r="G12" s="75" t="n">
        <v>5</v>
      </c>
      <c r="H12" s="62" t="inlineStr">
        <is>
          <t>≤ 5 سنوات</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78" t="n"/>
      <c r="AA12" s="21" t="inlineStr">
        <is>
          <t>🟣 لاحق</t>
        </is>
      </c>
      <c r="AB12" s="53" t="n">
        <v>0.0417</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الربحية وجودة الموقع</t>
        </is>
      </c>
      <c r="C13" s="22" t="inlineStr">
        <is>
          <t>متوسط قيمة عقد الإيجار السنوي (أرض)</t>
        </is>
      </c>
      <c r="D13" s="60" t="inlineStr">
        <is>
          <t>ر.س</t>
        </is>
      </c>
      <c r="E13" s="60" t="inlineStr">
        <is>
          <t>↑</t>
        </is>
      </c>
      <c r="F13" s="60" t="inlineStr">
        <is>
          <t>AVG</t>
        </is>
      </c>
      <c r="G13" s="60" t="inlineStr"/>
      <c r="H13" s="62" t="inlineStr">
        <is>
          <t>يُحدد لاحقاً</t>
        </is>
      </c>
      <c r="I13" s="69" t="n"/>
      <c r="J13" s="69" t="n"/>
      <c r="K13" s="69" t="n"/>
      <c r="L13" s="69" t="n"/>
      <c r="M13" s="69" t="n"/>
      <c r="N13" s="69" t="n"/>
      <c r="O13" s="69" t="n"/>
      <c r="P13" s="69" t="n"/>
      <c r="Q13" s="69" t="n"/>
      <c r="R13" s="69" t="n"/>
      <c r="S13" s="69" t="n"/>
      <c r="T13" s="69" t="n"/>
      <c r="U13" s="70">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2" t="n"/>
      <c r="AA13" s="21" t="inlineStr">
        <is>
          <t>🟣 لاحق</t>
        </is>
      </c>
      <c r="AB13" s="53" t="n">
        <v>0.0417</v>
      </c>
      <c r="AC13" s="23">
        <f>IF($V13="","",$AB13*MIN($V13,1))</f>
        <v/>
      </c>
      <c r="AD13" s="71">
        <f>IF($G13="","",IF($F13="SUM",IF('لوحة الإدارة التنفيذية'!$P$2="","",$G13/12*'لوحة الإدارة التنفيذية'!$P$2),$G13))</f>
        <v/>
      </c>
      <c r="AE13" s="72">
        <f>IF($F13="SUM",IF(OR('لوحة الإدارة التنفيذية'!$P$2="",'لوحة الإدارة التنفيذية'!$P$2=0),"",IF($U13="","",$U13/'لوحة الإدارة التنفيذية'!$P$2*12)),IF($U13="","",$U13))</f>
        <v/>
      </c>
      <c r="AF13" s="71">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التوسع الإقليمي</t>
        </is>
      </c>
      <c r="C14" s="22" t="inlineStr">
        <is>
          <t>نسبة العقود التي تغطي المناطق الـ13</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النمو</t>
        </is>
      </c>
      <c r="Y14" s="22" t="inlineStr">
        <is>
          <t>التوسع في المواقع</t>
        </is>
      </c>
      <c r="Z14" s="53" t="n"/>
      <c r="AA14" s="21" t="inlineStr">
        <is>
          <t>🟣 لاحق</t>
        </is>
      </c>
      <c r="AB14" s="53" t="n">
        <v>0.0417</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التوسع الإقليمي</t>
        </is>
      </c>
      <c r="C15" s="22" t="inlineStr">
        <is>
          <t>نسبة العقود خارج المدن الرئيسية</t>
        </is>
      </c>
      <c r="D15" s="60" t="inlineStr">
        <is>
          <t>%</t>
        </is>
      </c>
      <c r="E15" s="60" t="inlineStr">
        <is>
          <t>↑</t>
        </is>
      </c>
      <c r="F15" s="60" t="inlineStr">
        <is>
          <t>LAST</t>
        </is>
      </c>
      <c r="G15" s="74" t="n">
        <v>0.6</v>
      </c>
      <c r="H15" s="62" t="inlineStr">
        <is>
          <t>&gt; 60%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النمو</t>
        </is>
      </c>
      <c r="Y15" s="22" t="inlineStr">
        <is>
          <t>التوسع في المواقع</t>
        </is>
      </c>
      <c r="Z15" s="53" t="n"/>
      <c r="AA15" s="21" t="inlineStr">
        <is>
          <t>🟣 لاحق</t>
        </is>
      </c>
      <c r="AB15" s="53" t="n">
        <v>0.0417</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التوسع الإقليمي</t>
        </is>
      </c>
      <c r="C16" s="22" t="inlineStr">
        <is>
          <t>نسبة العقود في الـ12 مدينة الرئيسية</t>
        </is>
      </c>
      <c r="D16" s="60" t="inlineStr">
        <is>
          <t>%</t>
        </is>
      </c>
      <c r="E16" s="60" t="inlineStr">
        <is>
          <t>↓</t>
        </is>
      </c>
      <c r="F16" s="60" t="inlineStr">
        <is>
          <t>LAST</t>
        </is>
      </c>
      <c r="G16" s="74" t="n">
        <v>0.4</v>
      </c>
      <c r="H16" s="62" t="inlineStr">
        <is>
          <t>&lt; 40%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النمو</t>
        </is>
      </c>
      <c r="Y16" s="22" t="inlineStr">
        <is>
          <t>التوسع في المواقع</t>
        </is>
      </c>
      <c r="Z16" s="53" t="n"/>
      <c r="AA16" s="21" t="inlineStr">
        <is>
          <t>🟣 لاحق</t>
        </is>
      </c>
      <c r="AB16" s="53" t="n">
        <v>0.0417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التوسع الإقليمي</t>
        </is>
      </c>
      <c r="C17" s="22" t="inlineStr">
        <is>
          <t>نسبة العقود على الطرق الإقليمية</t>
        </is>
      </c>
      <c r="D17" s="60" t="inlineStr">
        <is>
          <t>%</t>
        </is>
      </c>
      <c r="E17" s="60" t="inlineStr">
        <is>
          <t>↑</t>
        </is>
      </c>
      <c r="F17" s="60" t="inlineStr">
        <is>
          <t>LAST</t>
        </is>
      </c>
      <c r="G17" s="74" t="n">
        <v>0.25</v>
      </c>
      <c r="H17" s="62" t="inlineStr">
        <is>
          <t>&gt; 25%</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النمو</t>
        </is>
      </c>
      <c r="Y17" s="22" t="inlineStr">
        <is>
          <t>التوسع في المواقع</t>
        </is>
      </c>
      <c r="Z17" s="53" t="n"/>
      <c r="AA17" s="21" t="inlineStr">
        <is>
          <t>🟣 لاحق</t>
        </is>
      </c>
      <c r="AB17" s="53" t="n">
        <v>0.0417</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كفاءة الدورة</t>
        </is>
      </c>
      <c r="C18" s="22" t="inlineStr">
        <is>
          <t>متوسط مدة إغلاق عقد الاستثمار</t>
        </is>
      </c>
      <c r="D18" s="60" t="inlineStr">
        <is>
          <t>أسبوع</t>
        </is>
      </c>
      <c r="E18" s="60" t="inlineStr">
        <is>
          <t>↓</t>
        </is>
      </c>
      <c r="F18" s="60" t="inlineStr">
        <is>
          <t>AVG</t>
        </is>
      </c>
      <c r="G18" s="75" t="n">
        <v>1</v>
      </c>
      <c r="H18" s="62" t="inlineStr">
        <is>
          <t>≤ أسبوع</t>
        </is>
      </c>
      <c r="I18" s="76" t="n"/>
      <c r="J18" s="76" t="n"/>
      <c r="K18" s="76" t="n"/>
      <c r="L18" s="76" t="n"/>
      <c r="M18" s="76" t="n"/>
      <c r="N18" s="76" t="n"/>
      <c r="O18" s="76" t="n"/>
      <c r="P18" s="76" t="n"/>
      <c r="Q18" s="76" t="n"/>
      <c r="R18" s="76" t="n"/>
      <c r="S18" s="76" t="n"/>
      <c r="T18" s="76" t="n"/>
      <c r="U18" s="77">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النمو</t>
        </is>
      </c>
      <c r="Y18" s="22" t="inlineStr">
        <is>
          <t>التوسع في المواقع</t>
        </is>
      </c>
      <c r="Z18" s="78" t="n"/>
      <c r="AA18" s="21" t="inlineStr">
        <is>
          <t>🟣 لاحق</t>
        </is>
      </c>
      <c r="AB18" s="53" t="n">
        <v>0.0417</v>
      </c>
      <c r="AC18" s="23">
        <f>IF($V18="","",$AB18*MIN($V18,1))</f>
        <v/>
      </c>
      <c r="AD18" s="75">
        <f>IF($G18="","",IF($F18="SUM",IF('لوحة الإدارة التنفيذية'!$P$2="","",$G18/12*'لوحة الإدارة التنفيذية'!$P$2),$G18))</f>
        <v/>
      </c>
      <c r="AE18" s="79">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كفاءة الدورة</t>
        </is>
      </c>
      <c r="C19" s="22" t="inlineStr">
        <is>
          <t>نسبة العقود المتحوّلة لمحطات مشغّلة</t>
        </is>
      </c>
      <c r="D19" s="60" t="inlineStr">
        <is>
          <t>%</t>
        </is>
      </c>
      <c r="E19" s="60" t="inlineStr">
        <is>
          <t>↑</t>
        </is>
      </c>
      <c r="F19" s="60" t="inlineStr">
        <is>
          <t>AVG</t>
        </is>
      </c>
      <c r="G19" s="74" t="n">
        <v>0.3</v>
      </c>
      <c r="H19" s="62" t="inlineStr">
        <is>
          <t>≥ 30%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النمو</t>
        </is>
      </c>
      <c r="Y19" s="22" t="inlineStr">
        <is>
          <t>التوسع في المواقع</t>
        </is>
      </c>
      <c r="Z19" s="53" t="n"/>
      <c r="AA19" s="21" t="inlineStr">
        <is>
          <t>🟣 لاحق</t>
        </is>
      </c>
      <c r="AB19" s="53" t="n">
        <v>0.0417</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كفاءة الدورة</t>
        </is>
      </c>
      <c r="C20" s="22" t="inlineStr">
        <is>
          <t>نسبة تخفيض إيجار المواقع عالية التكاليف</t>
        </is>
      </c>
      <c r="D20" s="60" t="inlineStr">
        <is>
          <t>%</t>
        </is>
      </c>
      <c r="E20" s="60" t="inlineStr">
        <is>
          <t>↑</t>
        </is>
      </c>
      <c r="F20" s="60" t="inlineStr">
        <is>
          <t>AVG</t>
        </is>
      </c>
      <c r="G20" s="74" t="n">
        <v>0.3</v>
      </c>
      <c r="H20" s="62" t="inlineStr">
        <is>
          <t>≥ 30%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53" t="n"/>
      <c r="AA20" s="21" t="inlineStr">
        <is>
          <t>🟣 لاحق</t>
        </is>
      </c>
      <c r="AB20" s="53" t="n">
        <v>0.0417</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الامتثال</t>
        </is>
      </c>
      <c r="C21" s="22" t="inlineStr">
        <is>
          <t>نسبة اكتمال المستندات النظامية قبل التوقيع</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لاحق</t>
        </is>
      </c>
      <c r="AB21" s="53" t="n">
        <v>0.0417</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الامتثال</t>
        </is>
      </c>
      <c r="C22" s="22" t="inlineStr">
        <is>
          <t>نسبة العقود المؤرشفة إلكترونياً خلال 48 ساعة</t>
        </is>
      </c>
      <c r="D22" s="60" t="inlineStr">
        <is>
          <t>%</t>
        </is>
      </c>
      <c r="E22" s="60" t="inlineStr">
        <is>
          <t>↑</t>
        </is>
      </c>
      <c r="F22" s="60" t="inlineStr">
        <is>
          <t>AVG</t>
        </is>
      </c>
      <c r="G22" s="74" t="n">
        <v>0.95</v>
      </c>
      <c r="H22" s="62" t="inlineStr">
        <is>
          <t>95%+</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0.0417</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0" t="inlineStr">
        <is>
          <t>%</t>
        </is>
      </c>
      <c r="E23" s="60" t="inlineStr">
        <is>
          <t>↑</t>
        </is>
      </c>
      <c r="F23" s="60" t="inlineStr">
        <is>
          <t>AVG</t>
        </is>
      </c>
      <c r="G23" s="74" t="n">
        <v>0.98</v>
      </c>
      <c r="H23" s="62" t="inlineStr">
        <is>
          <t>98%</t>
        </is>
      </c>
      <c r="I23" s="73" t="n"/>
      <c r="J23" s="73" t="n"/>
      <c r="K23" s="73" t="n"/>
      <c r="L23" s="73" t="n"/>
      <c r="M23" s="73" t="n"/>
      <c r="N23" s="73" t="n"/>
      <c r="O23" s="73" t="n"/>
      <c r="P23" s="73" t="n"/>
      <c r="Q23" s="73" t="n"/>
      <c r="R23" s="73" t="n"/>
      <c r="S23" s="73" t="n"/>
      <c r="T23" s="73"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النمو</t>
        </is>
      </c>
      <c r="Y23" s="22" t="inlineStr">
        <is>
          <t>التوسع في المواقع</t>
        </is>
      </c>
      <c r="Z23" s="53" t="n"/>
      <c r="AA23" s="21" t="inlineStr">
        <is>
          <t>🟣 لاحق</t>
        </is>
      </c>
      <c r="AB23" s="53" t="n">
        <v>0.0417</v>
      </c>
      <c r="AC23" s="23">
        <f>IF($V23="","",$AB23*MIN($V23,1))</f>
        <v/>
      </c>
      <c r="AD23" s="74">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4">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جودة التعاقد</t>
        </is>
      </c>
      <c r="C24" s="22" t="inlineStr">
        <is>
          <t>سرعة إنجاز إجراءات التعاقد</t>
        </is>
      </c>
      <c r="D24" s="60" t="inlineStr">
        <is>
          <t>أسبوع</t>
        </is>
      </c>
      <c r="E24" s="60" t="inlineStr">
        <is>
          <t>↓</t>
        </is>
      </c>
      <c r="F24" s="60" t="inlineStr">
        <is>
          <t>AVG</t>
        </is>
      </c>
      <c r="G24" s="75" t="n">
        <v>1</v>
      </c>
      <c r="H24" s="62" t="inlineStr">
        <is>
          <t>≤ أسبوع</t>
        </is>
      </c>
      <c r="I24" s="76" t="n"/>
      <c r="J24" s="76" t="n"/>
      <c r="K24" s="76" t="n"/>
      <c r="L24" s="76" t="n"/>
      <c r="M24" s="76" t="n"/>
      <c r="N24" s="76" t="n"/>
      <c r="O24" s="76" t="n"/>
      <c r="P24" s="76" t="n"/>
      <c r="Q24" s="76" t="n"/>
      <c r="R24" s="76" t="n"/>
      <c r="S24" s="76" t="n"/>
      <c r="T24" s="76" t="n"/>
      <c r="U24" s="77">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النمو</t>
        </is>
      </c>
      <c r="Y24" s="22" t="inlineStr">
        <is>
          <t>التوسع في المواقع</t>
        </is>
      </c>
      <c r="Z24" s="78" t="n"/>
      <c r="AA24" s="21" t="inlineStr">
        <is>
          <t>🟣 لاحق</t>
        </is>
      </c>
      <c r="AB24" s="53" t="n">
        <v>0.0417</v>
      </c>
      <c r="AC24" s="23">
        <f>IF($V24="","",$AB24*MIN($V24,1))</f>
        <v/>
      </c>
      <c r="AD24" s="75">
        <f>IF($G24="","",IF($F24="SUM",IF('لوحة الإدارة التنفيذية'!$P$2="","",$G24/12*'لوحة الإدارة التنفيذية'!$P$2),$G24))</f>
        <v/>
      </c>
      <c r="AE24" s="79">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جودة التعاقد</t>
        </is>
      </c>
      <c r="C25" s="22" t="inlineStr">
        <is>
          <t>مدى رضا المستثمرين وشركاء الاستثمار</t>
        </is>
      </c>
      <c r="D25" s="60" t="inlineStr">
        <is>
          <t>%</t>
        </is>
      </c>
      <c r="E25" s="60" t="inlineStr">
        <is>
          <t>↑</t>
        </is>
      </c>
      <c r="F25" s="60" t="inlineStr">
        <is>
          <t>AVG</t>
        </is>
      </c>
      <c r="G25" s="74" t="n">
        <v>0.8</v>
      </c>
      <c r="H25" s="62" t="inlineStr">
        <is>
          <t>80%+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تعزيز تجربة العملاء</t>
        </is>
      </c>
      <c r="Z25" s="53" t="n"/>
      <c r="AA25" s="21" t="inlineStr">
        <is>
          <t>🟣 لاحق</t>
        </is>
      </c>
      <c r="AB25" s="53" t="n">
        <v>0.0417</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العملاء</t>
        </is>
      </c>
    </row>
    <row r="26" ht="26" customHeight="1">
      <c r="A26" s="17" t="n">
        <v>23</v>
      </c>
      <c r="B26" s="22" t="inlineStr">
        <is>
          <t>جودة التعاقد</t>
        </is>
      </c>
      <c r="C26" s="22" t="inlineStr">
        <is>
          <t>نسبة اكتمال أرشفة ملفات العملاء</t>
        </is>
      </c>
      <c r="D26" s="60" t="inlineStr">
        <is>
          <t>%</t>
        </is>
      </c>
      <c r="E26" s="60" t="inlineStr">
        <is>
          <t>↑</t>
        </is>
      </c>
      <c r="F26" s="60" t="inlineStr">
        <is>
          <t>AVG</t>
        </is>
      </c>
      <c r="G26" s="74" t="n">
        <v>1</v>
      </c>
      <c r="H26" s="62" t="inlineStr">
        <is>
          <t>100%</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53" t="n"/>
      <c r="AA26" s="21" t="inlineStr">
        <is>
          <t>🟣 لاحق</t>
        </is>
      </c>
      <c r="AB26" s="53" t="n">
        <v>0.0417</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العملاء</t>
        </is>
      </c>
    </row>
    <row r="27" ht="26" customHeight="1">
      <c r="A27" s="17" t="n">
        <v>24</v>
      </c>
      <c r="B27" s="22" t="inlineStr">
        <is>
          <t>جودة التعاقد</t>
        </is>
      </c>
      <c r="C27" s="22" t="inlineStr">
        <is>
          <t>نسبة إنجاز التقارير الدورية في موعدها</t>
        </is>
      </c>
      <c r="D27" s="60" t="inlineStr">
        <is>
          <t>%</t>
        </is>
      </c>
      <c r="E27" s="60" t="inlineStr">
        <is>
          <t>↑</t>
        </is>
      </c>
      <c r="F27" s="60" t="inlineStr">
        <is>
          <t>AVG</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الاستثمار · نموذج تقييم الأداء — مدير إدارة الاستثمار</t>
        </is>
      </c>
    </row>
    <row r="2">
      <c r="A2" s="50" t="inlineStr">
        <is>
          <t>الكود: IM-01  ·  ربع سنوي  ·  🟩 أدخل «نسبة التحقيق» فقط — الدرجة تُحسب تلقائياً</t>
        </is>
      </c>
    </row>
    <row r="3">
      <c r="A3" s="85" t="inlineStr">
        <is>
          <t>اسم الموظف:</t>
        </is>
      </c>
      <c r="B3" s="51" t="inlineStr"/>
      <c r="C3" s="86" t="n"/>
      <c r="D3" s="85" t="inlineStr">
        <is>
          <t>القسم: الاستثمار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عقود الاستثمار الجديدة (190)</t>
        </is>
      </c>
      <c r="C7" s="74" t="n">
        <v>0.2</v>
      </c>
      <c r="D7" s="88" t="inlineStr">
        <is>
          <t>100%+ من المستهدف الربعي</t>
        </is>
      </c>
      <c r="E7" s="53" t="n"/>
      <c r="F7" s="23">
        <f>C7*MIN(E7,1)</f>
        <v/>
      </c>
      <c r="G7" s="51" t="inlineStr"/>
    </row>
    <row r="8" ht="28" customHeight="1">
      <c r="A8" s="17" t="n">
        <v>2</v>
      </c>
      <c r="B8" s="22" t="inlineStr">
        <is>
          <t>نسبة المواقع ذات العائد المجدي</t>
        </is>
      </c>
      <c r="C8" s="74" t="n">
        <v>0.15</v>
      </c>
      <c r="D8" s="88" t="inlineStr">
        <is>
          <t>≥ 80%</t>
        </is>
      </c>
      <c r="E8" s="53" t="n"/>
      <c r="F8" s="23">
        <f>C8*MIN(E8,1)</f>
        <v/>
      </c>
      <c r="G8" s="51" t="inlineStr"/>
    </row>
    <row r="9" ht="28" customHeight="1">
      <c r="A9" s="17" t="n">
        <v>3</v>
      </c>
      <c r="B9" s="22" t="inlineStr">
        <is>
          <t>متوسط فترة استرداد رأس المال</t>
        </is>
      </c>
      <c r="C9" s="74" t="n">
        <v>0.1</v>
      </c>
      <c r="D9" s="88" t="inlineStr">
        <is>
          <t>≤ 5 سنوات</t>
        </is>
      </c>
      <c r="E9" s="53" t="n"/>
      <c r="F9" s="23">
        <f>C9*MIN(E9,1)</f>
        <v/>
      </c>
      <c r="G9" s="51" t="inlineStr"/>
    </row>
    <row r="10" ht="28" customHeight="1">
      <c r="A10" s="17" t="n">
        <v>4</v>
      </c>
      <c r="B10" s="22" t="inlineStr">
        <is>
          <t>التوسع الإقليمي (تغطية 13 منطقة)</t>
        </is>
      </c>
      <c r="C10" s="74" t="n">
        <v>0.15</v>
      </c>
      <c r="D10" s="88" t="inlineStr">
        <is>
          <t>100%</t>
        </is>
      </c>
      <c r="E10" s="53" t="n"/>
      <c r="F10" s="23">
        <f>C10*MIN(E10,1)</f>
        <v/>
      </c>
      <c r="G10" s="51" t="inlineStr"/>
    </row>
    <row r="11" ht="28" customHeight="1">
      <c r="A11" s="17" t="n">
        <v>5</v>
      </c>
      <c r="B11" s="22" t="inlineStr">
        <is>
          <t>متوسط مدة إغلاق عقد الاستثمار</t>
        </is>
      </c>
      <c r="C11" s="74" t="n">
        <v>0.1</v>
      </c>
      <c r="D11" s="88" t="inlineStr">
        <is>
          <t>≤ أسبوع</t>
        </is>
      </c>
      <c r="E11" s="53" t="n"/>
      <c r="F11" s="23">
        <f>C11*MIN(E11,1)</f>
        <v/>
      </c>
      <c r="G11" s="51" t="inlineStr"/>
    </row>
    <row r="12" ht="28" customHeight="1">
      <c r="A12" s="17" t="n">
        <v>6</v>
      </c>
      <c r="B12" s="22" t="inlineStr">
        <is>
          <t>اكتمال المستندات النظامية</t>
        </is>
      </c>
      <c r="C12" s="74" t="n">
        <v>0.1</v>
      </c>
      <c r="D12" s="88" t="inlineStr">
        <is>
          <t>100%</t>
        </is>
      </c>
      <c r="E12" s="53" t="n"/>
      <c r="F12" s="23">
        <f>C12*MIN(E12,1)</f>
        <v/>
      </c>
      <c r="G12" s="51" t="inlineStr"/>
    </row>
    <row r="13" ht="28" customHeight="1">
      <c r="A13" s="17" t="n">
        <v>7</v>
      </c>
      <c r="B13" s="22" t="inlineStr">
        <is>
          <t>رضا المستثمرين وشركاء الاستثمار</t>
        </is>
      </c>
      <c r="C13" s="74" t="n">
        <v>0.1</v>
      </c>
      <c r="D13" s="88" t="inlineStr">
        <is>
          <t>≥ 80%</t>
        </is>
      </c>
      <c r="E13" s="53" t="n"/>
      <c r="F13" s="23">
        <f>C13*MIN(E13,1)</f>
        <v/>
      </c>
      <c r="G13" s="51" t="inlineStr"/>
    </row>
    <row r="14" ht="28" customHeight="1">
      <c r="A14" s="17" t="n">
        <v>8</v>
      </c>
      <c r="B14" s="22" t="inlineStr">
        <is>
          <t>إنجاز التقارير الدورية</t>
        </is>
      </c>
      <c r="C14" s="74" t="n">
        <v>0.1</v>
      </c>
      <c r="D14" s="88" t="inlineStr">
        <is>
          <t>100%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0" t="inlineStr">
        <is>
          <t>%</t>
        </is>
      </c>
      <c r="E4" s="60" t="inlineStr">
        <is>
          <t>↑</t>
        </is>
      </c>
      <c r="F4" s="60" t="inlineStr">
        <is>
          <t>AVG</t>
        </is>
      </c>
      <c r="G4" s="74" t="n">
        <v>0.08</v>
      </c>
      <c r="H4" s="62" t="inlineStr">
        <is>
          <t>&gt; 8% سنوياً</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منظومة التأجير</t>
        </is>
      </c>
      <c r="Z4" s="53" t="n"/>
      <c r="AA4" s="21" t="inlineStr">
        <is>
          <t>🔵 قائد</t>
        </is>
      </c>
      <c r="AB4" s="53" t="n">
        <v>0.0625</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مالي</t>
        </is>
      </c>
    </row>
    <row r="5" ht="26" customHeight="1">
      <c r="A5" s="17" t="n">
        <v>2</v>
      </c>
      <c r="B5" s="22" t="inlineStr">
        <is>
          <t>الإدارة</t>
        </is>
      </c>
      <c r="C5" s="22" t="inlineStr">
        <is>
          <t>نسبة الالتزام بالعقود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منظومة التأجير</t>
        </is>
      </c>
      <c r="Z5" s="53" t="n"/>
      <c r="AA5" s="21" t="inlineStr">
        <is>
          <t>🟣 لاحق</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الإدارة</t>
        </is>
      </c>
      <c r="C6" s="22" t="inlineStr">
        <is>
          <t>نسبة التحصيل</t>
        </is>
      </c>
      <c r="D6" s="60" t="inlineStr">
        <is>
          <t>%</t>
        </is>
      </c>
      <c r="E6" s="60" t="inlineStr">
        <is>
          <t>↑</t>
        </is>
      </c>
      <c r="F6" s="60" t="inlineStr">
        <is>
          <t>AVG</t>
        </is>
      </c>
      <c r="G6" s="74" t="n">
        <v>0.95</v>
      </c>
      <c r="H6" s="62" t="inlineStr">
        <is>
          <t>&gt; 95%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منظومة التأجير</t>
        </is>
      </c>
      <c r="Z6" s="53" t="n"/>
      <c r="AA6" s="21" t="inlineStr">
        <is>
          <t>🟣 لاحق</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التأجير</t>
        </is>
      </c>
      <c r="C7" s="22" t="inlineStr">
        <is>
          <t>نسبة الإشغال</t>
        </is>
      </c>
      <c r="D7" s="60" t="inlineStr">
        <is>
          <t>%</t>
        </is>
      </c>
      <c r="E7" s="60" t="inlineStr">
        <is>
          <t>↑</t>
        </is>
      </c>
      <c r="F7" s="60" t="inlineStr">
        <is>
          <t>AVG</t>
        </is>
      </c>
      <c r="G7" s="74" t="n">
        <v>0.6</v>
      </c>
      <c r="H7" s="62" t="inlineStr">
        <is>
          <t>≥ 60%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منظومة التأجير</t>
        </is>
      </c>
      <c r="Z7" s="53" t="n"/>
      <c r="AA7" s="21" t="inlineStr">
        <is>
          <t>🟣 لاحق</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التأجير</t>
        </is>
      </c>
      <c r="C8" s="22" t="inlineStr">
        <is>
          <t>الوحدات المؤجَّرة شهرياً</t>
        </is>
      </c>
      <c r="D8" s="60" t="inlineStr">
        <is>
          <t>وحدة</t>
        </is>
      </c>
      <c r="E8" s="60" t="inlineStr">
        <is>
          <t>↑</t>
        </is>
      </c>
      <c r="F8" s="60" t="inlineStr">
        <is>
          <t>AVG</t>
        </is>
      </c>
      <c r="G8" s="61" t="n">
        <v>68</v>
      </c>
      <c r="H8" s="62" t="inlineStr">
        <is>
          <t>68 شهرياً</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منظومة التأجير</t>
        </is>
      </c>
      <c r="Z8" s="66" t="n"/>
      <c r="AA8" s="21" t="inlineStr">
        <is>
          <t>🟣 لاحق</t>
        </is>
      </c>
      <c r="AB8" s="53" t="n">
        <v>0.0625</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التأجير</t>
        </is>
      </c>
      <c r="C9" s="22" t="inlineStr">
        <is>
          <t>العملاء المحتملون (LEADS)</t>
        </is>
      </c>
      <c r="D9" s="60" t="inlineStr">
        <is>
          <t>عميل</t>
        </is>
      </c>
      <c r="E9" s="60" t="inlineStr">
        <is>
          <t>↑</t>
        </is>
      </c>
      <c r="F9" s="60" t="inlineStr">
        <is>
          <t>AVG</t>
        </is>
      </c>
      <c r="G9" s="61" t="n">
        <v>680</v>
      </c>
      <c r="H9" s="62" t="inlineStr">
        <is>
          <t>544–680</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66" t="n"/>
      <c r="AA9" s="21" t="inlineStr">
        <is>
          <t>🔵 قائد</t>
        </is>
      </c>
      <c r="AB9" s="53" t="n">
        <v>0.0625</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العملاء</t>
        </is>
      </c>
    </row>
    <row r="10" ht="26" customHeight="1">
      <c r="A10" s="17" t="n">
        <v>7</v>
      </c>
      <c r="B10" s="22" t="inlineStr">
        <is>
          <t>التأجير</t>
        </is>
      </c>
      <c r="C10" s="22" t="inlineStr">
        <is>
          <t>معدل التحويل</t>
        </is>
      </c>
      <c r="D10" s="60" t="inlineStr">
        <is>
          <t>%</t>
        </is>
      </c>
      <c r="E10" s="60" t="inlineStr">
        <is>
          <t>↑</t>
        </is>
      </c>
      <c r="F10" s="60" t="inlineStr">
        <is>
          <t>AVG</t>
        </is>
      </c>
      <c r="G10" s="74" t="n">
        <v>0.2</v>
      </c>
      <c r="H10" s="62" t="inlineStr">
        <is>
          <t>15–25%</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التأجير</t>
        </is>
      </c>
      <c r="C11" s="22" t="inlineStr">
        <is>
          <t>زيادة عدد العلامات التجارية</t>
        </is>
      </c>
      <c r="D11" s="60" t="inlineStr">
        <is>
          <t>علامة</t>
        </is>
      </c>
      <c r="E11" s="60" t="inlineStr">
        <is>
          <t>↑</t>
        </is>
      </c>
      <c r="F11" s="60" t="inlineStr">
        <is>
          <t>LAST</t>
        </is>
      </c>
      <c r="G11" s="61" t="n">
        <v>246</v>
      </c>
      <c r="H11" s="62" t="inlineStr">
        <is>
          <t>246 علامة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منظومة التأجير</t>
        </is>
      </c>
      <c r="Z11" s="66" t="n"/>
      <c r="AA11" s="21" t="inlineStr">
        <is>
          <t>🔵 قائد</t>
        </is>
      </c>
      <c r="AB11" s="53" t="n">
        <v>0.0625</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الإبداع والتكامل</t>
        </is>
      </c>
      <c r="C12" s="22" t="inlineStr">
        <is>
          <t>نسبة تأجير ساحة درب</t>
        </is>
      </c>
      <c r="D12" s="60" t="inlineStr">
        <is>
          <t>%</t>
        </is>
      </c>
      <c r="E12" s="60" t="inlineStr">
        <is>
          <t>↑</t>
        </is>
      </c>
      <c r="F12" s="60" t="inlineStr">
        <is>
          <t>LAST</t>
        </is>
      </c>
      <c r="G12" s="74" t="n">
        <v>0.8</v>
      </c>
      <c r="H12" s="62" t="inlineStr">
        <is>
          <t>≥ 80%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ساحات درب</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الإبداع والتكامل</t>
        </is>
      </c>
      <c r="C13" s="22" t="inlineStr">
        <is>
          <t>علامات تجارية جديدة (ساحة درب)</t>
        </is>
      </c>
      <c r="D13" s="60" t="inlineStr">
        <is>
          <t>علامة</t>
        </is>
      </c>
      <c r="E13" s="60" t="inlineStr">
        <is>
          <t>↑</t>
        </is>
      </c>
      <c r="F13" s="60" t="inlineStr">
        <is>
          <t>SUM</t>
        </is>
      </c>
      <c r="G13" s="61" t="n">
        <v>6</v>
      </c>
      <c r="H13" s="62" t="inlineStr">
        <is>
          <t>6 علامات</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ساحات درب</t>
        </is>
      </c>
      <c r="Z13" s="66" t="n"/>
      <c r="AA13" s="21" t="inlineStr">
        <is>
          <t>🟣 لاحق</t>
        </is>
      </c>
      <c r="AB13" s="53" t="n">
        <v>0.0625</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الإبداع والتكامل</t>
        </is>
      </c>
      <c r="C14" s="22" t="inlineStr">
        <is>
          <t>الشراكات الاستراتيجية</t>
        </is>
      </c>
      <c r="D14" s="60" t="inlineStr">
        <is>
          <t>شراكة</t>
        </is>
      </c>
      <c r="E14" s="60" t="inlineStr">
        <is>
          <t>↑</t>
        </is>
      </c>
      <c r="F14" s="60" t="inlineStr">
        <is>
          <t>SUM</t>
        </is>
      </c>
      <c r="G14" s="61" t="n">
        <v>5</v>
      </c>
      <c r="H14" s="62" t="inlineStr">
        <is>
          <t>5 شراكات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0.0625</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إدارة الأملاك</t>
        </is>
      </c>
      <c r="C15" s="22" t="inlineStr">
        <is>
          <t>نسبة تجديد العقود</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منظومة التأجير</t>
        </is>
      </c>
      <c r="Z15" s="53" t="n"/>
      <c r="AA15" s="21" t="inlineStr">
        <is>
          <t>🟣 لاحق</t>
        </is>
      </c>
      <c r="AB15" s="53" t="n">
        <v>0.0625</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تنسيق المشاريع</t>
        </is>
      </c>
      <c r="C16" s="22" t="inlineStr">
        <is>
          <t>متوسط زمن تسليم الوحدة</t>
        </is>
      </c>
      <c r="D16" s="60" t="inlineStr">
        <is>
          <t>يوم</t>
        </is>
      </c>
      <c r="E16" s="60" t="inlineStr">
        <is>
          <t>↓</t>
        </is>
      </c>
      <c r="F16" s="60" t="inlineStr">
        <is>
          <t>AVG</t>
        </is>
      </c>
      <c r="G16" s="75" t="n">
        <v>7</v>
      </c>
      <c r="H16" s="62" t="inlineStr">
        <is>
          <t>≤ 7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0.0625</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تنسيق المشاريع</t>
        </is>
      </c>
      <c r="C17" s="22" t="inlineStr">
        <is>
          <t>نسبة إغلاق الطلبات خلال 3 أسابيع</t>
        </is>
      </c>
      <c r="D17" s="60" t="inlineStr">
        <is>
          <t>%</t>
        </is>
      </c>
      <c r="E17" s="60" t="inlineStr">
        <is>
          <t>↑</t>
        </is>
      </c>
      <c r="F17" s="60" t="inlineStr">
        <is>
          <t>AVG</t>
        </is>
      </c>
      <c r="G17" s="74" t="n">
        <v>0.9</v>
      </c>
      <c r="H17" s="62" t="inlineStr">
        <is>
          <t>&gt; 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قائد</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الجودة والاستدامة</t>
        </is>
      </c>
      <c r="C18" s="22" t="inlineStr">
        <is>
          <t>استدامة المستأجرين (لم يُنهَ مبكراً)</t>
        </is>
      </c>
      <c r="D18" s="60" t="inlineStr">
        <is>
          <t>%</t>
        </is>
      </c>
      <c r="E18" s="60" t="inlineStr">
        <is>
          <t>↑</t>
        </is>
      </c>
      <c r="F18" s="60" t="inlineStr">
        <is>
          <t>AVG</t>
        </is>
      </c>
      <c r="G18" s="74" t="n">
        <v>0.8</v>
      </c>
      <c r="H18" s="62" t="inlineStr">
        <is>
          <t>≥ 80%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تعزيز تجربة العملاء</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العملاء</t>
        </is>
      </c>
    </row>
    <row r="19" ht="26" customHeight="1">
      <c r="A19" s="17" t="n">
        <v>16</v>
      </c>
      <c r="B19" s="22" t="inlineStr">
        <is>
          <t>الجودة والاستدامة</t>
        </is>
      </c>
      <c r="C19" s="22" t="inlineStr">
        <is>
          <t>معدل رضا المستأجرين (استبيان ربعي)</t>
        </is>
      </c>
      <c r="D19" s="60" t="inlineStr">
        <is>
          <t>%</t>
        </is>
      </c>
      <c r="E19" s="60" t="inlineStr">
        <is>
          <t>↑</t>
        </is>
      </c>
      <c r="F19" s="60" t="inlineStr">
        <is>
          <t>AVG</t>
        </is>
      </c>
      <c r="G19" s="74" t="n">
        <v>0.9</v>
      </c>
      <c r="H19" s="62" t="inlineStr">
        <is>
          <t>≥ 90%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تعزيز تجربة العملاء</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العملاء</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العقار · نموذج تقييم الأداء — مدير إدارة العقار</t>
        </is>
      </c>
    </row>
    <row r="2">
      <c r="A2" s="50" t="inlineStr">
        <is>
          <t>الكود: RM-01  ·  ربع سنوي  ·  🟩 أدخل «نسبة التحقيق» فقط — الدرجة تُحسب تلقائياً</t>
        </is>
      </c>
    </row>
    <row r="3">
      <c r="A3" s="85" t="inlineStr">
        <is>
          <t>اسم الموظف:</t>
        </is>
      </c>
      <c r="B3" s="51" t="inlineStr"/>
      <c r="C3" s="86" t="n"/>
      <c r="D3" s="85" t="inlineStr">
        <is>
          <t>القسم: العقار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نمو الإيرادات الإيجارية</t>
        </is>
      </c>
      <c r="C7" s="74" t="n">
        <v>0.15</v>
      </c>
      <c r="D7" s="88" t="inlineStr">
        <is>
          <t>&gt; 8% سنوياً</t>
        </is>
      </c>
      <c r="E7" s="53" t="n"/>
      <c r="F7" s="23">
        <f>C7*MIN(E7,1)</f>
        <v/>
      </c>
      <c r="G7" s="51" t="inlineStr"/>
    </row>
    <row r="8" ht="28" customHeight="1">
      <c r="A8" s="17" t="n">
        <v>2</v>
      </c>
      <c r="B8" s="22" t="inlineStr">
        <is>
          <t>نسبة الإشغال</t>
        </is>
      </c>
      <c r="C8" s="74" t="n">
        <v>0.2</v>
      </c>
      <c r="D8" s="88" t="inlineStr">
        <is>
          <t>≥ 60%</t>
        </is>
      </c>
      <c r="E8" s="53" t="n"/>
      <c r="F8" s="23">
        <f>C8*MIN(E8,1)</f>
        <v/>
      </c>
      <c r="G8" s="51" t="inlineStr"/>
    </row>
    <row r="9" ht="28" customHeight="1">
      <c r="A9" s="17" t="n">
        <v>3</v>
      </c>
      <c r="B9" s="22" t="inlineStr">
        <is>
          <t>نسبة التحصيل</t>
        </is>
      </c>
      <c r="C9" s="74" t="n">
        <v>0.15</v>
      </c>
      <c r="D9" s="88" t="inlineStr">
        <is>
          <t>&gt; 95%</t>
        </is>
      </c>
      <c r="E9" s="53" t="n"/>
      <c r="F9" s="23">
        <f>C9*MIN(E9,1)</f>
        <v/>
      </c>
      <c r="G9" s="51" t="inlineStr"/>
    </row>
    <row r="10" ht="28" customHeight="1">
      <c r="A10" s="17" t="n">
        <v>4</v>
      </c>
      <c r="B10" s="22" t="inlineStr">
        <is>
          <t>الوحدات المؤجَّرة شهرياً</t>
        </is>
      </c>
      <c r="C10" s="74" t="n">
        <v>0.15</v>
      </c>
      <c r="D10" s="88" t="inlineStr">
        <is>
          <t>68 وحدة/شهر</t>
        </is>
      </c>
      <c r="E10" s="53" t="n"/>
      <c r="F10" s="23">
        <f>C10*MIN(E10,1)</f>
        <v/>
      </c>
      <c r="G10" s="51" t="inlineStr"/>
    </row>
    <row r="11" ht="28" customHeight="1">
      <c r="A11" s="17" t="n">
        <v>5</v>
      </c>
      <c r="B11" s="22" t="inlineStr">
        <is>
          <t>نسبة تأجير ساحة درب</t>
        </is>
      </c>
      <c r="C11" s="74" t="n">
        <v>0.1</v>
      </c>
      <c r="D11" s="88" t="inlineStr">
        <is>
          <t>≥ 80%</t>
        </is>
      </c>
      <c r="E11" s="53" t="n"/>
      <c r="F11" s="23">
        <f>C11*MIN(E11,1)</f>
        <v/>
      </c>
      <c r="G11" s="51" t="inlineStr"/>
    </row>
    <row r="12" ht="28" customHeight="1">
      <c r="A12" s="17" t="n">
        <v>6</v>
      </c>
      <c r="B12" s="22" t="inlineStr">
        <is>
          <t>نسبة تجديد العقود</t>
        </is>
      </c>
      <c r="C12" s="74" t="n">
        <v>0.1</v>
      </c>
      <c r="D12" s="88" t="inlineStr">
        <is>
          <t>100%</t>
        </is>
      </c>
      <c r="E12" s="53" t="n"/>
      <c r="F12" s="23">
        <f>C12*MIN(E12,1)</f>
        <v/>
      </c>
      <c r="G12" s="51" t="inlineStr"/>
    </row>
    <row r="13" ht="28" customHeight="1">
      <c r="A13" s="17" t="n">
        <v>7</v>
      </c>
      <c r="B13" s="22" t="inlineStr">
        <is>
          <t>استدامة المستأجرين</t>
        </is>
      </c>
      <c r="C13" s="74" t="n">
        <v>0.1</v>
      </c>
      <c r="D13" s="88" t="inlineStr">
        <is>
          <t>≥ 80%</t>
        </is>
      </c>
      <c r="E13" s="53" t="n"/>
      <c r="F13" s="23">
        <f>C13*MIN(E13,1)</f>
        <v/>
      </c>
      <c r="G13" s="51" t="inlineStr"/>
    </row>
    <row r="14" ht="28" customHeight="1">
      <c r="A14" s="17" t="n">
        <v>8</v>
      </c>
      <c r="B14" s="22" t="inlineStr">
        <is>
          <t>رضا المستأجرين</t>
        </is>
      </c>
      <c r="C14" s="74" t="n">
        <v>0.05</v>
      </c>
      <c r="D14" s="88" t="inlineStr">
        <is>
          <t>≥ 90%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 مؤشرات الأداء 2026  (24 مؤشراً) — مشاريع التحول والكفاءة التشغيلية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مشاريع التحول</t>
        </is>
      </c>
      <c r="C4" s="22" t="inlineStr">
        <is>
          <t>نظام أتمتة الكاش (Cash-In) في المحطات</t>
        </is>
      </c>
      <c r="D4" s="60" t="inlineStr">
        <is>
          <t>محطة</t>
        </is>
      </c>
      <c r="E4" s="60" t="inlineStr">
        <is>
          <t>↑</t>
        </is>
      </c>
      <c r="F4" s="60" t="inlineStr">
        <is>
          <t>LAST</t>
        </is>
      </c>
      <c r="G4" s="61" t="n">
        <v>164</v>
      </c>
      <c r="H4" s="62" t="inlineStr">
        <is>
          <t>164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الابتكار</t>
        </is>
      </c>
      <c r="Y4" s="22" t="inlineStr">
        <is>
          <t>التحول التقني</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مشاريع التحول</t>
        </is>
      </c>
      <c r="C5" s="22" t="inlineStr">
        <is>
          <t>D365 FNO — المرحلة الأولى</t>
        </is>
      </c>
      <c r="D5" s="60" t="inlineStr">
        <is>
          <t>وحدة</t>
        </is>
      </c>
      <c r="E5" s="60" t="inlineStr">
        <is>
          <t>↑</t>
        </is>
      </c>
      <c r="F5" s="60" t="inlineStr">
        <is>
          <t>LAST</t>
        </is>
      </c>
      <c r="G5" s="75" t="n">
        <v>5</v>
      </c>
      <c r="H5" s="62" t="inlineStr">
        <is>
          <t>5 وحدات</t>
        </is>
      </c>
      <c r="I5" s="76" t="n"/>
      <c r="J5" s="76" t="n"/>
      <c r="K5" s="76" t="n"/>
      <c r="L5" s="76" t="n"/>
      <c r="M5" s="76" t="n"/>
      <c r="N5" s="76" t="n"/>
      <c r="O5" s="76" t="n"/>
      <c r="P5" s="76" t="n"/>
      <c r="Q5" s="76" t="n"/>
      <c r="R5" s="76" t="n"/>
      <c r="S5" s="76" t="n"/>
      <c r="T5" s="76" t="n"/>
      <c r="U5" s="77">
        <f>IF($F5="SUM",IF(COUNT($I5:$T5)=0,"",SUM($I5:$T5)),IF($F5="AVG",IFERROR(AVERAGE($I5:$T5),""),IF($F5="LAST",IFERROR(LOOKUP(2,1/($I5:$T5&lt;&gt;""),$I5:$T5),""),"")))</f>
        <v/>
      </c>
      <c r="V5" s="23">
        <f>IF($G5="","",IF($U5="","",IF($G5=0,IF($U5&lt;=0,1,0),IF($E5="↓",IFERROR($G5/$U5,0),IFERROR($U5/$G5,0)))))</f>
        <v/>
      </c>
      <c r="W5" s="17">
        <f>IF($V5="","—",IF($V5&gt;=1,"✅ محقق",IF($V5&gt;=0.85,"🟡 قريب","🔴 تحت الهدف")))</f>
        <v/>
      </c>
      <c r="X5" s="65" t="inlineStr">
        <is>
          <t>الابتكار</t>
        </is>
      </c>
      <c r="Y5" s="22" t="inlineStr">
        <is>
          <t>التحول التقني</t>
        </is>
      </c>
      <c r="Z5" s="78" t="n"/>
      <c r="AA5" s="21" t="inlineStr">
        <is>
          <t>🟣 لاحق</t>
        </is>
      </c>
      <c r="AB5" s="53" t="n">
        <v>0.0417</v>
      </c>
      <c r="AC5" s="23">
        <f>IF($V5="","",$AB5*MIN($V5,1))</f>
        <v/>
      </c>
      <c r="AD5" s="75">
        <f>IF($G5="","",IF($F5="SUM",IF('لوحة الإدارة التنفيذية'!$P$2="","",$G5/12*'لوحة الإدارة التنفيذية'!$P$2),$G5))</f>
        <v/>
      </c>
      <c r="AE5" s="79">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مشاريع التحول</t>
        </is>
      </c>
      <c r="C6" s="22" t="inlineStr">
        <is>
          <t>D365 FNO — المرحلة الثانية</t>
        </is>
      </c>
      <c r="D6" s="60" t="inlineStr">
        <is>
          <t>وحدة</t>
        </is>
      </c>
      <c r="E6" s="60" t="inlineStr">
        <is>
          <t>↑</t>
        </is>
      </c>
      <c r="F6" s="60" t="inlineStr">
        <is>
          <t>LAST</t>
        </is>
      </c>
      <c r="G6" s="61" t="n">
        <v>4</v>
      </c>
      <c r="H6" s="62" t="inlineStr">
        <is>
          <t>4 وحدات</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الابتكار</t>
        </is>
      </c>
      <c r="Y6" s="22" t="inlineStr">
        <is>
          <t>التحول التقني</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مشاريع التحول</t>
        </is>
      </c>
      <c r="C7" s="22" t="inlineStr">
        <is>
          <t>D365 FNO — المرحلة الثالثة</t>
        </is>
      </c>
      <c r="D7" s="60" t="inlineStr">
        <is>
          <t>وحدة</t>
        </is>
      </c>
      <c r="E7" s="60" t="inlineStr">
        <is>
          <t>↑</t>
        </is>
      </c>
      <c r="F7" s="60" t="inlineStr">
        <is>
          <t>LAST</t>
        </is>
      </c>
      <c r="G7" s="61" t="n">
        <v>2</v>
      </c>
      <c r="H7" s="62" t="inlineStr">
        <is>
          <t>وحدتان</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الابتكار</t>
        </is>
      </c>
      <c r="Y7" s="22" t="inlineStr">
        <is>
          <t>التحول التقني</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مشاريع التحول</t>
        </is>
      </c>
      <c r="C8" s="22" t="inlineStr">
        <is>
          <t>تطبيق الامتياز مع واثق</t>
        </is>
      </c>
      <c r="D8" s="60" t="inlineStr">
        <is>
          <t>تطبيق</t>
        </is>
      </c>
      <c r="E8" s="60" t="inlineStr">
        <is>
          <t>↑</t>
        </is>
      </c>
      <c r="F8" s="60" t="inlineStr">
        <is>
          <t>LAST</t>
        </is>
      </c>
      <c r="G8" s="61" t="n">
        <v>1</v>
      </c>
      <c r="H8" s="62" t="inlineStr">
        <is>
          <t>تطبيق واحد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التحول التقني</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مشاريع التحول</t>
        </is>
      </c>
      <c r="C9" s="22" t="inlineStr">
        <is>
          <t>ربط المحطات بوزارة الطاقة (ATJ)</t>
        </is>
      </c>
      <c r="D9" s="60" t="inlineStr">
        <is>
          <t>محطة</t>
        </is>
      </c>
      <c r="E9" s="60" t="inlineStr">
        <is>
          <t>↑</t>
        </is>
      </c>
      <c r="F9" s="60" t="inlineStr">
        <is>
          <t>LAST</t>
        </is>
      </c>
      <c r="G9" s="61" t="n">
        <v>164</v>
      </c>
      <c r="H9" s="62" t="inlineStr">
        <is>
          <t>164 محطة</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مشاريع التحول</t>
        </is>
      </c>
      <c r="C10" s="22" t="inlineStr">
        <is>
          <t>ربط الكاميرات بالمركز الرئيسي</t>
        </is>
      </c>
      <c r="D10" s="60" t="inlineStr">
        <is>
          <t>محطة</t>
        </is>
      </c>
      <c r="E10" s="60" t="inlineStr">
        <is>
          <t>↑</t>
        </is>
      </c>
      <c r="F10" s="60" t="inlineStr">
        <is>
          <t>LAST</t>
        </is>
      </c>
      <c r="G10" s="61" t="n">
        <v>164</v>
      </c>
      <c r="H10" s="62" t="inlineStr">
        <is>
          <t>164 محطة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الابتكار</t>
        </is>
      </c>
      <c r="Y10" s="22" t="inlineStr">
        <is>
          <t>التحول التقني</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مشاريع التحول</t>
        </is>
      </c>
      <c r="C11" s="22" t="inlineStr">
        <is>
          <t>تطبيق الولاء (تانكي) في المحطات</t>
        </is>
      </c>
      <c r="D11" s="60" t="inlineStr">
        <is>
          <t>محطة</t>
        </is>
      </c>
      <c r="E11" s="60" t="inlineStr">
        <is>
          <t>↑</t>
        </is>
      </c>
      <c r="F11" s="60" t="inlineStr">
        <is>
          <t>LAST</t>
        </is>
      </c>
      <c r="G11" s="61" t="n">
        <v>164</v>
      </c>
      <c r="H11" s="62" t="inlineStr">
        <is>
          <t>164 محطة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تطبيق «تانكي»</t>
        </is>
      </c>
      <c r="Z11" s="66" t="n"/>
      <c r="AA11" s="21" t="inlineStr">
        <is>
          <t>🟣 لاحق</t>
        </is>
      </c>
      <c r="AB11" s="53" t="n">
        <v>0.0417</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مشاريع التحول</t>
        </is>
      </c>
      <c r="C12" s="22" t="inlineStr">
        <is>
          <t>منصة Tatin السحابية</t>
        </is>
      </c>
      <c r="D12" s="60" t="inlineStr">
        <is>
          <t>محطة</t>
        </is>
      </c>
      <c r="E12" s="60" t="inlineStr">
        <is>
          <t>↑</t>
        </is>
      </c>
      <c r="F12" s="60" t="inlineStr">
        <is>
          <t>LAST</t>
        </is>
      </c>
      <c r="G12" s="61" t="n">
        <v>164</v>
      </c>
      <c r="H12" s="62" t="inlineStr">
        <is>
          <t>164 محطة</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التحول التقني</t>
        </is>
      </c>
      <c r="Z12" s="66" t="n"/>
      <c r="AA12" s="21" t="inlineStr">
        <is>
          <t>🟣 لاحق</t>
        </is>
      </c>
      <c r="AB12" s="53" t="n">
        <v>0.0417</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مشاريع التحول</t>
        </is>
      </c>
      <c r="C13" s="22" t="inlineStr">
        <is>
          <t>إدارة العمليات بالذكاء الاصطناعي</t>
        </is>
      </c>
      <c r="D13" s="60" t="inlineStr">
        <is>
          <t>محطة</t>
        </is>
      </c>
      <c r="E13" s="60" t="inlineStr">
        <is>
          <t>↑</t>
        </is>
      </c>
      <c r="F13" s="60" t="inlineStr">
        <is>
          <t>LAST</t>
        </is>
      </c>
      <c r="G13" s="61" t="n">
        <v>164</v>
      </c>
      <c r="H13" s="62" t="inlineStr">
        <is>
          <t>164 محطة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التحول التقني</t>
        </is>
      </c>
      <c r="Z13" s="66" t="n"/>
      <c r="AA13" s="21" t="inlineStr">
        <is>
          <t>🟣 لاحق</t>
        </is>
      </c>
      <c r="AB13" s="53" t="n">
        <v>0.0417</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الكفاءة التشغيلية</t>
        </is>
      </c>
      <c r="C14" s="22" t="inlineStr">
        <is>
          <t>جاهزية أتمتة المحطات (Forecourt)</t>
        </is>
      </c>
      <c r="D14" s="60" t="inlineStr">
        <is>
          <t>محطة</t>
        </is>
      </c>
      <c r="E14" s="60" t="inlineStr">
        <is>
          <t>↑</t>
        </is>
      </c>
      <c r="F14" s="60" t="inlineStr">
        <is>
          <t>LAST</t>
        </is>
      </c>
      <c r="G14" s="61" t="n">
        <v>164</v>
      </c>
      <c r="H14" s="62" t="inlineStr">
        <is>
          <t>164 محطة</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66" t="n"/>
      <c r="AA14" s="21" t="inlineStr">
        <is>
          <t>🟣 لاحق</t>
        </is>
      </c>
      <c r="AB14" s="53" t="n">
        <v>0.0417</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الكفاءة التشغيلية</t>
        </is>
      </c>
      <c r="C15" s="22" t="inlineStr">
        <is>
          <t>جاهزية اتصال الشبكة بالمحطات</t>
        </is>
      </c>
      <c r="D15" s="60" t="inlineStr">
        <is>
          <t>محطة</t>
        </is>
      </c>
      <c r="E15" s="60" t="inlineStr">
        <is>
          <t>↑</t>
        </is>
      </c>
      <c r="F15" s="60" t="inlineStr">
        <is>
          <t>LAST</t>
        </is>
      </c>
      <c r="G15" s="61" t="n">
        <v>164</v>
      </c>
      <c r="H15" s="62" t="inlineStr">
        <is>
          <t>164 محطة</t>
        </is>
      </c>
      <c r="I15" s="63" t="n"/>
      <c r="J15" s="63" t="n"/>
      <c r="K15" s="63" t="n"/>
      <c r="L15" s="63" t="n"/>
      <c r="M15" s="63" t="n"/>
      <c r="N15" s="63" t="n"/>
      <c r="O15" s="63" t="n"/>
      <c r="P15" s="63" t="n"/>
      <c r="Q15" s="63" t="n"/>
      <c r="R15" s="63" t="n"/>
      <c r="S15" s="63" t="n"/>
      <c r="T15" s="63" t="n"/>
      <c r="U15" s="64">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66" t="n"/>
      <c r="AA15" s="21" t="inlineStr">
        <is>
          <t>🟣 لاحق</t>
        </is>
      </c>
      <c r="AB15" s="53" t="n">
        <v>0.0417</v>
      </c>
      <c r="AC15" s="23">
        <f>IF($V15="","",$AB15*MIN($V15,1))</f>
        <v/>
      </c>
      <c r="AD15" s="61">
        <f>IF($G15="","",IF($F15="SUM",IF('لوحة الإدارة التنفيذية'!$P$2="","",$G15/12*'لوحة الإدارة التنفيذية'!$P$2),$G15))</f>
        <v/>
      </c>
      <c r="AE15" s="67">
        <f>IF($F15="SUM",IF(OR('لوحة الإدارة التنفيذية'!$P$2="",'لوحة الإدارة التنفيذية'!$P$2=0),"",IF($U15="","",$U15/'لوحة الإدارة التنفيذية'!$P$2*12)),IF($U15="","",$U15))</f>
        <v/>
      </c>
      <c r="AF15" s="61">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الكفاءة التشغيلية</t>
        </is>
      </c>
      <c r="C16" s="22" t="inlineStr">
        <is>
          <t>جاهزية نقاط البيع والمدفوعات (POS)</t>
        </is>
      </c>
      <c r="D16" s="60" t="inlineStr">
        <is>
          <t>محطة</t>
        </is>
      </c>
      <c r="E16" s="60" t="inlineStr">
        <is>
          <t>↑</t>
        </is>
      </c>
      <c r="F16" s="60" t="inlineStr">
        <is>
          <t>LAST</t>
        </is>
      </c>
      <c r="G16" s="61" t="n">
        <v>164</v>
      </c>
      <c r="H16" s="62" t="inlineStr">
        <is>
          <t>164 محطة</t>
        </is>
      </c>
      <c r="I16" s="63" t="n"/>
      <c r="J16" s="63" t="n"/>
      <c r="K16" s="63" t="n"/>
      <c r="L16" s="63" t="n"/>
      <c r="M16" s="63" t="n"/>
      <c r="N16" s="63" t="n"/>
      <c r="O16" s="63" t="n"/>
      <c r="P16" s="63" t="n"/>
      <c r="Q16" s="63" t="n"/>
      <c r="R16" s="63" t="n"/>
      <c r="S16" s="63" t="n"/>
      <c r="T16" s="63" t="n"/>
      <c r="U16" s="64">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66" t="n"/>
      <c r="AA16" s="21" t="inlineStr">
        <is>
          <t>🟣 لاحق</t>
        </is>
      </c>
      <c r="AB16" s="53" t="n">
        <v>0.0417</v>
      </c>
      <c r="AC16" s="23">
        <f>IF($V16="","",$AB16*MIN($V16,1))</f>
        <v/>
      </c>
      <c r="AD16" s="61">
        <f>IF($G16="","",IF($F16="SUM",IF('لوحة الإدارة التنفيذية'!$P$2="","",$G16/12*'لوحة الإدارة التنفيذية'!$P$2),$G16))</f>
        <v/>
      </c>
      <c r="AE16" s="67">
        <f>IF($F16="SUM",IF(OR('لوحة الإدارة التنفيذية'!$P$2="",'لوحة الإدارة التنفيذية'!$P$2=0),"",IF($U16="","",$U16/'لوحة الإدارة التنفيذية'!$P$2*12)),IF($U16="","",$U16))</f>
        <v/>
      </c>
      <c r="AF16" s="61">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الكفاءة التشغيلية</t>
        </is>
      </c>
      <c r="C17" s="22" t="inlineStr">
        <is>
          <t>جاهزية نظام الكاميرات (CCTV)</t>
        </is>
      </c>
      <c r="D17" s="60" t="inlineStr">
        <is>
          <t>محطة</t>
        </is>
      </c>
      <c r="E17" s="60" t="inlineStr">
        <is>
          <t>↑</t>
        </is>
      </c>
      <c r="F17" s="60" t="inlineStr">
        <is>
          <t>LAST</t>
        </is>
      </c>
      <c r="G17" s="61" t="n">
        <v>164</v>
      </c>
      <c r="H17" s="62" t="inlineStr">
        <is>
          <t>164 محطة</t>
        </is>
      </c>
      <c r="I17" s="63" t="n"/>
      <c r="J17" s="63" t="n"/>
      <c r="K17" s="63" t="n"/>
      <c r="L17" s="63" t="n"/>
      <c r="M17" s="63" t="n"/>
      <c r="N17" s="63" t="n"/>
      <c r="O17" s="63" t="n"/>
      <c r="P17" s="63" t="n"/>
      <c r="Q17" s="63" t="n"/>
      <c r="R17" s="63" t="n"/>
      <c r="S17" s="63" t="n"/>
      <c r="T17" s="63" t="n"/>
      <c r="U17" s="64">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66" t="n"/>
      <c r="AA17" s="21" t="inlineStr">
        <is>
          <t>🟣 لاحق</t>
        </is>
      </c>
      <c r="AB17" s="53" t="n">
        <v>0.0417</v>
      </c>
      <c r="AC17" s="23">
        <f>IF($V17="","",$AB17*MIN($V17,1))</f>
        <v/>
      </c>
      <c r="AD17" s="61">
        <f>IF($G17="","",IF($F17="SUM",IF('لوحة الإدارة التنفيذية'!$P$2="","",$G17/12*'لوحة الإدارة التنفيذية'!$P$2),$G17))</f>
        <v/>
      </c>
      <c r="AE17" s="67">
        <f>IF($F17="SUM",IF(OR('لوحة الإدارة التنفيذية'!$P$2="",'لوحة الإدارة التنفيذية'!$P$2=0),"",IF($U17="","",$U17/'لوحة الإدارة التنفيذية'!$P$2*12)),IF($U17="","",$U17))</f>
        <v/>
      </c>
      <c r="AF17" s="61">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الكفاءة التشغيلية</t>
        </is>
      </c>
      <c r="C18" s="22" t="inlineStr">
        <is>
          <t>جاهزية الشبكة</t>
        </is>
      </c>
      <c r="D18" s="60" t="inlineStr">
        <is>
          <t>محطة</t>
        </is>
      </c>
      <c r="E18" s="60" t="inlineStr">
        <is>
          <t>↑</t>
        </is>
      </c>
      <c r="F18" s="60" t="inlineStr">
        <is>
          <t>LAST</t>
        </is>
      </c>
      <c r="G18" s="61" t="n">
        <v>164</v>
      </c>
      <c r="H18" s="62" t="inlineStr">
        <is>
          <t>164 محطة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لاحق</t>
        </is>
      </c>
      <c r="AB18" s="53" t="n">
        <v>0.0417</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الكفاءة التشغيلية</t>
        </is>
      </c>
      <c r="C19" s="22" t="inlineStr">
        <is>
          <t>الامتثال للأمن السيبراني (المحطات)</t>
        </is>
      </c>
      <c r="D19" s="60" t="inlineStr">
        <is>
          <t>محطة</t>
        </is>
      </c>
      <c r="E19" s="60" t="inlineStr">
        <is>
          <t>↑</t>
        </is>
      </c>
      <c r="F19" s="60" t="inlineStr">
        <is>
          <t>LAST</t>
        </is>
      </c>
      <c r="G19" s="61" t="n">
        <v>164</v>
      </c>
      <c r="H19" s="62" t="inlineStr">
        <is>
          <t>164 محطة</t>
        </is>
      </c>
      <c r="I19" s="63" t="n"/>
      <c r="J19" s="63" t="n"/>
      <c r="K19" s="63" t="n"/>
      <c r="L19" s="63" t="n"/>
      <c r="M19" s="63" t="n"/>
      <c r="N19" s="63" t="n"/>
      <c r="O19" s="63" t="n"/>
      <c r="P19" s="63" t="n"/>
      <c r="Q19" s="63" t="n"/>
      <c r="R19" s="63" t="n"/>
      <c r="S19" s="63" t="n"/>
      <c r="T19" s="63" t="n"/>
      <c r="U19" s="64">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66" t="n"/>
      <c r="AA19" s="21" t="inlineStr">
        <is>
          <t>🟣 لاحق</t>
        </is>
      </c>
      <c r="AB19" s="53" t="n">
        <v>0.0417</v>
      </c>
      <c r="AC19" s="23">
        <f>IF($V19="","",$AB19*MIN($V19,1))</f>
        <v/>
      </c>
      <c r="AD19" s="61">
        <f>IF($G19="","",IF($F19="SUM",IF('لوحة الإدارة التنفيذية'!$P$2="","",$G19/12*'لوحة الإدارة التنفيذية'!$P$2),$G19))</f>
        <v/>
      </c>
      <c r="AE19" s="67">
        <f>IF($F19="SUM",IF(OR('لوحة الإدارة التنفيذية'!$P$2="",'لوحة الإدارة التنفيذية'!$P$2=0),"",IF($U19="","",$U19/'لوحة الإدارة التنفيذية'!$P$2*12)),IF($U19="","",$U19))</f>
        <v/>
      </c>
      <c r="AF19" s="61">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الكفاءة التشغيلية</t>
        </is>
      </c>
      <c r="C20" s="22" t="inlineStr">
        <is>
          <t>زمن استجابة الدعم الفني (المحطات)</t>
        </is>
      </c>
      <c r="D20" s="60" t="inlineStr">
        <is>
          <t>يوم</t>
        </is>
      </c>
      <c r="E20" s="60" t="inlineStr">
        <is>
          <t>↓</t>
        </is>
      </c>
      <c r="F20" s="60" t="inlineStr">
        <is>
          <t>AVG</t>
        </is>
      </c>
      <c r="G20" s="75" t="n">
        <v>1</v>
      </c>
      <c r="H20" s="62" t="inlineStr">
        <is>
          <t>≤ يوم</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0.0417</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الكفاءة التشغيلية</t>
        </is>
      </c>
      <c r="C21" s="22" t="inlineStr">
        <is>
          <t>ERP والتكامل (المحطات)</t>
        </is>
      </c>
      <c r="D21" s="60" t="inlineStr">
        <is>
          <t>محطة</t>
        </is>
      </c>
      <c r="E21" s="60" t="inlineStr">
        <is>
          <t>↑</t>
        </is>
      </c>
      <c r="F21" s="60" t="inlineStr">
        <is>
          <t>LAST</t>
        </is>
      </c>
      <c r="G21" s="61" t="n">
        <v>164</v>
      </c>
      <c r="H21" s="62" t="inlineStr">
        <is>
          <t>164 محطة</t>
        </is>
      </c>
      <c r="I21" s="63" t="n"/>
      <c r="J21" s="63" t="n"/>
      <c r="K21" s="63" t="n"/>
      <c r="L21" s="63" t="n"/>
      <c r="M21" s="63" t="n"/>
      <c r="N21" s="63" t="n"/>
      <c r="O21" s="63" t="n"/>
      <c r="P21" s="63" t="n"/>
      <c r="Q21" s="63" t="n"/>
      <c r="R21" s="63" t="n"/>
      <c r="S21" s="63" t="n"/>
      <c r="T21" s="63" t="n"/>
      <c r="U21" s="64">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66" t="n"/>
      <c r="AA21" s="21" t="inlineStr">
        <is>
          <t>🟣 لاحق</t>
        </is>
      </c>
      <c r="AB21" s="53" t="n">
        <v>0.0417</v>
      </c>
      <c r="AC21" s="23">
        <f>IF($V21="","",$AB21*MIN($V21,1))</f>
        <v/>
      </c>
      <c r="AD21" s="61">
        <f>IF($G21="","",IF($F21="SUM",IF('لوحة الإدارة التنفيذية'!$P$2="","",$G21/12*'لوحة الإدارة التنفيذية'!$P$2),$G21))</f>
        <v/>
      </c>
      <c r="AE21" s="67">
        <f>IF($F21="SUM",IF(OR('لوحة الإدارة التنفيذية'!$P$2="",'لوحة الإدارة التنفيذية'!$P$2=0),"",IF($U21="","",$U21/'لوحة الإدارة التنفيذية'!$P$2*12)),IF($U21="","",$U21))</f>
        <v/>
      </c>
      <c r="AF21" s="61">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الكفاءة التشغيلية</t>
        </is>
      </c>
      <c r="C22" s="22" t="inlineStr">
        <is>
          <t>تكامل واثق (المحطات)</t>
        </is>
      </c>
      <c r="D22" s="60" t="inlineStr">
        <is>
          <t>محطة</t>
        </is>
      </c>
      <c r="E22" s="60" t="inlineStr">
        <is>
          <t>↑</t>
        </is>
      </c>
      <c r="F22" s="60" t="inlineStr">
        <is>
          <t>LAST</t>
        </is>
      </c>
      <c r="G22" s="61" t="n">
        <v>164</v>
      </c>
      <c r="H22" s="62" t="inlineStr">
        <is>
          <t>164 محطة</t>
        </is>
      </c>
      <c r="I22" s="63" t="n"/>
      <c r="J22" s="63" t="n"/>
      <c r="K22" s="63" t="n"/>
      <c r="L22" s="63" t="n"/>
      <c r="M22" s="63" t="n"/>
      <c r="N22" s="63" t="n"/>
      <c r="O22" s="63" t="n"/>
      <c r="P22" s="63" t="n"/>
      <c r="Q22" s="63" t="n"/>
      <c r="R22" s="63" t="n"/>
      <c r="S22" s="63" t="n"/>
      <c r="T22" s="63" t="n"/>
      <c r="U22" s="64">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66" t="n"/>
      <c r="AA22" s="21" t="inlineStr">
        <is>
          <t>🟣 لاحق</t>
        </is>
      </c>
      <c r="AB22" s="53" t="n">
        <v>0.0417</v>
      </c>
      <c r="AC22" s="23">
        <f>IF($V22="","",$AB22*MIN($V22,1))</f>
        <v/>
      </c>
      <c r="AD22" s="61">
        <f>IF($G22="","",IF($F22="SUM",IF('لوحة الإدارة التنفيذية'!$P$2="","",$G22/12*'لوحة الإدارة التنفيذية'!$P$2),$G22))</f>
        <v/>
      </c>
      <c r="AE22" s="67">
        <f>IF($F22="SUM",IF(OR('لوحة الإدارة التنفيذية'!$P$2="",'لوحة الإدارة التنفيذية'!$P$2=0),"",IF($U22="","",$U22/'لوحة الإدارة التنفيذية'!$P$2*12)),IF($U22="","",$U22))</f>
        <v/>
      </c>
      <c r="AF22" s="61">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الكفاءة التشغيلية</t>
        </is>
      </c>
      <c r="C23" s="22" t="inlineStr">
        <is>
          <t>تكامل تطبيق الولاء (المحطات)</t>
        </is>
      </c>
      <c r="D23" s="60" t="inlineStr">
        <is>
          <t>محطة</t>
        </is>
      </c>
      <c r="E23" s="60" t="inlineStr">
        <is>
          <t>↑</t>
        </is>
      </c>
      <c r="F23" s="60" t="inlineStr">
        <is>
          <t>LAST</t>
        </is>
      </c>
      <c r="G23" s="61" t="n">
        <v>164</v>
      </c>
      <c r="H23" s="62" t="inlineStr">
        <is>
          <t>164 محطة</t>
        </is>
      </c>
      <c r="I23" s="63" t="n"/>
      <c r="J23" s="63" t="n"/>
      <c r="K23" s="63" t="n"/>
      <c r="L23" s="63" t="n"/>
      <c r="M23" s="63" t="n"/>
      <c r="N23" s="63" t="n"/>
      <c r="O23" s="63" t="n"/>
      <c r="P23" s="63" t="n"/>
      <c r="Q23" s="63" t="n"/>
      <c r="R23" s="63" t="n"/>
      <c r="S23" s="63" t="n"/>
      <c r="T23" s="63" t="n"/>
      <c r="U23" s="64">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تطبيق «تانكي»</t>
        </is>
      </c>
      <c r="Z23" s="66" t="n"/>
      <c r="AA23" s="21" t="inlineStr">
        <is>
          <t>🟣 لاحق</t>
        </is>
      </c>
      <c r="AB23" s="53" t="n">
        <v>0.0417</v>
      </c>
      <c r="AC23" s="23">
        <f>IF($V23="","",$AB23*MIN($V23,1))</f>
        <v/>
      </c>
      <c r="AD23" s="61">
        <f>IF($G23="","",IF($F23="SUM",IF('لوحة الإدارة التنفيذية'!$P$2="","",$G23/12*'لوحة الإدارة التنفيذية'!$P$2),$G23))</f>
        <v/>
      </c>
      <c r="AE23" s="67">
        <f>IF($F23="SUM",IF(OR('لوحة الإدارة التنفيذية'!$P$2="",'لوحة الإدارة التنفيذية'!$P$2=0),"",IF($U23="","",$U23/'لوحة الإدارة التنفيذية'!$P$2*12)),IF($U23="","",$U23))</f>
        <v/>
      </c>
      <c r="AF23" s="61">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المركز الرئيسي</t>
        </is>
      </c>
      <c r="C24" s="22" t="inlineStr">
        <is>
          <t>جاهزية شبكة المركز الرئيسي</t>
        </is>
      </c>
      <c r="D24" s="60" t="inlineStr">
        <is>
          <t>ساعة</t>
        </is>
      </c>
      <c r="E24" s="60" t="inlineStr">
        <is>
          <t>↑</t>
        </is>
      </c>
      <c r="F24" s="60" t="inlineStr">
        <is>
          <t>LAST</t>
        </is>
      </c>
      <c r="G24" s="61" t="n">
        <v>24</v>
      </c>
      <c r="H24" s="62" t="inlineStr">
        <is>
          <t>24 ساعة</t>
        </is>
      </c>
      <c r="I24" s="63" t="n"/>
      <c r="J24" s="63" t="n"/>
      <c r="K24" s="63" t="n"/>
      <c r="L24" s="63" t="n"/>
      <c r="M24" s="63" t="n"/>
      <c r="N24" s="63" t="n"/>
      <c r="O24" s="63" t="n"/>
      <c r="P24" s="63" t="n"/>
      <c r="Q24" s="63" t="n"/>
      <c r="R24" s="63" t="n"/>
      <c r="S24" s="63" t="n"/>
      <c r="T24" s="63" t="n"/>
      <c r="U24" s="64">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الاستدامة</t>
        </is>
      </c>
      <c r="Y24" s="22" t="inlineStr">
        <is>
          <t>جودة التشغيل</t>
        </is>
      </c>
      <c r="Z24" s="66" t="n"/>
      <c r="AA24" s="21" t="inlineStr">
        <is>
          <t>🟣 لاحق</t>
        </is>
      </c>
      <c r="AB24" s="53" t="n">
        <v>0.0417</v>
      </c>
      <c r="AC24" s="23">
        <f>IF($V24="","",$AB24*MIN($V24,1))</f>
        <v/>
      </c>
      <c r="AD24" s="61">
        <f>IF($G24="","",IF($F24="SUM",IF('لوحة الإدارة التنفيذية'!$P$2="","",$G24/12*'لوحة الإدارة التنفيذية'!$P$2),$G24))</f>
        <v/>
      </c>
      <c r="AE24" s="67">
        <f>IF($F24="SUM",IF(OR('لوحة الإدارة التنفيذية'!$P$2="",'لوحة الإدارة التنفيذية'!$P$2=0),"",IF($U24="","",$U24/'لوحة الإدارة التنفيذية'!$P$2*12)),IF($U24="","",$U24))</f>
        <v/>
      </c>
      <c r="AF24" s="61">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المركز الرئيسي</t>
        </is>
      </c>
      <c r="C25" s="22" t="inlineStr">
        <is>
          <t>جاهزية تطبيقات المركز الرئيسي</t>
        </is>
      </c>
      <c r="D25" s="60" t="inlineStr">
        <is>
          <t>ساعة</t>
        </is>
      </c>
      <c r="E25" s="60" t="inlineStr">
        <is>
          <t>↑</t>
        </is>
      </c>
      <c r="F25" s="60" t="inlineStr">
        <is>
          <t>LAST</t>
        </is>
      </c>
      <c r="G25" s="61" t="n">
        <v>24</v>
      </c>
      <c r="H25" s="62" t="inlineStr">
        <is>
          <t>24 ساعة</t>
        </is>
      </c>
      <c r="I25" s="63" t="n"/>
      <c r="J25" s="63" t="n"/>
      <c r="K25" s="63" t="n"/>
      <c r="L25" s="63" t="n"/>
      <c r="M25" s="63" t="n"/>
      <c r="N25" s="63" t="n"/>
      <c r="O25" s="63" t="n"/>
      <c r="P25" s="63" t="n"/>
      <c r="Q25" s="63" t="n"/>
      <c r="R25" s="63" t="n"/>
      <c r="S25" s="63" t="n"/>
      <c r="T25" s="63" t="n"/>
      <c r="U25" s="64">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جودة التشغيل</t>
        </is>
      </c>
      <c r="Z25" s="66" t="n"/>
      <c r="AA25" s="21" t="inlineStr">
        <is>
          <t>🟣 لاحق</t>
        </is>
      </c>
      <c r="AB25" s="53" t="n">
        <v>0.0417</v>
      </c>
      <c r="AC25" s="23">
        <f>IF($V25="","",$AB25*MIN($V25,1))</f>
        <v/>
      </c>
      <c r="AD25" s="61">
        <f>IF($G25="","",IF($F25="SUM",IF('لوحة الإدارة التنفيذية'!$P$2="","",$G25/12*'لوحة الإدارة التنفيذية'!$P$2),$G25))</f>
        <v/>
      </c>
      <c r="AE25" s="67">
        <f>IF($F25="SUM",IF(OR('لوحة الإدارة التنفيذية'!$P$2="",'لوحة الإدارة التنفيذية'!$P$2=0),"",IF($U25="","",$U25/'لوحة الإدارة التنفيذية'!$P$2*12)),IF($U25="","",$U25))</f>
        <v/>
      </c>
      <c r="AF25" s="61">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المركز الرئيسي</t>
        </is>
      </c>
      <c r="C26" s="22" t="inlineStr">
        <is>
          <t>زمن استجابة الدعم (المركز)</t>
        </is>
      </c>
      <c r="D26" s="60" t="inlineStr">
        <is>
          <t>ساعة</t>
        </is>
      </c>
      <c r="E26" s="60" t="inlineStr">
        <is>
          <t>↓</t>
        </is>
      </c>
      <c r="F26" s="60" t="inlineStr">
        <is>
          <t>AVG</t>
        </is>
      </c>
      <c r="G26" s="75" t="n">
        <v>1</v>
      </c>
      <c r="H26" s="62" t="inlineStr">
        <is>
          <t>≤ ساعة</t>
        </is>
      </c>
      <c r="I26" s="76" t="n"/>
      <c r="J26" s="76" t="n"/>
      <c r="K26" s="76" t="n"/>
      <c r="L26" s="76" t="n"/>
      <c r="M26" s="76" t="n"/>
      <c r="N26" s="76" t="n"/>
      <c r="O26" s="76" t="n"/>
      <c r="P26" s="76" t="n"/>
      <c r="Q26" s="76" t="n"/>
      <c r="R26" s="76" t="n"/>
      <c r="S26" s="76" t="n"/>
      <c r="T26" s="76" t="n"/>
      <c r="U26" s="77">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78" t="n"/>
      <c r="AA26" s="21" t="inlineStr">
        <is>
          <t>🟣 لاحق</t>
        </is>
      </c>
      <c r="AB26" s="53" t="n">
        <v>0.0417</v>
      </c>
      <c r="AC26" s="23">
        <f>IF($V26="","",$AB26*MIN($V26,1))</f>
        <v/>
      </c>
      <c r="AD26" s="75">
        <f>IF($G26="","",IF($F26="SUM",IF('لوحة الإدارة التنفيذية'!$P$2="","",$G26/12*'لوحة الإدارة التنفيذية'!$P$2),$G26))</f>
        <v/>
      </c>
      <c r="AE26" s="79">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8" t="inlineStr">
        <is>
          <t>العمليات الداخلية</t>
        </is>
      </c>
    </row>
    <row r="27" ht="26" customHeight="1">
      <c r="A27" s="17" t="n">
        <v>24</v>
      </c>
      <c r="B27" s="22" t="inlineStr">
        <is>
          <t>المركز الرئيسي</t>
        </is>
      </c>
      <c r="C27" s="22" t="inlineStr">
        <is>
          <t>الامتثال للأمن السيبراني (المركز)</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التقنية الرقمية · نموذج تقييم الأداء — مدير إدارة التقنية الرقمية</t>
        </is>
      </c>
    </row>
    <row r="2">
      <c r="A2" s="50" t="inlineStr">
        <is>
          <t>الكود: DM-01  ·  ربع سنوي  ·  🟩 أدخل «نسبة التحقيق» فقط — الدرجة تُحسب تلقائياً</t>
        </is>
      </c>
    </row>
    <row r="3">
      <c r="A3" s="85" t="inlineStr">
        <is>
          <t>اسم الموظف:</t>
        </is>
      </c>
      <c r="B3" s="51" t="inlineStr"/>
      <c r="C3" s="86" t="n"/>
      <c r="D3" s="85" t="inlineStr">
        <is>
          <t>القسم: التقنية الرقمية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مستخدمو تطبيق تانكي (MAU)</t>
        </is>
      </c>
      <c r="C7" s="74" t="n">
        <v>0.2</v>
      </c>
      <c r="D7" s="88" t="inlineStr">
        <is>
          <t>مستهدف تصاعدي</t>
        </is>
      </c>
      <c r="E7" s="53" t="n"/>
      <c r="F7" s="23">
        <f>C7*MIN(E7,1)</f>
        <v/>
      </c>
      <c r="G7" s="51" t="inlineStr"/>
    </row>
    <row r="8" ht="28" customHeight="1">
      <c r="A8" s="17" t="n">
        <v>2</v>
      </c>
      <c r="B8" s="22" t="inlineStr">
        <is>
          <t>نسبة المعاملات الرقمية</t>
        </is>
      </c>
      <c r="C8" s="74" t="n">
        <v>0.15</v>
      </c>
      <c r="D8" s="88" t="inlineStr">
        <is>
          <t>تصاعدي</t>
        </is>
      </c>
      <c r="E8" s="53" t="n"/>
      <c r="F8" s="23">
        <f>C8*MIN(E8,1)</f>
        <v/>
      </c>
      <c r="G8" s="51" t="inlineStr"/>
    </row>
    <row r="9" ht="28" customHeight="1">
      <c r="A9" s="17" t="n">
        <v>3</v>
      </c>
      <c r="B9" s="22" t="inlineStr">
        <is>
          <t>نسبة الأتمتة على مستوى الشركة</t>
        </is>
      </c>
      <c r="C9" s="74" t="n">
        <v>0.2</v>
      </c>
      <c r="D9" s="88" t="inlineStr">
        <is>
          <t>≥ 90%</t>
        </is>
      </c>
      <c r="E9" s="53" t="n"/>
      <c r="F9" s="23">
        <f>C9*MIN(E9,1)</f>
        <v/>
      </c>
      <c r="G9" s="51" t="inlineStr"/>
    </row>
    <row r="10" ht="28" customHeight="1">
      <c r="A10" s="17" t="n">
        <v>4</v>
      </c>
      <c r="B10" s="22" t="inlineStr">
        <is>
          <t>جاهزية الأنظمة (Uptime)</t>
        </is>
      </c>
      <c r="C10" s="74" t="n">
        <v>0.15</v>
      </c>
      <c r="D10" s="88" t="inlineStr">
        <is>
          <t>≥ 99.5%</t>
        </is>
      </c>
      <c r="E10" s="53" t="n"/>
      <c r="F10" s="23">
        <f>C10*MIN(E10,1)</f>
        <v/>
      </c>
      <c r="G10" s="51" t="inlineStr"/>
    </row>
    <row r="11" ht="28" customHeight="1">
      <c r="A11" s="17" t="n">
        <v>5</v>
      </c>
      <c r="B11" s="22" t="inlineStr">
        <is>
          <t>متوسط زمن حل الأعطال</t>
        </is>
      </c>
      <c r="C11" s="74" t="n">
        <v>0.1</v>
      </c>
      <c r="D11" s="88" t="inlineStr">
        <is>
          <t>≤ 4 ساعات</t>
        </is>
      </c>
      <c r="E11" s="53" t="n"/>
      <c r="F11" s="23">
        <f>C11*MIN(E11,1)</f>
        <v/>
      </c>
      <c r="G11" s="51" t="inlineStr"/>
    </row>
    <row r="12" ht="28" customHeight="1">
      <c r="A12" s="17" t="n">
        <v>6</v>
      </c>
      <c r="B12" s="22" t="inlineStr">
        <is>
          <t>المشاريع التقنية المنجزة في الوقت</t>
        </is>
      </c>
      <c r="C12" s="74" t="n">
        <v>0.15</v>
      </c>
      <c r="D12" s="88" t="inlineStr">
        <is>
          <t>≥ 90%</t>
        </is>
      </c>
      <c r="E12" s="53" t="n"/>
      <c r="F12" s="23">
        <f>C12*MIN(E12,1)</f>
        <v/>
      </c>
      <c r="G12" s="51" t="inlineStr"/>
    </row>
    <row r="13" ht="28" customHeight="1">
      <c r="A13" s="17" t="n">
        <v>7</v>
      </c>
      <c r="B13" s="22" t="inlineStr">
        <is>
          <t>رضا المستخدمين عن الأنظمة</t>
        </is>
      </c>
      <c r="C13" s="74" t="n">
        <v>0.05</v>
      </c>
      <c r="D13" s="88" t="inlineStr">
        <is>
          <t>≥ 4.5</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H21"/>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(17 مؤشراً) — خطة العمل 2026</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التوظيف والتوطين</t>
        </is>
      </c>
      <c r="C4" s="22" t="inlineStr">
        <is>
          <t>نسبة السعودة / التوطين</t>
        </is>
      </c>
      <c r="D4" s="60" t="inlineStr">
        <is>
          <t>%</t>
        </is>
      </c>
      <c r="E4" s="60" t="inlineStr">
        <is>
          <t>↑</t>
        </is>
      </c>
      <c r="F4" s="60" t="inlineStr">
        <is>
          <t>LAST</t>
        </is>
      </c>
      <c r="G4" s="60" t="inlineStr"/>
      <c r="H4" s="62" t="inlineStr">
        <is>
          <t>أخضر مرتفع (حسب الوزارة)</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الاستثمار في الموظفين</t>
        </is>
      </c>
      <c r="Z4" s="53" t="n"/>
      <c r="AA4" s="21" t="inlineStr">
        <is>
          <t>🟣 لاحق</t>
        </is>
      </c>
      <c r="AB4" s="53" t="n">
        <v>0.0588</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التوظيف والتوطين</t>
        </is>
      </c>
      <c r="C5" s="22" t="inlineStr">
        <is>
          <t>الارتقاء بآليات اختيار المرشحين</t>
        </is>
      </c>
      <c r="D5" s="60" t="inlineStr">
        <is>
          <t>%</t>
        </is>
      </c>
      <c r="E5" s="60" t="inlineStr">
        <is>
          <t>↑</t>
        </is>
      </c>
      <c r="F5" s="60" t="inlineStr">
        <is>
          <t>LAST</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الاستثمار في الموظفين</t>
        </is>
      </c>
      <c r="Z5" s="53" t="n"/>
      <c r="AA5" s="21" t="inlineStr">
        <is>
          <t>🟣 لاحق</t>
        </is>
      </c>
      <c r="AB5" s="53" t="n">
        <v>0.0588</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التوظيف والتوطين</t>
        </is>
      </c>
      <c r="C6" s="22" t="inlineStr">
        <is>
          <t>نسبة شغل الشواغر خلال 30 يوم</t>
        </is>
      </c>
      <c r="D6" s="60" t="inlineStr">
        <is>
          <t>%</t>
        </is>
      </c>
      <c r="E6" s="60" t="inlineStr">
        <is>
          <t>↑</t>
        </is>
      </c>
      <c r="F6" s="60" t="inlineStr">
        <is>
          <t>AVG</t>
        </is>
      </c>
      <c r="G6" s="74" t="n">
        <v>0.85</v>
      </c>
      <c r="H6" s="62" t="inlineStr">
        <is>
          <t>≥ 85%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الاستثمار في الموظفين</t>
        </is>
      </c>
      <c r="Z6" s="53" t="n"/>
      <c r="AA6" s="21" t="inlineStr">
        <is>
          <t>🟣 لاحق</t>
        </is>
      </c>
      <c r="AB6" s="53" t="n">
        <v>0.0588</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الاستبقاء</t>
        </is>
      </c>
      <c r="C7" s="22" t="inlineStr">
        <is>
          <t>معدل استبقاء الموظفين (Retention)</t>
        </is>
      </c>
      <c r="D7" s="60" t="inlineStr">
        <is>
          <t>%</t>
        </is>
      </c>
      <c r="E7" s="60" t="inlineStr">
        <is>
          <t>↑</t>
        </is>
      </c>
      <c r="F7" s="60" t="inlineStr">
        <is>
          <t>LAST</t>
        </is>
      </c>
      <c r="G7" s="74" t="n">
        <v>0.9</v>
      </c>
      <c r="H7" s="62" t="inlineStr">
        <is>
          <t>≥ 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الاستثمار في الموظفين</t>
        </is>
      </c>
      <c r="Z7" s="53" t="n"/>
      <c r="AA7" s="21" t="inlineStr">
        <is>
          <t>🟣 لاحق</t>
        </is>
      </c>
      <c r="AB7" s="53" t="n">
        <v>0.0588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التعلّم والنمو</t>
        </is>
      </c>
    </row>
    <row r="8" ht="26" customHeight="1">
      <c r="A8" s="17" t="n">
        <v>5</v>
      </c>
      <c r="B8" s="22" t="inlineStr">
        <is>
          <t>الاستبقاء</t>
        </is>
      </c>
      <c r="C8" s="22" t="inlineStr">
        <is>
          <t>معدل دوران الموظفين (Turnover)</t>
        </is>
      </c>
      <c r="D8" s="60" t="inlineStr">
        <is>
          <t>%</t>
        </is>
      </c>
      <c r="E8" s="60" t="inlineStr">
        <is>
          <t>↓</t>
        </is>
      </c>
      <c r="F8" s="60" t="inlineStr">
        <is>
          <t>AVG</t>
        </is>
      </c>
      <c r="G8" s="74" t="n">
        <v>0.1</v>
      </c>
      <c r="H8" s="62" t="inlineStr">
        <is>
          <t>≤ 10%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الاستثمار في الموظفين</t>
        </is>
      </c>
      <c r="Z8" s="53" t="n"/>
      <c r="AA8" s="21" t="inlineStr">
        <is>
          <t>🟣 لاحق</t>
        </is>
      </c>
      <c r="AB8" s="53" t="n">
        <v>0.0588</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التعلّم والنمو</t>
        </is>
      </c>
    </row>
    <row r="9" ht="26" customHeight="1">
      <c r="A9" s="17" t="n">
        <v>6</v>
      </c>
      <c r="B9" s="22" t="inlineStr">
        <is>
          <t>التدريب والتطوير</t>
        </is>
      </c>
      <c r="C9" s="22" t="inlineStr">
        <is>
          <t>عدد الدورات الإدارية المنعقدة</t>
        </is>
      </c>
      <c r="D9" s="60" t="inlineStr">
        <is>
          <t>دورة</t>
        </is>
      </c>
      <c r="E9" s="60" t="inlineStr">
        <is>
          <t>↑</t>
        </is>
      </c>
      <c r="F9" s="60" t="inlineStr">
        <is>
          <t>SUM</t>
        </is>
      </c>
      <c r="G9" s="61" t="n">
        <v>6</v>
      </c>
      <c r="H9" s="62" t="inlineStr">
        <is>
          <t>6 دورات</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الاستثمار في الموظفين</t>
        </is>
      </c>
      <c r="Z9" s="66" t="n"/>
      <c r="AA9" s="21" t="inlineStr">
        <is>
          <t>🔵 قائد</t>
        </is>
      </c>
      <c r="AB9" s="53" t="n">
        <v>0.0588</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التدريب والتطوير</t>
        </is>
      </c>
      <c r="C10" s="22" t="inlineStr">
        <is>
          <t>متوسط ساعات التدريب لكل موظف</t>
        </is>
      </c>
      <c r="D10" s="60" t="inlineStr">
        <is>
          <t>ساعة</t>
        </is>
      </c>
      <c r="E10" s="60" t="inlineStr">
        <is>
          <t>↑</t>
        </is>
      </c>
      <c r="F10" s="60" t="inlineStr">
        <is>
          <t>SUM</t>
        </is>
      </c>
      <c r="G10" s="75" t="n">
        <v>40</v>
      </c>
      <c r="H10" s="62" t="inlineStr">
        <is>
          <t>≥ 40 ساعة</t>
        </is>
      </c>
      <c r="I10" s="76" t="n"/>
      <c r="J10" s="76" t="n"/>
      <c r="K10" s="76" t="n"/>
      <c r="L10" s="76" t="n"/>
      <c r="M10" s="76" t="n"/>
      <c r="N10" s="76" t="n"/>
      <c r="O10" s="76" t="n"/>
      <c r="P10" s="76" t="n"/>
      <c r="Q10" s="76" t="n"/>
      <c r="R10" s="76" t="n"/>
      <c r="S10" s="76" t="n"/>
      <c r="T10" s="76" t="n"/>
      <c r="U10" s="77">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الاستثمار في الموظفين</t>
        </is>
      </c>
      <c r="Z10" s="78" t="n"/>
      <c r="AA10" s="21" t="inlineStr">
        <is>
          <t>🔵 قائد</t>
        </is>
      </c>
      <c r="AB10" s="53" t="n">
        <v>0.0588</v>
      </c>
      <c r="AC10" s="23">
        <f>IF($V10="","",$AB10*MIN($V10,1))</f>
        <v/>
      </c>
      <c r="AD10" s="75">
        <f>IF($G10="","",IF($F10="SUM",IF('لوحة الإدارة التنفيذية'!$P$2="","",$G10/12*'لوحة الإدارة التنفيذية'!$P$2),$G10))</f>
        <v/>
      </c>
      <c r="AE10" s="79">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8" t="inlineStr">
        <is>
          <t>التعلّم والنمو</t>
        </is>
      </c>
    </row>
    <row r="11" ht="26" customHeight="1">
      <c r="A11" s="17" t="n">
        <v>8</v>
      </c>
      <c r="B11" s="22" t="inlineStr">
        <is>
          <t>التدريب والتطوير</t>
        </is>
      </c>
      <c r="C11" s="22" t="inlineStr">
        <is>
          <t>نسبة الموظفين المشمولين بخطة تطوير</t>
        </is>
      </c>
      <c r="D11" s="60" t="inlineStr">
        <is>
          <t>%</t>
        </is>
      </c>
      <c r="E11" s="60" t="inlineStr">
        <is>
          <t>↑</t>
        </is>
      </c>
      <c r="F11" s="60" t="inlineStr">
        <is>
          <t>LAST</t>
        </is>
      </c>
      <c r="G11" s="74" t="n">
        <v>0.8</v>
      </c>
      <c r="H11" s="62" t="inlineStr">
        <is>
          <t>≥ 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53" t="n"/>
      <c r="AA11" s="21" t="inlineStr">
        <is>
          <t>🟣 لاحق</t>
        </is>
      </c>
      <c r="AB11" s="53" t="n">
        <v>0.0588</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الرضا والثقافة</t>
        </is>
      </c>
      <c r="C12" s="22" t="inlineStr">
        <is>
          <t>مؤشر رضا الموظفين (eNPS)</t>
        </is>
      </c>
      <c r="D12" s="60" t="inlineStr">
        <is>
          <t>نقطة</t>
        </is>
      </c>
      <c r="E12" s="60" t="inlineStr">
        <is>
          <t>↑</t>
        </is>
      </c>
      <c r="F12" s="60" t="inlineStr">
        <is>
          <t>AVG</t>
        </is>
      </c>
      <c r="G12" s="75" t="n">
        <v>30</v>
      </c>
      <c r="H12" s="62" t="inlineStr">
        <is>
          <t>≥ 30</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الاستثمار في الموظفين</t>
        </is>
      </c>
      <c r="Z12" s="78" t="n"/>
      <c r="AA12" s="21" t="inlineStr">
        <is>
          <t>🟣 لاحق</t>
        </is>
      </c>
      <c r="AB12" s="53" t="n">
        <v>0.0588</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التعلّم والنمو</t>
        </is>
      </c>
    </row>
    <row r="13" ht="26" customHeight="1">
      <c r="A13" s="17" t="n">
        <v>10</v>
      </c>
      <c r="B13" s="22" t="inlineStr">
        <is>
          <t>الرضا والثقافة</t>
        </is>
      </c>
      <c r="C13" s="22" t="inlineStr">
        <is>
          <t>تحسين مستوى الرضا الوظيفي</t>
        </is>
      </c>
      <c r="D13" s="60" t="inlineStr">
        <is>
          <t>%</t>
        </is>
      </c>
      <c r="E13" s="60" t="inlineStr">
        <is>
          <t>↑</t>
        </is>
      </c>
      <c r="F13" s="60" t="inlineStr">
        <is>
          <t>AVG</t>
        </is>
      </c>
      <c r="G13" s="60" t="inlineStr"/>
      <c r="H13" s="62" t="inlineStr">
        <is>
          <t>مستهدف سنوي</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الاستثمار في الموظفين</t>
        </is>
      </c>
      <c r="Z13" s="53" t="n"/>
      <c r="AA13" s="21" t="inlineStr">
        <is>
          <t>🟣 لاحق</t>
        </is>
      </c>
      <c r="AB13" s="53" t="n">
        <v>0.0588</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الرضا والثقافة</t>
        </is>
      </c>
      <c r="C14" s="22" t="inlineStr">
        <is>
          <t>ترسيخ القيم والثقافة المؤسسية</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الاستثمار في الموظفين</t>
        </is>
      </c>
      <c r="Z14" s="53" t="n"/>
      <c r="AA14" s="21" t="inlineStr">
        <is>
          <t>🟣 لاحق</t>
        </is>
      </c>
      <c r="AB14" s="53" t="n">
        <v>0.0588</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الأتمتة والتوثيق</t>
        </is>
      </c>
      <c r="C15" s="22" t="inlineStr">
        <is>
          <t>نسبة أتمتة عمليات الموارد البشرية</t>
        </is>
      </c>
      <c r="D15" s="60" t="inlineStr">
        <is>
          <t>%</t>
        </is>
      </c>
      <c r="E15" s="60" t="inlineStr">
        <is>
          <t>↑</t>
        </is>
      </c>
      <c r="F15" s="60" t="inlineStr">
        <is>
          <t>LAST</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الابتكار</t>
        </is>
      </c>
      <c r="Y15" s="22" t="inlineStr">
        <is>
          <t>التحول التقني</t>
        </is>
      </c>
      <c r="Z15" s="53" t="n"/>
      <c r="AA15" s="21" t="inlineStr">
        <is>
          <t>🟣 لاحق</t>
        </is>
      </c>
      <c r="AB15" s="53" t="n">
        <v>0.0588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التعلّم والنمو</t>
        </is>
      </c>
    </row>
    <row r="16" ht="26" customHeight="1">
      <c r="A16" s="17" t="n">
        <v>13</v>
      </c>
      <c r="B16" s="22" t="inlineStr">
        <is>
          <t>الأتمتة والتوثيق</t>
        </is>
      </c>
      <c r="C16" s="22" t="inlineStr">
        <is>
          <t>نسبة توثيق أنظمة العمل</t>
        </is>
      </c>
      <c r="D16" s="60" t="inlineStr">
        <is>
          <t>%</t>
        </is>
      </c>
      <c r="E16" s="60" t="inlineStr">
        <is>
          <t>↑</t>
        </is>
      </c>
      <c r="F16" s="60" t="inlineStr">
        <is>
          <t>LAST</t>
        </is>
      </c>
      <c r="G16" s="74" t="n">
        <v>0.8</v>
      </c>
      <c r="H16" s="62" t="inlineStr">
        <is>
          <t>≥ 80%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0.0588</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الأتمتة والتوثيق</t>
        </is>
      </c>
      <c r="C17" s="22" t="inlineStr">
        <is>
          <t>ترسيخ الأنظمة الإدارية</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0.0588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الهيكلة</t>
        </is>
      </c>
      <c r="C18" s="22" t="inlineStr">
        <is>
          <t>اعتماد الهيكل التنظيمي</t>
        </is>
      </c>
      <c r="D18" s="60" t="inlineStr">
        <is>
          <t>%</t>
        </is>
      </c>
      <c r="E18" s="60" t="inlineStr">
        <is>
          <t>↑</t>
        </is>
      </c>
      <c r="F18" s="60" t="inlineStr">
        <is>
          <t>LAST</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0.0588</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الهيكلة</t>
        </is>
      </c>
      <c r="C19" s="22" t="inlineStr">
        <is>
          <t>اكتمال الأوصاف الوظيفية (+KPI)</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0.0588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الأداء</t>
        </is>
      </c>
      <c r="C20" s="22" t="inlineStr">
        <is>
          <t>نسبة إنجاز تقييمات الأداء في موعدها</t>
        </is>
      </c>
      <c r="D20" s="60" t="inlineStr">
        <is>
          <t>%</t>
        </is>
      </c>
      <c r="E20" s="60" t="inlineStr">
        <is>
          <t>↑</t>
        </is>
      </c>
      <c r="F20" s="60" t="inlineStr">
        <is>
          <t>AVG</t>
        </is>
      </c>
      <c r="G20" s="74" t="n">
        <v>1</v>
      </c>
      <c r="H20" s="62" t="inlineStr">
        <is>
          <t>100%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الاستثمار في الموظفين</t>
        </is>
      </c>
      <c r="Z20" s="53" t="n"/>
      <c r="AA20" s="21" t="inlineStr">
        <is>
          <t>🟣 لاحق</t>
        </is>
      </c>
      <c r="AB20" s="53" t="n">
        <v>0.0588</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c r="A21" s="80" t="inlineStr"/>
      <c r="B21" s="81" t="inlineStr">
        <is>
          <t>الإجمالي الموزون للإدارة</t>
        </is>
      </c>
      <c r="AB21" s="82">
        <f>SUM(AB4:AB20)</f>
        <v/>
      </c>
      <c r="AC21" s="83">
        <f>SUM(AC4:AC20)</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1:AA21"/>
  </mergeCells>
  <dataValidations count="1">
    <dataValidation sqref="I4 I5 I6 I7 I8 I9 I10 I11 I12 I13 I14 I15 I16 I17 I18 I19 I20 J4 J5 J6 J7 J8 J9 J10 J11 J12 J13 J14 J15 J16 J17 J18 J19 J20 K4 K5 K6 K7 K8 K9 K10 K11 K12 K13 K14 K15 K16 K17 K18 K19 K20 L4 L5 L6 L7 L8 L9 L10 L11 L12 L13 L14 L15 L16 L17 L18 L19 L20 M4 M5 M6 M7 M8 M9 M10 M11 M12 M13 M14 M15 M16 M17 M18 M19 M20 N4 N5 N6 N7 N8 N9 N10 N11 N12 N13 N14 N15 N16 N17 N18 N19 N20 O4 O5 O6 O7 O8 O9 O10 O11 O12 O13 O14 O15 O16 O17 O18 O19 O20 P4 P5 P6 P7 P8 P9 P10 P11 P12 P13 P14 P15 P16 P17 P18 P19 P20 Q4 Q5 Q6 Q7 Q8 Q9 Q10 Q11 Q12 Q13 Q14 Q15 Q16 Q17 Q18 Q19 Q20 R4 R5 R6 R7 R8 R9 R10 R11 R12 R13 R14 R15 R16 R17 R18 R19 R20 S4 S5 S6 S7 S8 S9 S10 S11 S12 S13 S14 S15 S16 S17 S18 S19 S20 T4 T5 T6 T7 T8 T9 T10 T11 T12 T13 T14 T15 T16 T17 T18 T19 T20 Z4 Z5 Z6 Z7 Z8 Z9 Z10 Z11 Z12 Z13 Z14 Z15 Z16 Z17 Z18 Z19 Z20"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الموارد البشرية · نموذج تقييم الأداء — مدير إدارة الموارد البشرية</t>
        </is>
      </c>
    </row>
    <row r="2">
      <c r="A2" s="50" t="inlineStr">
        <is>
          <t>الكود: HM-01  ·  ربع سنوي  ·  🟩 أدخل «نسبة التحقيق» فقط — الدرجة تُحسب تلقائياً</t>
        </is>
      </c>
    </row>
    <row r="3">
      <c r="A3" s="85" t="inlineStr">
        <is>
          <t>اسم الموظف:</t>
        </is>
      </c>
      <c r="B3" s="51" t="inlineStr"/>
      <c r="C3" s="86" t="n"/>
      <c r="D3" s="85" t="inlineStr">
        <is>
          <t>القسم: الموارد البشرية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معدل استبقاء الموظفين</t>
        </is>
      </c>
      <c r="C7" s="74" t="n">
        <v>0.2</v>
      </c>
      <c r="D7" s="88" t="inlineStr">
        <is>
          <t>≥ 90%</t>
        </is>
      </c>
      <c r="E7" s="53" t="n"/>
      <c r="F7" s="23">
        <f>C7*MIN(E7,1)</f>
        <v/>
      </c>
      <c r="G7" s="51" t="inlineStr"/>
    </row>
    <row r="8" ht="28" customHeight="1">
      <c r="A8" s="17" t="n">
        <v>2</v>
      </c>
      <c r="B8" s="22" t="inlineStr">
        <is>
          <t>معدل دوران الموظفين</t>
        </is>
      </c>
      <c r="C8" s="74" t="n">
        <v>0.15</v>
      </c>
      <c r="D8" s="88" t="inlineStr">
        <is>
          <t>≤ 10%</t>
        </is>
      </c>
      <c r="E8" s="53" t="n"/>
      <c r="F8" s="23">
        <f>C8*MIN(E8,1)</f>
        <v/>
      </c>
      <c r="G8" s="51" t="inlineStr"/>
    </row>
    <row r="9" ht="28" customHeight="1">
      <c r="A9" s="17" t="n">
        <v>3</v>
      </c>
      <c r="B9" s="22" t="inlineStr">
        <is>
          <t>متوسط ساعات التدريب لكل موظف</t>
        </is>
      </c>
      <c r="C9" s="74" t="n">
        <v>0.15</v>
      </c>
      <c r="D9" s="88" t="inlineStr">
        <is>
          <t>≥ 40 ساعة</t>
        </is>
      </c>
      <c r="E9" s="53" t="n"/>
      <c r="F9" s="23">
        <f>C9*MIN(E9,1)</f>
        <v/>
      </c>
      <c r="G9" s="51" t="inlineStr"/>
    </row>
    <row r="10" ht="28" customHeight="1">
      <c r="A10" s="17" t="n">
        <v>4</v>
      </c>
      <c r="B10" s="22" t="inlineStr">
        <is>
          <t>الموظفون المشمولون بخطة تطوير</t>
        </is>
      </c>
      <c r="C10" s="74" t="n">
        <v>0.15</v>
      </c>
      <c r="D10" s="88" t="inlineStr">
        <is>
          <t>≥ 80%</t>
        </is>
      </c>
      <c r="E10" s="53" t="n"/>
      <c r="F10" s="23">
        <f>C10*MIN(E10,1)</f>
        <v/>
      </c>
      <c r="G10" s="51" t="inlineStr"/>
    </row>
    <row r="11" ht="28" customHeight="1">
      <c r="A11" s="17" t="n">
        <v>5</v>
      </c>
      <c r="B11" s="22" t="inlineStr">
        <is>
          <t>مؤشر رضا الموظفين (eNPS)</t>
        </is>
      </c>
      <c r="C11" s="74" t="n">
        <v>0.15</v>
      </c>
      <c r="D11" s="88" t="inlineStr">
        <is>
          <t>≥ 30</t>
        </is>
      </c>
      <c r="E11" s="53" t="n"/>
      <c r="F11" s="23">
        <f>C11*MIN(E11,1)</f>
        <v/>
      </c>
      <c r="G11" s="51" t="inlineStr"/>
    </row>
    <row r="12" ht="28" customHeight="1">
      <c r="A12" s="17" t="n">
        <v>6</v>
      </c>
      <c r="B12" s="22" t="inlineStr">
        <is>
          <t>شغل الشواغر خلال 30 يوم</t>
        </is>
      </c>
      <c r="C12" s="74" t="n">
        <v>0.1</v>
      </c>
      <c r="D12" s="88" t="inlineStr">
        <is>
          <t>≥ 85%</t>
        </is>
      </c>
      <c r="E12" s="53" t="n"/>
      <c r="F12" s="23">
        <f>C12*MIN(E12,1)</f>
        <v/>
      </c>
      <c r="G12" s="51" t="inlineStr"/>
    </row>
    <row r="13" ht="28" customHeight="1">
      <c r="A13" s="17" t="n">
        <v>7</v>
      </c>
      <c r="B13" s="22" t="inlineStr">
        <is>
          <t>إنجاز تقييمات الأداء في موعدها</t>
        </is>
      </c>
      <c r="C13" s="74" t="n">
        <v>0.1</v>
      </c>
      <c r="D13" s="88" t="inlineStr">
        <is>
          <t>100%</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59"/>
  <sheetViews>
    <sheetView showGridLines="0" rightToLeft="1" workbookViewId="0">
      <selection activeCell="A1" sqref="A1"/>
    </sheetView>
  </sheetViews>
  <sheetFormatPr baseColWidth="8" defaultRowHeight="15"/>
  <cols>
    <col width="4" customWidth="1" min="1" max="1"/>
    <col width="18" customWidth="1" min="2" max="2"/>
    <col width="40" customWidth="1" min="3" max="3"/>
    <col width="10" customWidth="1" min="4" max="4"/>
    <col width="26" customWidth="1" min="5" max="5"/>
    <col width="18" customWidth="1" min="6" max="6"/>
    <col width="14" customWidth="1" min="7" max="7"/>
    <col width="22" customWidth="1" min="8" max="8"/>
    <col width="18" customWidth="1" min="9" max="9"/>
    <col width="12" customWidth="1" min="10" max="10"/>
    <col width="18" customWidth="1" min="11" max="11"/>
  </cols>
  <sheetData>
    <row r="1" ht="28" customHeight="1">
      <c r="A1" s="28" t="inlineStr">
        <is>
          <t>قاموس المؤشرات — التعريف الموحّد لكل مؤشر</t>
        </is>
      </c>
    </row>
    <row r="2">
      <c r="A2" s="50" t="inlineStr">
        <is>
          <t>مرجع التعريف: الوحدة · طريقة القياس · المستهدف · الركيزة · المشروع · المنظور · النوع · المالك</t>
        </is>
      </c>
    </row>
    <row r="3" ht="28" customHeight="1">
      <c r="A3" s="30" t="inlineStr">
        <is>
          <t>#</t>
        </is>
      </c>
      <c r="B3" s="30" t="inlineStr">
        <is>
          <t>الإدارة</t>
        </is>
      </c>
      <c r="C3" s="30" t="inlineStr">
        <is>
          <t>المؤشر</t>
        </is>
      </c>
      <c r="D3" s="30" t="inlineStr">
        <is>
          <t>الوحدة</t>
        </is>
      </c>
      <c r="E3" s="30" t="inlineStr">
        <is>
          <t>طريقة القياس</t>
        </is>
      </c>
      <c r="F3" s="30" t="inlineStr">
        <is>
          <t>المستهدف</t>
        </is>
      </c>
      <c r="G3" s="30" t="inlineStr">
        <is>
          <t>الركيزة</t>
        </is>
      </c>
      <c r="H3" s="30" t="inlineStr">
        <is>
          <t>المشروع</t>
        </is>
      </c>
      <c r="I3" s="30" t="inlineStr">
        <is>
          <t>المنظور</t>
        </is>
      </c>
      <c r="J3" s="30" t="inlineStr">
        <is>
          <t>النوع</t>
        </is>
      </c>
      <c r="K3" s="30" t="inlineStr">
        <is>
          <t>المالك</t>
        </is>
      </c>
    </row>
    <row r="4" ht="22" customHeight="1">
      <c r="A4" s="68" t="n">
        <v>1</v>
      </c>
      <c r="B4" s="91" t="inlineStr">
        <is>
          <t>الإدارة التنفيذية</t>
        </is>
      </c>
      <c r="C4" s="91" t="inlineStr">
        <is>
          <t>إجمالي المحطات المشغّلة — الشركة (تراكمي)</t>
        </is>
      </c>
      <c r="D4" s="68" t="inlineStr">
        <is>
          <t>محطة</t>
        </is>
      </c>
      <c r="E4" s="92" t="inlineStr">
        <is>
          <t>تراكمي (آخر قيمة) · (الفعلي÷المستهدف)×100</t>
        </is>
      </c>
      <c r="F4" s="68" t="inlineStr">
        <is>
          <t>≥ 235 محطة</t>
        </is>
      </c>
      <c r="G4" s="68" t="inlineStr">
        <is>
          <t>النمو</t>
        </is>
      </c>
      <c r="H4" s="91" t="inlineStr">
        <is>
          <t>التوسع في المواقع</t>
        </is>
      </c>
      <c r="I4" s="68" t="inlineStr">
        <is>
          <t>العمليات الداخلية</t>
        </is>
      </c>
      <c r="J4" s="68" t="inlineStr">
        <is>
          <t>🟣 لاحق</t>
        </is>
      </c>
      <c r="K4" s="38" t="n"/>
    </row>
    <row r="5" ht="22" customHeight="1">
      <c r="A5" s="68" t="n">
        <v>2</v>
      </c>
      <c r="B5" s="91" t="inlineStr">
        <is>
          <t>الإدارة التنفيذية</t>
        </is>
      </c>
      <c r="C5" s="91" t="inlineStr">
        <is>
          <t>إجمالي العقود الجديدة — الشركة</t>
        </is>
      </c>
      <c r="D5" s="68" t="inlineStr">
        <is>
          <t>عقد</t>
        </is>
      </c>
      <c r="E5" s="92" t="inlineStr">
        <is>
          <t>تجميعي (مجموع شهري) · (الفعلي÷المستهدف)×100</t>
        </is>
      </c>
      <c r="F5" s="68" t="inlineStr">
        <is>
          <t>357 عقد</t>
        </is>
      </c>
      <c r="G5" s="68" t="inlineStr">
        <is>
          <t>النمو</t>
        </is>
      </c>
      <c r="H5" s="91" t="inlineStr">
        <is>
          <t>الامتياز التجاري</t>
        </is>
      </c>
      <c r="I5" s="68" t="inlineStr">
        <is>
          <t>العمليات الداخلية</t>
        </is>
      </c>
      <c r="J5" s="68" t="inlineStr">
        <is>
          <t>🟣 لاحق</t>
        </is>
      </c>
      <c r="K5" s="38" t="n"/>
    </row>
    <row r="6" ht="22" customHeight="1">
      <c r="A6" s="68" t="n">
        <v>3</v>
      </c>
      <c r="B6" s="91" t="inlineStr">
        <is>
          <t>الإدارة التنفيذية</t>
        </is>
      </c>
      <c r="C6" s="91" t="inlineStr">
        <is>
          <t>إجمالي إيرادات الشركة السنوية</t>
        </is>
      </c>
      <c r="D6" s="68" t="inlineStr">
        <is>
          <t>ر.س</t>
        </is>
      </c>
      <c r="E6" s="92" t="inlineStr">
        <is>
          <t>تجميعي (مجموع شهري) · (الفعلي÷المستهدف)×100</t>
        </is>
      </c>
      <c r="F6" s="68" t="inlineStr">
        <is>
          <t>تصاعدي مستمر</t>
        </is>
      </c>
      <c r="G6" s="68" t="inlineStr">
        <is>
          <t>النمو</t>
        </is>
      </c>
      <c r="H6" s="91" t="inlineStr">
        <is>
          <t>زيادة وصول العملاء</t>
        </is>
      </c>
      <c r="I6" s="68" t="inlineStr">
        <is>
          <t>مالي</t>
        </is>
      </c>
      <c r="J6" s="68" t="inlineStr">
        <is>
          <t>🟣 لاحق</t>
        </is>
      </c>
      <c r="K6" s="38" t="n"/>
    </row>
    <row r="7" ht="22" customHeight="1">
      <c r="A7" s="68" t="n">
        <v>4</v>
      </c>
      <c r="B7" s="91" t="inlineStr">
        <is>
          <t>الإدارة التنفيذية</t>
        </is>
      </c>
      <c r="C7" s="91" t="inlineStr">
        <is>
          <t>نسبة نمو إيرادات الشركة (سنوي)</t>
        </is>
      </c>
      <c r="D7" s="68" t="inlineStr">
        <is>
          <t>%</t>
        </is>
      </c>
      <c r="E7" s="92" t="inlineStr">
        <is>
          <t>متوسط شهري · (الفعلي÷المستهدف)×100</t>
        </is>
      </c>
      <c r="F7" s="68" t="inlineStr">
        <is>
          <t>مستهدف تنفيذي</t>
        </is>
      </c>
      <c r="G7" s="68" t="inlineStr">
        <is>
          <t>النمو</t>
        </is>
      </c>
      <c r="H7" s="91" t="inlineStr">
        <is>
          <t>زيادة وصول العملاء</t>
        </is>
      </c>
      <c r="I7" s="68" t="inlineStr">
        <is>
          <t>مالي</t>
        </is>
      </c>
      <c r="J7" s="68" t="inlineStr">
        <is>
          <t>🔵 قائد</t>
        </is>
      </c>
      <c r="K7" s="38" t="n"/>
    </row>
    <row r="8" ht="22" customHeight="1">
      <c r="A8" s="68" t="n">
        <v>5</v>
      </c>
      <c r="B8" s="91" t="inlineStr">
        <is>
          <t>الإدارة التنفيذية</t>
        </is>
      </c>
      <c r="C8" s="91" t="inlineStr">
        <is>
          <t>نسبة إنجاز مشاريع الخارطة التنفيذية</t>
        </is>
      </c>
      <c r="D8" s="68" t="inlineStr">
        <is>
          <t>%</t>
        </is>
      </c>
      <c r="E8" s="92" t="inlineStr">
        <is>
          <t>تراكمي (آخر قيمة) · (الفعلي÷المستهدف)×100</t>
        </is>
      </c>
      <c r="F8" s="68" t="inlineStr">
        <is>
          <t>100%</t>
        </is>
      </c>
      <c r="G8" s="68" t="inlineStr">
        <is>
          <t>الابتكار</t>
        </is>
      </c>
      <c r="H8" s="91" t="inlineStr">
        <is>
          <t>إطلاق مشاريع جديدة</t>
        </is>
      </c>
      <c r="I8" s="68" t="inlineStr">
        <is>
          <t>العمليات الداخلية</t>
        </is>
      </c>
      <c r="J8" s="68" t="inlineStr">
        <is>
          <t>🟣 لاحق</t>
        </is>
      </c>
      <c r="K8" s="38" t="n"/>
    </row>
    <row r="9" ht="22" customHeight="1">
      <c r="A9" s="68" t="n">
        <v>6</v>
      </c>
      <c r="B9" s="91" t="inlineStr">
        <is>
          <t>الإدارة التنفيذية</t>
        </is>
      </c>
      <c r="C9" s="91" t="inlineStr">
        <is>
          <t>نسبة التحول الرقمي على مستوى الشركة</t>
        </is>
      </c>
      <c r="D9" s="68" t="inlineStr">
        <is>
          <t>%</t>
        </is>
      </c>
      <c r="E9" s="92" t="inlineStr">
        <is>
          <t>تراكمي (آخر قيمة) · (الفعلي÷المستهدف)×100</t>
        </is>
      </c>
      <c r="F9" s="68" t="inlineStr">
        <is>
          <t>≥ 90%</t>
        </is>
      </c>
      <c r="G9" s="68" t="inlineStr">
        <is>
          <t>الابتكار</t>
        </is>
      </c>
      <c r="H9" s="91" t="inlineStr">
        <is>
          <t>التحول التقني</t>
        </is>
      </c>
      <c r="I9" s="68" t="inlineStr">
        <is>
          <t>التعلّم والنمو</t>
        </is>
      </c>
      <c r="J9" s="68" t="inlineStr">
        <is>
          <t>🟣 لاحق</t>
        </is>
      </c>
      <c r="K9" s="38" t="n"/>
    </row>
    <row r="10" ht="22" customHeight="1">
      <c r="A10" s="68" t="n">
        <v>7</v>
      </c>
      <c r="B10" s="91" t="inlineStr">
        <is>
          <t>الإدارة التنفيذية</t>
        </is>
      </c>
      <c r="C10" s="91" t="inlineStr">
        <is>
          <t>مؤشر رضا العملاء العام (الشركة)</t>
        </is>
      </c>
      <c r="D10" s="68" t="inlineStr">
        <is>
          <t>%</t>
        </is>
      </c>
      <c r="E10" s="92" t="inlineStr">
        <is>
          <t>متوسط شهري · (الفعلي÷المستهدف)×100</t>
        </is>
      </c>
      <c r="F10" s="68" t="inlineStr">
        <is>
          <t>≥ 90%</t>
        </is>
      </c>
      <c r="G10" s="68" t="inlineStr">
        <is>
          <t>الاستدامة</t>
        </is>
      </c>
      <c r="H10" s="91" t="inlineStr">
        <is>
          <t>تعزيز تجربة العملاء</t>
        </is>
      </c>
      <c r="I10" s="68" t="inlineStr">
        <is>
          <t>العملاء</t>
        </is>
      </c>
      <c r="J10" s="68" t="inlineStr">
        <is>
          <t>🟣 لاحق</t>
        </is>
      </c>
      <c r="K10" s="38" t="n"/>
    </row>
    <row r="11" ht="22" customHeight="1">
      <c r="A11" s="68" t="n">
        <v>8</v>
      </c>
      <c r="B11" s="91" t="inlineStr">
        <is>
          <t>الإدارة التنفيذية</t>
        </is>
      </c>
      <c r="C11" s="91" t="inlineStr">
        <is>
          <t>مؤشر رضا الموظفين العام (eNPS)</t>
        </is>
      </c>
      <c r="D11" s="68" t="inlineStr">
        <is>
          <t>نقطة</t>
        </is>
      </c>
      <c r="E11" s="92" t="inlineStr">
        <is>
          <t>متوسط شهري · (الفعلي÷المستهدف)×100</t>
        </is>
      </c>
      <c r="F11" s="68" t="inlineStr">
        <is>
          <t>≥ 30</t>
        </is>
      </c>
      <c r="G11" s="68" t="inlineStr">
        <is>
          <t>الاستدامة</t>
        </is>
      </c>
      <c r="H11" s="91" t="inlineStr">
        <is>
          <t>الاستثمار في الموظفين</t>
        </is>
      </c>
      <c r="I11" s="68" t="inlineStr">
        <is>
          <t>التعلّم والنمو</t>
        </is>
      </c>
      <c r="J11" s="68" t="inlineStr">
        <is>
          <t>🟣 لاحق</t>
        </is>
      </c>
      <c r="K11" s="38" t="n"/>
    </row>
    <row r="12" ht="22" customHeight="1">
      <c r="A12" s="68" t="n">
        <v>9</v>
      </c>
      <c r="B12" s="91" t="inlineStr">
        <is>
          <t>الإدارة التنفيذية</t>
        </is>
      </c>
      <c r="C12" s="91" t="inlineStr">
        <is>
          <t>نسبة تحقيق المستهدفات الاستراتيجية العامة</t>
        </is>
      </c>
      <c r="D12" s="68" t="inlineStr">
        <is>
          <t>%</t>
        </is>
      </c>
      <c r="E12" s="92" t="inlineStr">
        <is>
          <t>متوسط شهري · (الفعلي÷المستهدف)×100</t>
        </is>
      </c>
      <c r="F12" s="68" t="inlineStr">
        <is>
          <t>100%</t>
        </is>
      </c>
      <c r="G12" s="68" t="inlineStr">
        <is>
          <t>الاستدامة</t>
        </is>
      </c>
      <c r="H12" s="91" t="inlineStr">
        <is>
          <t>جودة التشغيل</t>
        </is>
      </c>
      <c r="I12" s="68" t="inlineStr">
        <is>
          <t>العمليات الداخلية</t>
        </is>
      </c>
      <c r="J12" s="68" t="inlineStr">
        <is>
          <t>🟣 لاحق</t>
        </is>
      </c>
      <c r="K12" s="38" t="n"/>
    </row>
    <row r="13" ht="22" customHeight="1">
      <c r="A13" s="68" t="n">
        <v>10</v>
      </c>
      <c r="B13" s="91" t="inlineStr">
        <is>
          <t>الإدارة التنفيذية</t>
        </is>
      </c>
      <c r="C13" s="91" t="inlineStr">
        <is>
          <t>الالتزام بمعايير وزارة الطاقة (تغطية 13 منطقة)</t>
        </is>
      </c>
      <c r="D13" s="68" t="inlineStr">
        <is>
          <t>%</t>
        </is>
      </c>
      <c r="E13" s="92" t="inlineStr">
        <is>
          <t>تراكمي (آخر قيمة) · (الفعلي÷المستهدف)×100</t>
        </is>
      </c>
      <c r="F13" s="68" t="inlineStr">
        <is>
          <t>100%</t>
        </is>
      </c>
      <c r="G13" s="68" t="inlineStr">
        <is>
          <t>النمو</t>
        </is>
      </c>
      <c r="H13" s="91" t="inlineStr">
        <is>
          <t>التوسع في المواقع</t>
        </is>
      </c>
      <c r="I13" s="68" t="inlineStr">
        <is>
          <t>العمليات الداخلية</t>
        </is>
      </c>
      <c r="J13" s="68" t="inlineStr">
        <is>
          <t>🟣 لاحق</t>
        </is>
      </c>
      <c r="K13" s="38" t="n"/>
    </row>
    <row r="14" ht="22" customHeight="1">
      <c r="A14" s="68" t="n">
        <v>11</v>
      </c>
      <c r="B14" s="91" t="inlineStr">
        <is>
          <t>الامتياز التجاري</t>
        </is>
      </c>
      <c r="C14" s="91" t="inlineStr">
        <is>
          <t>عدد محطات الامتياز المشغّلة (تراكمي)</t>
        </is>
      </c>
      <c r="D14" s="68" t="inlineStr">
        <is>
          <t>محطة</t>
        </is>
      </c>
      <c r="E14" s="92" t="inlineStr">
        <is>
          <t>تراكمي (آخر قيمة) · (الفعلي÷المستهدف)×100</t>
        </is>
      </c>
      <c r="F14" s="68" t="inlineStr">
        <is>
          <t>150 محطة</t>
        </is>
      </c>
      <c r="G14" s="68" t="inlineStr">
        <is>
          <t>النمو</t>
        </is>
      </c>
      <c r="H14" s="91" t="inlineStr">
        <is>
          <t>التوسع في المواقع</t>
        </is>
      </c>
      <c r="I14" s="68" t="inlineStr">
        <is>
          <t>العمليات الداخلية</t>
        </is>
      </c>
      <c r="J14" s="68" t="inlineStr">
        <is>
          <t>🔵 قائد</t>
        </is>
      </c>
      <c r="K14" s="38" t="n"/>
    </row>
    <row r="15" ht="22" customHeight="1">
      <c r="A15" s="68" t="n">
        <v>12</v>
      </c>
      <c r="B15" s="91" t="inlineStr">
        <is>
          <t>الامتياز التجاري</t>
        </is>
      </c>
      <c r="C15" s="91" t="inlineStr">
        <is>
          <t>عدد عقود الامتياز الجديدة الموقّعة</t>
        </is>
      </c>
      <c r="D15" s="68" t="inlineStr">
        <is>
          <t>عقد</t>
        </is>
      </c>
      <c r="E15" s="92" t="inlineStr">
        <is>
          <t>تجميعي (مجموع شهري) · (الفعلي÷المستهدف)×100</t>
        </is>
      </c>
      <c r="F15" s="68" t="inlineStr">
        <is>
          <t>167 عقد</t>
        </is>
      </c>
      <c r="G15" s="68" t="inlineStr">
        <is>
          <t>النمو</t>
        </is>
      </c>
      <c r="H15" s="91" t="inlineStr">
        <is>
          <t>الامتياز التجاري</t>
        </is>
      </c>
      <c r="I15" s="68" t="inlineStr">
        <is>
          <t>العمليات الداخلية</t>
        </is>
      </c>
      <c r="J15" s="68" t="inlineStr">
        <is>
          <t>🔵 قائد</t>
        </is>
      </c>
      <c r="K15" s="38" t="n"/>
    </row>
    <row r="16" ht="22" customHeight="1">
      <c r="A16" s="68" t="n">
        <v>13</v>
      </c>
      <c r="B16" s="91" t="inlineStr">
        <is>
          <t>الامتياز التجاري</t>
        </is>
      </c>
      <c r="C16" s="91" t="inlineStr">
        <is>
          <t>إجمالي مبيعات وقود محطات الامتياز</t>
        </is>
      </c>
      <c r="D16" s="68" t="inlineStr">
        <is>
          <t>لتر</t>
        </is>
      </c>
      <c r="E16" s="92" t="inlineStr">
        <is>
          <t>تجميعي (مجموع شهري) · (الفعلي÷المستهدف)×100</t>
        </is>
      </c>
      <c r="F16" s="68" t="inlineStr">
        <is>
          <t>718.8M لتر</t>
        </is>
      </c>
      <c r="G16" s="68" t="inlineStr">
        <is>
          <t>النمو</t>
        </is>
      </c>
      <c r="H16" s="91" t="inlineStr">
        <is>
          <t>زيادة وصول العملاء</t>
        </is>
      </c>
      <c r="I16" s="68" t="inlineStr">
        <is>
          <t>مالي</t>
        </is>
      </c>
      <c r="J16" s="68" t="inlineStr">
        <is>
          <t>🔵 قائد</t>
        </is>
      </c>
      <c r="K16" s="38" t="n"/>
    </row>
    <row r="17" ht="22" customHeight="1">
      <c r="A17" s="68" t="n">
        <v>14</v>
      </c>
      <c r="B17" s="91" t="inlineStr">
        <is>
          <t>الامتياز التجاري</t>
        </is>
      </c>
      <c r="C17" s="91" t="inlineStr">
        <is>
          <t>نسبة المحطات التي حققت مستهدف المبيعات</t>
        </is>
      </c>
      <c r="D17" s="68" t="inlineStr">
        <is>
          <t>%</t>
        </is>
      </c>
      <c r="E17" s="92" t="inlineStr">
        <is>
          <t>متوسط شهري · (الفعلي÷المستهدف)×100</t>
        </is>
      </c>
      <c r="F17" s="68" t="inlineStr">
        <is>
          <t>90%+</t>
        </is>
      </c>
      <c r="G17" s="68" t="inlineStr">
        <is>
          <t>النمو</t>
        </is>
      </c>
      <c r="H17" s="91" t="inlineStr">
        <is>
          <t>زيادة وصول العملاء</t>
        </is>
      </c>
      <c r="I17" s="68" t="inlineStr">
        <is>
          <t>مالي</t>
        </is>
      </c>
      <c r="J17" s="68" t="inlineStr">
        <is>
          <t>🔵 قائد</t>
        </is>
      </c>
      <c r="K17" s="38" t="n"/>
    </row>
    <row r="18" ht="22" customHeight="1">
      <c r="A18" s="68" t="n">
        <v>15</v>
      </c>
      <c r="B18" s="91" t="inlineStr">
        <is>
          <t>الامتياز التجاري</t>
        </is>
      </c>
      <c r="C18" s="91" t="inlineStr">
        <is>
          <t>متوسط مبيعات المحطة الواحدة شهرياً</t>
        </is>
      </c>
      <c r="D18" s="68" t="inlineStr">
        <is>
          <t>لتر/محطة</t>
        </is>
      </c>
      <c r="E18" s="92" t="inlineStr">
        <is>
          <t>متوسط شهري · (الفعلي÷المستهدف)×100</t>
        </is>
      </c>
      <c r="F18" s="68" t="inlineStr">
        <is>
          <t>+10% نمو شهري</t>
        </is>
      </c>
      <c r="G18" s="68" t="inlineStr">
        <is>
          <t>النمو</t>
        </is>
      </c>
      <c r="H18" s="91" t="inlineStr">
        <is>
          <t>زيادة وصول العملاء</t>
        </is>
      </c>
      <c r="I18" s="68" t="inlineStr">
        <is>
          <t>مالي</t>
        </is>
      </c>
      <c r="J18" s="68" t="inlineStr">
        <is>
          <t>🔵 قائد</t>
        </is>
      </c>
      <c r="K18" s="38" t="n"/>
    </row>
    <row r="19" ht="22" customHeight="1">
      <c r="A19" s="68" t="n">
        <v>16</v>
      </c>
      <c r="B19" s="91" t="inlineStr">
        <is>
          <t>الامتياز التجاري</t>
        </is>
      </c>
      <c r="C19" s="91" t="inlineStr">
        <is>
          <t>نسبة تأجير وحدات الامتياز</t>
        </is>
      </c>
      <c r="D19" s="68" t="inlineStr">
        <is>
          <t>%</t>
        </is>
      </c>
      <c r="E19" s="92" t="inlineStr">
        <is>
          <t>متوسط شهري · (الفعلي÷المستهدف)×100</t>
        </is>
      </c>
      <c r="F19" s="68" t="inlineStr">
        <is>
          <t>70%</t>
        </is>
      </c>
      <c r="G19" s="68" t="inlineStr">
        <is>
          <t>الاستدامة</t>
        </is>
      </c>
      <c r="H19" s="91" t="inlineStr">
        <is>
          <t>منظومة التأجير</t>
        </is>
      </c>
      <c r="I19" s="68" t="inlineStr">
        <is>
          <t>العمليات الداخلية</t>
        </is>
      </c>
      <c r="J19" s="68" t="inlineStr">
        <is>
          <t>🟣 لاحق</t>
        </is>
      </c>
      <c r="K19" s="38" t="n"/>
    </row>
    <row r="20" ht="22" customHeight="1">
      <c r="A20" s="68" t="n">
        <v>17</v>
      </c>
      <c r="B20" s="91" t="inlineStr">
        <is>
          <t>الامتياز التجاري</t>
        </is>
      </c>
      <c r="C20" s="91" t="inlineStr">
        <is>
          <t>إجمالي إيرادات إدارة الامتياز</t>
        </is>
      </c>
      <c r="D20" s="68" t="inlineStr">
        <is>
          <t>ر.س</t>
        </is>
      </c>
      <c r="E20" s="92" t="inlineStr">
        <is>
          <t>تجميعي (مجموع شهري) · (الفعلي÷المستهدف)×100</t>
        </is>
      </c>
      <c r="F20" s="68" t="inlineStr">
        <is>
          <t>تصاعدي مستمر</t>
        </is>
      </c>
      <c r="G20" s="68" t="inlineStr">
        <is>
          <t>النمو</t>
        </is>
      </c>
      <c r="H20" s="91" t="inlineStr">
        <is>
          <t>الامتياز التجاري</t>
        </is>
      </c>
      <c r="I20" s="68" t="inlineStr">
        <is>
          <t>مالي</t>
        </is>
      </c>
      <c r="J20" s="68" t="inlineStr">
        <is>
          <t>🟣 لاحق</t>
        </is>
      </c>
      <c r="K20" s="38" t="n"/>
    </row>
    <row r="21" ht="22" customHeight="1">
      <c r="A21" s="68" t="n">
        <v>18</v>
      </c>
      <c r="B21" s="91" t="inlineStr">
        <is>
          <t>الامتياز التجاري</t>
        </is>
      </c>
      <c r="C21" s="91" t="inlineStr">
        <is>
          <t>رفع هامش الربحية للامتياز</t>
        </is>
      </c>
      <c r="D21" s="68" t="inlineStr">
        <is>
          <t>هللة/لتر</t>
        </is>
      </c>
      <c r="E21" s="92" t="inlineStr">
        <is>
          <t>متوسط شهري · (الفعلي÷المستهدف)×100</t>
        </is>
      </c>
      <c r="F21" s="68" t="inlineStr">
        <is>
          <t>+1.8 هللة/لتر</t>
        </is>
      </c>
      <c r="G21" s="68" t="inlineStr">
        <is>
          <t>النمو</t>
        </is>
      </c>
      <c r="H21" s="91" t="inlineStr">
        <is>
          <t>الامتياز التجاري</t>
        </is>
      </c>
      <c r="I21" s="68" t="inlineStr">
        <is>
          <t>مالي</t>
        </is>
      </c>
      <c r="J21" s="68" t="inlineStr">
        <is>
          <t>🟣 لاحق</t>
        </is>
      </c>
      <c r="K21" s="38" t="n"/>
    </row>
    <row r="22" ht="22" customHeight="1">
      <c r="A22" s="68" t="n">
        <v>19</v>
      </c>
      <c r="B22" s="91" t="inlineStr">
        <is>
          <t>الامتياز التجاري</t>
        </is>
      </c>
      <c r="C22" s="91" t="inlineStr">
        <is>
          <t>نسبة التحصيل المالي من شركاء الامتياز</t>
        </is>
      </c>
      <c r="D22" s="68" t="inlineStr">
        <is>
          <t>%</t>
        </is>
      </c>
      <c r="E22" s="92" t="inlineStr">
        <is>
          <t>متوسط شهري · (الفعلي÷المستهدف)×100</t>
        </is>
      </c>
      <c r="F22" s="68" t="inlineStr">
        <is>
          <t>95%+</t>
        </is>
      </c>
      <c r="G22" s="68" t="inlineStr">
        <is>
          <t>الاستدامة</t>
        </is>
      </c>
      <c r="H22" s="91" t="inlineStr">
        <is>
          <t>جودة التشغيل</t>
        </is>
      </c>
      <c r="I22" s="68" t="inlineStr">
        <is>
          <t>مالي</t>
        </is>
      </c>
      <c r="J22" s="68" t="inlineStr">
        <is>
          <t>🟣 لاحق</t>
        </is>
      </c>
      <c r="K22" s="38" t="n"/>
    </row>
    <row r="23" ht="22" customHeight="1">
      <c r="A23" s="68" t="n">
        <v>20</v>
      </c>
      <c r="B23" s="91" t="inlineStr">
        <is>
          <t>الامتياز التجاري</t>
        </is>
      </c>
      <c r="C23" s="91" t="inlineStr">
        <is>
          <t>متوسط أيام التحصيل (DSO)</t>
        </is>
      </c>
      <c r="D23" s="68" t="inlineStr">
        <is>
          <t>يوم</t>
        </is>
      </c>
      <c r="E23" s="92" t="inlineStr">
        <is>
          <t>متوسط شهري · (الفعلي÷المستهدف)×100</t>
        </is>
      </c>
      <c r="F23" s="68" t="inlineStr">
        <is>
          <t>≤ 30 يوم</t>
        </is>
      </c>
      <c r="G23" s="68" t="inlineStr">
        <is>
          <t>الاستدامة</t>
        </is>
      </c>
      <c r="H23" s="91" t="inlineStr">
        <is>
          <t>جودة التشغيل</t>
        </is>
      </c>
      <c r="I23" s="68" t="inlineStr">
        <is>
          <t>مالي</t>
        </is>
      </c>
      <c r="J23" s="68" t="inlineStr">
        <is>
          <t>🟣 لاحق</t>
        </is>
      </c>
      <c r="K23" s="38" t="n"/>
    </row>
    <row r="24" ht="22" customHeight="1">
      <c r="A24" s="68" t="n">
        <v>21</v>
      </c>
      <c r="B24" s="91" t="inlineStr">
        <is>
          <t>الامتياز التجاري</t>
        </is>
      </c>
      <c r="C24" s="91" t="inlineStr">
        <is>
          <t>إجمالي المستحقات المتأخرة (+30 يوم)</t>
        </is>
      </c>
      <c r="D24" s="68" t="inlineStr">
        <is>
          <t>ر.س</t>
        </is>
      </c>
      <c r="E24" s="92" t="inlineStr">
        <is>
          <t>تراكمي (آخر قيمة) · (الفعلي÷المستهدف)×100</t>
        </is>
      </c>
      <c r="F24" s="68" t="inlineStr">
        <is>
          <t>تراجع مستمر</t>
        </is>
      </c>
      <c r="G24" s="68" t="inlineStr">
        <is>
          <t>الاستدامة</t>
        </is>
      </c>
      <c r="H24" s="91" t="inlineStr">
        <is>
          <t>جودة التشغيل</t>
        </is>
      </c>
      <c r="I24" s="68" t="inlineStr">
        <is>
          <t>مالي</t>
        </is>
      </c>
      <c r="J24" s="68" t="inlineStr">
        <is>
          <t>🟣 لاحق</t>
        </is>
      </c>
      <c r="K24" s="38" t="n"/>
    </row>
    <row r="25" ht="22" customHeight="1">
      <c r="A25" s="68" t="n">
        <v>22</v>
      </c>
      <c r="B25" s="91" t="inlineStr">
        <is>
          <t>الامتياز التجاري</t>
        </is>
      </c>
      <c r="C25" s="91" t="inlineStr">
        <is>
          <t>نسبة الشركاء الملتزمين بمواعيد السداد</t>
        </is>
      </c>
      <c r="D25" s="68" t="inlineStr">
        <is>
          <t>%</t>
        </is>
      </c>
      <c r="E25" s="92" t="inlineStr">
        <is>
          <t>متوسط شهري · (الفعلي÷المستهدف)×100</t>
        </is>
      </c>
      <c r="F25" s="68" t="inlineStr">
        <is>
          <t>90%+</t>
        </is>
      </c>
      <c r="G25" s="68" t="inlineStr">
        <is>
          <t>الاستدامة</t>
        </is>
      </c>
      <c r="H25" s="91" t="inlineStr">
        <is>
          <t>جودة التشغيل</t>
        </is>
      </c>
      <c r="I25" s="68" t="inlineStr">
        <is>
          <t>مالي</t>
        </is>
      </c>
      <c r="J25" s="68" t="inlineStr">
        <is>
          <t>🟣 لاحق</t>
        </is>
      </c>
      <c r="K25" s="38" t="n"/>
    </row>
    <row r="26" ht="22" customHeight="1">
      <c r="A26" s="68" t="n">
        <v>23</v>
      </c>
      <c r="B26" s="91" t="inlineStr">
        <is>
          <t>الامتياز التجاري</t>
        </is>
      </c>
      <c r="C26" s="91" t="inlineStr">
        <is>
          <t>معدل دوران رأس المال (أيام الدورة)</t>
        </is>
      </c>
      <c r="D26" s="68" t="inlineStr">
        <is>
          <t>يوم</t>
        </is>
      </c>
      <c r="E26" s="92" t="inlineStr">
        <is>
          <t>متوسط شهري · (الفعلي÷المستهدف)×100</t>
        </is>
      </c>
      <c r="F26" s="68" t="inlineStr">
        <is>
          <t>≤ 5 أيام</t>
        </is>
      </c>
      <c r="G26" s="68" t="inlineStr">
        <is>
          <t>الاستدامة</t>
        </is>
      </c>
      <c r="H26" s="91" t="inlineStr">
        <is>
          <t>جودة التشغيل</t>
        </is>
      </c>
      <c r="I26" s="68" t="inlineStr">
        <is>
          <t>مالي</t>
        </is>
      </c>
      <c r="J26" s="68" t="inlineStr">
        <is>
          <t>🟣 لاحق</t>
        </is>
      </c>
      <c r="K26" s="38" t="n"/>
    </row>
    <row r="27" ht="22" customHeight="1">
      <c r="A27" s="68" t="n">
        <v>24</v>
      </c>
      <c r="B27" s="91" t="inlineStr">
        <is>
          <t>الامتياز التجاري</t>
        </is>
      </c>
      <c r="C27" s="91" t="inlineStr">
        <is>
          <t>نسبة جاهزية محطات الامتياز (صفر انقطاع)</t>
        </is>
      </c>
      <c r="D27" s="68" t="inlineStr">
        <is>
          <t>%</t>
        </is>
      </c>
      <c r="E27" s="92" t="inlineStr">
        <is>
          <t>متوسط شهري · (الفعلي÷المستهدف)×100</t>
        </is>
      </c>
      <c r="F27" s="68" t="inlineStr">
        <is>
          <t>99%+</t>
        </is>
      </c>
      <c r="G27" s="68" t="inlineStr">
        <is>
          <t>الاستدامة</t>
        </is>
      </c>
      <c r="H27" s="91" t="inlineStr">
        <is>
          <t>جودة التشغيل</t>
        </is>
      </c>
      <c r="I27" s="68" t="inlineStr">
        <is>
          <t>العمليات الداخلية</t>
        </is>
      </c>
      <c r="J27" s="68" t="inlineStr">
        <is>
          <t>🟣 لاحق</t>
        </is>
      </c>
      <c r="K27" s="38" t="n"/>
    </row>
    <row r="28" ht="22" customHeight="1">
      <c r="A28" s="68" t="n">
        <v>25</v>
      </c>
      <c r="B28" s="91" t="inlineStr">
        <is>
          <t>الامتياز التجاري</t>
        </is>
      </c>
      <c r="C28" s="91" t="inlineStr">
        <is>
          <t>عدد حالات انقطاع الوقود الموثّقة</t>
        </is>
      </c>
      <c r="D28" s="68" t="inlineStr">
        <is>
          <t>حالة</t>
        </is>
      </c>
      <c r="E28" s="92" t="inlineStr">
        <is>
          <t>تجميعي (مجموع شهري) · (الفعلي÷المستهدف)×100</t>
        </is>
      </c>
      <c r="F28" s="68" t="inlineStr">
        <is>
          <t>0 حالة</t>
        </is>
      </c>
      <c r="G28" s="68" t="inlineStr">
        <is>
          <t>الاستدامة</t>
        </is>
      </c>
      <c r="H28" s="91" t="inlineStr">
        <is>
          <t>جودة التشغيل</t>
        </is>
      </c>
      <c r="I28" s="68" t="inlineStr">
        <is>
          <t>العمليات الداخلية</t>
        </is>
      </c>
      <c r="J28" s="68" t="inlineStr">
        <is>
          <t>🔵 قائد</t>
        </is>
      </c>
      <c r="K28" s="38" t="n"/>
    </row>
    <row r="29" ht="22" customHeight="1">
      <c r="A29" s="68" t="n">
        <v>26</v>
      </c>
      <c r="B29" s="91" t="inlineStr">
        <is>
          <t>الامتياز التجاري</t>
        </is>
      </c>
      <c r="C29" s="91" t="inlineStr">
        <is>
          <t>نسبة إغلاق ملاحظات الجودة الميدانية</t>
        </is>
      </c>
      <c r="D29" s="68" t="inlineStr">
        <is>
          <t>%</t>
        </is>
      </c>
      <c r="E29" s="92" t="inlineStr">
        <is>
          <t>متوسط شهري · (الفعلي÷المستهدف)×100</t>
        </is>
      </c>
      <c r="F29" s="68" t="inlineStr">
        <is>
          <t>95%+</t>
        </is>
      </c>
      <c r="G29" s="68" t="inlineStr">
        <is>
          <t>الاستدامة</t>
        </is>
      </c>
      <c r="H29" s="91" t="inlineStr">
        <is>
          <t>جودة التشغيل</t>
        </is>
      </c>
      <c r="I29" s="68" t="inlineStr">
        <is>
          <t>العمليات الداخلية</t>
        </is>
      </c>
      <c r="J29" s="68" t="inlineStr">
        <is>
          <t>🟣 لاحق</t>
        </is>
      </c>
      <c r="K29" s="38" t="n"/>
    </row>
    <row r="30" ht="22" customHeight="1">
      <c r="A30" s="68" t="n">
        <v>27</v>
      </c>
      <c r="B30" s="91" t="inlineStr">
        <is>
          <t>الامتياز التجاري</t>
        </is>
      </c>
      <c r="C30" s="91" t="inlineStr">
        <is>
          <t>متوسط درجة تقييم جودة المحطة (قائمة التحقق)</t>
        </is>
      </c>
      <c r="D30" s="68" t="inlineStr">
        <is>
          <t>درجة/100</t>
        </is>
      </c>
      <c r="E30" s="92" t="inlineStr">
        <is>
          <t>متوسط شهري · (الفعلي÷المستهدف)×100</t>
        </is>
      </c>
      <c r="F30" s="68" t="inlineStr">
        <is>
          <t>85+</t>
        </is>
      </c>
      <c r="G30" s="68" t="inlineStr">
        <is>
          <t>الاستدامة</t>
        </is>
      </c>
      <c r="H30" s="91" t="inlineStr">
        <is>
          <t>جودة التشغيل</t>
        </is>
      </c>
      <c r="I30" s="68" t="inlineStr">
        <is>
          <t>العمليات الداخلية</t>
        </is>
      </c>
      <c r="J30" s="68" t="inlineStr">
        <is>
          <t>🟣 لاحق</t>
        </is>
      </c>
      <c r="K30" s="38" t="n"/>
    </row>
    <row r="31" ht="22" customHeight="1">
      <c r="A31" s="68" t="n">
        <v>28</v>
      </c>
      <c r="B31" s="91" t="inlineStr">
        <is>
          <t>الامتياز التجاري</t>
        </is>
      </c>
      <c r="C31" s="91" t="inlineStr">
        <is>
          <t>نسبة تنفيذ الزيارات الميدانية المجدولة</t>
        </is>
      </c>
      <c r="D31" s="68" t="inlineStr">
        <is>
          <t>%</t>
        </is>
      </c>
      <c r="E31" s="92" t="inlineStr">
        <is>
          <t>متوسط شهري · (الفعلي÷المستهدف)×100</t>
        </is>
      </c>
      <c r="F31" s="68" t="inlineStr">
        <is>
          <t>100%</t>
        </is>
      </c>
      <c r="G31" s="68" t="inlineStr">
        <is>
          <t>الاستدامة</t>
        </is>
      </c>
      <c r="H31" s="91" t="inlineStr">
        <is>
          <t>جودة التشغيل</t>
        </is>
      </c>
      <c r="I31" s="68" t="inlineStr">
        <is>
          <t>العمليات الداخلية</t>
        </is>
      </c>
      <c r="J31" s="68" t="inlineStr">
        <is>
          <t>🔵 قائد</t>
        </is>
      </c>
      <c r="K31" s="38" t="n"/>
    </row>
    <row r="32" ht="22" customHeight="1">
      <c r="A32" s="68" t="n">
        <v>29</v>
      </c>
      <c r="B32" s="91" t="inlineStr">
        <is>
          <t>الامتياز التجاري</t>
        </is>
      </c>
      <c r="C32" s="91" t="inlineStr">
        <is>
          <t>نسبة المحطات المستوفية لمعايير السلامة</t>
        </is>
      </c>
      <c r="D32" s="68" t="inlineStr">
        <is>
          <t>%</t>
        </is>
      </c>
      <c r="E32" s="92" t="inlineStr">
        <is>
          <t>متوسط شهري · (الفعلي÷المستهدف)×100</t>
        </is>
      </c>
      <c r="F32" s="68" t="inlineStr">
        <is>
          <t>100%</t>
        </is>
      </c>
      <c r="G32" s="68" t="inlineStr">
        <is>
          <t>الاستدامة</t>
        </is>
      </c>
      <c r="H32" s="91" t="inlineStr">
        <is>
          <t>جودة التشغيل</t>
        </is>
      </c>
      <c r="I32" s="68" t="inlineStr">
        <is>
          <t>العمليات الداخلية</t>
        </is>
      </c>
      <c r="J32" s="68" t="inlineStr">
        <is>
          <t>🟣 لاحق</t>
        </is>
      </c>
      <c r="K32" s="38" t="n"/>
    </row>
    <row r="33" ht="22" customHeight="1">
      <c r="A33" s="68" t="n">
        <v>30</v>
      </c>
      <c r="B33" s="91" t="inlineStr">
        <is>
          <t>الامتياز التجاري</t>
        </is>
      </c>
      <c r="C33" s="91" t="inlineStr">
        <is>
          <t>متوسط وقت معالجة البلاغات التشغيلية</t>
        </is>
      </c>
      <c r="D33" s="68" t="inlineStr">
        <is>
          <t>ساعة</t>
        </is>
      </c>
      <c r="E33" s="92" t="inlineStr">
        <is>
          <t>متوسط شهري · (الفعلي÷المستهدف)×100</t>
        </is>
      </c>
      <c r="F33" s="68" t="inlineStr">
        <is>
          <t>≤ 24 ساعة</t>
        </is>
      </c>
      <c r="G33" s="68" t="inlineStr">
        <is>
          <t>الاستدامة</t>
        </is>
      </c>
      <c r="H33" s="91" t="inlineStr">
        <is>
          <t>جودة التشغيل</t>
        </is>
      </c>
      <c r="I33" s="68" t="inlineStr">
        <is>
          <t>العمليات الداخلية</t>
        </is>
      </c>
      <c r="J33" s="68" t="inlineStr">
        <is>
          <t>🟣 لاحق</t>
        </is>
      </c>
      <c r="K33" s="38" t="n"/>
    </row>
    <row r="34" ht="22" customHeight="1">
      <c r="A34" s="68" t="n">
        <v>31</v>
      </c>
      <c r="B34" s="91" t="inlineStr">
        <is>
          <t>الامتياز التجاري</t>
        </is>
      </c>
      <c r="C34" s="91" t="inlineStr">
        <is>
          <t>نسبة أتمتة محطات الامتياز</t>
        </is>
      </c>
      <c r="D34" s="68" t="inlineStr">
        <is>
          <t>%</t>
        </is>
      </c>
      <c r="E34" s="92" t="inlineStr">
        <is>
          <t>تراكمي (آخر قيمة) · (الفعلي÷المستهدف)×100</t>
        </is>
      </c>
      <c r="F34" s="68" t="inlineStr">
        <is>
          <t>90%</t>
        </is>
      </c>
      <c r="G34" s="68" t="inlineStr">
        <is>
          <t>الابتكار</t>
        </is>
      </c>
      <c r="H34" s="91" t="inlineStr">
        <is>
          <t>التحول التقني</t>
        </is>
      </c>
      <c r="I34" s="68" t="inlineStr">
        <is>
          <t>التعلّم والنمو</t>
        </is>
      </c>
      <c r="J34" s="68" t="inlineStr">
        <is>
          <t>🟣 لاحق</t>
        </is>
      </c>
      <c r="K34" s="38" t="n"/>
    </row>
    <row r="35" ht="22" customHeight="1">
      <c r="A35" s="68" t="n">
        <v>32</v>
      </c>
      <c r="B35" s="91" t="inlineStr">
        <is>
          <t>الامتياز التجاري</t>
        </is>
      </c>
      <c r="C35" s="91" t="inlineStr">
        <is>
          <t>نسبة تطبيق المعيار الشامل داخل المحطات</t>
        </is>
      </c>
      <c r="D35" s="68" t="inlineStr">
        <is>
          <t>%</t>
        </is>
      </c>
      <c r="E35" s="92" t="inlineStr">
        <is>
          <t>تراكمي (آخر قيمة) · (الفعلي÷المستهدف)×100</t>
        </is>
      </c>
      <c r="F35" s="68" t="inlineStr">
        <is>
          <t>30%</t>
        </is>
      </c>
      <c r="G35" s="68" t="inlineStr">
        <is>
          <t>الابتكار</t>
        </is>
      </c>
      <c r="H35" s="91" t="inlineStr">
        <is>
          <t>التحول التقني</t>
        </is>
      </c>
      <c r="I35" s="68" t="inlineStr">
        <is>
          <t>العمليات الداخلية</t>
        </is>
      </c>
      <c r="J35" s="68" t="inlineStr">
        <is>
          <t>🟣 لاحق</t>
        </is>
      </c>
      <c r="K35" s="38" t="n"/>
    </row>
    <row r="36" ht="22" customHeight="1">
      <c r="A36" s="68" t="n">
        <v>33</v>
      </c>
      <c r="B36" s="91" t="inlineStr">
        <is>
          <t>الامتياز التجاري</t>
        </is>
      </c>
      <c r="C36" s="91" t="inlineStr">
        <is>
          <t>نسبة التزام المحطات بالهوية المؤسسية</t>
        </is>
      </c>
      <c r="D36" s="68" t="inlineStr">
        <is>
          <t>%</t>
        </is>
      </c>
      <c r="E36" s="92" t="inlineStr">
        <is>
          <t>تراكمي (آخر قيمة) · (الفعلي÷المستهدف)×100</t>
        </is>
      </c>
      <c r="F36" s="68" t="inlineStr">
        <is>
          <t>55%</t>
        </is>
      </c>
      <c r="G36" s="68" t="inlineStr">
        <is>
          <t>الابتكار</t>
        </is>
      </c>
      <c r="H36" s="91" t="inlineStr">
        <is>
          <t>تطوير التصاميم والهوية</t>
        </is>
      </c>
      <c r="I36" s="68" t="inlineStr">
        <is>
          <t>التعلّم والنمو</t>
        </is>
      </c>
      <c r="J36" s="68" t="inlineStr">
        <is>
          <t>🟣 لاحق</t>
        </is>
      </c>
      <c r="K36" s="38" t="n"/>
    </row>
    <row r="37" ht="22" customHeight="1">
      <c r="A37" s="68" t="n">
        <v>34</v>
      </c>
      <c r="B37" s="91" t="inlineStr">
        <is>
          <t>الامتياز التجاري</t>
        </is>
      </c>
      <c r="C37" s="91" t="inlineStr">
        <is>
          <t>نسبة العقود التي تغطي المناطق الـ13</t>
        </is>
      </c>
      <c r="D37" s="68" t="inlineStr">
        <is>
          <t>%</t>
        </is>
      </c>
      <c r="E37" s="92" t="inlineStr">
        <is>
          <t>تراكمي (آخر قيمة) · (الفعلي÷المستهدف)×100</t>
        </is>
      </c>
      <c r="F37" s="68" t="inlineStr">
        <is>
          <t>100%</t>
        </is>
      </c>
      <c r="G37" s="68" t="inlineStr">
        <is>
          <t>النمو</t>
        </is>
      </c>
      <c r="H37" s="91" t="inlineStr">
        <is>
          <t>التوسع في المواقع</t>
        </is>
      </c>
      <c r="I37" s="68" t="inlineStr">
        <is>
          <t>العمليات الداخلية</t>
        </is>
      </c>
      <c r="J37" s="68" t="inlineStr">
        <is>
          <t>🟣 لاحق</t>
        </is>
      </c>
      <c r="K37" s="38" t="n"/>
    </row>
    <row r="38" ht="22" customHeight="1">
      <c r="A38" s="68" t="n">
        <v>35</v>
      </c>
      <c r="B38" s="91" t="inlineStr">
        <is>
          <t>الامتياز التجاري</t>
        </is>
      </c>
      <c r="C38" s="91" t="inlineStr">
        <is>
          <t>نسبة العقود في الـ12 مدينة الرئيسية</t>
        </is>
      </c>
      <c r="D38" s="68" t="inlineStr">
        <is>
          <t>%</t>
        </is>
      </c>
      <c r="E38" s="92" t="inlineStr">
        <is>
          <t>تراكمي (آخر قيمة) · (الفعلي÷المستهدف)×100</t>
        </is>
      </c>
      <c r="F38" s="68" t="inlineStr">
        <is>
          <t>&lt; 40%</t>
        </is>
      </c>
      <c r="G38" s="68" t="inlineStr">
        <is>
          <t>النمو</t>
        </is>
      </c>
      <c r="H38" s="91" t="inlineStr">
        <is>
          <t>التوسع في المواقع</t>
        </is>
      </c>
      <c r="I38" s="68" t="inlineStr">
        <is>
          <t>العمليات الداخلية</t>
        </is>
      </c>
      <c r="J38" s="68" t="inlineStr">
        <is>
          <t>🟣 لاحق</t>
        </is>
      </c>
      <c r="K38" s="38" t="n"/>
    </row>
    <row r="39" ht="22" customHeight="1">
      <c r="A39" s="68" t="n">
        <v>36</v>
      </c>
      <c r="B39" s="91" t="inlineStr">
        <is>
          <t>الامتياز التجاري</t>
        </is>
      </c>
      <c r="C39" s="91" t="inlineStr">
        <is>
          <t>نسبة العقود خارج المدن الرئيسية</t>
        </is>
      </c>
      <c r="D39" s="68" t="inlineStr">
        <is>
          <t>%</t>
        </is>
      </c>
      <c r="E39" s="92" t="inlineStr">
        <is>
          <t>تراكمي (آخر قيمة) · (الفعلي÷المستهدف)×100</t>
        </is>
      </c>
      <c r="F39" s="68" t="inlineStr">
        <is>
          <t>&gt; 60%</t>
        </is>
      </c>
      <c r="G39" s="68" t="inlineStr">
        <is>
          <t>النمو</t>
        </is>
      </c>
      <c r="H39" s="91" t="inlineStr">
        <is>
          <t>التوسع في المواقع</t>
        </is>
      </c>
      <c r="I39" s="68" t="inlineStr">
        <is>
          <t>العمليات الداخلية</t>
        </is>
      </c>
      <c r="J39" s="68" t="inlineStr">
        <is>
          <t>🟣 لاحق</t>
        </is>
      </c>
      <c r="K39" s="38" t="n"/>
    </row>
    <row r="40" ht="22" customHeight="1">
      <c r="A40" s="68" t="n">
        <v>37</v>
      </c>
      <c r="B40" s="91" t="inlineStr">
        <is>
          <t>الامتياز التجاري</t>
        </is>
      </c>
      <c r="C40" s="91" t="inlineStr">
        <is>
          <t>نسبة العقود على الطرق الإقليمية</t>
        </is>
      </c>
      <c r="D40" s="68" t="inlineStr">
        <is>
          <t>%</t>
        </is>
      </c>
      <c r="E40" s="92" t="inlineStr">
        <is>
          <t>تراكمي (آخر قيمة) · (الفعلي÷المستهدف)×100</t>
        </is>
      </c>
      <c r="F40" s="68" t="inlineStr">
        <is>
          <t>&gt; 25%</t>
        </is>
      </c>
      <c r="G40" s="68" t="inlineStr">
        <is>
          <t>النمو</t>
        </is>
      </c>
      <c r="H40" s="91" t="inlineStr">
        <is>
          <t>التوسع في المواقع</t>
        </is>
      </c>
      <c r="I40" s="68" t="inlineStr">
        <is>
          <t>العمليات الداخلية</t>
        </is>
      </c>
      <c r="J40" s="68" t="inlineStr">
        <is>
          <t>🟣 لاحق</t>
        </is>
      </c>
      <c r="K40" s="38" t="n"/>
    </row>
    <row r="41" ht="22" customHeight="1">
      <c r="A41" s="68" t="n">
        <v>38</v>
      </c>
      <c r="B41" s="91" t="inlineStr">
        <is>
          <t>الامتياز التجاري</t>
        </is>
      </c>
      <c r="C41" s="91" t="inlineStr">
        <is>
          <t>متوسط تقييم المحطات على خرائط قوقل</t>
        </is>
      </c>
      <c r="D41" s="68" t="inlineStr">
        <is>
          <t>نجمة/5</t>
        </is>
      </c>
      <c r="E41" s="92" t="inlineStr">
        <is>
          <t>متوسط شهري · (الفعلي÷المستهدف)×100</t>
        </is>
      </c>
      <c r="F41" s="68" t="inlineStr">
        <is>
          <t>≥ 4.7 نجمة</t>
        </is>
      </c>
      <c r="G41" s="68" t="inlineStr">
        <is>
          <t>الاستدامة</t>
        </is>
      </c>
      <c r="H41" s="91" t="inlineStr">
        <is>
          <t>تعزيز تجربة العملاء</t>
        </is>
      </c>
      <c r="I41" s="68" t="inlineStr">
        <is>
          <t>العملاء</t>
        </is>
      </c>
      <c r="J41" s="68" t="inlineStr">
        <is>
          <t>🟣 لاحق</t>
        </is>
      </c>
      <c r="K41" s="38" t="n"/>
    </row>
    <row r="42" ht="22" customHeight="1">
      <c r="A42" s="68" t="n">
        <v>39</v>
      </c>
      <c r="B42" s="91" t="inlineStr">
        <is>
          <t>الامتياز التجاري</t>
        </is>
      </c>
      <c r="C42" s="91" t="inlineStr">
        <is>
          <t>معدل رضا شركاء الامتياز (CSAT)</t>
        </is>
      </c>
      <c r="D42" s="68" t="inlineStr">
        <is>
          <t>%</t>
        </is>
      </c>
      <c r="E42" s="92" t="inlineStr">
        <is>
          <t>متوسط شهري · (الفعلي÷المستهدف)×100</t>
        </is>
      </c>
      <c r="F42" s="68" t="inlineStr">
        <is>
          <t>90%+</t>
        </is>
      </c>
      <c r="G42" s="68" t="inlineStr">
        <is>
          <t>الاستدامة</t>
        </is>
      </c>
      <c r="H42" s="91" t="inlineStr">
        <is>
          <t>تعزيز تجربة العملاء</t>
        </is>
      </c>
      <c r="I42" s="68" t="inlineStr">
        <is>
          <t>العملاء</t>
        </is>
      </c>
      <c r="J42" s="68" t="inlineStr">
        <is>
          <t>🟣 لاحق</t>
        </is>
      </c>
      <c r="K42" s="38" t="n"/>
    </row>
    <row r="43" ht="22" customHeight="1">
      <c r="A43" s="68" t="n">
        <v>40</v>
      </c>
      <c r="B43" s="91" t="inlineStr">
        <is>
          <t>الامتياز التجاري</t>
        </is>
      </c>
      <c r="C43" s="91" t="inlineStr">
        <is>
          <t>نسبة حل الشكاوى خلال المدة المحددة</t>
        </is>
      </c>
      <c r="D43" s="68" t="inlineStr">
        <is>
          <t>%</t>
        </is>
      </c>
      <c r="E43" s="92" t="inlineStr">
        <is>
          <t>متوسط شهري · (الفعلي÷المستهدف)×100</t>
        </is>
      </c>
      <c r="F43" s="68" t="inlineStr">
        <is>
          <t>95%+</t>
        </is>
      </c>
      <c r="G43" s="68" t="inlineStr">
        <is>
          <t>الاستدامة</t>
        </is>
      </c>
      <c r="H43" s="91" t="inlineStr">
        <is>
          <t>تعزيز تجربة العملاء</t>
        </is>
      </c>
      <c r="I43" s="68" t="inlineStr">
        <is>
          <t>العملاء</t>
        </is>
      </c>
      <c r="J43" s="68" t="inlineStr">
        <is>
          <t>🟣 لاحق</t>
        </is>
      </c>
      <c r="K43" s="38" t="n"/>
    </row>
    <row r="44" ht="22" customHeight="1">
      <c r="A44" s="68" t="n">
        <v>41</v>
      </c>
      <c r="B44" s="91" t="inlineStr">
        <is>
          <t>الامتياز التجاري</t>
        </is>
      </c>
      <c r="C44" s="91" t="inlineStr">
        <is>
          <t>نسبة انخفاض الشكاوى التشغيلية والإدارية</t>
        </is>
      </c>
      <c r="D44" s="68" t="inlineStr">
        <is>
          <t>%</t>
        </is>
      </c>
      <c r="E44" s="92" t="inlineStr">
        <is>
          <t>متوسط شهري · (الفعلي÷المستهدف)×100</t>
        </is>
      </c>
      <c r="F44" s="68" t="inlineStr">
        <is>
          <t>-30%</t>
        </is>
      </c>
      <c r="G44" s="68" t="inlineStr">
        <is>
          <t>الاستدامة</t>
        </is>
      </c>
      <c r="H44" s="91" t="inlineStr">
        <is>
          <t>تعزيز تجربة العملاء</t>
        </is>
      </c>
      <c r="I44" s="68" t="inlineStr">
        <is>
          <t>العملاء</t>
        </is>
      </c>
      <c r="J44" s="68" t="inlineStr">
        <is>
          <t>🟣 لاحق</t>
        </is>
      </c>
      <c r="K44" s="38" t="n"/>
    </row>
    <row r="45" ht="22" customHeight="1">
      <c r="A45" s="68" t="n">
        <v>42</v>
      </c>
      <c r="B45" s="91" t="inlineStr">
        <is>
          <t>الامتياز التجاري</t>
        </is>
      </c>
      <c r="C45" s="91" t="inlineStr">
        <is>
          <t>نسبة استدامة أصحاب الامتياز (Retention)</t>
        </is>
      </c>
      <c r="D45" s="68" t="inlineStr">
        <is>
          <t>%</t>
        </is>
      </c>
      <c r="E45" s="92" t="inlineStr">
        <is>
          <t>تراكمي (آخر قيمة) · (الفعلي÷المستهدف)×100</t>
        </is>
      </c>
      <c r="F45" s="68" t="inlineStr">
        <is>
          <t>90%</t>
        </is>
      </c>
      <c r="G45" s="68" t="inlineStr">
        <is>
          <t>الاستدامة</t>
        </is>
      </c>
      <c r="H45" s="91" t="inlineStr">
        <is>
          <t>تعزيز تجربة العملاء</t>
        </is>
      </c>
      <c r="I45" s="68" t="inlineStr">
        <is>
          <t>العمليات الداخلية</t>
        </is>
      </c>
      <c r="J45" s="68" t="inlineStr">
        <is>
          <t>🟣 لاحق</t>
        </is>
      </c>
      <c r="K45" s="38" t="n"/>
    </row>
    <row r="46" ht="22" customHeight="1">
      <c r="A46" s="68" t="n">
        <v>43</v>
      </c>
      <c r="B46" s="91" t="inlineStr">
        <is>
          <t>الامتياز التجاري</t>
        </is>
      </c>
      <c r="C46" s="91" t="inlineStr">
        <is>
          <t>نسبة زيادة عدد أصحاب الامتياز</t>
        </is>
      </c>
      <c r="D46" s="68" t="inlineStr">
        <is>
          <t>%</t>
        </is>
      </c>
      <c r="E46" s="92" t="inlineStr">
        <is>
          <t>تراكمي (آخر قيمة) · (الفعلي÷المستهدف)×100</t>
        </is>
      </c>
      <c r="F46" s="68" t="inlineStr">
        <is>
          <t>100% نمو</t>
        </is>
      </c>
      <c r="G46" s="68" t="inlineStr">
        <is>
          <t>الاستدامة</t>
        </is>
      </c>
      <c r="H46" s="91" t="inlineStr">
        <is>
          <t>تعزيز تجربة العملاء</t>
        </is>
      </c>
      <c r="I46" s="68" t="inlineStr">
        <is>
          <t>العمليات الداخلية</t>
        </is>
      </c>
      <c r="J46" s="68" t="inlineStr">
        <is>
          <t>🔵 قائد</t>
        </is>
      </c>
      <c r="K46" s="38" t="n"/>
    </row>
    <row r="47" ht="22" customHeight="1">
      <c r="A47" s="68" t="n">
        <v>44</v>
      </c>
      <c r="B47" s="91" t="inlineStr">
        <is>
          <t>الامتياز التجاري</t>
        </is>
      </c>
      <c r="C47" s="91" t="inlineStr">
        <is>
          <t>نسبة اكتمال المستندات النظامية قبل التوقيع</t>
        </is>
      </c>
      <c r="D47" s="68" t="inlineStr">
        <is>
          <t>%</t>
        </is>
      </c>
      <c r="E47" s="92" t="inlineStr">
        <is>
          <t>متوسط شهري · (الفعلي÷المستهدف)×100</t>
        </is>
      </c>
      <c r="F47" s="68" t="inlineStr">
        <is>
          <t>100%</t>
        </is>
      </c>
      <c r="G47" s="68" t="inlineStr">
        <is>
          <t>الاستدامة</t>
        </is>
      </c>
      <c r="H47" s="91" t="inlineStr">
        <is>
          <t>جودة التشغيل</t>
        </is>
      </c>
      <c r="I47" s="68" t="inlineStr">
        <is>
          <t>العمليات الداخلية</t>
        </is>
      </c>
      <c r="J47" s="68" t="inlineStr">
        <is>
          <t>🟣 لاحق</t>
        </is>
      </c>
      <c r="K47" s="38" t="n"/>
    </row>
    <row r="48" ht="22" customHeight="1">
      <c r="A48" s="68" t="n">
        <v>45</v>
      </c>
      <c r="B48" s="91" t="inlineStr">
        <is>
          <t>الامتياز التجاري</t>
        </is>
      </c>
      <c r="C48" s="91" t="inlineStr">
        <is>
          <t>متوسط مدة إغلاق عقد الامتياز</t>
        </is>
      </c>
      <c r="D48" s="68" t="inlineStr">
        <is>
          <t>أسبوع</t>
        </is>
      </c>
      <c r="E48" s="92" t="inlineStr">
        <is>
          <t>متوسط شهري · (الفعلي÷المستهدف)×100</t>
        </is>
      </c>
      <c r="F48" s="68" t="inlineStr">
        <is>
          <t>≤ أسبوع</t>
        </is>
      </c>
      <c r="G48" s="68" t="inlineStr">
        <is>
          <t>النمو</t>
        </is>
      </c>
      <c r="H48" s="91" t="inlineStr">
        <is>
          <t>الامتياز التجاري</t>
        </is>
      </c>
      <c r="I48" s="68" t="inlineStr">
        <is>
          <t>العمليات الداخلية</t>
        </is>
      </c>
      <c r="J48" s="68" t="inlineStr">
        <is>
          <t>🟣 لاحق</t>
        </is>
      </c>
      <c r="K48" s="38" t="n"/>
    </row>
    <row r="49" ht="22" customHeight="1">
      <c r="A49" s="68" t="n">
        <v>46</v>
      </c>
      <c r="B49" s="91" t="inlineStr">
        <is>
          <t>الامتياز التجاري</t>
        </is>
      </c>
      <c r="C49" s="91" t="inlineStr">
        <is>
          <t>نسبة إنجاز التقارير الدورية في موعدها</t>
        </is>
      </c>
      <c r="D49" s="68" t="inlineStr">
        <is>
          <t>%</t>
        </is>
      </c>
      <c r="E49" s="92" t="inlineStr">
        <is>
          <t>متوسط شهري · (الفعلي÷المستهدف)×100</t>
        </is>
      </c>
      <c r="F49" s="68" t="inlineStr">
        <is>
          <t>100%</t>
        </is>
      </c>
      <c r="G49" s="68" t="inlineStr">
        <is>
          <t>الاستدامة</t>
        </is>
      </c>
      <c r="H49" s="91" t="inlineStr">
        <is>
          <t>جودة التشغيل</t>
        </is>
      </c>
      <c r="I49" s="68" t="inlineStr">
        <is>
          <t>العمليات الداخلية</t>
        </is>
      </c>
      <c r="J49" s="68" t="inlineStr">
        <is>
          <t>🟣 لاحق</t>
        </is>
      </c>
      <c r="K49" s="38" t="n"/>
    </row>
    <row r="50" ht="22" customHeight="1">
      <c r="A50" s="68" t="n">
        <v>47</v>
      </c>
      <c r="B50" s="91" t="inlineStr">
        <is>
          <t>التشغيل والمحطات</t>
        </is>
      </c>
      <c r="C50" s="91" t="inlineStr">
        <is>
          <t>عدد المحطات المشغّلة (تراكمي)</t>
        </is>
      </c>
      <c r="D50" s="68" t="inlineStr">
        <is>
          <t>محطة</t>
        </is>
      </c>
      <c r="E50" s="92" t="inlineStr">
        <is>
          <t>تراكمي (آخر قيمة) · (الفعلي÷المستهدف)×100</t>
        </is>
      </c>
      <c r="F50" s="68" t="inlineStr">
        <is>
          <t>85 محطة</t>
        </is>
      </c>
      <c r="G50" s="68" t="inlineStr">
        <is>
          <t>النمو</t>
        </is>
      </c>
      <c r="H50" s="91" t="inlineStr">
        <is>
          <t>التوسع في المواقع</t>
        </is>
      </c>
      <c r="I50" s="68" t="inlineStr">
        <is>
          <t>العمليات الداخلية</t>
        </is>
      </c>
      <c r="J50" s="68" t="inlineStr">
        <is>
          <t>🔵 قائد</t>
        </is>
      </c>
      <c r="K50" s="38" t="n"/>
    </row>
    <row r="51" ht="22" customHeight="1">
      <c r="A51" s="68" t="n">
        <v>48</v>
      </c>
      <c r="B51" s="91" t="inlineStr">
        <is>
          <t>التشغيل والمحطات</t>
        </is>
      </c>
      <c r="C51" s="91" t="inlineStr">
        <is>
          <t>نمو مبيعات بنزين 91 مقارنة بالعام السابق</t>
        </is>
      </c>
      <c r="D51" s="68" t="inlineStr">
        <is>
          <t>%</t>
        </is>
      </c>
      <c r="E51" s="92" t="inlineStr">
        <is>
          <t>متوسط شهري · (الفعلي÷المستهدف)×100</t>
        </is>
      </c>
      <c r="F51" s="68" t="inlineStr">
        <is>
          <t>يُحدد لاحقاً</t>
        </is>
      </c>
      <c r="G51" s="68" t="inlineStr">
        <is>
          <t>النمو</t>
        </is>
      </c>
      <c r="H51" s="91" t="inlineStr">
        <is>
          <t>زيادة وصول العملاء</t>
        </is>
      </c>
      <c r="I51" s="68" t="inlineStr">
        <is>
          <t>مالي</t>
        </is>
      </c>
      <c r="J51" s="68" t="inlineStr">
        <is>
          <t>🔵 قائد</t>
        </is>
      </c>
      <c r="K51" s="38" t="n"/>
    </row>
    <row r="52" ht="22" customHeight="1">
      <c r="A52" s="68" t="n">
        <v>49</v>
      </c>
      <c r="B52" s="91" t="inlineStr">
        <is>
          <t>التشغيل والمحطات</t>
        </is>
      </c>
      <c r="C52" s="91" t="inlineStr">
        <is>
          <t>نمو مبيعات بنزين 95 مقارنة بالعام السابق</t>
        </is>
      </c>
      <c r="D52" s="68" t="inlineStr">
        <is>
          <t>%</t>
        </is>
      </c>
      <c r="E52" s="92" t="inlineStr">
        <is>
          <t>متوسط شهري · (الفعلي÷المستهدف)×100</t>
        </is>
      </c>
      <c r="F52" s="68" t="inlineStr">
        <is>
          <t>يُحدد لاحقاً</t>
        </is>
      </c>
      <c r="G52" s="68" t="inlineStr">
        <is>
          <t>النمو</t>
        </is>
      </c>
      <c r="H52" s="91" t="inlineStr">
        <is>
          <t>زيادة وصول العملاء</t>
        </is>
      </c>
      <c r="I52" s="68" t="inlineStr">
        <is>
          <t>مالي</t>
        </is>
      </c>
      <c r="J52" s="68" t="inlineStr">
        <is>
          <t>🔵 قائد</t>
        </is>
      </c>
      <c r="K52" s="38" t="n"/>
    </row>
    <row r="53" ht="22" customHeight="1">
      <c r="A53" s="68" t="n">
        <v>50</v>
      </c>
      <c r="B53" s="91" t="inlineStr">
        <is>
          <t>التشغيل والمحطات</t>
        </is>
      </c>
      <c r="C53" s="91" t="inlineStr">
        <is>
          <t>نمو مبيعات بنزين 98 مقارنة بالعام السابق</t>
        </is>
      </c>
      <c r="D53" s="68" t="inlineStr">
        <is>
          <t>%</t>
        </is>
      </c>
      <c r="E53" s="92" t="inlineStr">
        <is>
          <t>متوسط شهري · (الفعلي÷المستهدف)×100</t>
        </is>
      </c>
      <c r="F53" s="68" t="inlineStr">
        <is>
          <t>يُحدد لاحقاً</t>
        </is>
      </c>
      <c r="G53" s="68" t="inlineStr">
        <is>
          <t>النمو</t>
        </is>
      </c>
      <c r="H53" s="91" t="inlineStr">
        <is>
          <t>زيادة وصول العملاء</t>
        </is>
      </c>
      <c r="I53" s="68" t="inlineStr">
        <is>
          <t>مالي</t>
        </is>
      </c>
      <c r="J53" s="68" t="inlineStr">
        <is>
          <t>🔵 قائد</t>
        </is>
      </c>
      <c r="K53" s="38" t="n"/>
    </row>
    <row r="54" ht="22" customHeight="1">
      <c r="A54" s="68" t="n">
        <v>51</v>
      </c>
      <c r="B54" s="91" t="inlineStr">
        <is>
          <t>التشغيل والمحطات</t>
        </is>
      </c>
      <c r="C54" s="91" t="inlineStr">
        <is>
          <t>نمو مبيعات الديزل مقارنة بالعام السابق</t>
        </is>
      </c>
      <c r="D54" s="68" t="inlineStr">
        <is>
          <t>%</t>
        </is>
      </c>
      <c r="E54" s="92" t="inlineStr">
        <is>
          <t>متوسط شهري · (الفعلي÷المستهدف)×100</t>
        </is>
      </c>
      <c r="F54" s="68" t="inlineStr">
        <is>
          <t>يُحدد لاحقاً</t>
        </is>
      </c>
      <c r="G54" s="68" t="inlineStr">
        <is>
          <t>النمو</t>
        </is>
      </c>
      <c r="H54" s="91" t="inlineStr">
        <is>
          <t>زيادة وصول العملاء</t>
        </is>
      </c>
      <c r="I54" s="68" t="inlineStr">
        <is>
          <t>مالي</t>
        </is>
      </c>
      <c r="J54" s="68" t="inlineStr">
        <is>
          <t>🔵 قائد</t>
        </is>
      </c>
      <c r="K54" s="38" t="n"/>
    </row>
    <row r="55" ht="22" customHeight="1">
      <c r="A55" s="68" t="n">
        <v>52</v>
      </c>
      <c r="B55" s="91" t="inlineStr">
        <is>
          <t>التشغيل والمحطات</t>
        </is>
      </c>
      <c r="C55" s="91" t="inlineStr">
        <is>
          <t>نسبة جاهزية المحطة الشاملة (Uptime)</t>
        </is>
      </c>
      <c r="D55" s="68" t="inlineStr">
        <is>
          <t>%</t>
        </is>
      </c>
      <c r="E55" s="92" t="inlineStr">
        <is>
          <t>متوسط شهري · (الفعلي÷المستهدف)×100</t>
        </is>
      </c>
      <c r="F55" s="68" t="inlineStr">
        <is>
          <t>99%+</t>
        </is>
      </c>
      <c r="G55" s="68" t="inlineStr">
        <is>
          <t>الاستدامة</t>
        </is>
      </c>
      <c r="H55" s="91" t="inlineStr">
        <is>
          <t>جودة التشغيل</t>
        </is>
      </c>
      <c r="I55" s="68" t="inlineStr">
        <is>
          <t>العمليات الداخلية</t>
        </is>
      </c>
      <c r="J55" s="68" t="inlineStr">
        <is>
          <t>🟣 لاحق</t>
        </is>
      </c>
      <c r="K55" s="38" t="n"/>
    </row>
    <row r="56" ht="22" customHeight="1">
      <c r="A56" s="68" t="n">
        <v>53</v>
      </c>
      <c r="B56" s="91" t="inlineStr">
        <is>
          <t>التشغيل والمحطات</t>
        </is>
      </c>
      <c r="C56" s="91" t="inlineStr">
        <is>
          <t>نسبة المضخات العاملة</t>
        </is>
      </c>
      <c r="D56" s="68" t="inlineStr">
        <is>
          <t>%</t>
        </is>
      </c>
      <c r="E56" s="92" t="inlineStr">
        <is>
          <t>متوسط شهري · (الفعلي÷المستهدف)×100</t>
        </is>
      </c>
      <c r="F56" s="68" t="inlineStr">
        <is>
          <t>≥ 97%</t>
        </is>
      </c>
      <c r="G56" s="68" t="inlineStr">
        <is>
          <t>الاستدامة</t>
        </is>
      </c>
      <c r="H56" s="91" t="inlineStr">
        <is>
          <t>جودة التشغيل</t>
        </is>
      </c>
      <c r="I56" s="68" t="inlineStr">
        <is>
          <t>العمليات الداخلية</t>
        </is>
      </c>
      <c r="J56" s="68" t="inlineStr">
        <is>
          <t>🟣 لاحق</t>
        </is>
      </c>
      <c r="K56" s="38" t="n"/>
    </row>
    <row r="57" ht="22" customHeight="1">
      <c r="A57" s="68" t="n">
        <v>54</v>
      </c>
      <c r="B57" s="91" t="inlineStr">
        <is>
          <t>التشغيل والمحطات</t>
        </is>
      </c>
      <c r="C57" s="91" t="inlineStr">
        <is>
          <t>تكلفة التشغيل لكل لتر مباع</t>
        </is>
      </c>
      <c r="D57" s="68" t="inlineStr">
        <is>
          <t>هللة/لتر</t>
        </is>
      </c>
      <c r="E57" s="92" t="inlineStr">
        <is>
          <t>متوسط شهري · (الفعلي÷المستهدف)×100</t>
        </is>
      </c>
      <c r="F57" s="68" t="inlineStr">
        <is>
          <t>خفض ≥5% سنوياً</t>
        </is>
      </c>
      <c r="G57" s="68" t="inlineStr">
        <is>
          <t>الاستدامة</t>
        </is>
      </c>
      <c r="H57" s="91" t="inlineStr">
        <is>
          <t>جودة التشغيل</t>
        </is>
      </c>
      <c r="I57" s="68" t="inlineStr">
        <is>
          <t>مالي</t>
        </is>
      </c>
      <c r="J57" s="68" t="inlineStr">
        <is>
          <t>🟣 لاحق</t>
        </is>
      </c>
      <c r="K57" s="38" t="n"/>
    </row>
    <row r="58" ht="22" customHeight="1">
      <c r="A58" s="68" t="n">
        <v>55</v>
      </c>
      <c r="B58" s="91" t="inlineStr">
        <is>
          <t>التشغيل والمحطات</t>
        </is>
      </c>
      <c r="C58" s="91" t="inlineStr">
        <is>
          <t>نسبة الصيانة الوقائية المنفذة في موعدها</t>
        </is>
      </c>
      <c r="D58" s="68" t="inlineStr">
        <is>
          <t>%</t>
        </is>
      </c>
      <c r="E58" s="92" t="inlineStr">
        <is>
          <t>متوسط شهري · (الفعلي÷المستهدف)×100</t>
        </is>
      </c>
      <c r="F58" s="68" t="inlineStr">
        <is>
          <t>≥ 95%</t>
        </is>
      </c>
      <c r="G58" s="68" t="inlineStr">
        <is>
          <t>الاستدامة</t>
        </is>
      </c>
      <c r="H58" s="91" t="inlineStr">
        <is>
          <t>جودة التشغيل</t>
        </is>
      </c>
      <c r="I58" s="68" t="inlineStr">
        <is>
          <t>العمليات الداخلية</t>
        </is>
      </c>
      <c r="J58" s="68" t="inlineStr">
        <is>
          <t>🟣 لاحق</t>
        </is>
      </c>
      <c r="K58" s="38" t="n"/>
    </row>
    <row r="59" ht="22" customHeight="1">
      <c r="A59" s="68" t="n">
        <v>56</v>
      </c>
      <c r="B59" s="91" t="inlineStr">
        <is>
          <t>التشغيل والمحطات</t>
        </is>
      </c>
      <c r="C59" s="91" t="inlineStr">
        <is>
          <t>نسبة انخفاض الشكاوى مقارنة بالشهر السابق</t>
        </is>
      </c>
      <c r="D59" s="68" t="inlineStr">
        <is>
          <t>%</t>
        </is>
      </c>
      <c r="E59" s="92" t="inlineStr">
        <is>
          <t>متوسط شهري · (الفعلي÷المستهدف)×100</t>
        </is>
      </c>
      <c r="F59" s="68" t="inlineStr">
        <is>
          <t>−30%</t>
        </is>
      </c>
      <c r="G59" s="68" t="inlineStr">
        <is>
          <t>الاستدامة</t>
        </is>
      </c>
      <c r="H59" s="91" t="inlineStr">
        <is>
          <t>تعزيز تجربة العملاء</t>
        </is>
      </c>
      <c r="I59" s="68" t="inlineStr">
        <is>
          <t>العملاء</t>
        </is>
      </c>
      <c r="J59" s="68" t="inlineStr">
        <is>
          <t>🟣 لاحق</t>
        </is>
      </c>
      <c r="K59" s="38" t="n"/>
    </row>
    <row r="60" ht="22" customHeight="1">
      <c r="A60" s="68" t="n">
        <v>57</v>
      </c>
      <c r="B60" s="91" t="inlineStr">
        <is>
          <t>التشغيل والمحطات</t>
        </is>
      </c>
      <c r="C60" s="91" t="inlineStr">
        <is>
          <t>تقييم Google Maps للمحطات</t>
        </is>
      </c>
      <c r="D60" s="68" t="inlineStr">
        <is>
          <t>نجمة/5</t>
        </is>
      </c>
      <c r="E60" s="92" t="inlineStr">
        <is>
          <t>متوسط شهري · (الفعلي÷المستهدف)×100</t>
        </is>
      </c>
      <c r="F60" s="68" t="inlineStr">
        <is>
          <t>≥ 4.5</t>
        </is>
      </c>
      <c r="G60" s="68" t="inlineStr">
        <is>
          <t>الاستدامة</t>
        </is>
      </c>
      <c r="H60" s="91" t="inlineStr">
        <is>
          <t>تعزيز تجربة العملاء</t>
        </is>
      </c>
      <c r="I60" s="68" t="inlineStr">
        <is>
          <t>العمليات الداخلية</t>
        </is>
      </c>
      <c r="J60" s="68" t="inlineStr">
        <is>
          <t>🟣 لاحق</t>
        </is>
      </c>
      <c r="K60" s="38" t="n"/>
    </row>
    <row r="61" ht="22" customHeight="1">
      <c r="A61" s="68" t="n">
        <v>58</v>
      </c>
      <c r="B61" s="91" t="inlineStr">
        <is>
          <t>التشغيل والمحطات</t>
        </is>
      </c>
      <c r="C61" s="91" t="inlineStr">
        <is>
          <t>سرعة تعبئة الوقود</t>
        </is>
      </c>
      <c r="D61" s="68" t="inlineStr">
        <is>
          <t>دقيقة</t>
        </is>
      </c>
      <c r="E61" s="92" t="inlineStr">
        <is>
          <t>متوسط شهري · (الفعلي÷المستهدف)×100</t>
        </is>
      </c>
      <c r="F61" s="68" t="inlineStr">
        <is>
          <t>≤ 3 دقائق</t>
        </is>
      </c>
      <c r="G61" s="68" t="inlineStr">
        <is>
          <t>الاستدامة</t>
        </is>
      </c>
      <c r="H61" s="91" t="inlineStr">
        <is>
          <t>تعزيز تجربة العملاء</t>
        </is>
      </c>
      <c r="I61" s="68" t="inlineStr">
        <is>
          <t>العمليات الداخلية</t>
        </is>
      </c>
      <c r="J61" s="68" t="inlineStr">
        <is>
          <t>🟣 لاحق</t>
        </is>
      </c>
      <c r="K61" s="38" t="n"/>
    </row>
    <row r="62" ht="22" customHeight="1">
      <c r="A62" s="68" t="n">
        <v>59</v>
      </c>
      <c r="B62" s="91" t="inlineStr">
        <is>
          <t>التشغيل والمحطات</t>
        </is>
      </c>
      <c r="C62" s="91" t="inlineStr">
        <is>
          <t>دقة التعبئة بدون أخطاء</t>
        </is>
      </c>
      <c r="D62" s="68" t="inlineStr">
        <is>
          <t>%</t>
        </is>
      </c>
      <c r="E62" s="92" t="inlineStr">
        <is>
          <t>متوسط شهري · (الفعلي÷المستهدف)×100</t>
        </is>
      </c>
      <c r="F62" s="68" t="inlineStr">
        <is>
          <t>≥ 99%</t>
        </is>
      </c>
      <c r="G62" s="68" t="inlineStr">
        <is>
          <t>الاستدامة</t>
        </is>
      </c>
      <c r="H62" s="91" t="inlineStr">
        <is>
          <t>جودة التشغيل</t>
        </is>
      </c>
      <c r="I62" s="68" t="inlineStr">
        <is>
          <t>العمليات الداخلية</t>
        </is>
      </c>
      <c r="J62" s="68" t="inlineStr">
        <is>
          <t>🟣 لاحق</t>
        </is>
      </c>
      <c r="K62" s="38" t="n"/>
    </row>
    <row r="63" ht="22" customHeight="1">
      <c r="A63" s="68" t="n">
        <v>60</v>
      </c>
      <c r="B63" s="91" t="inlineStr">
        <is>
          <t>التشغيل والمحطات</t>
        </is>
      </c>
      <c r="C63" s="91" t="inlineStr">
        <is>
          <t>تطبيق المعيار الشامل في المحطات</t>
        </is>
      </c>
      <c r="D63" s="68" t="inlineStr">
        <is>
          <t>%</t>
        </is>
      </c>
      <c r="E63" s="92" t="inlineStr">
        <is>
          <t>تراكمي (آخر قيمة) · (الفعلي÷المستهدف)×100</t>
        </is>
      </c>
      <c r="F63" s="68" t="inlineStr">
        <is>
          <t>≥ 80%</t>
        </is>
      </c>
      <c r="G63" s="68" t="inlineStr">
        <is>
          <t>الابتكار</t>
        </is>
      </c>
      <c r="H63" s="91" t="inlineStr">
        <is>
          <t>التحول التقني</t>
        </is>
      </c>
      <c r="I63" s="68" t="inlineStr">
        <is>
          <t>العمليات الداخلية</t>
        </is>
      </c>
      <c r="J63" s="68" t="inlineStr">
        <is>
          <t>🟣 لاحق</t>
        </is>
      </c>
      <c r="K63" s="38" t="n"/>
    </row>
    <row r="64" ht="22" customHeight="1">
      <c r="A64" s="68" t="n">
        <v>61</v>
      </c>
      <c r="B64" s="91" t="inlineStr">
        <is>
          <t>التشغيل والمحطات</t>
        </is>
      </c>
      <c r="C64" s="91" t="inlineStr">
        <is>
          <t>الالتزام بمعايير السلامة داخل المحطة</t>
        </is>
      </c>
      <c r="D64" s="68" t="inlineStr">
        <is>
          <t>%</t>
        </is>
      </c>
      <c r="E64" s="92" t="inlineStr">
        <is>
          <t>متوسط شهري · (الفعلي÷المستهدف)×100</t>
        </is>
      </c>
      <c r="F64" s="68" t="inlineStr">
        <is>
          <t>100%</t>
        </is>
      </c>
      <c r="G64" s="68" t="inlineStr">
        <is>
          <t>الاستدامة</t>
        </is>
      </c>
      <c r="H64" s="91" t="inlineStr">
        <is>
          <t>جودة التشغيل</t>
        </is>
      </c>
      <c r="I64" s="68" t="inlineStr">
        <is>
          <t>العمليات الداخلية</t>
        </is>
      </c>
      <c r="J64" s="68" t="inlineStr">
        <is>
          <t>🟣 لاحق</t>
        </is>
      </c>
      <c r="K64" s="38" t="n"/>
    </row>
    <row r="65" ht="22" customHeight="1">
      <c r="A65" s="68" t="n">
        <v>62</v>
      </c>
      <c r="B65" s="91" t="inlineStr">
        <is>
          <t>التشغيل والمحطات</t>
        </is>
      </c>
      <c r="C65" s="91" t="inlineStr">
        <is>
          <t>التشجير داخل المحطة (معيار الوزارة)</t>
        </is>
      </c>
      <c r="D65" s="68" t="inlineStr">
        <is>
          <t>%</t>
        </is>
      </c>
      <c r="E65" s="92" t="inlineStr">
        <is>
          <t>تراكمي (آخر قيمة) · (الفعلي÷المستهدف)×100</t>
        </is>
      </c>
      <c r="F65" s="68" t="inlineStr">
        <is>
          <t>100%</t>
        </is>
      </c>
      <c r="G65" s="68" t="inlineStr">
        <is>
          <t>الاستدامة</t>
        </is>
      </c>
      <c r="H65" s="91" t="inlineStr">
        <is>
          <t>جودة التشغيل</t>
        </is>
      </c>
      <c r="I65" s="68" t="inlineStr">
        <is>
          <t>العمليات الداخلية</t>
        </is>
      </c>
      <c r="J65" s="68" t="inlineStr">
        <is>
          <t>🟣 لاحق</t>
        </is>
      </c>
      <c r="K65" s="38" t="n"/>
    </row>
    <row r="66" ht="22" customHeight="1">
      <c r="A66" s="68" t="n">
        <v>63</v>
      </c>
      <c r="B66" s="91" t="inlineStr">
        <is>
          <t>الاستثمار</t>
        </is>
      </c>
      <c r="C66" s="91" t="inlineStr">
        <is>
          <t>إجمالي عقود الاستثمار الجديدة (جميع النماذج)</t>
        </is>
      </c>
      <c r="D66" s="68" t="inlineStr">
        <is>
          <t>عقد</t>
        </is>
      </c>
      <c r="E66" s="92" t="inlineStr">
        <is>
          <t>تجميعي (مجموع شهري) · (الفعلي÷المستهدف)×100</t>
        </is>
      </c>
      <c r="F66" s="68" t="inlineStr">
        <is>
          <t>190 عقد</t>
        </is>
      </c>
      <c r="G66" s="68" t="inlineStr">
        <is>
          <t>النمو</t>
        </is>
      </c>
      <c r="H66" s="91" t="inlineStr">
        <is>
          <t>التوسع في المواقع</t>
        </is>
      </c>
      <c r="I66" s="68" t="inlineStr">
        <is>
          <t>العمليات الداخلية</t>
        </is>
      </c>
      <c r="J66" s="68" t="inlineStr">
        <is>
          <t>🟣 لاحق</t>
        </is>
      </c>
      <c r="K66" s="38" t="n"/>
    </row>
    <row r="67" ht="22" customHeight="1">
      <c r="A67" s="68" t="n">
        <v>64</v>
      </c>
      <c r="B67" s="91" t="inlineStr">
        <is>
          <t>الاستثمار</t>
        </is>
      </c>
      <c r="C67" s="91" t="inlineStr">
        <is>
          <t>عقود الاستثمار العادي الجديدة</t>
        </is>
      </c>
      <c r="D67" s="68" t="inlineStr">
        <is>
          <t>عقد</t>
        </is>
      </c>
      <c r="E67" s="92" t="inlineStr">
        <is>
          <t>تجميعي (مجموع شهري) · (الفعلي÷المستهدف)×100</t>
        </is>
      </c>
      <c r="F67" s="68" t="inlineStr">
        <is>
          <t>90 عقد</t>
        </is>
      </c>
      <c r="G67" s="68" t="inlineStr">
        <is>
          <t>النمو</t>
        </is>
      </c>
      <c r="H67" s="91" t="inlineStr">
        <is>
          <t>التوسع في المواقع</t>
        </is>
      </c>
      <c r="I67" s="68" t="inlineStr">
        <is>
          <t>العمليات الداخلية</t>
        </is>
      </c>
      <c r="J67" s="68" t="inlineStr">
        <is>
          <t>🟣 لاحق</t>
        </is>
      </c>
      <c r="K67" s="38" t="n"/>
    </row>
    <row r="68" ht="22" customHeight="1">
      <c r="A68" s="68" t="n">
        <v>65</v>
      </c>
      <c r="B68" s="91" t="inlineStr">
        <is>
          <t>الاستثمار</t>
        </is>
      </c>
      <c r="C68" s="91" t="inlineStr">
        <is>
          <t>عقود الاستحواذ الجديدة</t>
        </is>
      </c>
      <c r="D68" s="68" t="inlineStr">
        <is>
          <t>عقد</t>
        </is>
      </c>
      <c r="E68" s="92" t="inlineStr">
        <is>
          <t>تجميعي (مجموع شهري) · (الفعلي÷المستهدف)×100</t>
        </is>
      </c>
      <c r="F68" s="68" t="inlineStr">
        <is>
          <t>100 عقد</t>
        </is>
      </c>
      <c r="G68" s="68" t="inlineStr">
        <is>
          <t>النمو</t>
        </is>
      </c>
      <c r="H68" s="91" t="inlineStr">
        <is>
          <t>التوسع في المواقع</t>
        </is>
      </c>
      <c r="I68" s="68" t="inlineStr">
        <is>
          <t>العمليات الداخلية</t>
        </is>
      </c>
      <c r="J68" s="68" t="inlineStr">
        <is>
          <t>🟣 لاحق</t>
        </is>
      </c>
      <c r="K68" s="38" t="n"/>
    </row>
    <row r="69" ht="22" customHeight="1">
      <c r="A69" s="68" t="n">
        <v>66</v>
      </c>
      <c r="B69" s="91" t="inlineStr">
        <is>
          <t>الاستثمار</t>
        </is>
      </c>
      <c r="C69" s="91" t="inlineStr">
        <is>
          <t>المحطات المستحوَذ عليها المشغّلة (تراكمي)</t>
        </is>
      </c>
      <c r="D69" s="68" t="inlineStr">
        <is>
          <t>محطة</t>
        </is>
      </c>
      <c r="E69" s="92" t="inlineStr">
        <is>
          <t>تراكمي (آخر قيمة) · (الفعلي÷المستهدف)×100</t>
        </is>
      </c>
      <c r="F69" s="68" t="inlineStr">
        <is>
          <t>120 محطة</t>
        </is>
      </c>
      <c r="G69" s="68" t="inlineStr">
        <is>
          <t>النمو</t>
        </is>
      </c>
      <c r="H69" s="91" t="inlineStr">
        <is>
          <t>التوسع في المواقع</t>
        </is>
      </c>
      <c r="I69" s="68" t="inlineStr">
        <is>
          <t>العمليات الداخلية</t>
        </is>
      </c>
      <c r="J69" s="68" t="inlineStr">
        <is>
          <t>🟣 لاحق</t>
        </is>
      </c>
      <c r="K69" s="38" t="n"/>
    </row>
    <row r="70" ht="22" customHeight="1">
      <c r="A70" s="68" t="n">
        <v>67</v>
      </c>
      <c r="B70" s="91" t="inlineStr">
        <is>
          <t>الاستثمار</t>
        </is>
      </c>
      <c r="C70" s="91" t="inlineStr">
        <is>
          <t>عقود تأجير الأرض الجديدة</t>
        </is>
      </c>
      <c r="D70" s="68" t="inlineStr">
        <is>
          <t>عقد</t>
        </is>
      </c>
      <c r="E70" s="92" t="inlineStr">
        <is>
          <t>تجميعي (مجموع شهري) · (الفعلي÷المستهدف)×100</t>
        </is>
      </c>
      <c r="F70" s="68" t="inlineStr">
        <is>
          <t>11 عقد</t>
        </is>
      </c>
      <c r="G70" s="68" t="inlineStr">
        <is>
          <t>النمو</t>
        </is>
      </c>
      <c r="H70" s="91" t="inlineStr">
        <is>
          <t>التوسع في المواقع</t>
        </is>
      </c>
      <c r="I70" s="68" t="inlineStr">
        <is>
          <t>العمليات الداخلية</t>
        </is>
      </c>
      <c r="J70" s="68" t="inlineStr">
        <is>
          <t>🟣 لاحق</t>
        </is>
      </c>
      <c r="K70" s="38" t="n"/>
    </row>
    <row r="71" ht="22" customHeight="1">
      <c r="A71" s="68" t="n">
        <v>68</v>
      </c>
      <c r="B71" s="91" t="inlineStr">
        <is>
          <t>الاستثمار</t>
        </is>
      </c>
      <c r="C71" s="91" t="inlineStr">
        <is>
          <t>عقود إيجار المحطة الجديدة</t>
        </is>
      </c>
      <c r="D71" s="68" t="inlineStr">
        <is>
          <t>عقد</t>
        </is>
      </c>
      <c r="E71" s="92" t="inlineStr">
        <is>
          <t>تجميعي (مجموع شهري) · (الفعلي÷المستهدف)×100</t>
        </is>
      </c>
      <c r="F71" s="68" t="inlineStr">
        <is>
          <t>12 عقد</t>
        </is>
      </c>
      <c r="G71" s="68" t="inlineStr">
        <is>
          <t>النمو</t>
        </is>
      </c>
      <c r="H71" s="91" t="inlineStr">
        <is>
          <t>التوسع في المواقع</t>
        </is>
      </c>
      <c r="I71" s="68" t="inlineStr">
        <is>
          <t>العمليات الداخلية</t>
        </is>
      </c>
      <c r="J71" s="68" t="inlineStr">
        <is>
          <t>🟣 لاحق</t>
        </is>
      </c>
      <c r="K71" s="38" t="n"/>
    </row>
    <row r="72" ht="22" customHeight="1">
      <c r="A72" s="68" t="n">
        <v>69</v>
      </c>
      <c r="B72" s="91" t="inlineStr">
        <is>
          <t>الاستثمار</t>
        </is>
      </c>
      <c r="C72" s="91" t="inlineStr">
        <is>
          <t>عقود تشغيل المحطة الجديدة</t>
        </is>
      </c>
      <c r="D72" s="68" t="inlineStr">
        <is>
          <t>عقد</t>
        </is>
      </c>
      <c r="E72" s="92" t="inlineStr">
        <is>
          <t>تجميعي (مجموع شهري) · (الفعلي÷المستهدف)×100</t>
        </is>
      </c>
      <c r="F72" s="68" t="inlineStr">
        <is>
          <t>68 عقد</t>
        </is>
      </c>
      <c r="G72" s="68" t="inlineStr">
        <is>
          <t>النمو</t>
        </is>
      </c>
      <c r="H72" s="91" t="inlineStr">
        <is>
          <t>التوسع في المواقع</t>
        </is>
      </c>
      <c r="I72" s="68" t="inlineStr">
        <is>
          <t>العمليات الداخلية</t>
        </is>
      </c>
      <c r="J72" s="68" t="inlineStr">
        <is>
          <t>🟣 لاحق</t>
        </is>
      </c>
      <c r="K72" s="38" t="n"/>
    </row>
    <row r="73" ht="22" customHeight="1">
      <c r="A73" s="68" t="n">
        <v>70</v>
      </c>
      <c r="B73" s="91" t="inlineStr">
        <is>
          <t>الاستثمار</t>
        </is>
      </c>
      <c r="C73" s="91" t="inlineStr">
        <is>
          <t>نسبة المواقع المعتمدة ذات العائد المجدي</t>
        </is>
      </c>
      <c r="D73" s="68" t="inlineStr">
        <is>
          <t>%</t>
        </is>
      </c>
      <c r="E73" s="92" t="inlineStr">
        <is>
          <t>متوسط شهري · (الفعلي÷المستهدف)×100</t>
        </is>
      </c>
      <c r="F73" s="68" t="inlineStr">
        <is>
          <t>80%+</t>
        </is>
      </c>
      <c r="G73" s="68" t="inlineStr">
        <is>
          <t>الاستدامة</t>
        </is>
      </c>
      <c r="H73" s="91" t="inlineStr">
        <is>
          <t>جودة التشغيل</t>
        </is>
      </c>
      <c r="I73" s="68" t="inlineStr">
        <is>
          <t>مالي</t>
        </is>
      </c>
      <c r="J73" s="68" t="inlineStr">
        <is>
          <t>🟣 لاحق</t>
        </is>
      </c>
      <c r="K73" s="38" t="n"/>
    </row>
    <row r="74" ht="22" customHeight="1">
      <c r="A74" s="68" t="n">
        <v>71</v>
      </c>
      <c r="B74" s="91" t="inlineStr">
        <is>
          <t>الاستثمار</t>
        </is>
      </c>
      <c r="C74" s="91" t="inlineStr">
        <is>
          <t>متوسط فترة استرداد رأس المال</t>
        </is>
      </c>
      <c r="D74" s="68" t="inlineStr">
        <is>
          <t>سنة</t>
        </is>
      </c>
      <c r="E74" s="92" t="inlineStr">
        <is>
          <t>متوسط شهري · (الفعلي÷المستهدف)×100</t>
        </is>
      </c>
      <c r="F74" s="68" t="inlineStr">
        <is>
          <t>≤ 5 سنوات</t>
        </is>
      </c>
      <c r="G74" s="68" t="inlineStr">
        <is>
          <t>الاستدامة</t>
        </is>
      </c>
      <c r="H74" s="91" t="inlineStr">
        <is>
          <t>جودة التشغيل</t>
        </is>
      </c>
      <c r="I74" s="68" t="inlineStr">
        <is>
          <t>مالي</t>
        </is>
      </c>
      <c r="J74" s="68" t="inlineStr">
        <is>
          <t>🟣 لاحق</t>
        </is>
      </c>
      <c r="K74" s="38" t="n"/>
    </row>
    <row r="75" ht="22" customHeight="1">
      <c r="A75" s="68" t="n">
        <v>72</v>
      </c>
      <c r="B75" s="91" t="inlineStr">
        <is>
          <t>الاستثمار</t>
        </is>
      </c>
      <c r="C75" s="91" t="inlineStr">
        <is>
          <t>متوسط قيمة عقد الإيجار السنوي (أرض)</t>
        </is>
      </c>
      <c r="D75" s="68" t="inlineStr">
        <is>
          <t>ر.س</t>
        </is>
      </c>
      <c r="E75" s="92" t="inlineStr">
        <is>
          <t>متوسط شهري · (الفعلي÷المستهدف)×100</t>
        </is>
      </c>
      <c r="F75" s="68" t="inlineStr">
        <is>
          <t>يُحدد لاحقاً</t>
        </is>
      </c>
      <c r="G75" s="68" t="inlineStr">
        <is>
          <t>النمو</t>
        </is>
      </c>
      <c r="H75" s="91" t="inlineStr">
        <is>
          <t>التوسع في المواقع</t>
        </is>
      </c>
      <c r="I75" s="68" t="inlineStr">
        <is>
          <t>مالي</t>
        </is>
      </c>
      <c r="J75" s="68" t="inlineStr">
        <is>
          <t>🟣 لاحق</t>
        </is>
      </c>
      <c r="K75" s="38" t="n"/>
    </row>
    <row r="76" ht="22" customHeight="1">
      <c r="A76" s="68" t="n">
        <v>73</v>
      </c>
      <c r="B76" s="91" t="inlineStr">
        <is>
          <t>الاستثمار</t>
        </is>
      </c>
      <c r="C76" s="91" t="inlineStr">
        <is>
          <t>نسبة العقود التي تغطي المناطق الـ13</t>
        </is>
      </c>
      <c r="D76" s="68" t="inlineStr">
        <is>
          <t>%</t>
        </is>
      </c>
      <c r="E76" s="92" t="inlineStr">
        <is>
          <t>تراكمي (آخر قيمة) · (الفعلي÷المستهدف)×100</t>
        </is>
      </c>
      <c r="F76" s="68" t="inlineStr">
        <is>
          <t>100%</t>
        </is>
      </c>
      <c r="G76" s="68" t="inlineStr">
        <is>
          <t>النمو</t>
        </is>
      </c>
      <c r="H76" s="91" t="inlineStr">
        <is>
          <t>التوسع في المواقع</t>
        </is>
      </c>
      <c r="I76" s="68" t="inlineStr">
        <is>
          <t>العمليات الداخلية</t>
        </is>
      </c>
      <c r="J76" s="68" t="inlineStr">
        <is>
          <t>🟣 لاحق</t>
        </is>
      </c>
      <c r="K76" s="38" t="n"/>
    </row>
    <row r="77" ht="22" customHeight="1">
      <c r="A77" s="68" t="n">
        <v>74</v>
      </c>
      <c r="B77" s="91" t="inlineStr">
        <is>
          <t>الاستثمار</t>
        </is>
      </c>
      <c r="C77" s="91" t="inlineStr">
        <is>
          <t>نسبة العقود خارج المدن الرئيسية</t>
        </is>
      </c>
      <c r="D77" s="68" t="inlineStr">
        <is>
          <t>%</t>
        </is>
      </c>
      <c r="E77" s="92" t="inlineStr">
        <is>
          <t>تراكمي (آخر قيمة) · (الفعلي÷المستهدف)×100</t>
        </is>
      </c>
      <c r="F77" s="68" t="inlineStr">
        <is>
          <t>&gt; 60%</t>
        </is>
      </c>
      <c r="G77" s="68" t="inlineStr">
        <is>
          <t>النمو</t>
        </is>
      </c>
      <c r="H77" s="91" t="inlineStr">
        <is>
          <t>التوسع في المواقع</t>
        </is>
      </c>
      <c r="I77" s="68" t="inlineStr">
        <is>
          <t>العمليات الداخلية</t>
        </is>
      </c>
      <c r="J77" s="68" t="inlineStr">
        <is>
          <t>🟣 لاحق</t>
        </is>
      </c>
      <c r="K77" s="38" t="n"/>
    </row>
    <row r="78" ht="22" customHeight="1">
      <c r="A78" s="68" t="n">
        <v>75</v>
      </c>
      <c r="B78" s="91" t="inlineStr">
        <is>
          <t>الاستثمار</t>
        </is>
      </c>
      <c r="C78" s="91" t="inlineStr">
        <is>
          <t>نسبة العقود في الـ12 مدينة الرئيسية</t>
        </is>
      </c>
      <c r="D78" s="68" t="inlineStr">
        <is>
          <t>%</t>
        </is>
      </c>
      <c r="E78" s="92" t="inlineStr">
        <is>
          <t>تراكمي (آخر قيمة) · (الفعلي÷المستهدف)×100</t>
        </is>
      </c>
      <c r="F78" s="68" t="inlineStr">
        <is>
          <t>&lt; 40%</t>
        </is>
      </c>
      <c r="G78" s="68" t="inlineStr">
        <is>
          <t>النمو</t>
        </is>
      </c>
      <c r="H78" s="91" t="inlineStr">
        <is>
          <t>التوسع في المواقع</t>
        </is>
      </c>
      <c r="I78" s="68" t="inlineStr">
        <is>
          <t>العمليات الداخلية</t>
        </is>
      </c>
      <c r="J78" s="68" t="inlineStr">
        <is>
          <t>🟣 لاحق</t>
        </is>
      </c>
      <c r="K78" s="38" t="n"/>
    </row>
    <row r="79" ht="22" customHeight="1">
      <c r="A79" s="68" t="n">
        <v>76</v>
      </c>
      <c r="B79" s="91" t="inlineStr">
        <is>
          <t>الاستثمار</t>
        </is>
      </c>
      <c r="C79" s="91" t="inlineStr">
        <is>
          <t>نسبة العقود على الطرق الإقليمية</t>
        </is>
      </c>
      <c r="D79" s="68" t="inlineStr">
        <is>
          <t>%</t>
        </is>
      </c>
      <c r="E79" s="92" t="inlineStr">
        <is>
          <t>تراكمي (آخر قيمة) · (الفعلي÷المستهدف)×100</t>
        </is>
      </c>
      <c r="F79" s="68" t="inlineStr">
        <is>
          <t>&gt; 25%</t>
        </is>
      </c>
      <c r="G79" s="68" t="inlineStr">
        <is>
          <t>النمو</t>
        </is>
      </c>
      <c r="H79" s="91" t="inlineStr">
        <is>
          <t>التوسع في المواقع</t>
        </is>
      </c>
      <c r="I79" s="68" t="inlineStr">
        <is>
          <t>العمليات الداخلية</t>
        </is>
      </c>
      <c r="J79" s="68" t="inlineStr">
        <is>
          <t>🟣 لاحق</t>
        </is>
      </c>
      <c r="K79" s="38" t="n"/>
    </row>
    <row r="80" ht="22" customHeight="1">
      <c r="A80" s="68" t="n">
        <v>77</v>
      </c>
      <c r="B80" s="91" t="inlineStr">
        <is>
          <t>الاستثمار</t>
        </is>
      </c>
      <c r="C80" s="91" t="inlineStr">
        <is>
          <t>متوسط مدة إغلاق عقد الاستثمار</t>
        </is>
      </c>
      <c r="D80" s="68" t="inlineStr">
        <is>
          <t>أسبوع</t>
        </is>
      </c>
      <c r="E80" s="92" t="inlineStr">
        <is>
          <t>متوسط شهري · (الفعلي÷المستهدف)×100</t>
        </is>
      </c>
      <c r="F80" s="68" t="inlineStr">
        <is>
          <t>≤ أسبوع</t>
        </is>
      </c>
      <c r="G80" s="68" t="inlineStr">
        <is>
          <t>النمو</t>
        </is>
      </c>
      <c r="H80" s="91" t="inlineStr">
        <is>
          <t>التوسع في المواقع</t>
        </is>
      </c>
      <c r="I80" s="68" t="inlineStr">
        <is>
          <t>العمليات الداخلية</t>
        </is>
      </c>
      <c r="J80" s="68" t="inlineStr">
        <is>
          <t>🟣 لاحق</t>
        </is>
      </c>
      <c r="K80" s="38" t="n"/>
    </row>
    <row r="81" ht="22" customHeight="1">
      <c r="A81" s="68" t="n">
        <v>78</v>
      </c>
      <c r="B81" s="91" t="inlineStr">
        <is>
          <t>الاستثمار</t>
        </is>
      </c>
      <c r="C81" s="91" t="inlineStr">
        <is>
          <t>نسبة العقود المتحوّلة لمحطات مشغّلة</t>
        </is>
      </c>
      <c r="D81" s="68" t="inlineStr">
        <is>
          <t>%</t>
        </is>
      </c>
      <c r="E81" s="92" t="inlineStr">
        <is>
          <t>متوسط شهري · (الفعلي÷المستهدف)×100</t>
        </is>
      </c>
      <c r="F81" s="68" t="inlineStr">
        <is>
          <t>≥ 30%</t>
        </is>
      </c>
      <c r="G81" s="68" t="inlineStr">
        <is>
          <t>النمو</t>
        </is>
      </c>
      <c r="H81" s="91" t="inlineStr">
        <is>
          <t>التوسع في المواقع</t>
        </is>
      </c>
      <c r="I81" s="68" t="inlineStr">
        <is>
          <t>العمليات الداخلية</t>
        </is>
      </c>
      <c r="J81" s="68" t="inlineStr">
        <is>
          <t>🟣 لاحق</t>
        </is>
      </c>
      <c r="K81" s="38" t="n"/>
    </row>
    <row r="82" ht="22" customHeight="1">
      <c r="A82" s="68" t="n">
        <v>79</v>
      </c>
      <c r="B82" s="91" t="inlineStr">
        <is>
          <t>الاستثمار</t>
        </is>
      </c>
      <c r="C82" s="91" t="inlineStr">
        <is>
          <t>نسبة تخفيض إيجار المواقع عالية التكاليف</t>
        </is>
      </c>
      <c r="D82" s="68" t="inlineStr">
        <is>
          <t>%</t>
        </is>
      </c>
      <c r="E82" s="92" t="inlineStr">
        <is>
          <t>متوسط شهري · (الفعلي÷المستهدف)×100</t>
        </is>
      </c>
      <c r="F82" s="68" t="inlineStr">
        <is>
          <t>≥ 30%</t>
        </is>
      </c>
      <c r="G82" s="68" t="inlineStr">
        <is>
          <t>الاستدامة</t>
        </is>
      </c>
      <c r="H82" s="91" t="inlineStr">
        <is>
          <t>جودة التشغيل</t>
        </is>
      </c>
      <c r="I82" s="68" t="inlineStr">
        <is>
          <t>العمليات الداخلية</t>
        </is>
      </c>
      <c r="J82" s="68" t="inlineStr">
        <is>
          <t>🟣 لاحق</t>
        </is>
      </c>
      <c r="K82" s="38" t="n"/>
    </row>
    <row r="83" ht="22" customHeight="1">
      <c r="A83" s="68" t="n">
        <v>80</v>
      </c>
      <c r="B83" s="91" t="inlineStr">
        <is>
          <t>الاستثمار</t>
        </is>
      </c>
      <c r="C83" s="91" t="inlineStr">
        <is>
          <t>نسبة اكتمال المستندات النظامية قبل التوقيع</t>
        </is>
      </c>
      <c r="D83" s="68" t="inlineStr">
        <is>
          <t>%</t>
        </is>
      </c>
      <c r="E83" s="92" t="inlineStr">
        <is>
          <t>متوسط شهري · (الفعلي÷المستهدف)×100</t>
        </is>
      </c>
      <c r="F83" s="68" t="inlineStr">
        <is>
          <t>100%</t>
        </is>
      </c>
      <c r="G83" s="68" t="inlineStr">
        <is>
          <t>الاستدامة</t>
        </is>
      </c>
      <c r="H83" s="91" t="inlineStr">
        <is>
          <t>جودة التشغيل</t>
        </is>
      </c>
      <c r="I83" s="68" t="inlineStr">
        <is>
          <t>العمليات الداخلية</t>
        </is>
      </c>
      <c r="J83" s="68" t="inlineStr">
        <is>
          <t>🟣 لاحق</t>
        </is>
      </c>
      <c r="K83" s="38" t="n"/>
    </row>
    <row r="84" ht="22" customHeight="1">
      <c r="A84" s="68" t="n">
        <v>81</v>
      </c>
      <c r="B84" s="91" t="inlineStr">
        <is>
          <t>الاستثمار</t>
        </is>
      </c>
      <c r="C84" s="91" t="inlineStr">
        <is>
          <t>نسبة العقود المؤرشفة إلكترونياً خلال 48 ساعة</t>
        </is>
      </c>
      <c r="D84" s="68" t="inlineStr">
        <is>
          <t>%</t>
        </is>
      </c>
      <c r="E84" s="92" t="inlineStr">
        <is>
          <t>متوسط شهري · (الفعلي÷المستهدف)×100</t>
        </is>
      </c>
      <c r="F84" s="68" t="inlineStr">
        <is>
          <t>95%+</t>
        </is>
      </c>
      <c r="G84" s="68" t="inlineStr">
        <is>
          <t>الاستدامة</t>
        </is>
      </c>
      <c r="H84" s="91" t="inlineStr">
        <is>
          <t>جودة التشغيل</t>
        </is>
      </c>
      <c r="I84" s="68" t="inlineStr">
        <is>
          <t>العمليات الداخلية</t>
        </is>
      </c>
      <c r="J84" s="68" t="inlineStr">
        <is>
          <t>🟣 لاحق</t>
        </is>
      </c>
      <c r="K84" s="38" t="n"/>
    </row>
    <row r="85" ht="22" customHeight="1">
      <c r="A85" s="68" t="n">
        <v>82</v>
      </c>
      <c r="B85" s="91" t="inlineStr">
        <is>
          <t>الاستثمار</t>
        </is>
      </c>
      <c r="C85" s="91" t="inlineStr">
        <is>
          <t>جودة التفاوض مع المستثمرين (توافق مع المستهدفات)</t>
        </is>
      </c>
      <c r="D85" s="68" t="inlineStr">
        <is>
          <t>%</t>
        </is>
      </c>
      <c r="E85" s="92" t="inlineStr">
        <is>
          <t>متوسط شهري · (الفعلي÷المستهدف)×100</t>
        </is>
      </c>
      <c r="F85" s="68" t="inlineStr">
        <is>
          <t>98%</t>
        </is>
      </c>
      <c r="G85" s="68" t="inlineStr">
        <is>
          <t>النمو</t>
        </is>
      </c>
      <c r="H85" s="91" t="inlineStr">
        <is>
          <t>التوسع في المواقع</t>
        </is>
      </c>
      <c r="I85" s="68" t="inlineStr">
        <is>
          <t>العمليات الداخلية</t>
        </is>
      </c>
      <c r="J85" s="68" t="inlineStr">
        <is>
          <t>🟣 لاحق</t>
        </is>
      </c>
      <c r="K85" s="38" t="n"/>
    </row>
    <row r="86" ht="22" customHeight="1">
      <c r="A86" s="68" t="n">
        <v>83</v>
      </c>
      <c r="B86" s="91" t="inlineStr">
        <is>
          <t>الاستثمار</t>
        </is>
      </c>
      <c r="C86" s="91" t="inlineStr">
        <is>
          <t>سرعة إنجاز إجراءات التعاقد</t>
        </is>
      </c>
      <c r="D86" s="68" t="inlineStr">
        <is>
          <t>أسبوع</t>
        </is>
      </c>
      <c r="E86" s="92" t="inlineStr">
        <is>
          <t>متوسط شهري · (الفعلي÷المستهدف)×100</t>
        </is>
      </c>
      <c r="F86" s="68" t="inlineStr">
        <is>
          <t>≤ أسبوع</t>
        </is>
      </c>
      <c r="G86" s="68" t="inlineStr">
        <is>
          <t>النمو</t>
        </is>
      </c>
      <c r="H86" s="91" t="inlineStr">
        <is>
          <t>التوسع في المواقع</t>
        </is>
      </c>
      <c r="I86" s="68" t="inlineStr">
        <is>
          <t>العمليات الداخلية</t>
        </is>
      </c>
      <c r="J86" s="68" t="inlineStr">
        <is>
          <t>🟣 لاحق</t>
        </is>
      </c>
      <c r="K86" s="38" t="n"/>
    </row>
    <row r="87" ht="22" customHeight="1">
      <c r="A87" s="68" t="n">
        <v>84</v>
      </c>
      <c r="B87" s="91" t="inlineStr">
        <is>
          <t>الاستثمار</t>
        </is>
      </c>
      <c r="C87" s="91" t="inlineStr">
        <is>
          <t>مدى رضا المستثمرين وشركاء الاستثمار</t>
        </is>
      </c>
      <c r="D87" s="68" t="inlineStr">
        <is>
          <t>%</t>
        </is>
      </c>
      <c r="E87" s="92" t="inlineStr">
        <is>
          <t>متوسط شهري · (الفعلي÷المستهدف)×100</t>
        </is>
      </c>
      <c r="F87" s="68" t="inlineStr">
        <is>
          <t>80%+</t>
        </is>
      </c>
      <c r="G87" s="68" t="inlineStr">
        <is>
          <t>الاستدامة</t>
        </is>
      </c>
      <c r="H87" s="91" t="inlineStr">
        <is>
          <t>تعزيز تجربة العملاء</t>
        </is>
      </c>
      <c r="I87" s="68" t="inlineStr">
        <is>
          <t>العملاء</t>
        </is>
      </c>
      <c r="J87" s="68" t="inlineStr">
        <is>
          <t>🟣 لاحق</t>
        </is>
      </c>
      <c r="K87" s="38" t="n"/>
    </row>
    <row r="88" ht="22" customHeight="1">
      <c r="A88" s="68" t="n">
        <v>85</v>
      </c>
      <c r="B88" s="91" t="inlineStr">
        <is>
          <t>الاستثمار</t>
        </is>
      </c>
      <c r="C88" s="91" t="inlineStr">
        <is>
          <t>نسبة اكتمال أرشفة ملفات العملاء</t>
        </is>
      </c>
      <c r="D88" s="68" t="inlineStr">
        <is>
          <t>%</t>
        </is>
      </c>
      <c r="E88" s="92" t="inlineStr">
        <is>
          <t>متوسط شهري · (الفعلي÷المستهدف)×100</t>
        </is>
      </c>
      <c r="F88" s="68" t="inlineStr">
        <is>
          <t>100%</t>
        </is>
      </c>
      <c r="G88" s="68" t="inlineStr">
        <is>
          <t>الاستدامة</t>
        </is>
      </c>
      <c r="H88" s="91" t="inlineStr">
        <is>
          <t>جودة التشغيل</t>
        </is>
      </c>
      <c r="I88" s="68" t="inlineStr">
        <is>
          <t>العملاء</t>
        </is>
      </c>
      <c r="J88" s="68" t="inlineStr">
        <is>
          <t>🟣 لاحق</t>
        </is>
      </c>
      <c r="K88" s="38" t="n"/>
    </row>
    <row r="89" ht="22" customHeight="1">
      <c r="A89" s="68" t="n">
        <v>86</v>
      </c>
      <c r="B89" s="91" t="inlineStr">
        <is>
          <t>الاستثمار</t>
        </is>
      </c>
      <c r="C89" s="91" t="inlineStr">
        <is>
          <t>نسبة إنجاز التقارير الدورية في موعدها</t>
        </is>
      </c>
      <c r="D89" s="68" t="inlineStr">
        <is>
          <t>%</t>
        </is>
      </c>
      <c r="E89" s="92" t="inlineStr">
        <is>
          <t>متوسط شهري · (الفعلي÷المستهدف)×100</t>
        </is>
      </c>
      <c r="F89" s="68" t="inlineStr">
        <is>
          <t>100%</t>
        </is>
      </c>
      <c r="G89" s="68" t="inlineStr">
        <is>
          <t>الاستدامة</t>
        </is>
      </c>
      <c r="H89" s="91" t="inlineStr">
        <is>
          <t>جودة التشغيل</t>
        </is>
      </c>
      <c r="I89" s="68" t="inlineStr">
        <is>
          <t>العمليات الداخلية</t>
        </is>
      </c>
      <c r="J89" s="68" t="inlineStr">
        <is>
          <t>🟣 لاحق</t>
        </is>
      </c>
      <c r="K89" s="38" t="n"/>
    </row>
    <row r="90" ht="22" customHeight="1">
      <c r="A90" s="68" t="n">
        <v>87</v>
      </c>
      <c r="B90" s="91" t="inlineStr">
        <is>
          <t>العقار</t>
        </is>
      </c>
      <c r="C90" s="91" t="inlineStr">
        <is>
          <t>نمو الإيرادات الإيجارية</t>
        </is>
      </c>
      <c r="D90" s="68" t="inlineStr">
        <is>
          <t>%</t>
        </is>
      </c>
      <c r="E90" s="92" t="inlineStr">
        <is>
          <t>متوسط شهري · (الفعلي÷المستهدف)×100</t>
        </is>
      </c>
      <c r="F90" s="68" t="inlineStr">
        <is>
          <t>&gt; 8% سنوياً</t>
        </is>
      </c>
      <c r="G90" s="68" t="inlineStr">
        <is>
          <t>الاستدامة</t>
        </is>
      </c>
      <c r="H90" s="91" t="inlineStr">
        <is>
          <t>منظومة التأجير</t>
        </is>
      </c>
      <c r="I90" s="68" t="inlineStr">
        <is>
          <t>مالي</t>
        </is>
      </c>
      <c r="J90" s="68" t="inlineStr">
        <is>
          <t>🔵 قائد</t>
        </is>
      </c>
      <c r="K90" s="38" t="n"/>
    </row>
    <row r="91" ht="22" customHeight="1">
      <c r="A91" s="68" t="n">
        <v>88</v>
      </c>
      <c r="B91" s="91" t="inlineStr">
        <is>
          <t>العقار</t>
        </is>
      </c>
      <c r="C91" s="91" t="inlineStr">
        <is>
          <t>نسبة الالتزام بالعقود</t>
        </is>
      </c>
      <c r="D91" s="68" t="inlineStr">
        <is>
          <t>%</t>
        </is>
      </c>
      <c r="E91" s="92" t="inlineStr">
        <is>
          <t>متوسط شهري · (الفعلي÷المستهدف)×100</t>
        </is>
      </c>
      <c r="F91" s="68" t="inlineStr">
        <is>
          <t>100%</t>
        </is>
      </c>
      <c r="G91" s="68" t="inlineStr">
        <is>
          <t>الاستدامة</t>
        </is>
      </c>
      <c r="H91" s="91" t="inlineStr">
        <is>
          <t>منظومة التأجير</t>
        </is>
      </c>
      <c r="I91" s="68" t="inlineStr">
        <is>
          <t>العمليات الداخلية</t>
        </is>
      </c>
      <c r="J91" s="68" t="inlineStr">
        <is>
          <t>🟣 لاحق</t>
        </is>
      </c>
      <c r="K91" s="38" t="n"/>
    </row>
    <row r="92" ht="22" customHeight="1">
      <c r="A92" s="68" t="n">
        <v>89</v>
      </c>
      <c r="B92" s="91" t="inlineStr">
        <is>
          <t>العقار</t>
        </is>
      </c>
      <c r="C92" s="91" t="inlineStr">
        <is>
          <t>نسبة التحصيل</t>
        </is>
      </c>
      <c r="D92" s="68" t="inlineStr">
        <is>
          <t>%</t>
        </is>
      </c>
      <c r="E92" s="92" t="inlineStr">
        <is>
          <t>متوسط شهري · (الفعلي÷المستهدف)×100</t>
        </is>
      </c>
      <c r="F92" s="68" t="inlineStr">
        <is>
          <t>&gt; 95%</t>
        </is>
      </c>
      <c r="G92" s="68" t="inlineStr">
        <is>
          <t>الاستدامة</t>
        </is>
      </c>
      <c r="H92" s="91" t="inlineStr">
        <is>
          <t>منظومة التأجير</t>
        </is>
      </c>
      <c r="I92" s="68" t="inlineStr">
        <is>
          <t>مالي</t>
        </is>
      </c>
      <c r="J92" s="68" t="inlineStr">
        <is>
          <t>🟣 لاحق</t>
        </is>
      </c>
      <c r="K92" s="38" t="n"/>
    </row>
    <row r="93" ht="22" customHeight="1">
      <c r="A93" s="68" t="n">
        <v>90</v>
      </c>
      <c r="B93" s="91" t="inlineStr">
        <is>
          <t>العقار</t>
        </is>
      </c>
      <c r="C93" s="91" t="inlineStr">
        <is>
          <t>نسبة الإشغال</t>
        </is>
      </c>
      <c r="D93" s="68" t="inlineStr">
        <is>
          <t>%</t>
        </is>
      </c>
      <c r="E93" s="92" t="inlineStr">
        <is>
          <t>متوسط شهري · (الفعلي÷المستهدف)×100</t>
        </is>
      </c>
      <c r="F93" s="68" t="inlineStr">
        <is>
          <t>≥ 60%</t>
        </is>
      </c>
      <c r="G93" s="68" t="inlineStr">
        <is>
          <t>الاستدامة</t>
        </is>
      </c>
      <c r="H93" s="91" t="inlineStr">
        <is>
          <t>منظومة التأجير</t>
        </is>
      </c>
      <c r="I93" s="68" t="inlineStr">
        <is>
          <t>العمليات الداخلية</t>
        </is>
      </c>
      <c r="J93" s="68" t="inlineStr">
        <is>
          <t>🟣 لاحق</t>
        </is>
      </c>
      <c r="K93" s="38" t="n"/>
    </row>
    <row r="94" ht="22" customHeight="1">
      <c r="A94" s="68" t="n">
        <v>91</v>
      </c>
      <c r="B94" s="91" t="inlineStr">
        <is>
          <t>العقار</t>
        </is>
      </c>
      <c r="C94" s="91" t="inlineStr">
        <is>
          <t>الوحدات المؤجَّرة شهرياً</t>
        </is>
      </c>
      <c r="D94" s="68" t="inlineStr">
        <is>
          <t>وحدة</t>
        </is>
      </c>
      <c r="E94" s="92" t="inlineStr">
        <is>
          <t>متوسط شهري · (الفعلي÷المستهدف)×100</t>
        </is>
      </c>
      <c r="F94" s="68" t="inlineStr">
        <is>
          <t>68 شهرياً</t>
        </is>
      </c>
      <c r="G94" s="68" t="inlineStr">
        <is>
          <t>الاستدامة</t>
        </is>
      </c>
      <c r="H94" s="91" t="inlineStr">
        <is>
          <t>منظومة التأجير</t>
        </is>
      </c>
      <c r="I94" s="68" t="inlineStr">
        <is>
          <t>العمليات الداخلية</t>
        </is>
      </c>
      <c r="J94" s="68" t="inlineStr">
        <is>
          <t>🟣 لاحق</t>
        </is>
      </c>
      <c r="K94" s="38" t="n"/>
    </row>
    <row r="95" ht="22" customHeight="1">
      <c r="A95" s="68" t="n">
        <v>92</v>
      </c>
      <c r="B95" s="91" t="inlineStr">
        <is>
          <t>العقار</t>
        </is>
      </c>
      <c r="C95" s="91" t="inlineStr">
        <is>
          <t>العملاء المحتملون (LEADS)</t>
        </is>
      </c>
      <c r="D95" s="68" t="inlineStr">
        <is>
          <t>عميل</t>
        </is>
      </c>
      <c r="E95" s="92" t="inlineStr">
        <is>
          <t>متوسط شهري · (الفعلي÷المستهدف)×100</t>
        </is>
      </c>
      <c r="F95" s="68" t="inlineStr">
        <is>
          <t>544–680</t>
        </is>
      </c>
      <c r="G95" s="68" t="inlineStr">
        <is>
          <t>النمو</t>
        </is>
      </c>
      <c r="H95" s="91" t="inlineStr">
        <is>
          <t>زيادة وصول العملاء</t>
        </is>
      </c>
      <c r="I95" s="68" t="inlineStr">
        <is>
          <t>العملاء</t>
        </is>
      </c>
      <c r="J95" s="68" t="inlineStr">
        <is>
          <t>🔵 قائد</t>
        </is>
      </c>
      <c r="K95" s="38" t="n"/>
    </row>
    <row r="96" ht="22" customHeight="1">
      <c r="A96" s="68" t="n">
        <v>93</v>
      </c>
      <c r="B96" s="91" t="inlineStr">
        <is>
          <t>العقار</t>
        </is>
      </c>
      <c r="C96" s="91" t="inlineStr">
        <is>
          <t>معدل التحويل</t>
        </is>
      </c>
      <c r="D96" s="68" t="inlineStr">
        <is>
          <t>%</t>
        </is>
      </c>
      <c r="E96" s="92" t="inlineStr">
        <is>
          <t>متوسط شهري · (الفعلي÷المستهدف)×100</t>
        </is>
      </c>
      <c r="F96" s="68" t="inlineStr">
        <is>
          <t>15–25%</t>
        </is>
      </c>
      <c r="G96" s="68" t="inlineStr">
        <is>
          <t>النمو</t>
        </is>
      </c>
      <c r="H96" s="91" t="inlineStr">
        <is>
          <t>زيادة وصول العملاء</t>
        </is>
      </c>
      <c r="I96" s="68" t="inlineStr">
        <is>
          <t>العمليات الداخلية</t>
        </is>
      </c>
      <c r="J96" s="68" t="inlineStr">
        <is>
          <t>🔵 قائد</t>
        </is>
      </c>
      <c r="K96" s="38" t="n"/>
    </row>
    <row r="97" ht="22" customHeight="1">
      <c r="A97" s="68" t="n">
        <v>94</v>
      </c>
      <c r="B97" s="91" t="inlineStr">
        <is>
          <t>العقار</t>
        </is>
      </c>
      <c r="C97" s="91" t="inlineStr">
        <is>
          <t>زيادة عدد العلامات التجارية</t>
        </is>
      </c>
      <c r="D97" s="68" t="inlineStr">
        <is>
          <t>علامة</t>
        </is>
      </c>
      <c r="E97" s="92" t="inlineStr">
        <is>
          <t>تراكمي (آخر قيمة) · (الفعلي÷المستهدف)×100</t>
        </is>
      </c>
      <c r="F97" s="68" t="inlineStr">
        <is>
          <t>246 علامة</t>
        </is>
      </c>
      <c r="G97" s="68" t="inlineStr">
        <is>
          <t>الاستدامة</t>
        </is>
      </c>
      <c r="H97" s="91" t="inlineStr">
        <is>
          <t>منظومة التأجير</t>
        </is>
      </c>
      <c r="I97" s="68" t="inlineStr">
        <is>
          <t>العمليات الداخلية</t>
        </is>
      </c>
      <c r="J97" s="68" t="inlineStr">
        <is>
          <t>🔵 قائد</t>
        </is>
      </c>
      <c r="K97" s="38" t="n"/>
    </row>
    <row r="98" ht="22" customHeight="1">
      <c r="A98" s="68" t="n">
        <v>95</v>
      </c>
      <c r="B98" s="91" t="inlineStr">
        <is>
          <t>العقار</t>
        </is>
      </c>
      <c r="C98" s="91" t="inlineStr">
        <is>
          <t>نسبة تأجير ساحة درب</t>
        </is>
      </c>
      <c r="D98" s="68" t="inlineStr">
        <is>
          <t>%</t>
        </is>
      </c>
      <c r="E98" s="92" t="inlineStr">
        <is>
          <t>تراكمي (آخر قيمة) · (الفعلي÷المستهدف)×100</t>
        </is>
      </c>
      <c r="F98" s="68" t="inlineStr">
        <is>
          <t>≥ 80%</t>
        </is>
      </c>
      <c r="G98" s="68" t="inlineStr">
        <is>
          <t>الابتكار</t>
        </is>
      </c>
      <c r="H98" s="91" t="inlineStr">
        <is>
          <t>ساحات درب</t>
        </is>
      </c>
      <c r="I98" s="68" t="inlineStr">
        <is>
          <t>العمليات الداخلية</t>
        </is>
      </c>
      <c r="J98" s="68" t="inlineStr">
        <is>
          <t>🟣 لاحق</t>
        </is>
      </c>
      <c r="K98" s="38" t="n"/>
    </row>
    <row r="99" ht="22" customHeight="1">
      <c r="A99" s="68" t="n">
        <v>96</v>
      </c>
      <c r="B99" s="91" t="inlineStr">
        <is>
          <t>العقار</t>
        </is>
      </c>
      <c r="C99" s="91" t="inlineStr">
        <is>
          <t>علامات تجارية جديدة (ساحة درب)</t>
        </is>
      </c>
      <c r="D99" s="68" t="inlineStr">
        <is>
          <t>علامة</t>
        </is>
      </c>
      <c r="E99" s="92" t="inlineStr">
        <is>
          <t>تجميعي (مجموع شهري) · (الفعلي÷المستهدف)×100</t>
        </is>
      </c>
      <c r="F99" s="68" t="inlineStr">
        <is>
          <t>6 علامات</t>
        </is>
      </c>
      <c r="G99" s="68" t="inlineStr">
        <is>
          <t>الابتكار</t>
        </is>
      </c>
      <c r="H99" s="91" t="inlineStr">
        <is>
          <t>ساحات درب</t>
        </is>
      </c>
      <c r="I99" s="68" t="inlineStr">
        <is>
          <t>العمليات الداخلية</t>
        </is>
      </c>
      <c r="J99" s="68" t="inlineStr">
        <is>
          <t>🟣 لاحق</t>
        </is>
      </c>
      <c r="K99" s="38" t="n"/>
    </row>
    <row r="100" ht="22" customHeight="1">
      <c r="A100" s="68" t="n">
        <v>97</v>
      </c>
      <c r="B100" s="91" t="inlineStr">
        <is>
          <t>العقار</t>
        </is>
      </c>
      <c r="C100" s="91" t="inlineStr">
        <is>
          <t>الشراكات الاستراتيجية</t>
        </is>
      </c>
      <c r="D100" s="68" t="inlineStr">
        <is>
          <t>شراكة</t>
        </is>
      </c>
      <c r="E100" s="92" t="inlineStr">
        <is>
          <t>تجميعي (مجموع شهري) · (الفعلي÷المستهدف)×100</t>
        </is>
      </c>
      <c r="F100" s="68" t="inlineStr">
        <is>
          <t>5 شراكات</t>
        </is>
      </c>
      <c r="G100" s="68" t="inlineStr">
        <is>
          <t>الابتكار</t>
        </is>
      </c>
      <c r="H100" s="91" t="inlineStr">
        <is>
          <t>إطلاق مشاريع جديدة</t>
        </is>
      </c>
      <c r="I100" s="68" t="inlineStr">
        <is>
          <t>التعلّم والنمو</t>
        </is>
      </c>
      <c r="J100" s="68" t="inlineStr">
        <is>
          <t>🟣 لاحق</t>
        </is>
      </c>
      <c r="K100" s="38" t="n"/>
    </row>
    <row r="101" ht="22" customHeight="1">
      <c r="A101" s="68" t="n">
        <v>98</v>
      </c>
      <c r="B101" s="91" t="inlineStr">
        <is>
          <t>العقار</t>
        </is>
      </c>
      <c r="C101" s="91" t="inlineStr">
        <is>
          <t>نسبة تجديد العقود</t>
        </is>
      </c>
      <c r="D101" s="68" t="inlineStr">
        <is>
          <t>%</t>
        </is>
      </c>
      <c r="E101" s="92" t="inlineStr">
        <is>
          <t>متوسط شهري · (الفعلي÷المستهدف)×100</t>
        </is>
      </c>
      <c r="F101" s="68" t="inlineStr">
        <is>
          <t>100%</t>
        </is>
      </c>
      <c r="G101" s="68" t="inlineStr">
        <is>
          <t>الاستدامة</t>
        </is>
      </c>
      <c r="H101" s="91" t="inlineStr">
        <is>
          <t>منظومة التأجير</t>
        </is>
      </c>
      <c r="I101" s="68" t="inlineStr">
        <is>
          <t>العمليات الداخلية</t>
        </is>
      </c>
      <c r="J101" s="68" t="inlineStr">
        <is>
          <t>🟣 لاحق</t>
        </is>
      </c>
      <c r="K101" s="38" t="n"/>
    </row>
    <row r="102" ht="22" customHeight="1">
      <c r="A102" s="68" t="n">
        <v>99</v>
      </c>
      <c r="B102" s="91" t="inlineStr">
        <is>
          <t>العقار</t>
        </is>
      </c>
      <c r="C102" s="91" t="inlineStr">
        <is>
          <t>متوسط زمن تسليم الوحدة</t>
        </is>
      </c>
      <c r="D102" s="68" t="inlineStr">
        <is>
          <t>يوم</t>
        </is>
      </c>
      <c r="E102" s="92" t="inlineStr">
        <is>
          <t>متوسط شهري · (الفعلي÷المستهدف)×100</t>
        </is>
      </c>
      <c r="F102" s="68" t="inlineStr">
        <is>
          <t>≤ 7 أيام</t>
        </is>
      </c>
      <c r="G102" s="68" t="inlineStr">
        <is>
          <t>الاستدامة</t>
        </is>
      </c>
      <c r="H102" s="91" t="inlineStr">
        <is>
          <t>جودة التشغيل</t>
        </is>
      </c>
      <c r="I102" s="68" t="inlineStr">
        <is>
          <t>العمليات الداخلية</t>
        </is>
      </c>
      <c r="J102" s="68" t="inlineStr">
        <is>
          <t>🟣 لاحق</t>
        </is>
      </c>
      <c r="K102" s="38" t="n"/>
    </row>
    <row r="103" ht="22" customHeight="1">
      <c r="A103" s="68" t="n">
        <v>100</v>
      </c>
      <c r="B103" s="91" t="inlineStr">
        <is>
          <t>العقار</t>
        </is>
      </c>
      <c r="C103" s="91" t="inlineStr">
        <is>
          <t>نسبة إغلاق الطلبات خلال 3 أسابيع</t>
        </is>
      </c>
      <c r="D103" s="68" t="inlineStr">
        <is>
          <t>%</t>
        </is>
      </c>
      <c r="E103" s="92" t="inlineStr">
        <is>
          <t>متوسط شهري · (الفعلي÷المستهدف)×100</t>
        </is>
      </c>
      <c r="F103" s="68" t="inlineStr">
        <is>
          <t>&gt; 90%</t>
        </is>
      </c>
      <c r="G103" s="68" t="inlineStr">
        <is>
          <t>الاستدامة</t>
        </is>
      </c>
      <c r="H103" s="91" t="inlineStr">
        <is>
          <t>جودة التشغيل</t>
        </is>
      </c>
      <c r="I103" s="68" t="inlineStr">
        <is>
          <t>العمليات الداخلية</t>
        </is>
      </c>
      <c r="J103" s="68" t="inlineStr">
        <is>
          <t>🔵 قائد</t>
        </is>
      </c>
      <c r="K103" s="38" t="n"/>
    </row>
    <row r="104" ht="22" customHeight="1">
      <c r="A104" s="68" t="n">
        <v>101</v>
      </c>
      <c r="B104" s="91" t="inlineStr">
        <is>
          <t>العقار</t>
        </is>
      </c>
      <c r="C104" s="91" t="inlineStr">
        <is>
          <t>استدامة المستأجرين (لم يُنهَ مبكراً)</t>
        </is>
      </c>
      <c r="D104" s="68" t="inlineStr">
        <is>
          <t>%</t>
        </is>
      </c>
      <c r="E104" s="92" t="inlineStr">
        <is>
          <t>متوسط شهري · (الفعلي÷المستهدف)×100</t>
        </is>
      </c>
      <c r="F104" s="68" t="inlineStr">
        <is>
          <t>≥ 80%</t>
        </is>
      </c>
      <c r="G104" s="68" t="inlineStr">
        <is>
          <t>الاستدامة</t>
        </is>
      </c>
      <c r="H104" s="91" t="inlineStr">
        <is>
          <t>تعزيز تجربة العملاء</t>
        </is>
      </c>
      <c r="I104" s="68" t="inlineStr">
        <is>
          <t>العملاء</t>
        </is>
      </c>
      <c r="J104" s="68" t="inlineStr">
        <is>
          <t>🟣 لاحق</t>
        </is>
      </c>
      <c r="K104" s="38" t="n"/>
    </row>
    <row r="105" ht="22" customHeight="1">
      <c r="A105" s="68" t="n">
        <v>102</v>
      </c>
      <c r="B105" s="91" t="inlineStr">
        <is>
          <t>العقار</t>
        </is>
      </c>
      <c r="C105" s="91" t="inlineStr">
        <is>
          <t>معدل رضا المستأجرين (استبيان ربعي)</t>
        </is>
      </c>
      <c r="D105" s="68" t="inlineStr">
        <is>
          <t>%</t>
        </is>
      </c>
      <c r="E105" s="92" t="inlineStr">
        <is>
          <t>متوسط شهري · (الفعلي÷المستهدف)×100</t>
        </is>
      </c>
      <c r="F105" s="68" t="inlineStr">
        <is>
          <t>≥ 90%</t>
        </is>
      </c>
      <c r="G105" s="68" t="inlineStr">
        <is>
          <t>الاستدامة</t>
        </is>
      </c>
      <c r="H105" s="91" t="inlineStr">
        <is>
          <t>تعزيز تجربة العملاء</t>
        </is>
      </c>
      <c r="I105" s="68" t="inlineStr">
        <is>
          <t>العملاء</t>
        </is>
      </c>
      <c r="J105" s="68" t="inlineStr">
        <is>
          <t>🟣 لاحق</t>
        </is>
      </c>
      <c r="K105" s="38" t="n"/>
    </row>
    <row r="106" ht="22" customHeight="1">
      <c r="A106" s="68" t="n">
        <v>103</v>
      </c>
      <c r="B106" s="91" t="inlineStr">
        <is>
          <t>التقنية الرقمية</t>
        </is>
      </c>
      <c r="C106" s="91" t="inlineStr">
        <is>
          <t>نظام أتمتة الكاش (Cash-In) في المحطات</t>
        </is>
      </c>
      <c r="D106" s="68" t="inlineStr">
        <is>
          <t>محطة</t>
        </is>
      </c>
      <c r="E106" s="92" t="inlineStr">
        <is>
          <t>تراكمي (آخر قيمة) · (الفعلي÷المستهدف)×100</t>
        </is>
      </c>
      <c r="F106" s="68" t="inlineStr">
        <is>
          <t>164 محطة</t>
        </is>
      </c>
      <c r="G106" s="68" t="inlineStr">
        <is>
          <t>الابتكار</t>
        </is>
      </c>
      <c r="H106" s="91" t="inlineStr">
        <is>
          <t>التحول التقني</t>
        </is>
      </c>
      <c r="I106" s="68" t="inlineStr">
        <is>
          <t>التعلّم والنمو</t>
        </is>
      </c>
      <c r="J106" s="68" t="inlineStr">
        <is>
          <t>🟣 لاحق</t>
        </is>
      </c>
      <c r="K106" s="38" t="n"/>
    </row>
    <row r="107" ht="22" customHeight="1">
      <c r="A107" s="68" t="n">
        <v>104</v>
      </c>
      <c r="B107" s="91" t="inlineStr">
        <is>
          <t>التقنية الرقمية</t>
        </is>
      </c>
      <c r="C107" s="91" t="inlineStr">
        <is>
          <t>D365 FNO — المرحلة الأولى</t>
        </is>
      </c>
      <c r="D107" s="68" t="inlineStr">
        <is>
          <t>وحدة</t>
        </is>
      </c>
      <c r="E107" s="92" t="inlineStr">
        <is>
          <t>تراكمي (آخر قيمة) · (الفعلي÷المستهدف)×100</t>
        </is>
      </c>
      <c r="F107" s="68" t="inlineStr">
        <is>
          <t>5 وحدات</t>
        </is>
      </c>
      <c r="G107" s="68" t="inlineStr">
        <is>
          <t>الابتكار</t>
        </is>
      </c>
      <c r="H107" s="91" t="inlineStr">
        <is>
          <t>التحول التقني</t>
        </is>
      </c>
      <c r="I107" s="68" t="inlineStr">
        <is>
          <t>العمليات الداخلية</t>
        </is>
      </c>
      <c r="J107" s="68" t="inlineStr">
        <is>
          <t>🟣 لاحق</t>
        </is>
      </c>
      <c r="K107" s="38" t="n"/>
    </row>
    <row r="108" ht="22" customHeight="1">
      <c r="A108" s="68" t="n">
        <v>105</v>
      </c>
      <c r="B108" s="91" t="inlineStr">
        <is>
          <t>التقنية الرقمية</t>
        </is>
      </c>
      <c r="C108" s="91" t="inlineStr">
        <is>
          <t>D365 FNO — المرحلة الثانية</t>
        </is>
      </c>
      <c r="D108" s="68" t="inlineStr">
        <is>
          <t>وحدة</t>
        </is>
      </c>
      <c r="E108" s="92" t="inlineStr">
        <is>
          <t>تراكمي (آخر قيمة) · (الفعلي÷المستهدف)×100</t>
        </is>
      </c>
      <c r="F108" s="68" t="inlineStr">
        <is>
          <t>4 وحدات</t>
        </is>
      </c>
      <c r="G108" s="68" t="inlineStr">
        <is>
          <t>الابتكار</t>
        </is>
      </c>
      <c r="H108" s="91" t="inlineStr">
        <is>
          <t>التحول التقني</t>
        </is>
      </c>
      <c r="I108" s="68" t="inlineStr">
        <is>
          <t>العمليات الداخلية</t>
        </is>
      </c>
      <c r="J108" s="68" t="inlineStr">
        <is>
          <t>🟣 لاحق</t>
        </is>
      </c>
      <c r="K108" s="38" t="n"/>
    </row>
    <row r="109" ht="22" customHeight="1">
      <c r="A109" s="68" t="n">
        <v>106</v>
      </c>
      <c r="B109" s="91" t="inlineStr">
        <is>
          <t>التقنية الرقمية</t>
        </is>
      </c>
      <c r="C109" s="91" t="inlineStr">
        <is>
          <t>D365 FNO — المرحلة الثالثة</t>
        </is>
      </c>
      <c r="D109" s="68" t="inlineStr">
        <is>
          <t>وحدة</t>
        </is>
      </c>
      <c r="E109" s="92" t="inlineStr">
        <is>
          <t>تراكمي (آخر قيمة) · (الفعلي÷المستهدف)×100</t>
        </is>
      </c>
      <c r="F109" s="68" t="inlineStr">
        <is>
          <t>وحدتان</t>
        </is>
      </c>
      <c r="G109" s="68" t="inlineStr">
        <is>
          <t>الابتكار</t>
        </is>
      </c>
      <c r="H109" s="91" t="inlineStr">
        <is>
          <t>التحول التقني</t>
        </is>
      </c>
      <c r="I109" s="68" t="inlineStr">
        <is>
          <t>العمليات الداخلية</t>
        </is>
      </c>
      <c r="J109" s="68" t="inlineStr">
        <is>
          <t>🟣 لاحق</t>
        </is>
      </c>
      <c r="K109" s="38" t="n"/>
    </row>
    <row r="110" ht="22" customHeight="1">
      <c r="A110" s="68" t="n">
        <v>107</v>
      </c>
      <c r="B110" s="91" t="inlineStr">
        <is>
          <t>التقنية الرقمية</t>
        </is>
      </c>
      <c r="C110" s="91" t="inlineStr">
        <is>
          <t>تطبيق الامتياز مع واثق</t>
        </is>
      </c>
      <c r="D110" s="68" t="inlineStr">
        <is>
          <t>تطبيق</t>
        </is>
      </c>
      <c r="E110" s="92" t="inlineStr">
        <is>
          <t>تراكمي (آخر قيمة) · (الفعلي÷المستهدف)×100</t>
        </is>
      </c>
      <c r="F110" s="68" t="inlineStr">
        <is>
          <t>تطبيق واحد</t>
        </is>
      </c>
      <c r="G110" s="68" t="inlineStr">
        <is>
          <t>الابتكار</t>
        </is>
      </c>
      <c r="H110" s="91" t="inlineStr">
        <is>
          <t>التحول التقني</t>
        </is>
      </c>
      <c r="I110" s="68" t="inlineStr">
        <is>
          <t>العمليات الداخلية</t>
        </is>
      </c>
      <c r="J110" s="68" t="inlineStr">
        <is>
          <t>🟣 لاحق</t>
        </is>
      </c>
      <c r="K110" s="38" t="n"/>
    </row>
    <row r="111" ht="22" customHeight="1">
      <c r="A111" s="68" t="n">
        <v>108</v>
      </c>
      <c r="B111" s="91" t="inlineStr">
        <is>
          <t>التقنية الرقمية</t>
        </is>
      </c>
      <c r="C111" s="91" t="inlineStr">
        <is>
          <t>ربط المحطات بوزارة الطاقة (ATJ)</t>
        </is>
      </c>
      <c r="D111" s="68" t="inlineStr">
        <is>
          <t>محطة</t>
        </is>
      </c>
      <c r="E111" s="92" t="inlineStr">
        <is>
          <t>تراكمي (آخر قيمة) · (الفعلي÷المستهدف)×100</t>
        </is>
      </c>
      <c r="F111" s="68" t="inlineStr">
        <is>
          <t>164 محطة</t>
        </is>
      </c>
      <c r="G111" s="68" t="inlineStr">
        <is>
          <t>الابتكار</t>
        </is>
      </c>
      <c r="H111" s="91" t="inlineStr">
        <is>
          <t>التحول التقني</t>
        </is>
      </c>
      <c r="I111" s="68" t="inlineStr">
        <is>
          <t>العمليات الداخلية</t>
        </is>
      </c>
      <c r="J111" s="68" t="inlineStr">
        <is>
          <t>🟣 لاحق</t>
        </is>
      </c>
      <c r="K111" s="38" t="n"/>
    </row>
    <row r="112" ht="22" customHeight="1">
      <c r="A112" s="68" t="n">
        <v>109</v>
      </c>
      <c r="B112" s="91" t="inlineStr">
        <is>
          <t>التقنية الرقمية</t>
        </is>
      </c>
      <c r="C112" s="91" t="inlineStr">
        <is>
          <t>ربط الكاميرات بالمركز الرئيسي</t>
        </is>
      </c>
      <c r="D112" s="68" t="inlineStr">
        <is>
          <t>محطة</t>
        </is>
      </c>
      <c r="E112" s="92" t="inlineStr">
        <is>
          <t>تراكمي (آخر قيمة) · (الفعلي÷المستهدف)×100</t>
        </is>
      </c>
      <c r="F112" s="68" t="inlineStr">
        <is>
          <t>164 محطة</t>
        </is>
      </c>
      <c r="G112" s="68" t="inlineStr">
        <is>
          <t>الابتكار</t>
        </is>
      </c>
      <c r="H112" s="91" t="inlineStr">
        <is>
          <t>التحول التقني</t>
        </is>
      </c>
      <c r="I112" s="68" t="inlineStr">
        <is>
          <t>العمليات الداخلية</t>
        </is>
      </c>
      <c r="J112" s="68" t="inlineStr">
        <is>
          <t>🟣 لاحق</t>
        </is>
      </c>
      <c r="K112" s="38" t="n"/>
    </row>
    <row r="113" ht="22" customHeight="1">
      <c r="A113" s="68" t="n">
        <v>110</v>
      </c>
      <c r="B113" s="91" t="inlineStr">
        <is>
          <t>التقنية الرقمية</t>
        </is>
      </c>
      <c r="C113" s="91" t="inlineStr">
        <is>
          <t>تطبيق الولاء (تانكي) في المحطات</t>
        </is>
      </c>
      <c r="D113" s="68" t="inlineStr">
        <is>
          <t>محطة</t>
        </is>
      </c>
      <c r="E113" s="92" t="inlineStr">
        <is>
          <t>تراكمي (آخر قيمة) · (الفعلي÷المستهدف)×100</t>
        </is>
      </c>
      <c r="F113" s="68" t="inlineStr">
        <is>
          <t>164 محطة</t>
        </is>
      </c>
      <c r="G113" s="68" t="inlineStr">
        <is>
          <t>الابتكار</t>
        </is>
      </c>
      <c r="H113" s="91" t="inlineStr">
        <is>
          <t>تطبيق «تانكي»</t>
        </is>
      </c>
      <c r="I113" s="68" t="inlineStr">
        <is>
          <t>العمليات الداخلية</t>
        </is>
      </c>
      <c r="J113" s="68" t="inlineStr">
        <is>
          <t>🟣 لاحق</t>
        </is>
      </c>
      <c r="K113" s="38" t="n"/>
    </row>
    <row r="114" ht="22" customHeight="1">
      <c r="A114" s="68" t="n">
        <v>111</v>
      </c>
      <c r="B114" s="91" t="inlineStr">
        <is>
          <t>التقنية الرقمية</t>
        </is>
      </c>
      <c r="C114" s="91" t="inlineStr">
        <is>
          <t>منصة Tatin السحابية</t>
        </is>
      </c>
      <c r="D114" s="68" t="inlineStr">
        <is>
          <t>محطة</t>
        </is>
      </c>
      <c r="E114" s="92" t="inlineStr">
        <is>
          <t>تراكمي (آخر قيمة) · (الفعلي÷المستهدف)×100</t>
        </is>
      </c>
      <c r="F114" s="68" t="inlineStr">
        <is>
          <t>164 محطة</t>
        </is>
      </c>
      <c r="G114" s="68" t="inlineStr">
        <is>
          <t>الابتكار</t>
        </is>
      </c>
      <c r="H114" s="91" t="inlineStr">
        <is>
          <t>التحول التقني</t>
        </is>
      </c>
      <c r="I114" s="68" t="inlineStr">
        <is>
          <t>العمليات الداخلية</t>
        </is>
      </c>
      <c r="J114" s="68" t="inlineStr">
        <is>
          <t>🟣 لاحق</t>
        </is>
      </c>
      <c r="K114" s="38" t="n"/>
    </row>
    <row r="115" ht="22" customHeight="1">
      <c r="A115" s="68" t="n">
        <v>112</v>
      </c>
      <c r="B115" s="91" t="inlineStr">
        <is>
          <t>التقنية الرقمية</t>
        </is>
      </c>
      <c r="C115" s="91" t="inlineStr">
        <is>
          <t>إدارة العمليات بالذكاء الاصطناعي</t>
        </is>
      </c>
      <c r="D115" s="68" t="inlineStr">
        <is>
          <t>محطة</t>
        </is>
      </c>
      <c r="E115" s="92" t="inlineStr">
        <is>
          <t>تراكمي (آخر قيمة) · (الفعلي÷المستهدف)×100</t>
        </is>
      </c>
      <c r="F115" s="68" t="inlineStr">
        <is>
          <t>164 محطة</t>
        </is>
      </c>
      <c r="G115" s="68" t="inlineStr">
        <is>
          <t>الابتكار</t>
        </is>
      </c>
      <c r="H115" s="91" t="inlineStr">
        <is>
          <t>التحول التقني</t>
        </is>
      </c>
      <c r="I115" s="68" t="inlineStr">
        <is>
          <t>العمليات الداخلية</t>
        </is>
      </c>
      <c r="J115" s="68" t="inlineStr">
        <is>
          <t>🟣 لاحق</t>
        </is>
      </c>
      <c r="K115" s="38" t="n"/>
    </row>
    <row r="116" ht="22" customHeight="1">
      <c r="A116" s="68" t="n">
        <v>113</v>
      </c>
      <c r="B116" s="91" t="inlineStr">
        <is>
          <t>التقنية الرقمية</t>
        </is>
      </c>
      <c r="C116" s="91" t="inlineStr">
        <is>
          <t>جاهزية أتمتة المحطات (Forecourt)</t>
        </is>
      </c>
      <c r="D116" s="68" t="inlineStr">
        <is>
          <t>محطة</t>
        </is>
      </c>
      <c r="E116" s="92" t="inlineStr">
        <is>
          <t>تراكمي (آخر قيمة) · (الفعلي÷المستهدف)×100</t>
        </is>
      </c>
      <c r="F116" s="68" t="inlineStr">
        <is>
          <t>164 محطة</t>
        </is>
      </c>
      <c r="G116" s="68" t="inlineStr">
        <is>
          <t>الاستدامة</t>
        </is>
      </c>
      <c r="H116" s="91" t="inlineStr">
        <is>
          <t>جودة التشغيل</t>
        </is>
      </c>
      <c r="I116" s="68" t="inlineStr">
        <is>
          <t>التعلّم والنمو</t>
        </is>
      </c>
      <c r="J116" s="68" t="inlineStr">
        <is>
          <t>🟣 لاحق</t>
        </is>
      </c>
      <c r="K116" s="38" t="n"/>
    </row>
    <row r="117" ht="22" customHeight="1">
      <c r="A117" s="68" t="n">
        <v>114</v>
      </c>
      <c r="B117" s="91" t="inlineStr">
        <is>
          <t>التقنية الرقمية</t>
        </is>
      </c>
      <c r="C117" s="91" t="inlineStr">
        <is>
          <t>جاهزية اتصال الشبكة بالمحطات</t>
        </is>
      </c>
      <c r="D117" s="68" t="inlineStr">
        <is>
          <t>محطة</t>
        </is>
      </c>
      <c r="E117" s="92" t="inlineStr">
        <is>
          <t>تراكمي (آخر قيمة) · (الفعلي÷المستهدف)×100</t>
        </is>
      </c>
      <c r="F117" s="68" t="inlineStr">
        <is>
          <t>164 محطة</t>
        </is>
      </c>
      <c r="G117" s="68" t="inlineStr">
        <is>
          <t>الاستدامة</t>
        </is>
      </c>
      <c r="H117" s="91" t="inlineStr">
        <is>
          <t>جودة التشغيل</t>
        </is>
      </c>
      <c r="I117" s="68" t="inlineStr">
        <is>
          <t>العمليات الداخلية</t>
        </is>
      </c>
      <c r="J117" s="68" t="inlineStr">
        <is>
          <t>🟣 لاحق</t>
        </is>
      </c>
      <c r="K117" s="38" t="n"/>
    </row>
    <row r="118" ht="22" customHeight="1">
      <c r="A118" s="68" t="n">
        <v>115</v>
      </c>
      <c r="B118" s="91" t="inlineStr">
        <is>
          <t>التقنية الرقمية</t>
        </is>
      </c>
      <c r="C118" s="91" t="inlineStr">
        <is>
          <t>جاهزية نقاط البيع والمدفوعات (POS)</t>
        </is>
      </c>
      <c r="D118" s="68" t="inlineStr">
        <is>
          <t>محطة</t>
        </is>
      </c>
      <c r="E118" s="92" t="inlineStr">
        <is>
          <t>تراكمي (آخر قيمة) · (الفعلي÷المستهدف)×100</t>
        </is>
      </c>
      <c r="F118" s="68" t="inlineStr">
        <is>
          <t>164 محطة</t>
        </is>
      </c>
      <c r="G118" s="68" t="inlineStr">
        <is>
          <t>الاستدامة</t>
        </is>
      </c>
      <c r="H118" s="91" t="inlineStr">
        <is>
          <t>جودة التشغيل</t>
        </is>
      </c>
      <c r="I118" s="68" t="inlineStr">
        <is>
          <t>العمليات الداخلية</t>
        </is>
      </c>
      <c r="J118" s="68" t="inlineStr">
        <is>
          <t>🟣 لاحق</t>
        </is>
      </c>
      <c r="K118" s="38" t="n"/>
    </row>
    <row r="119" ht="22" customHeight="1">
      <c r="A119" s="68" t="n">
        <v>116</v>
      </c>
      <c r="B119" s="91" t="inlineStr">
        <is>
          <t>التقنية الرقمية</t>
        </is>
      </c>
      <c r="C119" s="91" t="inlineStr">
        <is>
          <t>جاهزية نظام الكاميرات (CCTV)</t>
        </is>
      </c>
      <c r="D119" s="68" t="inlineStr">
        <is>
          <t>محطة</t>
        </is>
      </c>
      <c r="E119" s="92" t="inlineStr">
        <is>
          <t>تراكمي (آخر قيمة) · (الفعلي÷المستهدف)×100</t>
        </is>
      </c>
      <c r="F119" s="68" t="inlineStr">
        <is>
          <t>164 محطة</t>
        </is>
      </c>
      <c r="G119" s="68" t="inlineStr">
        <is>
          <t>الاستدامة</t>
        </is>
      </c>
      <c r="H119" s="91" t="inlineStr">
        <is>
          <t>جودة التشغيل</t>
        </is>
      </c>
      <c r="I119" s="68" t="inlineStr">
        <is>
          <t>العمليات الداخلية</t>
        </is>
      </c>
      <c r="J119" s="68" t="inlineStr">
        <is>
          <t>🟣 لاحق</t>
        </is>
      </c>
      <c r="K119" s="38" t="n"/>
    </row>
    <row r="120" ht="22" customHeight="1">
      <c r="A120" s="68" t="n">
        <v>117</v>
      </c>
      <c r="B120" s="91" t="inlineStr">
        <is>
          <t>التقنية الرقمية</t>
        </is>
      </c>
      <c r="C120" s="91" t="inlineStr">
        <is>
          <t>جاهزية الشبكة</t>
        </is>
      </c>
      <c r="D120" s="68" t="inlineStr">
        <is>
          <t>محطة</t>
        </is>
      </c>
      <c r="E120" s="92" t="inlineStr">
        <is>
          <t>تراكمي (آخر قيمة) · (الفعلي÷المستهدف)×100</t>
        </is>
      </c>
      <c r="F120" s="68" t="inlineStr">
        <is>
          <t>164 محطة</t>
        </is>
      </c>
      <c r="G120" s="68" t="inlineStr">
        <is>
          <t>الاستدامة</t>
        </is>
      </c>
      <c r="H120" s="91" t="inlineStr">
        <is>
          <t>جودة التشغيل</t>
        </is>
      </c>
      <c r="I120" s="68" t="inlineStr">
        <is>
          <t>العمليات الداخلية</t>
        </is>
      </c>
      <c r="J120" s="68" t="inlineStr">
        <is>
          <t>🟣 لاحق</t>
        </is>
      </c>
      <c r="K120" s="38" t="n"/>
    </row>
    <row r="121" ht="22" customHeight="1">
      <c r="A121" s="68" t="n">
        <v>118</v>
      </c>
      <c r="B121" s="91" t="inlineStr">
        <is>
          <t>التقنية الرقمية</t>
        </is>
      </c>
      <c r="C121" s="91" t="inlineStr">
        <is>
          <t>الامتثال للأمن السيبراني (المحطات)</t>
        </is>
      </c>
      <c r="D121" s="68" t="inlineStr">
        <is>
          <t>محطة</t>
        </is>
      </c>
      <c r="E121" s="92" t="inlineStr">
        <is>
          <t>تراكمي (آخر قيمة) · (الفعلي÷المستهدف)×100</t>
        </is>
      </c>
      <c r="F121" s="68" t="inlineStr">
        <is>
          <t>164 محطة</t>
        </is>
      </c>
      <c r="G121" s="68" t="inlineStr">
        <is>
          <t>الاستدامة</t>
        </is>
      </c>
      <c r="H121" s="91" t="inlineStr">
        <is>
          <t>جودة التشغيل</t>
        </is>
      </c>
      <c r="I121" s="68" t="inlineStr">
        <is>
          <t>العمليات الداخلية</t>
        </is>
      </c>
      <c r="J121" s="68" t="inlineStr">
        <is>
          <t>🟣 لاحق</t>
        </is>
      </c>
      <c r="K121" s="38" t="n"/>
    </row>
    <row r="122" ht="22" customHeight="1">
      <c r="A122" s="68" t="n">
        <v>119</v>
      </c>
      <c r="B122" s="91" t="inlineStr">
        <is>
          <t>التقنية الرقمية</t>
        </is>
      </c>
      <c r="C122" s="91" t="inlineStr">
        <is>
          <t>زمن استجابة الدعم الفني (المحطات)</t>
        </is>
      </c>
      <c r="D122" s="68" t="inlineStr">
        <is>
          <t>يوم</t>
        </is>
      </c>
      <c r="E122" s="92" t="inlineStr">
        <is>
          <t>متوسط شهري · (الفعلي÷المستهدف)×100</t>
        </is>
      </c>
      <c r="F122" s="68" t="inlineStr">
        <is>
          <t>≤ يوم</t>
        </is>
      </c>
      <c r="G122" s="68" t="inlineStr">
        <is>
          <t>الاستدامة</t>
        </is>
      </c>
      <c r="H122" s="91" t="inlineStr">
        <is>
          <t>جودة التشغيل</t>
        </is>
      </c>
      <c r="I122" s="68" t="inlineStr">
        <is>
          <t>العمليات الداخلية</t>
        </is>
      </c>
      <c r="J122" s="68" t="inlineStr">
        <is>
          <t>🟣 لاحق</t>
        </is>
      </c>
      <c r="K122" s="38" t="n"/>
    </row>
    <row r="123" ht="22" customHeight="1">
      <c r="A123" s="68" t="n">
        <v>120</v>
      </c>
      <c r="B123" s="91" t="inlineStr">
        <is>
          <t>التقنية الرقمية</t>
        </is>
      </c>
      <c r="C123" s="91" t="inlineStr">
        <is>
          <t>ERP والتكامل (المحطات)</t>
        </is>
      </c>
      <c r="D123" s="68" t="inlineStr">
        <is>
          <t>محطة</t>
        </is>
      </c>
      <c r="E123" s="92" t="inlineStr">
        <is>
          <t>تراكمي (آخر قيمة) · (الفعلي÷المستهدف)×100</t>
        </is>
      </c>
      <c r="F123" s="68" t="inlineStr">
        <is>
          <t>164 محطة</t>
        </is>
      </c>
      <c r="G123" s="68" t="inlineStr">
        <is>
          <t>الاستدامة</t>
        </is>
      </c>
      <c r="H123" s="91" t="inlineStr">
        <is>
          <t>جودة التشغيل</t>
        </is>
      </c>
      <c r="I123" s="68" t="inlineStr">
        <is>
          <t>العمليات الداخلية</t>
        </is>
      </c>
      <c r="J123" s="68" t="inlineStr">
        <is>
          <t>🟣 لاحق</t>
        </is>
      </c>
      <c r="K123" s="38" t="n"/>
    </row>
    <row r="124" ht="22" customHeight="1">
      <c r="A124" s="68" t="n">
        <v>121</v>
      </c>
      <c r="B124" s="91" t="inlineStr">
        <is>
          <t>التقنية الرقمية</t>
        </is>
      </c>
      <c r="C124" s="91" t="inlineStr">
        <is>
          <t>تكامل واثق (المحطات)</t>
        </is>
      </c>
      <c r="D124" s="68" t="inlineStr">
        <is>
          <t>محطة</t>
        </is>
      </c>
      <c r="E124" s="92" t="inlineStr">
        <is>
          <t>تراكمي (آخر قيمة) · (الفعلي÷المستهدف)×100</t>
        </is>
      </c>
      <c r="F124" s="68" t="inlineStr">
        <is>
          <t>164 محطة</t>
        </is>
      </c>
      <c r="G124" s="68" t="inlineStr">
        <is>
          <t>الاستدامة</t>
        </is>
      </c>
      <c r="H124" s="91" t="inlineStr">
        <is>
          <t>جودة التشغيل</t>
        </is>
      </c>
      <c r="I124" s="68" t="inlineStr">
        <is>
          <t>العمليات الداخلية</t>
        </is>
      </c>
      <c r="J124" s="68" t="inlineStr">
        <is>
          <t>🟣 لاحق</t>
        </is>
      </c>
      <c r="K124" s="38" t="n"/>
    </row>
    <row r="125" ht="22" customHeight="1">
      <c r="A125" s="68" t="n">
        <v>122</v>
      </c>
      <c r="B125" s="91" t="inlineStr">
        <is>
          <t>التقنية الرقمية</t>
        </is>
      </c>
      <c r="C125" s="91" t="inlineStr">
        <is>
          <t>تكامل تطبيق الولاء (المحطات)</t>
        </is>
      </c>
      <c r="D125" s="68" t="inlineStr">
        <is>
          <t>محطة</t>
        </is>
      </c>
      <c r="E125" s="92" t="inlineStr">
        <is>
          <t>تراكمي (آخر قيمة) · (الفعلي÷المستهدف)×100</t>
        </is>
      </c>
      <c r="F125" s="68" t="inlineStr">
        <is>
          <t>164 محطة</t>
        </is>
      </c>
      <c r="G125" s="68" t="inlineStr">
        <is>
          <t>الاستدامة</t>
        </is>
      </c>
      <c r="H125" s="91" t="inlineStr">
        <is>
          <t>تطبيق «تانكي»</t>
        </is>
      </c>
      <c r="I125" s="68" t="inlineStr">
        <is>
          <t>العمليات الداخلية</t>
        </is>
      </c>
      <c r="J125" s="68" t="inlineStr">
        <is>
          <t>🟣 لاحق</t>
        </is>
      </c>
      <c r="K125" s="38" t="n"/>
    </row>
    <row r="126" ht="22" customHeight="1">
      <c r="A126" s="68" t="n">
        <v>123</v>
      </c>
      <c r="B126" s="91" t="inlineStr">
        <is>
          <t>التقنية الرقمية</t>
        </is>
      </c>
      <c r="C126" s="91" t="inlineStr">
        <is>
          <t>جاهزية شبكة المركز الرئيسي</t>
        </is>
      </c>
      <c r="D126" s="68" t="inlineStr">
        <is>
          <t>ساعة</t>
        </is>
      </c>
      <c r="E126" s="92" t="inlineStr">
        <is>
          <t>تراكمي (آخر قيمة) · (الفعلي÷المستهدف)×100</t>
        </is>
      </c>
      <c r="F126" s="68" t="inlineStr">
        <is>
          <t>24 ساعة</t>
        </is>
      </c>
      <c r="G126" s="68" t="inlineStr">
        <is>
          <t>الاستدامة</t>
        </is>
      </c>
      <c r="H126" s="91" t="inlineStr">
        <is>
          <t>جودة التشغيل</t>
        </is>
      </c>
      <c r="I126" s="68" t="inlineStr">
        <is>
          <t>العمليات الداخلية</t>
        </is>
      </c>
      <c r="J126" s="68" t="inlineStr">
        <is>
          <t>🟣 لاحق</t>
        </is>
      </c>
      <c r="K126" s="38" t="n"/>
    </row>
    <row r="127" ht="22" customHeight="1">
      <c r="A127" s="68" t="n">
        <v>124</v>
      </c>
      <c r="B127" s="91" t="inlineStr">
        <is>
          <t>التقنية الرقمية</t>
        </is>
      </c>
      <c r="C127" s="91" t="inlineStr">
        <is>
          <t>جاهزية تطبيقات المركز الرئيسي</t>
        </is>
      </c>
      <c r="D127" s="68" t="inlineStr">
        <is>
          <t>ساعة</t>
        </is>
      </c>
      <c r="E127" s="92" t="inlineStr">
        <is>
          <t>تراكمي (آخر قيمة) · (الفعلي÷المستهدف)×100</t>
        </is>
      </c>
      <c r="F127" s="68" t="inlineStr">
        <is>
          <t>24 ساعة</t>
        </is>
      </c>
      <c r="G127" s="68" t="inlineStr">
        <is>
          <t>الاستدامة</t>
        </is>
      </c>
      <c r="H127" s="91" t="inlineStr">
        <is>
          <t>جودة التشغيل</t>
        </is>
      </c>
      <c r="I127" s="68" t="inlineStr">
        <is>
          <t>العمليات الداخلية</t>
        </is>
      </c>
      <c r="J127" s="68" t="inlineStr">
        <is>
          <t>🟣 لاحق</t>
        </is>
      </c>
      <c r="K127" s="38" t="n"/>
    </row>
    <row r="128" ht="22" customHeight="1">
      <c r="A128" s="68" t="n">
        <v>125</v>
      </c>
      <c r="B128" s="91" t="inlineStr">
        <is>
          <t>التقنية الرقمية</t>
        </is>
      </c>
      <c r="C128" s="91" t="inlineStr">
        <is>
          <t>زمن استجابة الدعم (المركز)</t>
        </is>
      </c>
      <c r="D128" s="68" t="inlineStr">
        <is>
          <t>ساعة</t>
        </is>
      </c>
      <c r="E128" s="92" t="inlineStr">
        <is>
          <t>متوسط شهري · (الفعلي÷المستهدف)×100</t>
        </is>
      </c>
      <c r="F128" s="68" t="inlineStr">
        <is>
          <t>≤ ساعة</t>
        </is>
      </c>
      <c r="G128" s="68" t="inlineStr">
        <is>
          <t>الاستدامة</t>
        </is>
      </c>
      <c r="H128" s="91" t="inlineStr">
        <is>
          <t>جودة التشغيل</t>
        </is>
      </c>
      <c r="I128" s="68" t="inlineStr">
        <is>
          <t>العمليات الداخلية</t>
        </is>
      </c>
      <c r="J128" s="68" t="inlineStr">
        <is>
          <t>🟣 لاحق</t>
        </is>
      </c>
      <c r="K128" s="38" t="n"/>
    </row>
    <row r="129" ht="22" customHeight="1">
      <c r="A129" s="68" t="n">
        <v>126</v>
      </c>
      <c r="B129" s="91" t="inlineStr">
        <is>
          <t>التقنية الرقمية</t>
        </is>
      </c>
      <c r="C129" s="91" t="inlineStr">
        <is>
          <t>الامتثال للأمن السيبراني (المركز)</t>
        </is>
      </c>
      <c r="D129" s="68" t="inlineStr">
        <is>
          <t>%</t>
        </is>
      </c>
      <c r="E129" s="92" t="inlineStr">
        <is>
          <t>تراكمي (آخر قيمة) · (الفعلي÷المستهدف)×100</t>
        </is>
      </c>
      <c r="F129" s="68" t="inlineStr">
        <is>
          <t>100%</t>
        </is>
      </c>
      <c r="G129" s="68" t="inlineStr">
        <is>
          <t>الاستدامة</t>
        </is>
      </c>
      <c r="H129" s="91" t="inlineStr">
        <is>
          <t>جودة التشغيل</t>
        </is>
      </c>
      <c r="I129" s="68" t="inlineStr">
        <is>
          <t>العمليات الداخلية</t>
        </is>
      </c>
      <c r="J129" s="68" t="inlineStr">
        <is>
          <t>🟣 لاحق</t>
        </is>
      </c>
      <c r="K129" s="38" t="n"/>
    </row>
    <row r="130" ht="22" customHeight="1">
      <c r="A130" s="68" t="n">
        <v>127</v>
      </c>
      <c r="B130" s="91" t="inlineStr">
        <is>
          <t>الموارد البشرية</t>
        </is>
      </c>
      <c r="C130" s="91" t="inlineStr">
        <is>
          <t>نسبة السعودة / التوطين</t>
        </is>
      </c>
      <c r="D130" s="68" t="inlineStr">
        <is>
          <t>%</t>
        </is>
      </c>
      <c r="E130" s="92" t="inlineStr">
        <is>
          <t>تراكمي (آخر قيمة) · (الفعلي÷المستهدف)×100</t>
        </is>
      </c>
      <c r="F130" s="68" t="inlineStr">
        <is>
          <t>أخضر مرتفع (حسب الوزارة)</t>
        </is>
      </c>
      <c r="G130" s="68" t="inlineStr">
        <is>
          <t>الاستدامة</t>
        </is>
      </c>
      <c r="H130" s="91" t="inlineStr">
        <is>
          <t>الاستثمار في الموظفين</t>
        </is>
      </c>
      <c r="I130" s="68" t="inlineStr">
        <is>
          <t>التعلّم والنمو</t>
        </is>
      </c>
      <c r="J130" s="68" t="inlineStr">
        <is>
          <t>🟣 لاحق</t>
        </is>
      </c>
      <c r="K130" s="38" t="n"/>
    </row>
    <row r="131" ht="22" customHeight="1">
      <c r="A131" s="68" t="n">
        <v>128</v>
      </c>
      <c r="B131" s="91" t="inlineStr">
        <is>
          <t>الموارد البشرية</t>
        </is>
      </c>
      <c r="C131" s="91" t="inlineStr">
        <is>
          <t>الارتقاء بآليات اختيار المرشحين</t>
        </is>
      </c>
      <c r="D131" s="68" t="inlineStr">
        <is>
          <t>%</t>
        </is>
      </c>
      <c r="E131" s="92" t="inlineStr">
        <is>
          <t>تراكمي (آخر قيمة) · (الفعلي÷المستهدف)×100</t>
        </is>
      </c>
      <c r="F131" s="68" t="inlineStr">
        <is>
          <t>100%</t>
        </is>
      </c>
      <c r="G131" s="68" t="inlineStr">
        <is>
          <t>الاستدامة</t>
        </is>
      </c>
      <c r="H131" s="91" t="inlineStr">
        <is>
          <t>الاستثمار في الموظفين</t>
        </is>
      </c>
      <c r="I131" s="68" t="inlineStr">
        <is>
          <t>العمليات الداخلية</t>
        </is>
      </c>
      <c r="J131" s="68" t="inlineStr">
        <is>
          <t>🟣 لاحق</t>
        </is>
      </c>
      <c r="K131" s="38" t="n"/>
    </row>
    <row r="132" ht="22" customHeight="1">
      <c r="A132" s="68" t="n">
        <v>129</v>
      </c>
      <c r="B132" s="91" t="inlineStr">
        <is>
          <t>الموارد البشرية</t>
        </is>
      </c>
      <c r="C132" s="91" t="inlineStr">
        <is>
          <t>نسبة شغل الشواغر خلال 30 يوم</t>
        </is>
      </c>
      <c r="D132" s="68" t="inlineStr">
        <is>
          <t>%</t>
        </is>
      </c>
      <c r="E132" s="92" t="inlineStr">
        <is>
          <t>متوسط شهري · (الفعلي÷المستهدف)×100</t>
        </is>
      </c>
      <c r="F132" s="68" t="inlineStr">
        <is>
          <t>≥ 85%</t>
        </is>
      </c>
      <c r="G132" s="68" t="inlineStr">
        <is>
          <t>الاستدامة</t>
        </is>
      </c>
      <c r="H132" s="91" t="inlineStr">
        <is>
          <t>الاستثمار في الموظفين</t>
        </is>
      </c>
      <c r="I132" s="68" t="inlineStr">
        <is>
          <t>العمليات الداخلية</t>
        </is>
      </c>
      <c r="J132" s="68" t="inlineStr">
        <is>
          <t>🟣 لاحق</t>
        </is>
      </c>
      <c r="K132" s="38" t="n"/>
    </row>
    <row r="133" ht="22" customHeight="1">
      <c r="A133" s="68" t="n">
        <v>130</v>
      </c>
      <c r="B133" s="91" t="inlineStr">
        <is>
          <t>الموارد البشرية</t>
        </is>
      </c>
      <c r="C133" s="91" t="inlineStr">
        <is>
          <t>معدل استبقاء الموظفين (Retention)</t>
        </is>
      </c>
      <c r="D133" s="68" t="inlineStr">
        <is>
          <t>%</t>
        </is>
      </c>
      <c r="E133" s="92" t="inlineStr">
        <is>
          <t>تراكمي (آخر قيمة) · (الفعلي÷المستهدف)×100</t>
        </is>
      </c>
      <c r="F133" s="68" t="inlineStr">
        <is>
          <t>≥ 90%</t>
        </is>
      </c>
      <c r="G133" s="68" t="inlineStr">
        <is>
          <t>الاستدامة</t>
        </is>
      </c>
      <c r="H133" s="91" t="inlineStr">
        <is>
          <t>الاستثمار في الموظفين</t>
        </is>
      </c>
      <c r="I133" s="68" t="inlineStr">
        <is>
          <t>التعلّم والنمو</t>
        </is>
      </c>
      <c r="J133" s="68" t="inlineStr">
        <is>
          <t>🟣 لاحق</t>
        </is>
      </c>
      <c r="K133" s="38" t="n"/>
    </row>
    <row r="134" ht="22" customHeight="1">
      <c r="A134" s="68" t="n">
        <v>131</v>
      </c>
      <c r="B134" s="91" t="inlineStr">
        <is>
          <t>الموارد البشرية</t>
        </is>
      </c>
      <c r="C134" s="91" t="inlineStr">
        <is>
          <t>معدل دوران الموظفين (Turnover)</t>
        </is>
      </c>
      <c r="D134" s="68" t="inlineStr">
        <is>
          <t>%</t>
        </is>
      </c>
      <c r="E134" s="92" t="inlineStr">
        <is>
          <t>متوسط شهري · (الفعلي÷المستهدف)×100</t>
        </is>
      </c>
      <c r="F134" s="68" t="inlineStr">
        <is>
          <t>≤ 10%</t>
        </is>
      </c>
      <c r="G134" s="68" t="inlineStr">
        <is>
          <t>الاستدامة</t>
        </is>
      </c>
      <c r="H134" s="91" t="inlineStr">
        <is>
          <t>الاستثمار في الموظفين</t>
        </is>
      </c>
      <c r="I134" s="68" t="inlineStr">
        <is>
          <t>التعلّم والنمو</t>
        </is>
      </c>
      <c r="J134" s="68" t="inlineStr">
        <is>
          <t>🟣 لاحق</t>
        </is>
      </c>
      <c r="K134" s="38" t="n"/>
    </row>
    <row r="135" ht="22" customHeight="1">
      <c r="A135" s="68" t="n">
        <v>132</v>
      </c>
      <c r="B135" s="91" t="inlineStr">
        <is>
          <t>الموارد البشرية</t>
        </is>
      </c>
      <c r="C135" s="91" t="inlineStr">
        <is>
          <t>عدد الدورات الإدارية المنعقدة</t>
        </is>
      </c>
      <c r="D135" s="68" t="inlineStr">
        <is>
          <t>دورة</t>
        </is>
      </c>
      <c r="E135" s="92" t="inlineStr">
        <is>
          <t>تجميعي (مجموع شهري) · (الفعلي÷المستهدف)×100</t>
        </is>
      </c>
      <c r="F135" s="68" t="inlineStr">
        <is>
          <t>6 دورات</t>
        </is>
      </c>
      <c r="G135" s="68" t="inlineStr">
        <is>
          <t>الاستدامة</t>
        </is>
      </c>
      <c r="H135" s="91" t="inlineStr">
        <is>
          <t>الاستثمار في الموظفين</t>
        </is>
      </c>
      <c r="I135" s="68" t="inlineStr">
        <is>
          <t>العمليات الداخلية</t>
        </is>
      </c>
      <c r="J135" s="68" t="inlineStr">
        <is>
          <t>🔵 قائد</t>
        </is>
      </c>
      <c r="K135" s="38" t="n"/>
    </row>
    <row r="136" ht="22" customHeight="1">
      <c r="A136" s="68" t="n">
        <v>133</v>
      </c>
      <c r="B136" s="91" t="inlineStr">
        <is>
          <t>الموارد البشرية</t>
        </is>
      </c>
      <c r="C136" s="91" t="inlineStr">
        <is>
          <t>متوسط ساعات التدريب لكل موظف</t>
        </is>
      </c>
      <c r="D136" s="68" t="inlineStr">
        <is>
          <t>ساعة</t>
        </is>
      </c>
      <c r="E136" s="92" t="inlineStr">
        <is>
          <t>تجميعي (مجموع شهري) · (الفعلي÷المستهدف)×100</t>
        </is>
      </c>
      <c r="F136" s="68" t="inlineStr">
        <is>
          <t>≥ 40 ساعة</t>
        </is>
      </c>
      <c r="G136" s="68" t="inlineStr">
        <is>
          <t>الاستدامة</t>
        </is>
      </c>
      <c r="H136" s="91" t="inlineStr">
        <is>
          <t>الاستثمار في الموظفين</t>
        </is>
      </c>
      <c r="I136" s="68" t="inlineStr">
        <is>
          <t>التعلّم والنمو</t>
        </is>
      </c>
      <c r="J136" s="68" t="inlineStr">
        <is>
          <t>🔵 قائد</t>
        </is>
      </c>
      <c r="K136" s="38" t="n"/>
    </row>
    <row r="137" ht="22" customHeight="1">
      <c r="A137" s="68" t="n">
        <v>134</v>
      </c>
      <c r="B137" s="91" t="inlineStr">
        <is>
          <t>الموارد البشرية</t>
        </is>
      </c>
      <c r="C137" s="91" t="inlineStr">
        <is>
          <t>نسبة الموظفين المشمولين بخطة تطوير</t>
        </is>
      </c>
      <c r="D137" s="68" t="inlineStr">
        <is>
          <t>%</t>
        </is>
      </c>
      <c r="E137" s="92" t="inlineStr">
        <is>
          <t>تراكمي (آخر قيمة) · (الفعلي÷المستهدف)×100</t>
        </is>
      </c>
      <c r="F137" s="68" t="inlineStr">
        <is>
          <t>≥ 80%</t>
        </is>
      </c>
      <c r="G137" s="68" t="inlineStr">
        <is>
          <t>الاستدامة</t>
        </is>
      </c>
      <c r="H137" s="91" t="inlineStr">
        <is>
          <t>الاستثمار في الموظفين</t>
        </is>
      </c>
      <c r="I137" s="68" t="inlineStr">
        <is>
          <t>التعلّم والنمو</t>
        </is>
      </c>
      <c r="J137" s="68" t="inlineStr">
        <is>
          <t>🟣 لاحق</t>
        </is>
      </c>
      <c r="K137" s="38" t="n"/>
    </row>
    <row r="138" ht="22" customHeight="1">
      <c r="A138" s="68" t="n">
        <v>135</v>
      </c>
      <c r="B138" s="91" t="inlineStr">
        <is>
          <t>الموارد البشرية</t>
        </is>
      </c>
      <c r="C138" s="91" t="inlineStr">
        <is>
          <t>مؤشر رضا الموظفين (eNPS)</t>
        </is>
      </c>
      <c r="D138" s="68" t="inlineStr">
        <is>
          <t>نقطة</t>
        </is>
      </c>
      <c r="E138" s="92" t="inlineStr">
        <is>
          <t>متوسط شهري · (الفعلي÷المستهدف)×100</t>
        </is>
      </c>
      <c r="F138" s="68" t="inlineStr">
        <is>
          <t>≥ 30</t>
        </is>
      </c>
      <c r="G138" s="68" t="inlineStr">
        <is>
          <t>الاستدامة</t>
        </is>
      </c>
      <c r="H138" s="91" t="inlineStr">
        <is>
          <t>الاستثمار في الموظفين</t>
        </is>
      </c>
      <c r="I138" s="68" t="inlineStr">
        <is>
          <t>التعلّم والنمو</t>
        </is>
      </c>
      <c r="J138" s="68" t="inlineStr">
        <is>
          <t>🟣 لاحق</t>
        </is>
      </c>
      <c r="K138" s="38" t="n"/>
    </row>
    <row r="139" ht="22" customHeight="1">
      <c r="A139" s="68" t="n">
        <v>136</v>
      </c>
      <c r="B139" s="91" t="inlineStr">
        <is>
          <t>الموارد البشرية</t>
        </is>
      </c>
      <c r="C139" s="91" t="inlineStr">
        <is>
          <t>تحسين مستوى الرضا الوظيفي</t>
        </is>
      </c>
      <c r="D139" s="68" t="inlineStr">
        <is>
          <t>%</t>
        </is>
      </c>
      <c r="E139" s="92" t="inlineStr">
        <is>
          <t>متوسط شهري · (الفعلي÷المستهدف)×100</t>
        </is>
      </c>
      <c r="F139" s="68" t="inlineStr">
        <is>
          <t>مستهدف سنوي</t>
        </is>
      </c>
      <c r="G139" s="68" t="inlineStr">
        <is>
          <t>الاستدامة</t>
        </is>
      </c>
      <c r="H139" s="91" t="inlineStr">
        <is>
          <t>الاستثمار في الموظفين</t>
        </is>
      </c>
      <c r="I139" s="68" t="inlineStr">
        <is>
          <t>العملاء</t>
        </is>
      </c>
      <c r="J139" s="68" t="inlineStr">
        <is>
          <t>🟣 لاحق</t>
        </is>
      </c>
      <c r="K139" s="38" t="n"/>
    </row>
    <row r="140" ht="22" customHeight="1">
      <c r="A140" s="68" t="n">
        <v>137</v>
      </c>
      <c r="B140" s="91" t="inlineStr">
        <is>
          <t>الموارد البشرية</t>
        </is>
      </c>
      <c r="C140" s="91" t="inlineStr">
        <is>
          <t>ترسيخ القيم والثقافة المؤسسية</t>
        </is>
      </c>
      <c r="D140" s="68" t="inlineStr">
        <is>
          <t>%</t>
        </is>
      </c>
      <c r="E140" s="92" t="inlineStr">
        <is>
          <t>تراكمي (آخر قيمة) · (الفعلي÷المستهدف)×100</t>
        </is>
      </c>
      <c r="F140" s="68" t="inlineStr">
        <is>
          <t>100%</t>
        </is>
      </c>
      <c r="G140" s="68" t="inlineStr">
        <is>
          <t>الاستدامة</t>
        </is>
      </c>
      <c r="H140" s="91" t="inlineStr">
        <is>
          <t>الاستثمار في الموظفين</t>
        </is>
      </c>
      <c r="I140" s="68" t="inlineStr">
        <is>
          <t>العمليات الداخلية</t>
        </is>
      </c>
      <c r="J140" s="68" t="inlineStr">
        <is>
          <t>🟣 لاحق</t>
        </is>
      </c>
      <c r="K140" s="38" t="n"/>
    </row>
    <row r="141" ht="22" customHeight="1">
      <c r="A141" s="68" t="n">
        <v>138</v>
      </c>
      <c r="B141" s="91" t="inlineStr">
        <is>
          <t>الموارد البشرية</t>
        </is>
      </c>
      <c r="C141" s="91" t="inlineStr">
        <is>
          <t>نسبة أتمتة عمليات الموارد البشرية</t>
        </is>
      </c>
      <c r="D141" s="68" t="inlineStr">
        <is>
          <t>%</t>
        </is>
      </c>
      <c r="E141" s="92" t="inlineStr">
        <is>
          <t>تراكمي (آخر قيمة) · (الفعلي÷المستهدف)×100</t>
        </is>
      </c>
      <c r="F141" s="68" t="inlineStr">
        <is>
          <t>100%</t>
        </is>
      </c>
      <c r="G141" s="68" t="inlineStr">
        <is>
          <t>الابتكار</t>
        </is>
      </c>
      <c r="H141" s="91" t="inlineStr">
        <is>
          <t>التحول التقني</t>
        </is>
      </c>
      <c r="I141" s="68" t="inlineStr">
        <is>
          <t>التعلّم والنمو</t>
        </is>
      </c>
      <c r="J141" s="68" t="inlineStr">
        <is>
          <t>🟣 لاحق</t>
        </is>
      </c>
      <c r="K141" s="38" t="n"/>
    </row>
    <row r="142" ht="22" customHeight="1">
      <c r="A142" s="68" t="n">
        <v>139</v>
      </c>
      <c r="B142" s="91" t="inlineStr">
        <is>
          <t>الموارد البشرية</t>
        </is>
      </c>
      <c r="C142" s="91" t="inlineStr">
        <is>
          <t>نسبة توثيق أنظمة العمل</t>
        </is>
      </c>
      <c r="D142" s="68" t="inlineStr">
        <is>
          <t>%</t>
        </is>
      </c>
      <c r="E142" s="92" t="inlineStr">
        <is>
          <t>تراكمي (آخر قيمة) · (الفعلي÷المستهدف)×100</t>
        </is>
      </c>
      <c r="F142" s="68" t="inlineStr">
        <is>
          <t>≥ 80%</t>
        </is>
      </c>
      <c r="G142" s="68" t="inlineStr">
        <is>
          <t>الاستدامة</t>
        </is>
      </c>
      <c r="H142" s="91" t="inlineStr">
        <is>
          <t>جودة التشغيل</t>
        </is>
      </c>
      <c r="I142" s="68" t="inlineStr">
        <is>
          <t>العمليات الداخلية</t>
        </is>
      </c>
      <c r="J142" s="68" t="inlineStr">
        <is>
          <t>🟣 لاحق</t>
        </is>
      </c>
      <c r="K142" s="38" t="n"/>
    </row>
    <row r="143" ht="22" customHeight="1">
      <c r="A143" s="68" t="n">
        <v>140</v>
      </c>
      <c r="B143" s="91" t="inlineStr">
        <is>
          <t>الموارد البشرية</t>
        </is>
      </c>
      <c r="C143" s="91" t="inlineStr">
        <is>
          <t>ترسيخ الأنظمة الإدارية</t>
        </is>
      </c>
      <c r="D143" s="68" t="inlineStr">
        <is>
          <t>%</t>
        </is>
      </c>
      <c r="E143" s="92" t="inlineStr">
        <is>
          <t>تراكمي (آخر قيمة) · (الفعلي÷المستهدف)×100</t>
        </is>
      </c>
      <c r="F143" s="68" t="inlineStr">
        <is>
          <t>≥ 80%</t>
        </is>
      </c>
      <c r="G143" s="68" t="inlineStr">
        <is>
          <t>الاستدامة</t>
        </is>
      </c>
      <c r="H143" s="91" t="inlineStr">
        <is>
          <t>جودة التشغيل</t>
        </is>
      </c>
      <c r="I143" s="68" t="inlineStr">
        <is>
          <t>العمليات الداخلية</t>
        </is>
      </c>
      <c r="J143" s="68" t="inlineStr">
        <is>
          <t>🟣 لاحق</t>
        </is>
      </c>
      <c r="K143" s="38" t="n"/>
    </row>
    <row r="144" ht="22" customHeight="1">
      <c r="A144" s="68" t="n">
        <v>141</v>
      </c>
      <c r="B144" s="91" t="inlineStr">
        <is>
          <t>الموارد البشرية</t>
        </is>
      </c>
      <c r="C144" s="91" t="inlineStr">
        <is>
          <t>اعتماد الهيكل التنظيمي</t>
        </is>
      </c>
      <c r="D144" s="68" t="inlineStr">
        <is>
          <t>%</t>
        </is>
      </c>
      <c r="E144" s="92" t="inlineStr">
        <is>
          <t>تراكمي (آخر قيمة) · (الفعلي÷المستهدف)×100</t>
        </is>
      </c>
      <c r="F144" s="68" t="inlineStr">
        <is>
          <t>100%</t>
        </is>
      </c>
      <c r="G144" s="68" t="inlineStr">
        <is>
          <t>الاستدامة</t>
        </is>
      </c>
      <c r="H144" s="91" t="inlineStr">
        <is>
          <t>جودة التشغيل</t>
        </is>
      </c>
      <c r="I144" s="68" t="inlineStr">
        <is>
          <t>العمليات الداخلية</t>
        </is>
      </c>
      <c r="J144" s="68" t="inlineStr">
        <is>
          <t>🟣 لاحق</t>
        </is>
      </c>
      <c r="K144" s="38" t="n"/>
    </row>
    <row r="145" ht="22" customHeight="1">
      <c r="A145" s="68" t="n">
        <v>142</v>
      </c>
      <c r="B145" s="91" t="inlineStr">
        <is>
          <t>الموارد البشرية</t>
        </is>
      </c>
      <c r="C145" s="91" t="inlineStr">
        <is>
          <t>اكتمال الأوصاف الوظيفية (+KPI)</t>
        </is>
      </c>
      <c r="D145" s="68" t="inlineStr">
        <is>
          <t>%</t>
        </is>
      </c>
      <c r="E145" s="92" t="inlineStr">
        <is>
          <t>تراكمي (آخر قيمة) · (الفعلي÷المستهدف)×100</t>
        </is>
      </c>
      <c r="F145" s="68" t="inlineStr">
        <is>
          <t>100%</t>
        </is>
      </c>
      <c r="G145" s="68" t="inlineStr">
        <is>
          <t>الاستدامة</t>
        </is>
      </c>
      <c r="H145" s="91" t="inlineStr">
        <is>
          <t>جودة التشغيل</t>
        </is>
      </c>
      <c r="I145" s="68" t="inlineStr">
        <is>
          <t>العمليات الداخلية</t>
        </is>
      </c>
      <c r="J145" s="68" t="inlineStr">
        <is>
          <t>🟣 لاحق</t>
        </is>
      </c>
      <c r="K145" s="38" t="n"/>
    </row>
    <row r="146" ht="22" customHeight="1">
      <c r="A146" s="68" t="n">
        <v>143</v>
      </c>
      <c r="B146" s="91" t="inlineStr">
        <is>
          <t>الموارد البشرية</t>
        </is>
      </c>
      <c r="C146" s="91" t="inlineStr">
        <is>
          <t>نسبة إنجاز تقييمات الأداء في موعدها</t>
        </is>
      </c>
      <c r="D146" s="68" t="inlineStr">
        <is>
          <t>%</t>
        </is>
      </c>
      <c r="E146" s="92" t="inlineStr">
        <is>
          <t>متوسط شهري · (الفعلي÷المستهدف)×100</t>
        </is>
      </c>
      <c r="F146" s="68" t="inlineStr">
        <is>
          <t>100%</t>
        </is>
      </c>
      <c r="G146" s="68" t="inlineStr">
        <is>
          <t>الاستدامة</t>
        </is>
      </c>
      <c r="H146" s="91" t="inlineStr">
        <is>
          <t>الاستثمار في الموظفين</t>
        </is>
      </c>
      <c r="I146" s="68" t="inlineStr">
        <is>
          <t>العمليات الداخلية</t>
        </is>
      </c>
      <c r="J146" s="68" t="inlineStr">
        <is>
          <t>🟣 لاحق</t>
        </is>
      </c>
      <c r="K146" s="38" t="n"/>
    </row>
    <row r="147" ht="22" customHeight="1">
      <c r="A147" s="68" t="n">
        <v>144</v>
      </c>
      <c r="B147" s="91" t="inlineStr">
        <is>
          <t>التسويق</t>
        </is>
      </c>
      <c r="C147" s="91" t="inlineStr">
        <is>
          <t>الوصول الكلي (Total Reach)</t>
        </is>
      </c>
      <c r="D147" s="68" t="inlineStr">
        <is>
          <t>وصول</t>
        </is>
      </c>
      <c r="E147" s="92" t="inlineStr">
        <is>
          <t>تراكمي (آخر قيمة) · (الفعلي÷المستهدف)×100</t>
        </is>
      </c>
      <c r="F147" s="68" t="inlineStr">
        <is>
          <t>50م وصول</t>
        </is>
      </c>
      <c r="G147" s="68" t="inlineStr">
        <is>
          <t>النمو</t>
        </is>
      </c>
      <c r="H147" s="91" t="inlineStr">
        <is>
          <t>زيادة وصول العملاء</t>
        </is>
      </c>
      <c r="I147" s="68" t="inlineStr">
        <is>
          <t>العملاء</t>
        </is>
      </c>
      <c r="J147" s="68" t="inlineStr">
        <is>
          <t>🟣 لاحق</t>
        </is>
      </c>
      <c r="K147" s="38" t="n"/>
    </row>
    <row r="148" ht="22" customHeight="1">
      <c r="A148" s="68" t="n">
        <v>145</v>
      </c>
      <c r="B148" s="91" t="inlineStr">
        <is>
          <t>التسويق</t>
        </is>
      </c>
      <c r="C148" s="91" t="inlineStr">
        <is>
          <t>عملاء تجاريون جدد</t>
        </is>
      </c>
      <c r="D148" s="68" t="inlineStr">
        <is>
          <t>عميل</t>
        </is>
      </c>
      <c r="E148" s="92" t="inlineStr">
        <is>
          <t>تجميعي (مجموع شهري) · (الفعلي÷المستهدف)×100</t>
        </is>
      </c>
      <c r="F148" s="68" t="inlineStr">
        <is>
          <t>200 عميل</t>
        </is>
      </c>
      <c r="G148" s="68" t="inlineStr">
        <is>
          <t>النمو</t>
        </is>
      </c>
      <c r="H148" s="91" t="inlineStr">
        <is>
          <t>زيادة وصول العملاء</t>
        </is>
      </c>
      <c r="I148" s="68" t="inlineStr">
        <is>
          <t>العملاء</t>
        </is>
      </c>
      <c r="J148" s="68" t="inlineStr">
        <is>
          <t>🟣 لاحق</t>
        </is>
      </c>
      <c r="K148" s="38" t="n"/>
    </row>
    <row r="149" ht="22" customHeight="1">
      <c r="A149" s="68" t="n">
        <v>146</v>
      </c>
      <c r="B149" s="91" t="inlineStr">
        <is>
          <t>التسويق</t>
        </is>
      </c>
      <c r="C149" s="91" t="inlineStr">
        <is>
          <t>إجمالي المتابعين (كل المنصات)</t>
        </is>
      </c>
      <c r="D149" s="68" t="inlineStr">
        <is>
          <t>متابع</t>
        </is>
      </c>
      <c r="E149" s="92" t="inlineStr">
        <is>
          <t>تراكمي (آخر قيمة) · (الفعلي÷المستهدف)×100</t>
        </is>
      </c>
      <c r="F149" s="68" t="inlineStr">
        <is>
          <t>380ك متابع</t>
        </is>
      </c>
      <c r="G149" s="68" t="inlineStr">
        <is>
          <t>النمو</t>
        </is>
      </c>
      <c r="H149" s="91" t="inlineStr">
        <is>
          <t>زيادة وصول العملاء</t>
        </is>
      </c>
      <c r="I149" s="68" t="inlineStr">
        <is>
          <t>العمليات الداخلية</t>
        </is>
      </c>
      <c r="J149" s="68" t="inlineStr">
        <is>
          <t>🟣 لاحق</t>
        </is>
      </c>
      <c r="K149" s="38" t="n"/>
    </row>
    <row r="150" ht="22" customHeight="1">
      <c r="A150" s="68" t="n">
        <v>147</v>
      </c>
      <c r="B150" s="91" t="inlineStr">
        <is>
          <t>التسويق</t>
        </is>
      </c>
      <c r="C150" s="91" t="inlineStr">
        <is>
          <t>معدل التفاعل (Engagement)</t>
        </is>
      </c>
      <c r="D150" s="68" t="inlineStr">
        <is>
          <t>%</t>
        </is>
      </c>
      <c r="E150" s="92" t="inlineStr">
        <is>
          <t>متوسط شهري · (الفعلي÷المستهدف)×100</t>
        </is>
      </c>
      <c r="F150" s="68" t="inlineStr">
        <is>
          <t>50%</t>
        </is>
      </c>
      <c r="G150" s="68" t="inlineStr">
        <is>
          <t>النمو</t>
        </is>
      </c>
      <c r="H150" s="91" t="inlineStr">
        <is>
          <t>زيادة وصول العملاء</t>
        </is>
      </c>
      <c r="I150" s="68" t="inlineStr">
        <is>
          <t>العمليات الداخلية</t>
        </is>
      </c>
      <c r="J150" s="68" t="inlineStr">
        <is>
          <t>🟣 لاحق</t>
        </is>
      </c>
      <c r="K150" s="38" t="n"/>
    </row>
    <row r="151" ht="22" customHeight="1">
      <c r="A151" s="68" t="n">
        <v>148</v>
      </c>
      <c r="B151" s="91" t="inlineStr">
        <is>
          <t>التسويق</t>
        </is>
      </c>
      <c r="C151" s="91" t="inlineStr">
        <is>
          <t>حملات تسويقية منجزة</t>
        </is>
      </c>
      <c r="D151" s="68" t="inlineStr">
        <is>
          <t>حملة</t>
        </is>
      </c>
      <c r="E151" s="92" t="inlineStr">
        <is>
          <t>تجميعي (مجموع شهري) · (الفعلي÷المستهدف)×100</t>
        </is>
      </c>
      <c r="F151" s="68" t="inlineStr">
        <is>
          <t>48 حملة</t>
        </is>
      </c>
      <c r="G151" s="68" t="inlineStr">
        <is>
          <t>النمو</t>
        </is>
      </c>
      <c r="H151" s="91" t="inlineStr">
        <is>
          <t>زيادة وصول العملاء</t>
        </is>
      </c>
      <c r="I151" s="68" t="inlineStr">
        <is>
          <t>العمليات الداخلية</t>
        </is>
      </c>
      <c r="J151" s="68" t="inlineStr">
        <is>
          <t>🔵 قائد</t>
        </is>
      </c>
      <c r="K151" s="38" t="n"/>
    </row>
    <row r="152" ht="22" customHeight="1">
      <c r="A152" s="68" t="n">
        <v>149</v>
      </c>
      <c r="B152" s="91" t="inlineStr">
        <is>
          <t>التسويق</t>
        </is>
      </c>
      <c r="C152" s="91" t="inlineStr">
        <is>
          <t>تحويل الفرص إلى عقود</t>
        </is>
      </c>
      <c r="D152" s="68" t="inlineStr">
        <is>
          <t>%</t>
        </is>
      </c>
      <c r="E152" s="92" t="inlineStr">
        <is>
          <t>متوسط شهري · (الفعلي÷المستهدف)×100</t>
        </is>
      </c>
      <c r="F152" s="68" t="inlineStr">
        <is>
          <t>25%</t>
        </is>
      </c>
      <c r="G152" s="68" t="inlineStr">
        <is>
          <t>النمو</t>
        </is>
      </c>
      <c r="H152" s="91" t="inlineStr">
        <is>
          <t>زيادة وصول العملاء</t>
        </is>
      </c>
      <c r="I152" s="68" t="inlineStr">
        <is>
          <t>العمليات الداخلية</t>
        </is>
      </c>
      <c r="J152" s="68" t="inlineStr">
        <is>
          <t>🔵 قائد</t>
        </is>
      </c>
      <c r="K152" s="38" t="n"/>
    </row>
    <row r="153" ht="22" customHeight="1">
      <c r="A153" s="68" t="n">
        <v>150</v>
      </c>
      <c r="B153" s="91" t="inlineStr">
        <is>
          <t>التسويق</t>
        </is>
      </c>
      <c r="C153" s="91" t="inlineStr">
        <is>
          <t>نسبة المبيعات لكل حملة</t>
        </is>
      </c>
      <c r="D153" s="68" t="inlineStr">
        <is>
          <t>%</t>
        </is>
      </c>
      <c r="E153" s="92" t="inlineStr">
        <is>
          <t>متوسط شهري · (الفعلي÷المستهدف)×100</t>
        </is>
      </c>
      <c r="F153" s="68" t="inlineStr">
        <is>
          <t>100%</t>
        </is>
      </c>
      <c r="G153" s="68" t="inlineStr">
        <is>
          <t>النمو</t>
        </is>
      </c>
      <c r="H153" s="91" t="inlineStr">
        <is>
          <t>زيادة وصول العملاء</t>
        </is>
      </c>
      <c r="I153" s="68" t="inlineStr">
        <is>
          <t>مالي</t>
        </is>
      </c>
      <c r="J153" s="68" t="inlineStr">
        <is>
          <t>🔵 قائد</t>
        </is>
      </c>
      <c r="K153" s="38" t="n"/>
    </row>
    <row r="154" ht="22" customHeight="1">
      <c r="A154" s="68" t="n">
        <v>151</v>
      </c>
      <c r="B154" s="91" t="inlineStr">
        <is>
          <t>التسويق</t>
        </is>
      </c>
      <c r="C154" s="91" t="inlineStr">
        <is>
          <t>نسبة التزام الهوية البصرية</t>
        </is>
      </c>
      <c r="D154" s="68" t="inlineStr">
        <is>
          <t>%</t>
        </is>
      </c>
      <c r="E154" s="92" t="inlineStr">
        <is>
          <t>تراكمي (آخر قيمة) · (الفعلي÷المستهدف)×100</t>
        </is>
      </c>
      <c r="F154" s="68" t="inlineStr">
        <is>
          <t>100%</t>
        </is>
      </c>
      <c r="G154" s="68" t="inlineStr">
        <is>
          <t>الابتكار</t>
        </is>
      </c>
      <c r="H154" s="91" t="inlineStr">
        <is>
          <t>تطوير التصاميم والهوية</t>
        </is>
      </c>
      <c r="I154" s="68" t="inlineStr">
        <is>
          <t>التعلّم والنمو</t>
        </is>
      </c>
      <c r="J154" s="68" t="inlineStr">
        <is>
          <t>🟣 لاحق</t>
        </is>
      </c>
      <c r="K154" s="38" t="n"/>
    </row>
    <row r="155" ht="22" customHeight="1">
      <c r="A155" s="68" t="n">
        <v>152</v>
      </c>
      <c r="B155" s="91" t="inlineStr">
        <is>
          <t>التسويق</t>
        </is>
      </c>
      <c r="C155" s="91" t="inlineStr">
        <is>
          <t>وصول العلاقات العامة (PR)</t>
        </is>
      </c>
      <c r="D155" s="68" t="inlineStr">
        <is>
          <t>وصول</t>
        </is>
      </c>
      <c r="E155" s="92" t="inlineStr">
        <is>
          <t>تراكمي (آخر قيمة) · (الفعلي÷المستهدف)×100</t>
        </is>
      </c>
      <c r="F155" s="68" t="inlineStr">
        <is>
          <t>7م وصول</t>
        </is>
      </c>
      <c r="G155" s="68" t="inlineStr">
        <is>
          <t>النمو</t>
        </is>
      </c>
      <c r="H155" s="91" t="inlineStr">
        <is>
          <t>زيادة وصول العملاء</t>
        </is>
      </c>
      <c r="I155" s="68" t="inlineStr">
        <is>
          <t>العملاء</t>
        </is>
      </c>
      <c r="J155" s="68" t="inlineStr">
        <is>
          <t>🟣 لاحق</t>
        </is>
      </c>
      <c r="K155" s="38" t="n"/>
    </row>
    <row r="156" ht="22" customHeight="1">
      <c r="A156" s="68" t="n">
        <v>153</v>
      </c>
      <c r="B156" s="91" t="inlineStr">
        <is>
          <t>التسويق</t>
        </is>
      </c>
      <c r="C156" s="91" t="inlineStr">
        <is>
          <t>عدد المعارض بالسنة</t>
        </is>
      </c>
      <c r="D156" s="68" t="inlineStr">
        <is>
          <t>معرض</t>
        </is>
      </c>
      <c r="E156" s="92" t="inlineStr">
        <is>
          <t>تجميعي (مجموع شهري) · (الفعلي÷المستهدف)×100</t>
        </is>
      </c>
      <c r="F156" s="68" t="inlineStr">
        <is>
          <t>3 معارض</t>
        </is>
      </c>
      <c r="G156" s="68" t="inlineStr">
        <is>
          <t>الابتكار</t>
        </is>
      </c>
      <c r="H156" s="91" t="inlineStr">
        <is>
          <t>إطلاق مشاريع جديدة</t>
        </is>
      </c>
      <c r="I156" s="68" t="inlineStr">
        <is>
          <t>العمليات الداخلية</t>
        </is>
      </c>
      <c r="J156" s="68" t="inlineStr">
        <is>
          <t>🔵 قائد</t>
        </is>
      </c>
      <c r="K156" s="38" t="n"/>
    </row>
    <row r="157" ht="22" customHeight="1">
      <c r="A157" s="68" t="n">
        <v>154</v>
      </c>
      <c r="B157" s="91" t="inlineStr">
        <is>
          <t>التسويق</t>
        </is>
      </c>
      <c r="C157" s="91" t="inlineStr">
        <is>
          <t>اتفاقيات استراتيجية</t>
        </is>
      </c>
      <c r="D157" s="68" t="inlineStr">
        <is>
          <t>اتفاقية</t>
        </is>
      </c>
      <c r="E157" s="92" t="inlineStr">
        <is>
          <t>تجميعي (مجموع شهري) · (الفعلي÷المستهدف)×100</t>
        </is>
      </c>
      <c r="F157" s="68" t="inlineStr">
        <is>
          <t>3 اتفاقيات</t>
        </is>
      </c>
      <c r="G157" s="68" t="inlineStr">
        <is>
          <t>الابتكار</t>
        </is>
      </c>
      <c r="H157" s="91" t="inlineStr">
        <is>
          <t>إطلاق مشاريع جديدة</t>
        </is>
      </c>
      <c r="I157" s="68" t="inlineStr">
        <is>
          <t>العمليات الداخلية</t>
        </is>
      </c>
      <c r="J157" s="68" t="inlineStr">
        <is>
          <t>🟣 لاحق</t>
        </is>
      </c>
      <c r="K157" s="38" t="n"/>
    </row>
    <row r="158" ht="22" customHeight="1">
      <c r="A158" s="68" t="n">
        <v>155</v>
      </c>
      <c r="B158" s="91" t="inlineStr">
        <is>
          <t>التسويق</t>
        </is>
      </c>
      <c r="C158" s="91" t="inlineStr">
        <is>
          <t>تقييم خرائط قوقل</t>
        </is>
      </c>
      <c r="D158" s="68" t="inlineStr">
        <is>
          <t>نجمة/5</t>
        </is>
      </c>
      <c r="E158" s="92" t="inlineStr">
        <is>
          <t>متوسط شهري · (الفعلي÷المستهدف)×100</t>
        </is>
      </c>
      <c r="F158" s="68" t="inlineStr">
        <is>
          <t>4.7 ⭐</t>
        </is>
      </c>
      <c r="G158" s="68" t="inlineStr">
        <is>
          <t>الاستدامة</t>
        </is>
      </c>
      <c r="H158" s="91" t="inlineStr">
        <is>
          <t>تعزيز تجربة العملاء</t>
        </is>
      </c>
      <c r="I158" s="68" t="inlineStr">
        <is>
          <t>العملاء</t>
        </is>
      </c>
      <c r="J158" s="68" t="inlineStr">
        <is>
          <t>🟣 لاحق</t>
        </is>
      </c>
      <c r="K158" s="38" t="n"/>
    </row>
    <row r="159" ht="22" customHeight="1">
      <c r="A159" s="68" t="n">
        <v>156</v>
      </c>
      <c r="B159" s="91" t="inlineStr">
        <is>
          <t>التسويق</t>
        </is>
      </c>
      <c r="C159" s="91" t="inlineStr">
        <is>
          <t>معدل خفض الشكاوى</t>
        </is>
      </c>
      <c r="D159" s="68" t="inlineStr">
        <is>
          <t>%</t>
        </is>
      </c>
      <c r="E159" s="92" t="inlineStr">
        <is>
          <t>متوسط شهري · (الفعلي÷المستهدف)×100</t>
        </is>
      </c>
      <c r="F159" s="68" t="inlineStr">
        <is>
          <t>30%</t>
        </is>
      </c>
      <c r="G159" s="68" t="inlineStr">
        <is>
          <t>الاستدامة</t>
        </is>
      </c>
      <c r="H159" s="91" t="inlineStr">
        <is>
          <t>تعزيز تجربة العملاء</t>
        </is>
      </c>
      <c r="I159" s="68" t="inlineStr">
        <is>
          <t>العملاء</t>
        </is>
      </c>
      <c r="J159" s="68" t="inlineStr">
        <is>
          <t>🟣 لاحق</t>
        </is>
      </c>
      <c r="K159"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K2"/>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4"/>
  <sheetViews>
    <sheetView showGridLines="0" rightToLeft="1" workbookViewId="0">
      <selection activeCell="A1" sqref="A1"/>
    </sheetView>
  </sheetViews>
  <sheetFormatPr baseColWidth="8" defaultRowHeight="15"/>
  <cols>
    <col width="4" customWidth="1" min="1" max="1"/>
    <col width="38" customWidth="1" min="2" max="2"/>
    <col width="22" customWidth="1" min="3" max="3"/>
    <col width="12" customWidth="1" min="4" max="4"/>
    <col width="12" customWidth="1" min="5" max="5"/>
    <col width="14" customWidth="1" min="6" max="6"/>
    <col width="34" customWidth="1" min="7" max="7"/>
    <col width="18" customWidth="1" min="8" max="8"/>
    <col width="14" customWidth="1" min="9" max="9"/>
  </cols>
  <sheetData>
    <row r="1" ht="28" customHeight="1">
      <c r="A1" s="28" t="inlineStr">
        <is>
          <t>سجل المخاطر الاستراتيجية والتشغيلية</t>
        </is>
      </c>
    </row>
    <row r="2">
      <c r="A2" s="50" t="inlineStr">
        <is>
          <t>🟩 إدخال  ·  الاحتمال/الأثر (1=منخفض 2=متوسط 3=مرتفع)  ·  درجة المخاطرة والمستوى تُحسبان تلقائياً</t>
        </is>
      </c>
    </row>
    <row r="3" ht="28" customHeight="1">
      <c r="A3" s="30" t="inlineStr">
        <is>
          <t>#</t>
        </is>
      </c>
      <c r="B3" s="30" t="inlineStr">
        <is>
          <t>الخطر</t>
        </is>
      </c>
      <c r="C3" s="30" t="inlineStr">
        <is>
          <t>المشروع/المجال المتأثر</t>
        </is>
      </c>
      <c r="D3" s="30" t="inlineStr">
        <is>
          <t>الاحتمال</t>
        </is>
      </c>
      <c r="E3" s="30" t="inlineStr">
        <is>
          <t>الأثر</t>
        </is>
      </c>
      <c r="F3" s="30" t="inlineStr">
        <is>
          <t>درجة المخاطرة</t>
        </is>
      </c>
      <c r="G3" s="30" t="inlineStr">
        <is>
          <t>الاستجابة/التخفيف</t>
        </is>
      </c>
      <c r="H3" s="30" t="inlineStr">
        <is>
          <t>المالك</t>
        </is>
      </c>
      <c r="I3" s="30" t="inlineStr">
        <is>
          <t>المستوى</t>
        </is>
      </c>
    </row>
    <row r="4" ht="26" customHeight="1">
      <c r="A4" s="17" t="n">
        <v>1</v>
      </c>
      <c r="B4" s="51" t="inlineStr">
        <is>
          <t>تأخّر إطلاق/تبنّي تطبيق تانكي</t>
        </is>
      </c>
      <c r="C4" s="51" t="inlineStr">
        <is>
          <t>الابتكار — تطبيق تانكي</t>
        </is>
      </c>
      <c r="D4" s="38" t="n"/>
      <c r="E4" s="38" t="n"/>
      <c r="F4" s="58">
        <f>IF(OR(D4="",E4=""),"",D4*E4)</f>
        <v/>
      </c>
      <c r="G4" s="51" t="n"/>
      <c r="H4" s="38" t="n"/>
      <c r="I4" s="17">
        <f>IF(F4="","—",IF(F4&gt;=6,"🔴 مرتفع",IF(F4&gt;=3,"🟡 متوسط","🟢 منخفض")))</f>
        <v/>
      </c>
    </row>
    <row r="5" ht="26" customHeight="1">
      <c r="A5" s="17" t="n">
        <v>2</v>
      </c>
      <c r="B5" s="51" t="inlineStr">
        <is>
          <t>ارتفاع دوران الموظفين ونقص الكوادر</t>
        </is>
      </c>
      <c r="C5" s="51" t="inlineStr">
        <is>
          <t>الاستدامة — الموظفون</t>
        </is>
      </c>
      <c r="D5" s="38" t="n"/>
      <c r="E5" s="38" t="n"/>
      <c r="F5" s="58">
        <f>IF(OR(D5="",E5=""),"",D5*E5)</f>
        <v/>
      </c>
      <c r="G5" s="51" t="n"/>
      <c r="H5" s="38" t="n"/>
      <c r="I5" s="17">
        <f>IF(F5="","—",IF(F5&gt;=6,"🔴 مرتفع",IF(F5&gt;=3,"🟡 متوسط","🟢 منخفض")))</f>
        <v/>
      </c>
    </row>
    <row r="6" ht="26" customHeight="1">
      <c r="A6" s="17" t="n">
        <v>3</v>
      </c>
      <c r="B6" s="51" t="inlineStr">
        <is>
          <t>تقلّب هوامش/أسعار الوقود</t>
        </is>
      </c>
      <c r="C6" s="51" t="inlineStr">
        <is>
          <t>النمو — المالية</t>
        </is>
      </c>
      <c r="D6" s="38" t="n"/>
      <c r="E6" s="38" t="n"/>
      <c r="F6" s="58">
        <f>IF(OR(D6="",E6=""),"",D6*E6)</f>
        <v/>
      </c>
      <c r="G6" s="51" t="n"/>
      <c r="H6" s="38" t="n"/>
      <c r="I6" s="17">
        <f>IF(F6="","—",IF(F6&gt;=6,"🔴 مرتفع",IF(F6&gt;=3,"🟡 متوسط","🟢 منخفض")))</f>
        <v/>
      </c>
    </row>
    <row r="7" ht="26" customHeight="1">
      <c r="A7" s="17" t="n">
        <v>4</v>
      </c>
      <c r="B7" s="51" t="inlineStr">
        <is>
          <t>عدم تحقيق مستهدف العقود الجديدة</t>
        </is>
      </c>
      <c r="C7" s="51" t="inlineStr">
        <is>
          <t>النمو — الامتياز/الاستثمار</t>
        </is>
      </c>
      <c r="D7" s="38" t="n"/>
      <c r="E7" s="38" t="n"/>
      <c r="F7" s="58">
        <f>IF(OR(D7="",E7=""),"",D7*E7)</f>
        <v/>
      </c>
      <c r="G7" s="51" t="n"/>
      <c r="H7" s="38" t="n"/>
      <c r="I7" s="17">
        <f>IF(F7="","—",IF(F7&gt;=6,"🔴 مرتفع",IF(F7&gt;=3,"🟡 متوسط","🟢 منخفض")))</f>
        <v/>
      </c>
    </row>
    <row r="8" ht="26" customHeight="1">
      <c r="A8" s="17" t="n">
        <v>5</v>
      </c>
      <c r="B8" s="51" t="inlineStr">
        <is>
          <t>عدم استيفاء اشتراطات وزارة الطاقة</t>
        </is>
      </c>
      <c r="C8" s="51" t="inlineStr">
        <is>
          <t>التوسع الإقليمي — الامتثال</t>
        </is>
      </c>
      <c r="D8" s="38" t="n"/>
      <c r="E8" s="38" t="n"/>
      <c r="F8" s="58">
        <f>IF(OR(D8="",E8=""),"",D8*E8)</f>
        <v/>
      </c>
      <c r="G8" s="51" t="n"/>
      <c r="H8" s="38" t="n"/>
      <c r="I8" s="17">
        <f>IF(F8="","—",IF(F8&gt;=6,"🔴 مرتفع",IF(F8&gt;=3,"🟡 متوسط","🟢 منخفض")))</f>
        <v/>
      </c>
    </row>
    <row r="9" ht="26" customHeight="1">
      <c r="A9" s="17" t="n">
        <v>6</v>
      </c>
      <c r="B9" s="51" t="inlineStr">
        <is>
          <t>حوادث سلامة أو انقطاع تشغيلي بالمحطات</t>
        </is>
      </c>
      <c r="C9" s="51" t="inlineStr">
        <is>
          <t>الاستدامة — جودة التشغيل</t>
        </is>
      </c>
      <c r="D9" s="38" t="n"/>
      <c r="E9" s="38" t="n"/>
      <c r="F9" s="58">
        <f>IF(OR(D9="",E9=""),"",D9*E9)</f>
        <v/>
      </c>
      <c r="G9" s="51" t="n"/>
      <c r="H9" s="38" t="n"/>
      <c r="I9" s="17">
        <f>IF(F9="","—",IF(F9&gt;=6,"🔴 مرتفع",IF(F9&gt;=3,"🟡 متوسط","🟢 منخفض")))</f>
        <v/>
      </c>
    </row>
    <row r="10" ht="26" customHeight="1">
      <c r="A10" s="17" t="n">
        <v>7</v>
      </c>
      <c r="B10" s="51" t="n"/>
      <c r="C10" s="51" t="n"/>
      <c r="D10" s="38" t="n"/>
      <c r="E10" s="38" t="n"/>
      <c r="F10" s="58">
        <f>IF(OR(D10="",E10=""),"",D10*E10)</f>
        <v/>
      </c>
      <c r="G10" s="51" t="n"/>
      <c r="H10" s="38" t="n"/>
      <c r="I10" s="17">
        <f>IF(F10="","—",IF(F10&gt;=6,"🔴 مرتفع",IF(F10&gt;=3,"🟡 متوسط","🟢 منخفض")))</f>
        <v/>
      </c>
    </row>
    <row r="11" ht="26" customHeight="1">
      <c r="A11" s="17" t="n">
        <v>8</v>
      </c>
      <c r="B11" s="51" t="n"/>
      <c r="C11" s="51" t="n"/>
      <c r="D11" s="38" t="n"/>
      <c r="E11" s="38" t="n"/>
      <c r="F11" s="58">
        <f>IF(OR(D11="",E11=""),"",D11*E11)</f>
        <v/>
      </c>
      <c r="G11" s="51" t="n"/>
      <c r="H11" s="38" t="n"/>
      <c r="I11" s="17">
        <f>IF(F11="","—",IF(F11&gt;=6,"🔴 مرتفع",IF(F11&gt;=3,"🟡 متوسط","🟢 منخفض")))</f>
        <v/>
      </c>
    </row>
    <row r="12" ht="26" customHeight="1">
      <c r="A12" s="17" t="n">
        <v>9</v>
      </c>
      <c r="B12" s="51" t="n"/>
      <c r="C12" s="51" t="n"/>
      <c r="D12" s="38" t="n"/>
      <c r="E12" s="38" t="n"/>
      <c r="F12" s="58">
        <f>IF(OR(D12="",E12=""),"",D12*E12)</f>
        <v/>
      </c>
      <c r="G12" s="51" t="n"/>
      <c r="H12" s="38" t="n"/>
      <c r="I12" s="17">
        <f>IF(F12="","—",IF(F12&gt;=6,"🔴 مرتفع",IF(F12&gt;=3,"🟡 متوسط","🟢 منخفض")))</f>
        <v/>
      </c>
    </row>
    <row r="13" ht="26" customHeight="1">
      <c r="A13" s="17" t="n">
        <v>10</v>
      </c>
      <c r="B13" s="51" t="n"/>
      <c r="C13" s="51" t="n"/>
      <c r="D13" s="38" t="n"/>
      <c r="E13" s="38" t="n"/>
      <c r="F13" s="58">
        <f>IF(OR(D13="",E13=""),"",D13*E13)</f>
        <v/>
      </c>
      <c r="G13" s="51" t="n"/>
      <c r="H13" s="38" t="n"/>
      <c r="I13" s="17">
        <f>IF(F13="","—",IF(F13&gt;=6,"🔴 مرتفع",IF(F13&gt;=3,"🟡 متوسط","🟢 منخفض")))</f>
        <v/>
      </c>
    </row>
    <row r="14" ht="26" customHeight="1">
      <c r="A14" s="17" t="n">
        <v>11</v>
      </c>
      <c r="B14" s="51" t="n"/>
      <c r="C14" s="51" t="n"/>
      <c r="D14" s="38" t="n"/>
      <c r="E14" s="38" t="n"/>
      <c r="F14" s="58">
        <f>IF(OR(D14="",E14=""),"",D14*E14)</f>
        <v/>
      </c>
      <c r="G14" s="51" t="n"/>
      <c r="H14" s="38" t="n"/>
      <c r="I14" s="17">
        <f>IF(F14="","—",IF(F14&gt;=6,"🔴 مرتفع",IF(F14&gt;=3,"🟡 متوسط","🟢 منخفض")))</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1:I1"/>
    <mergeCell ref="A2:I2"/>
  </mergeCells>
  <dataValidations count="1">
    <dataValidation sqref="D4 D5 D6 D7 D8 D9 D10 D11 D12 D13 D14 E4 E5 E6 E7 E8 E9 E10 E11 E12 E13 E14" showDropDown="0" showInputMessage="0" showErrorMessage="0" allowBlank="1" type="whole" operator="between">
      <formula1>1</formula1>
      <formula2>3</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5"/>
  <sheetViews>
    <sheetView showGridLines="0" rightToLeft="1" workbookViewId="0">
      <selection activeCell="A1" sqref="A1"/>
    </sheetView>
  </sheetViews>
  <sheetFormatPr baseColWidth="8" defaultRowHeight="15"/>
  <cols>
    <col width="4" customWidth="1" min="1" max="1"/>
    <col width="14" customWidth="1" min="2" max="2"/>
    <col width="26" customWidth="1" min="3" max="3"/>
    <col width="34" customWidth="1" min="4" max="4"/>
    <col width="34" customWidth="1" min="5" max="5"/>
    <col width="18" customWidth="1" min="6" max="6"/>
    <col width="14" customWidth="1" min="7" max="7"/>
    <col width="14" customWidth="1" min="8" max="8"/>
  </cols>
  <sheetData>
    <row r="1" ht="28" customHeight="1">
      <c r="A1" s="28" t="inlineStr">
        <is>
          <t>سجل الإجراءات التصحيحية (PDCA) — متابعة الانحرافات</t>
        </is>
      </c>
    </row>
    <row r="2">
      <c r="A2" s="50" t="inlineStr">
        <is>
          <t>🟩 لكل مؤشر/انحراف: السبب الجذري ← الإجراء ← المسؤول ← الموعد ← الحالة</t>
        </is>
      </c>
    </row>
    <row r="3" ht="28" customHeight="1">
      <c r="A3" s="30" t="inlineStr">
        <is>
          <t>#</t>
        </is>
      </c>
      <c r="B3" s="30" t="inlineStr">
        <is>
          <t>التاريخ</t>
        </is>
      </c>
      <c r="C3" s="30" t="inlineStr">
        <is>
          <t>المؤشر/المجال</t>
        </is>
      </c>
      <c r="D3" s="30" t="inlineStr">
        <is>
          <t>الملاحظة / السبب الجذري</t>
        </is>
      </c>
      <c r="E3" s="30" t="inlineStr">
        <is>
          <t>الإجراء التصحيحي</t>
        </is>
      </c>
      <c r="F3" s="30" t="inlineStr">
        <is>
          <t>المسؤول</t>
        </is>
      </c>
      <c r="G3" s="30" t="inlineStr">
        <is>
          <t>الموعد</t>
        </is>
      </c>
      <c r="H3" s="30" t="inlineStr">
        <is>
          <t>الحالة</t>
        </is>
      </c>
    </row>
    <row r="4" ht="24" customHeight="1">
      <c r="A4" s="17" t="n">
        <v>1</v>
      </c>
      <c r="B4" s="38" t="n"/>
      <c r="C4" s="51" t="n"/>
      <c r="D4" s="51" t="n"/>
      <c r="E4" s="51" t="n"/>
      <c r="F4" s="38" t="n"/>
      <c r="G4" s="38" t="n"/>
      <c r="H4" s="38" t="n"/>
    </row>
    <row r="5" ht="24" customHeight="1">
      <c r="A5" s="17" t="n">
        <v>2</v>
      </c>
      <c r="B5" s="38" t="n"/>
      <c r="C5" s="51" t="n"/>
      <c r="D5" s="51" t="n"/>
      <c r="E5" s="51" t="n"/>
      <c r="F5" s="38" t="n"/>
      <c r="G5" s="38" t="n"/>
      <c r="H5" s="38" t="n"/>
    </row>
    <row r="6" ht="24" customHeight="1">
      <c r="A6" s="17" t="n">
        <v>3</v>
      </c>
      <c r="B6" s="38" t="n"/>
      <c r="C6" s="51" t="n"/>
      <c r="D6" s="51" t="n"/>
      <c r="E6" s="51" t="n"/>
      <c r="F6" s="38" t="n"/>
      <c r="G6" s="38" t="n"/>
      <c r="H6" s="38" t="n"/>
    </row>
    <row r="7" ht="24" customHeight="1">
      <c r="A7" s="17" t="n">
        <v>4</v>
      </c>
      <c r="B7" s="38" t="n"/>
      <c r="C7" s="51" t="n"/>
      <c r="D7" s="51" t="n"/>
      <c r="E7" s="51" t="n"/>
      <c r="F7" s="38" t="n"/>
      <c r="G7" s="38" t="n"/>
      <c r="H7" s="38" t="n"/>
    </row>
    <row r="8" ht="24" customHeight="1">
      <c r="A8" s="17" t="n">
        <v>5</v>
      </c>
      <c r="B8" s="38" t="n"/>
      <c r="C8" s="51" t="n"/>
      <c r="D8" s="51" t="n"/>
      <c r="E8" s="51" t="n"/>
      <c r="F8" s="38" t="n"/>
      <c r="G8" s="38" t="n"/>
      <c r="H8" s="38" t="n"/>
    </row>
    <row r="9" ht="24" customHeight="1">
      <c r="A9" s="17" t="n">
        <v>6</v>
      </c>
      <c r="B9" s="38" t="n"/>
      <c r="C9" s="51" t="n"/>
      <c r="D9" s="51" t="n"/>
      <c r="E9" s="51" t="n"/>
      <c r="F9" s="38" t="n"/>
      <c r="G9" s="38" t="n"/>
      <c r="H9" s="38" t="n"/>
    </row>
    <row r="10" ht="24" customHeight="1">
      <c r="A10" s="17" t="n">
        <v>7</v>
      </c>
      <c r="B10" s="38" t="n"/>
      <c r="C10" s="51" t="n"/>
      <c r="D10" s="51" t="n"/>
      <c r="E10" s="51" t="n"/>
      <c r="F10" s="38" t="n"/>
      <c r="G10" s="38" t="n"/>
      <c r="H10" s="38" t="n"/>
    </row>
    <row r="11" ht="24" customHeight="1">
      <c r="A11" s="17" t="n">
        <v>8</v>
      </c>
      <c r="B11" s="38" t="n"/>
      <c r="C11" s="51" t="n"/>
      <c r="D11" s="51" t="n"/>
      <c r="E11" s="51" t="n"/>
      <c r="F11" s="38" t="n"/>
      <c r="G11" s="38" t="n"/>
      <c r="H11" s="38" t="n"/>
    </row>
    <row r="12" ht="24" customHeight="1">
      <c r="A12" s="17" t="n">
        <v>9</v>
      </c>
      <c r="B12" s="38" t="n"/>
      <c r="C12" s="51" t="n"/>
      <c r="D12" s="51" t="n"/>
      <c r="E12" s="51" t="n"/>
      <c r="F12" s="38" t="n"/>
      <c r="G12" s="38" t="n"/>
      <c r="H12" s="38" t="n"/>
    </row>
    <row r="13" ht="24" customHeight="1">
      <c r="A13" s="17" t="n">
        <v>10</v>
      </c>
      <c r="B13" s="38" t="n"/>
      <c r="C13" s="51" t="n"/>
      <c r="D13" s="51" t="n"/>
      <c r="E13" s="51" t="n"/>
      <c r="F13" s="38" t="n"/>
      <c r="G13" s="38" t="n"/>
      <c r="H13" s="38" t="n"/>
    </row>
    <row r="14" ht="24" customHeight="1">
      <c r="A14" s="17" t="n">
        <v>11</v>
      </c>
      <c r="B14" s="38" t="n"/>
      <c r="C14" s="51" t="n"/>
      <c r="D14" s="51" t="n"/>
      <c r="E14" s="51" t="n"/>
      <c r="F14" s="38" t="n"/>
      <c r="G14" s="38" t="n"/>
      <c r="H14" s="38" t="n"/>
    </row>
    <row r="15" ht="24" customHeight="1">
      <c r="A15" s="17" t="n">
        <v>12</v>
      </c>
      <c r="B15" s="38" t="n"/>
      <c r="C15" s="51" t="n"/>
      <c r="D15" s="51" t="n"/>
      <c r="E15" s="51" t="n"/>
      <c r="F15" s="38" t="n"/>
      <c r="G15" s="38" t="n"/>
      <c r="H15"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dataValidations count="1">
    <dataValidation sqref="H4 H5 H6 H7 H8 H9 H10 H11 H12 H13 H14 H15" showDropDown="0" showInputMessage="0" showErrorMessage="0" allowBlank="1" type="list">
      <formula1>"مفتوح,قيد التنفيذ,مكتمل,متأخر"</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59"/>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4" t="inlineStr">
        <is>
          <t>قاعدة المؤشرات الموحّدة — مصدر تغذية اللوحة والخارطة والركائز (آلي)</t>
        </is>
      </c>
    </row>
    <row r="2">
      <c r="A2" s="50"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8" t="n">
        <v>1</v>
      </c>
      <c r="B4" s="91" t="inlineStr">
        <is>
          <t>الإدارة التنفيذية</t>
        </is>
      </c>
      <c r="C4" s="91">
        <f>'الإدارة التنفيذية · المؤشرات'!C4</f>
        <v/>
      </c>
      <c r="D4" s="68">
        <f>'الإدارة التنفيذية · المؤشرات'!X4</f>
        <v/>
      </c>
      <c r="E4" s="91">
        <f>'الإدارة التنفيذية · المؤشرات'!Y4</f>
        <v/>
      </c>
      <c r="F4" s="93">
        <f>'الإدارة التنفيذية · المؤشرات'!V4</f>
        <v/>
      </c>
      <c r="G4" s="68">
        <f>'الإدارة التنفيذية · المؤشرات'!W4</f>
        <v/>
      </c>
      <c r="H4" s="68">
        <f>'الإدارة التنفيذية · المؤشرات'!AH4</f>
        <v/>
      </c>
    </row>
    <row r="5">
      <c r="A5" s="68" t="n">
        <v>2</v>
      </c>
      <c r="B5" s="91" t="inlineStr">
        <is>
          <t>الإدارة التنفيذية</t>
        </is>
      </c>
      <c r="C5" s="91">
        <f>'الإدارة التنفيذية · المؤشرات'!C5</f>
        <v/>
      </c>
      <c r="D5" s="68">
        <f>'الإدارة التنفيذية · المؤشرات'!X5</f>
        <v/>
      </c>
      <c r="E5" s="91">
        <f>'الإدارة التنفيذية · المؤشرات'!Y5</f>
        <v/>
      </c>
      <c r="F5" s="93">
        <f>'الإدارة التنفيذية · المؤشرات'!V5</f>
        <v/>
      </c>
      <c r="G5" s="68">
        <f>'الإدارة التنفيذية · المؤشرات'!W5</f>
        <v/>
      </c>
      <c r="H5" s="68">
        <f>'الإدارة التنفيذية · المؤشرات'!AH5</f>
        <v/>
      </c>
    </row>
    <row r="6">
      <c r="A6" s="68" t="n">
        <v>3</v>
      </c>
      <c r="B6" s="91" t="inlineStr">
        <is>
          <t>الإدارة التنفيذية</t>
        </is>
      </c>
      <c r="C6" s="91">
        <f>'الإدارة التنفيذية · المؤشرات'!C6</f>
        <v/>
      </c>
      <c r="D6" s="68">
        <f>'الإدارة التنفيذية · المؤشرات'!X6</f>
        <v/>
      </c>
      <c r="E6" s="91">
        <f>'الإدارة التنفيذية · المؤشرات'!Y6</f>
        <v/>
      </c>
      <c r="F6" s="93">
        <f>'الإدارة التنفيذية · المؤشرات'!V6</f>
        <v/>
      </c>
      <c r="G6" s="68">
        <f>'الإدارة التنفيذية · المؤشرات'!W6</f>
        <v/>
      </c>
      <c r="H6" s="68">
        <f>'الإدارة التنفيذية · المؤشرات'!AH6</f>
        <v/>
      </c>
    </row>
    <row r="7">
      <c r="A7" s="68" t="n">
        <v>4</v>
      </c>
      <c r="B7" s="91" t="inlineStr">
        <is>
          <t>الإدارة التنفيذية</t>
        </is>
      </c>
      <c r="C7" s="91">
        <f>'الإدارة التنفيذية · المؤشرات'!C7</f>
        <v/>
      </c>
      <c r="D7" s="68">
        <f>'الإدارة التنفيذية · المؤشرات'!X7</f>
        <v/>
      </c>
      <c r="E7" s="91">
        <f>'الإدارة التنفيذية · المؤشرات'!Y7</f>
        <v/>
      </c>
      <c r="F7" s="93">
        <f>'الإدارة التنفيذية · المؤشرات'!V7</f>
        <v/>
      </c>
      <c r="G7" s="68">
        <f>'الإدارة التنفيذية · المؤشرات'!W7</f>
        <v/>
      </c>
      <c r="H7" s="68">
        <f>'الإدارة التنفيذية · المؤشرات'!AH7</f>
        <v/>
      </c>
    </row>
    <row r="8">
      <c r="A8" s="68" t="n">
        <v>5</v>
      </c>
      <c r="B8" s="91" t="inlineStr">
        <is>
          <t>الإدارة التنفيذية</t>
        </is>
      </c>
      <c r="C8" s="91">
        <f>'الإدارة التنفيذية · المؤشرات'!C8</f>
        <v/>
      </c>
      <c r="D8" s="68">
        <f>'الإدارة التنفيذية · المؤشرات'!X8</f>
        <v/>
      </c>
      <c r="E8" s="91">
        <f>'الإدارة التنفيذية · المؤشرات'!Y8</f>
        <v/>
      </c>
      <c r="F8" s="93">
        <f>'الإدارة التنفيذية · المؤشرات'!V8</f>
        <v/>
      </c>
      <c r="G8" s="68">
        <f>'الإدارة التنفيذية · المؤشرات'!W8</f>
        <v/>
      </c>
      <c r="H8" s="68">
        <f>'الإدارة التنفيذية · المؤشرات'!AH8</f>
        <v/>
      </c>
    </row>
    <row r="9">
      <c r="A9" s="68" t="n">
        <v>6</v>
      </c>
      <c r="B9" s="91" t="inlineStr">
        <is>
          <t>الإدارة التنفيذية</t>
        </is>
      </c>
      <c r="C9" s="91">
        <f>'الإدارة التنفيذية · المؤشرات'!C9</f>
        <v/>
      </c>
      <c r="D9" s="68">
        <f>'الإدارة التنفيذية · المؤشرات'!X9</f>
        <v/>
      </c>
      <c r="E9" s="91">
        <f>'الإدارة التنفيذية · المؤشرات'!Y9</f>
        <v/>
      </c>
      <c r="F9" s="93">
        <f>'الإدارة التنفيذية · المؤشرات'!V9</f>
        <v/>
      </c>
      <c r="G9" s="68">
        <f>'الإدارة التنفيذية · المؤشرات'!W9</f>
        <v/>
      </c>
      <c r="H9" s="68">
        <f>'الإدارة التنفيذية · المؤشرات'!AH9</f>
        <v/>
      </c>
    </row>
    <row r="10">
      <c r="A10" s="68" t="n">
        <v>7</v>
      </c>
      <c r="B10" s="91" t="inlineStr">
        <is>
          <t>الإدارة التنفيذية</t>
        </is>
      </c>
      <c r="C10" s="91">
        <f>'الإدارة التنفيذية · المؤشرات'!C10</f>
        <v/>
      </c>
      <c r="D10" s="68">
        <f>'الإدارة التنفيذية · المؤشرات'!X10</f>
        <v/>
      </c>
      <c r="E10" s="91">
        <f>'الإدارة التنفيذية · المؤشرات'!Y10</f>
        <v/>
      </c>
      <c r="F10" s="93">
        <f>'الإدارة التنفيذية · المؤشرات'!V10</f>
        <v/>
      </c>
      <c r="G10" s="68">
        <f>'الإدارة التنفيذية · المؤشرات'!W10</f>
        <v/>
      </c>
      <c r="H10" s="68">
        <f>'الإدارة التنفيذية · المؤشرات'!AH10</f>
        <v/>
      </c>
    </row>
    <row r="11">
      <c r="A11" s="68" t="n">
        <v>8</v>
      </c>
      <c r="B11" s="91" t="inlineStr">
        <is>
          <t>الإدارة التنفيذية</t>
        </is>
      </c>
      <c r="C11" s="91">
        <f>'الإدارة التنفيذية · المؤشرات'!C11</f>
        <v/>
      </c>
      <c r="D11" s="68">
        <f>'الإدارة التنفيذية · المؤشرات'!X11</f>
        <v/>
      </c>
      <c r="E11" s="91">
        <f>'الإدارة التنفيذية · المؤشرات'!Y11</f>
        <v/>
      </c>
      <c r="F11" s="93">
        <f>'الإدارة التنفيذية · المؤشرات'!V11</f>
        <v/>
      </c>
      <c r="G11" s="68">
        <f>'الإدارة التنفيذية · المؤشرات'!W11</f>
        <v/>
      </c>
      <c r="H11" s="68">
        <f>'الإدارة التنفيذية · المؤشرات'!AH11</f>
        <v/>
      </c>
    </row>
    <row r="12">
      <c r="A12" s="68" t="n">
        <v>9</v>
      </c>
      <c r="B12" s="91" t="inlineStr">
        <is>
          <t>الإدارة التنفيذية</t>
        </is>
      </c>
      <c r="C12" s="91">
        <f>'الإدارة التنفيذية · المؤشرات'!C12</f>
        <v/>
      </c>
      <c r="D12" s="68">
        <f>'الإدارة التنفيذية · المؤشرات'!X12</f>
        <v/>
      </c>
      <c r="E12" s="91">
        <f>'الإدارة التنفيذية · المؤشرات'!Y12</f>
        <v/>
      </c>
      <c r="F12" s="93">
        <f>'الإدارة التنفيذية · المؤشرات'!V12</f>
        <v/>
      </c>
      <c r="G12" s="68">
        <f>'الإدارة التنفيذية · المؤشرات'!W12</f>
        <v/>
      </c>
      <c r="H12" s="68">
        <f>'الإدارة التنفيذية · المؤشرات'!AH12</f>
        <v/>
      </c>
    </row>
    <row r="13">
      <c r="A13" s="68" t="n">
        <v>10</v>
      </c>
      <c r="B13" s="91" t="inlineStr">
        <is>
          <t>الإدارة التنفيذية</t>
        </is>
      </c>
      <c r="C13" s="91">
        <f>'الإدارة التنفيذية · المؤشرات'!C13</f>
        <v/>
      </c>
      <c r="D13" s="68">
        <f>'الإدارة التنفيذية · المؤشرات'!X13</f>
        <v/>
      </c>
      <c r="E13" s="91">
        <f>'الإدارة التنفيذية · المؤشرات'!Y13</f>
        <v/>
      </c>
      <c r="F13" s="93">
        <f>'الإدارة التنفيذية · المؤشرات'!V13</f>
        <v/>
      </c>
      <c r="G13" s="68">
        <f>'الإدارة التنفيذية · المؤشرات'!W13</f>
        <v/>
      </c>
      <c r="H13" s="68">
        <f>'الإدارة التنفيذية · المؤشرات'!AH13</f>
        <v/>
      </c>
    </row>
    <row r="14">
      <c r="A14" s="68" t="n">
        <v>11</v>
      </c>
      <c r="B14" s="91" t="inlineStr">
        <is>
          <t>الامتياز التجاري</t>
        </is>
      </c>
      <c r="C14" s="91">
        <f>'الامتياز · المؤشرات'!C4</f>
        <v/>
      </c>
      <c r="D14" s="68">
        <f>'الامتياز · المؤشرات'!X4</f>
        <v/>
      </c>
      <c r="E14" s="91">
        <f>'الامتياز · المؤشرات'!Y4</f>
        <v/>
      </c>
      <c r="F14" s="93">
        <f>'الامتياز · المؤشرات'!V4</f>
        <v/>
      </c>
      <c r="G14" s="68">
        <f>'الامتياز · المؤشرات'!W4</f>
        <v/>
      </c>
      <c r="H14" s="68">
        <f>'الامتياز · المؤشرات'!AH4</f>
        <v/>
      </c>
    </row>
    <row r="15">
      <c r="A15" s="68" t="n">
        <v>12</v>
      </c>
      <c r="B15" s="91" t="inlineStr">
        <is>
          <t>الامتياز التجاري</t>
        </is>
      </c>
      <c r="C15" s="91">
        <f>'الامتياز · المؤشرات'!C5</f>
        <v/>
      </c>
      <c r="D15" s="68">
        <f>'الامتياز · المؤشرات'!X5</f>
        <v/>
      </c>
      <c r="E15" s="91">
        <f>'الامتياز · المؤشرات'!Y5</f>
        <v/>
      </c>
      <c r="F15" s="93">
        <f>'الامتياز · المؤشرات'!V5</f>
        <v/>
      </c>
      <c r="G15" s="68">
        <f>'الامتياز · المؤشرات'!W5</f>
        <v/>
      </c>
      <c r="H15" s="68">
        <f>'الامتياز · المؤشرات'!AH5</f>
        <v/>
      </c>
    </row>
    <row r="16">
      <c r="A16" s="68" t="n">
        <v>13</v>
      </c>
      <c r="B16" s="91" t="inlineStr">
        <is>
          <t>الامتياز التجاري</t>
        </is>
      </c>
      <c r="C16" s="91">
        <f>'الامتياز · المؤشرات'!C6</f>
        <v/>
      </c>
      <c r="D16" s="68">
        <f>'الامتياز · المؤشرات'!X6</f>
        <v/>
      </c>
      <c r="E16" s="91">
        <f>'الامتياز · المؤشرات'!Y6</f>
        <v/>
      </c>
      <c r="F16" s="93">
        <f>'الامتياز · المؤشرات'!V6</f>
        <v/>
      </c>
      <c r="G16" s="68">
        <f>'الامتياز · المؤشرات'!W6</f>
        <v/>
      </c>
      <c r="H16" s="68">
        <f>'الامتياز · المؤشرات'!AH6</f>
        <v/>
      </c>
    </row>
    <row r="17">
      <c r="A17" s="68" t="n">
        <v>14</v>
      </c>
      <c r="B17" s="91" t="inlineStr">
        <is>
          <t>الامتياز التجاري</t>
        </is>
      </c>
      <c r="C17" s="91">
        <f>'الامتياز · المؤشرات'!C7</f>
        <v/>
      </c>
      <c r="D17" s="68">
        <f>'الامتياز · المؤشرات'!X7</f>
        <v/>
      </c>
      <c r="E17" s="91">
        <f>'الامتياز · المؤشرات'!Y7</f>
        <v/>
      </c>
      <c r="F17" s="93">
        <f>'الامتياز · المؤشرات'!V7</f>
        <v/>
      </c>
      <c r="G17" s="68">
        <f>'الامتياز · المؤشرات'!W7</f>
        <v/>
      </c>
      <c r="H17" s="68">
        <f>'الامتياز · المؤشرات'!AH7</f>
        <v/>
      </c>
    </row>
    <row r="18">
      <c r="A18" s="68" t="n">
        <v>15</v>
      </c>
      <c r="B18" s="91" t="inlineStr">
        <is>
          <t>الامتياز التجاري</t>
        </is>
      </c>
      <c r="C18" s="91">
        <f>'الامتياز · المؤشرات'!C8</f>
        <v/>
      </c>
      <c r="D18" s="68">
        <f>'الامتياز · المؤشرات'!X8</f>
        <v/>
      </c>
      <c r="E18" s="91">
        <f>'الامتياز · المؤشرات'!Y8</f>
        <v/>
      </c>
      <c r="F18" s="93">
        <f>'الامتياز · المؤشرات'!V8</f>
        <v/>
      </c>
      <c r="G18" s="68">
        <f>'الامتياز · المؤشرات'!W8</f>
        <v/>
      </c>
      <c r="H18" s="68">
        <f>'الامتياز · المؤشرات'!AH8</f>
        <v/>
      </c>
    </row>
    <row r="19">
      <c r="A19" s="68" t="n">
        <v>16</v>
      </c>
      <c r="B19" s="91" t="inlineStr">
        <is>
          <t>الامتياز التجاري</t>
        </is>
      </c>
      <c r="C19" s="91">
        <f>'الامتياز · المؤشرات'!C9</f>
        <v/>
      </c>
      <c r="D19" s="68">
        <f>'الامتياز · المؤشرات'!X9</f>
        <v/>
      </c>
      <c r="E19" s="91">
        <f>'الامتياز · المؤشرات'!Y9</f>
        <v/>
      </c>
      <c r="F19" s="93">
        <f>'الامتياز · المؤشرات'!V9</f>
        <v/>
      </c>
      <c r="G19" s="68">
        <f>'الامتياز · المؤشرات'!W9</f>
        <v/>
      </c>
      <c r="H19" s="68">
        <f>'الامتياز · المؤشرات'!AH9</f>
        <v/>
      </c>
    </row>
    <row r="20">
      <c r="A20" s="68" t="n">
        <v>17</v>
      </c>
      <c r="B20" s="91" t="inlineStr">
        <is>
          <t>الامتياز التجاري</t>
        </is>
      </c>
      <c r="C20" s="91">
        <f>'الامتياز · المؤشرات'!C10</f>
        <v/>
      </c>
      <c r="D20" s="68">
        <f>'الامتياز · المؤشرات'!X10</f>
        <v/>
      </c>
      <c r="E20" s="91">
        <f>'الامتياز · المؤشرات'!Y10</f>
        <v/>
      </c>
      <c r="F20" s="93">
        <f>'الامتياز · المؤشرات'!V10</f>
        <v/>
      </c>
      <c r="G20" s="68">
        <f>'الامتياز · المؤشرات'!W10</f>
        <v/>
      </c>
      <c r="H20" s="68">
        <f>'الامتياز · المؤشرات'!AH10</f>
        <v/>
      </c>
    </row>
    <row r="21">
      <c r="A21" s="68" t="n">
        <v>18</v>
      </c>
      <c r="B21" s="91" t="inlineStr">
        <is>
          <t>الامتياز التجاري</t>
        </is>
      </c>
      <c r="C21" s="91">
        <f>'الامتياز · المؤشرات'!C11</f>
        <v/>
      </c>
      <c r="D21" s="68">
        <f>'الامتياز · المؤشرات'!X11</f>
        <v/>
      </c>
      <c r="E21" s="91">
        <f>'الامتياز · المؤشرات'!Y11</f>
        <v/>
      </c>
      <c r="F21" s="93">
        <f>'الامتياز · المؤشرات'!V11</f>
        <v/>
      </c>
      <c r="G21" s="68">
        <f>'الامتياز · المؤشرات'!W11</f>
        <v/>
      </c>
      <c r="H21" s="68">
        <f>'الامتياز · المؤشرات'!AH11</f>
        <v/>
      </c>
    </row>
    <row r="22">
      <c r="A22" s="68" t="n">
        <v>19</v>
      </c>
      <c r="B22" s="91" t="inlineStr">
        <is>
          <t>الامتياز التجاري</t>
        </is>
      </c>
      <c r="C22" s="91">
        <f>'الامتياز · المؤشرات'!C12</f>
        <v/>
      </c>
      <c r="D22" s="68">
        <f>'الامتياز · المؤشرات'!X12</f>
        <v/>
      </c>
      <c r="E22" s="91">
        <f>'الامتياز · المؤشرات'!Y12</f>
        <v/>
      </c>
      <c r="F22" s="93">
        <f>'الامتياز · المؤشرات'!V12</f>
        <v/>
      </c>
      <c r="G22" s="68">
        <f>'الامتياز · المؤشرات'!W12</f>
        <v/>
      </c>
      <c r="H22" s="68">
        <f>'الامتياز · المؤشرات'!AH12</f>
        <v/>
      </c>
    </row>
    <row r="23">
      <c r="A23" s="68" t="n">
        <v>20</v>
      </c>
      <c r="B23" s="91" t="inlineStr">
        <is>
          <t>الامتياز التجاري</t>
        </is>
      </c>
      <c r="C23" s="91">
        <f>'الامتياز · المؤشرات'!C13</f>
        <v/>
      </c>
      <c r="D23" s="68">
        <f>'الامتياز · المؤشرات'!X13</f>
        <v/>
      </c>
      <c r="E23" s="91">
        <f>'الامتياز · المؤشرات'!Y13</f>
        <v/>
      </c>
      <c r="F23" s="93">
        <f>'الامتياز · المؤشرات'!V13</f>
        <v/>
      </c>
      <c r="G23" s="68">
        <f>'الامتياز · المؤشرات'!W13</f>
        <v/>
      </c>
      <c r="H23" s="68">
        <f>'الامتياز · المؤشرات'!AH13</f>
        <v/>
      </c>
    </row>
    <row r="24">
      <c r="A24" s="68" t="n">
        <v>21</v>
      </c>
      <c r="B24" s="91" t="inlineStr">
        <is>
          <t>الامتياز التجاري</t>
        </is>
      </c>
      <c r="C24" s="91">
        <f>'الامتياز · المؤشرات'!C14</f>
        <v/>
      </c>
      <c r="D24" s="68">
        <f>'الامتياز · المؤشرات'!X14</f>
        <v/>
      </c>
      <c r="E24" s="91">
        <f>'الامتياز · المؤشرات'!Y14</f>
        <v/>
      </c>
      <c r="F24" s="93">
        <f>'الامتياز · المؤشرات'!V14</f>
        <v/>
      </c>
      <c r="G24" s="68">
        <f>'الامتياز · المؤشرات'!W14</f>
        <v/>
      </c>
      <c r="H24" s="68">
        <f>'الامتياز · المؤشرات'!AH14</f>
        <v/>
      </c>
    </row>
    <row r="25">
      <c r="A25" s="68" t="n">
        <v>22</v>
      </c>
      <c r="B25" s="91" t="inlineStr">
        <is>
          <t>الامتياز التجاري</t>
        </is>
      </c>
      <c r="C25" s="91">
        <f>'الامتياز · المؤشرات'!C15</f>
        <v/>
      </c>
      <c r="D25" s="68">
        <f>'الامتياز · المؤشرات'!X15</f>
        <v/>
      </c>
      <c r="E25" s="91">
        <f>'الامتياز · المؤشرات'!Y15</f>
        <v/>
      </c>
      <c r="F25" s="93">
        <f>'الامتياز · المؤشرات'!V15</f>
        <v/>
      </c>
      <c r="G25" s="68">
        <f>'الامتياز · المؤشرات'!W15</f>
        <v/>
      </c>
      <c r="H25" s="68">
        <f>'الامتياز · المؤشرات'!AH15</f>
        <v/>
      </c>
    </row>
    <row r="26">
      <c r="A26" s="68" t="n">
        <v>23</v>
      </c>
      <c r="B26" s="91" t="inlineStr">
        <is>
          <t>الامتياز التجاري</t>
        </is>
      </c>
      <c r="C26" s="91">
        <f>'الامتياز · المؤشرات'!C16</f>
        <v/>
      </c>
      <c r="D26" s="68">
        <f>'الامتياز · المؤشرات'!X16</f>
        <v/>
      </c>
      <c r="E26" s="91">
        <f>'الامتياز · المؤشرات'!Y16</f>
        <v/>
      </c>
      <c r="F26" s="93">
        <f>'الامتياز · المؤشرات'!V16</f>
        <v/>
      </c>
      <c r="G26" s="68">
        <f>'الامتياز · المؤشرات'!W16</f>
        <v/>
      </c>
      <c r="H26" s="68">
        <f>'الامتياز · المؤشرات'!AH16</f>
        <v/>
      </c>
    </row>
    <row r="27">
      <c r="A27" s="68" t="n">
        <v>24</v>
      </c>
      <c r="B27" s="91" t="inlineStr">
        <is>
          <t>الامتياز التجاري</t>
        </is>
      </c>
      <c r="C27" s="91">
        <f>'الامتياز · المؤشرات'!C17</f>
        <v/>
      </c>
      <c r="D27" s="68">
        <f>'الامتياز · المؤشرات'!X17</f>
        <v/>
      </c>
      <c r="E27" s="91">
        <f>'الامتياز · المؤشرات'!Y17</f>
        <v/>
      </c>
      <c r="F27" s="93">
        <f>'الامتياز · المؤشرات'!V17</f>
        <v/>
      </c>
      <c r="G27" s="68">
        <f>'الامتياز · المؤشرات'!W17</f>
        <v/>
      </c>
      <c r="H27" s="68">
        <f>'الامتياز · المؤشرات'!AH17</f>
        <v/>
      </c>
    </row>
    <row r="28">
      <c r="A28" s="68" t="n">
        <v>25</v>
      </c>
      <c r="B28" s="91" t="inlineStr">
        <is>
          <t>الامتياز التجاري</t>
        </is>
      </c>
      <c r="C28" s="91">
        <f>'الامتياز · المؤشرات'!C18</f>
        <v/>
      </c>
      <c r="D28" s="68">
        <f>'الامتياز · المؤشرات'!X18</f>
        <v/>
      </c>
      <c r="E28" s="91">
        <f>'الامتياز · المؤشرات'!Y18</f>
        <v/>
      </c>
      <c r="F28" s="93">
        <f>'الامتياز · المؤشرات'!V18</f>
        <v/>
      </c>
      <c r="G28" s="68">
        <f>'الامتياز · المؤشرات'!W18</f>
        <v/>
      </c>
      <c r="H28" s="68">
        <f>'الامتياز · المؤشرات'!AH18</f>
        <v/>
      </c>
    </row>
    <row r="29">
      <c r="A29" s="68" t="n">
        <v>26</v>
      </c>
      <c r="B29" s="91" t="inlineStr">
        <is>
          <t>الامتياز التجاري</t>
        </is>
      </c>
      <c r="C29" s="91">
        <f>'الامتياز · المؤشرات'!C19</f>
        <v/>
      </c>
      <c r="D29" s="68">
        <f>'الامتياز · المؤشرات'!X19</f>
        <v/>
      </c>
      <c r="E29" s="91">
        <f>'الامتياز · المؤشرات'!Y19</f>
        <v/>
      </c>
      <c r="F29" s="93">
        <f>'الامتياز · المؤشرات'!V19</f>
        <v/>
      </c>
      <c r="G29" s="68">
        <f>'الامتياز · المؤشرات'!W19</f>
        <v/>
      </c>
      <c r="H29" s="68">
        <f>'الامتياز · المؤشرات'!AH19</f>
        <v/>
      </c>
    </row>
    <row r="30">
      <c r="A30" s="68" t="n">
        <v>27</v>
      </c>
      <c r="B30" s="91" t="inlineStr">
        <is>
          <t>الامتياز التجاري</t>
        </is>
      </c>
      <c r="C30" s="91">
        <f>'الامتياز · المؤشرات'!C20</f>
        <v/>
      </c>
      <c r="D30" s="68">
        <f>'الامتياز · المؤشرات'!X20</f>
        <v/>
      </c>
      <c r="E30" s="91">
        <f>'الامتياز · المؤشرات'!Y20</f>
        <v/>
      </c>
      <c r="F30" s="93">
        <f>'الامتياز · المؤشرات'!V20</f>
        <v/>
      </c>
      <c r="G30" s="68">
        <f>'الامتياز · المؤشرات'!W20</f>
        <v/>
      </c>
      <c r="H30" s="68">
        <f>'الامتياز · المؤشرات'!AH20</f>
        <v/>
      </c>
    </row>
    <row r="31">
      <c r="A31" s="68" t="n">
        <v>28</v>
      </c>
      <c r="B31" s="91" t="inlineStr">
        <is>
          <t>الامتياز التجاري</t>
        </is>
      </c>
      <c r="C31" s="91">
        <f>'الامتياز · المؤشرات'!C21</f>
        <v/>
      </c>
      <c r="D31" s="68">
        <f>'الامتياز · المؤشرات'!X21</f>
        <v/>
      </c>
      <c r="E31" s="91">
        <f>'الامتياز · المؤشرات'!Y21</f>
        <v/>
      </c>
      <c r="F31" s="93">
        <f>'الامتياز · المؤشرات'!V21</f>
        <v/>
      </c>
      <c r="G31" s="68">
        <f>'الامتياز · المؤشرات'!W21</f>
        <v/>
      </c>
      <c r="H31" s="68">
        <f>'الامتياز · المؤشرات'!AH21</f>
        <v/>
      </c>
    </row>
    <row r="32">
      <c r="A32" s="68" t="n">
        <v>29</v>
      </c>
      <c r="B32" s="91" t="inlineStr">
        <is>
          <t>الامتياز التجاري</t>
        </is>
      </c>
      <c r="C32" s="91">
        <f>'الامتياز · المؤشرات'!C22</f>
        <v/>
      </c>
      <c r="D32" s="68">
        <f>'الامتياز · المؤشرات'!X22</f>
        <v/>
      </c>
      <c r="E32" s="91">
        <f>'الامتياز · المؤشرات'!Y22</f>
        <v/>
      </c>
      <c r="F32" s="93">
        <f>'الامتياز · المؤشرات'!V22</f>
        <v/>
      </c>
      <c r="G32" s="68">
        <f>'الامتياز · المؤشرات'!W22</f>
        <v/>
      </c>
      <c r="H32" s="68">
        <f>'الامتياز · المؤشرات'!AH22</f>
        <v/>
      </c>
    </row>
    <row r="33">
      <c r="A33" s="68" t="n">
        <v>30</v>
      </c>
      <c r="B33" s="91" t="inlineStr">
        <is>
          <t>الامتياز التجاري</t>
        </is>
      </c>
      <c r="C33" s="91">
        <f>'الامتياز · المؤشرات'!C23</f>
        <v/>
      </c>
      <c r="D33" s="68">
        <f>'الامتياز · المؤشرات'!X23</f>
        <v/>
      </c>
      <c r="E33" s="91">
        <f>'الامتياز · المؤشرات'!Y23</f>
        <v/>
      </c>
      <c r="F33" s="93">
        <f>'الامتياز · المؤشرات'!V23</f>
        <v/>
      </c>
      <c r="G33" s="68">
        <f>'الامتياز · المؤشرات'!W23</f>
        <v/>
      </c>
      <c r="H33" s="68">
        <f>'الامتياز · المؤشرات'!AH23</f>
        <v/>
      </c>
    </row>
    <row r="34">
      <c r="A34" s="68" t="n">
        <v>31</v>
      </c>
      <c r="B34" s="91" t="inlineStr">
        <is>
          <t>الامتياز التجاري</t>
        </is>
      </c>
      <c r="C34" s="91">
        <f>'الامتياز · المؤشرات'!C24</f>
        <v/>
      </c>
      <c r="D34" s="68">
        <f>'الامتياز · المؤشرات'!X24</f>
        <v/>
      </c>
      <c r="E34" s="91">
        <f>'الامتياز · المؤشرات'!Y24</f>
        <v/>
      </c>
      <c r="F34" s="93">
        <f>'الامتياز · المؤشرات'!V24</f>
        <v/>
      </c>
      <c r="G34" s="68">
        <f>'الامتياز · المؤشرات'!W24</f>
        <v/>
      </c>
      <c r="H34" s="68">
        <f>'الامتياز · المؤشرات'!AH24</f>
        <v/>
      </c>
    </row>
    <row r="35">
      <c r="A35" s="68" t="n">
        <v>32</v>
      </c>
      <c r="B35" s="91" t="inlineStr">
        <is>
          <t>الامتياز التجاري</t>
        </is>
      </c>
      <c r="C35" s="91">
        <f>'الامتياز · المؤشرات'!C25</f>
        <v/>
      </c>
      <c r="D35" s="68">
        <f>'الامتياز · المؤشرات'!X25</f>
        <v/>
      </c>
      <c r="E35" s="91">
        <f>'الامتياز · المؤشرات'!Y25</f>
        <v/>
      </c>
      <c r="F35" s="93">
        <f>'الامتياز · المؤشرات'!V25</f>
        <v/>
      </c>
      <c r="G35" s="68">
        <f>'الامتياز · المؤشرات'!W25</f>
        <v/>
      </c>
      <c r="H35" s="68">
        <f>'الامتياز · المؤشرات'!AH25</f>
        <v/>
      </c>
    </row>
    <row r="36">
      <c r="A36" s="68" t="n">
        <v>33</v>
      </c>
      <c r="B36" s="91" t="inlineStr">
        <is>
          <t>الامتياز التجاري</t>
        </is>
      </c>
      <c r="C36" s="91">
        <f>'الامتياز · المؤشرات'!C26</f>
        <v/>
      </c>
      <c r="D36" s="68">
        <f>'الامتياز · المؤشرات'!X26</f>
        <v/>
      </c>
      <c r="E36" s="91">
        <f>'الامتياز · المؤشرات'!Y26</f>
        <v/>
      </c>
      <c r="F36" s="93">
        <f>'الامتياز · المؤشرات'!V26</f>
        <v/>
      </c>
      <c r="G36" s="68">
        <f>'الامتياز · المؤشرات'!W26</f>
        <v/>
      </c>
      <c r="H36" s="68">
        <f>'الامتياز · المؤشرات'!AH26</f>
        <v/>
      </c>
    </row>
    <row r="37">
      <c r="A37" s="68" t="n">
        <v>34</v>
      </c>
      <c r="B37" s="91" t="inlineStr">
        <is>
          <t>الامتياز التجاري</t>
        </is>
      </c>
      <c r="C37" s="91">
        <f>'الامتياز · المؤشرات'!C27</f>
        <v/>
      </c>
      <c r="D37" s="68">
        <f>'الامتياز · المؤشرات'!X27</f>
        <v/>
      </c>
      <c r="E37" s="91">
        <f>'الامتياز · المؤشرات'!Y27</f>
        <v/>
      </c>
      <c r="F37" s="93">
        <f>'الامتياز · المؤشرات'!V27</f>
        <v/>
      </c>
      <c r="G37" s="68">
        <f>'الامتياز · المؤشرات'!W27</f>
        <v/>
      </c>
      <c r="H37" s="68">
        <f>'الامتياز · المؤشرات'!AH27</f>
        <v/>
      </c>
    </row>
    <row r="38">
      <c r="A38" s="68" t="n">
        <v>35</v>
      </c>
      <c r="B38" s="91" t="inlineStr">
        <is>
          <t>الامتياز التجاري</t>
        </is>
      </c>
      <c r="C38" s="91">
        <f>'الامتياز · المؤشرات'!C28</f>
        <v/>
      </c>
      <c r="D38" s="68">
        <f>'الامتياز · المؤشرات'!X28</f>
        <v/>
      </c>
      <c r="E38" s="91">
        <f>'الامتياز · المؤشرات'!Y28</f>
        <v/>
      </c>
      <c r="F38" s="93">
        <f>'الامتياز · المؤشرات'!V28</f>
        <v/>
      </c>
      <c r="G38" s="68">
        <f>'الامتياز · المؤشرات'!W28</f>
        <v/>
      </c>
      <c r="H38" s="68">
        <f>'الامتياز · المؤشرات'!AH28</f>
        <v/>
      </c>
    </row>
    <row r="39">
      <c r="A39" s="68" t="n">
        <v>36</v>
      </c>
      <c r="B39" s="91" t="inlineStr">
        <is>
          <t>الامتياز التجاري</t>
        </is>
      </c>
      <c r="C39" s="91">
        <f>'الامتياز · المؤشرات'!C29</f>
        <v/>
      </c>
      <c r="D39" s="68">
        <f>'الامتياز · المؤشرات'!X29</f>
        <v/>
      </c>
      <c r="E39" s="91">
        <f>'الامتياز · المؤشرات'!Y29</f>
        <v/>
      </c>
      <c r="F39" s="93">
        <f>'الامتياز · المؤشرات'!V29</f>
        <v/>
      </c>
      <c r="G39" s="68">
        <f>'الامتياز · المؤشرات'!W29</f>
        <v/>
      </c>
      <c r="H39" s="68">
        <f>'الامتياز · المؤشرات'!AH29</f>
        <v/>
      </c>
    </row>
    <row r="40">
      <c r="A40" s="68" t="n">
        <v>37</v>
      </c>
      <c r="B40" s="91" t="inlineStr">
        <is>
          <t>الامتياز التجاري</t>
        </is>
      </c>
      <c r="C40" s="91">
        <f>'الامتياز · المؤشرات'!C30</f>
        <v/>
      </c>
      <c r="D40" s="68">
        <f>'الامتياز · المؤشرات'!X30</f>
        <v/>
      </c>
      <c r="E40" s="91">
        <f>'الامتياز · المؤشرات'!Y30</f>
        <v/>
      </c>
      <c r="F40" s="93">
        <f>'الامتياز · المؤشرات'!V30</f>
        <v/>
      </c>
      <c r="G40" s="68">
        <f>'الامتياز · المؤشرات'!W30</f>
        <v/>
      </c>
      <c r="H40" s="68">
        <f>'الامتياز · المؤشرات'!AH30</f>
        <v/>
      </c>
    </row>
    <row r="41">
      <c r="A41" s="68" t="n">
        <v>38</v>
      </c>
      <c r="B41" s="91" t="inlineStr">
        <is>
          <t>الامتياز التجاري</t>
        </is>
      </c>
      <c r="C41" s="91">
        <f>'الامتياز · المؤشرات'!C31</f>
        <v/>
      </c>
      <c r="D41" s="68">
        <f>'الامتياز · المؤشرات'!X31</f>
        <v/>
      </c>
      <c r="E41" s="91">
        <f>'الامتياز · المؤشرات'!Y31</f>
        <v/>
      </c>
      <c r="F41" s="93">
        <f>'الامتياز · المؤشرات'!V31</f>
        <v/>
      </c>
      <c r="G41" s="68">
        <f>'الامتياز · المؤشرات'!W31</f>
        <v/>
      </c>
      <c r="H41" s="68">
        <f>'الامتياز · المؤشرات'!AH31</f>
        <v/>
      </c>
    </row>
    <row r="42">
      <c r="A42" s="68" t="n">
        <v>39</v>
      </c>
      <c r="B42" s="91" t="inlineStr">
        <is>
          <t>الامتياز التجاري</t>
        </is>
      </c>
      <c r="C42" s="91">
        <f>'الامتياز · المؤشرات'!C32</f>
        <v/>
      </c>
      <c r="D42" s="68">
        <f>'الامتياز · المؤشرات'!X32</f>
        <v/>
      </c>
      <c r="E42" s="91">
        <f>'الامتياز · المؤشرات'!Y32</f>
        <v/>
      </c>
      <c r="F42" s="93">
        <f>'الامتياز · المؤشرات'!V32</f>
        <v/>
      </c>
      <c r="G42" s="68">
        <f>'الامتياز · المؤشرات'!W32</f>
        <v/>
      </c>
      <c r="H42" s="68">
        <f>'الامتياز · المؤشرات'!AH32</f>
        <v/>
      </c>
    </row>
    <row r="43">
      <c r="A43" s="68" t="n">
        <v>40</v>
      </c>
      <c r="B43" s="91" t="inlineStr">
        <is>
          <t>الامتياز التجاري</t>
        </is>
      </c>
      <c r="C43" s="91">
        <f>'الامتياز · المؤشرات'!C33</f>
        <v/>
      </c>
      <c r="D43" s="68">
        <f>'الامتياز · المؤشرات'!X33</f>
        <v/>
      </c>
      <c r="E43" s="91">
        <f>'الامتياز · المؤشرات'!Y33</f>
        <v/>
      </c>
      <c r="F43" s="93">
        <f>'الامتياز · المؤشرات'!V33</f>
        <v/>
      </c>
      <c r="G43" s="68">
        <f>'الامتياز · المؤشرات'!W33</f>
        <v/>
      </c>
      <c r="H43" s="68">
        <f>'الامتياز · المؤشرات'!AH33</f>
        <v/>
      </c>
    </row>
    <row r="44">
      <c r="A44" s="68" t="n">
        <v>41</v>
      </c>
      <c r="B44" s="91" t="inlineStr">
        <is>
          <t>الامتياز التجاري</t>
        </is>
      </c>
      <c r="C44" s="91">
        <f>'الامتياز · المؤشرات'!C34</f>
        <v/>
      </c>
      <c r="D44" s="68">
        <f>'الامتياز · المؤشرات'!X34</f>
        <v/>
      </c>
      <c r="E44" s="91">
        <f>'الامتياز · المؤشرات'!Y34</f>
        <v/>
      </c>
      <c r="F44" s="93">
        <f>'الامتياز · المؤشرات'!V34</f>
        <v/>
      </c>
      <c r="G44" s="68">
        <f>'الامتياز · المؤشرات'!W34</f>
        <v/>
      </c>
      <c r="H44" s="68">
        <f>'الامتياز · المؤشرات'!AH34</f>
        <v/>
      </c>
    </row>
    <row r="45">
      <c r="A45" s="68" t="n">
        <v>42</v>
      </c>
      <c r="B45" s="91" t="inlineStr">
        <is>
          <t>الامتياز التجاري</t>
        </is>
      </c>
      <c r="C45" s="91">
        <f>'الامتياز · المؤشرات'!C35</f>
        <v/>
      </c>
      <c r="D45" s="68">
        <f>'الامتياز · المؤشرات'!X35</f>
        <v/>
      </c>
      <c r="E45" s="91">
        <f>'الامتياز · المؤشرات'!Y35</f>
        <v/>
      </c>
      <c r="F45" s="93">
        <f>'الامتياز · المؤشرات'!V35</f>
        <v/>
      </c>
      <c r="G45" s="68">
        <f>'الامتياز · المؤشرات'!W35</f>
        <v/>
      </c>
      <c r="H45" s="68">
        <f>'الامتياز · المؤشرات'!AH35</f>
        <v/>
      </c>
    </row>
    <row r="46">
      <c r="A46" s="68" t="n">
        <v>43</v>
      </c>
      <c r="B46" s="91" t="inlineStr">
        <is>
          <t>الامتياز التجاري</t>
        </is>
      </c>
      <c r="C46" s="91">
        <f>'الامتياز · المؤشرات'!C36</f>
        <v/>
      </c>
      <c r="D46" s="68">
        <f>'الامتياز · المؤشرات'!X36</f>
        <v/>
      </c>
      <c r="E46" s="91">
        <f>'الامتياز · المؤشرات'!Y36</f>
        <v/>
      </c>
      <c r="F46" s="93">
        <f>'الامتياز · المؤشرات'!V36</f>
        <v/>
      </c>
      <c r="G46" s="68">
        <f>'الامتياز · المؤشرات'!W36</f>
        <v/>
      </c>
      <c r="H46" s="68">
        <f>'الامتياز · المؤشرات'!AH36</f>
        <v/>
      </c>
    </row>
    <row r="47">
      <c r="A47" s="68" t="n">
        <v>44</v>
      </c>
      <c r="B47" s="91" t="inlineStr">
        <is>
          <t>الامتياز التجاري</t>
        </is>
      </c>
      <c r="C47" s="91">
        <f>'الامتياز · المؤشرات'!C37</f>
        <v/>
      </c>
      <c r="D47" s="68">
        <f>'الامتياز · المؤشرات'!X37</f>
        <v/>
      </c>
      <c r="E47" s="91">
        <f>'الامتياز · المؤشرات'!Y37</f>
        <v/>
      </c>
      <c r="F47" s="93">
        <f>'الامتياز · المؤشرات'!V37</f>
        <v/>
      </c>
      <c r="G47" s="68">
        <f>'الامتياز · المؤشرات'!W37</f>
        <v/>
      </c>
      <c r="H47" s="68">
        <f>'الامتياز · المؤشرات'!AH37</f>
        <v/>
      </c>
    </row>
    <row r="48">
      <c r="A48" s="68" t="n">
        <v>45</v>
      </c>
      <c r="B48" s="91" t="inlineStr">
        <is>
          <t>الامتياز التجاري</t>
        </is>
      </c>
      <c r="C48" s="91">
        <f>'الامتياز · المؤشرات'!C38</f>
        <v/>
      </c>
      <c r="D48" s="68">
        <f>'الامتياز · المؤشرات'!X38</f>
        <v/>
      </c>
      <c r="E48" s="91">
        <f>'الامتياز · المؤشرات'!Y38</f>
        <v/>
      </c>
      <c r="F48" s="93">
        <f>'الامتياز · المؤشرات'!V38</f>
        <v/>
      </c>
      <c r="G48" s="68">
        <f>'الامتياز · المؤشرات'!W38</f>
        <v/>
      </c>
      <c r="H48" s="68">
        <f>'الامتياز · المؤشرات'!AH38</f>
        <v/>
      </c>
    </row>
    <row r="49">
      <c r="A49" s="68" t="n">
        <v>46</v>
      </c>
      <c r="B49" s="91" t="inlineStr">
        <is>
          <t>الامتياز التجاري</t>
        </is>
      </c>
      <c r="C49" s="91">
        <f>'الامتياز · المؤشرات'!C39</f>
        <v/>
      </c>
      <c r="D49" s="68">
        <f>'الامتياز · المؤشرات'!X39</f>
        <v/>
      </c>
      <c r="E49" s="91">
        <f>'الامتياز · المؤشرات'!Y39</f>
        <v/>
      </c>
      <c r="F49" s="93">
        <f>'الامتياز · المؤشرات'!V39</f>
        <v/>
      </c>
      <c r="G49" s="68">
        <f>'الامتياز · المؤشرات'!W39</f>
        <v/>
      </c>
      <c r="H49" s="68">
        <f>'الامتياز · المؤشرات'!AH39</f>
        <v/>
      </c>
    </row>
    <row r="50">
      <c r="A50" s="68" t="n">
        <v>47</v>
      </c>
      <c r="B50" s="91" t="inlineStr">
        <is>
          <t>التشغيل والمحطات</t>
        </is>
      </c>
      <c r="C50" s="91">
        <f>'التشغيل · المؤشرات'!C4</f>
        <v/>
      </c>
      <c r="D50" s="68">
        <f>'التشغيل · المؤشرات'!X4</f>
        <v/>
      </c>
      <c r="E50" s="91">
        <f>'التشغيل · المؤشرات'!Y4</f>
        <v/>
      </c>
      <c r="F50" s="93">
        <f>'التشغيل · المؤشرات'!V4</f>
        <v/>
      </c>
      <c r="G50" s="68">
        <f>'التشغيل · المؤشرات'!W4</f>
        <v/>
      </c>
      <c r="H50" s="68">
        <f>'التشغيل · المؤشرات'!AH4</f>
        <v/>
      </c>
    </row>
    <row r="51">
      <c r="A51" s="68" t="n">
        <v>48</v>
      </c>
      <c r="B51" s="91" t="inlineStr">
        <is>
          <t>التشغيل والمحطات</t>
        </is>
      </c>
      <c r="C51" s="91">
        <f>'التشغيل · المؤشرات'!C5</f>
        <v/>
      </c>
      <c r="D51" s="68">
        <f>'التشغيل · المؤشرات'!X5</f>
        <v/>
      </c>
      <c r="E51" s="91">
        <f>'التشغيل · المؤشرات'!Y5</f>
        <v/>
      </c>
      <c r="F51" s="93">
        <f>'التشغيل · المؤشرات'!V5</f>
        <v/>
      </c>
      <c r="G51" s="68">
        <f>'التشغيل · المؤشرات'!W5</f>
        <v/>
      </c>
      <c r="H51" s="68">
        <f>'التشغيل · المؤشرات'!AH5</f>
        <v/>
      </c>
    </row>
    <row r="52">
      <c r="A52" s="68" t="n">
        <v>49</v>
      </c>
      <c r="B52" s="91" t="inlineStr">
        <is>
          <t>التشغيل والمحطات</t>
        </is>
      </c>
      <c r="C52" s="91">
        <f>'التشغيل · المؤشرات'!C6</f>
        <v/>
      </c>
      <c r="D52" s="68">
        <f>'التشغيل · المؤشرات'!X6</f>
        <v/>
      </c>
      <c r="E52" s="91">
        <f>'التشغيل · المؤشرات'!Y6</f>
        <v/>
      </c>
      <c r="F52" s="93">
        <f>'التشغيل · المؤشرات'!V6</f>
        <v/>
      </c>
      <c r="G52" s="68">
        <f>'التشغيل · المؤشرات'!W6</f>
        <v/>
      </c>
      <c r="H52" s="68">
        <f>'التشغيل · المؤشرات'!AH6</f>
        <v/>
      </c>
    </row>
    <row r="53">
      <c r="A53" s="68" t="n">
        <v>50</v>
      </c>
      <c r="B53" s="91" t="inlineStr">
        <is>
          <t>التشغيل والمحطات</t>
        </is>
      </c>
      <c r="C53" s="91">
        <f>'التشغيل · المؤشرات'!C7</f>
        <v/>
      </c>
      <c r="D53" s="68">
        <f>'التشغيل · المؤشرات'!X7</f>
        <v/>
      </c>
      <c r="E53" s="91">
        <f>'التشغيل · المؤشرات'!Y7</f>
        <v/>
      </c>
      <c r="F53" s="93">
        <f>'التشغيل · المؤشرات'!V7</f>
        <v/>
      </c>
      <c r="G53" s="68">
        <f>'التشغيل · المؤشرات'!W7</f>
        <v/>
      </c>
      <c r="H53" s="68">
        <f>'التشغيل · المؤشرات'!AH7</f>
        <v/>
      </c>
    </row>
    <row r="54">
      <c r="A54" s="68" t="n">
        <v>51</v>
      </c>
      <c r="B54" s="91" t="inlineStr">
        <is>
          <t>التشغيل والمحطات</t>
        </is>
      </c>
      <c r="C54" s="91">
        <f>'التشغيل · المؤشرات'!C8</f>
        <v/>
      </c>
      <c r="D54" s="68">
        <f>'التشغيل · المؤشرات'!X8</f>
        <v/>
      </c>
      <c r="E54" s="91">
        <f>'التشغيل · المؤشرات'!Y8</f>
        <v/>
      </c>
      <c r="F54" s="93">
        <f>'التشغيل · المؤشرات'!V8</f>
        <v/>
      </c>
      <c r="G54" s="68">
        <f>'التشغيل · المؤشرات'!W8</f>
        <v/>
      </c>
      <c r="H54" s="68">
        <f>'التشغيل · المؤشرات'!AH8</f>
        <v/>
      </c>
    </row>
    <row r="55">
      <c r="A55" s="68" t="n">
        <v>52</v>
      </c>
      <c r="B55" s="91" t="inlineStr">
        <is>
          <t>التشغيل والمحطات</t>
        </is>
      </c>
      <c r="C55" s="91">
        <f>'التشغيل · المؤشرات'!C9</f>
        <v/>
      </c>
      <c r="D55" s="68">
        <f>'التشغيل · المؤشرات'!X9</f>
        <v/>
      </c>
      <c r="E55" s="91">
        <f>'التشغيل · المؤشرات'!Y9</f>
        <v/>
      </c>
      <c r="F55" s="93">
        <f>'التشغيل · المؤشرات'!V9</f>
        <v/>
      </c>
      <c r="G55" s="68">
        <f>'التشغيل · المؤشرات'!W9</f>
        <v/>
      </c>
      <c r="H55" s="68">
        <f>'التشغيل · المؤشرات'!AH9</f>
        <v/>
      </c>
    </row>
    <row r="56">
      <c r="A56" s="68" t="n">
        <v>53</v>
      </c>
      <c r="B56" s="91" t="inlineStr">
        <is>
          <t>التشغيل والمحطات</t>
        </is>
      </c>
      <c r="C56" s="91">
        <f>'التشغيل · المؤشرات'!C10</f>
        <v/>
      </c>
      <c r="D56" s="68">
        <f>'التشغيل · المؤشرات'!X10</f>
        <v/>
      </c>
      <c r="E56" s="91">
        <f>'التشغيل · المؤشرات'!Y10</f>
        <v/>
      </c>
      <c r="F56" s="93">
        <f>'التشغيل · المؤشرات'!V10</f>
        <v/>
      </c>
      <c r="G56" s="68">
        <f>'التشغيل · المؤشرات'!W10</f>
        <v/>
      </c>
      <c r="H56" s="68">
        <f>'التشغيل · المؤشرات'!AH10</f>
        <v/>
      </c>
    </row>
    <row r="57">
      <c r="A57" s="68" t="n">
        <v>54</v>
      </c>
      <c r="B57" s="91" t="inlineStr">
        <is>
          <t>التشغيل والمحطات</t>
        </is>
      </c>
      <c r="C57" s="91">
        <f>'التشغيل · المؤشرات'!C11</f>
        <v/>
      </c>
      <c r="D57" s="68">
        <f>'التشغيل · المؤشرات'!X11</f>
        <v/>
      </c>
      <c r="E57" s="91">
        <f>'التشغيل · المؤشرات'!Y11</f>
        <v/>
      </c>
      <c r="F57" s="93">
        <f>'التشغيل · المؤشرات'!V11</f>
        <v/>
      </c>
      <c r="G57" s="68">
        <f>'التشغيل · المؤشرات'!W11</f>
        <v/>
      </c>
      <c r="H57" s="68">
        <f>'التشغيل · المؤشرات'!AH11</f>
        <v/>
      </c>
    </row>
    <row r="58">
      <c r="A58" s="68" t="n">
        <v>55</v>
      </c>
      <c r="B58" s="91" t="inlineStr">
        <is>
          <t>التشغيل والمحطات</t>
        </is>
      </c>
      <c r="C58" s="91">
        <f>'التشغيل · المؤشرات'!C12</f>
        <v/>
      </c>
      <c r="D58" s="68">
        <f>'التشغيل · المؤشرات'!X12</f>
        <v/>
      </c>
      <c r="E58" s="91">
        <f>'التشغيل · المؤشرات'!Y12</f>
        <v/>
      </c>
      <c r="F58" s="93">
        <f>'التشغيل · المؤشرات'!V12</f>
        <v/>
      </c>
      <c r="G58" s="68">
        <f>'التشغيل · المؤشرات'!W12</f>
        <v/>
      </c>
      <c r="H58" s="68">
        <f>'التشغيل · المؤشرات'!AH12</f>
        <v/>
      </c>
    </row>
    <row r="59">
      <c r="A59" s="68" t="n">
        <v>56</v>
      </c>
      <c r="B59" s="91" t="inlineStr">
        <is>
          <t>التشغيل والمحطات</t>
        </is>
      </c>
      <c r="C59" s="91">
        <f>'التشغيل · المؤشرات'!C13</f>
        <v/>
      </c>
      <c r="D59" s="68">
        <f>'التشغيل · المؤشرات'!X13</f>
        <v/>
      </c>
      <c r="E59" s="91">
        <f>'التشغيل · المؤشرات'!Y13</f>
        <v/>
      </c>
      <c r="F59" s="93">
        <f>'التشغيل · المؤشرات'!V13</f>
        <v/>
      </c>
      <c r="G59" s="68">
        <f>'التشغيل · المؤشرات'!W13</f>
        <v/>
      </c>
      <c r="H59" s="68">
        <f>'التشغيل · المؤشرات'!AH13</f>
        <v/>
      </c>
    </row>
    <row r="60">
      <c r="A60" s="68" t="n">
        <v>57</v>
      </c>
      <c r="B60" s="91" t="inlineStr">
        <is>
          <t>التشغيل والمحطات</t>
        </is>
      </c>
      <c r="C60" s="91">
        <f>'التشغيل · المؤشرات'!C14</f>
        <v/>
      </c>
      <c r="D60" s="68">
        <f>'التشغيل · المؤشرات'!X14</f>
        <v/>
      </c>
      <c r="E60" s="91">
        <f>'التشغيل · المؤشرات'!Y14</f>
        <v/>
      </c>
      <c r="F60" s="93">
        <f>'التشغيل · المؤشرات'!V14</f>
        <v/>
      </c>
      <c r="G60" s="68">
        <f>'التشغيل · المؤشرات'!W14</f>
        <v/>
      </c>
      <c r="H60" s="68">
        <f>'التشغيل · المؤشرات'!AH14</f>
        <v/>
      </c>
    </row>
    <row r="61">
      <c r="A61" s="68" t="n">
        <v>58</v>
      </c>
      <c r="B61" s="91" t="inlineStr">
        <is>
          <t>التشغيل والمحطات</t>
        </is>
      </c>
      <c r="C61" s="91">
        <f>'التشغيل · المؤشرات'!C15</f>
        <v/>
      </c>
      <c r="D61" s="68">
        <f>'التشغيل · المؤشرات'!X15</f>
        <v/>
      </c>
      <c r="E61" s="91">
        <f>'التشغيل · المؤشرات'!Y15</f>
        <v/>
      </c>
      <c r="F61" s="93">
        <f>'التشغيل · المؤشرات'!V15</f>
        <v/>
      </c>
      <c r="G61" s="68">
        <f>'التشغيل · المؤشرات'!W15</f>
        <v/>
      </c>
      <c r="H61" s="68">
        <f>'التشغيل · المؤشرات'!AH15</f>
        <v/>
      </c>
    </row>
    <row r="62">
      <c r="A62" s="68" t="n">
        <v>59</v>
      </c>
      <c r="B62" s="91" t="inlineStr">
        <is>
          <t>التشغيل والمحطات</t>
        </is>
      </c>
      <c r="C62" s="91">
        <f>'التشغيل · المؤشرات'!C16</f>
        <v/>
      </c>
      <c r="D62" s="68">
        <f>'التشغيل · المؤشرات'!X16</f>
        <v/>
      </c>
      <c r="E62" s="91">
        <f>'التشغيل · المؤشرات'!Y16</f>
        <v/>
      </c>
      <c r="F62" s="93">
        <f>'التشغيل · المؤشرات'!V16</f>
        <v/>
      </c>
      <c r="G62" s="68">
        <f>'التشغيل · المؤشرات'!W16</f>
        <v/>
      </c>
      <c r="H62" s="68">
        <f>'التشغيل · المؤشرات'!AH16</f>
        <v/>
      </c>
    </row>
    <row r="63">
      <c r="A63" s="68" t="n">
        <v>60</v>
      </c>
      <c r="B63" s="91" t="inlineStr">
        <is>
          <t>التشغيل والمحطات</t>
        </is>
      </c>
      <c r="C63" s="91">
        <f>'التشغيل · المؤشرات'!C17</f>
        <v/>
      </c>
      <c r="D63" s="68">
        <f>'التشغيل · المؤشرات'!X17</f>
        <v/>
      </c>
      <c r="E63" s="91">
        <f>'التشغيل · المؤشرات'!Y17</f>
        <v/>
      </c>
      <c r="F63" s="93">
        <f>'التشغيل · المؤشرات'!V17</f>
        <v/>
      </c>
      <c r="G63" s="68">
        <f>'التشغيل · المؤشرات'!W17</f>
        <v/>
      </c>
      <c r="H63" s="68">
        <f>'التشغيل · المؤشرات'!AH17</f>
        <v/>
      </c>
    </row>
    <row r="64">
      <c r="A64" s="68" t="n">
        <v>61</v>
      </c>
      <c r="B64" s="91" t="inlineStr">
        <is>
          <t>التشغيل والمحطات</t>
        </is>
      </c>
      <c r="C64" s="91">
        <f>'التشغيل · المؤشرات'!C18</f>
        <v/>
      </c>
      <c r="D64" s="68">
        <f>'التشغيل · المؤشرات'!X18</f>
        <v/>
      </c>
      <c r="E64" s="91">
        <f>'التشغيل · المؤشرات'!Y18</f>
        <v/>
      </c>
      <c r="F64" s="93">
        <f>'التشغيل · المؤشرات'!V18</f>
        <v/>
      </c>
      <c r="G64" s="68">
        <f>'التشغيل · المؤشرات'!W18</f>
        <v/>
      </c>
      <c r="H64" s="68">
        <f>'التشغيل · المؤشرات'!AH18</f>
        <v/>
      </c>
    </row>
    <row r="65">
      <c r="A65" s="68" t="n">
        <v>62</v>
      </c>
      <c r="B65" s="91" t="inlineStr">
        <is>
          <t>التشغيل والمحطات</t>
        </is>
      </c>
      <c r="C65" s="91">
        <f>'التشغيل · المؤشرات'!C19</f>
        <v/>
      </c>
      <c r="D65" s="68">
        <f>'التشغيل · المؤشرات'!X19</f>
        <v/>
      </c>
      <c r="E65" s="91">
        <f>'التشغيل · المؤشرات'!Y19</f>
        <v/>
      </c>
      <c r="F65" s="93">
        <f>'التشغيل · المؤشرات'!V19</f>
        <v/>
      </c>
      <c r="G65" s="68">
        <f>'التشغيل · المؤشرات'!W19</f>
        <v/>
      </c>
      <c r="H65" s="68">
        <f>'التشغيل · المؤشرات'!AH19</f>
        <v/>
      </c>
    </row>
    <row r="66">
      <c r="A66" s="68" t="n">
        <v>63</v>
      </c>
      <c r="B66" s="91" t="inlineStr">
        <is>
          <t>الاستثمار</t>
        </is>
      </c>
      <c r="C66" s="91">
        <f>'الاستثمار · المؤشرات'!C4</f>
        <v/>
      </c>
      <c r="D66" s="68">
        <f>'الاستثمار · المؤشرات'!X4</f>
        <v/>
      </c>
      <c r="E66" s="91">
        <f>'الاستثمار · المؤشرات'!Y4</f>
        <v/>
      </c>
      <c r="F66" s="93">
        <f>'الاستثمار · المؤشرات'!V4</f>
        <v/>
      </c>
      <c r="G66" s="68">
        <f>'الاستثمار · المؤشرات'!W4</f>
        <v/>
      </c>
      <c r="H66" s="68">
        <f>'الاستثمار · المؤشرات'!AH4</f>
        <v/>
      </c>
    </row>
    <row r="67">
      <c r="A67" s="68" t="n">
        <v>64</v>
      </c>
      <c r="B67" s="91" t="inlineStr">
        <is>
          <t>الاستثمار</t>
        </is>
      </c>
      <c r="C67" s="91">
        <f>'الاستثمار · المؤشرات'!C5</f>
        <v/>
      </c>
      <c r="D67" s="68">
        <f>'الاستثمار · المؤشرات'!X5</f>
        <v/>
      </c>
      <c r="E67" s="91">
        <f>'الاستثمار · المؤشرات'!Y5</f>
        <v/>
      </c>
      <c r="F67" s="93">
        <f>'الاستثمار · المؤشرات'!V5</f>
        <v/>
      </c>
      <c r="G67" s="68">
        <f>'الاستثمار · المؤشرات'!W5</f>
        <v/>
      </c>
      <c r="H67" s="68">
        <f>'الاستثمار · المؤشرات'!AH5</f>
        <v/>
      </c>
    </row>
    <row r="68">
      <c r="A68" s="68" t="n">
        <v>65</v>
      </c>
      <c r="B68" s="91" t="inlineStr">
        <is>
          <t>الاستثمار</t>
        </is>
      </c>
      <c r="C68" s="91">
        <f>'الاستثمار · المؤشرات'!C6</f>
        <v/>
      </c>
      <c r="D68" s="68">
        <f>'الاستثمار · المؤشرات'!X6</f>
        <v/>
      </c>
      <c r="E68" s="91">
        <f>'الاستثمار · المؤشرات'!Y6</f>
        <v/>
      </c>
      <c r="F68" s="93">
        <f>'الاستثمار · المؤشرات'!V6</f>
        <v/>
      </c>
      <c r="G68" s="68">
        <f>'الاستثمار · المؤشرات'!W6</f>
        <v/>
      </c>
      <c r="H68" s="68">
        <f>'الاستثمار · المؤشرات'!AH6</f>
        <v/>
      </c>
    </row>
    <row r="69">
      <c r="A69" s="68" t="n">
        <v>66</v>
      </c>
      <c r="B69" s="91" t="inlineStr">
        <is>
          <t>الاستثمار</t>
        </is>
      </c>
      <c r="C69" s="91">
        <f>'الاستثمار · المؤشرات'!C7</f>
        <v/>
      </c>
      <c r="D69" s="68">
        <f>'الاستثمار · المؤشرات'!X7</f>
        <v/>
      </c>
      <c r="E69" s="91">
        <f>'الاستثمار · المؤشرات'!Y7</f>
        <v/>
      </c>
      <c r="F69" s="93">
        <f>'الاستثمار · المؤشرات'!V7</f>
        <v/>
      </c>
      <c r="G69" s="68">
        <f>'الاستثمار · المؤشرات'!W7</f>
        <v/>
      </c>
      <c r="H69" s="68">
        <f>'الاستثمار · المؤشرات'!AH7</f>
        <v/>
      </c>
    </row>
    <row r="70">
      <c r="A70" s="68" t="n">
        <v>67</v>
      </c>
      <c r="B70" s="91" t="inlineStr">
        <is>
          <t>الاستثمار</t>
        </is>
      </c>
      <c r="C70" s="91">
        <f>'الاستثمار · المؤشرات'!C8</f>
        <v/>
      </c>
      <c r="D70" s="68">
        <f>'الاستثمار · المؤشرات'!X8</f>
        <v/>
      </c>
      <c r="E70" s="91">
        <f>'الاستثمار · المؤشرات'!Y8</f>
        <v/>
      </c>
      <c r="F70" s="93">
        <f>'الاستثمار · المؤشرات'!V8</f>
        <v/>
      </c>
      <c r="G70" s="68">
        <f>'الاستثمار · المؤشرات'!W8</f>
        <v/>
      </c>
      <c r="H70" s="68">
        <f>'الاستثمار · المؤشرات'!AH8</f>
        <v/>
      </c>
    </row>
    <row r="71">
      <c r="A71" s="68" t="n">
        <v>68</v>
      </c>
      <c r="B71" s="91" t="inlineStr">
        <is>
          <t>الاستثمار</t>
        </is>
      </c>
      <c r="C71" s="91">
        <f>'الاستثمار · المؤشرات'!C9</f>
        <v/>
      </c>
      <c r="D71" s="68">
        <f>'الاستثمار · المؤشرات'!X9</f>
        <v/>
      </c>
      <c r="E71" s="91">
        <f>'الاستثمار · المؤشرات'!Y9</f>
        <v/>
      </c>
      <c r="F71" s="93">
        <f>'الاستثمار · المؤشرات'!V9</f>
        <v/>
      </c>
      <c r="G71" s="68">
        <f>'الاستثمار · المؤشرات'!W9</f>
        <v/>
      </c>
      <c r="H71" s="68">
        <f>'الاستثمار · المؤشرات'!AH9</f>
        <v/>
      </c>
    </row>
    <row r="72">
      <c r="A72" s="68" t="n">
        <v>69</v>
      </c>
      <c r="B72" s="91" t="inlineStr">
        <is>
          <t>الاستثمار</t>
        </is>
      </c>
      <c r="C72" s="91">
        <f>'الاستثمار · المؤشرات'!C10</f>
        <v/>
      </c>
      <c r="D72" s="68">
        <f>'الاستثمار · المؤشرات'!X10</f>
        <v/>
      </c>
      <c r="E72" s="91">
        <f>'الاستثمار · المؤشرات'!Y10</f>
        <v/>
      </c>
      <c r="F72" s="93">
        <f>'الاستثمار · المؤشرات'!V10</f>
        <v/>
      </c>
      <c r="G72" s="68">
        <f>'الاستثمار · المؤشرات'!W10</f>
        <v/>
      </c>
      <c r="H72" s="68">
        <f>'الاستثمار · المؤشرات'!AH10</f>
        <v/>
      </c>
    </row>
    <row r="73">
      <c r="A73" s="68" t="n">
        <v>70</v>
      </c>
      <c r="B73" s="91" t="inlineStr">
        <is>
          <t>الاستثمار</t>
        </is>
      </c>
      <c r="C73" s="91">
        <f>'الاستثمار · المؤشرات'!C11</f>
        <v/>
      </c>
      <c r="D73" s="68">
        <f>'الاستثمار · المؤشرات'!X11</f>
        <v/>
      </c>
      <c r="E73" s="91">
        <f>'الاستثمار · المؤشرات'!Y11</f>
        <v/>
      </c>
      <c r="F73" s="93">
        <f>'الاستثمار · المؤشرات'!V11</f>
        <v/>
      </c>
      <c r="G73" s="68">
        <f>'الاستثمار · المؤشرات'!W11</f>
        <v/>
      </c>
      <c r="H73" s="68">
        <f>'الاستثمار · المؤشرات'!AH11</f>
        <v/>
      </c>
    </row>
    <row r="74">
      <c r="A74" s="68" t="n">
        <v>71</v>
      </c>
      <c r="B74" s="91" t="inlineStr">
        <is>
          <t>الاستثمار</t>
        </is>
      </c>
      <c r="C74" s="91">
        <f>'الاستثمار · المؤشرات'!C12</f>
        <v/>
      </c>
      <c r="D74" s="68">
        <f>'الاستثمار · المؤشرات'!X12</f>
        <v/>
      </c>
      <c r="E74" s="91">
        <f>'الاستثمار · المؤشرات'!Y12</f>
        <v/>
      </c>
      <c r="F74" s="93">
        <f>'الاستثمار · المؤشرات'!V12</f>
        <v/>
      </c>
      <c r="G74" s="68">
        <f>'الاستثمار · المؤشرات'!W12</f>
        <v/>
      </c>
      <c r="H74" s="68">
        <f>'الاستثمار · المؤشرات'!AH12</f>
        <v/>
      </c>
    </row>
    <row r="75">
      <c r="A75" s="68" t="n">
        <v>72</v>
      </c>
      <c r="B75" s="91" t="inlineStr">
        <is>
          <t>الاستثمار</t>
        </is>
      </c>
      <c r="C75" s="91">
        <f>'الاستثمار · المؤشرات'!C13</f>
        <v/>
      </c>
      <c r="D75" s="68">
        <f>'الاستثمار · المؤشرات'!X13</f>
        <v/>
      </c>
      <c r="E75" s="91">
        <f>'الاستثمار · المؤشرات'!Y13</f>
        <v/>
      </c>
      <c r="F75" s="93">
        <f>'الاستثمار · المؤشرات'!V13</f>
        <v/>
      </c>
      <c r="G75" s="68">
        <f>'الاستثمار · المؤشرات'!W13</f>
        <v/>
      </c>
      <c r="H75" s="68">
        <f>'الاستثمار · المؤشرات'!AH13</f>
        <v/>
      </c>
    </row>
    <row r="76">
      <c r="A76" s="68" t="n">
        <v>73</v>
      </c>
      <c r="B76" s="91" t="inlineStr">
        <is>
          <t>الاستثمار</t>
        </is>
      </c>
      <c r="C76" s="91">
        <f>'الاستثمار · المؤشرات'!C14</f>
        <v/>
      </c>
      <c r="D76" s="68">
        <f>'الاستثمار · المؤشرات'!X14</f>
        <v/>
      </c>
      <c r="E76" s="91">
        <f>'الاستثمار · المؤشرات'!Y14</f>
        <v/>
      </c>
      <c r="F76" s="93">
        <f>'الاستثمار · المؤشرات'!V14</f>
        <v/>
      </c>
      <c r="G76" s="68">
        <f>'الاستثمار · المؤشرات'!W14</f>
        <v/>
      </c>
      <c r="H76" s="68">
        <f>'الاستثمار · المؤشرات'!AH14</f>
        <v/>
      </c>
    </row>
    <row r="77">
      <c r="A77" s="68" t="n">
        <v>74</v>
      </c>
      <c r="B77" s="91" t="inlineStr">
        <is>
          <t>الاستثمار</t>
        </is>
      </c>
      <c r="C77" s="91">
        <f>'الاستثمار · المؤشرات'!C15</f>
        <v/>
      </c>
      <c r="D77" s="68">
        <f>'الاستثمار · المؤشرات'!X15</f>
        <v/>
      </c>
      <c r="E77" s="91">
        <f>'الاستثمار · المؤشرات'!Y15</f>
        <v/>
      </c>
      <c r="F77" s="93">
        <f>'الاستثمار · المؤشرات'!V15</f>
        <v/>
      </c>
      <c r="G77" s="68">
        <f>'الاستثمار · المؤشرات'!W15</f>
        <v/>
      </c>
      <c r="H77" s="68">
        <f>'الاستثمار · المؤشرات'!AH15</f>
        <v/>
      </c>
    </row>
    <row r="78">
      <c r="A78" s="68" t="n">
        <v>75</v>
      </c>
      <c r="B78" s="91" t="inlineStr">
        <is>
          <t>الاستثمار</t>
        </is>
      </c>
      <c r="C78" s="91">
        <f>'الاستثمار · المؤشرات'!C16</f>
        <v/>
      </c>
      <c r="D78" s="68">
        <f>'الاستثمار · المؤشرات'!X16</f>
        <v/>
      </c>
      <c r="E78" s="91">
        <f>'الاستثمار · المؤشرات'!Y16</f>
        <v/>
      </c>
      <c r="F78" s="93">
        <f>'الاستثمار · المؤشرات'!V16</f>
        <v/>
      </c>
      <c r="G78" s="68">
        <f>'الاستثمار · المؤشرات'!W16</f>
        <v/>
      </c>
      <c r="H78" s="68">
        <f>'الاستثمار · المؤشرات'!AH16</f>
        <v/>
      </c>
    </row>
    <row r="79">
      <c r="A79" s="68" t="n">
        <v>76</v>
      </c>
      <c r="B79" s="91" t="inlineStr">
        <is>
          <t>الاستثمار</t>
        </is>
      </c>
      <c r="C79" s="91">
        <f>'الاستثمار · المؤشرات'!C17</f>
        <v/>
      </c>
      <c r="D79" s="68">
        <f>'الاستثمار · المؤشرات'!X17</f>
        <v/>
      </c>
      <c r="E79" s="91">
        <f>'الاستثمار · المؤشرات'!Y17</f>
        <v/>
      </c>
      <c r="F79" s="93">
        <f>'الاستثمار · المؤشرات'!V17</f>
        <v/>
      </c>
      <c r="G79" s="68">
        <f>'الاستثمار · المؤشرات'!W17</f>
        <v/>
      </c>
      <c r="H79" s="68">
        <f>'الاستثمار · المؤشرات'!AH17</f>
        <v/>
      </c>
    </row>
    <row r="80">
      <c r="A80" s="68" t="n">
        <v>77</v>
      </c>
      <c r="B80" s="91" t="inlineStr">
        <is>
          <t>الاستثمار</t>
        </is>
      </c>
      <c r="C80" s="91">
        <f>'الاستثمار · المؤشرات'!C18</f>
        <v/>
      </c>
      <c r="D80" s="68">
        <f>'الاستثمار · المؤشرات'!X18</f>
        <v/>
      </c>
      <c r="E80" s="91">
        <f>'الاستثمار · المؤشرات'!Y18</f>
        <v/>
      </c>
      <c r="F80" s="93">
        <f>'الاستثمار · المؤشرات'!V18</f>
        <v/>
      </c>
      <c r="G80" s="68">
        <f>'الاستثمار · المؤشرات'!W18</f>
        <v/>
      </c>
      <c r="H80" s="68">
        <f>'الاستثمار · المؤشرات'!AH18</f>
        <v/>
      </c>
    </row>
    <row r="81">
      <c r="A81" s="68" t="n">
        <v>78</v>
      </c>
      <c r="B81" s="91" t="inlineStr">
        <is>
          <t>الاستثمار</t>
        </is>
      </c>
      <c r="C81" s="91">
        <f>'الاستثمار · المؤشرات'!C19</f>
        <v/>
      </c>
      <c r="D81" s="68">
        <f>'الاستثمار · المؤشرات'!X19</f>
        <v/>
      </c>
      <c r="E81" s="91">
        <f>'الاستثمار · المؤشرات'!Y19</f>
        <v/>
      </c>
      <c r="F81" s="93">
        <f>'الاستثمار · المؤشرات'!V19</f>
        <v/>
      </c>
      <c r="G81" s="68">
        <f>'الاستثمار · المؤشرات'!W19</f>
        <v/>
      </c>
      <c r="H81" s="68">
        <f>'الاستثمار · المؤشرات'!AH19</f>
        <v/>
      </c>
    </row>
    <row r="82">
      <c r="A82" s="68" t="n">
        <v>79</v>
      </c>
      <c r="B82" s="91" t="inlineStr">
        <is>
          <t>الاستثمار</t>
        </is>
      </c>
      <c r="C82" s="91">
        <f>'الاستثمار · المؤشرات'!C20</f>
        <v/>
      </c>
      <c r="D82" s="68">
        <f>'الاستثمار · المؤشرات'!X20</f>
        <v/>
      </c>
      <c r="E82" s="91">
        <f>'الاستثمار · المؤشرات'!Y20</f>
        <v/>
      </c>
      <c r="F82" s="93">
        <f>'الاستثمار · المؤشرات'!V20</f>
        <v/>
      </c>
      <c r="G82" s="68">
        <f>'الاستثمار · المؤشرات'!W20</f>
        <v/>
      </c>
      <c r="H82" s="68">
        <f>'الاستثمار · المؤشرات'!AH20</f>
        <v/>
      </c>
    </row>
    <row r="83">
      <c r="A83" s="68" t="n">
        <v>80</v>
      </c>
      <c r="B83" s="91" t="inlineStr">
        <is>
          <t>الاستثمار</t>
        </is>
      </c>
      <c r="C83" s="91">
        <f>'الاستثمار · المؤشرات'!C21</f>
        <v/>
      </c>
      <c r="D83" s="68">
        <f>'الاستثمار · المؤشرات'!X21</f>
        <v/>
      </c>
      <c r="E83" s="91">
        <f>'الاستثمار · المؤشرات'!Y21</f>
        <v/>
      </c>
      <c r="F83" s="93">
        <f>'الاستثمار · المؤشرات'!V21</f>
        <v/>
      </c>
      <c r="G83" s="68">
        <f>'الاستثمار · المؤشرات'!W21</f>
        <v/>
      </c>
      <c r="H83" s="68">
        <f>'الاستثمار · المؤشرات'!AH21</f>
        <v/>
      </c>
    </row>
    <row r="84">
      <c r="A84" s="68" t="n">
        <v>81</v>
      </c>
      <c r="B84" s="91" t="inlineStr">
        <is>
          <t>الاستثمار</t>
        </is>
      </c>
      <c r="C84" s="91">
        <f>'الاستثمار · المؤشرات'!C22</f>
        <v/>
      </c>
      <c r="D84" s="68">
        <f>'الاستثمار · المؤشرات'!X22</f>
        <v/>
      </c>
      <c r="E84" s="91">
        <f>'الاستثمار · المؤشرات'!Y22</f>
        <v/>
      </c>
      <c r="F84" s="93">
        <f>'الاستثمار · المؤشرات'!V22</f>
        <v/>
      </c>
      <c r="G84" s="68">
        <f>'الاستثمار · المؤشرات'!W22</f>
        <v/>
      </c>
      <c r="H84" s="68">
        <f>'الاستثمار · المؤشرات'!AH22</f>
        <v/>
      </c>
    </row>
    <row r="85">
      <c r="A85" s="68" t="n">
        <v>82</v>
      </c>
      <c r="B85" s="91" t="inlineStr">
        <is>
          <t>الاستثمار</t>
        </is>
      </c>
      <c r="C85" s="91">
        <f>'الاستثمار · المؤشرات'!C23</f>
        <v/>
      </c>
      <c r="D85" s="68">
        <f>'الاستثمار · المؤشرات'!X23</f>
        <v/>
      </c>
      <c r="E85" s="91">
        <f>'الاستثمار · المؤشرات'!Y23</f>
        <v/>
      </c>
      <c r="F85" s="93">
        <f>'الاستثمار · المؤشرات'!V23</f>
        <v/>
      </c>
      <c r="G85" s="68">
        <f>'الاستثمار · المؤشرات'!W23</f>
        <v/>
      </c>
      <c r="H85" s="68">
        <f>'الاستثمار · المؤشرات'!AH23</f>
        <v/>
      </c>
    </row>
    <row r="86">
      <c r="A86" s="68" t="n">
        <v>83</v>
      </c>
      <c r="B86" s="91" t="inlineStr">
        <is>
          <t>الاستثمار</t>
        </is>
      </c>
      <c r="C86" s="91">
        <f>'الاستثمار · المؤشرات'!C24</f>
        <v/>
      </c>
      <c r="D86" s="68">
        <f>'الاستثمار · المؤشرات'!X24</f>
        <v/>
      </c>
      <c r="E86" s="91">
        <f>'الاستثمار · المؤشرات'!Y24</f>
        <v/>
      </c>
      <c r="F86" s="93">
        <f>'الاستثمار · المؤشرات'!V24</f>
        <v/>
      </c>
      <c r="G86" s="68">
        <f>'الاستثمار · المؤشرات'!W24</f>
        <v/>
      </c>
      <c r="H86" s="68">
        <f>'الاستثمار · المؤشرات'!AH24</f>
        <v/>
      </c>
    </row>
    <row r="87">
      <c r="A87" s="68" t="n">
        <v>84</v>
      </c>
      <c r="B87" s="91" t="inlineStr">
        <is>
          <t>الاستثمار</t>
        </is>
      </c>
      <c r="C87" s="91">
        <f>'الاستثمار · المؤشرات'!C25</f>
        <v/>
      </c>
      <c r="D87" s="68">
        <f>'الاستثمار · المؤشرات'!X25</f>
        <v/>
      </c>
      <c r="E87" s="91">
        <f>'الاستثمار · المؤشرات'!Y25</f>
        <v/>
      </c>
      <c r="F87" s="93">
        <f>'الاستثمار · المؤشرات'!V25</f>
        <v/>
      </c>
      <c r="G87" s="68">
        <f>'الاستثمار · المؤشرات'!W25</f>
        <v/>
      </c>
      <c r="H87" s="68">
        <f>'الاستثمار · المؤشرات'!AH25</f>
        <v/>
      </c>
    </row>
    <row r="88">
      <c r="A88" s="68" t="n">
        <v>85</v>
      </c>
      <c r="B88" s="91" t="inlineStr">
        <is>
          <t>الاستثمار</t>
        </is>
      </c>
      <c r="C88" s="91">
        <f>'الاستثمار · المؤشرات'!C26</f>
        <v/>
      </c>
      <c r="D88" s="68">
        <f>'الاستثمار · المؤشرات'!X26</f>
        <v/>
      </c>
      <c r="E88" s="91">
        <f>'الاستثمار · المؤشرات'!Y26</f>
        <v/>
      </c>
      <c r="F88" s="93">
        <f>'الاستثمار · المؤشرات'!V26</f>
        <v/>
      </c>
      <c r="G88" s="68">
        <f>'الاستثمار · المؤشرات'!W26</f>
        <v/>
      </c>
      <c r="H88" s="68">
        <f>'الاستثمار · المؤشرات'!AH26</f>
        <v/>
      </c>
    </row>
    <row r="89">
      <c r="A89" s="68" t="n">
        <v>86</v>
      </c>
      <c r="B89" s="91" t="inlineStr">
        <is>
          <t>الاستثمار</t>
        </is>
      </c>
      <c r="C89" s="91">
        <f>'الاستثمار · المؤشرات'!C27</f>
        <v/>
      </c>
      <c r="D89" s="68">
        <f>'الاستثمار · المؤشرات'!X27</f>
        <v/>
      </c>
      <c r="E89" s="91">
        <f>'الاستثمار · المؤشرات'!Y27</f>
        <v/>
      </c>
      <c r="F89" s="93">
        <f>'الاستثمار · المؤشرات'!V27</f>
        <v/>
      </c>
      <c r="G89" s="68">
        <f>'الاستثمار · المؤشرات'!W27</f>
        <v/>
      </c>
      <c r="H89" s="68">
        <f>'الاستثمار · المؤشرات'!AH27</f>
        <v/>
      </c>
    </row>
    <row r="90">
      <c r="A90" s="68" t="n">
        <v>87</v>
      </c>
      <c r="B90" s="91" t="inlineStr">
        <is>
          <t>العقار</t>
        </is>
      </c>
      <c r="C90" s="91">
        <f>'العقار · المؤشرات'!C4</f>
        <v/>
      </c>
      <c r="D90" s="68">
        <f>'العقار · المؤشرات'!X4</f>
        <v/>
      </c>
      <c r="E90" s="91">
        <f>'العقار · المؤشرات'!Y4</f>
        <v/>
      </c>
      <c r="F90" s="93">
        <f>'العقار · المؤشرات'!V4</f>
        <v/>
      </c>
      <c r="G90" s="68">
        <f>'العقار · المؤشرات'!W4</f>
        <v/>
      </c>
      <c r="H90" s="68">
        <f>'العقار · المؤشرات'!AH4</f>
        <v/>
      </c>
    </row>
    <row r="91">
      <c r="A91" s="68" t="n">
        <v>88</v>
      </c>
      <c r="B91" s="91" t="inlineStr">
        <is>
          <t>العقار</t>
        </is>
      </c>
      <c r="C91" s="91">
        <f>'العقار · المؤشرات'!C5</f>
        <v/>
      </c>
      <c r="D91" s="68">
        <f>'العقار · المؤشرات'!X5</f>
        <v/>
      </c>
      <c r="E91" s="91">
        <f>'العقار · المؤشرات'!Y5</f>
        <v/>
      </c>
      <c r="F91" s="93">
        <f>'العقار · المؤشرات'!V5</f>
        <v/>
      </c>
      <c r="G91" s="68">
        <f>'العقار · المؤشرات'!W5</f>
        <v/>
      </c>
      <c r="H91" s="68">
        <f>'العقار · المؤشرات'!AH5</f>
        <v/>
      </c>
    </row>
    <row r="92">
      <c r="A92" s="68" t="n">
        <v>89</v>
      </c>
      <c r="B92" s="91" t="inlineStr">
        <is>
          <t>العقار</t>
        </is>
      </c>
      <c r="C92" s="91">
        <f>'العقار · المؤشرات'!C6</f>
        <v/>
      </c>
      <c r="D92" s="68">
        <f>'العقار · المؤشرات'!X6</f>
        <v/>
      </c>
      <c r="E92" s="91">
        <f>'العقار · المؤشرات'!Y6</f>
        <v/>
      </c>
      <c r="F92" s="93">
        <f>'العقار · المؤشرات'!V6</f>
        <v/>
      </c>
      <c r="G92" s="68">
        <f>'العقار · المؤشرات'!W6</f>
        <v/>
      </c>
      <c r="H92" s="68">
        <f>'العقار · المؤشرات'!AH6</f>
        <v/>
      </c>
    </row>
    <row r="93">
      <c r="A93" s="68" t="n">
        <v>90</v>
      </c>
      <c r="B93" s="91" t="inlineStr">
        <is>
          <t>العقار</t>
        </is>
      </c>
      <c r="C93" s="91">
        <f>'العقار · المؤشرات'!C7</f>
        <v/>
      </c>
      <c r="D93" s="68">
        <f>'العقار · المؤشرات'!X7</f>
        <v/>
      </c>
      <c r="E93" s="91">
        <f>'العقار · المؤشرات'!Y7</f>
        <v/>
      </c>
      <c r="F93" s="93">
        <f>'العقار · المؤشرات'!V7</f>
        <v/>
      </c>
      <c r="G93" s="68">
        <f>'العقار · المؤشرات'!W7</f>
        <v/>
      </c>
      <c r="H93" s="68">
        <f>'العقار · المؤشرات'!AH7</f>
        <v/>
      </c>
    </row>
    <row r="94">
      <c r="A94" s="68" t="n">
        <v>91</v>
      </c>
      <c r="B94" s="91" t="inlineStr">
        <is>
          <t>العقار</t>
        </is>
      </c>
      <c r="C94" s="91">
        <f>'العقار · المؤشرات'!C8</f>
        <v/>
      </c>
      <c r="D94" s="68">
        <f>'العقار · المؤشرات'!X8</f>
        <v/>
      </c>
      <c r="E94" s="91">
        <f>'العقار · المؤشرات'!Y8</f>
        <v/>
      </c>
      <c r="F94" s="93">
        <f>'العقار · المؤشرات'!V8</f>
        <v/>
      </c>
      <c r="G94" s="68">
        <f>'العقار · المؤشرات'!W8</f>
        <v/>
      </c>
      <c r="H94" s="68">
        <f>'العقار · المؤشرات'!AH8</f>
        <v/>
      </c>
    </row>
    <row r="95">
      <c r="A95" s="68" t="n">
        <v>92</v>
      </c>
      <c r="B95" s="91" t="inlineStr">
        <is>
          <t>العقار</t>
        </is>
      </c>
      <c r="C95" s="91">
        <f>'العقار · المؤشرات'!C9</f>
        <v/>
      </c>
      <c r="D95" s="68">
        <f>'العقار · المؤشرات'!X9</f>
        <v/>
      </c>
      <c r="E95" s="91">
        <f>'العقار · المؤشرات'!Y9</f>
        <v/>
      </c>
      <c r="F95" s="93">
        <f>'العقار · المؤشرات'!V9</f>
        <v/>
      </c>
      <c r="G95" s="68">
        <f>'العقار · المؤشرات'!W9</f>
        <v/>
      </c>
      <c r="H95" s="68">
        <f>'العقار · المؤشرات'!AH9</f>
        <v/>
      </c>
    </row>
    <row r="96">
      <c r="A96" s="68" t="n">
        <v>93</v>
      </c>
      <c r="B96" s="91" t="inlineStr">
        <is>
          <t>العقار</t>
        </is>
      </c>
      <c r="C96" s="91">
        <f>'العقار · المؤشرات'!C10</f>
        <v/>
      </c>
      <c r="D96" s="68">
        <f>'العقار · المؤشرات'!X10</f>
        <v/>
      </c>
      <c r="E96" s="91">
        <f>'العقار · المؤشرات'!Y10</f>
        <v/>
      </c>
      <c r="F96" s="93">
        <f>'العقار · المؤشرات'!V10</f>
        <v/>
      </c>
      <c r="G96" s="68">
        <f>'العقار · المؤشرات'!W10</f>
        <v/>
      </c>
      <c r="H96" s="68">
        <f>'العقار · المؤشرات'!AH10</f>
        <v/>
      </c>
    </row>
    <row r="97">
      <c r="A97" s="68" t="n">
        <v>94</v>
      </c>
      <c r="B97" s="91" t="inlineStr">
        <is>
          <t>العقار</t>
        </is>
      </c>
      <c r="C97" s="91">
        <f>'العقار · المؤشرات'!C11</f>
        <v/>
      </c>
      <c r="D97" s="68">
        <f>'العقار · المؤشرات'!X11</f>
        <v/>
      </c>
      <c r="E97" s="91">
        <f>'العقار · المؤشرات'!Y11</f>
        <v/>
      </c>
      <c r="F97" s="93">
        <f>'العقار · المؤشرات'!V11</f>
        <v/>
      </c>
      <c r="G97" s="68">
        <f>'العقار · المؤشرات'!W11</f>
        <v/>
      </c>
      <c r="H97" s="68">
        <f>'العقار · المؤشرات'!AH11</f>
        <v/>
      </c>
    </row>
    <row r="98">
      <c r="A98" s="68" t="n">
        <v>95</v>
      </c>
      <c r="B98" s="91" t="inlineStr">
        <is>
          <t>العقار</t>
        </is>
      </c>
      <c r="C98" s="91">
        <f>'العقار · المؤشرات'!C12</f>
        <v/>
      </c>
      <c r="D98" s="68">
        <f>'العقار · المؤشرات'!X12</f>
        <v/>
      </c>
      <c r="E98" s="91">
        <f>'العقار · المؤشرات'!Y12</f>
        <v/>
      </c>
      <c r="F98" s="93">
        <f>'العقار · المؤشرات'!V12</f>
        <v/>
      </c>
      <c r="G98" s="68">
        <f>'العقار · المؤشرات'!W12</f>
        <v/>
      </c>
      <c r="H98" s="68">
        <f>'العقار · المؤشرات'!AH12</f>
        <v/>
      </c>
    </row>
    <row r="99">
      <c r="A99" s="68" t="n">
        <v>96</v>
      </c>
      <c r="B99" s="91" t="inlineStr">
        <is>
          <t>العقار</t>
        </is>
      </c>
      <c r="C99" s="91">
        <f>'العقار · المؤشرات'!C13</f>
        <v/>
      </c>
      <c r="D99" s="68">
        <f>'العقار · المؤشرات'!X13</f>
        <v/>
      </c>
      <c r="E99" s="91">
        <f>'العقار · المؤشرات'!Y13</f>
        <v/>
      </c>
      <c r="F99" s="93">
        <f>'العقار · المؤشرات'!V13</f>
        <v/>
      </c>
      <c r="G99" s="68">
        <f>'العقار · المؤشرات'!W13</f>
        <v/>
      </c>
      <c r="H99" s="68">
        <f>'العقار · المؤشرات'!AH13</f>
        <v/>
      </c>
    </row>
    <row r="100">
      <c r="A100" s="68" t="n">
        <v>97</v>
      </c>
      <c r="B100" s="91" t="inlineStr">
        <is>
          <t>العقار</t>
        </is>
      </c>
      <c r="C100" s="91">
        <f>'العقار · المؤشرات'!C14</f>
        <v/>
      </c>
      <c r="D100" s="68">
        <f>'العقار · المؤشرات'!X14</f>
        <v/>
      </c>
      <c r="E100" s="91">
        <f>'العقار · المؤشرات'!Y14</f>
        <v/>
      </c>
      <c r="F100" s="93">
        <f>'العقار · المؤشرات'!V14</f>
        <v/>
      </c>
      <c r="G100" s="68">
        <f>'العقار · المؤشرات'!W14</f>
        <v/>
      </c>
      <c r="H100" s="68">
        <f>'العقار · المؤشرات'!AH14</f>
        <v/>
      </c>
    </row>
    <row r="101">
      <c r="A101" s="68" t="n">
        <v>98</v>
      </c>
      <c r="B101" s="91" t="inlineStr">
        <is>
          <t>العقار</t>
        </is>
      </c>
      <c r="C101" s="91">
        <f>'العقار · المؤشرات'!C15</f>
        <v/>
      </c>
      <c r="D101" s="68">
        <f>'العقار · المؤشرات'!X15</f>
        <v/>
      </c>
      <c r="E101" s="91">
        <f>'العقار · المؤشرات'!Y15</f>
        <v/>
      </c>
      <c r="F101" s="93">
        <f>'العقار · المؤشرات'!V15</f>
        <v/>
      </c>
      <c r="G101" s="68">
        <f>'العقار · المؤشرات'!W15</f>
        <v/>
      </c>
      <c r="H101" s="68">
        <f>'العقار · المؤشرات'!AH15</f>
        <v/>
      </c>
    </row>
    <row r="102">
      <c r="A102" s="68" t="n">
        <v>99</v>
      </c>
      <c r="B102" s="91" t="inlineStr">
        <is>
          <t>العقار</t>
        </is>
      </c>
      <c r="C102" s="91">
        <f>'العقار · المؤشرات'!C16</f>
        <v/>
      </c>
      <c r="D102" s="68">
        <f>'العقار · المؤشرات'!X16</f>
        <v/>
      </c>
      <c r="E102" s="91">
        <f>'العقار · المؤشرات'!Y16</f>
        <v/>
      </c>
      <c r="F102" s="93">
        <f>'العقار · المؤشرات'!V16</f>
        <v/>
      </c>
      <c r="G102" s="68">
        <f>'العقار · المؤشرات'!W16</f>
        <v/>
      </c>
      <c r="H102" s="68">
        <f>'العقار · المؤشرات'!AH16</f>
        <v/>
      </c>
    </row>
    <row r="103">
      <c r="A103" s="68" t="n">
        <v>100</v>
      </c>
      <c r="B103" s="91" t="inlineStr">
        <is>
          <t>العقار</t>
        </is>
      </c>
      <c r="C103" s="91">
        <f>'العقار · المؤشرات'!C17</f>
        <v/>
      </c>
      <c r="D103" s="68">
        <f>'العقار · المؤشرات'!X17</f>
        <v/>
      </c>
      <c r="E103" s="91">
        <f>'العقار · المؤشرات'!Y17</f>
        <v/>
      </c>
      <c r="F103" s="93">
        <f>'العقار · المؤشرات'!V17</f>
        <v/>
      </c>
      <c r="G103" s="68">
        <f>'العقار · المؤشرات'!W17</f>
        <v/>
      </c>
      <c r="H103" s="68">
        <f>'العقار · المؤشرات'!AH17</f>
        <v/>
      </c>
    </row>
    <row r="104">
      <c r="A104" s="68" t="n">
        <v>101</v>
      </c>
      <c r="B104" s="91" t="inlineStr">
        <is>
          <t>العقار</t>
        </is>
      </c>
      <c r="C104" s="91">
        <f>'العقار · المؤشرات'!C18</f>
        <v/>
      </c>
      <c r="D104" s="68">
        <f>'العقار · المؤشرات'!X18</f>
        <v/>
      </c>
      <c r="E104" s="91">
        <f>'العقار · المؤشرات'!Y18</f>
        <v/>
      </c>
      <c r="F104" s="93">
        <f>'العقار · المؤشرات'!V18</f>
        <v/>
      </c>
      <c r="G104" s="68">
        <f>'العقار · المؤشرات'!W18</f>
        <v/>
      </c>
      <c r="H104" s="68">
        <f>'العقار · المؤشرات'!AH18</f>
        <v/>
      </c>
    </row>
    <row r="105">
      <c r="A105" s="68" t="n">
        <v>102</v>
      </c>
      <c r="B105" s="91" t="inlineStr">
        <is>
          <t>العقار</t>
        </is>
      </c>
      <c r="C105" s="91">
        <f>'العقار · المؤشرات'!C19</f>
        <v/>
      </c>
      <c r="D105" s="68">
        <f>'العقار · المؤشرات'!X19</f>
        <v/>
      </c>
      <c r="E105" s="91">
        <f>'العقار · المؤشرات'!Y19</f>
        <v/>
      </c>
      <c r="F105" s="93">
        <f>'العقار · المؤشرات'!V19</f>
        <v/>
      </c>
      <c r="G105" s="68">
        <f>'العقار · المؤشرات'!W19</f>
        <v/>
      </c>
      <c r="H105" s="68">
        <f>'العقار · المؤشرات'!AH19</f>
        <v/>
      </c>
    </row>
    <row r="106">
      <c r="A106" s="68" t="n">
        <v>103</v>
      </c>
      <c r="B106" s="91" t="inlineStr">
        <is>
          <t>التقنية الرقمية</t>
        </is>
      </c>
      <c r="C106" s="91">
        <f>'التقنية الرقمية · المؤشرات'!C4</f>
        <v/>
      </c>
      <c r="D106" s="68">
        <f>'التقنية الرقمية · المؤشرات'!X4</f>
        <v/>
      </c>
      <c r="E106" s="91">
        <f>'التقنية الرقمية · المؤشرات'!Y4</f>
        <v/>
      </c>
      <c r="F106" s="93">
        <f>'التقنية الرقمية · المؤشرات'!V4</f>
        <v/>
      </c>
      <c r="G106" s="68">
        <f>'التقنية الرقمية · المؤشرات'!W4</f>
        <v/>
      </c>
      <c r="H106" s="68">
        <f>'التقنية الرقمية · المؤشرات'!AH4</f>
        <v/>
      </c>
    </row>
    <row r="107">
      <c r="A107" s="68" t="n">
        <v>104</v>
      </c>
      <c r="B107" s="91" t="inlineStr">
        <is>
          <t>التقنية الرقمية</t>
        </is>
      </c>
      <c r="C107" s="91">
        <f>'التقنية الرقمية · المؤشرات'!C5</f>
        <v/>
      </c>
      <c r="D107" s="68">
        <f>'التقنية الرقمية · المؤشرات'!X5</f>
        <v/>
      </c>
      <c r="E107" s="91">
        <f>'التقنية الرقمية · المؤشرات'!Y5</f>
        <v/>
      </c>
      <c r="F107" s="93">
        <f>'التقنية الرقمية · المؤشرات'!V5</f>
        <v/>
      </c>
      <c r="G107" s="68">
        <f>'التقنية الرقمية · المؤشرات'!W5</f>
        <v/>
      </c>
      <c r="H107" s="68">
        <f>'التقنية الرقمية · المؤشرات'!AH5</f>
        <v/>
      </c>
    </row>
    <row r="108">
      <c r="A108" s="68" t="n">
        <v>105</v>
      </c>
      <c r="B108" s="91" t="inlineStr">
        <is>
          <t>التقنية الرقمية</t>
        </is>
      </c>
      <c r="C108" s="91">
        <f>'التقنية الرقمية · المؤشرات'!C6</f>
        <v/>
      </c>
      <c r="D108" s="68">
        <f>'التقنية الرقمية · المؤشرات'!X6</f>
        <v/>
      </c>
      <c r="E108" s="91">
        <f>'التقنية الرقمية · المؤشرات'!Y6</f>
        <v/>
      </c>
      <c r="F108" s="93">
        <f>'التقنية الرقمية · المؤشرات'!V6</f>
        <v/>
      </c>
      <c r="G108" s="68">
        <f>'التقنية الرقمية · المؤشرات'!W6</f>
        <v/>
      </c>
      <c r="H108" s="68">
        <f>'التقنية الرقمية · المؤشرات'!AH6</f>
        <v/>
      </c>
    </row>
    <row r="109">
      <c r="A109" s="68" t="n">
        <v>106</v>
      </c>
      <c r="B109" s="91" t="inlineStr">
        <is>
          <t>التقنية الرقمية</t>
        </is>
      </c>
      <c r="C109" s="91">
        <f>'التقنية الرقمية · المؤشرات'!C7</f>
        <v/>
      </c>
      <c r="D109" s="68">
        <f>'التقنية الرقمية · المؤشرات'!X7</f>
        <v/>
      </c>
      <c r="E109" s="91">
        <f>'التقنية الرقمية · المؤشرات'!Y7</f>
        <v/>
      </c>
      <c r="F109" s="93">
        <f>'التقنية الرقمية · المؤشرات'!V7</f>
        <v/>
      </c>
      <c r="G109" s="68">
        <f>'التقنية الرقمية · المؤشرات'!W7</f>
        <v/>
      </c>
      <c r="H109" s="68">
        <f>'التقنية الرقمية · المؤشرات'!AH7</f>
        <v/>
      </c>
    </row>
    <row r="110">
      <c r="A110" s="68" t="n">
        <v>107</v>
      </c>
      <c r="B110" s="91" t="inlineStr">
        <is>
          <t>التقنية الرقمية</t>
        </is>
      </c>
      <c r="C110" s="91">
        <f>'التقنية الرقمية · المؤشرات'!C8</f>
        <v/>
      </c>
      <c r="D110" s="68">
        <f>'التقنية الرقمية · المؤشرات'!X8</f>
        <v/>
      </c>
      <c r="E110" s="91">
        <f>'التقنية الرقمية · المؤشرات'!Y8</f>
        <v/>
      </c>
      <c r="F110" s="93">
        <f>'التقنية الرقمية · المؤشرات'!V8</f>
        <v/>
      </c>
      <c r="G110" s="68">
        <f>'التقنية الرقمية · المؤشرات'!W8</f>
        <v/>
      </c>
      <c r="H110" s="68">
        <f>'التقنية الرقمية · المؤشرات'!AH8</f>
        <v/>
      </c>
    </row>
    <row r="111">
      <c r="A111" s="68" t="n">
        <v>108</v>
      </c>
      <c r="B111" s="91" t="inlineStr">
        <is>
          <t>التقنية الرقمية</t>
        </is>
      </c>
      <c r="C111" s="91">
        <f>'التقنية الرقمية · المؤشرات'!C9</f>
        <v/>
      </c>
      <c r="D111" s="68">
        <f>'التقنية الرقمية · المؤشرات'!X9</f>
        <v/>
      </c>
      <c r="E111" s="91">
        <f>'التقنية الرقمية · المؤشرات'!Y9</f>
        <v/>
      </c>
      <c r="F111" s="93">
        <f>'التقنية الرقمية · المؤشرات'!V9</f>
        <v/>
      </c>
      <c r="G111" s="68">
        <f>'التقنية الرقمية · المؤشرات'!W9</f>
        <v/>
      </c>
      <c r="H111" s="68">
        <f>'التقنية الرقمية · المؤشرات'!AH9</f>
        <v/>
      </c>
    </row>
    <row r="112">
      <c r="A112" s="68" t="n">
        <v>109</v>
      </c>
      <c r="B112" s="91" t="inlineStr">
        <is>
          <t>التقنية الرقمية</t>
        </is>
      </c>
      <c r="C112" s="91">
        <f>'التقنية الرقمية · المؤشرات'!C10</f>
        <v/>
      </c>
      <c r="D112" s="68">
        <f>'التقنية الرقمية · المؤشرات'!X10</f>
        <v/>
      </c>
      <c r="E112" s="91">
        <f>'التقنية الرقمية · المؤشرات'!Y10</f>
        <v/>
      </c>
      <c r="F112" s="93">
        <f>'التقنية الرقمية · المؤشرات'!V10</f>
        <v/>
      </c>
      <c r="G112" s="68">
        <f>'التقنية الرقمية · المؤشرات'!W10</f>
        <v/>
      </c>
      <c r="H112" s="68">
        <f>'التقنية الرقمية · المؤشرات'!AH10</f>
        <v/>
      </c>
    </row>
    <row r="113">
      <c r="A113" s="68" t="n">
        <v>110</v>
      </c>
      <c r="B113" s="91" t="inlineStr">
        <is>
          <t>التقنية الرقمية</t>
        </is>
      </c>
      <c r="C113" s="91">
        <f>'التقنية الرقمية · المؤشرات'!C11</f>
        <v/>
      </c>
      <c r="D113" s="68">
        <f>'التقنية الرقمية · المؤشرات'!X11</f>
        <v/>
      </c>
      <c r="E113" s="91">
        <f>'التقنية الرقمية · المؤشرات'!Y11</f>
        <v/>
      </c>
      <c r="F113" s="93">
        <f>'التقنية الرقمية · المؤشرات'!V11</f>
        <v/>
      </c>
      <c r="G113" s="68">
        <f>'التقنية الرقمية · المؤشرات'!W11</f>
        <v/>
      </c>
      <c r="H113" s="68">
        <f>'التقنية الرقمية · المؤشرات'!AH11</f>
        <v/>
      </c>
    </row>
    <row r="114">
      <c r="A114" s="68" t="n">
        <v>111</v>
      </c>
      <c r="B114" s="91" t="inlineStr">
        <is>
          <t>التقنية الرقمية</t>
        </is>
      </c>
      <c r="C114" s="91">
        <f>'التقنية الرقمية · المؤشرات'!C12</f>
        <v/>
      </c>
      <c r="D114" s="68">
        <f>'التقنية الرقمية · المؤشرات'!X12</f>
        <v/>
      </c>
      <c r="E114" s="91">
        <f>'التقنية الرقمية · المؤشرات'!Y12</f>
        <v/>
      </c>
      <c r="F114" s="93">
        <f>'التقنية الرقمية · المؤشرات'!V12</f>
        <v/>
      </c>
      <c r="G114" s="68">
        <f>'التقنية الرقمية · المؤشرات'!W12</f>
        <v/>
      </c>
      <c r="H114" s="68">
        <f>'التقنية الرقمية · المؤشرات'!AH12</f>
        <v/>
      </c>
    </row>
    <row r="115">
      <c r="A115" s="68" t="n">
        <v>112</v>
      </c>
      <c r="B115" s="91" t="inlineStr">
        <is>
          <t>التقنية الرقمية</t>
        </is>
      </c>
      <c r="C115" s="91">
        <f>'التقنية الرقمية · المؤشرات'!C13</f>
        <v/>
      </c>
      <c r="D115" s="68">
        <f>'التقنية الرقمية · المؤشرات'!X13</f>
        <v/>
      </c>
      <c r="E115" s="91">
        <f>'التقنية الرقمية · المؤشرات'!Y13</f>
        <v/>
      </c>
      <c r="F115" s="93">
        <f>'التقنية الرقمية · المؤشرات'!V13</f>
        <v/>
      </c>
      <c r="G115" s="68">
        <f>'التقنية الرقمية · المؤشرات'!W13</f>
        <v/>
      </c>
      <c r="H115" s="68">
        <f>'التقنية الرقمية · المؤشرات'!AH13</f>
        <v/>
      </c>
    </row>
    <row r="116">
      <c r="A116" s="68" t="n">
        <v>113</v>
      </c>
      <c r="B116" s="91" t="inlineStr">
        <is>
          <t>التقنية الرقمية</t>
        </is>
      </c>
      <c r="C116" s="91">
        <f>'التقنية الرقمية · المؤشرات'!C14</f>
        <v/>
      </c>
      <c r="D116" s="68">
        <f>'التقنية الرقمية · المؤشرات'!X14</f>
        <v/>
      </c>
      <c r="E116" s="91">
        <f>'التقنية الرقمية · المؤشرات'!Y14</f>
        <v/>
      </c>
      <c r="F116" s="93">
        <f>'التقنية الرقمية · المؤشرات'!V14</f>
        <v/>
      </c>
      <c r="G116" s="68">
        <f>'التقنية الرقمية · المؤشرات'!W14</f>
        <v/>
      </c>
      <c r="H116" s="68">
        <f>'التقنية الرقمية · المؤشرات'!AH14</f>
        <v/>
      </c>
    </row>
    <row r="117">
      <c r="A117" s="68" t="n">
        <v>114</v>
      </c>
      <c r="B117" s="91" t="inlineStr">
        <is>
          <t>التقنية الرقمية</t>
        </is>
      </c>
      <c r="C117" s="91">
        <f>'التقنية الرقمية · المؤشرات'!C15</f>
        <v/>
      </c>
      <c r="D117" s="68">
        <f>'التقنية الرقمية · المؤشرات'!X15</f>
        <v/>
      </c>
      <c r="E117" s="91">
        <f>'التقنية الرقمية · المؤشرات'!Y15</f>
        <v/>
      </c>
      <c r="F117" s="93">
        <f>'التقنية الرقمية · المؤشرات'!V15</f>
        <v/>
      </c>
      <c r="G117" s="68">
        <f>'التقنية الرقمية · المؤشرات'!W15</f>
        <v/>
      </c>
      <c r="H117" s="68">
        <f>'التقنية الرقمية · المؤشرات'!AH15</f>
        <v/>
      </c>
    </row>
    <row r="118">
      <c r="A118" s="68" t="n">
        <v>115</v>
      </c>
      <c r="B118" s="91" t="inlineStr">
        <is>
          <t>التقنية الرقمية</t>
        </is>
      </c>
      <c r="C118" s="91">
        <f>'التقنية الرقمية · المؤشرات'!C16</f>
        <v/>
      </c>
      <c r="D118" s="68">
        <f>'التقنية الرقمية · المؤشرات'!X16</f>
        <v/>
      </c>
      <c r="E118" s="91">
        <f>'التقنية الرقمية · المؤشرات'!Y16</f>
        <v/>
      </c>
      <c r="F118" s="93">
        <f>'التقنية الرقمية · المؤشرات'!V16</f>
        <v/>
      </c>
      <c r="G118" s="68">
        <f>'التقنية الرقمية · المؤشرات'!W16</f>
        <v/>
      </c>
      <c r="H118" s="68">
        <f>'التقنية الرقمية · المؤشرات'!AH16</f>
        <v/>
      </c>
    </row>
    <row r="119">
      <c r="A119" s="68" t="n">
        <v>116</v>
      </c>
      <c r="B119" s="91" t="inlineStr">
        <is>
          <t>التقنية الرقمية</t>
        </is>
      </c>
      <c r="C119" s="91">
        <f>'التقنية الرقمية · المؤشرات'!C17</f>
        <v/>
      </c>
      <c r="D119" s="68">
        <f>'التقنية الرقمية · المؤشرات'!X17</f>
        <v/>
      </c>
      <c r="E119" s="91">
        <f>'التقنية الرقمية · المؤشرات'!Y17</f>
        <v/>
      </c>
      <c r="F119" s="93">
        <f>'التقنية الرقمية · المؤشرات'!V17</f>
        <v/>
      </c>
      <c r="G119" s="68">
        <f>'التقنية الرقمية · المؤشرات'!W17</f>
        <v/>
      </c>
      <c r="H119" s="68">
        <f>'التقنية الرقمية · المؤشرات'!AH17</f>
        <v/>
      </c>
    </row>
    <row r="120">
      <c r="A120" s="68" t="n">
        <v>117</v>
      </c>
      <c r="B120" s="91" t="inlineStr">
        <is>
          <t>التقنية الرقمية</t>
        </is>
      </c>
      <c r="C120" s="91">
        <f>'التقنية الرقمية · المؤشرات'!C18</f>
        <v/>
      </c>
      <c r="D120" s="68">
        <f>'التقنية الرقمية · المؤشرات'!X18</f>
        <v/>
      </c>
      <c r="E120" s="91">
        <f>'التقنية الرقمية · المؤشرات'!Y18</f>
        <v/>
      </c>
      <c r="F120" s="93">
        <f>'التقنية الرقمية · المؤشرات'!V18</f>
        <v/>
      </c>
      <c r="G120" s="68">
        <f>'التقنية الرقمية · المؤشرات'!W18</f>
        <v/>
      </c>
      <c r="H120" s="68">
        <f>'التقنية الرقمية · المؤشرات'!AH18</f>
        <v/>
      </c>
    </row>
    <row r="121">
      <c r="A121" s="68" t="n">
        <v>118</v>
      </c>
      <c r="B121" s="91" t="inlineStr">
        <is>
          <t>التقنية الرقمية</t>
        </is>
      </c>
      <c r="C121" s="91">
        <f>'التقنية الرقمية · المؤشرات'!C19</f>
        <v/>
      </c>
      <c r="D121" s="68">
        <f>'التقنية الرقمية · المؤشرات'!X19</f>
        <v/>
      </c>
      <c r="E121" s="91">
        <f>'التقنية الرقمية · المؤشرات'!Y19</f>
        <v/>
      </c>
      <c r="F121" s="93">
        <f>'التقنية الرقمية · المؤشرات'!V19</f>
        <v/>
      </c>
      <c r="G121" s="68">
        <f>'التقنية الرقمية · المؤشرات'!W19</f>
        <v/>
      </c>
      <c r="H121" s="68">
        <f>'التقنية الرقمية · المؤشرات'!AH19</f>
        <v/>
      </c>
    </row>
    <row r="122">
      <c r="A122" s="68" t="n">
        <v>119</v>
      </c>
      <c r="B122" s="91" t="inlineStr">
        <is>
          <t>التقنية الرقمية</t>
        </is>
      </c>
      <c r="C122" s="91">
        <f>'التقنية الرقمية · المؤشرات'!C20</f>
        <v/>
      </c>
      <c r="D122" s="68">
        <f>'التقنية الرقمية · المؤشرات'!X20</f>
        <v/>
      </c>
      <c r="E122" s="91">
        <f>'التقنية الرقمية · المؤشرات'!Y20</f>
        <v/>
      </c>
      <c r="F122" s="93">
        <f>'التقنية الرقمية · المؤشرات'!V20</f>
        <v/>
      </c>
      <c r="G122" s="68">
        <f>'التقنية الرقمية · المؤشرات'!W20</f>
        <v/>
      </c>
      <c r="H122" s="68">
        <f>'التقنية الرقمية · المؤشرات'!AH20</f>
        <v/>
      </c>
    </row>
    <row r="123">
      <c r="A123" s="68" t="n">
        <v>120</v>
      </c>
      <c r="B123" s="91" t="inlineStr">
        <is>
          <t>التقنية الرقمية</t>
        </is>
      </c>
      <c r="C123" s="91">
        <f>'التقنية الرقمية · المؤشرات'!C21</f>
        <v/>
      </c>
      <c r="D123" s="68">
        <f>'التقنية الرقمية · المؤشرات'!X21</f>
        <v/>
      </c>
      <c r="E123" s="91">
        <f>'التقنية الرقمية · المؤشرات'!Y21</f>
        <v/>
      </c>
      <c r="F123" s="93">
        <f>'التقنية الرقمية · المؤشرات'!V21</f>
        <v/>
      </c>
      <c r="G123" s="68">
        <f>'التقنية الرقمية · المؤشرات'!W21</f>
        <v/>
      </c>
      <c r="H123" s="68">
        <f>'التقنية الرقمية · المؤشرات'!AH21</f>
        <v/>
      </c>
    </row>
    <row r="124">
      <c r="A124" s="68" t="n">
        <v>121</v>
      </c>
      <c r="B124" s="91" t="inlineStr">
        <is>
          <t>التقنية الرقمية</t>
        </is>
      </c>
      <c r="C124" s="91">
        <f>'التقنية الرقمية · المؤشرات'!C22</f>
        <v/>
      </c>
      <c r="D124" s="68">
        <f>'التقنية الرقمية · المؤشرات'!X22</f>
        <v/>
      </c>
      <c r="E124" s="91">
        <f>'التقنية الرقمية · المؤشرات'!Y22</f>
        <v/>
      </c>
      <c r="F124" s="93">
        <f>'التقنية الرقمية · المؤشرات'!V22</f>
        <v/>
      </c>
      <c r="G124" s="68">
        <f>'التقنية الرقمية · المؤشرات'!W22</f>
        <v/>
      </c>
      <c r="H124" s="68">
        <f>'التقنية الرقمية · المؤشرات'!AH22</f>
        <v/>
      </c>
    </row>
    <row r="125">
      <c r="A125" s="68" t="n">
        <v>122</v>
      </c>
      <c r="B125" s="91" t="inlineStr">
        <is>
          <t>التقنية الرقمية</t>
        </is>
      </c>
      <c r="C125" s="91">
        <f>'التقنية الرقمية · المؤشرات'!C23</f>
        <v/>
      </c>
      <c r="D125" s="68">
        <f>'التقنية الرقمية · المؤشرات'!X23</f>
        <v/>
      </c>
      <c r="E125" s="91">
        <f>'التقنية الرقمية · المؤشرات'!Y23</f>
        <v/>
      </c>
      <c r="F125" s="93">
        <f>'التقنية الرقمية · المؤشرات'!V23</f>
        <v/>
      </c>
      <c r="G125" s="68">
        <f>'التقنية الرقمية · المؤشرات'!W23</f>
        <v/>
      </c>
      <c r="H125" s="68">
        <f>'التقنية الرقمية · المؤشرات'!AH23</f>
        <v/>
      </c>
    </row>
    <row r="126">
      <c r="A126" s="68" t="n">
        <v>123</v>
      </c>
      <c r="B126" s="91" t="inlineStr">
        <is>
          <t>التقنية الرقمية</t>
        </is>
      </c>
      <c r="C126" s="91">
        <f>'التقنية الرقمية · المؤشرات'!C24</f>
        <v/>
      </c>
      <c r="D126" s="68">
        <f>'التقنية الرقمية · المؤشرات'!X24</f>
        <v/>
      </c>
      <c r="E126" s="91">
        <f>'التقنية الرقمية · المؤشرات'!Y24</f>
        <v/>
      </c>
      <c r="F126" s="93">
        <f>'التقنية الرقمية · المؤشرات'!V24</f>
        <v/>
      </c>
      <c r="G126" s="68">
        <f>'التقنية الرقمية · المؤشرات'!W24</f>
        <v/>
      </c>
      <c r="H126" s="68">
        <f>'التقنية الرقمية · المؤشرات'!AH24</f>
        <v/>
      </c>
    </row>
    <row r="127">
      <c r="A127" s="68" t="n">
        <v>124</v>
      </c>
      <c r="B127" s="91" t="inlineStr">
        <is>
          <t>التقنية الرقمية</t>
        </is>
      </c>
      <c r="C127" s="91">
        <f>'التقنية الرقمية · المؤشرات'!C25</f>
        <v/>
      </c>
      <c r="D127" s="68">
        <f>'التقنية الرقمية · المؤشرات'!X25</f>
        <v/>
      </c>
      <c r="E127" s="91">
        <f>'التقنية الرقمية · المؤشرات'!Y25</f>
        <v/>
      </c>
      <c r="F127" s="93">
        <f>'التقنية الرقمية · المؤشرات'!V25</f>
        <v/>
      </c>
      <c r="G127" s="68">
        <f>'التقنية الرقمية · المؤشرات'!W25</f>
        <v/>
      </c>
      <c r="H127" s="68">
        <f>'التقنية الرقمية · المؤشرات'!AH25</f>
        <v/>
      </c>
    </row>
    <row r="128">
      <c r="A128" s="68" t="n">
        <v>125</v>
      </c>
      <c r="B128" s="91" t="inlineStr">
        <is>
          <t>التقنية الرقمية</t>
        </is>
      </c>
      <c r="C128" s="91">
        <f>'التقنية الرقمية · المؤشرات'!C26</f>
        <v/>
      </c>
      <c r="D128" s="68">
        <f>'التقنية الرقمية · المؤشرات'!X26</f>
        <v/>
      </c>
      <c r="E128" s="91">
        <f>'التقنية الرقمية · المؤشرات'!Y26</f>
        <v/>
      </c>
      <c r="F128" s="93">
        <f>'التقنية الرقمية · المؤشرات'!V26</f>
        <v/>
      </c>
      <c r="G128" s="68">
        <f>'التقنية الرقمية · المؤشرات'!W26</f>
        <v/>
      </c>
      <c r="H128" s="68">
        <f>'التقنية الرقمية · المؤشرات'!AH26</f>
        <v/>
      </c>
    </row>
    <row r="129">
      <c r="A129" s="68" t="n">
        <v>126</v>
      </c>
      <c r="B129" s="91" t="inlineStr">
        <is>
          <t>التقنية الرقمية</t>
        </is>
      </c>
      <c r="C129" s="91">
        <f>'التقنية الرقمية · المؤشرات'!C27</f>
        <v/>
      </c>
      <c r="D129" s="68">
        <f>'التقنية الرقمية · المؤشرات'!X27</f>
        <v/>
      </c>
      <c r="E129" s="91">
        <f>'التقنية الرقمية · المؤشرات'!Y27</f>
        <v/>
      </c>
      <c r="F129" s="93">
        <f>'التقنية الرقمية · المؤشرات'!V27</f>
        <v/>
      </c>
      <c r="G129" s="68">
        <f>'التقنية الرقمية · المؤشرات'!W27</f>
        <v/>
      </c>
      <c r="H129" s="68">
        <f>'التقنية الرقمية · المؤشرات'!AH27</f>
        <v/>
      </c>
    </row>
    <row r="130">
      <c r="A130" s="68" t="n">
        <v>127</v>
      </c>
      <c r="B130" s="91" t="inlineStr">
        <is>
          <t>الموارد البشرية</t>
        </is>
      </c>
      <c r="C130" s="91">
        <f>'الموارد البشرية · المؤشرات'!C4</f>
        <v/>
      </c>
      <c r="D130" s="68">
        <f>'الموارد البشرية · المؤشرات'!X4</f>
        <v/>
      </c>
      <c r="E130" s="91">
        <f>'الموارد البشرية · المؤشرات'!Y4</f>
        <v/>
      </c>
      <c r="F130" s="93">
        <f>'الموارد البشرية · المؤشرات'!V4</f>
        <v/>
      </c>
      <c r="G130" s="68">
        <f>'الموارد البشرية · المؤشرات'!W4</f>
        <v/>
      </c>
      <c r="H130" s="68">
        <f>'الموارد البشرية · المؤشرات'!AH4</f>
        <v/>
      </c>
    </row>
    <row r="131">
      <c r="A131" s="68" t="n">
        <v>128</v>
      </c>
      <c r="B131" s="91" t="inlineStr">
        <is>
          <t>الموارد البشرية</t>
        </is>
      </c>
      <c r="C131" s="91">
        <f>'الموارد البشرية · المؤشرات'!C5</f>
        <v/>
      </c>
      <c r="D131" s="68">
        <f>'الموارد البشرية · المؤشرات'!X5</f>
        <v/>
      </c>
      <c r="E131" s="91">
        <f>'الموارد البشرية · المؤشرات'!Y5</f>
        <v/>
      </c>
      <c r="F131" s="93">
        <f>'الموارد البشرية · المؤشرات'!V5</f>
        <v/>
      </c>
      <c r="G131" s="68">
        <f>'الموارد البشرية · المؤشرات'!W5</f>
        <v/>
      </c>
      <c r="H131" s="68">
        <f>'الموارد البشرية · المؤشرات'!AH5</f>
        <v/>
      </c>
    </row>
    <row r="132">
      <c r="A132" s="68" t="n">
        <v>129</v>
      </c>
      <c r="B132" s="91" t="inlineStr">
        <is>
          <t>الموارد البشرية</t>
        </is>
      </c>
      <c r="C132" s="91">
        <f>'الموارد البشرية · المؤشرات'!C6</f>
        <v/>
      </c>
      <c r="D132" s="68">
        <f>'الموارد البشرية · المؤشرات'!X6</f>
        <v/>
      </c>
      <c r="E132" s="91">
        <f>'الموارد البشرية · المؤشرات'!Y6</f>
        <v/>
      </c>
      <c r="F132" s="93">
        <f>'الموارد البشرية · المؤشرات'!V6</f>
        <v/>
      </c>
      <c r="G132" s="68">
        <f>'الموارد البشرية · المؤشرات'!W6</f>
        <v/>
      </c>
      <c r="H132" s="68">
        <f>'الموارد البشرية · المؤشرات'!AH6</f>
        <v/>
      </c>
    </row>
    <row r="133">
      <c r="A133" s="68" t="n">
        <v>130</v>
      </c>
      <c r="B133" s="91" t="inlineStr">
        <is>
          <t>الموارد البشرية</t>
        </is>
      </c>
      <c r="C133" s="91">
        <f>'الموارد البشرية · المؤشرات'!C7</f>
        <v/>
      </c>
      <c r="D133" s="68">
        <f>'الموارد البشرية · المؤشرات'!X7</f>
        <v/>
      </c>
      <c r="E133" s="91">
        <f>'الموارد البشرية · المؤشرات'!Y7</f>
        <v/>
      </c>
      <c r="F133" s="93">
        <f>'الموارد البشرية · المؤشرات'!V7</f>
        <v/>
      </c>
      <c r="G133" s="68">
        <f>'الموارد البشرية · المؤشرات'!W7</f>
        <v/>
      </c>
      <c r="H133" s="68">
        <f>'الموارد البشرية · المؤشرات'!AH7</f>
        <v/>
      </c>
    </row>
    <row r="134">
      <c r="A134" s="68" t="n">
        <v>131</v>
      </c>
      <c r="B134" s="91" t="inlineStr">
        <is>
          <t>الموارد البشرية</t>
        </is>
      </c>
      <c r="C134" s="91">
        <f>'الموارد البشرية · المؤشرات'!C8</f>
        <v/>
      </c>
      <c r="D134" s="68">
        <f>'الموارد البشرية · المؤشرات'!X8</f>
        <v/>
      </c>
      <c r="E134" s="91">
        <f>'الموارد البشرية · المؤشرات'!Y8</f>
        <v/>
      </c>
      <c r="F134" s="93">
        <f>'الموارد البشرية · المؤشرات'!V8</f>
        <v/>
      </c>
      <c r="G134" s="68">
        <f>'الموارد البشرية · المؤشرات'!W8</f>
        <v/>
      </c>
      <c r="H134" s="68">
        <f>'الموارد البشرية · المؤشرات'!AH8</f>
        <v/>
      </c>
    </row>
    <row r="135">
      <c r="A135" s="68" t="n">
        <v>132</v>
      </c>
      <c r="B135" s="91" t="inlineStr">
        <is>
          <t>الموارد البشرية</t>
        </is>
      </c>
      <c r="C135" s="91">
        <f>'الموارد البشرية · المؤشرات'!C9</f>
        <v/>
      </c>
      <c r="D135" s="68">
        <f>'الموارد البشرية · المؤشرات'!X9</f>
        <v/>
      </c>
      <c r="E135" s="91">
        <f>'الموارد البشرية · المؤشرات'!Y9</f>
        <v/>
      </c>
      <c r="F135" s="93">
        <f>'الموارد البشرية · المؤشرات'!V9</f>
        <v/>
      </c>
      <c r="G135" s="68">
        <f>'الموارد البشرية · المؤشرات'!W9</f>
        <v/>
      </c>
      <c r="H135" s="68">
        <f>'الموارد البشرية · المؤشرات'!AH9</f>
        <v/>
      </c>
    </row>
    <row r="136">
      <c r="A136" s="68" t="n">
        <v>133</v>
      </c>
      <c r="B136" s="91" t="inlineStr">
        <is>
          <t>الموارد البشرية</t>
        </is>
      </c>
      <c r="C136" s="91">
        <f>'الموارد البشرية · المؤشرات'!C10</f>
        <v/>
      </c>
      <c r="D136" s="68">
        <f>'الموارد البشرية · المؤشرات'!X10</f>
        <v/>
      </c>
      <c r="E136" s="91">
        <f>'الموارد البشرية · المؤشرات'!Y10</f>
        <v/>
      </c>
      <c r="F136" s="93">
        <f>'الموارد البشرية · المؤشرات'!V10</f>
        <v/>
      </c>
      <c r="G136" s="68">
        <f>'الموارد البشرية · المؤشرات'!W10</f>
        <v/>
      </c>
      <c r="H136" s="68">
        <f>'الموارد البشرية · المؤشرات'!AH10</f>
        <v/>
      </c>
    </row>
    <row r="137">
      <c r="A137" s="68" t="n">
        <v>134</v>
      </c>
      <c r="B137" s="91" t="inlineStr">
        <is>
          <t>الموارد البشرية</t>
        </is>
      </c>
      <c r="C137" s="91">
        <f>'الموارد البشرية · المؤشرات'!C11</f>
        <v/>
      </c>
      <c r="D137" s="68">
        <f>'الموارد البشرية · المؤشرات'!X11</f>
        <v/>
      </c>
      <c r="E137" s="91">
        <f>'الموارد البشرية · المؤشرات'!Y11</f>
        <v/>
      </c>
      <c r="F137" s="93">
        <f>'الموارد البشرية · المؤشرات'!V11</f>
        <v/>
      </c>
      <c r="G137" s="68">
        <f>'الموارد البشرية · المؤشرات'!W11</f>
        <v/>
      </c>
      <c r="H137" s="68">
        <f>'الموارد البشرية · المؤشرات'!AH11</f>
        <v/>
      </c>
    </row>
    <row r="138">
      <c r="A138" s="68" t="n">
        <v>135</v>
      </c>
      <c r="B138" s="91" t="inlineStr">
        <is>
          <t>الموارد البشرية</t>
        </is>
      </c>
      <c r="C138" s="91">
        <f>'الموارد البشرية · المؤشرات'!C12</f>
        <v/>
      </c>
      <c r="D138" s="68">
        <f>'الموارد البشرية · المؤشرات'!X12</f>
        <v/>
      </c>
      <c r="E138" s="91">
        <f>'الموارد البشرية · المؤشرات'!Y12</f>
        <v/>
      </c>
      <c r="F138" s="93">
        <f>'الموارد البشرية · المؤشرات'!V12</f>
        <v/>
      </c>
      <c r="G138" s="68">
        <f>'الموارد البشرية · المؤشرات'!W12</f>
        <v/>
      </c>
      <c r="H138" s="68">
        <f>'الموارد البشرية · المؤشرات'!AH12</f>
        <v/>
      </c>
    </row>
    <row r="139">
      <c r="A139" s="68" t="n">
        <v>136</v>
      </c>
      <c r="B139" s="91" t="inlineStr">
        <is>
          <t>الموارد البشرية</t>
        </is>
      </c>
      <c r="C139" s="91">
        <f>'الموارد البشرية · المؤشرات'!C13</f>
        <v/>
      </c>
      <c r="D139" s="68">
        <f>'الموارد البشرية · المؤشرات'!X13</f>
        <v/>
      </c>
      <c r="E139" s="91">
        <f>'الموارد البشرية · المؤشرات'!Y13</f>
        <v/>
      </c>
      <c r="F139" s="93">
        <f>'الموارد البشرية · المؤشرات'!V13</f>
        <v/>
      </c>
      <c r="G139" s="68">
        <f>'الموارد البشرية · المؤشرات'!W13</f>
        <v/>
      </c>
      <c r="H139" s="68">
        <f>'الموارد البشرية · المؤشرات'!AH13</f>
        <v/>
      </c>
    </row>
    <row r="140">
      <c r="A140" s="68" t="n">
        <v>137</v>
      </c>
      <c r="B140" s="91" t="inlineStr">
        <is>
          <t>الموارد البشرية</t>
        </is>
      </c>
      <c r="C140" s="91">
        <f>'الموارد البشرية · المؤشرات'!C14</f>
        <v/>
      </c>
      <c r="D140" s="68">
        <f>'الموارد البشرية · المؤشرات'!X14</f>
        <v/>
      </c>
      <c r="E140" s="91">
        <f>'الموارد البشرية · المؤشرات'!Y14</f>
        <v/>
      </c>
      <c r="F140" s="93">
        <f>'الموارد البشرية · المؤشرات'!V14</f>
        <v/>
      </c>
      <c r="G140" s="68">
        <f>'الموارد البشرية · المؤشرات'!W14</f>
        <v/>
      </c>
      <c r="H140" s="68">
        <f>'الموارد البشرية · المؤشرات'!AH14</f>
        <v/>
      </c>
    </row>
    <row r="141">
      <c r="A141" s="68" t="n">
        <v>138</v>
      </c>
      <c r="B141" s="91" t="inlineStr">
        <is>
          <t>الموارد البشرية</t>
        </is>
      </c>
      <c r="C141" s="91">
        <f>'الموارد البشرية · المؤشرات'!C15</f>
        <v/>
      </c>
      <c r="D141" s="68">
        <f>'الموارد البشرية · المؤشرات'!X15</f>
        <v/>
      </c>
      <c r="E141" s="91">
        <f>'الموارد البشرية · المؤشرات'!Y15</f>
        <v/>
      </c>
      <c r="F141" s="93">
        <f>'الموارد البشرية · المؤشرات'!V15</f>
        <v/>
      </c>
      <c r="G141" s="68">
        <f>'الموارد البشرية · المؤشرات'!W15</f>
        <v/>
      </c>
      <c r="H141" s="68">
        <f>'الموارد البشرية · المؤشرات'!AH15</f>
        <v/>
      </c>
    </row>
    <row r="142">
      <c r="A142" s="68" t="n">
        <v>139</v>
      </c>
      <c r="B142" s="91" t="inlineStr">
        <is>
          <t>الموارد البشرية</t>
        </is>
      </c>
      <c r="C142" s="91">
        <f>'الموارد البشرية · المؤشرات'!C16</f>
        <v/>
      </c>
      <c r="D142" s="68">
        <f>'الموارد البشرية · المؤشرات'!X16</f>
        <v/>
      </c>
      <c r="E142" s="91">
        <f>'الموارد البشرية · المؤشرات'!Y16</f>
        <v/>
      </c>
      <c r="F142" s="93">
        <f>'الموارد البشرية · المؤشرات'!V16</f>
        <v/>
      </c>
      <c r="G142" s="68">
        <f>'الموارد البشرية · المؤشرات'!W16</f>
        <v/>
      </c>
      <c r="H142" s="68">
        <f>'الموارد البشرية · المؤشرات'!AH16</f>
        <v/>
      </c>
    </row>
    <row r="143">
      <c r="A143" s="68" t="n">
        <v>140</v>
      </c>
      <c r="B143" s="91" t="inlineStr">
        <is>
          <t>الموارد البشرية</t>
        </is>
      </c>
      <c r="C143" s="91">
        <f>'الموارد البشرية · المؤشرات'!C17</f>
        <v/>
      </c>
      <c r="D143" s="68">
        <f>'الموارد البشرية · المؤشرات'!X17</f>
        <v/>
      </c>
      <c r="E143" s="91">
        <f>'الموارد البشرية · المؤشرات'!Y17</f>
        <v/>
      </c>
      <c r="F143" s="93">
        <f>'الموارد البشرية · المؤشرات'!V17</f>
        <v/>
      </c>
      <c r="G143" s="68">
        <f>'الموارد البشرية · المؤشرات'!W17</f>
        <v/>
      </c>
      <c r="H143" s="68">
        <f>'الموارد البشرية · المؤشرات'!AH17</f>
        <v/>
      </c>
    </row>
    <row r="144">
      <c r="A144" s="68" t="n">
        <v>141</v>
      </c>
      <c r="B144" s="91" t="inlineStr">
        <is>
          <t>الموارد البشرية</t>
        </is>
      </c>
      <c r="C144" s="91">
        <f>'الموارد البشرية · المؤشرات'!C18</f>
        <v/>
      </c>
      <c r="D144" s="68">
        <f>'الموارد البشرية · المؤشرات'!X18</f>
        <v/>
      </c>
      <c r="E144" s="91">
        <f>'الموارد البشرية · المؤشرات'!Y18</f>
        <v/>
      </c>
      <c r="F144" s="93">
        <f>'الموارد البشرية · المؤشرات'!V18</f>
        <v/>
      </c>
      <c r="G144" s="68">
        <f>'الموارد البشرية · المؤشرات'!W18</f>
        <v/>
      </c>
      <c r="H144" s="68">
        <f>'الموارد البشرية · المؤشرات'!AH18</f>
        <v/>
      </c>
    </row>
    <row r="145">
      <c r="A145" s="68" t="n">
        <v>142</v>
      </c>
      <c r="B145" s="91" t="inlineStr">
        <is>
          <t>الموارد البشرية</t>
        </is>
      </c>
      <c r="C145" s="91">
        <f>'الموارد البشرية · المؤشرات'!C19</f>
        <v/>
      </c>
      <c r="D145" s="68">
        <f>'الموارد البشرية · المؤشرات'!X19</f>
        <v/>
      </c>
      <c r="E145" s="91">
        <f>'الموارد البشرية · المؤشرات'!Y19</f>
        <v/>
      </c>
      <c r="F145" s="93">
        <f>'الموارد البشرية · المؤشرات'!V19</f>
        <v/>
      </c>
      <c r="G145" s="68">
        <f>'الموارد البشرية · المؤشرات'!W19</f>
        <v/>
      </c>
      <c r="H145" s="68">
        <f>'الموارد البشرية · المؤشرات'!AH19</f>
        <v/>
      </c>
    </row>
    <row r="146">
      <c r="A146" s="68" t="n">
        <v>143</v>
      </c>
      <c r="B146" s="91" t="inlineStr">
        <is>
          <t>الموارد البشرية</t>
        </is>
      </c>
      <c r="C146" s="91">
        <f>'الموارد البشرية · المؤشرات'!C20</f>
        <v/>
      </c>
      <c r="D146" s="68">
        <f>'الموارد البشرية · المؤشرات'!X20</f>
        <v/>
      </c>
      <c r="E146" s="91">
        <f>'الموارد البشرية · المؤشرات'!Y20</f>
        <v/>
      </c>
      <c r="F146" s="93">
        <f>'الموارد البشرية · المؤشرات'!V20</f>
        <v/>
      </c>
      <c r="G146" s="68">
        <f>'الموارد البشرية · المؤشرات'!W20</f>
        <v/>
      </c>
      <c r="H146" s="68">
        <f>'الموارد البشرية · المؤشرات'!AH20</f>
        <v/>
      </c>
    </row>
    <row r="147">
      <c r="A147" s="68" t="n">
        <v>144</v>
      </c>
      <c r="B147" s="91" t="inlineStr">
        <is>
          <t>التسويق</t>
        </is>
      </c>
      <c r="C147" s="91">
        <f>'التسويق · المؤشرات'!C4</f>
        <v/>
      </c>
      <c r="D147" s="68">
        <f>'التسويق · المؤشرات'!X4</f>
        <v/>
      </c>
      <c r="E147" s="91">
        <f>'التسويق · المؤشرات'!Y4</f>
        <v/>
      </c>
      <c r="F147" s="93">
        <f>'التسويق · المؤشرات'!V4</f>
        <v/>
      </c>
      <c r="G147" s="68">
        <f>'التسويق · المؤشرات'!W4</f>
        <v/>
      </c>
      <c r="H147" s="68">
        <f>'التسويق · المؤشرات'!AH4</f>
        <v/>
      </c>
    </row>
    <row r="148">
      <c r="A148" s="68" t="n">
        <v>145</v>
      </c>
      <c r="B148" s="91" t="inlineStr">
        <is>
          <t>التسويق</t>
        </is>
      </c>
      <c r="C148" s="91">
        <f>'التسويق · المؤشرات'!C5</f>
        <v/>
      </c>
      <c r="D148" s="68">
        <f>'التسويق · المؤشرات'!X5</f>
        <v/>
      </c>
      <c r="E148" s="91">
        <f>'التسويق · المؤشرات'!Y5</f>
        <v/>
      </c>
      <c r="F148" s="93">
        <f>'التسويق · المؤشرات'!V5</f>
        <v/>
      </c>
      <c r="G148" s="68">
        <f>'التسويق · المؤشرات'!W5</f>
        <v/>
      </c>
      <c r="H148" s="68">
        <f>'التسويق · المؤشرات'!AH5</f>
        <v/>
      </c>
    </row>
    <row r="149">
      <c r="A149" s="68" t="n">
        <v>146</v>
      </c>
      <c r="B149" s="91" t="inlineStr">
        <is>
          <t>التسويق</t>
        </is>
      </c>
      <c r="C149" s="91">
        <f>'التسويق · المؤشرات'!C6</f>
        <v/>
      </c>
      <c r="D149" s="68">
        <f>'التسويق · المؤشرات'!X6</f>
        <v/>
      </c>
      <c r="E149" s="91">
        <f>'التسويق · المؤشرات'!Y6</f>
        <v/>
      </c>
      <c r="F149" s="93">
        <f>'التسويق · المؤشرات'!V6</f>
        <v/>
      </c>
      <c r="G149" s="68">
        <f>'التسويق · المؤشرات'!W6</f>
        <v/>
      </c>
      <c r="H149" s="68">
        <f>'التسويق · المؤشرات'!AH6</f>
        <v/>
      </c>
    </row>
    <row r="150">
      <c r="A150" s="68" t="n">
        <v>147</v>
      </c>
      <c r="B150" s="91" t="inlineStr">
        <is>
          <t>التسويق</t>
        </is>
      </c>
      <c r="C150" s="91">
        <f>'التسويق · المؤشرات'!C7</f>
        <v/>
      </c>
      <c r="D150" s="68">
        <f>'التسويق · المؤشرات'!X7</f>
        <v/>
      </c>
      <c r="E150" s="91">
        <f>'التسويق · المؤشرات'!Y7</f>
        <v/>
      </c>
      <c r="F150" s="93">
        <f>'التسويق · المؤشرات'!V7</f>
        <v/>
      </c>
      <c r="G150" s="68">
        <f>'التسويق · المؤشرات'!W7</f>
        <v/>
      </c>
      <c r="H150" s="68">
        <f>'التسويق · المؤشرات'!AH7</f>
        <v/>
      </c>
    </row>
    <row r="151">
      <c r="A151" s="68" t="n">
        <v>148</v>
      </c>
      <c r="B151" s="91" t="inlineStr">
        <is>
          <t>التسويق</t>
        </is>
      </c>
      <c r="C151" s="91">
        <f>'التسويق · المؤشرات'!C8</f>
        <v/>
      </c>
      <c r="D151" s="68">
        <f>'التسويق · المؤشرات'!X8</f>
        <v/>
      </c>
      <c r="E151" s="91">
        <f>'التسويق · المؤشرات'!Y8</f>
        <v/>
      </c>
      <c r="F151" s="93">
        <f>'التسويق · المؤشرات'!V8</f>
        <v/>
      </c>
      <c r="G151" s="68">
        <f>'التسويق · المؤشرات'!W8</f>
        <v/>
      </c>
      <c r="H151" s="68">
        <f>'التسويق · المؤشرات'!AH8</f>
        <v/>
      </c>
    </row>
    <row r="152">
      <c r="A152" s="68" t="n">
        <v>149</v>
      </c>
      <c r="B152" s="91" t="inlineStr">
        <is>
          <t>التسويق</t>
        </is>
      </c>
      <c r="C152" s="91">
        <f>'التسويق · المؤشرات'!C9</f>
        <v/>
      </c>
      <c r="D152" s="68">
        <f>'التسويق · المؤشرات'!X9</f>
        <v/>
      </c>
      <c r="E152" s="91">
        <f>'التسويق · المؤشرات'!Y9</f>
        <v/>
      </c>
      <c r="F152" s="93">
        <f>'التسويق · المؤشرات'!V9</f>
        <v/>
      </c>
      <c r="G152" s="68">
        <f>'التسويق · المؤشرات'!W9</f>
        <v/>
      </c>
      <c r="H152" s="68">
        <f>'التسويق · المؤشرات'!AH9</f>
        <v/>
      </c>
    </row>
    <row r="153">
      <c r="A153" s="68" t="n">
        <v>150</v>
      </c>
      <c r="B153" s="91" t="inlineStr">
        <is>
          <t>التسويق</t>
        </is>
      </c>
      <c r="C153" s="91">
        <f>'التسويق · المؤشرات'!C10</f>
        <v/>
      </c>
      <c r="D153" s="68">
        <f>'التسويق · المؤشرات'!X10</f>
        <v/>
      </c>
      <c r="E153" s="91">
        <f>'التسويق · المؤشرات'!Y10</f>
        <v/>
      </c>
      <c r="F153" s="93">
        <f>'التسويق · المؤشرات'!V10</f>
        <v/>
      </c>
      <c r="G153" s="68">
        <f>'التسويق · المؤشرات'!W10</f>
        <v/>
      </c>
      <c r="H153" s="68">
        <f>'التسويق · المؤشرات'!AH10</f>
        <v/>
      </c>
    </row>
    <row r="154">
      <c r="A154" s="68" t="n">
        <v>151</v>
      </c>
      <c r="B154" s="91" t="inlineStr">
        <is>
          <t>التسويق</t>
        </is>
      </c>
      <c r="C154" s="91">
        <f>'التسويق · المؤشرات'!C11</f>
        <v/>
      </c>
      <c r="D154" s="68">
        <f>'التسويق · المؤشرات'!X11</f>
        <v/>
      </c>
      <c r="E154" s="91">
        <f>'التسويق · المؤشرات'!Y11</f>
        <v/>
      </c>
      <c r="F154" s="93">
        <f>'التسويق · المؤشرات'!V11</f>
        <v/>
      </c>
      <c r="G154" s="68">
        <f>'التسويق · المؤشرات'!W11</f>
        <v/>
      </c>
      <c r="H154" s="68">
        <f>'التسويق · المؤشرات'!AH11</f>
        <v/>
      </c>
    </row>
    <row r="155">
      <c r="A155" s="68" t="n">
        <v>152</v>
      </c>
      <c r="B155" s="91" t="inlineStr">
        <is>
          <t>التسويق</t>
        </is>
      </c>
      <c r="C155" s="91">
        <f>'التسويق · المؤشرات'!C12</f>
        <v/>
      </c>
      <c r="D155" s="68">
        <f>'التسويق · المؤشرات'!X12</f>
        <v/>
      </c>
      <c r="E155" s="91">
        <f>'التسويق · المؤشرات'!Y12</f>
        <v/>
      </c>
      <c r="F155" s="93">
        <f>'التسويق · المؤشرات'!V12</f>
        <v/>
      </c>
      <c r="G155" s="68">
        <f>'التسويق · المؤشرات'!W12</f>
        <v/>
      </c>
      <c r="H155" s="68">
        <f>'التسويق · المؤشرات'!AH12</f>
        <v/>
      </c>
    </row>
    <row r="156">
      <c r="A156" s="68" t="n">
        <v>153</v>
      </c>
      <c r="B156" s="91" t="inlineStr">
        <is>
          <t>التسويق</t>
        </is>
      </c>
      <c r="C156" s="91">
        <f>'التسويق · المؤشرات'!C13</f>
        <v/>
      </c>
      <c r="D156" s="68">
        <f>'التسويق · المؤشرات'!X13</f>
        <v/>
      </c>
      <c r="E156" s="91">
        <f>'التسويق · المؤشرات'!Y13</f>
        <v/>
      </c>
      <c r="F156" s="93">
        <f>'التسويق · المؤشرات'!V13</f>
        <v/>
      </c>
      <c r="G156" s="68">
        <f>'التسويق · المؤشرات'!W13</f>
        <v/>
      </c>
      <c r="H156" s="68">
        <f>'التسويق · المؤشرات'!AH13</f>
        <v/>
      </c>
    </row>
    <row r="157">
      <c r="A157" s="68" t="n">
        <v>154</v>
      </c>
      <c r="B157" s="91" t="inlineStr">
        <is>
          <t>التسويق</t>
        </is>
      </c>
      <c r="C157" s="91">
        <f>'التسويق · المؤشرات'!C14</f>
        <v/>
      </c>
      <c r="D157" s="68">
        <f>'التسويق · المؤشرات'!X14</f>
        <v/>
      </c>
      <c r="E157" s="91">
        <f>'التسويق · المؤشرات'!Y14</f>
        <v/>
      </c>
      <c r="F157" s="93">
        <f>'التسويق · المؤشرات'!V14</f>
        <v/>
      </c>
      <c r="G157" s="68">
        <f>'التسويق · المؤشرات'!W14</f>
        <v/>
      </c>
      <c r="H157" s="68">
        <f>'التسويق · المؤشرات'!AH14</f>
        <v/>
      </c>
    </row>
    <row r="158">
      <c r="A158" s="68" t="n">
        <v>155</v>
      </c>
      <c r="B158" s="91" t="inlineStr">
        <is>
          <t>التسويق</t>
        </is>
      </c>
      <c r="C158" s="91">
        <f>'التسويق · المؤشرات'!C15</f>
        <v/>
      </c>
      <c r="D158" s="68">
        <f>'التسويق · المؤشرات'!X15</f>
        <v/>
      </c>
      <c r="E158" s="91">
        <f>'التسويق · المؤشرات'!Y15</f>
        <v/>
      </c>
      <c r="F158" s="93">
        <f>'التسويق · المؤشرات'!V15</f>
        <v/>
      </c>
      <c r="G158" s="68">
        <f>'التسويق · المؤشرات'!W15</f>
        <v/>
      </c>
      <c r="H158" s="68">
        <f>'التسويق · المؤشرات'!AH15</f>
        <v/>
      </c>
    </row>
    <row r="159">
      <c r="A159" s="68" t="n">
        <v>156</v>
      </c>
      <c r="B159" s="91" t="inlineStr">
        <is>
          <t>التسويق</t>
        </is>
      </c>
      <c r="C159" s="91">
        <f>'التسويق · المؤشرات'!C16</f>
        <v/>
      </c>
      <c r="D159" s="68">
        <f>'التسويق · المؤشرات'!X16</f>
        <v/>
      </c>
      <c r="E159" s="91">
        <f>'التسويق · المؤشرات'!Y16</f>
        <v/>
      </c>
      <c r="F159" s="93">
        <f>'التسويق · المؤشرات'!V16</f>
        <v/>
      </c>
      <c r="G159" s="68">
        <f>'التسويق · المؤشرات'!W16</f>
        <v/>
      </c>
      <c r="H159" s="68">
        <f>'التسويق · المؤشرات'!AH16</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17"/>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التسويق · مؤشرات الأداء 2026  (13 مؤشر / 9 موظفين) — تطوير الهوية وزيادة الوصول</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 العامة</t>
        </is>
      </c>
      <c r="C4" s="22" t="inlineStr">
        <is>
          <t>الوصول الكلي (Total Reach)</t>
        </is>
      </c>
      <c r="D4" s="60" t="inlineStr">
        <is>
          <t>وصول</t>
        </is>
      </c>
      <c r="E4" s="60" t="inlineStr">
        <is>
          <t>↑</t>
        </is>
      </c>
      <c r="F4" s="60" t="inlineStr">
        <is>
          <t>LAST</t>
        </is>
      </c>
      <c r="G4" s="61" t="n">
        <v>50000000</v>
      </c>
      <c r="H4" s="62" t="inlineStr">
        <is>
          <t>50م وصول</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زيادة وصول العملاء</t>
        </is>
      </c>
      <c r="Z4" s="66" t="n"/>
      <c r="AA4" s="21" t="inlineStr">
        <is>
          <t>🟣 لاحق</t>
        </is>
      </c>
      <c r="AB4" s="53" t="n">
        <v>0.0769</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الإدارة العامة</t>
        </is>
      </c>
      <c r="C5" s="22" t="inlineStr">
        <is>
          <t>عملاء تجاريون جدد</t>
        </is>
      </c>
      <c r="D5" s="60" t="inlineStr">
        <is>
          <t>عميل</t>
        </is>
      </c>
      <c r="E5" s="60" t="inlineStr">
        <is>
          <t>↑</t>
        </is>
      </c>
      <c r="F5" s="60" t="inlineStr">
        <is>
          <t>SUM</t>
        </is>
      </c>
      <c r="G5" s="61" t="n">
        <v>200</v>
      </c>
      <c r="H5" s="62" t="inlineStr">
        <is>
          <t>200 عميل</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66" t="n"/>
      <c r="AA5" s="21" t="inlineStr">
        <is>
          <t>🟣 لاحق</t>
        </is>
      </c>
      <c r="AB5" s="53" t="n">
        <v>0.0769</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الفريق الإبداعي</t>
        </is>
      </c>
      <c r="C6" s="22" t="inlineStr">
        <is>
          <t>إجمالي المتابعين (كل المنصات)</t>
        </is>
      </c>
      <c r="D6" s="60" t="inlineStr">
        <is>
          <t>متابع</t>
        </is>
      </c>
      <c r="E6" s="60" t="inlineStr">
        <is>
          <t>↑</t>
        </is>
      </c>
      <c r="F6" s="60" t="inlineStr">
        <is>
          <t>LAST</t>
        </is>
      </c>
      <c r="G6" s="61" t="n">
        <v>380000</v>
      </c>
      <c r="H6" s="62" t="inlineStr">
        <is>
          <t>380ك متابع</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لاحق</t>
        </is>
      </c>
      <c r="AB6" s="53" t="n">
        <v>0.0769</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الفريق الإبداعي</t>
        </is>
      </c>
      <c r="C7" s="22" t="inlineStr">
        <is>
          <t>معدل التفاعل (Engagement)</t>
        </is>
      </c>
      <c r="D7" s="60" t="inlineStr">
        <is>
          <t>%</t>
        </is>
      </c>
      <c r="E7" s="60" t="inlineStr">
        <is>
          <t>↑</t>
        </is>
      </c>
      <c r="F7" s="60" t="inlineStr">
        <is>
          <t>AVG</t>
        </is>
      </c>
      <c r="G7" s="74" t="n">
        <v>0.5</v>
      </c>
      <c r="H7" s="62" t="inlineStr">
        <is>
          <t>50%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لاحق</t>
        </is>
      </c>
      <c r="AB7" s="53" t="n">
        <v>0.0769</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الحملات التسويقية</t>
        </is>
      </c>
      <c r="C8" s="22" t="inlineStr">
        <is>
          <t>حملات تسويقية منجزة</t>
        </is>
      </c>
      <c r="D8" s="60" t="inlineStr">
        <is>
          <t>حملة</t>
        </is>
      </c>
      <c r="E8" s="60" t="inlineStr">
        <is>
          <t>↑</t>
        </is>
      </c>
      <c r="F8" s="60" t="inlineStr">
        <is>
          <t>SUM</t>
        </is>
      </c>
      <c r="G8" s="61" t="n">
        <v>48</v>
      </c>
      <c r="H8" s="62" t="inlineStr">
        <is>
          <t>48 حملة</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0.0769</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الحملات التسويقية</t>
        </is>
      </c>
      <c r="C9" s="22" t="inlineStr">
        <is>
          <t>تحويل الفرص إلى عقود</t>
        </is>
      </c>
      <c r="D9" s="60" t="inlineStr">
        <is>
          <t>%</t>
        </is>
      </c>
      <c r="E9" s="60" t="inlineStr">
        <is>
          <t>↑</t>
        </is>
      </c>
      <c r="F9" s="60" t="inlineStr">
        <is>
          <t>AVG</t>
        </is>
      </c>
      <c r="G9" s="74" t="n">
        <v>0.25</v>
      </c>
      <c r="H9" s="62" t="inlineStr">
        <is>
          <t>25%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53" t="n"/>
      <c r="AA9" s="21" t="inlineStr">
        <is>
          <t>🔵 قائد</t>
        </is>
      </c>
      <c r="AB9" s="53" t="n">
        <v>0.0769</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الحملات التسويقية</t>
        </is>
      </c>
      <c r="C10" s="22" t="inlineStr">
        <is>
          <t>نسبة المبيعات لكل حملة</t>
        </is>
      </c>
      <c r="D10" s="60" t="inlineStr">
        <is>
          <t>%</t>
        </is>
      </c>
      <c r="E10" s="60" t="inlineStr">
        <is>
          <t>↑</t>
        </is>
      </c>
      <c r="F10" s="60" t="inlineStr">
        <is>
          <t>AVG</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0.0769</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الدعاية والإعلان</t>
        </is>
      </c>
      <c r="C11" s="22" t="inlineStr">
        <is>
          <t>نسبة التزام الهوية البصرية</t>
        </is>
      </c>
      <c r="D11" s="60" t="inlineStr">
        <is>
          <t>%</t>
        </is>
      </c>
      <c r="E11" s="60" t="inlineStr">
        <is>
          <t>↑</t>
        </is>
      </c>
      <c r="F11" s="60" t="inlineStr">
        <is>
          <t>LAST</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تطوير التصاميم والهوية</t>
        </is>
      </c>
      <c r="Z11" s="53" t="n"/>
      <c r="AA11" s="21" t="inlineStr">
        <is>
          <t>🟣 لاحق</t>
        </is>
      </c>
      <c r="AB11" s="53" t="n">
        <v>0.0769</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العلاقات والشراكات</t>
        </is>
      </c>
      <c r="C12" s="22" t="inlineStr">
        <is>
          <t>وصول العلاقات العامة (PR)</t>
        </is>
      </c>
      <c r="D12" s="60" t="inlineStr">
        <is>
          <t>وصول</t>
        </is>
      </c>
      <c r="E12" s="60" t="inlineStr">
        <is>
          <t>↑</t>
        </is>
      </c>
      <c r="F12" s="60" t="inlineStr">
        <is>
          <t>LAST</t>
        </is>
      </c>
      <c r="G12" s="61" t="n">
        <v>7000000</v>
      </c>
      <c r="H12" s="62" t="inlineStr">
        <is>
          <t>7م وصول</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النمو</t>
        </is>
      </c>
      <c r="Y12" s="22" t="inlineStr">
        <is>
          <t>زيادة وصول العملاء</t>
        </is>
      </c>
      <c r="Z12" s="66" t="n"/>
      <c r="AA12" s="21" t="inlineStr">
        <is>
          <t>🟣 لاحق</t>
        </is>
      </c>
      <c r="AB12" s="53" t="n">
        <v>0.0769</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العملاء</t>
        </is>
      </c>
    </row>
    <row r="13" ht="26" customHeight="1">
      <c r="A13" s="17" t="n">
        <v>10</v>
      </c>
      <c r="B13" s="22" t="inlineStr">
        <is>
          <t>العلاقات والشراكات</t>
        </is>
      </c>
      <c r="C13" s="22" t="inlineStr">
        <is>
          <t>عدد المعارض بالسنة</t>
        </is>
      </c>
      <c r="D13" s="60" t="inlineStr">
        <is>
          <t>معرض</t>
        </is>
      </c>
      <c r="E13" s="60" t="inlineStr">
        <is>
          <t>↑</t>
        </is>
      </c>
      <c r="F13" s="60" t="inlineStr">
        <is>
          <t>SUM</t>
        </is>
      </c>
      <c r="G13" s="61" t="n">
        <v>3</v>
      </c>
      <c r="H13" s="62" t="inlineStr">
        <is>
          <t>3 معارض</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إطلاق مشاريع جديدة</t>
        </is>
      </c>
      <c r="Z13" s="66" t="n"/>
      <c r="AA13" s="21" t="inlineStr">
        <is>
          <t>🔵 قائد</t>
        </is>
      </c>
      <c r="AB13" s="53" t="n">
        <v>0.0769</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العلاقات والشراكات</t>
        </is>
      </c>
      <c r="C14" s="22" t="inlineStr">
        <is>
          <t>اتفاقيات استراتيجية</t>
        </is>
      </c>
      <c r="D14" s="60" t="inlineStr">
        <is>
          <t>اتفاقية</t>
        </is>
      </c>
      <c r="E14" s="60" t="inlineStr">
        <is>
          <t>↑</t>
        </is>
      </c>
      <c r="F14" s="60" t="inlineStr">
        <is>
          <t>SUM</t>
        </is>
      </c>
      <c r="G14" s="61" t="n">
        <v>3</v>
      </c>
      <c r="H14" s="62" t="inlineStr">
        <is>
          <t>3 اتفاقيات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0.0769</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خدمة العملاء والدعم</t>
        </is>
      </c>
      <c r="C15" s="22" t="inlineStr">
        <is>
          <t>تقييم خرائط قوقل</t>
        </is>
      </c>
      <c r="D15" s="60" t="inlineStr">
        <is>
          <t>نجمة/5</t>
        </is>
      </c>
      <c r="E15" s="60" t="inlineStr">
        <is>
          <t>↑</t>
        </is>
      </c>
      <c r="F15" s="60" t="inlineStr">
        <is>
          <t>AVG</t>
        </is>
      </c>
      <c r="G15" s="75" t="n">
        <v>4.7</v>
      </c>
      <c r="H15" s="62" t="inlineStr">
        <is>
          <t>4.7 ⭐</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0.0769</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العملاء</t>
        </is>
      </c>
    </row>
    <row r="16" ht="26" customHeight="1">
      <c r="A16" s="17" t="n">
        <v>13</v>
      </c>
      <c r="B16" s="22" t="inlineStr">
        <is>
          <t>خدمة العملاء والدعم</t>
        </is>
      </c>
      <c r="C16" s="22" t="inlineStr">
        <is>
          <t>معدل خفض الشكاوى</t>
        </is>
      </c>
      <c r="D16" s="60" t="inlineStr">
        <is>
          <t>%</t>
        </is>
      </c>
      <c r="E16" s="60" t="inlineStr">
        <is>
          <t>↑</t>
        </is>
      </c>
      <c r="F16" s="60" t="inlineStr">
        <is>
          <t>AVG</t>
        </is>
      </c>
      <c r="G16" s="74" t="n">
        <v>0.3</v>
      </c>
      <c r="H16" s="62" t="inlineStr">
        <is>
          <t>30%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تعزيز تجربة العملاء</t>
        </is>
      </c>
      <c r="Z16" s="53" t="n"/>
      <c r="AA16" s="21" t="inlineStr">
        <is>
          <t>🟣 لاحق</t>
        </is>
      </c>
      <c r="AB16" s="53" t="n">
        <v>0.0769</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العملاء</t>
        </is>
      </c>
    </row>
    <row r="17">
      <c r="A17" s="80" t="inlineStr"/>
      <c r="B17" s="81" t="inlineStr">
        <is>
          <t>الإجمالي الموزون للإدارة</t>
        </is>
      </c>
      <c r="AB17" s="82">
        <f>SUM(AB4:AB16)</f>
        <v/>
      </c>
      <c r="AC17" s="83">
        <f>SUM(AC4:AC16)</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7:AA17"/>
    <mergeCell ref="A2:AH2"/>
    <mergeCell ref="A1:AH1"/>
  </mergeCells>
  <dataValidations count="1">
    <dataValidation sqref="I4 I5 I6 I7 I8 I9 I10 I11 I12 I13 I14 I15 I16 J4 J5 J6 J7 J8 J9 J10 J11 J12 J13 J14 J15 J16 K4 K5 K6 K7 K8 K9 K10 K11 K12 K13 K14 K15 K16 L4 L5 L6 L7 L8 L9 L10 L11 L12 L13 L14 L15 L16 M4 M5 M6 M7 M8 M9 M10 M11 M12 M13 M14 M15 M16 N4 N5 N6 N7 N8 N9 N10 N11 N12 N13 N14 N15 N16 O4 O5 O6 O7 O8 O9 O10 O11 O12 O13 O14 O15 O16 P4 P5 P6 P7 P8 P9 P10 P11 P12 P13 P14 P15 P16 Q4 Q5 Q6 Q7 Q8 Q9 Q10 Q11 Q12 Q13 Q14 Q15 Q16 R4 R5 R6 R7 R8 R9 R10 R11 R12 R13 R14 R15 R16 S4 S5 S6 S7 S8 S9 S10 S11 S12 S13 S14 S15 S16 T4 T5 T6 T7 T8 T9 T10 T11 T12 T13 T14 T15 T16 Z4 Z5 Z6 Z7 Z8 Z9 Z10 Z11 Z12 Z13 Z14 Z15 Z16"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2026-06-21T14:08:07Z</dcterms:created>
  <dcterms:modified xmlns:dcterms="http://purl.org/dc/terms/" xmlns:xsi="http://www.w3.org/2001/XMLSchema-instance" xsi:type="dcterms:W3CDTF">2026-06-21T14:08:08Z</dcterms:modified>
</cp:coreProperties>
</file>