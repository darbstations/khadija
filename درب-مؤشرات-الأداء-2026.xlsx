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FFF" lockStructure="1"/>
  <bookViews>
    <workbookView visibility="visible" minimized="0" showHorizontalScroll="1" showVerticalScroll="1" showSheetTabs="1" tabRatio="600" firstSheet="0" activeTab="0" autoFilterDateGrouping="1"/>
  </bookViews>
  <sheets>
    <sheet name="دليل الاستخدام" sheetId="1" state="visible" r:id="rId1"/>
    <sheet name="الاستراتيجية" sheetId="2" state="visible" r:id="rId2"/>
    <sheet name="الخارطة التنفيذية" sheetId="3" state="visible" r:id="rId3"/>
    <sheet name="لوحة الإدارة التنفيذية" sheetId="4" state="visible" r:id="rId4"/>
    <sheet name="الامتياز · المؤشرات" sheetId="5" state="visible" r:id="rId5"/>
    <sheet name="الامتياز · الموظفون" sheetId="6" state="visible" r:id="rId6"/>
    <sheet name="الامتياز · مدير الإدارة" sheetId="7" state="visible" r:id="rId7"/>
    <sheet name="الامتياز · مسؤول الامتياز" sheetId="8" state="visible" r:id="rId8"/>
    <sheet name="الامتياز · المراقب الميداني" sheetId="9" state="visible" r:id="rId9"/>
    <sheet name="الامتياز · مسؤول التعاقدات" sheetId="10" state="visible" r:id="rId10"/>
    <sheet name="الامتياز · الموظف الإداري" sheetId="11" state="visible" r:id="rId11"/>
  </sheets>
  <definedNames/>
  <calcPr calcId="124519" fullCalcOnLoad="1"/>
</workbook>
</file>

<file path=xl/styles.xml><?xml version="1.0" encoding="utf-8"?>
<styleSheet xmlns="http://schemas.openxmlformats.org/spreadsheetml/2006/main">
  <numFmts count="2">
    <numFmt numFmtId="164" formatCode="#,##0 &quot;ر.س&quot;"/>
    <numFmt numFmtId="165" formatCode="0.0"/>
  </numFmts>
  <fonts count="26">
    <font>
      <name val="Calibri"/>
      <family val="2"/>
      <color theme="1"/>
      <sz val="11"/>
      <scheme val="minor"/>
    </font>
    <font>
      <name val="Arial"/>
      <b val="1"/>
      <color rgb="001F3864"/>
      <sz val="17"/>
    </font>
    <font>
      <name val="Arial"/>
      <color rgb="00000000"/>
      <sz val="11"/>
    </font>
    <font>
      <name val="Arial"/>
      <b val="1"/>
      <color rgb="00000000"/>
      <sz val="11"/>
    </font>
    <font>
      <name val="Arial"/>
      <b val="1"/>
      <color rgb="00FFFFFF"/>
      <sz val="16"/>
    </font>
    <font>
      <name val="Arial"/>
      <b val="1"/>
      <color rgb="00FFFFFF"/>
      <sz val="11"/>
    </font>
    <font>
      <name val="Arial"/>
      <b val="1"/>
      <color rgb="00FFFFFF"/>
      <sz val="12"/>
    </font>
    <font>
      <name val="Arial"/>
      <color rgb="00FFFFFF"/>
      <sz val="11"/>
    </font>
    <font>
      <name val="Arial"/>
      <b val="1"/>
      <color rgb="001F3864"/>
      <sz val="12"/>
    </font>
    <font>
      <name val="Arial"/>
      <b val="1"/>
      <color rgb="002E5496"/>
      <sz val="11"/>
    </font>
    <font>
      <name val="Arial"/>
      <b val="1"/>
      <color rgb="00FFFFFF"/>
      <sz val="15"/>
    </font>
    <font>
      <name val="Arial"/>
      <color rgb="001F3864"/>
      <sz val="10"/>
    </font>
    <font>
      <name val="Arial"/>
      <b val="1"/>
      <color rgb="00FFFFFF"/>
      <sz val="10"/>
    </font>
    <font>
      <name val="Arial"/>
      <b val="1"/>
      <color rgb="00000000"/>
      <sz val="10"/>
    </font>
    <font>
      <name val="Arial"/>
      <color rgb="00000000"/>
      <sz val="10"/>
    </font>
    <font>
      <name val="Arial"/>
      <color rgb="00595959"/>
      <sz val="9"/>
    </font>
    <font>
      <name val="Arial"/>
      <b val="1"/>
      <color rgb="001F3864"/>
      <sz val="10"/>
    </font>
    <font>
      <name val="Arial"/>
      <b val="1"/>
      <color rgb="002E5496"/>
      <sz val="10"/>
    </font>
    <font>
      <name val="Arial"/>
      <b val="1"/>
      <color rgb="00FFFFFF"/>
      <sz val="18"/>
    </font>
    <font>
      <name val="Arial"/>
      <b val="1"/>
      <color rgb="001F3864"/>
      <sz val="30"/>
    </font>
    <font>
      <name val="Arial"/>
      <b val="1"/>
      <color rgb="001F3864"/>
      <sz val="22"/>
    </font>
    <font>
      <name val="Arial"/>
      <b val="1"/>
      <color rgb="001F3864"/>
      <sz val="11"/>
    </font>
    <font>
      <name val="Arial"/>
      <color rgb="00808080"/>
      <sz val="9"/>
    </font>
    <font>
      <name val="Arial"/>
      <b val="1"/>
      <color rgb="00FFFFFF"/>
      <sz val="14"/>
    </font>
    <font>
      <name val="Arial"/>
      <b val="1"/>
      <color rgb="00FFFF00"/>
      <sz val="13"/>
    </font>
    <font>
      <name val="Arial"/>
      <color rgb="001F3864"/>
      <sz val="9"/>
    </font>
  </fonts>
  <fills count="9">
    <fill>
      <patternFill/>
    </fill>
    <fill>
      <patternFill patternType="gray125"/>
    </fill>
    <fill>
      <patternFill patternType="solid">
        <fgColor rgb="001F3864"/>
      </patternFill>
    </fill>
    <fill>
      <patternFill patternType="solid">
        <fgColor rgb="002E5496"/>
      </patternFill>
    </fill>
    <fill>
      <patternFill patternType="solid">
        <fgColor rgb="00FFE699"/>
      </patternFill>
    </fill>
    <fill>
      <patternFill patternType="solid">
        <fgColor rgb="00C6EFCE"/>
      </patternFill>
    </fill>
    <fill>
      <patternFill patternType="solid">
        <fgColor rgb="00F8CBAD"/>
      </patternFill>
    </fill>
    <fill>
      <patternFill patternType="solid">
        <fgColor rgb="008EAADB"/>
      </patternFill>
    </fill>
    <fill>
      <patternFill patternType="solid">
        <fgColor rgb="00C00000"/>
      </patternFill>
    </fill>
  </fills>
  <borders count="9">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8">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wrapText="1"/>
    </xf>
    <xf numFmtId="0" fontId="3" fillId="0" borderId="0" applyAlignment="1" pivotButton="0" quotePrefix="0" xfId="0">
      <alignment horizontal="righ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2" fillId="3" borderId="1" applyAlignment="1" pivotButton="0" quotePrefix="0" xfId="0">
      <alignment horizontal="right" vertical="center" wrapText="1"/>
    </xf>
    <xf numFmtId="0" fontId="6" fillId="3" borderId="1" applyAlignment="1" pivotButton="0" quotePrefix="0" xfId="0">
      <alignment horizontal="right" vertical="center" wrapText="1"/>
    </xf>
    <xf numFmtId="0" fontId="7" fillId="3" borderId="1" applyAlignment="1" pivotButton="0" quotePrefix="0" xfId="0">
      <alignment horizontal="right" vertical="center" wrapText="1"/>
    </xf>
    <xf numFmtId="0" fontId="5" fillId="3" borderId="1" applyAlignment="1" pivotButton="0" quotePrefix="0" xfId="0">
      <alignment horizontal="right" vertical="center" wrapText="1"/>
    </xf>
    <xf numFmtId="0" fontId="2" fillId="0" borderId="1" applyAlignment="1" pivotButton="0" quotePrefix="0" xfId="0">
      <alignment horizontal="right" vertical="center" wrapText="1"/>
    </xf>
    <xf numFmtId="0" fontId="8" fillId="0" borderId="1" applyAlignment="1" pivotButton="0" quotePrefix="0" xfId="0">
      <alignment horizontal="right" vertical="center" wrapText="1"/>
    </xf>
    <xf numFmtId="0" fontId="9" fillId="0" borderId="1" applyAlignment="1" pivotButton="0" quotePrefix="0" xfId="0">
      <alignment horizontal="right" vertical="center" wrapText="1"/>
    </xf>
    <xf numFmtId="0" fontId="10" fillId="2" borderId="0" applyAlignment="1" pivotButton="0" quotePrefix="0" xfId="0">
      <alignment horizontal="center" vertical="center"/>
    </xf>
    <xf numFmtId="0" fontId="25" fillId="4" borderId="0" applyAlignment="1" pivotButton="0" quotePrefix="0" xfId="0">
      <alignment horizontal="center"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21" fillId="0" borderId="1" applyAlignment="1" pivotButton="0" quotePrefix="0" xfId="0">
      <alignment horizontal="right" vertical="center" wrapText="1"/>
    </xf>
    <xf numFmtId="0" fontId="14" fillId="0" borderId="1" applyAlignment="1" pivotButton="0" quotePrefix="0" xfId="0">
      <alignment horizontal="right" vertical="center" wrapText="1"/>
    </xf>
    <xf numFmtId="0" fontId="3" fillId="5" borderId="1" applyAlignment="1" pivotButton="0" quotePrefix="0" xfId="0">
      <alignment horizontal="center" vertical="center" wrapText="1"/>
    </xf>
    <xf numFmtId="9" fontId="21" fillId="0" borderId="1" applyAlignment="1" pivotButton="0" quotePrefix="0" xfId="0">
      <alignment horizontal="center" vertical="center" wrapText="1"/>
    </xf>
    <xf numFmtId="0" fontId="14" fillId="6" borderId="1" applyAlignment="1" pivotButton="0" quotePrefix="0" xfId="0">
      <alignment horizontal="right" vertical="center" wrapText="1"/>
    </xf>
    <xf numFmtId="0" fontId="3" fillId="6" borderId="1" applyAlignment="1" pivotButton="0" quotePrefix="0" xfId="0">
      <alignment horizontal="center" vertical="center" wrapText="1"/>
    </xf>
    <xf numFmtId="0" fontId="3" fillId="4" borderId="1" applyAlignment="1" pivotButton="0" quotePrefix="0" xfId="0">
      <alignment horizontal="center" vertical="center" wrapText="1"/>
    </xf>
    <xf numFmtId="0" fontId="6" fillId="8" borderId="1" applyAlignment="1" pivotButton="0" quotePrefix="0" xfId="0">
      <alignment horizontal="right" vertical="center" wrapText="1"/>
    </xf>
    <xf numFmtId="0" fontId="18" fillId="2" borderId="0" applyAlignment="1" pivotButton="0" quotePrefix="0" xfId="0">
      <alignment horizontal="center" vertical="center"/>
    </xf>
    <xf numFmtId="0" fontId="6" fillId="2" borderId="1" applyAlignment="1" pivotButton="0" quotePrefix="0" xfId="0">
      <alignment horizontal="center" vertical="center" wrapText="1"/>
    </xf>
    <xf numFmtId="0" fontId="0" fillId="0" borderId="7" pivotButton="0" quotePrefix="0" xfId="0"/>
    <xf numFmtId="0" fontId="0" fillId="0" borderId="8" pivotButton="0" quotePrefix="0" xfId="0"/>
    <xf numFmtId="9"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5" fillId="7" borderId="1" applyAlignment="1" pivotButton="0" quotePrefix="0" xfId="0">
      <alignment horizontal="center" vertical="center" wrapText="1"/>
    </xf>
    <xf numFmtId="0" fontId="0" fillId="0" borderId="4" pivotButton="0" quotePrefix="0" xfId="0"/>
    <xf numFmtId="0" fontId="3" fillId="0" borderId="1" applyAlignment="1" pivotButton="0" quotePrefix="0" xfId="0">
      <alignment horizontal="right" vertical="center" wrapText="1"/>
    </xf>
    <xf numFmtId="0" fontId="3" fillId="0" borderId="1" applyAlignment="1" pivotButton="0" quotePrefix="0" xfId="0">
      <alignment horizontal="center" vertical="center" wrapText="1"/>
    </xf>
    <xf numFmtId="9" fontId="16"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1" fillId="4" borderId="0" applyAlignment="1" pivotButton="0" quotePrefix="0" xfId="0">
      <alignment horizontal="center" vertical="center"/>
    </xf>
    <xf numFmtId="3" fontId="2" fillId="0" borderId="1" applyAlignment="1" pivotButton="0" quotePrefix="0" xfId="0">
      <alignment horizontal="center" vertical="center" wrapText="1"/>
    </xf>
    <xf numFmtId="0" fontId="15" fillId="0" borderId="1" applyAlignment="1" pivotButton="0" quotePrefix="0" xfId="0">
      <alignment horizontal="center" vertical="center" wrapText="1"/>
    </xf>
    <xf numFmtId="3" fontId="2" fillId="5" borderId="1" applyAlignment="1" applyProtection="1" pivotButton="0" quotePrefix="0" xfId="0">
      <alignment horizontal="center" vertical="center"/>
      <protection locked="0" hidden="0"/>
    </xf>
    <xf numFmtId="3" fontId="13" fillId="0" borderId="1" applyAlignment="1" pivotButton="0" quotePrefix="0" xfId="0">
      <alignment horizontal="center" vertical="center" wrapText="1"/>
    </xf>
    <xf numFmtId="0" fontId="17" fillId="0" borderId="1" applyAlignment="1" pivotButton="0" quotePrefix="0" xfId="0">
      <alignment horizontal="center" vertical="center" wrapText="1"/>
    </xf>
    <xf numFmtId="9" fontId="2" fillId="0" borderId="1" applyAlignment="1" pivotButton="0" quotePrefix="0" xfId="0">
      <alignment horizontal="center" vertical="center" wrapText="1"/>
    </xf>
    <xf numFmtId="9" fontId="2" fillId="5" borderId="1" applyAlignment="1" applyProtection="1" pivotButton="0" quotePrefix="0" xfId="0">
      <alignment horizontal="center" vertical="center"/>
      <protection locked="0" hidden="0"/>
    </xf>
    <xf numFmtId="9" fontId="13" fillId="0" borderId="1" applyAlignment="1" pivotButton="0" quotePrefix="0" xfId="0">
      <alignment horizontal="center" vertical="center" wrapText="1"/>
    </xf>
    <xf numFmtId="164" fontId="2" fillId="5" borderId="1" applyAlignment="1" applyProtection="1" pivotButton="0" quotePrefix="0" xfId="0">
      <alignment horizontal="center" vertical="center"/>
      <protection locked="0" hidden="0"/>
    </xf>
    <xf numFmtId="164" fontId="13" fillId="0" borderId="1" applyAlignment="1" pivotButton="0" quotePrefix="0" xfId="0">
      <alignment horizontal="center" vertical="center" wrapText="1"/>
    </xf>
    <xf numFmtId="165" fontId="2" fillId="0" borderId="1" applyAlignment="1" pivotButton="0" quotePrefix="0" xfId="0">
      <alignment horizontal="center" vertical="center" wrapText="1"/>
    </xf>
    <xf numFmtId="165" fontId="2" fillId="5" borderId="1" applyAlignment="1" applyProtection="1" pivotButton="0" quotePrefix="0" xfId="0">
      <alignment horizontal="center" vertical="center"/>
      <protection locked="0" hidden="0"/>
    </xf>
    <xf numFmtId="165" fontId="13" fillId="0" borderId="1" applyAlignment="1" pivotButton="0" quotePrefix="0" xfId="0">
      <alignment horizontal="center" vertical="center" wrapText="1"/>
    </xf>
    <xf numFmtId="0" fontId="12" fillId="7" borderId="1" applyAlignment="1" pivotButton="0" quotePrefix="0" xfId="0">
      <alignment horizontal="center" vertical="center" wrapText="1"/>
    </xf>
    <xf numFmtId="0" fontId="2" fillId="7" borderId="1" applyAlignment="1" pivotButton="0" quotePrefix="0" xfId="0">
      <alignment horizontal="right" vertical="center" wrapText="1"/>
    </xf>
    <xf numFmtId="0" fontId="14" fillId="0" borderId="1" applyAlignment="1" pivotButton="0" quotePrefix="0" xfId="0">
      <alignment horizontal="center" vertical="center" wrapText="1"/>
    </xf>
    <xf numFmtId="0" fontId="23" fillId="2" borderId="0" applyAlignment="1" pivotButton="0" quotePrefix="0" xfId="0">
      <alignment horizontal="center" vertical="center"/>
    </xf>
    <xf numFmtId="0" fontId="13" fillId="0" borderId="1" applyAlignment="1" pivotButton="0" quotePrefix="0" xfId="0">
      <alignment horizontal="right" vertical="center" wrapText="1"/>
    </xf>
    <xf numFmtId="0" fontId="2" fillId="5" borderId="1" applyAlignment="1" applyProtection="1" pivotButton="0" quotePrefix="0" xfId="0">
      <alignment horizontal="right" vertical="center" wrapText="1"/>
      <protection locked="0" hidden="0"/>
    </xf>
    <xf numFmtId="0" fontId="0" fillId="0" borderId="8" applyProtection="1" pivotButton="0" quotePrefix="0" xfId="0">
      <protection locked="0" hidden="0"/>
    </xf>
    <xf numFmtId="0" fontId="0" fillId="0" borderId="7" applyProtection="1" pivotButton="0" quotePrefix="0" xfId="0">
      <protection locked="0" hidden="0"/>
    </xf>
    <xf numFmtId="0" fontId="15" fillId="0" borderId="1" applyAlignment="1" pivotButton="0" quotePrefix="0" xfId="0">
      <alignment horizontal="right" vertical="center" wrapText="1"/>
    </xf>
    <xf numFmtId="9" fontId="2" fillId="5"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9" fontId="5" fillId="2" borderId="1" applyAlignment="1" pivotButton="0" quotePrefix="0" xfId="0">
      <alignment horizontal="center" vertical="center" wrapText="1"/>
    </xf>
    <xf numFmtId="0" fontId="2" fillId="2" borderId="1" applyAlignment="1" pivotButton="0" quotePrefix="0" xfId="0">
      <alignment horizontal="right" vertical="center" wrapText="1"/>
    </xf>
    <xf numFmtId="9" fontId="24" fillId="2" borderId="1" applyAlignment="1" pivotButton="0" quotePrefix="0" xfId="0">
      <alignment horizontal="center" vertical="center" wrapText="1"/>
    </xf>
    <xf numFmtId="0" fontId="2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0"/>
  <sheetViews>
    <sheetView showGridLines="0" rightToLeft="1" workbookViewId="0">
      <selection activeCell="A1" sqref="A1"/>
    </sheetView>
  </sheetViews>
  <sheetFormatPr baseColWidth="8" defaultRowHeight="15"/>
  <cols>
    <col width="3" customWidth="1" min="1" max="1"/>
    <col width="110" customWidth="1" min="2" max="2"/>
  </cols>
  <sheetData>
    <row r="2">
      <c r="B2" s="1" t="inlineStr">
        <is>
          <t>درب · المنظومة الاستراتيجية لمؤشرات الأداء 2026 — قطاع المحطات والعقار</t>
        </is>
      </c>
    </row>
    <row r="3" ht="8" customHeight="1">
      <c r="B3" s="2" t="inlineStr"/>
    </row>
    <row r="4" ht="30" customHeight="1">
      <c r="B4" s="3" t="inlineStr">
        <is>
          <t>🧭 الفكرة  —  ملف واحد يتدرّج من فوق لتحت: الاستراتيجية ← لوحة الإدارة التنفيذية ← مؤشرات كل إدارة ← تقييم كل موظف. كل المؤشرات تغذّي نفس اللوحة تلقائياً.</t>
        </is>
      </c>
    </row>
    <row r="5" ht="30" customHeight="1">
      <c r="B5" s="3" t="inlineStr">
        <is>
          <t>🟩 خلايا الإدخال  —  الخلايا الخضراء فقط قابلة للتعديل — يدخل فيها المسؤول أرقامه الشهرية. باقي الخلايا (المؤشر/المستهدف/المعادلة) مقفولة ومحمية.</t>
        </is>
      </c>
    </row>
    <row r="6" ht="30" customHeight="1">
      <c r="B6" s="3" t="inlineStr">
        <is>
          <t>🔢 المعادلات  —  نسبة التحقيق وYTD والحالة والدرجات تُحسب آلياً بمعادلات حقيقية. لا تُكتب يدوياً.</t>
        </is>
      </c>
    </row>
    <row r="7" ht="30" customHeight="1">
      <c r="B7" s="3" t="inlineStr">
        <is>
          <t>🔒 الحماية  —  كل شيت محمي بكلمة مرور: darb2026  — لفك الحماية مؤقتاً للتعديل على الهيكل: مراجعة ← حماية الورقة ← أدخل كلمة المرور.</t>
        </is>
      </c>
    </row>
    <row r="8" ht="30" customHeight="1">
      <c r="B8" s="3" t="inlineStr">
        <is>
          <t>👤 الصلاحيات  —  عند التوزيع: كل موظف/مسؤول يُمنح صلاحية الإدخال على نطاق خلاياه الخضراء فقط (Allow Edit Ranges في Excel / صلاحيات الورقة في SharePoint). الهيكل والمستهدفات تبقى مقفولة للجميع.</t>
        </is>
      </c>
    </row>
    <row r="9" ht="30" customHeight="1">
      <c r="B9" s="3" t="inlineStr">
        <is>
          <t>📊 الحالة  —  ✅ محقق = 100%+   |   🟡 قريب = 85%–99%   |   🔴 تحت الهدف = أقل من 85%   |   — = بانتظار إدخال / مستهدف وصفي.</t>
        </is>
      </c>
    </row>
    <row r="10" ht="30" customHeight="1">
      <c r="B10" s="3" t="inlineStr">
        <is>
          <t>🏢 الإدارات  —  هذا الإصدار يحتوي نموذج إدارة الامتياز التجاري كاملاً. الإدارات الأخرى (التشغيل، الاستثمار، العقار) تُضاف لنفس الملف وتغذّي نفس اللوحة التنفيذية.</t>
        </is>
      </c>
    </row>
  </sheetData>
  <sheetProtection selectLockedCells="1" selectUnlockedCells="1" sheet="1" objects="0" insertRows="1" insertHyperlinks="1" autoFilter="1" scenarios="0" formatColumns="1" deleteColumns="1" insertColumns="1" pivotTables="1" deleteRows="1" formatCells="0" formatRows="1" sort="1" password="EFFF"/>
  <mergeCells count="1">
    <mergeCell ref="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16"/>
  <sheetViews>
    <sheetView showGridLines="0" rightToLeft="1" workbookViewId="0">
      <selection activeCell="A1" sqref="A1"/>
    </sheetView>
  </sheetViews>
  <sheetFormatPr baseColWidth="8" defaultRowHeight="15"/>
  <cols>
    <col width="3" customWidth="1" min="1" max="1"/>
    <col width="26" customWidth="1" min="2" max="2"/>
    <col width="42" customWidth="1" min="3" max="3"/>
    <col width="30" customWidth="1" min="4" max="4"/>
  </cols>
  <sheetData>
    <row r="2" ht="32" customHeight="1">
      <c r="B2" s="4" t="inlineStr">
        <is>
          <t>ركائز واستراتيجية درب 2026 — قطاع المحطات والعقار</t>
        </is>
      </c>
    </row>
    <row r="4">
      <c r="A4" s="5" t="inlineStr"/>
      <c r="B4" s="5" t="inlineStr">
        <is>
          <t>الركيزة / الهدف</t>
        </is>
      </c>
      <c r="C4" s="5" t="inlineStr">
        <is>
          <t>الوصف</t>
        </is>
      </c>
      <c r="D4" s="5" t="inlineStr">
        <is>
          <t>المستهدف الرقمي 2026</t>
        </is>
      </c>
    </row>
    <row r="5" ht="26" customHeight="1">
      <c r="A5" s="6" t="inlineStr"/>
      <c r="B5" s="7" t="inlineStr">
        <is>
          <t>النمو</t>
        </is>
      </c>
      <c r="C5" s="8" t="inlineStr">
        <is>
          <t>التوسع في المواقع وزيادة الوصول للعملاء وتنمية الإيرادات.</t>
        </is>
      </c>
      <c r="D5" s="9" t="inlineStr"/>
    </row>
    <row r="6" ht="26" customHeight="1">
      <c r="A6" s="10" t="inlineStr"/>
      <c r="B6" s="11" t="inlineStr">
        <is>
          <t>التوسع في المواقع</t>
        </is>
      </c>
      <c r="C6" s="10" t="inlineStr">
        <is>
          <t>افتتاح وتشغيل محطات جديدة.</t>
        </is>
      </c>
      <c r="D6" s="12" t="inlineStr">
        <is>
          <t>التشغيل: 85 محطة · الامتياز: 150 محطة</t>
        </is>
      </c>
    </row>
    <row r="7" ht="26" customHeight="1">
      <c r="A7" s="10" t="inlineStr"/>
      <c r="B7" s="11" t="inlineStr">
        <is>
          <t>الامتياز والعقود</t>
        </is>
      </c>
      <c r="C7" s="10" t="inlineStr">
        <is>
          <t>تنمية الإيرادات عبر الامتياز والاستثمار.</t>
        </is>
      </c>
      <c r="D7" s="12" t="inlineStr">
        <is>
          <t>الامتياز: 167 عقد · الاستثمار: 190 عقد</t>
        </is>
      </c>
    </row>
    <row r="8" ht="26" customHeight="1">
      <c r="A8" s="10" t="inlineStr"/>
      <c r="B8" s="11" t="inlineStr">
        <is>
          <t>زيادة وصول العملاء</t>
        </is>
      </c>
      <c r="C8" s="10" t="inlineStr">
        <is>
          <t>رفع المبيعات والتغطية الجغرافية.</t>
        </is>
      </c>
      <c r="D8" s="12" t="inlineStr">
        <is>
          <t>718.8M لتر · 13 منطقة · 59 مدينة</t>
        </is>
      </c>
    </row>
    <row r="9" ht="26" customHeight="1">
      <c r="A9" s="6" t="inlineStr"/>
      <c r="B9" s="7" t="inlineStr">
        <is>
          <t>الابتكار</t>
        </is>
      </c>
      <c r="C9" s="8" t="inlineStr">
        <is>
          <t>مشاريع جديدة وتحول تقني وتطوير الهوية.</t>
        </is>
      </c>
      <c r="D9" s="9" t="inlineStr"/>
    </row>
    <row r="10" ht="26" customHeight="1">
      <c r="A10" s="10" t="inlineStr"/>
      <c r="B10" s="11" t="inlineStr">
        <is>
          <t>الهوية والتصاميم</t>
        </is>
      </c>
      <c r="C10" s="10" t="inlineStr">
        <is>
          <t>تطبيق الهوية المؤسسية في المحطات.</t>
        </is>
      </c>
      <c r="D10" s="12" t="inlineStr">
        <is>
          <t>التزام 55% بالهوية</t>
        </is>
      </c>
    </row>
    <row r="11" ht="26" customHeight="1">
      <c r="A11" s="10" t="inlineStr"/>
      <c r="B11" s="11" t="inlineStr">
        <is>
          <t>التحول التقني وساحات درب</t>
        </is>
      </c>
      <c r="C11" s="10" t="inlineStr">
        <is>
          <t>أتمتة المحطات وتطوير ساحات درب وتطبيق تانكي.</t>
        </is>
      </c>
      <c r="D11" s="12" t="inlineStr">
        <is>
          <t>أتمتة 90% · تأجير ساحة درب ≥80%</t>
        </is>
      </c>
    </row>
    <row r="12" ht="26" customHeight="1">
      <c r="A12" s="6" t="inlineStr"/>
      <c r="B12" s="7" t="inlineStr">
        <is>
          <t>الاستدامة</t>
        </is>
      </c>
      <c r="C12" s="8" t="inlineStr">
        <is>
          <t>جودة التشغيل وتجربة العميل والاستثمار في الموظفين.</t>
        </is>
      </c>
      <c r="D12" s="9" t="inlineStr"/>
    </row>
    <row r="13" ht="26" customHeight="1">
      <c r="A13" s="10" t="inlineStr"/>
      <c r="B13" s="11" t="inlineStr">
        <is>
          <t>تجربة العملاء</t>
        </is>
      </c>
      <c r="C13" s="10" t="inlineStr">
        <is>
          <t>رفع الرضا وجودة التجربة.</t>
        </is>
      </c>
      <c r="D13" s="12" t="inlineStr">
        <is>
          <t>قوقل ≥4.5–4.7 · CSAT ≥90%</t>
        </is>
      </c>
    </row>
    <row r="14" ht="26" customHeight="1">
      <c r="A14" s="10" t="inlineStr"/>
      <c r="B14" s="11" t="inlineStr">
        <is>
          <t>جودة التشغيل</t>
        </is>
      </c>
      <c r="C14" s="10" t="inlineStr">
        <is>
          <t>كفاءة وجودة عمليات المحطات.</t>
        </is>
      </c>
      <c r="D14" s="12" t="inlineStr">
        <is>
          <t>جاهزية 99% · سلامة 100%</t>
        </is>
      </c>
    </row>
    <row r="15" ht="26" customHeight="1">
      <c r="A15" s="10" t="inlineStr"/>
      <c r="B15" s="11" t="inlineStr">
        <is>
          <t>منظومة التأجير (العقار)</t>
        </is>
      </c>
      <c r="C15" s="10" t="inlineStr">
        <is>
          <t>الإشغال والتحصيل واستدامة المستأجرين.</t>
        </is>
      </c>
      <c r="D15" s="12" t="inlineStr">
        <is>
          <t>إشغال ≥60% · 246 علامة · تحصيل 95%+</t>
        </is>
      </c>
    </row>
    <row r="16" ht="26" customHeight="1">
      <c r="A16" s="10" t="inlineStr"/>
      <c r="B16" s="11" t="inlineStr">
        <is>
          <t>الاستثمار في الموظفين</t>
        </is>
      </c>
      <c r="C16" s="10" t="inlineStr">
        <is>
          <t>التطوير والاستبقاء.</t>
        </is>
      </c>
      <c r="D16" s="12" t="inlineStr">
        <is>
          <t>استبقاء الشركاء 90%+</t>
        </is>
      </c>
    </row>
  </sheetData>
  <sheetProtection selectLockedCells="1" selectUnlockedCells="1" sheet="1" objects="0" insertRows="1" insertHyperlinks="1" autoFilter="1" scenarios="0" formatColumns="1" deleteColumns="1" insertColumns="1" pivotTables="1" deleteRows="1" formatCells="0" formatRows="1" sort="1" password="EFFF"/>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showGridLines="0" rightToLeft="1" workbookViewId="0">
      <selection activeCell="A1" sqref="A1"/>
    </sheetView>
  </sheetViews>
  <sheetFormatPr baseColWidth="8" defaultRowHeight="15"/>
  <cols>
    <col width="4" customWidth="1" min="1" max="1"/>
    <col width="15" customWidth="1" min="2" max="2"/>
    <col width="26" customWidth="1" min="3" max="3"/>
    <col width="30" customWidth="1" min="4" max="4"/>
    <col width="40" customWidth="1" min="5" max="5"/>
    <col width="14" customWidth="1" min="6" max="6"/>
    <col width="18" customWidth="1" min="7" max="7"/>
  </cols>
  <sheetData>
    <row r="1" ht="30" customHeight="1">
      <c r="A1" s="13" t="inlineStr">
        <is>
          <t>الخارطة التنفيذية 2026 — مشاريع الشركة وربطها بالمؤشرات (قطاع المحطات والعقار)</t>
        </is>
      </c>
    </row>
    <row r="2">
      <c r="A2" s="14" t="inlineStr">
        <is>
          <t>المصدر: «رؤية وأهداف 2026» — سحور درب  ·  التغطية: ✅ مرتبط 🟡 جزئي 🔴 فجوة  ·  أداء المؤشرات يُحسب آلياً من المؤشرات المرتبطة</t>
        </is>
      </c>
    </row>
    <row r="3" ht="30" customHeight="1">
      <c r="A3" s="15" t="inlineStr">
        <is>
          <t>#</t>
        </is>
      </c>
      <c r="B3" s="15" t="inlineStr">
        <is>
          <t>الركيزة</t>
        </is>
      </c>
      <c r="C3" s="15" t="inlineStr">
        <is>
          <t>المشروع</t>
        </is>
      </c>
      <c r="D3" s="15" t="inlineStr">
        <is>
          <t>الإدارة المسؤولة</t>
        </is>
      </c>
      <c r="E3" s="15" t="inlineStr">
        <is>
          <t>المؤشرات المرتبطة</t>
        </is>
      </c>
      <c r="F3" s="15" t="inlineStr">
        <is>
          <t>التغطية</t>
        </is>
      </c>
      <c r="G3" s="15" t="inlineStr">
        <is>
          <t>أداء المؤشرات (مباشر)</t>
        </is>
      </c>
    </row>
    <row r="4" ht="30" customHeight="1">
      <c r="A4" s="16" t="n">
        <v>1</v>
      </c>
      <c r="B4" s="17" t="inlineStr">
        <is>
          <t>النمو</t>
        </is>
      </c>
      <c r="C4" s="18" t="inlineStr">
        <is>
          <t>التوسع في المواقع</t>
        </is>
      </c>
      <c r="D4" s="19" t="inlineStr">
        <is>
          <t>التشغيل + الامتياز + الاستثمار</t>
        </is>
      </c>
      <c r="E4" s="19" t="inlineStr">
        <is>
          <t>محطات الامتياز المشغّلة (150) · تشغيل 85 محطة · 190 عقد استثماري</t>
        </is>
      </c>
      <c r="F4" s="20" t="inlineStr">
        <is>
          <t>✅ مرتبط</t>
        </is>
      </c>
      <c r="G4" s="21">
        <f>IF(COUNTIFS('الامتياز · المؤشرات'!$Y$4:$Y$39,"التوسع في المواقع")=0,"—",IFERROR(AVERAGEIFS('الامتياز · المؤشرات'!$V$4:$V$39,'الامتياز · المؤشرات'!$Y$4:$Y$39,"التوسع في المواقع"),"—"))</f>
        <v/>
      </c>
    </row>
    <row r="5" ht="30" customHeight="1">
      <c r="A5" s="16" t="n">
        <v>2</v>
      </c>
      <c r="C5" s="18" t="inlineStr">
        <is>
          <t>الامتياز التجاري</t>
        </is>
      </c>
      <c r="D5" s="19" t="inlineStr">
        <is>
          <t>الامتياز التجاري</t>
        </is>
      </c>
      <c r="E5" s="19" t="inlineStr">
        <is>
          <t>عقود الامتياز الجديدة (167) · إجمالي مبيعات الوقود</t>
        </is>
      </c>
      <c r="F5" s="20" t="inlineStr">
        <is>
          <t>✅ مرتبط</t>
        </is>
      </c>
      <c r="G5" s="21">
        <f>IF(COUNTIFS('الامتياز · المؤشرات'!$Y$4:$Y$39,"الامتياز التجاري")=0,"—",IFERROR(AVERAGEIFS('الامتياز · المؤشرات'!$V$4:$V$39,'الامتياز · المؤشرات'!$Y$4:$Y$39,"الامتياز التجاري"),"—"))</f>
        <v/>
      </c>
    </row>
    <row r="6" ht="30" customHeight="1">
      <c r="A6" s="16" t="n">
        <v>3</v>
      </c>
      <c r="C6" s="18" t="inlineStr">
        <is>
          <t>زيادة وصول العملاء</t>
        </is>
      </c>
      <c r="D6" s="19" t="inlineStr">
        <is>
          <t>الامتياز + التسويق</t>
        </is>
      </c>
      <c r="E6" s="19" t="inlineStr">
        <is>
          <t>إجمالي مبيعات الوقود (718.8M) · تغطية 13 منطقة</t>
        </is>
      </c>
      <c r="F6" s="20" t="inlineStr">
        <is>
          <t>✅ مرتبط</t>
        </is>
      </c>
      <c r="G6" s="21">
        <f>IF(COUNTIFS('الامتياز · المؤشرات'!$Y$4:$Y$39,"زيادة وصول العملاء")=0,"—",IFERROR(AVERAGEIFS('الامتياز · المؤشرات'!$V$4:$V$39,'الامتياز · المؤشرات'!$Y$4:$Y$39,"زيادة وصول العملاء"),"—"))</f>
        <v/>
      </c>
    </row>
    <row r="7" ht="30" customHeight="1">
      <c r="A7" s="16" t="n">
        <v>4</v>
      </c>
      <c r="B7" s="17" t="inlineStr">
        <is>
          <t>الابتكار</t>
        </is>
      </c>
      <c r="C7" s="18" t="inlineStr">
        <is>
          <t>إطلاق مشاريع جديدة</t>
        </is>
      </c>
      <c r="D7" s="22" t="inlineStr">
        <is>
          <t>غير محددة — مقترح: الاستثمار/التطوير</t>
        </is>
      </c>
      <c r="E7" s="19" t="inlineStr">
        <is>
          <t>— لا يوجد مؤشر مخصص —</t>
        </is>
      </c>
      <c r="F7" s="23" t="inlineStr">
        <is>
          <t>🔴 فجوة</t>
        </is>
      </c>
      <c r="G7" s="21">
        <f>IF(COUNTIFS('الامتياز · المؤشرات'!$Y$4:$Y$39,"إطلاق مشاريع جديدة")=0,"—",IFERROR(AVERAGEIFS('الامتياز · المؤشرات'!$V$4:$V$39,'الامتياز · المؤشرات'!$Y$4:$Y$39,"إطلاق مشاريع جديدة"),"—"))</f>
        <v/>
      </c>
    </row>
    <row r="8" ht="30" customHeight="1">
      <c r="A8" s="16" t="n">
        <v>5</v>
      </c>
      <c r="C8" s="18" t="inlineStr">
        <is>
          <t>تطوير التصاميم والهوية</t>
        </is>
      </c>
      <c r="D8" s="22" t="inlineStr">
        <is>
          <t>غير محددة — مقترح: التسويق والعلامة</t>
        </is>
      </c>
      <c r="E8" s="19" t="inlineStr">
        <is>
          <t>نسبة التزام المحطات بالهوية (55%) فقط</t>
        </is>
      </c>
      <c r="F8" s="24" t="inlineStr">
        <is>
          <t>🟡 مرتبط جزئياً</t>
        </is>
      </c>
      <c r="G8" s="21">
        <f>IF(COUNTIFS('الامتياز · المؤشرات'!$Y$4:$Y$39,"تطوير التصاميم والهوية")=0,"—",IFERROR(AVERAGEIFS('الامتياز · المؤشرات'!$V$4:$V$39,'الامتياز · المؤشرات'!$Y$4:$Y$39,"تطوير التصاميم والهوية"),"—"))</f>
        <v/>
      </c>
    </row>
    <row r="9" ht="30" customHeight="1">
      <c r="A9" s="16" t="n">
        <v>6</v>
      </c>
      <c r="C9" s="18" t="inlineStr">
        <is>
          <t>التحول التقني</t>
        </is>
      </c>
      <c r="D9" s="22" t="inlineStr">
        <is>
          <t>غير محددة — مقترح: تقنية المعلومات</t>
        </is>
      </c>
      <c r="E9" s="19" t="inlineStr">
        <is>
          <t>أتمتة المحطات (90%) · المعيار الشامل (30%)</t>
        </is>
      </c>
      <c r="F9" s="24" t="inlineStr">
        <is>
          <t>🟡 مرتبط جزئياً</t>
        </is>
      </c>
      <c r="G9" s="21">
        <f>IF(COUNTIFS('الامتياز · المؤشرات'!$Y$4:$Y$39,"التحول التقني")=0,"—",IFERROR(AVERAGEIFS('الامتياز · المؤشرات'!$V$4:$V$39,'الامتياز · المؤشرات'!$Y$4:$Y$39,"التحول التقني"),"—"))</f>
        <v/>
      </c>
    </row>
    <row r="10" ht="30" customHeight="1">
      <c r="A10" s="16" t="n">
        <v>7</v>
      </c>
      <c r="C10" s="18" t="inlineStr">
        <is>
          <t>ساحات درب</t>
        </is>
      </c>
      <c r="D10" s="19" t="inlineStr">
        <is>
          <t>العقار</t>
        </is>
      </c>
      <c r="E10" s="19" t="inlineStr">
        <is>
          <t>تأجير ساحة درب (≥80%) · 6 علامات جديدة</t>
        </is>
      </c>
      <c r="F10" s="20" t="inlineStr">
        <is>
          <t>✅ مرتبط</t>
        </is>
      </c>
      <c r="G10" s="21">
        <f>IF(COUNTIFS('الامتياز · المؤشرات'!$Y$4:$Y$39,"ساحات درب")=0,"—",IFERROR(AVERAGEIFS('الامتياز · المؤشرات'!$V$4:$V$39,'الامتياز · المؤشرات'!$Y$4:$Y$39,"ساحات درب"),"—"))</f>
        <v/>
      </c>
    </row>
    <row r="11" ht="30" customHeight="1">
      <c r="A11" s="16" t="n">
        <v>8</v>
      </c>
      <c r="C11" s="18" t="inlineStr">
        <is>
          <t>تطبيق «تانكي»</t>
        </is>
      </c>
      <c r="D11" s="22" t="inlineStr">
        <is>
          <t>غير محددة</t>
        </is>
      </c>
      <c r="E11" s="19" t="inlineStr">
        <is>
          <t>— لا يوجد مؤشر ولا إدارة مسؤولة —</t>
        </is>
      </c>
      <c r="F11" s="23" t="inlineStr">
        <is>
          <t>🔴 فجوة</t>
        </is>
      </c>
      <c r="G11" s="21">
        <f>IF(COUNTIFS('الامتياز · المؤشرات'!$Y$4:$Y$39,"تطبيق «تانكي»")=0,"—",IFERROR(AVERAGEIFS('الامتياز · المؤشرات'!$V$4:$V$39,'الامتياز · المؤشرات'!$Y$4:$Y$39,"تطبيق «تانكي»"),"—"))</f>
        <v/>
      </c>
    </row>
    <row r="12" ht="30" customHeight="1">
      <c r="A12" s="16" t="n">
        <v>9</v>
      </c>
      <c r="B12" s="17" t="inlineStr">
        <is>
          <t>الاستدامة</t>
        </is>
      </c>
      <c r="C12" s="18" t="inlineStr">
        <is>
          <t>تعزيز تجربة العملاء</t>
        </is>
      </c>
      <c r="D12" s="19" t="inlineStr">
        <is>
          <t>الامتياز + التشغيل</t>
        </is>
      </c>
      <c r="E12" s="19" t="inlineStr">
        <is>
          <t>CSAT (90%) · تقييم قوقل (4.5+) · حل الشكاوى</t>
        </is>
      </c>
      <c r="F12" s="20" t="inlineStr">
        <is>
          <t>✅ مرتبط</t>
        </is>
      </c>
      <c r="G12" s="21">
        <f>IF(COUNTIFS('الامتياز · المؤشرات'!$Y$4:$Y$39,"تعزيز تجربة العملاء")=0,"—",IFERROR(AVERAGEIFS('الامتياز · المؤشرات'!$V$4:$V$39,'الامتياز · المؤشرات'!$Y$4:$Y$39,"تعزيز تجربة العملاء"),"—"))</f>
        <v/>
      </c>
    </row>
    <row r="13" ht="30" customHeight="1">
      <c r="A13" s="16" t="n">
        <v>10</v>
      </c>
      <c r="C13" s="18" t="inlineStr">
        <is>
          <t>جودة التشغيل</t>
        </is>
      </c>
      <c r="D13" s="19" t="inlineStr">
        <is>
          <t>التشغيل + الامتياز</t>
        </is>
      </c>
      <c r="E13" s="19" t="inlineStr">
        <is>
          <t>جاهزية 99% · السلامة 100% · 15 مؤشر تشغيلي</t>
        </is>
      </c>
      <c r="F13" s="20" t="inlineStr">
        <is>
          <t>✅ مرتبط</t>
        </is>
      </c>
      <c r="G13" s="21">
        <f>IF(COUNTIFS('الامتياز · المؤشرات'!$Y$4:$Y$39,"جودة التشغيل")=0,"—",IFERROR(AVERAGEIFS('الامتياز · المؤشرات'!$V$4:$V$39,'الامتياز · المؤشرات'!$Y$4:$Y$39,"جودة التشغيل"),"—"))</f>
        <v/>
      </c>
    </row>
    <row r="14" ht="30" customHeight="1">
      <c r="A14" s="16" t="n">
        <v>11</v>
      </c>
      <c r="C14" s="18" t="inlineStr">
        <is>
          <t>منظومة التأجير</t>
        </is>
      </c>
      <c r="D14" s="19" t="inlineStr">
        <is>
          <t>العقار</t>
        </is>
      </c>
      <c r="E14" s="19" t="inlineStr">
        <is>
          <t>الإشغال (≥60%) · 68 وحدة/شهر · التحصيل (95%+)</t>
        </is>
      </c>
      <c r="F14" s="20" t="inlineStr">
        <is>
          <t>✅ مرتبط</t>
        </is>
      </c>
      <c r="G14" s="21">
        <f>IF(COUNTIFS('الامتياز · المؤشرات'!$Y$4:$Y$39,"منظومة التأجير")=0,"—",IFERROR(AVERAGEIFS('الامتياز · المؤشرات'!$V$4:$V$39,'الامتياز · المؤشرات'!$Y$4:$Y$39,"منظومة التأجير"),"—"))</f>
        <v/>
      </c>
    </row>
    <row r="15" ht="30" customHeight="1">
      <c r="A15" s="16" t="n">
        <v>12</v>
      </c>
      <c r="C15" s="18" t="inlineStr">
        <is>
          <t>الاستثمار في الموظفين</t>
        </is>
      </c>
      <c r="D15" s="22" t="inlineStr">
        <is>
          <t>غير محددة — مقترح: الموارد البشرية</t>
        </is>
      </c>
      <c r="E15" s="19" t="inlineStr">
        <is>
          <t>— لا يوجد مؤشر لتطوير/استبقاء الموظفين —</t>
        </is>
      </c>
      <c r="F15" s="23" t="inlineStr">
        <is>
          <t>🔴 فجوة</t>
        </is>
      </c>
      <c r="G15" s="21">
        <f>IF(COUNTIFS('الامتياز · المؤشرات'!$Y$4:$Y$39,"الاستثمار في الموظفين")=0,"—",IFERROR(AVERAGEIFS('الامتياز · المؤشرات'!$V$4:$V$39,'الامتياز · المؤشرات'!$Y$4:$Y$39,"الاستثمار في الموظفين"),"—"))</f>
        <v/>
      </c>
    </row>
    <row r="17">
      <c r="B17" s="25" t="inlineStr">
        <is>
          <t>⚠️ ملخص الفجوات — مشاريع تحتاج مؤشراً أو إدارة مسؤولة</t>
        </is>
      </c>
    </row>
    <row r="18" ht="24" customHeight="1">
      <c r="B18" s="19" t="inlineStr">
        <is>
          <t>🔴 تطبيق «تانكي» — لا مؤشر ولا إدارة مسؤولة (منتج رقمي بلا مالك).</t>
        </is>
      </c>
    </row>
    <row r="19" ht="24" customHeight="1">
      <c r="B19" s="19" t="inlineStr">
        <is>
          <t>🔴 الاستثمار في الموظفين — لا مؤشر موظفين ولا إدارة موارد بشرية ضمن الملفات.</t>
        </is>
      </c>
    </row>
    <row r="20" ht="24" customHeight="1">
      <c r="B20" s="19" t="inlineStr">
        <is>
          <t>🔴 إطلاق مشاريع جديدة — مبادرة بلا مؤشر مخصص ولا مالك واضح.</t>
        </is>
      </c>
    </row>
    <row r="21" ht="24" customHeight="1">
      <c r="B21" s="19" t="inlineStr">
        <is>
          <t>🟡 التحول التقني — مغطّى جزئياً بالأتمتة فقط؛ بلا إدارة تقنية مالكة.</t>
        </is>
      </c>
    </row>
    <row r="22" ht="24" customHeight="1">
      <c r="B22" s="19" t="inlineStr">
        <is>
          <t>🟡 تطوير التصاميم والهوية — مغطّى بمؤشر التزام الهوية فقط؛ بلا إدارة تسويق/علامة.</t>
        </is>
      </c>
    </row>
  </sheetData>
  <sheetProtection selectLockedCells="1" selectUnlockedCells="1" sheet="1" objects="0" insertRows="1" insertHyperlinks="1" autoFilter="1" scenarios="0" formatColumns="1" deleteColumns="1" insertColumns="1" pivotTables="1" deleteRows="1" formatCells="0" formatRows="1" sort="1" password="EFFF"/>
  <mergeCells count="11">
    <mergeCell ref="B19:G19"/>
    <mergeCell ref="B20:G20"/>
    <mergeCell ref="B21:G21"/>
    <mergeCell ref="A1:G1"/>
    <mergeCell ref="B4:B6"/>
    <mergeCell ref="B22:G22"/>
    <mergeCell ref="B17:G17"/>
    <mergeCell ref="B12:B15"/>
    <mergeCell ref="A2:G2"/>
    <mergeCell ref="B18:G18"/>
    <mergeCell ref="B7:B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24"/>
  <sheetViews>
    <sheetView showGridLines="0" rightToLeft="1" workbookViewId="0">
      <selection activeCell="A1" sqref="A1"/>
    </sheetView>
  </sheetViews>
  <sheetFormatPr baseColWidth="8" defaultRowHeight="15"/>
  <cols>
    <col width="3" customWidth="1" min="1" max="1"/>
    <col width="30" customWidth="1" min="2" max="2"/>
    <col width="16" customWidth="1" min="3" max="3"/>
    <col width="16" customWidth="1" min="4" max="4"/>
    <col width="16" customWidth="1" min="5" max="5"/>
    <col width="16" customWidth="1" min="6" max="6"/>
    <col width="26" customWidth="1" min="8" max="8"/>
    <col width="14" customWidth="1" min="9" max="9"/>
    <col width="14" customWidth="1" min="10" max="10"/>
  </cols>
  <sheetData>
    <row r="2" ht="38" customHeight="1">
      <c r="B2" s="26" t="inlineStr">
        <is>
          <t>درب · لوحة الإدارة التنفيذية 2026 — المحطات والعقار</t>
        </is>
      </c>
    </row>
    <row r="4" ht="22" customHeight="1">
      <c r="B4" s="5" t="inlineStr">
        <is>
          <t>مؤشر الإنجاز العام (الامتياز)</t>
        </is>
      </c>
      <c r="D4" s="20" t="inlineStr">
        <is>
          <t>✅ محقق</t>
        </is>
      </c>
      <c r="E4" s="24" t="inlineStr">
        <is>
          <t>🟡 قريب</t>
        </is>
      </c>
      <c r="F4" s="23" t="inlineStr">
        <is>
          <t>🔴 تحت الهدف</t>
        </is>
      </c>
      <c r="H4" s="27" t="inlineStr">
        <is>
          <t>الأداء حسب الركائز (5 سنوات)</t>
        </is>
      </c>
      <c r="I4" s="28" t="n"/>
      <c r="J4" s="29" t="n"/>
    </row>
    <row r="5" ht="30" customHeight="1">
      <c r="B5" s="30">
        <f>IFERROR(AVERAGE('الامتياز · المؤشرات'!$V$4:$V$39),0)</f>
        <v/>
      </c>
      <c r="D5" s="31">
        <f>COUNTIF('الامتياز · المؤشرات'!$W$4:$W$39,"✅ محقق")</f>
        <v/>
      </c>
      <c r="E5" s="31">
        <f>COUNTIF('الامتياز · المؤشرات'!$W$4:$W$39,"🟡 قريب")</f>
        <v/>
      </c>
      <c r="F5" s="31">
        <f>COUNTIF('الامتياز · المؤشرات'!$W$4:$W$39,"🔴 تحت الهدف")</f>
        <v/>
      </c>
      <c r="H5" s="32" t="inlineStr">
        <is>
          <t>الركيزة</t>
        </is>
      </c>
      <c r="I5" s="32" t="inlineStr">
        <is>
          <t>الإنجاز</t>
        </is>
      </c>
      <c r="J5" s="32" t="inlineStr">
        <is>
          <t>الحالة</t>
        </is>
      </c>
    </row>
    <row r="6">
      <c r="D6" s="33" t="n"/>
      <c r="E6" s="33" t="n"/>
      <c r="F6" s="33" t="n"/>
      <c r="H6" s="34" t="inlineStr">
        <is>
          <t>النمو</t>
        </is>
      </c>
      <c r="I6" s="21">
        <f>IFERROR(AVERAGEIFS('الامتياز · المؤشرات'!$V$4:$V$39,'الامتياز · المؤشرات'!$X$4:$X$39,"النمو"),"—")</f>
        <v/>
      </c>
      <c r="J6" s="35">
        <f>IF(ISNUMBER(I6),IF(I6&gt;=1,"✅",IF(I6&gt;=0.85,"🟡","🔴")),"—")</f>
        <v/>
      </c>
    </row>
    <row r="7">
      <c r="H7" s="34" t="inlineStr">
        <is>
          <t>الابتكار</t>
        </is>
      </c>
      <c r="I7" s="21">
        <f>IFERROR(AVERAGEIFS('الامتياز · المؤشرات'!$V$4:$V$39,'الامتياز · المؤشرات'!$X$4:$X$39,"الابتكار"),"—")</f>
        <v/>
      </c>
      <c r="J7" s="35">
        <f>IF(ISNUMBER(I7),IF(I7&gt;=1,"✅",IF(I7&gt;=0.85,"🟡","🔴")),"—")</f>
        <v/>
      </c>
    </row>
    <row r="8">
      <c r="B8" s="17" t="inlineStr">
        <is>
          <t>الأداء حسب المحور — إدارة الامتياز</t>
        </is>
      </c>
      <c r="C8" s="28" t="n"/>
      <c r="D8" s="29" t="n"/>
      <c r="H8" s="34" t="inlineStr">
        <is>
          <t>الاستدامة</t>
        </is>
      </c>
      <c r="I8" s="21">
        <f>IFERROR(AVERAGEIFS('الامتياز · المؤشرات'!$V$4:$V$39,'الامتياز · المؤشرات'!$X$4:$X$39,"الاستدامة"),"—")</f>
        <v/>
      </c>
      <c r="J8" s="35">
        <f>IF(ISNUMBER(I8),IF(I8&gt;=1,"✅",IF(I8&gt;=0.85,"🟡","🔴")),"—")</f>
        <v/>
      </c>
    </row>
    <row r="9">
      <c r="B9" s="32" t="inlineStr">
        <is>
          <t>المحور</t>
        </is>
      </c>
      <c r="C9" s="32" t="inlineStr">
        <is>
          <t>نسبة التحقيق</t>
        </is>
      </c>
      <c r="D9" s="32" t="inlineStr">
        <is>
          <t>الحالة</t>
        </is>
      </c>
    </row>
    <row r="10">
      <c r="B10" s="19" t="inlineStr">
        <is>
          <t>النمو والتوسع</t>
        </is>
      </c>
      <c r="C10" s="36">
        <f>IFERROR(AVERAGEIFS('الامتياز · المؤشرات'!$V$4:$V$39,'الامتياز · المؤشرات'!$B$4:$B$39,"النمو والتوسع"),0)</f>
        <v/>
      </c>
      <c r="D10" s="16">
        <f>IF(C10&gt;=1,"✅ محقق",IF(C10&gt;=0.85,"🟡 قريب","🔴 تحت الهدف"))</f>
        <v/>
      </c>
    </row>
    <row r="11">
      <c r="B11" s="19" t="inlineStr">
        <is>
          <t>المبيعات والأداء التجاري</t>
        </is>
      </c>
      <c r="C11" s="36">
        <f>IFERROR(AVERAGEIFS('الامتياز · المؤشرات'!$V$4:$V$39,'الامتياز · المؤشرات'!$B$4:$B$39,"المبيعات والأداء التجاري"),0)</f>
        <v/>
      </c>
      <c r="D11" s="16">
        <f>IF(C11&gt;=1,"✅ محقق",IF(C11&gt;=0.85,"🟡 قريب","🔴 تحت الهدف"))</f>
        <v/>
      </c>
    </row>
    <row r="12">
      <c r="B12" s="19" t="inlineStr">
        <is>
          <t>الأداء المالي</t>
        </is>
      </c>
      <c r="C12" s="36">
        <f>IFERROR(AVERAGEIFS('الامتياز · المؤشرات'!$V$4:$V$39,'الامتياز · المؤشرات'!$B$4:$B$39,"الأداء المالي"),0)</f>
        <v/>
      </c>
      <c r="D12" s="16">
        <f>IF(C12&gt;=1,"✅ محقق",IF(C12&gt;=0.85,"🟡 قريب","🔴 تحت الهدف"))</f>
        <v/>
      </c>
    </row>
    <row r="13">
      <c r="B13" s="19" t="inlineStr">
        <is>
          <t>التشغيل والجودة</t>
        </is>
      </c>
      <c r="C13" s="36">
        <f>IFERROR(AVERAGEIFS('الامتياز · المؤشرات'!$V$4:$V$39,'الامتياز · المؤشرات'!$B$4:$B$39,"التشغيل والجودة"),0)</f>
        <v/>
      </c>
      <c r="D13" s="16">
        <f>IF(C13&gt;=1,"✅ محقق",IF(C13&gt;=0.85,"🟡 قريب","🔴 تحت الهدف"))</f>
        <v/>
      </c>
    </row>
    <row r="14">
      <c r="B14" s="19" t="inlineStr">
        <is>
          <t>الهوية والتسويق</t>
        </is>
      </c>
      <c r="C14" s="36">
        <f>IFERROR(AVERAGEIFS('الامتياز · المؤشرات'!$V$4:$V$39,'الامتياز · المؤشرات'!$B$4:$B$39,"الهوية والتسويق"),0)</f>
        <v/>
      </c>
      <c r="D14" s="16">
        <f>IF(C14&gt;=1,"✅ محقق",IF(C14&gt;=0.85,"🟡 قريب","🔴 تحت الهدف"))</f>
        <v/>
      </c>
    </row>
    <row r="15">
      <c r="B15" s="19" t="inlineStr">
        <is>
          <t>التوسع الإقليمي</t>
        </is>
      </c>
      <c r="C15" s="36">
        <f>IFERROR(AVERAGEIFS('الامتياز · المؤشرات'!$V$4:$V$39,'الامتياز · المؤشرات'!$B$4:$B$39,"التوسع الإقليمي"),0)</f>
        <v/>
      </c>
      <c r="D15" s="16">
        <f>IF(C15&gt;=1,"✅ محقق",IF(C15&gt;=0.85,"🟡 قريب","🔴 تحت الهدف"))</f>
        <v/>
      </c>
    </row>
    <row r="16">
      <c r="B16" s="19" t="inlineStr">
        <is>
          <t>تجربة العملاء والشركاء</t>
        </is>
      </c>
      <c r="C16" s="36">
        <f>IFERROR(AVERAGEIFS('الامتياز · المؤشرات'!$V$4:$V$39,'الامتياز · المؤشرات'!$B$4:$B$39,"تجربة العملاء والشركاء"),0)</f>
        <v/>
      </c>
      <c r="D16" s="16">
        <f>IF(C16&gt;=1,"✅ محقق",IF(C16&gt;=0.85,"🟡 قريب","🔴 تحت الهدف"))</f>
        <v/>
      </c>
    </row>
    <row r="17">
      <c r="B17" s="19" t="inlineStr">
        <is>
          <t>استدامة الشراكة والامتثال</t>
        </is>
      </c>
      <c r="C17" s="36">
        <f>IFERROR(AVERAGEIFS('الامتياز · المؤشرات'!$V$4:$V$39,'الامتياز · المؤشرات'!$B$4:$B$39,"استدامة الشراكة والامتثال"),0)</f>
        <v/>
      </c>
      <c r="D17" s="16">
        <f>IF(C17&gt;=1,"✅ محقق",IF(C17&gt;=0.85,"🟡 قريب","🔴 تحت الهدف"))</f>
        <v/>
      </c>
    </row>
    <row r="19">
      <c r="B19" s="17" t="inlineStr">
        <is>
          <t>نظرة الإدارات (تغذي نفس الملف)</t>
        </is>
      </c>
      <c r="C19" s="28" t="n"/>
      <c r="D19" s="29" t="n"/>
    </row>
    <row r="20">
      <c r="B20" s="32" t="inlineStr">
        <is>
          <t>الإدارة</t>
        </is>
      </c>
      <c r="C20" s="32" t="inlineStr">
        <is>
          <t>الإنجاز</t>
        </is>
      </c>
      <c r="D20" s="32" t="inlineStr">
        <is>
          <t>الحالة</t>
        </is>
      </c>
    </row>
    <row r="21">
      <c r="B21" s="19" t="inlineStr">
        <is>
          <t>الامتياز التجاري والمبيعات</t>
        </is>
      </c>
      <c r="C21" s="36">
        <f>IFERROR(AVERAGE('الامتياز · المؤشرات'!$V$4:$V$39),0)</f>
        <v/>
      </c>
      <c r="D21" s="16">
        <f>IF(C21&gt;=1,"✅ محقق",IF(C21&gt;=0.85,"🟡 قريب","🔴 تحت الهدف"))</f>
        <v/>
      </c>
    </row>
    <row r="22">
      <c r="B22" s="19" t="inlineStr">
        <is>
          <t>التشغيل والمحطات</t>
        </is>
      </c>
      <c r="C22" s="37" t="inlineStr">
        <is>
          <t>قيد الإضافة</t>
        </is>
      </c>
      <c r="D22" s="38" t="inlineStr">
        <is>
          <t>—</t>
        </is>
      </c>
    </row>
    <row r="23">
      <c r="B23" s="19" t="inlineStr">
        <is>
          <t>الاستثمار</t>
        </is>
      </c>
      <c r="C23" s="37" t="inlineStr">
        <is>
          <t>قيد الإضافة</t>
        </is>
      </c>
      <c r="D23" s="38" t="inlineStr">
        <is>
          <t>—</t>
        </is>
      </c>
    </row>
    <row r="24">
      <c r="B24" s="19" t="inlineStr">
        <is>
          <t>العقار</t>
        </is>
      </c>
      <c r="C24" s="37" t="inlineStr">
        <is>
          <t>قيد الإضافة</t>
        </is>
      </c>
      <c r="D24" s="38" t="inlineStr">
        <is>
          <t>—</t>
        </is>
      </c>
    </row>
  </sheetData>
  <sheetProtection selectLockedCells="1" selectUnlockedCells="1" sheet="1" objects="0" insertRows="1" insertHyperlinks="1" autoFilter="1" scenarios="0" formatColumns="1" deleteColumns="1" insertColumns="1" pivotTables="1" deleteRows="1" formatCells="0" formatRows="1" sort="1" password="EFFF"/>
  <mergeCells count="9">
    <mergeCell ref="E5:E6"/>
    <mergeCell ref="B19:D19"/>
    <mergeCell ref="B2:F2"/>
    <mergeCell ref="B8:D8"/>
    <mergeCell ref="B5:C6"/>
    <mergeCell ref="H4:J4"/>
    <mergeCell ref="F5:F6"/>
    <mergeCell ref="B4:C4"/>
    <mergeCell ref="D5:D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9"/>
  <sheetViews>
    <sheetView showGridLines="0" rightToLeft="1" workbookViewId="0">
      <pane xSplit="8" ySplit="3" topLeftCell="I4"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40" customWidth="1" min="3" max="3"/>
    <col width="10" customWidth="1" min="4" max="4"/>
    <col width="8" customWidth="1" min="5" max="5"/>
    <col width="9" customWidth="1" min="6" max="6"/>
    <col width="12" customWidth="1" min="7" max="7"/>
    <col width="16"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12" customWidth="1" min="21" max="21"/>
    <col width="12" customWidth="1" min="22" max="22"/>
    <col width="14" customWidth="1" min="23" max="23"/>
    <col width="16" customWidth="1" min="24" max="24"/>
    <col width="22" customWidth="1" min="25" max="25"/>
  </cols>
  <sheetData>
    <row r="1" ht="30" customHeight="1">
      <c r="A1" s="13" t="inlineStr">
        <is>
          <t>إدارة الامتياز التجاري والمبيعات · مؤشرات الأداء 2026  (36 مؤشر / 8 محاور)</t>
        </is>
      </c>
    </row>
    <row r="2">
      <c r="A2" s="39" t="inlineStr">
        <is>
          <t>🟩 الخلايا الخضراء = إدخال شهري للمسؤول   ·   باقي الأعمدة محسوبة/مقفولة   ·   كل مؤشر يغذّي ركيزته ومشروعه تلقائياً</t>
        </is>
      </c>
    </row>
    <row r="3" ht="34" customHeight="1">
      <c r="A3" s="15" t="inlineStr">
        <is>
          <t>#</t>
        </is>
      </c>
      <c r="B3" s="15" t="inlineStr">
        <is>
          <t>المحور</t>
        </is>
      </c>
      <c r="C3" s="15" t="inlineStr">
        <is>
          <t>المؤشر</t>
        </is>
      </c>
      <c r="D3" s="15" t="inlineStr">
        <is>
          <t>الوحدة</t>
        </is>
      </c>
      <c r="E3" s="15" t="inlineStr">
        <is>
          <t>القطبية</t>
        </is>
      </c>
      <c r="F3" s="15" t="inlineStr">
        <is>
          <t>التجميع</t>
        </is>
      </c>
      <c r="G3" s="15" t="inlineStr">
        <is>
          <t>المستهدف</t>
        </is>
      </c>
      <c r="H3" s="15" t="inlineStr">
        <is>
          <t>نص المستهدف</t>
        </is>
      </c>
      <c r="I3" s="15" t="inlineStr">
        <is>
          <t>يناير</t>
        </is>
      </c>
      <c r="J3" s="15" t="inlineStr">
        <is>
          <t>فبراير</t>
        </is>
      </c>
      <c r="K3" s="15" t="inlineStr">
        <is>
          <t>مارس</t>
        </is>
      </c>
      <c r="L3" s="15" t="inlineStr">
        <is>
          <t>أبريل</t>
        </is>
      </c>
      <c r="M3" s="15" t="inlineStr">
        <is>
          <t>مايو</t>
        </is>
      </c>
      <c r="N3" s="15" t="inlineStr">
        <is>
          <t>يونيو</t>
        </is>
      </c>
      <c r="O3" s="15" t="inlineStr">
        <is>
          <t>يوليو</t>
        </is>
      </c>
      <c r="P3" s="15" t="inlineStr">
        <is>
          <t>أغسطس</t>
        </is>
      </c>
      <c r="Q3" s="15" t="inlineStr">
        <is>
          <t>سبتمبر</t>
        </is>
      </c>
      <c r="R3" s="15" t="inlineStr">
        <is>
          <t>أكتوبر</t>
        </is>
      </c>
      <c r="S3" s="15" t="inlineStr">
        <is>
          <t>نوفمبر</t>
        </is>
      </c>
      <c r="T3" s="15" t="inlineStr">
        <is>
          <t>ديسمبر</t>
        </is>
      </c>
      <c r="U3" s="15" t="inlineStr">
        <is>
          <t>YTD</t>
        </is>
      </c>
      <c r="V3" s="15" t="inlineStr">
        <is>
          <t>نسبة التحقيق</t>
        </is>
      </c>
      <c r="W3" s="15" t="inlineStr">
        <is>
          <t>الحالة</t>
        </is>
      </c>
      <c r="X3" s="15" t="inlineStr">
        <is>
          <t>الركيزة (5س)</t>
        </is>
      </c>
      <c r="Y3" s="15" t="inlineStr">
        <is>
          <t>المشروع (الخارطة)</t>
        </is>
      </c>
    </row>
    <row r="4" ht="26" customHeight="1">
      <c r="A4" s="16" t="n">
        <v>1</v>
      </c>
      <c r="B4" s="19" t="inlineStr">
        <is>
          <t>النمو والتوسع</t>
        </is>
      </c>
      <c r="C4" s="19" t="inlineStr">
        <is>
          <t>عدد محطات الامتياز المشغّلة (تراكمي)</t>
        </is>
      </c>
      <c r="D4" s="38" t="inlineStr">
        <is>
          <t>محطة</t>
        </is>
      </c>
      <c r="E4" s="38" t="inlineStr">
        <is>
          <t>↑</t>
        </is>
      </c>
      <c r="F4" s="38" t="inlineStr">
        <is>
          <t>LAST</t>
        </is>
      </c>
      <c r="G4" s="40" t="n">
        <v>150</v>
      </c>
      <c r="H4" s="41" t="inlineStr">
        <is>
          <t>150 محطة</t>
        </is>
      </c>
      <c r="I4" s="42" t="n"/>
      <c r="J4" s="42" t="n"/>
      <c r="K4" s="42" t="n"/>
      <c r="L4" s="42" t="n"/>
      <c r="M4" s="42" t="n"/>
      <c r="N4" s="42" t="n"/>
      <c r="O4" s="42" t="n"/>
      <c r="P4" s="42" t="n"/>
      <c r="Q4" s="42" t="n"/>
      <c r="R4" s="42" t="n"/>
      <c r="S4" s="42" t="n"/>
      <c r="T4" s="42" t="n"/>
      <c r="U4" s="43">
        <f>IF($F4="SUM",IF(COUNT($I4:$T4)=0,"",SUM($I4:$T4)),IF($F4="AVG",IFERROR(AVERAGE($I4:$T4),""),IF($F4="LAST",IFERROR(LOOKUP(2,1/($I4:$T4&lt;&gt;""),$I4:$T4),""),"")))</f>
        <v/>
      </c>
      <c r="V4" s="36">
        <f>IF($G4="","",IF($U4="","",IF($G4=0,IF($U4&lt;=0,1,0),IF($E4="↓",IFERROR($G4/$U4,0),IFERROR($U4/$G4,0)))))</f>
        <v/>
      </c>
      <c r="W4" s="16">
        <f>IF($V4="","—",IF($V4&gt;=1,"✅ محقق",IF($V4&gt;=0.85,"🟡 قريب","🔴 تحت الهدف")))</f>
        <v/>
      </c>
      <c r="X4" s="44" t="inlineStr">
        <is>
          <t>النمو</t>
        </is>
      </c>
      <c r="Y4" s="19" t="inlineStr">
        <is>
          <t>التوسع في المواقع</t>
        </is>
      </c>
    </row>
    <row r="5" ht="26" customHeight="1">
      <c r="A5" s="16" t="n">
        <v>2</v>
      </c>
      <c r="B5" s="19" t="inlineStr">
        <is>
          <t>النمو والتوسع</t>
        </is>
      </c>
      <c r="C5" s="19" t="inlineStr">
        <is>
          <t>عدد عقود الامتياز الجديدة الموقّعة</t>
        </is>
      </c>
      <c r="D5" s="38" t="inlineStr">
        <is>
          <t>عقد</t>
        </is>
      </c>
      <c r="E5" s="38" t="inlineStr">
        <is>
          <t>↑</t>
        </is>
      </c>
      <c r="F5" s="38" t="inlineStr">
        <is>
          <t>SUM</t>
        </is>
      </c>
      <c r="G5" s="40" t="n">
        <v>167</v>
      </c>
      <c r="H5" s="41" t="inlineStr">
        <is>
          <t>167 عقد</t>
        </is>
      </c>
      <c r="I5" s="42" t="n"/>
      <c r="J5" s="42" t="n"/>
      <c r="K5" s="42" t="n"/>
      <c r="L5" s="42" t="n"/>
      <c r="M5" s="42" t="n"/>
      <c r="N5" s="42" t="n"/>
      <c r="O5" s="42" t="n"/>
      <c r="P5" s="42" t="n"/>
      <c r="Q5" s="42" t="n"/>
      <c r="R5" s="42" t="n"/>
      <c r="S5" s="42" t="n"/>
      <c r="T5" s="42" t="n"/>
      <c r="U5" s="43">
        <f>IF($F5="SUM",IF(COUNT($I5:$T5)=0,"",SUM($I5:$T5)),IF($F5="AVG",IFERROR(AVERAGE($I5:$T5),""),IF($F5="LAST",IFERROR(LOOKUP(2,1/($I5:$T5&lt;&gt;""),$I5:$T5),""),"")))</f>
        <v/>
      </c>
      <c r="V5" s="36">
        <f>IF($G5="","",IF($U5="","",IF($G5=0,IF($U5&lt;=0,1,0),IF($E5="↓",IFERROR($G5/$U5,0),IFERROR($U5/$G5,0)))))</f>
        <v/>
      </c>
      <c r="W5" s="16">
        <f>IF($V5="","—",IF($V5&gt;=1,"✅ محقق",IF($V5&gt;=0.85,"🟡 قريب","🔴 تحت الهدف")))</f>
        <v/>
      </c>
      <c r="X5" s="44" t="inlineStr">
        <is>
          <t>النمو</t>
        </is>
      </c>
      <c r="Y5" s="19" t="inlineStr">
        <is>
          <t>الامتياز التجاري</t>
        </is>
      </c>
    </row>
    <row r="6" ht="26" customHeight="1">
      <c r="A6" s="16" t="n">
        <v>3</v>
      </c>
      <c r="B6" s="19" t="inlineStr">
        <is>
          <t>المبيعات والأداء التجاري</t>
        </is>
      </c>
      <c r="C6" s="19" t="inlineStr">
        <is>
          <t>إجمالي مبيعات وقود محطات الامتياز</t>
        </is>
      </c>
      <c r="D6" s="38" t="inlineStr">
        <is>
          <t>لتر</t>
        </is>
      </c>
      <c r="E6" s="38" t="inlineStr">
        <is>
          <t>↑</t>
        </is>
      </c>
      <c r="F6" s="38" t="inlineStr">
        <is>
          <t>SUM</t>
        </is>
      </c>
      <c r="G6" s="40" t="n">
        <v>718838077</v>
      </c>
      <c r="H6" s="41" t="inlineStr">
        <is>
          <t>718.8M لتر</t>
        </is>
      </c>
      <c r="I6" s="42" t="n"/>
      <c r="J6" s="42" t="n"/>
      <c r="K6" s="42" t="n"/>
      <c r="L6" s="42" t="n"/>
      <c r="M6" s="42" t="n"/>
      <c r="N6" s="42" t="n"/>
      <c r="O6" s="42" t="n"/>
      <c r="P6" s="42" t="n"/>
      <c r="Q6" s="42" t="n"/>
      <c r="R6" s="42" t="n"/>
      <c r="S6" s="42" t="n"/>
      <c r="T6" s="42" t="n"/>
      <c r="U6" s="43">
        <f>IF($F6="SUM",IF(COUNT($I6:$T6)=0,"",SUM($I6:$T6)),IF($F6="AVG",IFERROR(AVERAGE($I6:$T6),""),IF($F6="LAST",IFERROR(LOOKUP(2,1/($I6:$T6&lt;&gt;""),$I6:$T6),""),"")))</f>
        <v/>
      </c>
      <c r="V6" s="36">
        <f>IF($G6="","",IF($U6="","",IF($G6=0,IF($U6&lt;=0,1,0),IF($E6="↓",IFERROR($G6/$U6,0),IFERROR($U6/$G6,0)))))</f>
        <v/>
      </c>
      <c r="W6" s="16">
        <f>IF($V6="","—",IF($V6&gt;=1,"✅ محقق",IF($V6&gt;=0.85,"🟡 قريب","🔴 تحت الهدف")))</f>
        <v/>
      </c>
      <c r="X6" s="44" t="inlineStr">
        <is>
          <t>النمو</t>
        </is>
      </c>
      <c r="Y6" s="19" t="inlineStr">
        <is>
          <t>زيادة وصول العملاء</t>
        </is>
      </c>
    </row>
    <row r="7" ht="26" customHeight="1">
      <c r="A7" s="16" t="n">
        <v>4</v>
      </c>
      <c r="B7" s="19" t="inlineStr">
        <is>
          <t>المبيعات والأداء التجاري</t>
        </is>
      </c>
      <c r="C7" s="19" t="inlineStr">
        <is>
          <t>نسبة المحطات التي حققت مستهدف المبيعات</t>
        </is>
      </c>
      <c r="D7" s="38" t="inlineStr">
        <is>
          <t>%</t>
        </is>
      </c>
      <c r="E7" s="38" t="inlineStr">
        <is>
          <t>↑</t>
        </is>
      </c>
      <c r="F7" s="38" t="inlineStr">
        <is>
          <t>AVG</t>
        </is>
      </c>
      <c r="G7" s="45" t="n">
        <v>0.9</v>
      </c>
      <c r="H7" s="41" t="inlineStr">
        <is>
          <t>90%+</t>
        </is>
      </c>
      <c r="I7" s="46" t="n"/>
      <c r="J7" s="46" t="n"/>
      <c r="K7" s="46" t="n"/>
      <c r="L7" s="46" t="n"/>
      <c r="M7" s="46" t="n"/>
      <c r="N7" s="46" t="n"/>
      <c r="O7" s="46" t="n"/>
      <c r="P7" s="46" t="n"/>
      <c r="Q7" s="46" t="n"/>
      <c r="R7" s="46" t="n"/>
      <c r="S7" s="46" t="n"/>
      <c r="T7" s="46" t="n"/>
      <c r="U7" s="47">
        <f>IF($F7="SUM",IF(COUNT($I7:$T7)=0,"",SUM($I7:$T7)),IF($F7="AVG",IFERROR(AVERAGE($I7:$T7),""),IF($F7="LAST",IFERROR(LOOKUP(2,1/($I7:$T7&lt;&gt;""),$I7:$T7),""),"")))</f>
        <v/>
      </c>
      <c r="V7" s="36">
        <f>IF($G7="","",IF($U7="","",IF($G7=0,IF($U7&lt;=0,1,0),IF($E7="↓",IFERROR($G7/$U7,0),IFERROR($U7/$G7,0)))))</f>
        <v/>
      </c>
      <c r="W7" s="16">
        <f>IF($V7="","—",IF($V7&gt;=1,"✅ محقق",IF($V7&gt;=0.85,"🟡 قريب","🔴 تحت الهدف")))</f>
        <v/>
      </c>
      <c r="X7" s="44" t="inlineStr">
        <is>
          <t>النمو</t>
        </is>
      </c>
      <c r="Y7" s="19" t="inlineStr">
        <is>
          <t>زيادة وصول العملاء</t>
        </is>
      </c>
    </row>
    <row r="8" ht="26" customHeight="1">
      <c r="A8" s="16" t="n">
        <v>5</v>
      </c>
      <c r="B8" s="19" t="inlineStr">
        <is>
          <t>المبيعات والأداء التجاري</t>
        </is>
      </c>
      <c r="C8" s="19" t="inlineStr">
        <is>
          <t>متوسط مبيعات المحطة الواحدة شهرياً</t>
        </is>
      </c>
      <c r="D8" s="38" t="inlineStr">
        <is>
          <t>لتر/محطة</t>
        </is>
      </c>
      <c r="E8" s="38" t="inlineStr">
        <is>
          <t>↑</t>
        </is>
      </c>
      <c r="F8" s="38" t="inlineStr">
        <is>
          <t>AVG</t>
        </is>
      </c>
      <c r="G8" s="38" t="inlineStr"/>
      <c r="H8" s="41" t="inlineStr">
        <is>
          <t>+10% نمو شهري</t>
        </is>
      </c>
      <c r="I8" s="42" t="n"/>
      <c r="J8" s="42" t="n"/>
      <c r="K8" s="42" t="n"/>
      <c r="L8" s="42" t="n"/>
      <c r="M8" s="42" t="n"/>
      <c r="N8" s="42" t="n"/>
      <c r="O8" s="42" t="n"/>
      <c r="P8" s="42" t="n"/>
      <c r="Q8" s="42" t="n"/>
      <c r="R8" s="42" t="n"/>
      <c r="S8" s="42" t="n"/>
      <c r="T8" s="42" t="n"/>
      <c r="U8" s="43">
        <f>IF($F8="SUM",IF(COUNT($I8:$T8)=0,"",SUM($I8:$T8)),IF($F8="AVG",IFERROR(AVERAGE($I8:$T8),""),IF($F8="LAST",IFERROR(LOOKUP(2,1/($I8:$T8&lt;&gt;""),$I8:$T8),""),"")))</f>
        <v/>
      </c>
      <c r="V8" s="36">
        <f>IF($G8="","",IF($U8="","",IF($G8=0,IF($U8&lt;=0,1,0),IF($E8="↓",IFERROR($G8/$U8,0),IFERROR($U8/$G8,0)))))</f>
        <v/>
      </c>
      <c r="W8" s="16">
        <f>IF($V8="","—",IF($V8&gt;=1,"✅ محقق",IF($V8&gt;=0.85,"🟡 قريب","🔴 تحت الهدف")))</f>
        <v/>
      </c>
      <c r="X8" s="44" t="inlineStr">
        <is>
          <t>النمو</t>
        </is>
      </c>
      <c r="Y8" s="19" t="inlineStr">
        <is>
          <t>زيادة وصول العملاء</t>
        </is>
      </c>
    </row>
    <row r="9" ht="26" customHeight="1">
      <c r="A9" s="16" t="n">
        <v>6</v>
      </c>
      <c r="B9" s="19" t="inlineStr">
        <is>
          <t>المبيعات والأداء التجاري</t>
        </is>
      </c>
      <c r="C9" s="19" t="inlineStr">
        <is>
          <t>نسبة تأجير وحدات الامتياز</t>
        </is>
      </c>
      <c r="D9" s="38" t="inlineStr">
        <is>
          <t>%</t>
        </is>
      </c>
      <c r="E9" s="38" t="inlineStr">
        <is>
          <t>↑</t>
        </is>
      </c>
      <c r="F9" s="38" t="inlineStr">
        <is>
          <t>AVG</t>
        </is>
      </c>
      <c r="G9" s="45" t="n">
        <v>0.7</v>
      </c>
      <c r="H9" s="41" t="inlineStr">
        <is>
          <t>70%</t>
        </is>
      </c>
      <c r="I9" s="46" t="n"/>
      <c r="J9" s="46" t="n"/>
      <c r="K9" s="46" t="n"/>
      <c r="L9" s="46" t="n"/>
      <c r="M9" s="46" t="n"/>
      <c r="N9" s="46" t="n"/>
      <c r="O9" s="46" t="n"/>
      <c r="P9" s="46" t="n"/>
      <c r="Q9" s="46" t="n"/>
      <c r="R9" s="46" t="n"/>
      <c r="S9" s="46" t="n"/>
      <c r="T9" s="46" t="n"/>
      <c r="U9" s="47">
        <f>IF($F9="SUM",IF(COUNT($I9:$T9)=0,"",SUM($I9:$T9)),IF($F9="AVG",IFERROR(AVERAGE($I9:$T9),""),IF($F9="LAST",IFERROR(LOOKUP(2,1/($I9:$T9&lt;&gt;""),$I9:$T9),""),"")))</f>
        <v/>
      </c>
      <c r="V9" s="36">
        <f>IF($G9="","",IF($U9="","",IF($G9=0,IF($U9&lt;=0,1,0),IF($E9="↓",IFERROR($G9/$U9,0),IFERROR($U9/$G9,0)))))</f>
        <v/>
      </c>
      <c r="W9" s="16">
        <f>IF($V9="","—",IF($V9&gt;=1,"✅ محقق",IF($V9&gt;=0.85,"🟡 قريب","🔴 تحت الهدف")))</f>
        <v/>
      </c>
      <c r="X9" s="44" t="inlineStr">
        <is>
          <t>الاستدامة</t>
        </is>
      </c>
      <c r="Y9" s="19" t="inlineStr">
        <is>
          <t>منظومة التأجير</t>
        </is>
      </c>
    </row>
    <row r="10" ht="26" customHeight="1">
      <c r="A10" s="16" t="n">
        <v>7</v>
      </c>
      <c r="B10" s="19" t="inlineStr">
        <is>
          <t>الأداء المالي</t>
        </is>
      </c>
      <c r="C10" s="19" t="inlineStr">
        <is>
          <t>إجمالي إيرادات إدارة الامتياز</t>
        </is>
      </c>
      <c r="D10" s="38" t="inlineStr">
        <is>
          <t>ر.س</t>
        </is>
      </c>
      <c r="E10" s="38" t="inlineStr">
        <is>
          <t>↑</t>
        </is>
      </c>
      <c r="F10" s="38" t="inlineStr">
        <is>
          <t>SUM</t>
        </is>
      </c>
      <c r="G10" s="38" t="inlineStr"/>
      <c r="H10" s="41" t="inlineStr">
        <is>
          <t>تصاعدي مستمر</t>
        </is>
      </c>
      <c r="I10" s="48" t="n"/>
      <c r="J10" s="48" t="n"/>
      <c r="K10" s="48" t="n"/>
      <c r="L10" s="48" t="n"/>
      <c r="M10" s="48" t="n"/>
      <c r="N10" s="48" t="n"/>
      <c r="O10" s="48" t="n"/>
      <c r="P10" s="48" t="n"/>
      <c r="Q10" s="48" t="n"/>
      <c r="R10" s="48" t="n"/>
      <c r="S10" s="48" t="n"/>
      <c r="T10" s="48" t="n"/>
      <c r="U10" s="49">
        <f>IF($F10="SUM",IF(COUNT($I10:$T10)=0,"",SUM($I10:$T10)),IF($F10="AVG",IFERROR(AVERAGE($I10:$T10),""),IF($F10="LAST",IFERROR(LOOKUP(2,1/($I10:$T10&lt;&gt;""),$I10:$T10),""),"")))</f>
        <v/>
      </c>
      <c r="V10" s="36">
        <f>IF($G10="","",IF($U10="","",IF($G10=0,IF($U10&lt;=0,1,0),IF($E10="↓",IFERROR($G10/$U10,0),IFERROR($U10/$G10,0)))))</f>
        <v/>
      </c>
      <c r="W10" s="16">
        <f>IF($V10="","—",IF($V10&gt;=1,"✅ محقق",IF($V10&gt;=0.85,"🟡 قريب","🔴 تحت الهدف")))</f>
        <v/>
      </c>
      <c r="X10" s="44" t="inlineStr">
        <is>
          <t>النمو</t>
        </is>
      </c>
      <c r="Y10" s="19" t="inlineStr">
        <is>
          <t>الامتياز التجاري</t>
        </is>
      </c>
    </row>
    <row r="11" ht="26" customHeight="1">
      <c r="A11" s="16" t="n">
        <v>8</v>
      </c>
      <c r="B11" s="19" t="inlineStr">
        <is>
          <t>الأداء المالي</t>
        </is>
      </c>
      <c r="C11" s="19" t="inlineStr">
        <is>
          <t>رفع هامش الربحية للامتياز</t>
        </is>
      </c>
      <c r="D11" s="38" t="inlineStr">
        <is>
          <t>هللة/لتر</t>
        </is>
      </c>
      <c r="E11" s="38" t="inlineStr">
        <is>
          <t>↑</t>
        </is>
      </c>
      <c r="F11" s="38" t="inlineStr">
        <is>
          <t>AVG</t>
        </is>
      </c>
      <c r="G11" s="50" t="n">
        <v>1.8</v>
      </c>
      <c r="H11" s="41" t="inlineStr">
        <is>
          <t>+1.8 هللة/لتر</t>
        </is>
      </c>
      <c r="I11" s="51" t="n"/>
      <c r="J11" s="51" t="n"/>
      <c r="K11" s="51" t="n"/>
      <c r="L11" s="51" t="n"/>
      <c r="M11" s="51" t="n"/>
      <c r="N11" s="51" t="n"/>
      <c r="O11" s="51" t="n"/>
      <c r="P11" s="51" t="n"/>
      <c r="Q11" s="51" t="n"/>
      <c r="R11" s="51" t="n"/>
      <c r="S11" s="51" t="n"/>
      <c r="T11" s="51" t="n"/>
      <c r="U11" s="52">
        <f>IF($F11="SUM",IF(COUNT($I11:$T11)=0,"",SUM($I11:$T11)),IF($F11="AVG",IFERROR(AVERAGE($I11:$T11),""),IF($F11="LAST",IFERROR(LOOKUP(2,1/($I11:$T11&lt;&gt;""),$I11:$T11),""),"")))</f>
        <v/>
      </c>
      <c r="V11" s="36">
        <f>IF($G11="","",IF($U11="","",IF($G11=0,IF($U11&lt;=0,1,0),IF($E11="↓",IFERROR($G11/$U11,0),IFERROR($U11/$G11,0)))))</f>
        <v/>
      </c>
      <c r="W11" s="16">
        <f>IF($V11="","—",IF($V11&gt;=1,"✅ محقق",IF($V11&gt;=0.85,"🟡 قريب","🔴 تحت الهدف")))</f>
        <v/>
      </c>
      <c r="X11" s="44" t="inlineStr">
        <is>
          <t>النمو</t>
        </is>
      </c>
      <c r="Y11" s="19" t="inlineStr">
        <is>
          <t>الامتياز التجاري</t>
        </is>
      </c>
    </row>
    <row r="12" ht="26" customHeight="1">
      <c r="A12" s="16" t="n">
        <v>9</v>
      </c>
      <c r="B12" s="19" t="inlineStr">
        <is>
          <t>الأداء المالي</t>
        </is>
      </c>
      <c r="C12" s="19" t="inlineStr">
        <is>
          <t>نسبة التحصيل المالي من شركاء الامتياز</t>
        </is>
      </c>
      <c r="D12" s="38" t="inlineStr">
        <is>
          <t>%</t>
        </is>
      </c>
      <c r="E12" s="38" t="inlineStr">
        <is>
          <t>↑</t>
        </is>
      </c>
      <c r="F12" s="38" t="inlineStr">
        <is>
          <t>AVG</t>
        </is>
      </c>
      <c r="G12" s="45" t="n">
        <v>0.95</v>
      </c>
      <c r="H12" s="41" t="inlineStr">
        <is>
          <t>95%+</t>
        </is>
      </c>
      <c r="I12" s="46" t="n"/>
      <c r="J12" s="46" t="n"/>
      <c r="K12" s="46" t="n"/>
      <c r="L12" s="46" t="n"/>
      <c r="M12" s="46" t="n"/>
      <c r="N12" s="46" t="n"/>
      <c r="O12" s="46" t="n"/>
      <c r="P12" s="46" t="n"/>
      <c r="Q12" s="46" t="n"/>
      <c r="R12" s="46" t="n"/>
      <c r="S12" s="46" t="n"/>
      <c r="T12" s="46" t="n"/>
      <c r="U12" s="47">
        <f>IF($F12="SUM",IF(COUNT($I12:$T12)=0,"",SUM($I12:$T12)),IF($F12="AVG",IFERROR(AVERAGE($I12:$T12),""),IF($F12="LAST",IFERROR(LOOKUP(2,1/($I12:$T12&lt;&gt;""),$I12:$T12),""),"")))</f>
        <v/>
      </c>
      <c r="V12" s="36">
        <f>IF($G12="","",IF($U12="","",IF($G12=0,IF($U12&lt;=0,1,0),IF($E12="↓",IFERROR($G12/$U12,0),IFERROR($U12/$G12,0)))))</f>
        <v/>
      </c>
      <c r="W12" s="16">
        <f>IF($V12="","—",IF($V12&gt;=1,"✅ محقق",IF($V12&gt;=0.85,"🟡 قريب","🔴 تحت الهدف")))</f>
        <v/>
      </c>
      <c r="X12" s="44" t="inlineStr">
        <is>
          <t>الاستدامة</t>
        </is>
      </c>
      <c r="Y12" s="19" t="inlineStr">
        <is>
          <t>جودة التشغيل</t>
        </is>
      </c>
    </row>
    <row r="13" ht="26" customHeight="1">
      <c r="A13" s="16" t="n">
        <v>10</v>
      </c>
      <c r="B13" s="19" t="inlineStr">
        <is>
          <t>الأداء المالي</t>
        </is>
      </c>
      <c r="C13" s="19" t="inlineStr">
        <is>
          <t>متوسط أيام التحصيل (DSO)</t>
        </is>
      </c>
      <c r="D13" s="38" t="inlineStr">
        <is>
          <t>يوم</t>
        </is>
      </c>
      <c r="E13" s="38" t="inlineStr">
        <is>
          <t>↓</t>
        </is>
      </c>
      <c r="F13" s="38" t="inlineStr">
        <is>
          <t>AVG</t>
        </is>
      </c>
      <c r="G13" s="50" t="n">
        <v>30</v>
      </c>
      <c r="H13" s="41" t="inlineStr">
        <is>
          <t>≤ 30 يوم</t>
        </is>
      </c>
      <c r="I13" s="51" t="n"/>
      <c r="J13" s="51" t="n"/>
      <c r="K13" s="51" t="n"/>
      <c r="L13" s="51" t="n"/>
      <c r="M13" s="51" t="n"/>
      <c r="N13" s="51" t="n"/>
      <c r="O13" s="51" t="n"/>
      <c r="P13" s="51" t="n"/>
      <c r="Q13" s="51" t="n"/>
      <c r="R13" s="51" t="n"/>
      <c r="S13" s="51" t="n"/>
      <c r="T13" s="51" t="n"/>
      <c r="U13" s="52">
        <f>IF($F13="SUM",IF(COUNT($I13:$T13)=0,"",SUM($I13:$T13)),IF($F13="AVG",IFERROR(AVERAGE($I13:$T13),""),IF($F13="LAST",IFERROR(LOOKUP(2,1/($I13:$T13&lt;&gt;""),$I13:$T13),""),"")))</f>
        <v/>
      </c>
      <c r="V13" s="36">
        <f>IF($G13="","",IF($U13="","",IF($G13=0,IF($U13&lt;=0,1,0),IF($E13="↓",IFERROR($G13/$U13,0),IFERROR($U13/$G13,0)))))</f>
        <v/>
      </c>
      <c r="W13" s="16">
        <f>IF($V13="","—",IF($V13&gt;=1,"✅ محقق",IF($V13&gt;=0.85,"🟡 قريب","🔴 تحت الهدف")))</f>
        <v/>
      </c>
      <c r="X13" s="44" t="inlineStr">
        <is>
          <t>الاستدامة</t>
        </is>
      </c>
      <c r="Y13" s="19" t="inlineStr">
        <is>
          <t>جودة التشغيل</t>
        </is>
      </c>
    </row>
    <row r="14" ht="26" customHeight="1">
      <c r="A14" s="16" t="n">
        <v>11</v>
      </c>
      <c r="B14" s="19" t="inlineStr">
        <is>
          <t>الأداء المالي</t>
        </is>
      </c>
      <c r="C14" s="19" t="inlineStr">
        <is>
          <t>إجمالي المستحقات المتأخرة (+30 يوم)</t>
        </is>
      </c>
      <c r="D14" s="38" t="inlineStr">
        <is>
          <t>ر.س</t>
        </is>
      </c>
      <c r="E14" s="38" t="inlineStr">
        <is>
          <t>↓</t>
        </is>
      </c>
      <c r="F14" s="38" t="inlineStr">
        <is>
          <t>LAST</t>
        </is>
      </c>
      <c r="G14" s="38" t="inlineStr"/>
      <c r="H14" s="41" t="inlineStr">
        <is>
          <t>تراجع مستمر</t>
        </is>
      </c>
      <c r="I14" s="48" t="n"/>
      <c r="J14" s="48" t="n"/>
      <c r="K14" s="48" t="n"/>
      <c r="L14" s="48" t="n"/>
      <c r="M14" s="48" t="n"/>
      <c r="N14" s="48" t="n"/>
      <c r="O14" s="48" t="n"/>
      <c r="P14" s="48" t="n"/>
      <c r="Q14" s="48" t="n"/>
      <c r="R14" s="48" t="n"/>
      <c r="S14" s="48" t="n"/>
      <c r="T14" s="48" t="n"/>
      <c r="U14" s="49">
        <f>IF($F14="SUM",IF(COUNT($I14:$T14)=0,"",SUM($I14:$T14)),IF($F14="AVG",IFERROR(AVERAGE($I14:$T14),""),IF($F14="LAST",IFERROR(LOOKUP(2,1/($I14:$T14&lt;&gt;""),$I14:$T14),""),"")))</f>
        <v/>
      </c>
      <c r="V14" s="36">
        <f>IF($G14="","",IF($U14="","",IF($G14=0,IF($U14&lt;=0,1,0),IF($E14="↓",IFERROR($G14/$U14,0),IFERROR($U14/$G14,0)))))</f>
        <v/>
      </c>
      <c r="W14" s="16">
        <f>IF($V14="","—",IF($V14&gt;=1,"✅ محقق",IF($V14&gt;=0.85,"🟡 قريب","🔴 تحت الهدف")))</f>
        <v/>
      </c>
      <c r="X14" s="44" t="inlineStr">
        <is>
          <t>الاستدامة</t>
        </is>
      </c>
      <c r="Y14" s="19" t="inlineStr">
        <is>
          <t>جودة التشغيل</t>
        </is>
      </c>
    </row>
    <row r="15" ht="26" customHeight="1">
      <c r="A15" s="16" t="n">
        <v>12</v>
      </c>
      <c r="B15" s="19" t="inlineStr">
        <is>
          <t>الأداء المالي</t>
        </is>
      </c>
      <c r="C15" s="19" t="inlineStr">
        <is>
          <t>نسبة الشركاء الملتزمين بمواعيد السداد</t>
        </is>
      </c>
      <c r="D15" s="38" t="inlineStr">
        <is>
          <t>%</t>
        </is>
      </c>
      <c r="E15" s="38" t="inlineStr">
        <is>
          <t>↑</t>
        </is>
      </c>
      <c r="F15" s="38" t="inlineStr">
        <is>
          <t>AVG</t>
        </is>
      </c>
      <c r="G15" s="45" t="n">
        <v>0.9</v>
      </c>
      <c r="H15" s="41" t="inlineStr">
        <is>
          <t>90%+</t>
        </is>
      </c>
      <c r="I15" s="46" t="n"/>
      <c r="J15" s="46" t="n"/>
      <c r="K15" s="46" t="n"/>
      <c r="L15" s="46" t="n"/>
      <c r="M15" s="46" t="n"/>
      <c r="N15" s="46" t="n"/>
      <c r="O15" s="46" t="n"/>
      <c r="P15" s="46" t="n"/>
      <c r="Q15" s="46" t="n"/>
      <c r="R15" s="46" t="n"/>
      <c r="S15" s="46" t="n"/>
      <c r="T15" s="46" t="n"/>
      <c r="U15" s="47">
        <f>IF($F15="SUM",IF(COUNT($I15:$T15)=0,"",SUM($I15:$T15)),IF($F15="AVG",IFERROR(AVERAGE($I15:$T15),""),IF($F15="LAST",IFERROR(LOOKUP(2,1/($I15:$T15&lt;&gt;""),$I15:$T15),""),"")))</f>
        <v/>
      </c>
      <c r="V15" s="36">
        <f>IF($G15="","",IF($U15="","",IF($G15=0,IF($U15&lt;=0,1,0),IF($E15="↓",IFERROR($G15/$U15,0),IFERROR($U15/$G15,0)))))</f>
        <v/>
      </c>
      <c r="W15" s="16">
        <f>IF($V15="","—",IF($V15&gt;=1,"✅ محقق",IF($V15&gt;=0.85,"🟡 قريب","🔴 تحت الهدف")))</f>
        <v/>
      </c>
      <c r="X15" s="44" t="inlineStr">
        <is>
          <t>الاستدامة</t>
        </is>
      </c>
      <c r="Y15" s="19" t="inlineStr">
        <is>
          <t>جودة التشغيل</t>
        </is>
      </c>
    </row>
    <row r="16" ht="26" customHeight="1">
      <c r="A16" s="16" t="n">
        <v>13</v>
      </c>
      <c r="B16" s="19" t="inlineStr">
        <is>
          <t>الأداء المالي</t>
        </is>
      </c>
      <c r="C16" s="19" t="inlineStr">
        <is>
          <t>معدل دوران رأس المال (أيام الدورة)</t>
        </is>
      </c>
      <c r="D16" s="38" t="inlineStr">
        <is>
          <t>يوم</t>
        </is>
      </c>
      <c r="E16" s="38" t="inlineStr">
        <is>
          <t>↓</t>
        </is>
      </c>
      <c r="F16" s="38" t="inlineStr">
        <is>
          <t>AVG</t>
        </is>
      </c>
      <c r="G16" s="50" t="n">
        <v>5</v>
      </c>
      <c r="H16" s="41" t="inlineStr">
        <is>
          <t>≤ 5 أيام</t>
        </is>
      </c>
      <c r="I16" s="51" t="n"/>
      <c r="J16" s="51" t="n"/>
      <c r="K16" s="51" t="n"/>
      <c r="L16" s="51" t="n"/>
      <c r="M16" s="51" t="n"/>
      <c r="N16" s="51" t="n"/>
      <c r="O16" s="51" t="n"/>
      <c r="P16" s="51" t="n"/>
      <c r="Q16" s="51" t="n"/>
      <c r="R16" s="51" t="n"/>
      <c r="S16" s="51" t="n"/>
      <c r="T16" s="51" t="n"/>
      <c r="U16" s="52">
        <f>IF($F16="SUM",IF(COUNT($I16:$T16)=0,"",SUM($I16:$T16)),IF($F16="AVG",IFERROR(AVERAGE($I16:$T16),""),IF($F16="LAST",IFERROR(LOOKUP(2,1/($I16:$T16&lt;&gt;""),$I16:$T16),""),"")))</f>
        <v/>
      </c>
      <c r="V16" s="36">
        <f>IF($G16="","",IF($U16="","",IF($G16=0,IF($U16&lt;=0,1,0),IF($E16="↓",IFERROR($G16/$U16,0),IFERROR($U16/$G16,0)))))</f>
        <v/>
      </c>
      <c r="W16" s="16">
        <f>IF($V16="","—",IF($V16&gt;=1,"✅ محقق",IF($V16&gt;=0.85,"🟡 قريب","🔴 تحت الهدف")))</f>
        <v/>
      </c>
      <c r="X16" s="44" t="inlineStr">
        <is>
          <t>الاستدامة</t>
        </is>
      </c>
      <c r="Y16" s="19" t="inlineStr">
        <is>
          <t>جودة التشغيل</t>
        </is>
      </c>
    </row>
    <row r="17" ht="26" customHeight="1">
      <c r="A17" s="16" t="n">
        <v>14</v>
      </c>
      <c r="B17" s="19" t="inlineStr">
        <is>
          <t>التشغيل والجودة</t>
        </is>
      </c>
      <c r="C17" s="19" t="inlineStr">
        <is>
          <t>نسبة جاهزية محطات الامتياز (صفر انقطاع)</t>
        </is>
      </c>
      <c r="D17" s="38" t="inlineStr">
        <is>
          <t>%</t>
        </is>
      </c>
      <c r="E17" s="38" t="inlineStr">
        <is>
          <t>↑</t>
        </is>
      </c>
      <c r="F17" s="38" t="inlineStr">
        <is>
          <t>AVG</t>
        </is>
      </c>
      <c r="G17" s="45" t="n">
        <v>0.99</v>
      </c>
      <c r="H17" s="41" t="inlineStr">
        <is>
          <t>99%+</t>
        </is>
      </c>
      <c r="I17" s="46" t="n"/>
      <c r="J17" s="46" t="n"/>
      <c r="K17" s="46" t="n"/>
      <c r="L17" s="46" t="n"/>
      <c r="M17" s="46" t="n"/>
      <c r="N17" s="46" t="n"/>
      <c r="O17" s="46" t="n"/>
      <c r="P17" s="46" t="n"/>
      <c r="Q17" s="46" t="n"/>
      <c r="R17" s="46" t="n"/>
      <c r="S17" s="46" t="n"/>
      <c r="T17" s="46" t="n"/>
      <c r="U17" s="47">
        <f>IF($F17="SUM",IF(COUNT($I17:$T17)=0,"",SUM($I17:$T17)),IF($F17="AVG",IFERROR(AVERAGE($I17:$T17),""),IF($F17="LAST",IFERROR(LOOKUP(2,1/($I17:$T17&lt;&gt;""),$I17:$T17),""),"")))</f>
        <v/>
      </c>
      <c r="V17" s="36">
        <f>IF($G17="","",IF($U17="","",IF($G17=0,IF($U17&lt;=0,1,0),IF($E17="↓",IFERROR($G17/$U17,0),IFERROR($U17/$G17,0)))))</f>
        <v/>
      </c>
      <c r="W17" s="16">
        <f>IF($V17="","—",IF($V17&gt;=1,"✅ محقق",IF($V17&gt;=0.85,"🟡 قريب","🔴 تحت الهدف")))</f>
        <v/>
      </c>
      <c r="X17" s="44" t="inlineStr">
        <is>
          <t>الاستدامة</t>
        </is>
      </c>
      <c r="Y17" s="19" t="inlineStr">
        <is>
          <t>جودة التشغيل</t>
        </is>
      </c>
    </row>
    <row r="18" ht="26" customHeight="1">
      <c r="A18" s="16" t="n">
        <v>15</v>
      </c>
      <c r="B18" s="19" t="inlineStr">
        <is>
          <t>التشغيل والجودة</t>
        </is>
      </c>
      <c r="C18" s="19" t="inlineStr">
        <is>
          <t>عدد حالات انقطاع الوقود الموثّقة</t>
        </is>
      </c>
      <c r="D18" s="38" t="inlineStr">
        <is>
          <t>حالة</t>
        </is>
      </c>
      <c r="E18" s="38" t="inlineStr">
        <is>
          <t>↓</t>
        </is>
      </c>
      <c r="F18" s="38" t="inlineStr">
        <is>
          <t>SUM</t>
        </is>
      </c>
      <c r="G18" s="40" t="n">
        <v>0</v>
      </c>
      <c r="H18" s="41" t="inlineStr">
        <is>
          <t>0 حالة</t>
        </is>
      </c>
      <c r="I18" s="42" t="n"/>
      <c r="J18" s="42" t="n"/>
      <c r="K18" s="42" t="n"/>
      <c r="L18" s="42" t="n"/>
      <c r="M18" s="42" t="n"/>
      <c r="N18" s="42" t="n"/>
      <c r="O18" s="42" t="n"/>
      <c r="P18" s="42" t="n"/>
      <c r="Q18" s="42" t="n"/>
      <c r="R18" s="42" t="n"/>
      <c r="S18" s="42" t="n"/>
      <c r="T18" s="42" t="n"/>
      <c r="U18" s="43">
        <f>IF($F18="SUM",IF(COUNT($I18:$T18)=0,"",SUM($I18:$T18)),IF($F18="AVG",IFERROR(AVERAGE($I18:$T18),""),IF($F18="LAST",IFERROR(LOOKUP(2,1/($I18:$T18&lt;&gt;""),$I18:$T18),""),"")))</f>
        <v/>
      </c>
      <c r="V18" s="36">
        <f>IF($G18="","",IF($U18="","",IF($G18=0,IF($U18&lt;=0,1,0),IF($E18="↓",IFERROR($G18/$U18,0),IFERROR($U18/$G18,0)))))</f>
        <v/>
      </c>
      <c r="W18" s="16">
        <f>IF($V18="","—",IF($V18&gt;=1,"✅ محقق",IF($V18&gt;=0.85,"🟡 قريب","🔴 تحت الهدف")))</f>
        <v/>
      </c>
      <c r="X18" s="44" t="inlineStr">
        <is>
          <t>الاستدامة</t>
        </is>
      </c>
      <c r="Y18" s="19" t="inlineStr">
        <is>
          <t>جودة التشغيل</t>
        </is>
      </c>
    </row>
    <row r="19" ht="26" customHeight="1">
      <c r="A19" s="16" t="n">
        <v>16</v>
      </c>
      <c r="B19" s="19" t="inlineStr">
        <is>
          <t>التشغيل والجودة</t>
        </is>
      </c>
      <c r="C19" s="19" t="inlineStr">
        <is>
          <t>نسبة إغلاق ملاحظات الجودة الميدانية</t>
        </is>
      </c>
      <c r="D19" s="38" t="inlineStr">
        <is>
          <t>%</t>
        </is>
      </c>
      <c r="E19" s="38" t="inlineStr">
        <is>
          <t>↑</t>
        </is>
      </c>
      <c r="F19" s="38" t="inlineStr">
        <is>
          <t>AVG</t>
        </is>
      </c>
      <c r="G19" s="45" t="n">
        <v>0.95</v>
      </c>
      <c r="H19" s="41" t="inlineStr">
        <is>
          <t>95%+</t>
        </is>
      </c>
      <c r="I19" s="46" t="n"/>
      <c r="J19" s="46" t="n"/>
      <c r="K19" s="46" t="n"/>
      <c r="L19" s="46" t="n"/>
      <c r="M19" s="46" t="n"/>
      <c r="N19" s="46" t="n"/>
      <c r="O19" s="46" t="n"/>
      <c r="P19" s="46" t="n"/>
      <c r="Q19" s="46" t="n"/>
      <c r="R19" s="46" t="n"/>
      <c r="S19" s="46" t="n"/>
      <c r="T19" s="46" t="n"/>
      <c r="U19" s="47">
        <f>IF($F19="SUM",IF(COUNT($I19:$T19)=0,"",SUM($I19:$T19)),IF($F19="AVG",IFERROR(AVERAGE($I19:$T19),""),IF($F19="LAST",IFERROR(LOOKUP(2,1/($I19:$T19&lt;&gt;""),$I19:$T19),""),"")))</f>
        <v/>
      </c>
      <c r="V19" s="36">
        <f>IF($G19="","",IF($U19="","",IF($G19=0,IF($U19&lt;=0,1,0),IF($E19="↓",IFERROR($G19/$U19,0),IFERROR($U19/$G19,0)))))</f>
        <v/>
      </c>
      <c r="W19" s="16">
        <f>IF($V19="","—",IF($V19&gt;=1,"✅ محقق",IF($V19&gt;=0.85,"🟡 قريب","🔴 تحت الهدف")))</f>
        <v/>
      </c>
      <c r="X19" s="44" t="inlineStr">
        <is>
          <t>الاستدامة</t>
        </is>
      </c>
      <c r="Y19" s="19" t="inlineStr">
        <is>
          <t>جودة التشغيل</t>
        </is>
      </c>
    </row>
    <row r="20" ht="26" customHeight="1">
      <c r="A20" s="16" t="n">
        <v>17</v>
      </c>
      <c r="B20" s="19" t="inlineStr">
        <is>
          <t>التشغيل والجودة</t>
        </is>
      </c>
      <c r="C20" s="19" t="inlineStr">
        <is>
          <t>متوسط درجة تقييم جودة المحطة (قائمة التحقق)</t>
        </is>
      </c>
      <c r="D20" s="38" t="inlineStr">
        <is>
          <t>درجة/100</t>
        </is>
      </c>
      <c r="E20" s="38" t="inlineStr">
        <is>
          <t>↑</t>
        </is>
      </c>
      <c r="F20" s="38" t="inlineStr">
        <is>
          <t>AVG</t>
        </is>
      </c>
      <c r="G20" s="50" t="n">
        <v>85</v>
      </c>
      <c r="H20" s="41" t="inlineStr">
        <is>
          <t>85+</t>
        </is>
      </c>
      <c r="I20" s="51" t="n"/>
      <c r="J20" s="51" t="n"/>
      <c r="K20" s="51" t="n"/>
      <c r="L20" s="51" t="n"/>
      <c r="M20" s="51" t="n"/>
      <c r="N20" s="51" t="n"/>
      <c r="O20" s="51" t="n"/>
      <c r="P20" s="51" t="n"/>
      <c r="Q20" s="51" t="n"/>
      <c r="R20" s="51" t="n"/>
      <c r="S20" s="51" t="n"/>
      <c r="T20" s="51" t="n"/>
      <c r="U20" s="52">
        <f>IF($F20="SUM",IF(COUNT($I20:$T20)=0,"",SUM($I20:$T20)),IF($F20="AVG",IFERROR(AVERAGE($I20:$T20),""),IF($F20="LAST",IFERROR(LOOKUP(2,1/($I20:$T20&lt;&gt;""),$I20:$T20),""),"")))</f>
        <v/>
      </c>
      <c r="V20" s="36">
        <f>IF($G20="","",IF($U20="","",IF($G20=0,IF($U20&lt;=0,1,0),IF($E20="↓",IFERROR($G20/$U20,0),IFERROR($U20/$G20,0)))))</f>
        <v/>
      </c>
      <c r="W20" s="16">
        <f>IF($V20="","—",IF($V20&gt;=1,"✅ محقق",IF($V20&gt;=0.85,"🟡 قريب","🔴 تحت الهدف")))</f>
        <v/>
      </c>
      <c r="X20" s="44" t="inlineStr">
        <is>
          <t>الاستدامة</t>
        </is>
      </c>
      <c r="Y20" s="19" t="inlineStr">
        <is>
          <t>جودة التشغيل</t>
        </is>
      </c>
    </row>
    <row r="21" ht="26" customHeight="1">
      <c r="A21" s="16" t="n">
        <v>18</v>
      </c>
      <c r="B21" s="19" t="inlineStr">
        <is>
          <t>التشغيل والجودة</t>
        </is>
      </c>
      <c r="C21" s="19" t="inlineStr">
        <is>
          <t>نسبة تنفيذ الزيارات الميدانية المجدولة</t>
        </is>
      </c>
      <c r="D21" s="38" t="inlineStr">
        <is>
          <t>%</t>
        </is>
      </c>
      <c r="E21" s="38" t="inlineStr">
        <is>
          <t>↑</t>
        </is>
      </c>
      <c r="F21" s="38" t="inlineStr">
        <is>
          <t>AVG</t>
        </is>
      </c>
      <c r="G21" s="45" t="n">
        <v>1</v>
      </c>
      <c r="H21" s="41" t="inlineStr">
        <is>
          <t>100%</t>
        </is>
      </c>
      <c r="I21" s="46" t="n"/>
      <c r="J21" s="46" t="n"/>
      <c r="K21" s="46" t="n"/>
      <c r="L21" s="46" t="n"/>
      <c r="M21" s="46" t="n"/>
      <c r="N21" s="46" t="n"/>
      <c r="O21" s="46" t="n"/>
      <c r="P21" s="46" t="n"/>
      <c r="Q21" s="46" t="n"/>
      <c r="R21" s="46" t="n"/>
      <c r="S21" s="46" t="n"/>
      <c r="T21" s="46" t="n"/>
      <c r="U21" s="47">
        <f>IF($F21="SUM",IF(COUNT($I21:$T21)=0,"",SUM($I21:$T21)),IF($F21="AVG",IFERROR(AVERAGE($I21:$T21),""),IF($F21="LAST",IFERROR(LOOKUP(2,1/($I21:$T21&lt;&gt;""),$I21:$T21),""),"")))</f>
        <v/>
      </c>
      <c r="V21" s="36">
        <f>IF($G21="","",IF($U21="","",IF($G21=0,IF($U21&lt;=0,1,0),IF($E21="↓",IFERROR($G21/$U21,0),IFERROR($U21/$G21,0)))))</f>
        <v/>
      </c>
      <c r="W21" s="16">
        <f>IF($V21="","—",IF($V21&gt;=1,"✅ محقق",IF($V21&gt;=0.85,"🟡 قريب","🔴 تحت الهدف")))</f>
        <v/>
      </c>
      <c r="X21" s="44" t="inlineStr">
        <is>
          <t>الاستدامة</t>
        </is>
      </c>
      <c r="Y21" s="19" t="inlineStr">
        <is>
          <t>جودة التشغيل</t>
        </is>
      </c>
    </row>
    <row r="22" ht="26" customHeight="1">
      <c r="A22" s="16" t="n">
        <v>19</v>
      </c>
      <c r="B22" s="19" t="inlineStr">
        <is>
          <t>التشغيل والجودة</t>
        </is>
      </c>
      <c r="C22" s="19" t="inlineStr">
        <is>
          <t>نسبة المحطات المستوفية لمعايير السلامة</t>
        </is>
      </c>
      <c r="D22" s="38" t="inlineStr">
        <is>
          <t>%</t>
        </is>
      </c>
      <c r="E22" s="38" t="inlineStr">
        <is>
          <t>↑</t>
        </is>
      </c>
      <c r="F22" s="38" t="inlineStr">
        <is>
          <t>AVG</t>
        </is>
      </c>
      <c r="G22" s="45" t="n">
        <v>1</v>
      </c>
      <c r="H22" s="41" t="inlineStr">
        <is>
          <t>100%</t>
        </is>
      </c>
      <c r="I22" s="46" t="n"/>
      <c r="J22" s="46" t="n"/>
      <c r="K22" s="46" t="n"/>
      <c r="L22" s="46" t="n"/>
      <c r="M22" s="46" t="n"/>
      <c r="N22" s="46" t="n"/>
      <c r="O22" s="46" t="n"/>
      <c r="P22" s="46" t="n"/>
      <c r="Q22" s="46" t="n"/>
      <c r="R22" s="46" t="n"/>
      <c r="S22" s="46" t="n"/>
      <c r="T22" s="46" t="n"/>
      <c r="U22" s="47">
        <f>IF($F22="SUM",IF(COUNT($I22:$T22)=0,"",SUM($I22:$T22)),IF($F22="AVG",IFERROR(AVERAGE($I22:$T22),""),IF($F22="LAST",IFERROR(LOOKUP(2,1/($I22:$T22&lt;&gt;""),$I22:$T22),""),"")))</f>
        <v/>
      </c>
      <c r="V22" s="36">
        <f>IF($G22="","",IF($U22="","",IF($G22=0,IF($U22&lt;=0,1,0),IF($E22="↓",IFERROR($G22/$U22,0),IFERROR($U22/$G22,0)))))</f>
        <v/>
      </c>
      <c r="W22" s="16">
        <f>IF($V22="","—",IF($V22&gt;=1,"✅ محقق",IF($V22&gt;=0.85,"🟡 قريب","🔴 تحت الهدف")))</f>
        <v/>
      </c>
      <c r="X22" s="44" t="inlineStr">
        <is>
          <t>الاستدامة</t>
        </is>
      </c>
      <c r="Y22" s="19" t="inlineStr">
        <is>
          <t>جودة التشغيل</t>
        </is>
      </c>
    </row>
    <row r="23" ht="26" customHeight="1">
      <c r="A23" s="16" t="n">
        <v>20</v>
      </c>
      <c r="B23" s="19" t="inlineStr">
        <is>
          <t>التشغيل والجودة</t>
        </is>
      </c>
      <c r="C23" s="19" t="inlineStr">
        <is>
          <t>متوسط وقت معالجة البلاغات التشغيلية</t>
        </is>
      </c>
      <c r="D23" s="38" t="inlineStr">
        <is>
          <t>ساعة</t>
        </is>
      </c>
      <c r="E23" s="38" t="inlineStr">
        <is>
          <t>↓</t>
        </is>
      </c>
      <c r="F23" s="38" t="inlineStr">
        <is>
          <t>AVG</t>
        </is>
      </c>
      <c r="G23" s="50" t="n">
        <v>24</v>
      </c>
      <c r="H23" s="41" t="inlineStr">
        <is>
          <t>≤ 24 ساعة</t>
        </is>
      </c>
      <c r="I23" s="51" t="n"/>
      <c r="J23" s="51" t="n"/>
      <c r="K23" s="51" t="n"/>
      <c r="L23" s="51" t="n"/>
      <c r="M23" s="51" t="n"/>
      <c r="N23" s="51" t="n"/>
      <c r="O23" s="51" t="n"/>
      <c r="P23" s="51" t="n"/>
      <c r="Q23" s="51" t="n"/>
      <c r="R23" s="51" t="n"/>
      <c r="S23" s="51" t="n"/>
      <c r="T23" s="51" t="n"/>
      <c r="U23" s="52">
        <f>IF($F23="SUM",IF(COUNT($I23:$T23)=0,"",SUM($I23:$T23)),IF($F23="AVG",IFERROR(AVERAGE($I23:$T23),""),IF($F23="LAST",IFERROR(LOOKUP(2,1/($I23:$T23&lt;&gt;""),$I23:$T23),""),"")))</f>
        <v/>
      </c>
      <c r="V23" s="36">
        <f>IF($G23="","",IF($U23="","",IF($G23=0,IF($U23&lt;=0,1,0),IF($E23="↓",IFERROR($G23/$U23,0),IFERROR($U23/$G23,0)))))</f>
        <v/>
      </c>
      <c r="W23" s="16">
        <f>IF($V23="","—",IF($V23&gt;=1,"✅ محقق",IF($V23&gt;=0.85,"🟡 قريب","🔴 تحت الهدف")))</f>
        <v/>
      </c>
      <c r="X23" s="44" t="inlineStr">
        <is>
          <t>الاستدامة</t>
        </is>
      </c>
      <c r="Y23" s="19" t="inlineStr">
        <is>
          <t>جودة التشغيل</t>
        </is>
      </c>
    </row>
    <row r="24" ht="26" customHeight="1">
      <c r="A24" s="16" t="n">
        <v>21</v>
      </c>
      <c r="B24" s="19" t="inlineStr">
        <is>
          <t>التشغيل والجودة</t>
        </is>
      </c>
      <c r="C24" s="19" t="inlineStr">
        <is>
          <t>نسبة أتمتة محطات الامتياز</t>
        </is>
      </c>
      <c r="D24" s="38" t="inlineStr">
        <is>
          <t>%</t>
        </is>
      </c>
      <c r="E24" s="38" t="inlineStr">
        <is>
          <t>↑</t>
        </is>
      </c>
      <c r="F24" s="38" t="inlineStr">
        <is>
          <t>LAST</t>
        </is>
      </c>
      <c r="G24" s="45" t="n">
        <v>0.9</v>
      </c>
      <c r="H24" s="41" t="inlineStr">
        <is>
          <t>90%</t>
        </is>
      </c>
      <c r="I24" s="46" t="n"/>
      <c r="J24" s="46" t="n"/>
      <c r="K24" s="46" t="n"/>
      <c r="L24" s="46" t="n"/>
      <c r="M24" s="46" t="n"/>
      <c r="N24" s="46" t="n"/>
      <c r="O24" s="46" t="n"/>
      <c r="P24" s="46" t="n"/>
      <c r="Q24" s="46" t="n"/>
      <c r="R24" s="46" t="n"/>
      <c r="S24" s="46" t="n"/>
      <c r="T24" s="46" t="n"/>
      <c r="U24" s="47">
        <f>IF($F24="SUM",IF(COUNT($I24:$T24)=0,"",SUM($I24:$T24)),IF($F24="AVG",IFERROR(AVERAGE($I24:$T24),""),IF($F24="LAST",IFERROR(LOOKUP(2,1/($I24:$T24&lt;&gt;""),$I24:$T24),""),"")))</f>
        <v/>
      </c>
      <c r="V24" s="36">
        <f>IF($G24="","",IF($U24="","",IF($G24=0,IF($U24&lt;=0,1,0),IF($E24="↓",IFERROR($G24/$U24,0),IFERROR($U24/$G24,0)))))</f>
        <v/>
      </c>
      <c r="W24" s="16">
        <f>IF($V24="","—",IF($V24&gt;=1,"✅ محقق",IF($V24&gt;=0.85,"🟡 قريب","🔴 تحت الهدف")))</f>
        <v/>
      </c>
      <c r="X24" s="44" t="inlineStr">
        <is>
          <t>الابتكار</t>
        </is>
      </c>
      <c r="Y24" s="19" t="inlineStr">
        <is>
          <t>التحول التقني</t>
        </is>
      </c>
    </row>
    <row r="25" ht="26" customHeight="1">
      <c r="A25" s="16" t="n">
        <v>22</v>
      </c>
      <c r="B25" s="19" t="inlineStr">
        <is>
          <t>التشغيل والجودة</t>
        </is>
      </c>
      <c r="C25" s="19" t="inlineStr">
        <is>
          <t>نسبة تطبيق المعيار الشامل داخل المحطات</t>
        </is>
      </c>
      <c r="D25" s="38" t="inlineStr">
        <is>
          <t>%</t>
        </is>
      </c>
      <c r="E25" s="38" t="inlineStr">
        <is>
          <t>↑</t>
        </is>
      </c>
      <c r="F25" s="38" t="inlineStr">
        <is>
          <t>LAST</t>
        </is>
      </c>
      <c r="G25" s="45" t="n">
        <v>0.3</v>
      </c>
      <c r="H25" s="41" t="inlineStr">
        <is>
          <t>30%</t>
        </is>
      </c>
      <c r="I25" s="46" t="n"/>
      <c r="J25" s="46" t="n"/>
      <c r="K25" s="46" t="n"/>
      <c r="L25" s="46" t="n"/>
      <c r="M25" s="46" t="n"/>
      <c r="N25" s="46" t="n"/>
      <c r="O25" s="46" t="n"/>
      <c r="P25" s="46" t="n"/>
      <c r="Q25" s="46" t="n"/>
      <c r="R25" s="46" t="n"/>
      <c r="S25" s="46" t="n"/>
      <c r="T25" s="46" t="n"/>
      <c r="U25" s="47">
        <f>IF($F25="SUM",IF(COUNT($I25:$T25)=0,"",SUM($I25:$T25)),IF($F25="AVG",IFERROR(AVERAGE($I25:$T25),""),IF($F25="LAST",IFERROR(LOOKUP(2,1/($I25:$T25&lt;&gt;""),$I25:$T25),""),"")))</f>
        <v/>
      </c>
      <c r="V25" s="36">
        <f>IF($G25="","",IF($U25="","",IF($G25=0,IF($U25&lt;=0,1,0),IF($E25="↓",IFERROR($G25/$U25,0),IFERROR($U25/$G25,0)))))</f>
        <v/>
      </c>
      <c r="W25" s="16">
        <f>IF($V25="","—",IF($V25&gt;=1,"✅ محقق",IF($V25&gt;=0.85,"🟡 قريب","🔴 تحت الهدف")))</f>
        <v/>
      </c>
      <c r="X25" s="44" t="inlineStr">
        <is>
          <t>الابتكار</t>
        </is>
      </c>
      <c r="Y25" s="19" t="inlineStr">
        <is>
          <t>التحول التقني</t>
        </is>
      </c>
    </row>
    <row r="26" ht="26" customHeight="1">
      <c r="A26" s="16" t="n">
        <v>23</v>
      </c>
      <c r="B26" s="19" t="inlineStr">
        <is>
          <t>الهوية والتسويق</t>
        </is>
      </c>
      <c r="C26" s="19" t="inlineStr">
        <is>
          <t>نسبة التزام المحطات بالهوية المؤسسية</t>
        </is>
      </c>
      <c r="D26" s="38" t="inlineStr">
        <is>
          <t>%</t>
        </is>
      </c>
      <c r="E26" s="38" t="inlineStr">
        <is>
          <t>↑</t>
        </is>
      </c>
      <c r="F26" s="38" t="inlineStr">
        <is>
          <t>LAST</t>
        </is>
      </c>
      <c r="G26" s="45" t="n">
        <v>0.55</v>
      </c>
      <c r="H26" s="41" t="inlineStr">
        <is>
          <t>55%</t>
        </is>
      </c>
      <c r="I26" s="46" t="n"/>
      <c r="J26" s="46" t="n"/>
      <c r="K26" s="46" t="n"/>
      <c r="L26" s="46" t="n"/>
      <c r="M26" s="46" t="n"/>
      <c r="N26" s="46" t="n"/>
      <c r="O26" s="46" t="n"/>
      <c r="P26" s="46" t="n"/>
      <c r="Q26" s="46" t="n"/>
      <c r="R26" s="46" t="n"/>
      <c r="S26" s="46" t="n"/>
      <c r="T26" s="46" t="n"/>
      <c r="U26" s="47">
        <f>IF($F26="SUM",IF(COUNT($I26:$T26)=0,"",SUM($I26:$T26)),IF($F26="AVG",IFERROR(AVERAGE($I26:$T26),""),IF($F26="LAST",IFERROR(LOOKUP(2,1/($I26:$T26&lt;&gt;""),$I26:$T26),""),"")))</f>
        <v/>
      </c>
      <c r="V26" s="36">
        <f>IF($G26="","",IF($U26="","",IF($G26=0,IF($U26&lt;=0,1,0),IF($E26="↓",IFERROR($G26/$U26,0),IFERROR($U26/$G26,0)))))</f>
        <v/>
      </c>
      <c r="W26" s="16">
        <f>IF($V26="","—",IF($V26&gt;=1,"✅ محقق",IF($V26&gt;=0.85,"🟡 قريب","🔴 تحت الهدف")))</f>
        <v/>
      </c>
      <c r="X26" s="44" t="inlineStr">
        <is>
          <t>الابتكار</t>
        </is>
      </c>
      <c r="Y26" s="19" t="inlineStr">
        <is>
          <t>تطوير التصاميم والهوية</t>
        </is>
      </c>
    </row>
    <row r="27" ht="26" customHeight="1">
      <c r="A27" s="16" t="n">
        <v>24</v>
      </c>
      <c r="B27" s="19" t="inlineStr">
        <is>
          <t>التوسع الإقليمي</t>
        </is>
      </c>
      <c r="C27" s="19" t="inlineStr">
        <is>
          <t>نسبة العقود التي تغطي المناطق الـ13</t>
        </is>
      </c>
      <c r="D27" s="38" t="inlineStr">
        <is>
          <t>%</t>
        </is>
      </c>
      <c r="E27" s="38" t="inlineStr">
        <is>
          <t>↑</t>
        </is>
      </c>
      <c r="F27" s="38" t="inlineStr">
        <is>
          <t>LAST</t>
        </is>
      </c>
      <c r="G27" s="45" t="n">
        <v>1</v>
      </c>
      <c r="H27" s="41" t="inlineStr">
        <is>
          <t>100%</t>
        </is>
      </c>
      <c r="I27" s="46" t="n"/>
      <c r="J27" s="46" t="n"/>
      <c r="K27" s="46" t="n"/>
      <c r="L27" s="46" t="n"/>
      <c r="M27" s="46" t="n"/>
      <c r="N27" s="46" t="n"/>
      <c r="O27" s="46" t="n"/>
      <c r="P27" s="46" t="n"/>
      <c r="Q27" s="46" t="n"/>
      <c r="R27" s="46" t="n"/>
      <c r="S27" s="46" t="n"/>
      <c r="T27" s="46" t="n"/>
      <c r="U27" s="47">
        <f>IF($F27="SUM",IF(COUNT($I27:$T27)=0,"",SUM($I27:$T27)),IF($F27="AVG",IFERROR(AVERAGE($I27:$T27),""),IF($F27="LAST",IFERROR(LOOKUP(2,1/($I27:$T27&lt;&gt;""),$I27:$T27),""),"")))</f>
        <v/>
      </c>
      <c r="V27" s="36">
        <f>IF($G27="","",IF($U27="","",IF($G27=0,IF($U27&lt;=0,1,0),IF($E27="↓",IFERROR($G27/$U27,0),IFERROR($U27/$G27,0)))))</f>
        <v/>
      </c>
      <c r="W27" s="16">
        <f>IF($V27="","—",IF($V27&gt;=1,"✅ محقق",IF($V27&gt;=0.85,"🟡 قريب","🔴 تحت الهدف")))</f>
        <v/>
      </c>
      <c r="X27" s="44" t="inlineStr">
        <is>
          <t>النمو</t>
        </is>
      </c>
      <c r="Y27" s="19" t="inlineStr">
        <is>
          <t>التوسع في المواقع</t>
        </is>
      </c>
    </row>
    <row r="28" ht="26" customHeight="1">
      <c r="A28" s="16" t="n">
        <v>25</v>
      </c>
      <c r="B28" s="19" t="inlineStr">
        <is>
          <t>التوسع الإقليمي</t>
        </is>
      </c>
      <c r="C28" s="19" t="inlineStr">
        <is>
          <t>نسبة العقود في الـ12 مدينة الرئيسية</t>
        </is>
      </c>
      <c r="D28" s="38" t="inlineStr">
        <is>
          <t>%</t>
        </is>
      </c>
      <c r="E28" s="38" t="inlineStr">
        <is>
          <t>↓</t>
        </is>
      </c>
      <c r="F28" s="38" t="inlineStr">
        <is>
          <t>LAST</t>
        </is>
      </c>
      <c r="G28" s="45" t="n">
        <v>0.4</v>
      </c>
      <c r="H28" s="41" t="inlineStr">
        <is>
          <t>&lt; 40%</t>
        </is>
      </c>
      <c r="I28" s="46" t="n"/>
      <c r="J28" s="46" t="n"/>
      <c r="K28" s="46" t="n"/>
      <c r="L28" s="46" t="n"/>
      <c r="M28" s="46" t="n"/>
      <c r="N28" s="46" t="n"/>
      <c r="O28" s="46" t="n"/>
      <c r="P28" s="46" t="n"/>
      <c r="Q28" s="46" t="n"/>
      <c r="R28" s="46" t="n"/>
      <c r="S28" s="46" t="n"/>
      <c r="T28" s="46" t="n"/>
      <c r="U28" s="47">
        <f>IF($F28="SUM",IF(COUNT($I28:$T28)=0,"",SUM($I28:$T28)),IF($F28="AVG",IFERROR(AVERAGE($I28:$T28),""),IF($F28="LAST",IFERROR(LOOKUP(2,1/($I28:$T28&lt;&gt;""),$I28:$T28),""),"")))</f>
        <v/>
      </c>
      <c r="V28" s="36">
        <f>IF($G28="","",IF($U28="","",IF($G28=0,IF($U28&lt;=0,1,0),IF($E28="↓",IFERROR($G28/$U28,0),IFERROR($U28/$G28,0)))))</f>
        <v/>
      </c>
      <c r="W28" s="16">
        <f>IF($V28="","—",IF($V28&gt;=1,"✅ محقق",IF($V28&gt;=0.85,"🟡 قريب","🔴 تحت الهدف")))</f>
        <v/>
      </c>
      <c r="X28" s="44" t="inlineStr">
        <is>
          <t>النمو</t>
        </is>
      </c>
      <c r="Y28" s="19" t="inlineStr">
        <is>
          <t>التوسع في المواقع</t>
        </is>
      </c>
    </row>
    <row r="29" ht="26" customHeight="1">
      <c r="A29" s="16" t="n">
        <v>26</v>
      </c>
      <c r="B29" s="19" t="inlineStr">
        <is>
          <t>التوسع الإقليمي</t>
        </is>
      </c>
      <c r="C29" s="19" t="inlineStr">
        <is>
          <t>نسبة العقود خارج المدن الرئيسية</t>
        </is>
      </c>
      <c r="D29" s="38" t="inlineStr">
        <is>
          <t>%</t>
        </is>
      </c>
      <c r="E29" s="38" t="inlineStr">
        <is>
          <t>↑</t>
        </is>
      </c>
      <c r="F29" s="38" t="inlineStr">
        <is>
          <t>LAST</t>
        </is>
      </c>
      <c r="G29" s="45" t="n">
        <v>0.6</v>
      </c>
      <c r="H29" s="41" t="inlineStr">
        <is>
          <t>&gt; 60%</t>
        </is>
      </c>
      <c r="I29" s="46" t="n"/>
      <c r="J29" s="46" t="n"/>
      <c r="K29" s="46" t="n"/>
      <c r="L29" s="46" t="n"/>
      <c r="M29" s="46" t="n"/>
      <c r="N29" s="46" t="n"/>
      <c r="O29" s="46" t="n"/>
      <c r="P29" s="46" t="n"/>
      <c r="Q29" s="46" t="n"/>
      <c r="R29" s="46" t="n"/>
      <c r="S29" s="46" t="n"/>
      <c r="T29" s="46" t="n"/>
      <c r="U29" s="47">
        <f>IF($F29="SUM",IF(COUNT($I29:$T29)=0,"",SUM($I29:$T29)),IF($F29="AVG",IFERROR(AVERAGE($I29:$T29),""),IF($F29="LAST",IFERROR(LOOKUP(2,1/($I29:$T29&lt;&gt;""),$I29:$T29),""),"")))</f>
        <v/>
      </c>
      <c r="V29" s="36">
        <f>IF($G29="","",IF($U29="","",IF($G29=0,IF($U29&lt;=0,1,0),IF($E29="↓",IFERROR($G29/$U29,0),IFERROR($U29/$G29,0)))))</f>
        <v/>
      </c>
      <c r="W29" s="16">
        <f>IF($V29="","—",IF($V29&gt;=1,"✅ محقق",IF($V29&gt;=0.85,"🟡 قريب","🔴 تحت الهدف")))</f>
        <v/>
      </c>
      <c r="X29" s="44" t="inlineStr">
        <is>
          <t>النمو</t>
        </is>
      </c>
      <c r="Y29" s="19" t="inlineStr">
        <is>
          <t>التوسع في المواقع</t>
        </is>
      </c>
    </row>
    <row r="30" ht="26" customHeight="1">
      <c r="A30" s="16" t="n">
        <v>27</v>
      </c>
      <c r="B30" s="19" t="inlineStr">
        <is>
          <t>التوسع الإقليمي</t>
        </is>
      </c>
      <c r="C30" s="19" t="inlineStr">
        <is>
          <t>نسبة العقود على الطرق الإقليمية</t>
        </is>
      </c>
      <c r="D30" s="38" t="inlineStr">
        <is>
          <t>%</t>
        </is>
      </c>
      <c r="E30" s="38" t="inlineStr">
        <is>
          <t>↑</t>
        </is>
      </c>
      <c r="F30" s="38" t="inlineStr">
        <is>
          <t>LAST</t>
        </is>
      </c>
      <c r="G30" s="45" t="n">
        <v>0.25</v>
      </c>
      <c r="H30" s="41" t="inlineStr">
        <is>
          <t>&gt; 25%</t>
        </is>
      </c>
      <c r="I30" s="46" t="n"/>
      <c r="J30" s="46" t="n"/>
      <c r="K30" s="46" t="n"/>
      <c r="L30" s="46" t="n"/>
      <c r="M30" s="46" t="n"/>
      <c r="N30" s="46" t="n"/>
      <c r="O30" s="46" t="n"/>
      <c r="P30" s="46" t="n"/>
      <c r="Q30" s="46" t="n"/>
      <c r="R30" s="46" t="n"/>
      <c r="S30" s="46" t="n"/>
      <c r="T30" s="46" t="n"/>
      <c r="U30" s="47">
        <f>IF($F30="SUM",IF(COUNT($I30:$T30)=0,"",SUM($I30:$T30)),IF($F30="AVG",IFERROR(AVERAGE($I30:$T30),""),IF($F30="LAST",IFERROR(LOOKUP(2,1/($I30:$T30&lt;&gt;""),$I30:$T30),""),"")))</f>
        <v/>
      </c>
      <c r="V30" s="36">
        <f>IF($G30="","",IF($U30="","",IF($G30=0,IF($U30&lt;=0,1,0),IF($E30="↓",IFERROR($G30/$U30,0),IFERROR($U30/$G30,0)))))</f>
        <v/>
      </c>
      <c r="W30" s="16">
        <f>IF($V30="","—",IF($V30&gt;=1,"✅ محقق",IF($V30&gt;=0.85,"🟡 قريب","🔴 تحت الهدف")))</f>
        <v/>
      </c>
      <c r="X30" s="44" t="inlineStr">
        <is>
          <t>النمو</t>
        </is>
      </c>
      <c r="Y30" s="19" t="inlineStr">
        <is>
          <t>التوسع في المواقع</t>
        </is>
      </c>
    </row>
    <row r="31" ht="26" customHeight="1">
      <c r="A31" s="16" t="n">
        <v>28</v>
      </c>
      <c r="B31" s="19" t="inlineStr">
        <is>
          <t>تجربة العملاء والشركاء</t>
        </is>
      </c>
      <c r="C31" s="19" t="inlineStr">
        <is>
          <t>متوسط تقييم المحطات على خرائط قوقل</t>
        </is>
      </c>
      <c r="D31" s="38" t="inlineStr">
        <is>
          <t>نجمة/5</t>
        </is>
      </c>
      <c r="E31" s="38" t="inlineStr">
        <is>
          <t>↑</t>
        </is>
      </c>
      <c r="F31" s="38" t="inlineStr">
        <is>
          <t>AVG</t>
        </is>
      </c>
      <c r="G31" s="50" t="n">
        <v>4.7</v>
      </c>
      <c r="H31" s="41" t="inlineStr">
        <is>
          <t>≥ 4.7 نجمة</t>
        </is>
      </c>
      <c r="I31" s="51" t="n"/>
      <c r="J31" s="51" t="n"/>
      <c r="K31" s="51" t="n"/>
      <c r="L31" s="51" t="n"/>
      <c r="M31" s="51" t="n"/>
      <c r="N31" s="51" t="n"/>
      <c r="O31" s="51" t="n"/>
      <c r="P31" s="51" t="n"/>
      <c r="Q31" s="51" t="n"/>
      <c r="R31" s="51" t="n"/>
      <c r="S31" s="51" t="n"/>
      <c r="T31" s="51" t="n"/>
      <c r="U31" s="52">
        <f>IF($F31="SUM",IF(COUNT($I31:$T31)=0,"",SUM($I31:$T31)),IF($F31="AVG",IFERROR(AVERAGE($I31:$T31),""),IF($F31="LAST",IFERROR(LOOKUP(2,1/($I31:$T31&lt;&gt;""),$I31:$T31),""),"")))</f>
        <v/>
      </c>
      <c r="V31" s="36">
        <f>IF($G31="","",IF($U31="","",IF($G31=0,IF($U31&lt;=0,1,0),IF($E31="↓",IFERROR($G31/$U31,0),IFERROR($U31/$G31,0)))))</f>
        <v/>
      </c>
      <c r="W31" s="16">
        <f>IF($V31="","—",IF($V31&gt;=1,"✅ محقق",IF($V31&gt;=0.85,"🟡 قريب","🔴 تحت الهدف")))</f>
        <v/>
      </c>
      <c r="X31" s="44" t="inlineStr">
        <is>
          <t>الاستدامة</t>
        </is>
      </c>
      <c r="Y31" s="19" t="inlineStr">
        <is>
          <t>تعزيز تجربة العملاء</t>
        </is>
      </c>
    </row>
    <row r="32" ht="26" customHeight="1">
      <c r="A32" s="16" t="n">
        <v>29</v>
      </c>
      <c r="B32" s="19" t="inlineStr">
        <is>
          <t>تجربة العملاء والشركاء</t>
        </is>
      </c>
      <c r="C32" s="19" t="inlineStr">
        <is>
          <t>معدل رضا شركاء الامتياز (CSAT)</t>
        </is>
      </c>
      <c r="D32" s="38" t="inlineStr">
        <is>
          <t>%</t>
        </is>
      </c>
      <c r="E32" s="38" t="inlineStr">
        <is>
          <t>↑</t>
        </is>
      </c>
      <c r="F32" s="38" t="inlineStr">
        <is>
          <t>AVG</t>
        </is>
      </c>
      <c r="G32" s="45" t="n">
        <v>0.9</v>
      </c>
      <c r="H32" s="41" t="inlineStr">
        <is>
          <t>90%+</t>
        </is>
      </c>
      <c r="I32" s="46" t="n"/>
      <c r="J32" s="46" t="n"/>
      <c r="K32" s="46" t="n"/>
      <c r="L32" s="46" t="n"/>
      <c r="M32" s="46" t="n"/>
      <c r="N32" s="46" t="n"/>
      <c r="O32" s="46" t="n"/>
      <c r="P32" s="46" t="n"/>
      <c r="Q32" s="46" t="n"/>
      <c r="R32" s="46" t="n"/>
      <c r="S32" s="46" t="n"/>
      <c r="T32" s="46" t="n"/>
      <c r="U32" s="47">
        <f>IF($F32="SUM",IF(COUNT($I32:$T32)=0,"",SUM($I32:$T32)),IF($F32="AVG",IFERROR(AVERAGE($I32:$T32),""),IF($F32="LAST",IFERROR(LOOKUP(2,1/($I32:$T32&lt;&gt;""),$I32:$T32),""),"")))</f>
        <v/>
      </c>
      <c r="V32" s="36">
        <f>IF($G32="","",IF($U32="","",IF($G32=0,IF($U32&lt;=0,1,0),IF($E32="↓",IFERROR($G32/$U32,0),IFERROR($U32/$G32,0)))))</f>
        <v/>
      </c>
      <c r="W32" s="16">
        <f>IF($V32="","—",IF($V32&gt;=1,"✅ محقق",IF($V32&gt;=0.85,"🟡 قريب","🔴 تحت الهدف")))</f>
        <v/>
      </c>
      <c r="X32" s="44" t="inlineStr">
        <is>
          <t>الاستدامة</t>
        </is>
      </c>
      <c r="Y32" s="19" t="inlineStr">
        <is>
          <t>تعزيز تجربة العملاء</t>
        </is>
      </c>
    </row>
    <row r="33" ht="26" customHeight="1">
      <c r="A33" s="16" t="n">
        <v>30</v>
      </c>
      <c r="B33" s="19" t="inlineStr">
        <is>
          <t>تجربة العملاء والشركاء</t>
        </is>
      </c>
      <c r="C33" s="19" t="inlineStr">
        <is>
          <t>نسبة حل الشكاوى خلال المدة المحددة</t>
        </is>
      </c>
      <c r="D33" s="38" t="inlineStr">
        <is>
          <t>%</t>
        </is>
      </c>
      <c r="E33" s="38" t="inlineStr">
        <is>
          <t>↑</t>
        </is>
      </c>
      <c r="F33" s="38" t="inlineStr">
        <is>
          <t>AVG</t>
        </is>
      </c>
      <c r="G33" s="45" t="n">
        <v>0.95</v>
      </c>
      <c r="H33" s="41" t="inlineStr">
        <is>
          <t>95%+</t>
        </is>
      </c>
      <c r="I33" s="46" t="n"/>
      <c r="J33" s="46" t="n"/>
      <c r="K33" s="46" t="n"/>
      <c r="L33" s="46" t="n"/>
      <c r="M33" s="46" t="n"/>
      <c r="N33" s="46" t="n"/>
      <c r="O33" s="46" t="n"/>
      <c r="P33" s="46" t="n"/>
      <c r="Q33" s="46" t="n"/>
      <c r="R33" s="46" t="n"/>
      <c r="S33" s="46" t="n"/>
      <c r="T33" s="46" t="n"/>
      <c r="U33" s="47">
        <f>IF($F33="SUM",IF(COUNT($I33:$T33)=0,"",SUM($I33:$T33)),IF($F33="AVG",IFERROR(AVERAGE($I33:$T33),""),IF($F33="LAST",IFERROR(LOOKUP(2,1/($I33:$T33&lt;&gt;""),$I33:$T33),""),"")))</f>
        <v/>
      </c>
      <c r="V33" s="36">
        <f>IF($G33="","",IF($U33="","",IF($G33=0,IF($U33&lt;=0,1,0),IF($E33="↓",IFERROR($G33/$U33,0),IFERROR($U33/$G33,0)))))</f>
        <v/>
      </c>
      <c r="W33" s="16">
        <f>IF($V33="","—",IF($V33&gt;=1,"✅ محقق",IF($V33&gt;=0.85,"🟡 قريب","🔴 تحت الهدف")))</f>
        <v/>
      </c>
      <c r="X33" s="44" t="inlineStr">
        <is>
          <t>الاستدامة</t>
        </is>
      </c>
      <c r="Y33" s="19" t="inlineStr">
        <is>
          <t>تعزيز تجربة العملاء</t>
        </is>
      </c>
    </row>
    <row r="34" ht="26" customHeight="1">
      <c r="A34" s="16" t="n">
        <v>31</v>
      </c>
      <c r="B34" s="19" t="inlineStr">
        <is>
          <t>تجربة العملاء والشركاء</t>
        </is>
      </c>
      <c r="C34" s="19" t="inlineStr">
        <is>
          <t>نسبة انخفاض الشكاوى التشغيلية والإدارية</t>
        </is>
      </c>
      <c r="D34" s="38" t="inlineStr">
        <is>
          <t>%</t>
        </is>
      </c>
      <c r="E34" s="38" t="inlineStr">
        <is>
          <t>↑</t>
        </is>
      </c>
      <c r="F34" s="38" t="inlineStr">
        <is>
          <t>AVG</t>
        </is>
      </c>
      <c r="G34" s="38" t="inlineStr"/>
      <c r="H34" s="41" t="inlineStr">
        <is>
          <t>-30%</t>
        </is>
      </c>
      <c r="I34" s="46" t="n"/>
      <c r="J34" s="46" t="n"/>
      <c r="K34" s="46" t="n"/>
      <c r="L34" s="46" t="n"/>
      <c r="M34" s="46" t="n"/>
      <c r="N34" s="46" t="n"/>
      <c r="O34" s="46" t="n"/>
      <c r="P34" s="46" t="n"/>
      <c r="Q34" s="46" t="n"/>
      <c r="R34" s="46" t="n"/>
      <c r="S34" s="46" t="n"/>
      <c r="T34" s="46" t="n"/>
      <c r="U34" s="47">
        <f>IF($F34="SUM",IF(COUNT($I34:$T34)=0,"",SUM($I34:$T34)),IF($F34="AVG",IFERROR(AVERAGE($I34:$T34),""),IF($F34="LAST",IFERROR(LOOKUP(2,1/($I34:$T34&lt;&gt;""),$I34:$T34),""),"")))</f>
        <v/>
      </c>
      <c r="V34" s="36">
        <f>IF($G34="","",IF($U34="","",IF($G34=0,IF($U34&lt;=0,1,0),IF($E34="↓",IFERROR($G34/$U34,0),IFERROR($U34/$G34,0)))))</f>
        <v/>
      </c>
      <c r="W34" s="16">
        <f>IF($V34="","—",IF($V34&gt;=1,"✅ محقق",IF($V34&gt;=0.85,"🟡 قريب","🔴 تحت الهدف")))</f>
        <v/>
      </c>
      <c r="X34" s="44" t="inlineStr">
        <is>
          <t>الاستدامة</t>
        </is>
      </c>
      <c r="Y34" s="19" t="inlineStr">
        <is>
          <t>تعزيز تجربة العملاء</t>
        </is>
      </c>
    </row>
    <row r="35" ht="26" customHeight="1">
      <c r="A35" s="16" t="n">
        <v>32</v>
      </c>
      <c r="B35" s="19" t="inlineStr">
        <is>
          <t>استدامة الشراكة والامتثال</t>
        </is>
      </c>
      <c r="C35" s="19" t="inlineStr">
        <is>
          <t>نسبة استدامة أصحاب الامتياز (Retention)</t>
        </is>
      </c>
      <c r="D35" s="38" t="inlineStr">
        <is>
          <t>%</t>
        </is>
      </c>
      <c r="E35" s="38" t="inlineStr">
        <is>
          <t>↑</t>
        </is>
      </c>
      <c r="F35" s="38" t="inlineStr">
        <is>
          <t>LAST</t>
        </is>
      </c>
      <c r="G35" s="45" t="n">
        <v>0.9</v>
      </c>
      <c r="H35" s="41" t="inlineStr">
        <is>
          <t>90%</t>
        </is>
      </c>
      <c r="I35" s="46" t="n"/>
      <c r="J35" s="46" t="n"/>
      <c r="K35" s="46" t="n"/>
      <c r="L35" s="46" t="n"/>
      <c r="M35" s="46" t="n"/>
      <c r="N35" s="46" t="n"/>
      <c r="O35" s="46" t="n"/>
      <c r="P35" s="46" t="n"/>
      <c r="Q35" s="46" t="n"/>
      <c r="R35" s="46" t="n"/>
      <c r="S35" s="46" t="n"/>
      <c r="T35" s="46" t="n"/>
      <c r="U35" s="47">
        <f>IF($F35="SUM",IF(COUNT($I35:$T35)=0,"",SUM($I35:$T35)),IF($F35="AVG",IFERROR(AVERAGE($I35:$T35),""),IF($F35="LAST",IFERROR(LOOKUP(2,1/($I35:$T35&lt;&gt;""),$I35:$T35),""),"")))</f>
        <v/>
      </c>
      <c r="V35" s="36">
        <f>IF($G35="","",IF($U35="","",IF($G35=0,IF($U35&lt;=0,1,0),IF($E35="↓",IFERROR($G35/$U35,0),IFERROR($U35/$G35,0)))))</f>
        <v/>
      </c>
      <c r="W35" s="16">
        <f>IF($V35="","—",IF($V35&gt;=1,"✅ محقق",IF($V35&gt;=0.85,"🟡 قريب","🔴 تحت الهدف")))</f>
        <v/>
      </c>
      <c r="X35" s="44" t="inlineStr">
        <is>
          <t>الاستدامة</t>
        </is>
      </c>
      <c r="Y35" s="19" t="inlineStr">
        <is>
          <t>تعزيز تجربة العملاء</t>
        </is>
      </c>
    </row>
    <row r="36" ht="26" customHeight="1">
      <c r="A36" s="16" t="n">
        <v>33</v>
      </c>
      <c r="B36" s="19" t="inlineStr">
        <is>
          <t>استدامة الشراكة والامتثال</t>
        </is>
      </c>
      <c r="C36" s="19" t="inlineStr">
        <is>
          <t>نسبة زيادة عدد أصحاب الامتياز</t>
        </is>
      </c>
      <c r="D36" s="38" t="inlineStr">
        <is>
          <t>%</t>
        </is>
      </c>
      <c r="E36" s="38" t="inlineStr">
        <is>
          <t>↑</t>
        </is>
      </c>
      <c r="F36" s="38" t="inlineStr">
        <is>
          <t>LAST</t>
        </is>
      </c>
      <c r="G36" s="45" t="n">
        <v>1</v>
      </c>
      <c r="H36" s="41" t="inlineStr">
        <is>
          <t>100% نمو</t>
        </is>
      </c>
      <c r="I36" s="46" t="n"/>
      <c r="J36" s="46" t="n"/>
      <c r="K36" s="46" t="n"/>
      <c r="L36" s="46" t="n"/>
      <c r="M36" s="46" t="n"/>
      <c r="N36" s="46" t="n"/>
      <c r="O36" s="46" t="n"/>
      <c r="P36" s="46" t="n"/>
      <c r="Q36" s="46" t="n"/>
      <c r="R36" s="46" t="n"/>
      <c r="S36" s="46" t="n"/>
      <c r="T36" s="46" t="n"/>
      <c r="U36" s="47">
        <f>IF($F36="SUM",IF(COUNT($I36:$T36)=0,"",SUM($I36:$T36)),IF($F36="AVG",IFERROR(AVERAGE($I36:$T36),""),IF($F36="LAST",IFERROR(LOOKUP(2,1/($I36:$T36&lt;&gt;""),$I36:$T36),""),"")))</f>
        <v/>
      </c>
      <c r="V36" s="36">
        <f>IF($G36="","",IF($U36="","",IF($G36=0,IF($U36&lt;=0,1,0),IF($E36="↓",IFERROR($G36/$U36,0),IFERROR($U36/$G36,0)))))</f>
        <v/>
      </c>
      <c r="W36" s="16">
        <f>IF($V36="","—",IF($V36&gt;=1,"✅ محقق",IF($V36&gt;=0.85,"🟡 قريب","🔴 تحت الهدف")))</f>
        <v/>
      </c>
      <c r="X36" s="44" t="inlineStr">
        <is>
          <t>الاستدامة</t>
        </is>
      </c>
      <c r="Y36" s="19" t="inlineStr">
        <is>
          <t>تعزيز تجربة العملاء</t>
        </is>
      </c>
    </row>
    <row r="37" ht="26" customHeight="1">
      <c r="A37" s="16" t="n">
        <v>34</v>
      </c>
      <c r="B37" s="19" t="inlineStr">
        <is>
          <t>استدامة الشراكة والامتثال</t>
        </is>
      </c>
      <c r="C37" s="19" t="inlineStr">
        <is>
          <t>نسبة اكتمال المستندات النظامية قبل التوقيع</t>
        </is>
      </c>
      <c r="D37" s="38" t="inlineStr">
        <is>
          <t>%</t>
        </is>
      </c>
      <c r="E37" s="38" t="inlineStr">
        <is>
          <t>↑</t>
        </is>
      </c>
      <c r="F37" s="38" t="inlineStr">
        <is>
          <t>AVG</t>
        </is>
      </c>
      <c r="G37" s="45" t="n">
        <v>1</v>
      </c>
      <c r="H37" s="41" t="inlineStr">
        <is>
          <t>100%</t>
        </is>
      </c>
      <c r="I37" s="46" t="n"/>
      <c r="J37" s="46" t="n"/>
      <c r="K37" s="46" t="n"/>
      <c r="L37" s="46" t="n"/>
      <c r="M37" s="46" t="n"/>
      <c r="N37" s="46" t="n"/>
      <c r="O37" s="46" t="n"/>
      <c r="P37" s="46" t="n"/>
      <c r="Q37" s="46" t="n"/>
      <c r="R37" s="46" t="n"/>
      <c r="S37" s="46" t="n"/>
      <c r="T37" s="46" t="n"/>
      <c r="U37" s="47">
        <f>IF($F37="SUM",IF(COUNT($I37:$T37)=0,"",SUM($I37:$T37)),IF($F37="AVG",IFERROR(AVERAGE($I37:$T37),""),IF($F37="LAST",IFERROR(LOOKUP(2,1/($I37:$T37&lt;&gt;""),$I37:$T37),""),"")))</f>
        <v/>
      </c>
      <c r="V37" s="36">
        <f>IF($G37="","",IF($U37="","",IF($G37=0,IF($U37&lt;=0,1,0),IF($E37="↓",IFERROR($G37/$U37,0),IFERROR($U37/$G37,0)))))</f>
        <v/>
      </c>
      <c r="W37" s="16">
        <f>IF($V37="","—",IF($V37&gt;=1,"✅ محقق",IF($V37&gt;=0.85,"🟡 قريب","🔴 تحت الهدف")))</f>
        <v/>
      </c>
      <c r="X37" s="44" t="inlineStr">
        <is>
          <t>الاستدامة</t>
        </is>
      </c>
      <c r="Y37" s="19" t="inlineStr">
        <is>
          <t>جودة التشغيل</t>
        </is>
      </c>
    </row>
    <row r="38" ht="26" customHeight="1">
      <c r="A38" s="16" t="n">
        <v>35</v>
      </c>
      <c r="B38" s="19" t="inlineStr">
        <is>
          <t>استدامة الشراكة والامتثال</t>
        </is>
      </c>
      <c r="C38" s="19" t="inlineStr">
        <is>
          <t>متوسط مدة إغلاق عقد الامتياز</t>
        </is>
      </c>
      <c r="D38" s="38" t="inlineStr">
        <is>
          <t>أسبوع</t>
        </is>
      </c>
      <c r="E38" s="38" t="inlineStr">
        <is>
          <t>↓</t>
        </is>
      </c>
      <c r="F38" s="38" t="inlineStr">
        <is>
          <t>AVG</t>
        </is>
      </c>
      <c r="G38" s="50" t="n">
        <v>1</v>
      </c>
      <c r="H38" s="41" t="inlineStr">
        <is>
          <t>≤ أسبوع</t>
        </is>
      </c>
      <c r="I38" s="51" t="n"/>
      <c r="J38" s="51" t="n"/>
      <c r="K38" s="51" t="n"/>
      <c r="L38" s="51" t="n"/>
      <c r="M38" s="51" t="n"/>
      <c r="N38" s="51" t="n"/>
      <c r="O38" s="51" t="n"/>
      <c r="P38" s="51" t="n"/>
      <c r="Q38" s="51" t="n"/>
      <c r="R38" s="51" t="n"/>
      <c r="S38" s="51" t="n"/>
      <c r="T38" s="51" t="n"/>
      <c r="U38" s="52">
        <f>IF($F38="SUM",IF(COUNT($I38:$T38)=0,"",SUM($I38:$T38)),IF($F38="AVG",IFERROR(AVERAGE($I38:$T38),""),IF($F38="LAST",IFERROR(LOOKUP(2,1/($I38:$T38&lt;&gt;""),$I38:$T38),""),"")))</f>
        <v/>
      </c>
      <c r="V38" s="36">
        <f>IF($G38="","",IF($U38="","",IF($G38=0,IF($U38&lt;=0,1,0),IF($E38="↓",IFERROR($G38/$U38,0),IFERROR($U38/$G38,0)))))</f>
        <v/>
      </c>
      <c r="W38" s="16">
        <f>IF($V38="","—",IF($V38&gt;=1,"✅ محقق",IF($V38&gt;=0.85,"🟡 قريب","🔴 تحت الهدف")))</f>
        <v/>
      </c>
      <c r="X38" s="44" t="inlineStr">
        <is>
          <t>النمو</t>
        </is>
      </c>
      <c r="Y38" s="19" t="inlineStr">
        <is>
          <t>الامتياز التجاري</t>
        </is>
      </c>
    </row>
    <row r="39" ht="26" customHeight="1">
      <c r="A39" s="16" t="n">
        <v>36</v>
      </c>
      <c r="B39" s="19" t="inlineStr">
        <is>
          <t>استدامة الشراكة والامتثال</t>
        </is>
      </c>
      <c r="C39" s="19" t="inlineStr">
        <is>
          <t>نسبة إنجاز التقارير الدورية في موعدها</t>
        </is>
      </c>
      <c r="D39" s="38" t="inlineStr">
        <is>
          <t>%</t>
        </is>
      </c>
      <c r="E39" s="38" t="inlineStr">
        <is>
          <t>↑</t>
        </is>
      </c>
      <c r="F39" s="38" t="inlineStr">
        <is>
          <t>AVG</t>
        </is>
      </c>
      <c r="G39" s="45" t="n">
        <v>1</v>
      </c>
      <c r="H39" s="41" t="inlineStr">
        <is>
          <t>100%</t>
        </is>
      </c>
      <c r="I39" s="46" t="n"/>
      <c r="J39" s="46" t="n"/>
      <c r="K39" s="46" t="n"/>
      <c r="L39" s="46" t="n"/>
      <c r="M39" s="46" t="n"/>
      <c r="N39" s="46" t="n"/>
      <c r="O39" s="46" t="n"/>
      <c r="P39" s="46" t="n"/>
      <c r="Q39" s="46" t="n"/>
      <c r="R39" s="46" t="n"/>
      <c r="S39" s="46" t="n"/>
      <c r="T39" s="46" t="n"/>
      <c r="U39" s="47">
        <f>IF($F39="SUM",IF(COUNT($I39:$T39)=0,"",SUM($I39:$T39)),IF($F39="AVG",IFERROR(AVERAGE($I39:$T39),""),IF($F39="LAST",IFERROR(LOOKUP(2,1/($I39:$T39&lt;&gt;""),$I39:$T39),""),"")))</f>
        <v/>
      </c>
      <c r="V39" s="36">
        <f>IF($G39="","",IF($U39="","",IF($G39=0,IF($U39&lt;=0,1,0),IF($E39="↓",IFERROR($G39/$U39,0),IFERROR($U39/$G39,0)))))</f>
        <v/>
      </c>
      <c r="W39" s="16">
        <f>IF($V39="","—",IF($V39&gt;=1,"✅ محقق",IF($V39&gt;=0.85,"🟡 قريب","🔴 تحت الهدف")))</f>
        <v/>
      </c>
      <c r="X39" s="44" t="inlineStr">
        <is>
          <t>الاستدامة</t>
        </is>
      </c>
      <c r="Y39" s="19" t="inlineStr">
        <is>
          <t>جودة التشغيل</t>
        </is>
      </c>
    </row>
  </sheetData>
  <sheetProtection selectLockedCells="1" selectUnlockedCells="1" sheet="1" objects="0" insertRows="1" insertHyperlinks="1" autoFilter="1" scenarios="0" formatColumns="1" deleteColumns="1" insertColumns="1" pivotTables="1" deleteRows="1" formatCells="0" formatRows="1" sort="1" password="EFFF"/>
  <mergeCells count="2">
    <mergeCell ref="A2:Y2"/>
    <mergeCell ref="A1:Y1"/>
  </mergeCells>
  <dataValidations count="1">
    <dataValidation sqref="I4 I5 I6 I7 I8 I9 I10 I11 I12 I13 I14 I15 I16 I17 I18 I19 I20 I21 I22 I23 I24 I25 I26 I27 I28 I29 I30 I31 I32 I33 I34 I35 I36 I37 I38 I39 J4 J5 J6 J7 J8 J9 J10 J11 J12 J13 J14 J15 J16 J17 J18 J19 J20 J21 J22 J23 J24 J25 J26 J27 J28 J29 J30 J31 J32 J33 J34 J35 J36 J37 J38 J39 K4 K5 K6 K7 K8 K9 K10 K11 K12 K13 K14 K15 K16 K17 K18 K19 K20 K21 K22 K23 K24 K25 K26 K27 K28 K29 K30 K31 K32 K33 K34 K35 K36 K37 K38 K39 L4 L5 L6 L7 L8 L9 L10 L11 L12 L13 L14 L15 L16 L17 L18 L19 L20 L21 L22 L23 L24 L25 L26 L27 L28 L29 L30 L31 L32 L33 L34 L35 L36 L37 L38 L39 M4 M5 M6 M7 M8 M9 M10 M11 M12 M13 M14 M15 M16 M17 M18 M19 M20 M21 M22 M23 M24 M25 M26 M27 M28 M29 M30 M31 M32 M33 M34 M35 M36 M37 M38 M39 N4 N5 N6 N7 N8 N9 N10 N11 N12 N13 N14 N15 N16 N17 N18 N19 N20 N21 N22 N23 N24 N25 N26 N27 N28 N29 N30 N31 N32 N33 N34 N35 N36 N37 N38 N39 O4 O5 O6 O7 O8 O9 O10 O11 O12 O13 O14 O15 O16 O17 O18 O19 O20 O21 O22 O23 O24 O25 O26 O27 O28 O29 O30 O31 O32 O33 O34 O35 O36 O37 O38 O39 P4 P5 P6 P7 P8 P9 P10 P11 P12 P13 P14 P15 P16 P17 P18 P19 P20 P21 P22 P23 P24 P25 P26 P27 P28 P29 P30 P31 P32 P33 P34 P35 P36 P37 P38 P39 Q4 Q5 Q6 Q7 Q8 Q9 Q10 Q11 Q12 Q13 Q14 Q15 Q16 Q17 Q18 Q19 Q20 Q21 Q22 Q23 Q24 Q25 Q26 Q27 Q28 Q29 Q30 Q31 Q32 Q33 Q34 Q35 Q36 Q37 Q38 Q39 R4 R5 R6 R7 R8 R9 R10 R11 R12 R13 R14 R15 R16 R17 R18 R19 R20 R21 R22 R23 R24 R25 R26 R27 R28 R29 R30 R31 R32 R33 R34 R35 R36 R37 R38 R39 S4 S5 S6 S7 S8 S9 S10 S11 S12 S13 S14 S15 S16 S17 S18 S19 S20 S21 S22 S23 S24 S25 S26 S27 S28 S29 S30 S31 S32 S33 S34 S35 S36 S37 S38 S39 T4 T5 T6 T7 T8 T9 T10 T11 T12 T13 T14 T15 T16 T17 T18 T19 T20 T21 T22 T23 T24 T25 T26 T27 T28 T29 T30 T31 T32 T33 T34 T35 T36 T37 T38 T39" showDropDown="0" showInputMessage="0" showErrorMessage="0" allowBlank="1" errorTitle="قيمة غير صحيحة" error="أدخل رقماً موجباً فقط"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70"/>
  <sheetViews>
    <sheetView showGridLines="0" rightToLeft="1" workbookViewId="0">
      <selection activeCell="A1" sqref="A1"/>
    </sheetView>
  </sheetViews>
  <sheetFormatPr baseColWidth="8" defaultRowHeight="15"/>
  <cols>
    <col width="3" customWidth="1" min="1" max="1"/>
    <col width="22" customWidth="1" min="2" max="2"/>
    <col width="34" customWidth="1" min="3" max="3"/>
    <col width="46" customWidth="1" min="4" max="4"/>
    <col width="12" customWidth="1" min="5" max="5"/>
  </cols>
  <sheetData>
    <row r="2" ht="28" customHeight="1">
      <c r="B2" s="13" t="inlineStr">
        <is>
          <t>إدارة الامتياز · مؤشرات كل موظف (مرجع الربط)</t>
        </is>
      </c>
    </row>
    <row r="4">
      <c r="B4" s="7" t="inlineStr">
        <is>
          <t>علاء عزت  —  أخصائي امتياز — عقود واستقطاب  ·  5 مؤشر</t>
        </is>
      </c>
    </row>
    <row r="5">
      <c r="B5" s="53" t="inlineStr">
        <is>
          <t>●/○</t>
        </is>
      </c>
      <c r="C5" s="53" t="inlineStr">
        <is>
          <t>المؤشر</t>
        </is>
      </c>
      <c r="D5" s="53" t="inlineStr">
        <is>
          <t>الأولوية</t>
        </is>
      </c>
      <c r="E5" s="54" t="inlineStr"/>
    </row>
    <row r="6">
      <c r="B6" s="35" t="inlineStr">
        <is>
          <t>●</t>
        </is>
      </c>
      <c r="C6" s="19" t="inlineStr">
        <is>
          <t>عدد عقود الامتياز الجديدة الموقّعة</t>
        </is>
      </c>
      <c r="D6" s="55" t="inlineStr">
        <is>
          <t>🔴 رئيسي</t>
        </is>
      </c>
      <c r="E6" s="10" t="inlineStr"/>
    </row>
    <row r="7">
      <c r="B7" s="35" t="inlineStr">
        <is>
          <t>●</t>
        </is>
      </c>
      <c r="C7" s="19" t="inlineStr">
        <is>
          <t>عدد محطات الامتياز المشغّلة (تراكمي)</t>
        </is>
      </c>
      <c r="D7" s="55" t="inlineStr">
        <is>
          <t>🔴 رئيسي</t>
        </is>
      </c>
      <c r="E7" s="10" t="inlineStr"/>
    </row>
    <row r="8">
      <c r="B8" s="35" t="inlineStr">
        <is>
          <t>●</t>
        </is>
      </c>
      <c r="C8" s="19" t="inlineStr">
        <is>
          <t>نسبة تحويل الفرص إلى عقود موقّعة</t>
        </is>
      </c>
      <c r="D8" s="55" t="inlineStr">
        <is>
          <t>🔴 رئيسي</t>
        </is>
      </c>
      <c r="E8" s="10" t="inlineStr"/>
    </row>
    <row r="9">
      <c r="B9" s="35" t="inlineStr">
        <is>
          <t>●</t>
        </is>
      </c>
      <c r="C9" s="19" t="inlineStr">
        <is>
          <t>إجمالي مبيعات وقود محطات الامتياز</t>
        </is>
      </c>
      <c r="D9" s="55" t="inlineStr">
        <is>
          <t>🔴 رئيسي</t>
        </is>
      </c>
      <c r="E9" s="10" t="inlineStr"/>
    </row>
    <row r="10">
      <c r="B10" s="35" t="inlineStr">
        <is>
          <t>●</t>
        </is>
      </c>
      <c r="C10" s="19" t="inlineStr">
        <is>
          <t>نسبة استدامة أصحاب الامتياز</t>
        </is>
      </c>
      <c r="D10" s="55" t="inlineStr">
        <is>
          <t>🔴 رئيسي</t>
        </is>
      </c>
      <c r="E10" s="10" t="inlineStr"/>
    </row>
    <row r="12">
      <c r="B12" s="7" t="inlineStr">
        <is>
          <t>أنس أبو طوق  —  مراقب ميداني — هوية وبنية تحتية  ·  5 مؤشر</t>
        </is>
      </c>
    </row>
    <row r="13">
      <c r="B13" s="53" t="inlineStr">
        <is>
          <t>●/○</t>
        </is>
      </c>
      <c r="C13" s="53" t="inlineStr">
        <is>
          <t>المؤشر</t>
        </is>
      </c>
      <c r="D13" s="53" t="inlineStr">
        <is>
          <t>الأولوية</t>
        </is>
      </c>
      <c r="E13" s="54" t="inlineStr"/>
    </row>
    <row r="14">
      <c r="B14" s="35" t="inlineStr">
        <is>
          <t>●</t>
        </is>
      </c>
      <c r="C14" s="19" t="inlineStr">
        <is>
          <t>نسبة جاهزية محطات الامتياز</t>
        </is>
      </c>
      <c r="D14" s="55" t="inlineStr">
        <is>
          <t>🔴 رئيسي</t>
        </is>
      </c>
      <c r="E14" s="10" t="inlineStr"/>
    </row>
    <row r="15">
      <c r="B15" s="35" t="inlineStr">
        <is>
          <t>●</t>
        </is>
      </c>
      <c r="C15" s="19" t="inlineStr">
        <is>
          <t>نسبة إغلاق ملاحظات الجودة الميدانية</t>
        </is>
      </c>
      <c r="D15" s="55" t="inlineStr">
        <is>
          <t>🔴 رئيسي</t>
        </is>
      </c>
      <c r="E15" s="10" t="inlineStr"/>
    </row>
    <row r="16">
      <c r="B16" s="35" t="inlineStr">
        <is>
          <t>●</t>
        </is>
      </c>
      <c r="C16" s="19" t="inlineStr">
        <is>
          <t>متوسط درجة تقييم جودة المحطة</t>
        </is>
      </c>
      <c r="D16" s="55" t="inlineStr">
        <is>
          <t>🔴 رئيسي</t>
        </is>
      </c>
      <c r="E16" s="10" t="inlineStr"/>
    </row>
    <row r="17">
      <c r="B17" s="35" t="inlineStr">
        <is>
          <t>●</t>
        </is>
      </c>
      <c r="C17" s="19" t="inlineStr">
        <is>
          <t>نسبة المحطات المستوفية لمعايير السلامة</t>
        </is>
      </c>
      <c r="D17" s="55" t="inlineStr">
        <is>
          <t>🔴 رئيسي</t>
        </is>
      </c>
      <c r="E17" s="10" t="inlineStr"/>
    </row>
    <row r="18">
      <c r="B18" s="35" t="inlineStr">
        <is>
          <t>●</t>
        </is>
      </c>
      <c r="C18" s="19" t="inlineStr">
        <is>
          <t>نسبة التزام المحطات بالهوية المؤسسية</t>
        </is>
      </c>
      <c r="D18" s="55" t="inlineStr">
        <is>
          <t>🔴 رئيسي</t>
        </is>
      </c>
      <c r="E18" s="10" t="inlineStr"/>
    </row>
    <row r="20">
      <c r="B20" s="7" t="inlineStr">
        <is>
          <t>حمدي عبد الجليل  —  أخصائي امتياز — زيارات واستقطاب  ·  4 مؤشر</t>
        </is>
      </c>
    </row>
    <row r="21">
      <c r="B21" s="53" t="inlineStr">
        <is>
          <t>●/○</t>
        </is>
      </c>
      <c r="C21" s="53" t="inlineStr">
        <is>
          <t>المؤشر</t>
        </is>
      </c>
      <c r="D21" s="53" t="inlineStr">
        <is>
          <t>الأولوية</t>
        </is>
      </c>
      <c r="E21" s="54" t="inlineStr"/>
    </row>
    <row r="22">
      <c r="B22" s="35" t="inlineStr">
        <is>
          <t>●</t>
        </is>
      </c>
      <c r="C22" s="19" t="inlineStr">
        <is>
          <t>نسبة تنفيذ الزيارات الميدانية المجدولة</t>
        </is>
      </c>
      <c r="D22" s="55" t="inlineStr">
        <is>
          <t>🔴 رئيسي</t>
        </is>
      </c>
      <c r="E22" s="10" t="inlineStr"/>
    </row>
    <row r="23">
      <c r="B23" s="35" t="inlineStr">
        <is>
          <t>○</t>
        </is>
      </c>
      <c r="C23" s="19" t="inlineStr">
        <is>
          <t>عدد عقود الامتياز الجديدة الموقّعة</t>
        </is>
      </c>
      <c r="D23" s="55" t="inlineStr">
        <is>
          <t>🔴 رئيسي</t>
        </is>
      </c>
      <c r="E23" s="10" t="inlineStr"/>
    </row>
    <row r="24">
      <c r="B24" s="35" t="inlineStr">
        <is>
          <t>○</t>
        </is>
      </c>
      <c r="C24" s="19" t="inlineStr">
        <is>
          <t>متوسط درجة تقييم جودة المحطة</t>
        </is>
      </c>
      <c r="D24" s="55" t="inlineStr">
        <is>
          <t>🔴 رئيسي</t>
        </is>
      </c>
      <c r="E24" s="10" t="inlineStr"/>
    </row>
    <row r="25">
      <c r="B25" s="35" t="inlineStr">
        <is>
          <t>●</t>
        </is>
      </c>
      <c r="C25" s="19" t="inlineStr">
        <is>
          <t>نسبة مبيعات المنتجات غير البترولية</t>
        </is>
      </c>
      <c r="D25" s="55" t="inlineStr">
        <is>
          <t>🟡 متابعة</t>
        </is>
      </c>
      <c r="E25" s="10" t="inlineStr"/>
    </row>
    <row r="27">
      <c r="B27" s="7" t="inlineStr">
        <is>
          <t>رغد الجندي  —  أخصائية امتياز — تسويق ومالية  ·  5 مؤشر</t>
        </is>
      </c>
    </row>
    <row r="28">
      <c r="B28" s="53" t="inlineStr">
        <is>
          <t>●/○</t>
        </is>
      </c>
      <c r="C28" s="53" t="inlineStr">
        <is>
          <t>المؤشر</t>
        </is>
      </c>
      <c r="D28" s="53" t="inlineStr">
        <is>
          <t>الأولوية</t>
        </is>
      </c>
      <c r="E28" s="54" t="inlineStr"/>
    </row>
    <row r="29">
      <c r="B29" s="35" t="inlineStr">
        <is>
          <t>●</t>
        </is>
      </c>
      <c r="C29" s="19" t="inlineStr">
        <is>
          <t>إجمالي إيرادات إدارة الامتياز</t>
        </is>
      </c>
      <c r="D29" s="55" t="inlineStr">
        <is>
          <t>🔴 رئيسي</t>
        </is>
      </c>
      <c r="E29" s="10" t="inlineStr"/>
    </row>
    <row r="30">
      <c r="B30" s="35" t="inlineStr">
        <is>
          <t>●</t>
        </is>
      </c>
      <c r="C30" s="19" t="inlineStr">
        <is>
          <t>نسبة التحصيل المالي من شركاء الامتياز</t>
        </is>
      </c>
      <c r="D30" s="55" t="inlineStr">
        <is>
          <t>🔴 رئيسي</t>
        </is>
      </c>
      <c r="E30" s="10" t="inlineStr"/>
    </row>
    <row r="31">
      <c r="B31" s="35" t="inlineStr">
        <is>
          <t>●</t>
        </is>
      </c>
      <c r="C31" s="19" t="inlineStr">
        <is>
          <t>متوسط تقييم المحطات على خرائط قوقل</t>
        </is>
      </c>
      <c r="D31" s="55" t="inlineStr">
        <is>
          <t>🔴 رئيسي</t>
        </is>
      </c>
      <c r="E31" s="10" t="inlineStr"/>
    </row>
    <row r="32">
      <c r="B32" s="35" t="inlineStr">
        <is>
          <t>●</t>
        </is>
      </c>
      <c r="C32" s="19" t="inlineStr">
        <is>
          <t>نسبة الشركاء الملتزمين بمواعيد السداد</t>
        </is>
      </c>
      <c r="D32" s="55" t="inlineStr">
        <is>
          <t>🟠 مهم</t>
        </is>
      </c>
      <c r="E32" s="10" t="inlineStr"/>
    </row>
    <row r="33">
      <c r="B33" s="35" t="inlineStr">
        <is>
          <t>●</t>
        </is>
      </c>
      <c r="C33" s="19" t="inlineStr">
        <is>
          <t>عدد الحملات التسويقية الميدانية</t>
        </is>
      </c>
      <c r="D33" s="55" t="inlineStr">
        <is>
          <t>🟠 مهم</t>
        </is>
      </c>
      <c r="E33" s="10" t="inlineStr"/>
    </row>
    <row r="35">
      <c r="B35" s="7" t="inlineStr">
        <is>
          <t>إدريس الوائلي  —  أخصائي امتياز — تقارير وتنسيق مالي  ·  4 مؤشر</t>
        </is>
      </c>
    </row>
    <row r="36">
      <c r="B36" s="53" t="inlineStr">
        <is>
          <t>●/○</t>
        </is>
      </c>
      <c r="C36" s="53" t="inlineStr">
        <is>
          <t>المؤشر</t>
        </is>
      </c>
      <c r="D36" s="53" t="inlineStr">
        <is>
          <t>الأولوية</t>
        </is>
      </c>
      <c r="E36" s="54" t="inlineStr"/>
    </row>
    <row r="37">
      <c r="B37" s="35" t="inlineStr">
        <is>
          <t>●</t>
        </is>
      </c>
      <c r="C37" s="19" t="inlineStr">
        <is>
          <t>متوسط أيام التحصيل (DSO)</t>
        </is>
      </c>
      <c r="D37" s="55" t="inlineStr">
        <is>
          <t>🟠 مهم</t>
        </is>
      </c>
      <c r="E37" s="10" t="inlineStr"/>
    </row>
    <row r="38">
      <c r="B38" s="35" t="inlineStr">
        <is>
          <t>●</t>
        </is>
      </c>
      <c r="C38" s="19" t="inlineStr">
        <is>
          <t>إجمالي المستحقات المتأخرة (+30 يوم)</t>
        </is>
      </c>
      <c r="D38" s="55" t="inlineStr">
        <is>
          <t>🟠 مهم</t>
        </is>
      </c>
      <c r="E38" s="10" t="inlineStr"/>
    </row>
    <row r="39">
      <c r="B39" s="35" t="inlineStr">
        <is>
          <t>●</t>
        </is>
      </c>
      <c r="C39" s="19" t="inlineStr">
        <is>
          <t>نسبة إنجاز التقارير الدورية في موعدها</t>
        </is>
      </c>
      <c r="D39" s="55" t="inlineStr">
        <is>
          <t>🟠 مهم</t>
        </is>
      </c>
      <c r="E39" s="10" t="inlineStr"/>
    </row>
    <row r="40">
      <c r="B40" s="35" t="inlineStr">
        <is>
          <t>○</t>
        </is>
      </c>
      <c r="C40" s="19" t="inlineStr">
        <is>
          <t>عدد محطات الامتياز المشغّلة</t>
        </is>
      </c>
      <c r="D40" s="55" t="inlineStr">
        <is>
          <t>🔴 رئيسي</t>
        </is>
      </c>
      <c r="E40" s="10" t="inlineStr"/>
    </row>
    <row r="42">
      <c r="B42" s="7" t="inlineStr">
        <is>
          <t>أحمد رمضان  —  أخصائي امتياز — Dynamics ومتابعة نظام  ·  2 مؤشر</t>
        </is>
      </c>
    </row>
    <row r="43">
      <c r="B43" s="53" t="inlineStr">
        <is>
          <t>●/○</t>
        </is>
      </c>
      <c r="C43" s="53" t="inlineStr">
        <is>
          <t>المؤشر</t>
        </is>
      </c>
      <c r="D43" s="53" t="inlineStr">
        <is>
          <t>الأولوية</t>
        </is>
      </c>
      <c r="E43" s="54" t="inlineStr"/>
    </row>
    <row r="44">
      <c r="B44" s="35" t="inlineStr">
        <is>
          <t>○</t>
        </is>
      </c>
      <c r="C44" s="19" t="inlineStr">
        <is>
          <t>نسبة اكتمال المستندات النظامية قبل التوقيع</t>
        </is>
      </c>
      <c r="D44" s="55" t="inlineStr">
        <is>
          <t>🟠 مهم</t>
        </is>
      </c>
      <c r="E44" s="10" t="inlineStr"/>
    </row>
    <row r="45">
      <c r="B45" s="35" t="inlineStr">
        <is>
          <t>○</t>
        </is>
      </c>
      <c r="C45" s="19" t="inlineStr">
        <is>
          <t>نسبة إنجاز التقارير الدورية في موعدها</t>
        </is>
      </c>
      <c r="D45" s="55" t="inlineStr">
        <is>
          <t>🟠 مهم</t>
        </is>
      </c>
      <c r="E45" s="10" t="inlineStr"/>
    </row>
    <row r="47">
      <c r="B47" s="7" t="inlineStr">
        <is>
          <t>عبدالسلام الوالي  —  أخصائي امتياز — عمليات ومخزون  ·  3 مؤشر</t>
        </is>
      </c>
    </row>
    <row r="48">
      <c r="B48" s="53" t="inlineStr">
        <is>
          <t>●/○</t>
        </is>
      </c>
      <c r="C48" s="53" t="inlineStr">
        <is>
          <t>المؤشر</t>
        </is>
      </c>
      <c r="D48" s="53" t="inlineStr">
        <is>
          <t>الأولوية</t>
        </is>
      </c>
      <c r="E48" s="54" t="inlineStr"/>
    </row>
    <row r="49">
      <c r="B49" s="35" t="inlineStr">
        <is>
          <t>●</t>
        </is>
      </c>
      <c r="C49" s="19" t="inlineStr">
        <is>
          <t>عدد حالات انقطاع الوقود الموثّقة</t>
        </is>
      </c>
      <c r="D49" s="55" t="inlineStr">
        <is>
          <t>🔴 رئيسي</t>
        </is>
      </c>
      <c r="E49" s="10" t="inlineStr"/>
    </row>
    <row r="50">
      <c r="B50" s="35" t="inlineStr">
        <is>
          <t>●</t>
        </is>
      </c>
      <c r="C50" s="19" t="inlineStr">
        <is>
          <t>متوسط وقت معالجة البلاغات التشغيلية</t>
        </is>
      </c>
      <c r="D50" s="55" t="inlineStr">
        <is>
          <t>🟠 مهم</t>
        </is>
      </c>
      <c r="E50" s="10" t="inlineStr"/>
    </row>
    <row r="51">
      <c r="B51" s="35" t="inlineStr">
        <is>
          <t>○</t>
        </is>
      </c>
      <c r="C51" s="19" t="inlineStr">
        <is>
          <t>نسبة الشركاء الملتزمين بمواعيد السداد</t>
        </is>
      </c>
      <c r="D51" s="55" t="inlineStr">
        <is>
          <t>🟠 مهم</t>
        </is>
      </c>
      <c r="E51" s="10" t="inlineStr"/>
    </row>
    <row r="53">
      <c r="B53" s="7" t="inlineStr">
        <is>
          <t>المعتصم المصعبي  —  أخصائي امتياز — عمليات ومبيعات  ·  3 مؤشر</t>
        </is>
      </c>
    </row>
    <row r="54">
      <c r="B54" s="53" t="inlineStr">
        <is>
          <t>●/○</t>
        </is>
      </c>
      <c r="C54" s="53" t="inlineStr">
        <is>
          <t>المؤشر</t>
        </is>
      </c>
      <c r="D54" s="53" t="inlineStr">
        <is>
          <t>الأولوية</t>
        </is>
      </c>
      <c r="E54" s="54" t="inlineStr"/>
    </row>
    <row r="55">
      <c r="B55" s="35" t="inlineStr">
        <is>
          <t>●</t>
        </is>
      </c>
      <c r="C55" s="19" t="inlineStr">
        <is>
          <t>متوسط مبيعات المحطة الواحدة شهرياً</t>
        </is>
      </c>
      <c r="D55" s="55" t="inlineStr">
        <is>
          <t>🟠 مهم</t>
        </is>
      </c>
      <c r="E55" s="10" t="inlineStr"/>
    </row>
    <row r="56">
      <c r="B56" s="35" t="inlineStr">
        <is>
          <t>○</t>
        </is>
      </c>
      <c r="C56" s="19" t="inlineStr">
        <is>
          <t>إجمالي مبيعات وقود محطات الامتياز</t>
        </is>
      </c>
      <c r="D56" s="55" t="inlineStr">
        <is>
          <t>🔴 رئيسي</t>
        </is>
      </c>
      <c r="E56" s="10" t="inlineStr"/>
    </row>
    <row r="57">
      <c r="B57" s="35" t="inlineStr">
        <is>
          <t>○</t>
        </is>
      </c>
      <c r="C57" s="19" t="inlineStr">
        <is>
          <t>نسبة جاهزية محطات الامتياز</t>
        </is>
      </c>
      <c r="D57" s="55" t="inlineStr">
        <is>
          <t>🔴 رئيسي</t>
        </is>
      </c>
      <c r="E57" s="10" t="inlineStr"/>
    </row>
    <row r="59">
      <c r="B59" s="7" t="inlineStr">
        <is>
          <t>يحيى العدله  —  أخصائي امتياز — تسجيل وتوثيق  ·  3 مؤشر</t>
        </is>
      </c>
    </row>
    <row r="60">
      <c r="B60" s="53" t="inlineStr">
        <is>
          <t>●/○</t>
        </is>
      </c>
      <c r="C60" s="53" t="inlineStr">
        <is>
          <t>المؤشر</t>
        </is>
      </c>
      <c r="D60" s="53" t="inlineStr">
        <is>
          <t>الأولوية</t>
        </is>
      </c>
      <c r="E60" s="54" t="inlineStr"/>
    </row>
    <row r="61">
      <c r="B61" s="35" t="inlineStr">
        <is>
          <t>●</t>
        </is>
      </c>
      <c r="C61" s="19" t="inlineStr">
        <is>
          <t>نسبة اكتمال المستندات النظامية قبل التوقيع</t>
        </is>
      </c>
      <c r="D61" s="55" t="inlineStr">
        <is>
          <t>🟠 مهم</t>
        </is>
      </c>
      <c r="E61" s="10" t="inlineStr"/>
    </row>
    <row r="62">
      <c r="B62" s="35" t="inlineStr">
        <is>
          <t>○</t>
        </is>
      </c>
      <c r="C62" s="19" t="inlineStr">
        <is>
          <t>نسبة حل الشكاوى خلال المدة المحددة</t>
        </is>
      </c>
      <c r="D62" s="55" t="inlineStr">
        <is>
          <t>🟠 مهم</t>
        </is>
      </c>
      <c r="E62" s="10" t="inlineStr"/>
    </row>
    <row r="63">
      <c r="B63" s="35" t="inlineStr">
        <is>
          <t>○</t>
        </is>
      </c>
      <c r="C63" s="19" t="inlineStr">
        <is>
          <t>متوسط مدة إغلاق عقد الامتياز</t>
        </is>
      </c>
      <c r="D63" s="55" t="inlineStr">
        <is>
          <t>🟠 مهم</t>
        </is>
      </c>
      <c r="E63" s="10" t="inlineStr"/>
    </row>
    <row r="65">
      <c r="B65" s="7" t="inlineStr">
        <is>
          <t>إسماعيل سندي  —  أخصائي امتياز — تواصل عملاء وتأجير  ·  4 مؤشر</t>
        </is>
      </c>
    </row>
    <row r="66">
      <c r="B66" s="53" t="inlineStr">
        <is>
          <t>●/○</t>
        </is>
      </c>
      <c r="C66" s="53" t="inlineStr">
        <is>
          <t>المؤشر</t>
        </is>
      </c>
      <c r="D66" s="53" t="inlineStr">
        <is>
          <t>الأولوية</t>
        </is>
      </c>
      <c r="E66" s="54" t="inlineStr"/>
    </row>
    <row r="67">
      <c r="B67" s="35" t="inlineStr">
        <is>
          <t>●</t>
        </is>
      </c>
      <c r="C67" s="19" t="inlineStr">
        <is>
          <t>معدل رضا شركاء الامتياز (CSAT)</t>
        </is>
      </c>
      <c r="D67" s="55" t="inlineStr">
        <is>
          <t>🔴 رئيسي</t>
        </is>
      </c>
      <c r="E67" s="10" t="inlineStr"/>
    </row>
    <row r="68">
      <c r="B68" s="35" t="inlineStr">
        <is>
          <t>●</t>
        </is>
      </c>
      <c r="C68" s="19" t="inlineStr">
        <is>
          <t>نسبة حل الشكاوى خلال المدة المحددة</t>
        </is>
      </c>
      <c r="D68" s="55" t="inlineStr">
        <is>
          <t>🟠 مهم</t>
        </is>
      </c>
      <c r="E68" s="10" t="inlineStr"/>
    </row>
    <row r="69">
      <c r="B69" s="35" t="inlineStr">
        <is>
          <t>●</t>
        </is>
      </c>
      <c r="C69" s="19" t="inlineStr">
        <is>
          <t>نسبة انخفاض الشكاوى التشغيلية والإدارية</t>
        </is>
      </c>
      <c r="D69" s="55" t="inlineStr">
        <is>
          <t>🟠 مهم</t>
        </is>
      </c>
      <c r="E69" s="10" t="inlineStr"/>
    </row>
    <row r="70">
      <c r="B70" s="35" t="inlineStr">
        <is>
          <t>○</t>
        </is>
      </c>
      <c r="C70" s="19" t="inlineStr">
        <is>
          <t>نسبة استدامة أصحاب الامتياز</t>
        </is>
      </c>
      <c r="D70" s="55" t="inlineStr">
        <is>
          <t>🔴 رئيسي</t>
        </is>
      </c>
      <c r="E70" s="10" t="inlineStr"/>
    </row>
  </sheetData>
  <sheetProtection selectLockedCells="1" selectUnlockedCells="1" sheet="1" objects="0" insertRows="1" insertHyperlinks="1" autoFilter="1" scenarios="0" formatColumns="1" deleteColumns="1" insertColumns="1" pivotTables="1" deleteRows="1" formatCells="0" formatRows="1" sort="1" password="EFFF"/>
  <mergeCells count="11">
    <mergeCell ref="B27:E27"/>
    <mergeCell ref="B35:E35"/>
    <mergeCell ref="B4:E4"/>
    <mergeCell ref="B53:E53"/>
    <mergeCell ref="B65:E65"/>
    <mergeCell ref="B12:E12"/>
    <mergeCell ref="B47:E47"/>
    <mergeCell ref="B2:E2"/>
    <mergeCell ref="B20:E20"/>
    <mergeCell ref="B59:E59"/>
    <mergeCell ref="B42:E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showGridLines="0" rightToLeft="1" workbookViewId="0">
      <selection activeCell="A1" sqref="A1"/>
    </sheetView>
  </sheetViews>
  <sheetFormatPr baseColWidth="8" defaultRowHeight="15"/>
  <cols>
    <col width="4" customWidth="1" min="1" max="1"/>
    <col width="40" customWidth="1" min="2" max="2"/>
    <col width="10" customWidth="1" min="3" max="3"/>
    <col width="34" customWidth="1" min="4" max="4"/>
    <col width="14" customWidth="1" min="5" max="5"/>
    <col width="14" customWidth="1" min="6" max="6"/>
    <col width="22" customWidth="1" min="7" max="7"/>
  </cols>
  <sheetData>
    <row r="1" ht="28" customHeight="1">
      <c r="A1" s="56" t="inlineStr">
        <is>
          <t>إدارة الامتياز التجاري · نموذج تقييم الأداء — مدير إدارة الامتياز التجاري</t>
        </is>
      </c>
    </row>
    <row r="2">
      <c r="A2" s="39" t="inlineStr">
        <is>
          <t>الكود: FM-01   ·   فترة القياس: ربع سنوي   ·   🟩 أدخل «نسبة التحقيق» فقط — الدرجة تُحسب تلقائياً</t>
        </is>
      </c>
    </row>
    <row r="3">
      <c r="A3" s="57" t="inlineStr">
        <is>
          <t>اسم الموظف:</t>
        </is>
      </c>
      <c r="B3" s="58" t="inlineStr"/>
      <c r="C3" s="59" t="n"/>
      <c r="D3" s="57" t="inlineStr">
        <is>
          <t>القسم: الامتياز التجاري</t>
        </is>
      </c>
      <c r="E3" s="58" t="inlineStr"/>
      <c r="F3" s="60" t="n"/>
      <c r="G3" s="59" t="n"/>
    </row>
    <row r="4">
      <c r="A4" s="57" t="inlineStr">
        <is>
          <t>المدير المباشر:</t>
        </is>
      </c>
      <c r="B4" s="58" t="inlineStr"/>
      <c r="C4" s="59" t="n"/>
      <c r="D4" s="57" t="inlineStr">
        <is>
          <t>الربع / السنة:</t>
        </is>
      </c>
      <c r="E4" s="58" t="inlineStr"/>
      <c r="F4" s="60" t="n"/>
      <c r="G4" s="59" t="n"/>
    </row>
    <row r="5">
      <c r="A5" s="57" t="inlineStr">
        <is>
          <t>تاريخ التقييم:</t>
        </is>
      </c>
      <c r="B5" s="58" t="inlineStr"/>
      <c r="C5" s="59" t="n"/>
      <c r="D5" s="57" t="inlineStr">
        <is>
          <t>حالة التقييم:</t>
        </is>
      </c>
      <c r="E5" s="58" t="inlineStr"/>
      <c r="F5" s="60" t="n"/>
      <c r="G5" s="59" t="n"/>
    </row>
    <row r="6" ht="30" customHeight="1">
      <c r="A6" s="15" t="inlineStr">
        <is>
          <t>#</t>
        </is>
      </c>
      <c r="B6" s="15" t="inlineStr">
        <is>
          <t>مؤشر الأداء</t>
        </is>
      </c>
      <c r="C6" s="15" t="inlineStr">
        <is>
          <t>الوزن %</t>
        </is>
      </c>
      <c r="D6" s="15" t="inlineStr">
        <is>
          <t>المستهدف</t>
        </is>
      </c>
      <c r="E6" s="15" t="inlineStr">
        <is>
          <t>نسبة التحقيق</t>
        </is>
      </c>
      <c r="F6" s="15" t="inlineStr">
        <is>
          <t>الدرجة المحققة</t>
        </is>
      </c>
      <c r="G6" s="15" t="inlineStr">
        <is>
          <t>ملاحظات</t>
        </is>
      </c>
    </row>
    <row r="7" ht="28" customHeight="1">
      <c r="A7" s="16" t="n">
        <v>1</v>
      </c>
      <c r="B7" s="19" t="inlineStr">
        <is>
          <t>عدد محطات الامتياز الجديدة</t>
        </is>
      </c>
      <c r="C7" s="45" t="n">
        <v>0.15</v>
      </c>
      <c r="D7" s="61" t="inlineStr">
        <is>
          <t>100%+ من المحطات المستهدفة</t>
        </is>
      </c>
      <c r="E7" s="62" t="n"/>
      <c r="F7" s="36">
        <f>C7*MIN(E7,1)</f>
        <v/>
      </c>
      <c r="G7" s="58" t="inlineStr"/>
    </row>
    <row r="8" ht="28" customHeight="1">
      <c r="A8" s="16" t="n">
        <v>2</v>
      </c>
      <c r="B8" s="19" t="inlineStr">
        <is>
          <t>إجمالي مبيعات محطات الامتياز</t>
        </is>
      </c>
      <c r="C8" s="45" t="n">
        <v>0.15</v>
      </c>
      <c r="D8" s="61" t="inlineStr">
        <is>
          <t>100%+ من مستهدف المبيعات الربعي</t>
        </is>
      </c>
      <c r="E8" s="62" t="n"/>
      <c r="F8" s="36">
        <f>C8*MIN(E8,1)</f>
        <v/>
      </c>
      <c r="G8" s="58" t="inlineStr"/>
    </row>
    <row r="9" ht="28" customHeight="1">
      <c r="A9" s="16" t="n">
        <v>3</v>
      </c>
      <c r="B9" s="19" t="inlineStr">
        <is>
          <t>استمرارية تزويد الوقود</t>
        </is>
      </c>
      <c r="C9" s="45" t="n">
        <v>0.1</v>
      </c>
      <c r="D9" s="61" t="inlineStr">
        <is>
          <t>0 حالات انقطاع</t>
        </is>
      </c>
      <c r="E9" s="62" t="n"/>
      <c r="F9" s="36">
        <f>C9*MIN(E9,1)</f>
        <v/>
      </c>
      <c r="G9" s="58" t="inlineStr"/>
    </row>
    <row r="10" ht="28" customHeight="1">
      <c r="A10" s="16" t="n">
        <v>4</v>
      </c>
      <c r="B10" s="19" t="inlineStr">
        <is>
          <t>نسبة التحصيل المالي</t>
        </is>
      </c>
      <c r="C10" s="45" t="n">
        <v>0.15</v>
      </c>
      <c r="D10" s="61" t="inlineStr">
        <is>
          <t>100%+ من المستحقات الربعية</t>
        </is>
      </c>
      <c r="E10" s="62" t="n"/>
      <c r="F10" s="36">
        <f>C10*MIN(E10,1)</f>
        <v/>
      </c>
      <c r="G10" s="58" t="inlineStr"/>
    </row>
    <row r="11" ht="28" customHeight="1">
      <c r="A11" s="16" t="n">
        <v>5</v>
      </c>
      <c r="B11" s="19" t="inlineStr">
        <is>
          <t>الالتزام بالهوية المؤسسية</t>
        </is>
      </c>
      <c r="C11" s="45" t="n">
        <v>0.15</v>
      </c>
      <c r="D11" s="61" t="inlineStr">
        <is>
          <t>70%+ من المحطات ملتزمة</t>
        </is>
      </c>
      <c r="E11" s="62" t="n"/>
      <c r="F11" s="36">
        <f>C11*MIN(E11,1)</f>
        <v/>
      </c>
      <c r="G11" s="58" t="inlineStr"/>
    </row>
    <row r="12" ht="28" customHeight="1">
      <c r="A12" s="16" t="n">
        <v>6</v>
      </c>
      <c r="B12" s="19" t="inlineStr">
        <is>
          <t>انخفاض عدد الشكاوى</t>
        </is>
      </c>
      <c r="C12" s="45" t="n">
        <v>0.1</v>
      </c>
      <c r="D12" s="61" t="inlineStr">
        <is>
          <t>خفض 20%+ مقارنة بالربع السابق</t>
        </is>
      </c>
      <c r="E12" s="62" t="n"/>
      <c r="F12" s="36">
        <f>C12*MIN(E12,1)</f>
        <v/>
      </c>
      <c r="G12" s="58" t="inlineStr"/>
    </row>
    <row r="13" ht="28" customHeight="1">
      <c r="A13" s="16" t="n">
        <v>7</v>
      </c>
      <c r="B13" s="19" t="inlineStr">
        <is>
          <t>تقييمات خرائط قوقل</t>
        </is>
      </c>
      <c r="C13" s="45" t="n">
        <v>0.1</v>
      </c>
      <c r="D13" s="61" t="inlineStr">
        <is>
          <t>4.7 – 5</t>
        </is>
      </c>
      <c r="E13" s="62" t="n"/>
      <c r="F13" s="36">
        <f>C13*MIN(E13,1)</f>
        <v/>
      </c>
      <c r="G13" s="58" t="inlineStr"/>
    </row>
    <row r="14" ht="28" customHeight="1">
      <c r="A14" s="16" t="n">
        <v>8</v>
      </c>
      <c r="B14" s="19" t="inlineStr">
        <is>
          <t>انتظام وجودة التقارير</t>
        </is>
      </c>
      <c r="C14" s="45" t="n">
        <v>0.1</v>
      </c>
      <c r="D14" s="61" t="inlineStr">
        <is>
          <t>100% في موعدها</t>
        </is>
      </c>
      <c r="E14" s="62" t="n"/>
      <c r="F14" s="36">
        <f>C14*MIN(E14,1)</f>
        <v/>
      </c>
      <c r="G14" s="58" t="inlineStr"/>
    </row>
    <row r="15">
      <c r="A15" s="10" t="inlineStr"/>
      <c r="B15" s="63" t="inlineStr">
        <is>
          <t>المجموع الكلي</t>
        </is>
      </c>
      <c r="C15" s="64">
        <f>SUM(C7:C14)</f>
        <v/>
      </c>
      <c r="D15" s="65" t="inlineStr"/>
      <c r="E15" s="63" t="inlineStr">
        <is>
          <t>الدرجة:</t>
        </is>
      </c>
      <c r="F15" s="66">
        <f>SUM(F7:F14)</f>
        <v/>
      </c>
      <c r="G15" s="65" t="inlineStr"/>
    </row>
    <row r="16">
      <c r="B16" s="5" t="inlineStr">
        <is>
          <t>التقدير</t>
        </is>
      </c>
      <c r="C16" s="67">
        <f>IF(F15&gt;=0.9,"ممتاز",IF(F15&gt;=0.8,"جيد جداً",IF(F15&gt;=0.7,"جيد",IF(F15&gt;=0.6,"مقبول","ضعيف"))))</f>
        <v/>
      </c>
      <c r="D16" s="29" t="n"/>
    </row>
    <row r="18">
      <c r="B18" s="5" t="inlineStr">
        <is>
          <t>سلّم التقييم</t>
        </is>
      </c>
      <c r="C18" s="28" t="n"/>
      <c r="D18" s="29" t="n"/>
    </row>
    <row r="19">
      <c r="B19" s="16" t="inlineStr">
        <is>
          <t>ممتاز</t>
        </is>
      </c>
      <c r="C19" s="55" t="inlineStr">
        <is>
          <t>90% – 100%</t>
        </is>
      </c>
      <c r="D19" s="19" t="inlineStr">
        <is>
          <t>تجاوز المستهدف</t>
        </is>
      </c>
    </row>
    <row r="20">
      <c r="B20" s="16" t="inlineStr">
        <is>
          <t>جيد جداً</t>
        </is>
      </c>
      <c r="C20" s="55" t="inlineStr">
        <is>
          <t>80% – 89%</t>
        </is>
      </c>
      <c r="D20" s="19" t="inlineStr">
        <is>
          <t>حقق المستهدف تقريباً</t>
        </is>
      </c>
    </row>
    <row r="21">
      <c r="B21" s="16" t="inlineStr">
        <is>
          <t>جيد</t>
        </is>
      </c>
      <c r="C21" s="55" t="inlineStr">
        <is>
          <t>70% – 79%</t>
        </is>
      </c>
      <c r="D21" s="19" t="inlineStr">
        <is>
          <t>حقق معظم المستهدفات</t>
        </is>
      </c>
    </row>
    <row r="22">
      <c r="B22" s="16" t="inlineStr">
        <is>
          <t>مقبول</t>
        </is>
      </c>
      <c r="C22" s="55" t="inlineStr">
        <is>
          <t>60% – 69%</t>
        </is>
      </c>
      <c r="D22" s="19" t="inlineStr">
        <is>
          <t>يحتاج تحسين</t>
        </is>
      </c>
    </row>
    <row r="23">
      <c r="B23" s="16" t="inlineStr">
        <is>
          <t>ضعيف</t>
        </is>
      </c>
      <c r="C23" s="55" t="inlineStr">
        <is>
          <t>أقل من 60%</t>
        </is>
      </c>
      <c r="D23" s="19" t="inlineStr">
        <is>
          <t>يحتاج خطة تطوير</t>
        </is>
      </c>
    </row>
  </sheetData>
  <sheetProtection selectLockedCells="1" selectUnlockedCells="1" sheet="1" objects="0" insertRows="1" insertHyperlinks="1" autoFilter="1" scenarios="0" formatColumns="1" deleteColumns="1" insertColumns="1" pivotTables="1" deleteRows="1" formatCells="0" formatRows="1" sort="1" password="EFFF"/>
  <mergeCells count="18">
    <mergeCell ref="D22"/>
    <mergeCell ref="D23"/>
    <mergeCell ref="A1:G1"/>
    <mergeCell ref="A4"/>
    <mergeCell ref="C16:D16"/>
    <mergeCell ref="A3"/>
    <mergeCell ref="B3:C3"/>
    <mergeCell ref="B5:C5"/>
    <mergeCell ref="E5:G5"/>
    <mergeCell ref="D20"/>
    <mergeCell ref="D21"/>
    <mergeCell ref="B18:D18"/>
    <mergeCell ref="D19"/>
    <mergeCell ref="A2:G2"/>
    <mergeCell ref="E4:G4"/>
    <mergeCell ref="E3:G3"/>
    <mergeCell ref="B4:C4"/>
    <mergeCell ref="A5"/>
  </mergeCells>
  <dataValidations count="1">
    <dataValidation sqref="E7 E8 E9 E10 E11 E12 E13 E14" showDropDown="0" showInputMessage="0" showErrorMessage="0" allowBlank="1" errorTitle="نسبة التحقيق" error="أدخل نسبة بين 0% و120%" type="decimal" operator="between">
      <formula1>0</formula1>
      <formula2>1.2</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showGridLines="0" rightToLeft="1" workbookViewId="0">
      <selection activeCell="A1" sqref="A1"/>
    </sheetView>
  </sheetViews>
  <sheetFormatPr baseColWidth="8" defaultRowHeight="15"/>
  <cols>
    <col width="4" customWidth="1" min="1" max="1"/>
    <col width="40" customWidth="1" min="2" max="2"/>
    <col width="10" customWidth="1" min="3" max="3"/>
    <col width="34" customWidth="1" min="4" max="4"/>
    <col width="14" customWidth="1" min="5" max="5"/>
    <col width="14" customWidth="1" min="6" max="6"/>
    <col width="22" customWidth="1" min="7" max="7"/>
  </cols>
  <sheetData>
    <row r="1" ht="28" customHeight="1">
      <c r="A1" s="56" t="inlineStr">
        <is>
          <t>إدارة الامتياز التجاري · نموذج تقييم الأداء — مسؤول الامتياز التجاري</t>
        </is>
      </c>
    </row>
    <row r="2">
      <c r="A2" s="39" t="inlineStr">
        <is>
          <t>الكود: FM-02   ·   فترة القياس: ربع سنوي   ·   🟩 أدخل «نسبة التحقيق» فقط — الدرجة تُحسب تلقائياً</t>
        </is>
      </c>
    </row>
    <row r="3">
      <c r="A3" s="57" t="inlineStr">
        <is>
          <t>اسم الموظف:</t>
        </is>
      </c>
      <c r="B3" s="58" t="inlineStr"/>
      <c r="C3" s="59" t="n"/>
      <c r="D3" s="57" t="inlineStr">
        <is>
          <t>القسم: الامتياز التجاري</t>
        </is>
      </c>
      <c r="E3" s="58" t="inlineStr"/>
      <c r="F3" s="60" t="n"/>
      <c r="G3" s="59" t="n"/>
    </row>
    <row r="4">
      <c r="A4" s="57" t="inlineStr">
        <is>
          <t>المدير المباشر:</t>
        </is>
      </c>
      <c r="B4" s="58" t="inlineStr"/>
      <c r="C4" s="59" t="n"/>
      <c r="D4" s="57" t="inlineStr">
        <is>
          <t>الربع / السنة:</t>
        </is>
      </c>
      <c r="E4" s="58" t="inlineStr"/>
      <c r="F4" s="60" t="n"/>
      <c r="G4" s="59" t="n"/>
    </row>
    <row r="5">
      <c r="A5" s="57" t="inlineStr">
        <is>
          <t>تاريخ التقييم:</t>
        </is>
      </c>
      <c r="B5" s="58" t="inlineStr"/>
      <c r="C5" s="59" t="n"/>
      <c r="D5" s="57" t="inlineStr">
        <is>
          <t>حالة التقييم:</t>
        </is>
      </c>
      <c r="E5" s="58" t="inlineStr"/>
      <c r="F5" s="60" t="n"/>
      <c r="G5" s="59" t="n"/>
    </row>
    <row r="6" ht="30" customHeight="1">
      <c r="A6" s="15" t="inlineStr">
        <is>
          <t>#</t>
        </is>
      </c>
      <c r="B6" s="15" t="inlineStr">
        <is>
          <t>مؤشر الأداء</t>
        </is>
      </c>
      <c r="C6" s="15" t="inlineStr">
        <is>
          <t>الوزن %</t>
        </is>
      </c>
      <c r="D6" s="15" t="inlineStr">
        <is>
          <t>المستهدف</t>
        </is>
      </c>
      <c r="E6" s="15" t="inlineStr">
        <is>
          <t>نسبة التحقيق</t>
        </is>
      </c>
      <c r="F6" s="15" t="inlineStr">
        <is>
          <t>الدرجة المحققة</t>
        </is>
      </c>
      <c r="G6" s="15" t="inlineStr">
        <is>
          <t>ملاحظات</t>
        </is>
      </c>
    </row>
    <row r="7" ht="28" customHeight="1">
      <c r="A7" s="16" t="n">
        <v>1</v>
      </c>
      <c r="B7" s="19" t="inlineStr">
        <is>
          <t>المتابعة مع عملاء الامتياز</t>
        </is>
      </c>
      <c r="C7" s="45" t="n">
        <v>0.3</v>
      </c>
      <c r="D7" s="61" t="inlineStr">
        <is>
          <t>متابعة مستمرة 100%</t>
        </is>
      </c>
      <c r="E7" s="62" t="n"/>
      <c r="F7" s="36">
        <f>C7*MIN(E7,1)</f>
        <v/>
      </c>
      <c r="G7" s="58" t="inlineStr"/>
    </row>
    <row r="8" ht="28" customHeight="1">
      <c r="A8" s="16" t="n">
        <v>2</v>
      </c>
      <c r="B8" s="19" t="inlineStr">
        <is>
          <t>عدم انقطاع المحطات من الوقود</t>
        </is>
      </c>
      <c r="C8" s="45" t="n">
        <v>0.35</v>
      </c>
      <c r="D8" s="61" t="inlineStr">
        <is>
          <t>0 حالات انقطاع</t>
        </is>
      </c>
      <c r="E8" s="62" t="n"/>
      <c r="F8" s="36">
        <f>C8*MIN(E8,1)</f>
        <v/>
      </c>
      <c r="G8" s="58" t="inlineStr"/>
    </row>
    <row r="9" ht="28" customHeight="1">
      <c r="A9" s="16" t="n">
        <v>3</v>
      </c>
      <c r="B9" s="19" t="inlineStr">
        <is>
          <t>متابعة طلبات وتوريد الوقود</t>
        </is>
      </c>
      <c r="C9" s="45" t="n">
        <v>0.1</v>
      </c>
      <c r="D9" s="61" t="inlineStr">
        <is>
          <t>100% متابعة يومية</t>
        </is>
      </c>
      <c r="E9" s="62" t="n"/>
      <c r="F9" s="36">
        <f>C9*MIN(E9,1)</f>
        <v/>
      </c>
      <c r="G9" s="58" t="inlineStr"/>
    </row>
    <row r="10" ht="28" customHeight="1">
      <c r="A10" s="16" t="n">
        <v>4</v>
      </c>
      <c r="B10" s="19" t="inlineStr">
        <is>
          <t>إجمالي مبيعات المحطات</t>
        </is>
      </c>
      <c r="C10" s="45" t="n">
        <v>0.1</v>
      </c>
      <c r="D10" s="61" t="inlineStr">
        <is>
          <t>تحقيق هدف المبيعات</t>
        </is>
      </c>
      <c r="E10" s="62" t="n"/>
      <c r="F10" s="36">
        <f>C10*MIN(E10,1)</f>
        <v/>
      </c>
      <c r="G10" s="58" t="inlineStr"/>
    </row>
    <row r="11" ht="28" customHeight="1">
      <c r="A11" s="16" t="n">
        <v>5</v>
      </c>
      <c r="B11" s="19" t="inlineStr">
        <is>
          <t>التحصيل المالي</t>
        </is>
      </c>
      <c r="C11" s="45" t="n">
        <v>0.1</v>
      </c>
      <c r="D11" s="61" t="inlineStr">
        <is>
          <t>100% خلال الربع</t>
        </is>
      </c>
      <c r="E11" s="62" t="n"/>
      <c r="F11" s="36">
        <f>C11*MIN(E11,1)</f>
        <v/>
      </c>
      <c r="G11" s="58" t="inlineStr"/>
    </row>
    <row r="12" ht="28" customHeight="1">
      <c r="A12" s="16" t="n">
        <v>6</v>
      </c>
      <c r="B12" s="19" t="inlineStr">
        <is>
          <t>التقارير الدورية الشاملة</t>
        </is>
      </c>
      <c r="C12" s="45" t="n">
        <v>0.05</v>
      </c>
      <c r="D12" s="61" t="inlineStr">
        <is>
          <t>100% في مواعيدها</t>
        </is>
      </c>
      <c r="E12" s="62" t="n"/>
      <c r="F12" s="36">
        <f>C12*MIN(E12,1)</f>
        <v/>
      </c>
      <c r="G12" s="58" t="inlineStr"/>
    </row>
    <row r="13">
      <c r="A13" s="10" t="inlineStr"/>
      <c r="B13" s="63" t="inlineStr">
        <is>
          <t>المجموع الكلي</t>
        </is>
      </c>
      <c r="C13" s="64">
        <f>SUM(C7:C12)</f>
        <v/>
      </c>
      <c r="D13" s="65" t="inlineStr"/>
      <c r="E13" s="63" t="inlineStr">
        <is>
          <t>الدرجة:</t>
        </is>
      </c>
      <c r="F13" s="66">
        <f>SUM(F7:F12)</f>
        <v/>
      </c>
      <c r="G13" s="65" t="inlineStr"/>
    </row>
    <row r="14">
      <c r="B14" s="5" t="inlineStr">
        <is>
          <t>التقدير</t>
        </is>
      </c>
      <c r="C14" s="67">
        <f>IF(F13&gt;=0.9,"ممتاز",IF(F13&gt;=0.8,"جيد جداً",IF(F13&gt;=0.7,"جيد",IF(F13&gt;=0.6,"مقبول","ضعيف"))))</f>
        <v/>
      </c>
      <c r="D14" s="29" t="n"/>
    </row>
    <row r="16">
      <c r="B16" s="5" t="inlineStr">
        <is>
          <t>سلّم التقييم</t>
        </is>
      </c>
      <c r="C16" s="28" t="n"/>
      <c r="D16" s="29" t="n"/>
    </row>
    <row r="17">
      <c r="B17" s="16" t="inlineStr">
        <is>
          <t>ممتاز</t>
        </is>
      </c>
      <c r="C17" s="55" t="inlineStr">
        <is>
          <t>90% – 100%</t>
        </is>
      </c>
      <c r="D17" s="19" t="inlineStr">
        <is>
          <t>تجاوز المستهدف</t>
        </is>
      </c>
    </row>
    <row r="18">
      <c r="B18" s="16" t="inlineStr">
        <is>
          <t>جيد جداً</t>
        </is>
      </c>
      <c r="C18" s="55" t="inlineStr">
        <is>
          <t>80% – 89%</t>
        </is>
      </c>
      <c r="D18" s="19" t="inlineStr">
        <is>
          <t>حقق المستهدف تقريباً</t>
        </is>
      </c>
    </row>
    <row r="19">
      <c r="B19" s="16" t="inlineStr">
        <is>
          <t>جيد</t>
        </is>
      </c>
      <c r="C19" s="55" t="inlineStr">
        <is>
          <t>70% – 79%</t>
        </is>
      </c>
      <c r="D19" s="19" t="inlineStr">
        <is>
          <t>حقق معظم المستهدفات</t>
        </is>
      </c>
    </row>
    <row r="20">
      <c r="B20" s="16" t="inlineStr">
        <is>
          <t>مقبول</t>
        </is>
      </c>
      <c r="C20" s="55" t="inlineStr">
        <is>
          <t>60% – 69%</t>
        </is>
      </c>
      <c r="D20" s="19" t="inlineStr">
        <is>
          <t>يحتاج تحسين</t>
        </is>
      </c>
    </row>
    <row r="21">
      <c r="B21" s="16" t="inlineStr">
        <is>
          <t>ضعيف</t>
        </is>
      </c>
      <c r="C21" s="55" t="inlineStr">
        <is>
          <t>أقل من 60%</t>
        </is>
      </c>
      <c r="D21" s="19" t="inlineStr">
        <is>
          <t>يحتاج خطة تطوير</t>
        </is>
      </c>
    </row>
  </sheetData>
  <sheetProtection selectLockedCells="1" selectUnlockedCells="1" sheet="1" objects="0" insertRows="1" insertHyperlinks="1" autoFilter="1" scenarios="0" formatColumns="1" deleteColumns="1" insertColumns="1" pivotTables="1" deleteRows="1" formatCells="0" formatRows="1" sort="1" password="EFFF"/>
  <mergeCells count="18">
    <mergeCell ref="A1:G1"/>
    <mergeCell ref="D18"/>
    <mergeCell ref="A4"/>
    <mergeCell ref="D17"/>
    <mergeCell ref="A3"/>
    <mergeCell ref="B3:C3"/>
    <mergeCell ref="B5:C5"/>
    <mergeCell ref="E5:G5"/>
    <mergeCell ref="D20"/>
    <mergeCell ref="D21"/>
    <mergeCell ref="B16:D16"/>
    <mergeCell ref="D19"/>
    <mergeCell ref="C14:D14"/>
    <mergeCell ref="A2:G2"/>
    <mergeCell ref="E4:G4"/>
    <mergeCell ref="E3:G3"/>
    <mergeCell ref="B4:C4"/>
    <mergeCell ref="A5"/>
  </mergeCells>
  <dataValidations count="1">
    <dataValidation sqref="E7 E8 E9 E10 E11 E12" showDropDown="0" showInputMessage="0" showErrorMessage="0" allowBlank="1" errorTitle="نسبة التحقيق" error="أدخل نسبة بين 0% و120%" type="decimal" operator="between">
      <formula1>0</formula1>
      <formula2>1.2</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showGridLines="0" rightToLeft="1" workbookViewId="0">
      <selection activeCell="A1" sqref="A1"/>
    </sheetView>
  </sheetViews>
  <sheetFormatPr baseColWidth="8" defaultRowHeight="15"/>
  <cols>
    <col width="4" customWidth="1" min="1" max="1"/>
    <col width="40" customWidth="1" min="2" max="2"/>
    <col width="10" customWidth="1" min="3" max="3"/>
    <col width="34" customWidth="1" min="4" max="4"/>
    <col width="14" customWidth="1" min="5" max="5"/>
    <col width="14" customWidth="1" min="6" max="6"/>
    <col width="22" customWidth="1" min="7" max="7"/>
  </cols>
  <sheetData>
    <row r="1" ht="28" customHeight="1">
      <c r="A1" s="56" t="inlineStr">
        <is>
          <t>إدارة الامتياز التجاري · نموذج تقييم الأداء — المراقب الميداني</t>
        </is>
      </c>
    </row>
    <row r="2">
      <c r="A2" s="39" t="inlineStr">
        <is>
          <t>الكود: FM-03   ·   فترة القياس: ربع سنوي   ·   🟩 أدخل «نسبة التحقيق» فقط — الدرجة تُحسب تلقائياً</t>
        </is>
      </c>
    </row>
    <row r="3">
      <c r="A3" s="57" t="inlineStr">
        <is>
          <t>اسم الموظف:</t>
        </is>
      </c>
      <c r="B3" s="58" t="inlineStr"/>
      <c r="C3" s="59" t="n"/>
      <c r="D3" s="57" t="inlineStr">
        <is>
          <t>القسم: الامتياز التجاري</t>
        </is>
      </c>
      <c r="E3" s="58" t="inlineStr"/>
      <c r="F3" s="60" t="n"/>
      <c r="G3" s="59" t="n"/>
    </row>
    <row r="4">
      <c r="A4" s="57" t="inlineStr">
        <is>
          <t>المدير المباشر:</t>
        </is>
      </c>
      <c r="B4" s="58" t="inlineStr"/>
      <c r="C4" s="59" t="n"/>
      <c r="D4" s="57" t="inlineStr">
        <is>
          <t>الربع / السنة:</t>
        </is>
      </c>
      <c r="E4" s="58" t="inlineStr"/>
      <c r="F4" s="60" t="n"/>
      <c r="G4" s="59" t="n"/>
    </row>
    <row r="5">
      <c r="A5" s="57" t="inlineStr">
        <is>
          <t>تاريخ التقييم:</t>
        </is>
      </c>
      <c r="B5" s="58" t="inlineStr"/>
      <c r="C5" s="59" t="n"/>
      <c r="D5" s="57" t="inlineStr">
        <is>
          <t>حالة التقييم:</t>
        </is>
      </c>
      <c r="E5" s="58" t="inlineStr"/>
      <c r="F5" s="60" t="n"/>
      <c r="G5" s="59" t="n"/>
    </row>
    <row r="6" ht="30" customHeight="1">
      <c r="A6" s="15" t="inlineStr">
        <is>
          <t>#</t>
        </is>
      </c>
      <c r="B6" s="15" t="inlineStr">
        <is>
          <t>مؤشر الأداء</t>
        </is>
      </c>
      <c r="C6" s="15" t="inlineStr">
        <is>
          <t>الوزن %</t>
        </is>
      </c>
      <c r="D6" s="15" t="inlineStr">
        <is>
          <t>المستهدف</t>
        </is>
      </c>
      <c r="E6" s="15" t="inlineStr">
        <is>
          <t>نسبة التحقيق</t>
        </is>
      </c>
      <c r="F6" s="15" t="inlineStr">
        <is>
          <t>الدرجة المحققة</t>
        </is>
      </c>
      <c r="G6" s="15" t="inlineStr">
        <is>
          <t>ملاحظات</t>
        </is>
      </c>
    </row>
    <row r="7" ht="28" customHeight="1">
      <c r="A7" s="16" t="n">
        <v>1</v>
      </c>
      <c r="B7" s="19" t="inlineStr">
        <is>
          <t>عدد الزيارات الميدانية المنفذة</t>
        </is>
      </c>
      <c r="C7" s="45" t="n">
        <v>0.3</v>
      </c>
      <c r="D7" s="61" t="inlineStr">
        <is>
          <t>100% من الزيارات المجدولة</t>
        </is>
      </c>
      <c r="E7" s="62" t="n"/>
      <c r="F7" s="36">
        <f>C7*MIN(E7,1)</f>
        <v/>
      </c>
      <c r="G7" s="58" t="inlineStr"/>
    </row>
    <row r="8" ht="28" customHeight="1">
      <c r="A8" s="16" t="n">
        <v>2</v>
      </c>
      <c r="B8" s="19" t="inlineStr">
        <is>
          <t>متابعة تطبيق الهوية المؤسسية</t>
        </is>
      </c>
      <c r="C8" s="45" t="n">
        <v>0.2</v>
      </c>
      <c r="D8" s="61" t="inlineStr">
        <is>
          <t>100% دون ملاحظات متكررة</t>
        </is>
      </c>
      <c r="E8" s="62" t="n"/>
      <c r="F8" s="36">
        <f>C8*MIN(E8,1)</f>
        <v/>
      </c>
      <c r="G8" s="58" t="inlineStr"/>
    </row>
    <row r="9" ht="28" customHeight="1">
      <c r="A9" s="16" t="n">
        <v>3</v>
      </c>
      <c r="B9" s="19" t="inlineStr">
        <is>
          <t>تقارير الجودة الميدانية والـChecklist</t>
        </is>
      </c>
      <c r="C9" s="45" t="n">
        <v>0.2</v>
      </c>
      <c r="D9" s="61" t="inlineStr">
        <is>
          <t>100% رفع التقارير</t>
        </is>
      </c>
      <c r="E9" s="62" t="n"/>
      <c r="F9" s="36">
        <f>C9*MIN(E9,1)</f>
        <v/>
      </c>
      <c r="G9" s="58" t="inlineStr"/>
    </row>
    <row r="10" ht="28" customHeight="1">
      <c r="A10" s="16" t="n">
        <v>4</v>
      </c>
      <c r="B10" s="19" t="inlineStr">
        <is>
          <t>متابعة العلامات التجارية</t>
        </is>
      </c>
      <c r="C10" s="45" t="n">
        <v>0.1</v>
      </c>
      <c r="D10" s="61" t="inlineStr">
        <is>
          <t>100% حسب الجدول</t>
        </is>
      </c>
      <c r="E10" s="62" t="n"/>
      <c r="F10" s="36">
        <f>C10*MIN(E10,1)</f>
        <v/>
      </c>
      <c r="G10" s="58" t="inlineStr"/>
    </row>
    <row r="11" ht="28" customHeight="1">
      <c r="A11" s="16" t="n">
        <v>5</v>
      </c>
      <c r="B11" s="19" t="inlineStr">
        <is>
          <t>تطبيق معايير السلامة الميدانية</t>
        </is>
      </c>
      <c r="C11" s="45" t="n">
        <v>0.1</v>
      </c>
      <c r="D11" s="61" t="inlineStr">
        <is>
          <t>100%</t>
        </is>
      </c>
      <c r="E11" s="62" t="n"/>
      <c r="F11" s="36">
        <f>C11*MIN(E11,1)</f>
        <v/>
      </c>
      <c r="G11" s="58" t="inlineStr"/>
    </row>
    <row r="12" ht="28" customHeight="1">
      <c r="A12" s="16" t="n">
        <v>6</v>
      </c>
      <c r="B12" s="19" t="inlineStr">
        <is>
          <t>متابعة الشكاوى وإغلاقها</t>
        </is>
      </c>
      <c r="C12" s="45" t="n">
        <v>0.1</v>
      </c>
      <c r="D12" s="61" t="inlineStr">
        <is>
          <t>الاستجابة خلال 24 ساعة</t>
        </is>
      </c>
      <c r="E12" s="62" t="n"/>
      <c r="F12" s="36">
        <f>C12*MIN(E12,1)</f>
        <v/>
      </c>
      <c r="G12" s="58" t="inlineStr"/>
    </row>
    <row r="13">
      <c r="A13" s="10" t="inlineStr"/>
      <c r="B13" s="63" t="inlineStr">
        <is>
          <t>المجموع الكلي</t>
        </is>
      </c>
      <c r="C13" s="64">
        <f>SUM(C7:C12)</f>
        <v/>
      </c>
      <c r="D13" s="65" t="inlineStr"/>
      <c r="E13" s="63" t="inlineStr">
        <is>
          <t>الدرجة:</t>
        </is>
      </c>
      <c r="F13" s="66">
        <f>SUM(F7:F12)</f>
        <v/>
      </c>
      <c r="G13" s="65" t="inlineStr"/>
    </row>
    <row r="14">
      <c r="B14" s="5" t="inlineStr">
        <is>
          <t>التقدير</t>
        </is>
      </c>
      <c r="C14" s="67">
        <f>IF(F13&gt;=0.9,"ممتاز",IF(F13&gt;=0.8,"جيد جداً",IF(F13&gt;=0.7,"جيد",IF(F13&gt;=0.6,"مقبول","ضعيف"))))</f>
        <v/>
      </c>
      <c r="D14" s="29" t="n"/>
    </row>
    <row r="16">
      <c r="B16" s="5" t="inlineStr">
        <is>
          <t>سلّم التقييم</t>
        </is>
      </c>
      <c r="C16" s="28" t="n"/>
      <c r="D16" s="29" t="n"/>
    </row>
    <row r="17">
      <c r="B17" s="16" t="inlineStr">
        <is>
          <t>ممتاز</t>
        </is>
      </c>
      <c r="C17" s="55" t="inlineStr">
        <is>
          <t>90% – 100%</t>
        </is>
      </c>
      <c r="D17" s="19" t="inlineStr">
        <is>
          <t>تجاوز المستهدف</t>
        </is>
      </c>
    </row>
    <row r="18">
      <c r="B18" s="16" t="inlineStr">
        <is>
          <t>جيد جداً</t>
        </is>
      </c>
      <c r="C18" s="55" t="inlineStr">
        <is>
          <t>80% – 89%</t>
        </is>
      </c>
      <c r="D18" s="19" t="inlineStr">
        <is>
          <t>حقق المستهدف تقريباً</t>
        </is>
      </c>
    </row>
    <row r="19">
      <c r="B19" s="16" t="inlineStr">
        <is>
          <t>جيد</t>
        </is>
      </c>
      <c r="C19" s="55" t="inlineStr">
        <is>
          <t>70% – 79%</t>
        </is>
      </c>
      <c r="D19" s="19" t="inlineStr">
        <is>
          <t>حقق معظم المستهدفات</t>
        </is>
      </c>
    </row>
    <row r="20">
      <c r="B20" s="16" t="inlineStr">
        <is>
          <t>مقبول</t>
        </is>
      </c>
      <c r="C20" s="55" t="inlineStr">
        <is>
          <t>60% – 69%</t>
        </is>
      </c>
      <c r="D20" s="19" t="inlineStr">
        <is>
          <t>يحتاج تحسين</t>
        </is>
      </c>
    </row>
    <row r="21">
      <c r="B21" s="16" t="inlineStr">
        <is>
          <t>ضعيف</t>
        </is>
      </c>
      <c r="C21" s="55" t="inlineStr">
        <is>
          <t>أقل من 60%</t>
        </is>
      </c>
      <c r="D21" s="19" t="inlineStr">
        <is>
          <t>يحتاج خطة تطوير</t>
        </is>
      </c>
    </row>
  </sheetData>
  <sheetProtection selectLockedCells="1" selectUnlockedCells="1" sheet="1" objects="0" insertRows="1" insertHyperlinks="1" autoFilter="1" scenarios="0" formatColumns="1" deleteColumns="1" insertColumns="1" pivotTables="1" deleteRows="1" formatCells="0" formatRows="1" sort="1" password="EFFF"/>
  <mergeCells count="18">
    <mergeCell ref="A1:G1"/>
    <mergeCell ref="D18"/>
    <mergeCell ref="A4"/>
    <mergeCell ref="D17"/>
    <mergeCell ref="A3"/>
    <mergeCell ref="B3:C3"/>
    <mergeCell ref="B5:C5"/>
    <mergeCell ref="E5:G5"/>
    <mergeCell ref="D20"/>
    <mergeCell ref="D21"/>
    <mergeCell ref="B16:D16"/>
    <mergeCell ref="D19"/>
    <mergeCell ref="C14:D14"/>
    <mergeCell ref="A2:G2"/>
    <mergeCell ref="E4:G4"/>
    <mergeCell ref="E3:G3"/>
    <mergeCell ref="B4:C4"/>
    <mergeCell ref="A5"/>
  </mergeCells>
  <dataValidations count="1">
    <dataValidation sqref="E7 E8 E9 E10 E11 E12" showDropDown="0" showInputMessage="0" showErrorMessage="0" allowBlank="1" errorTitle="نسبة التحقيق" error="أدخل نسبة بين 0% و120%" type="decimal" operator="between">
      <formula1>0</formula1>
      <formula2>1.2</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rightToLeft="1" workbookViewId="0">
      <selection activeCell="A1" sqref="A1"/>
    </sheetView>
  </sheetViews>
  <sheetFormatPr baseColWidth="8" defaultRowHeight="15"/>
  <cols>
    <col width="4" customWidth="1" min="1" max="1"/>
    <col width="40" customWidth="1" min="2" max="2"/>
    <col width="10" customWidth="1" min="3" max="3"/>
    <col width="34" customWidth="1" min="4" max="4"/>
    <col width="14" customWidth="1" min="5" max="5"/>
    <col width="14" customWidth="1" min="6" max="6"/>
    <col width="22" customWidth="1" min="7" max="7"/>
  </cols>
  <sheetData>
    <row r="1" ht="28" customHeight="1">
      <c r="A1" s="56" t="inlineStr">
        <is>
          <t>إدارة الامتياز التجاري · نموذج تقييم الأداء — مسؤول التعاقدات</t>
        </is>
      </c>
    </row>
    <row r="2">
      <c r="A2" s="39" t="inlineStr">
        <is>
          <t>الكود: FM-04   ·   فترة القياس: ربع سنوي   ·   🟩 أدخل «نسبة التحقيق» فقط — الدرجة تُحسب تلقائياً</t>
        </is>
      </c>
    </row>
    <row r="3">
      <c r="A3" s="57" t="inlineStr">
        <is>
          <t>اسم الموظف:</t>
        </is>
      </c>
      <c r="B3" s="58" t="inlineStr"/>
      <c r="C3" s="59" t="n"/>
      <c r="D3" s="57" t="inlineStr">
        <is>
          <t>القسم: الامتياز التجاري</t>
        </is>
      </c>
      <c r="E3" s="58" t="inlineStr"/>
      <c r="F3" s="60" t="n"/>
      <c r="G3" s="59" t="n"/>
    </row>
    <row r="4">
      <c r="A4" s="57" t="inlineStr">
        <is>
          <t>المدير المباشر:</t>
        </is>
      </c>
      <c r="B4" s="58" t="inlineStr"/>
      <c r="C4" s="59" t="n"/>
      <c r="D4" s="57" t="inlineStr">
        <is>
          <t>الربع / السنة:</t>
        </is>
      </c>
      <c r="E4" s="58" t="inlineStr"/>
      <c r="F4" s="60" t="n"/>
      <c r="G4" s="59" t="n"/>
    </row>
    <row r="5">
      <c r="A5" s="57" t="inlineStr">
        <is>
          <t>تاريخ التقييم:</t>
        </is>
      </c>
      <c r="B5" s="58" t="inlineStr"/>
      <c r="C5" s="59" t="n"/>
      <c r="D5" s="57" t="inlineStr">
        <is>
          <t>حالة التقييم:</t>
        </is>
      </c>
      <c r="E5" s="58" t="inlineStr"/>
      <c r="F5" s="60" t="n"/>
      <c r="G5" s="59" t="n"/>
    </row>
    <row r="6" ht="30" customHeight="1">
      <c r="A6" s="15" t="inlineStr">
        <is>
          <t>#</t>
        </is>
      </c>
      <c r="B6" s="15" t="inlineStr">
        <is>
          <t>مؤشر الأداء</t>
        </is>
      </c>
      <c r="C6" s="15" t="inlineStr">
        <is>
          <t>الوزن %</t>
        </is>
      </c>
      <c r="D6" s="15" t="inlineStr">
        <is>
          <t>المستهدف</t>
        </is>
      </c>
      <c r="E6" s="15" t="inlineStr">
        <is>
          <t>نسبة التحقيق</t>
        </is>
      </c>
      <c r="F6" s="15" t="inlineStr">
        <is>
          <t>الدرجة المحققة</t>
        </is>
      </c>
      <c r="G6" s="15" t="inlineStr">
        <is>
          <t>ملاحظات</t>
        </is>
      </c>
    </row>
    <row r="7" ht="28" customHeight="1">
      <c r="A7" s="16" t="n">
        <v>1</v>
      </c>
      <c r="B7" s="19" t="inlineStr">
        <is>
          <t>جودة التفاوض مع العملاء</t>
        </is>
      </c>
      <c r="C7" s="45" t="n">
        <v>0.2</v>
      </c>
      <c r="D7" s="61" t="inlineStr">
        <is>
          <t>98% توافق مع المستهدفات</t>
        </is>
      </c>
      <c r="E7" s="62" t="n"/>
      <c r="F7" s="36">
        <f>C7*MIN(E7,1)</f>
        <v/>
      </c>
      <c r="G7" s="58" t="inlineStr"/>
    </row>
    <row r="8" ht="28" customHeight="1">
      <c r="A8" s="16" t="n">
        <v>2</v>
      </c>
      <c r="B8" s="19" t="inlineStr">
        <is>
          <t>اكتمال المستندات النظامية قبل التوقيع</t>
        </is>
      </c>
      <c r="C8" s="45" t="n">
        <v>0.15</v>
      </c>
      <c r="D8" s="61" t="inlineStr">
        <is>
          <t>100%</t>
        </is>
      </c>
      <c r="E8" s="62" t="n"/>
      <c r="F8" s="36">
        <f>C8*MIN(E8,1)</f>
        <v/>
      </c>
      <c r="G8" s="58" t="inlineStr"/>
    </row>
    <row r="9" ht="28" customHeight="1">
      <c r="A9" s="16" t="n">
        <v>3</v>
      </c>
      <c r="B9" s="19" t="inlineStr">
        <is>
          <t>سرعة إنجاز إجراءات العقد</t>
        </is>
      </c>
      <c r="C9" s="45" t="n">
        <v>0.3</v>
      </c>
      <c r="D9" s="61" t="inlineStr">
        <is>
          <t>خلال يومي عمل 100%</t>
        </is>
      </c>
      <c r="E9" s="62" t="n"/>
      <c r="F9" s="36">
        <f>C9*MIN(E9,1)</f>
        <v/>
      </c>
      <c r="G9" s="58" t="inlineStr"/>
    </row>
    <row r="10" ht="28" customHeight="1">
      <c r="A10" s="16" t="n">
        <v>4</v>
      </c>
      <c r="B10" s="19" t="inlineStr">
        <is>
          <t>أرشفة العقود الإلكترونية</t>
        </is>
      </c>
      <c r="C10" s="45" t="n">
        <v>0.1</v>
      </c>
      <c r="D10" s="61" t="inlineStr">
        <is>
          <t>خلال 48 ساعة 100%</t>
        </is>
      </c>
      <c r="E10" s="62" t="n"/>
      <c r="F10" s="36">
        <f>C10*MIN(E10,1)</f>
        <v/>
      </c>
      <c r="G10" s="58" t="inlineStr"/>
    </row>
    <row r="11" ht="28" customHeight="1">
      <c r="A11" s="16" t="n">
        <v>5</v>
      </c>
      <c r="B11" s="19" t="inlineStr">
        <is>
          <t>متابعة تنفيذ بنود العقد</t>
        </is>
      </c>
      <c r="C11" s="45" t="n">
        <v>0.1</v>
      </c>
      <c r="D11" s="61" t="inlineStr">
        <is>
          <t>100%</t>
        </is>
      </c>
      <c r="E11" s="62" t="n"/>
      <c r="F11" s="36">
        <f>C11*MIN(E11,1)</f>
        <v/>
      </c>
      <c r="G11" s="58" t="inlineStr"/>
    </row>
    <row r="12" ht="28" customHeight="1">
      <c r="A12" s="16" t="n">
        <v>6</v>
      </c>
      <c r="B12" s="19" t="inlineStr">
        <is>
          <t>مدى رضا العملاء</t>
        </is>
      </c>
      <c r="C12" s="45" t="n">
        <v>0.1</v>
      </c>
      <c r="D12" s="61" t="inlineStr">
        <is>
          <t>95% رضا</t>
        </is>
      </c>
      <c r="E12" s="62" t="n"/>
      <c r="F12" s="36">
        <f>C12*MIN(E12,1)</f>
        <v/>
      </c>
      <c r="G12" s="58" t="inlineStr"/>
    </row>
    <row r="13" ht="28" customHeight="1">
      <c r="A13" s="16" t="n">
        <v>7</v>
      </c>
      <c r="B13" s="19" t="inlineStr">
        <is>
          <t>تحديث قاعدة بيانات العملاء</t>
        </is>
      </c>
      <c r="C13" s="45" t="n">
        <v>0.05</v>
      </c>
      <c r="D13" s="61" t="inlineStr">
        <is>
          <t>100% دوري</t>
        </is>
      </c>
      <c r="E13" s="62" t="n"/>
      <c r="F13" s="36">
        <f>C13*MIN(E13,1)</f>
        <v/>
      </c>
      <c r="G13" s="58" t="inlineStr"/>
    </row>
    <row r="14">
      <c r="A14" s="10" t="inlineStr"/>
      <c r="B14" s="63" t="inlineStr">
        <is>
          <t>المجموع الكلي</t>
        </is>
      </c>
      <c r="C14" s="64">
        <f>SUM(C7:C13)</f>
        <v/>
      </c>
      <c r="D14" s="65" t="inlineStr"/>
      <c r="E14" s="63" t="inlineStr">
        <is>
          <t>الدرجة:</t>
        </is>
      </c>
      <c r="F14" s="66">
        <f>SUM(F7:F13)</f>
        <v/>
      </c>
      <c r="G14" s="65" t="inlineStr"/>
    </row>
    <row r="15">
      <c r="B15" s="5" t="inlineStr">
        <is>
          <t>التقدير</t>
        </is>
      </c>
      <c r="C15" s="67">
        <f>IF(F14&gt;=0.9,"ممتاز",IF(F14&gt;=0.8,"جيد جداً",IF(F14&gt;=0.7,"جيد",IF(F14&gt;=0.6,"مقبول","ضعيف"))))</f>
        <v/>
      </c>
      <c r="D15" s="29" t="n"/>
    </row>
    <row r="17">
      <c r="B17" s="5" t="inlineStr">
        <is>
          <t>سلّم التقييم</t>
        </is>
      </c>
      <c r="C17" s="28" t="n"/>
      <c r="D17" s="29" t="n"/>
    </row>
    <row r="18">
      <c r="B18" s="16" t="inlineStr">
        <is>
          <t>ممتاز</t>
        </is>
      </c>
      <c r="C18" s="55" t="inlineStr">
        <is>
          <t>90% – 100%</t>
        </is>
      </c>
      <c r="D18" s="19" t="inlineStr">
        <is>
          <t>تجاوز المستهدف</t>
        </is>
      </c>
    </row>
    <row r="19">
      <c r="B19" s="16" t="inlineStr">
        <is>
          <t>جيد جداً</t>
        </is>
      </c>
      <c r="C19" s="55" t="inlineStr">
        <is>
          <t>80% – 89%</t>
        </is>
      </c>
      <c r="D19" s="19" t="inlineStr">
        <is>
          <t>حقق المستهدف تقريباً</t>
        </is>
      </c>
    </row>
    <row r="20">
      <c r="B20" s="16" t="inlineStr">
        <is>
          <t>جيد</t>
        </is>
      </c>
      <c r="C20" s="55" t="inlineStr">
        <is>
          <t>70% – 79%</t>
        </is>
      </c>
      <c r="D20" s="19" t="inlineStr">
        <is>
          <t>حقق معظم المستهدفات</t>
        </is>
      </c>
    </row>
    <row r="21">
      <c r="B21" s="16" t="inlineStr">
        <is>
          <t>مقبول</t>
        </is>
      </c>
      <c r="C21" s="55" t="inlineStr">
        <is>
          <t>60% – 69%</t>
        </is>
      </c>
      <c r="D21" s="19" t="inlineStr">
        <is>
          <t>يحتاج تحسين</t>
        </is>
      </c>
    </row>
    <row r="22">
      <c r="B22" s="16" t="inlineStr">
        <is>
          <t>ضعيف</t>
        </is>
      </c>
      <c r="C22" s="55" t="inlineStr">
        <is>
          <t>أقل من 60%</t>
        </is>
      </c>
      <c r="D22" s="19" t="inlineStr">
        <is>
          <t>يحتاج خطة تطوير</t>
        </is>
      </c>
    </row>
  </sheetData>
  <sheetProtection selectLockedCells="1" selectUnlockedCells="1" sheet="1" objects="0" insertRows="1" insertHyperlinks="1" autoFilter="1" scenarios="0" formatColumns="1" deleteColumns="1" insertColumns="1" pivotTables="1" deleteRows="1" formatCells="0" formatRows="1" sort="1" password="EFFF"/>
  <mergeCells count="18">
    <mergeCell ref="D22"/>
    <mergeCell ref="A1:G1"/>
    <mergeCell ref="D18"/>
    <mergeCell ref="A4"/>
    <mergeCell ref="D20"/>
    <mergeCell ref="A3"/>
    <mergeCell ref="B3:C3"/>
    <mergeCell ref="B5:C5"/>
    <mergeCell ref="E5:G5"/>
    <mergeCell ref="C15:D15"/>
    <mergeCell ref="D21"/>
    <mergeCell ref="B17:D17"/>
    <mergeCell ref="D19"/>
    <mergeCell ref="A2:G2"/>
    <mergeCell ref="E4:G4"/>
    <mergeCell ref="E3:G3"/>
    <mergeCell ref="B4:C4"/>
    <mergeCell ref="A5"/>
  </mergeCells>
  <dataValidations count="1">
    <dataValidation sqref="E7 E8 E9 E10 E11 E12 E13" showDropDown="0" showInputMessage="0" showErrorMessage="0" allowBlank="1" errorTitle="نسبة التحقيق" error="أدخل نسبة بين 0% و120%" type="decimal" operator="between">
      <formula1>0</formula1>
      <formula2>1.2</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showGridLines="0" rightToLeft="1" workbookViewId="0">
      <selection activeCell="A1" sqref="A1"/>
    </sheetView>
  </sheetViews>
  <sheetFormatPr baseColWidth="8" defaultRowHeight="15"/>
  <cols>
    <col width="4" customWidth="1" min="1" max="1"/>
    <col width="40" customWidth="1" min="2" max="2"/>
    <col width="10" customWidth="1" min="3" max="3"/>
    <col width="34" customWidth="1" min="4" max="4"/>
    <col width="14" customWidth="1" min="5" max="5"/>
    <col width="14" customWidth="1" min="6" max="6"/>
    <col width="22" customWidth="1" min="7" max="7"/>
  </cols>
  <sheetData>
    <row r="1" ht="28" customHeight="1">
      <c r="A1" s="56" t="inlineStr">
        <is>
          <t>إدارة الامتياز التجاري · نموذج تقييم الأداء — الموظف الإداري</t>
        </is>
      </c>
    </row>
    <row r="2">
      <c r="A2" s="39" t="inlineStr">
        <is>
          <t>الكود: FM-05   ·   فترة القياس: ربع سنوي   ·   🟩 أدخل «نسبة التحقيق» فقط — الدرجة تُحسب تلقائياً</t>
        </is>
      </c>
    </row>
    <row r="3">
      <c r="A3" s="57" t="inlineStr">
        <is>
          <t>اسم الموظف:</t>
        </is>
      </c>
      <c r="B3" s="58" t="inlineStr"/>
      <c r="C3" s="59" t="n"/>
      <c r="D3" s="57" t="inlineStr">
        <is>
          <t>القسم: الامتياز التجاري</t>
        </is>
      </c>
      <c r="E3" s="58" t="inlineStr"/>
      <c r="F3" s="60" t="n"/>
      <c r="G3" s="59" t="n"/>
    </row>
    <row r="4">
      <c r="A4" s="57" t="inlineStr">
        <is>
          <t>المدير المباشر:</t>
        </is>
      </c>
      <c r="B4" s="58" t="inlineStr"/>
      <c r="C4" s="59" t="n"/>
      <c r="D4" s="57" t="inlineStr">
        <is>
          <t>الربع / السنة:</t>
        </is>
      </c>
      <c r="E4" s="58" t="inlineStr"/>
      <c r="F4" s="60" t="n"/>
      <c r="G4" s="59" t="n"/>
    </row>
    <row r="5">
      <c r="A5" s="57" t="inlineStr">
        <is>
          <t>تاريخ التقييم:</t>
        </is>
      </c>
      <c r="B5" s="58" t="inlineStr"/>
      <c r="C5" s="59" t="n"/>
      <c r="D5" s="57" t="inlineStr">
        <is>
          <t>حالة التقييم:</t>
        </is>
      </c>
      <c r="E5" s="58" t="inlineStr"/>
      <c r="F5" s="60" t="n"/>
      <c r="G5" s="59" t="n"/>
    </row>
    <row r="6" ht="30" customHeight="1">
      <c r="A6" s="15" t="inlineStr">
        <is>
          <t>#</t>
        </is>
      </c>
      <c r="B6" s="15" t="inlineStr">
        <is>
          <t>مؤشر الأداء</t>
        </is>
      </c>
      <c r="C6" s="15" t="inlineStr">
        <is>
          <t>الوزن %</t>
        </is>
      </c>
      <c r="D6" s="15" t="inlineStr">
        <is>
          <t>المستهدف</t>
        </is>
      </c>
      <c r="E6" s="15" t="inlineStr">
        <is>
          <t>نسبة التحقيق</t>
        </is>
      </c>
      <c r="F6" s="15" t="inlineStr">
        <is>
          <t>الدرجة المحققة</t>
        </is>
      </c>
      <c r="G6" s="15" t="inlineStr">
        <is>
          <t>ملاحظات</t>
        </is>
      </c>
    </row>
    <row r="7" ht="28" customHeight="1">
      <c r="A7" s="16" t="n">
        <v>1</v>
      </c>
      <c r="B7" s="19" t="inlineStr">
        <is>
          <t>دقة وسرعة إعداد التقارير الدورية</t>
        </is>
      </c>
      <c r="C7" s="45" t="n">
        <v>0.3</v>
      </c>
      <c r="D7" s="61" t="inlineStr">
        <is>
          <t>100% في الوقت المحدد</t>
        </is>
      </c>
      <c r="E7" s="62" t="n"/>
      <c r="F7" s="36">
        <f>C7*MIN(E7,1)</f>
        <v/>
      </c>
      <c r="G7" s="58" t="inlineStr"/>
    </row>
    <row r="8" ht="28" customHeight="1">
      <c r="A8" s="16" t="n">
        <v>2</v>
      </c>
      <c r="B8" s="19" t="inlineStr">
        <is>
          <t>متابعة الشكاوى وحالات العملاء</t>
        </is>
      </c>
      <c r="C8" s="45" t="n">
        <v>0.3</v>
      </c>
      <c r="D8" s="61" t="inlineStr">
        <is>
          <t>100% حتى الإغلاق</t>
        </is>
      </c>
      <c r="E8" s="62" t="n"/>
      <c r="F8" s="36">
        <f>C8*MIN(E8,1)</f>
        <v/>
      </c>
      <c r="G8" s="58" t="inlineStr"/>
    </row>
    <row r="9" ht="28" customHeight="1">
      <c r="A9" s="16" t="n">
        <v>3</v>
      </c>
      <c r="B9" s="19" t="inlineStr">
        <is>
          <t>متابعة عمولات تأجير الوحدات</t>
        </is>
      </c>
      <c r="C9" s="45" t="n">
        <v>0.2</v>
      </c>
      <c r="D9" s="61" t="inlineStr">
        <is>
          <t>100%</t>
        </is>
      </c>
      <c r="E9" s="62" t="n"/>
      <c r="F9" s="36">
        <f>C9*MIN(E9,1)</f>
        <v/>
      </c>
      <c r="G9" s="58" t="inlineStr"/>
    </row>
    <row r="10" ht="28" customHeight="1">
      <c r="A10" s="16" t="n">
        <v>4</v>
      </c>
      <c r="B10" s="19" t="inlineStr">
        <is>
          <t>تحديث بيانات العملاء والمحطات</t>
        </is>
      </c>
      <c r="C10" s="45" t="n">
        <v>0.1</v>
      </c>
      <c r="D10" s="61" t="inlineStr">
        <is>
          <t>100% دقة</t>
        </is>
      </c>
      <c r="E10" s="62" t="n"/>
      <c r="F10" s="36">
        <f>C10*MIN(E10,1)</f>
        <v/>
      </c>
      <c r="G10" s="58" t="inlineStr"/>
    </row>
    <row r="11" ht="28" customHeight="1">
      <c r="A11" s="16" t="n">
        <v>5</v>
      </c>
      <c r="B11" s="19" t="inlineStr">
        <is>
          <t>إعداد المراسلات الرسمية</t>
        </is>
      </c>
      <c r="C11" s="45" t="n">
        <v>0.1</v>
      </c>
      <c r="D11" s="61" t="inlineStr">
        <is>
          <t>100% في الوقت المحدد</t>
        </is>
      </c>
      <c r="E11" s="62" t="n"/>
      <c r="F11" s="36">
        <f>C11*MIN(E11,1)</f>
        <v/>
      </c>
      <c r="G11" s="58" t="inlineStr"/>
    </row>
    <row r="12">
      <c r="A12" s="10" t="inlineStr"/>
      <c r="B12" s="63" t="inlineStr">
        <is>
          <t>المجموع الكلي</t>
        </is>
      </c>
      <c r="C12" s="64">
        <f>SUM(C7:C11)</f>
        <v/>
      </c>
      <c r="D12" s="65" t="inlineStr"/>
      <c r="E12" s="63" t="inlineStr">
        <is>
          <t>الدرجة:</t>
        </is>
      </c>
      <c r="F12" s="66">
        <f>SUM(F7:F11)</f>
        <v/>
      </c>
      <c r="G12" s="65" t="inlineStr"/>
    </row>
    <row r="13">
      <c r="B13" s="5" t="inlineStr">
        <is>
          <t>التقدير</t>
        </is>
      </c>
      <c r="C13" s="67">
        <f>IF(F12&gt;=0.9,"ممتاز",IF(F12&gt;=0.8,"جيد جداً",IF(F12&gt;=0.7,"جيد",IF(F12&gt;=0.6,"مقبول","ضعيف"))))</f>
        <v/>
      </c>
      <c r="D13" s="29" t="n"/>
    </row>
    <row r="15">
      <c r="B15" s="5" t="inlineStr">
        <is>
          <t>سلّم التقييم</t>
        </is>
      </c>
      <c r="C15" s="28" t="n"/>
      <c r="D15" s="29" t="n"/>
    </row>
    <row r="16">
      <c r="B16" s="16" t="inlineStr">
        <is>
          <t>ممتاز</t>
        </is>
      </c>
      <c r="C16" s="55" t="inlineStr">
        <is>
          <t>90% – 100%</t>
        </is>
      </c>
      <c r="D16" s="19" t="inlineStr">
        <is>
          <t>تجاوز المستهدف</t>
        </is>
      </c>
    </row>
    <row r="17">
      <c r="B17" s="16" t="inlineStr">
        <is>
          <t>جيد جداً</t>
        </is>
      </c>
      <c r="C17" s="55" t="inlineStr">
        <is>
          <t>80% – 89%</t>
        </is>
      </c>
      <c r="D17" s="19" t="inlineStr">
        <is>
          <t>حقق المستهدف تقريباً</t>
        </is>
      </c>
    </row>
    <row r="18">
      <c r="B18" s="16" t="inlineStr">
        <is>
          <t>جيد</t>
        </is>
      </c>
      <c r="C18" s="55" t="inlineStr">
        <is>
          <t>70% – 79%</t>
        </is>
      </c>
      <c r="D18" s="19" t="inlineStr">
        <is>
          <t>حقق معظم المستهدفات</t>
        </is>
      </c>
    </row>
    <row r="19">
      <c r="B19" s="16" t="inlineStr">
        <is>
          <t>مقبول</t>
        </is>
      </c>
      <c r="C19" s="55" t="inlineStr">
        <is>
          <t>60% – 69%</t>
        </is>
      </c>
      <c r="D19" s="19" t="inlineStr">
        <is>
          <t>يحتاج تحسين</t>
        </is>
      </c>
    </row>
    <row r="20">
      <c r="B20" s="16" t="inlineStr">
        <is>
          <t>ضعيف</t>
        </is>
      </c>
      <c r="C20" s="55" t="inlineStr">
        <is>
          <t>أقل من 60%</t>
        </is>
      </c>
      <c r="D20" s="19" t="inlineStr">
        <is>
          <t>يحتاج خطة تطوير</t>
        </is>
      </c>
    </row>
  </sheetData>
  <sheetProtection selectLockedCells="1" selectUnlockedCells="1" sheet="1" objects="0" insertRows="1" insertHyperlinks="1" autoFilter="1" scenarios="0" formatColumns="1" deleteColumns="1" insertColumns="1" pivotTables="1" deleteRows="1" formatCells="0" formatRows="1" sort="1" password="EFFF"/>
  <mergeCells count="18">
    <mergeCell ref="A1:G1"/>
    <mergeCell ref="D18"/>
    <mergeCell ref="A4"/>
    <mergeCell ref="D17"/>
    <mergeCell ref="A3"/>
    <mergeCell ref="B3:C3"/>
    <mergeCell ref="B5:C5"/>
    <mergeCell ref="E5:G5"/>
    <mergeCell ref="D20"/>
    <mergeCell ref="D16"/>
    <mergeCell ref="D19"/>
    <mergeCell ref="A2:G2"/>
    <mergeCell ref="E4:G4"/>
    <mergeCell ref="C13:D13"/>
    <mergeCell ref="E3:G3"/>
    <mergeCell ref="B15:D15"/>
    <mergeCell ref="B4:C4"/>
    <mergeCell ref="A5"/>
  </mergeCells>
  <dataValidations count="1">
    <dataValidation sqref="E7 E8 E9 E10 E11" showDropDown="0" showInputMessage="0" showErrorMessage="0" allowBlank="1" errorTitle="نسبة التحقيق" error="أدخل نسبة بين 0% و120%" type="decimal" operator="between">
      <formula1>0</formula1>
      <formula2>1.2</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2026-06-10T04:53:25Z</dcterms:created>
  <dcterms:modified xsi:type="dcterms:W3CDTF">2026-06-10T04:53:25Z</dcterms:modified>
</cp:coreProperties>
</file>