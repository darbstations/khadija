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خريطة الاستراتيجية" sheetId="4" state="visible" r:id="rId4"/>
    <sheet name="الخارطة التنفيذية" sheetId="5" state="visible" r:id="rId5"/>
    <sheet name="لوحة الإدارة التنفيذية" sheetId="6" state="visible" r:id="rId6"/>
    <sheet name="سجل المبادرات" sheetId="7" state="visible" r:id="rId7"/>
    <sheet name="الحوكمة" sheetId="8" state="visible" r:id="rId8"/>
    <sheet name="فحص السلامة" sheetId="9" state="visible" r:id="rId9"/>
    <sheet name="الإدارة التنفيذية · المؤشرات" sheetId="10" state="visible" r:id="rId10"/>
    <sheet name="الامتياز · المؤشرات" sheetId="11" state="visible" r:id="rId11"/>
    <sheet name="الامتياز · الموظفون" sheetId="12" state="visible" r:id="rId12"/>
    <sheet name="الامتياز · مدير الإدارة" sheetId="13" state="visible" r:id="rId13"/>
    <sheet name="الامتياز · مسؤول الامتياز" sheetId="14" state="visible" r:id="rId14"/>
    <sheet name="الامتياز · المراقب الميداني" sheetId="15" state="visible" r:id="rId15"/>
    <sheet name="الامتياز · مسؤول التعاقدات" sheetId="16" state="visible" r:id="rId16"/>
    <sheet name="الامتياز · الموظف الإداري" sheetId="17" state="visible" r:id="rId17"/>
    <sheet name="التشغيل · المؤشرات" sheetId="18" state="visible" r:id="rId18"/>
    <sheet name="التشغيل · مدير المحطة" sheetId="19" state="visible" r:id="rId19"/>
    <sheet name="التشغيل · مشرف ميداني" sheetId="20" state="visible" r:id="rId20"/>
    <sheet name="التشغيل · عامل التعبئة" sheetId="21" state="visible" r:id="rId21"/>
    <sheet name="الاستثمار · المؤشرات" sheetId="22" state="visible" r:id="rId22"/>
    <sheet name="الاستثمار · مدير الإدارة" sheetId="23" state="visible" r:id="rId23"/>
    <sheet name="العقار · المؤشرات" sheetId="24" state="visible" r:id="rId24"/>
    <sheet name="العقار · مدير الإدارة" sheetId="25" state="visible" r:id="rId25"/>
    <sheet name="التقنية الرقمية · المؤشرات" sheetId="26" state="visible" r:id="rId26"/>
    <sheet name="التقنية · مدير الإدارة" sheetId="27" state="visible" r:id="rId27"/>
    <sheet name="الموارد البشرية · المؤشرات" sheetId="28" state="visible" r:id="rId28"/>
    <sheet name="الموارد البشرية · مدير الإدارة" sheetId="29" state="visible" r:id="rId29"/>
    <sheet name="قاموس المؤشرات" sheetId="30" state="visible" r:id="rId30"/>
    <sheet name="سجل المخاطر" sheetId="31" state="visible" r:id="rId31"/>
    <sheet name="سجل الإجراءات" sheetId="32" state="visible" r:id="rId32"/>
    <sheet name="قاعدة المؤشرات" sheetId="33" state="visible" r:id="rId33"/>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5">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000000"/>
      <sz val="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4"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7" borderId="1" applyAlignment="1" pivotButton="0" quotePrefix="0" xfId="0">
      <alignment horizontal="right"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0" fontId="33"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charts/chart1.xml><?xml version="1.0" encoding="utf-8"?>
<chartSpace xmlns:a="http://schemas.openxmlformats.org/drawingml/2006/main" xmlns="http://schemas.openxmlformats.org/drawingml/2006/chart">
  <chart>
    <title>
      <tx>
        <rich>
          <a:bodyPr/>
          <a:p>
            <a:pPr>
              <a:defRPr/>
            </a:pPr>
            <a:r>
              <a:t>الأداء حسب الركائز</a:t>
            </a:r>
          </a:p>
        </rich>
      </tx>
    </title>
    <plotArea>
      <barChart>
        <barDir val="col"/>
        <grouping val="clustered"/>
        <ser>
          <idx val="0"/>
          <order val="0"/>
          <spPr>
            <a:solidFill>
              <a:srgbClr val="F47A21"/>
            </a:solidFill>
            <a:l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الأداء حسب الإدارة</a:t>
            </a:r>
          </a:p>
        </rich>
      </tx>
    </title>
    <plotArea>
      <barChart>
        <barDir val="bar"/>
        <grouping val="clustered"/>
        <ser>
          <idx val="0"/>
          <order val="0"/>
          <spPr>
            <a:solidFill>
              <a:srgbClr val="808285"/>
            </a:solidFill>
            <a:ln>
              <a:prstDash val="solid"/>
            </a:ln>
          </spPr>
          <cat>
            <numRef>
              <f>'لوحة الإدارة التنفيذية'!$B$11:$B$17</f>
            </numRef>
          </cat>
          <val>
            <numRef>
              <f>'لوحة الإدارة التنفيذية'!$C$11:$C$17</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image" Target="/xl/media/image4.png" Id="rId3"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381250" cy="6191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17</row>
      <rowOff>0</rowOff>
    </from>
    <ext cx="3960000" cy="270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0</row>
      <rowOff>0</rowOff>
    </from>
    <ext cx="2000250" cy="51435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المؤشرات'!$F$4:$F$121,'قاعدة المؤشرات'!$H$4:$H$121,"مالي"),"—")</f>
        <v/>
      </c>
      <c r="D5" s="26">
        <f>COUNTIF('قاعدة المؤشرات'!$H$4:$H$121,"مالي")</f>
        <v/>
      </c>
      <c r="E5" s="22" t="inlineStr">
        <is>
          <t>الإيرادات · التحصيل · الهامش · العائد على الاستثمار</t>
        </is>
      </c>
    </row>
    <row r="6" ht="34" customHeight="1">
      <c r="B6" s="20" t="inlineStr">
        <is>
          <t>العملاء</t>
        </is>
      </c>
      <c r="C6" s="25">
        <f>IFERROR(AVERAGEIFS('قاعدة المؤشرات'!$F$4:$F$121,'قاعدة المؤشرات'!$H$4:$H$121,"العملاء"),"—")</f>
        <v/>
      </c>
      <c r="D6" s="26">
        <f>COUNTIF('قاعدة المؤشرات'!$H$4:$H$121,"العملاء")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المؤشرات'!$F$4:$F$121,'قاعدة المؤشرات'!$H$4:$H$121,"العمليات الداخلية"),"—")</f>
        <v/>
      </c>
      <c r="D7" s="26">
        <f>COUNTIF('قاعدة المؤشرات'!$H$4:$H$121,"العمليات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المؤشرات'!$F$4:$F$121,'قاعدة المؤشرات'!$H$4:$H$121,"التعلّم والنمو"),"—")</f>
        <v/>
      </c>
      <c r="D8" s="26">
        <f>COUNTIF('قاعدة المؤشرات'!$H$4:$H$121,"التعلّم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المؤشرات'!$E$4:$E$121,"التوسع في المواقع")=0,"—",IFERROR(AVERAGEIFS('قاعدة المؤشرات'!$F$4:$F$121,'قاعدة المؤشرات'!$E$4:$E$121,"التوسع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المؤشرات'!$E$4:$E$121,"الامتياز التجاري")=0,"—",IFERROR(AVERAGEIFS('قاعدة المؤشرات'!$F$4:$F$121,'قاعدة المؤشرات'!$E$4:$E$121,"الامتياز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المؤشرات'!$E$4:$E$121,"زيادة وصول العملاء")=0,"—",IFERROR(AVERAGEIFS('قاعدة المؤشرات'!$F$4:$F$121,'قاعدة المؤشرات'!$E$4:$E$121,"زيادة وصول العملاء"),"—"))</f>
        <v/>
      </c>
    </row>
    <row r="7" ht="30" customHeight="1">
      <c r="A7" s="17" t="n">
        <v>4</v>
      </c>
      <c r="B7" s="15" t="inlineStr">
        <is>
          <t>الابتكار</t>
        </is>
      </c>
      <c r="C7" s="31" t="inlineStr">
        <is>
          <t>إطلاق مشاريع جديدة</t>
        </is>
      </c>
      <c r="D7" s="22" t="inlineStr">
        <is>
          <t>العقار (جزئي) — مقترح: إدارة تطوير</t>
        </is>
      </c>
      <c r="E7" s="22" t="inlineStr">
        <is>
          <t>الشراكات الاستراتيجية (5) فقط</t>
        </is>
      </c>
      <c r="F7" s="34" t="inlineStr">
        <is>
          <t>🟡 جزئي</t>
        </is>
      </c>
      <c r="G7" s="33">
        <f>IF(COUNTIFS('قاعدة المؤشرات'!$E$4:$E$121,"إطلاق مشاريع جديدة")=0,"—",IFERROR(AVERAGEIFS('قاعدة المؤشرات'!$F$4:$F$121,'قاعدة المؤشرات'!$E$4:$E$121,"إطلاق مشاريع جديدة"),"—"))</f>
        <v/>
      </c>
    </row>
    <row r="8" ht="30" customHeight="1">
      <c r="A8" s="17" t="n">
        <v>5</v>
      </c>
      <c r="C8" s="31" t="inlineStr">
        <is>
          <t>تطوير التصاميم والهوية</t>
        </is>
      </c>
      <c r="D8" s="35" t="inlineStr">
        <is>
          <t>غير محددة — مقترح: التسويق والعلامة</t>
        </is>
      </c>
      <c r="E8" s="22" t="inlineStr">
        <is>
          <t>نسبة التزام المحطات بالهوية (55%) فقط</t>
        </is>
      </c>
      <c r="F8" s="34" t="inlineStr">
        <is>
          <t>🟡 جزئي</t>
        </is>
      </c>
      <c r="G8" s="33">
        <f>IF(COUNTIFS('قاعدة المؤشرات'!$E$4:$E$121,"تطوير التصاميم والهوية")=0,"—",IFERROR(AVERAGEIFS('قاعدة المؤشرات'!$F$4:$F$121,'قاعدة المؤشرات'!$E$4:$E$121,"تطوير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المؤشرات'!$E$4:$E$121,"التحول التقني")=0,"—",IFERROR(AVERAGEIFS('قاعدة المؤشرات'!$F$4:$F$121,'قاعدة المؤشرات'!$E$4:$E$121,"التحول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المؤشرات'!$E$4:$E$121,"ساحات درب")=0,"—",IFERROR(AVERAGEIFS('قاعدة المؤشرات'!$F$4:$F$121,'قاعدة المؤشرات'!$E$4:$E$121,"ساحات درب"),"—"))</f>
        <v/>
      </c>
    </row>
    <row r="11" ht="30" customHeight="1">
      <c r="A11" s="17" t="n">
        <v>8</v>
      </c>
      <c r="C11" s="31" t="inlineStr">
        <is>
          <t>تطبيق «تانكي»</t>
        </is>
      </c>
      <c r="D11" s="22" t="inlineStr">
        <is>
          <t>التقنية الرقمية</t>
        </is>
      </c>
      <c r="E11" s="22" t="inlineStr">
        <is>
          <t>MAU · التنزيلات · المعاملات الرقمية · الرضا</t>
        </is>
      </c>
      <c r="F11" s="32" t="inlineStr">
        <is>
          <t>✅ مرتبط</t>
        </is>
      </c>
      <c r="G11" s="33">
        <f>IF(COUNTIFS('قاعدة المؤشرات'!$E$4:$E$121,"تطبيق «تانكي»")=0,"—",IFERROR(AVERAGEIFS('قاعدة المؤشرات'!$F$4:$F$121,'قاعدة المؤشرات'!$E$4:$E$121,"تطبيق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المؤشرات'!$E$4:$E$121,"تعزيز تجربة العملاء")=0,"—",IFERROR(AVERAGEIFS('قاعدة المؤشرات'!$F$4:$F$121,'قاعدة المؤشرات'!$E$4:$E$121,"تعزيز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المؤشرات'!$E$4:$E$121,"جودة التشغيل")=0,"—",IFERROR(AVERAGEIFS('قاعدة المؤشرات'!$F$4:$F$121,'قاعدة المؤشرات'!$E$4:$E$121,"جودة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المؤشرات'!$E$4:$E$121,"منظومة التأجير")=0,"—",IFERROR(AVERAGEIFS('قاعدة المؤشرات'!$F$4:$F$121,'قاعدة المؤشرات'!$E$4:$E$121,"منظومة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المؤشرات'!$E$4:$E$121,"الاستثمار في الموظفين")=0,"—",IFERROR(AVERAGEIFS('قاعدة المؤشرات'!$F$4:$F$121,'قاعدة المؤشرات'!$E$4:$E$121,"الاستثمار في الموظفين"),"—"))</f>
        <v/>
      </c>
    </row>
    <row r="17">
      <c r="B17" s="36"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7"/>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7" t="inlineStr">
        <is>
          <t>اضبط الشهر لتفعيل التنبؤ والانحراف ↙</t>
        </is>
      </c>
    </row>
    <row r="2" ht="38" customHeight="1">
      <c r="B2" s="38" t="inlineStr">
        <is>
          <t>درب · لوحة الإدارة التنفيذية 2026 — المحطات والعقار</t>
        </is>
      </c>
      <c r="O2" s="39" t="inlineStr">
        <is>
          <t>🗓️ الأشهر المكتملة (شهر التقرير):</t>
        </is>
      </c>
      <c r="P2" s="40" t="n"/>
    </row>
    <row r="4" ht="22" customHeight="1">
      <c r="B4" s="5" t="inlineStr">
        <is>
          <t>مؤشر الإنجاز العام للشركة</t>
        </is>
      </c>
      <c r="D4" s="32" t="inlineStr">
        <is>
          <t>✅ محقق</t>
        </is>
      </c>
      <c r="E4" s="34" t="inlineStr">
        <is>
          <t>🟡 قريب</t>
        </is>
      </c>
      <c r="F4" s="41" t="inlineStr">
        <is>
          <t>🔴 تحت الهدف</t>
        </is>
      </c>
      <c r="H4" s="42" t="inlineStr">
        <is>
          <t>الأداء حسب الركائز (5 سنوات)</t>
        </is>
      </c>
      <c r="I4" s="43" t="n"/>
      <c r="J4" s="44" t="n"/>
    </row>
    <row r="5" ht="30" customHeight="1">
      <c r="B5" s="45">
        <f>IFERROR(AVERAGE('قاعدة المؤشرات'!$F$4:$F$121),0)</f>
        <v/>
      </c>
      <c r="D5" s="46">
        <f>COUNTIF('قاعدة المؤشرات'!$G$4:$G$121,"✅ محقق")</f>
        <v/>
      </c>
      <c r="E5" s="46">
        <f>COUNTIF('قاعدة المؤشرات'!$G$4:$G$121,"🟡 قريب")</f>
        <v/>
      </c>
      <c r="F5" s="46">
        <f>COUNTIF('قاعدة المؤشرات'!$G$4:$G$121,"🔴 تحت الهدف")</f>
        <v/>
      </c>
      <c r="H5" s="47" t="inlineStr">
        <is>
          <t>الركيزة</t>
        </is>
      </c>
      <c r="I5" s="47" t="inlineStr">
        <is>
          <t>الإنجاز</t>
        </is>
      </c>
      <c r="J5" s="47" t="inlineStr">
        <is>
          <t>الحالة</t>
        </is>
      </c>
    </row>
    <row r="6">
      <c r="D6" s="48" t="n"/>
      <c r="E6" s="48" t="n"/>
      <c r="F6" s="48" t="n"/>
      <c r="H6" s="49" t="inlineStr">
        <is>
          <t>النمو</t>
        </is>
      </c>
      <c r="I6" s="33">
        <f>IFERROR(AVERAGEIFS('قاعدة المؤشرات'!$F$4:$F$121,'قاعدة المؤشرات'!$D$4:$D$121,"النمو"),"—")</f>
        <v/>
      </c>
      <c r="J6" s="50">
        <f>IF(ISNUMBER(I6),IF(I6&gt;=1,"✅",IF(I6&gt;=0.85,"🟡","🔴")),"—")</f>
        <v/>
      </c>
    </row>
    <row r="7">
      <c r="H7" s="49" t="inlineStr">
        <is>
          <t>الابتكار</t>
        </is>
      </c>
      <c r="I7" s="33">
        <f>IFERROR(AVERAGEIFS('قاعدة المؤشرات'!$F$4:$F$121,'قاعدة المؤشرات'!$D$4:$D$121,"الابتكار"),"—")</f>
        <v/>
      </c>
      <c r="J7" s="50">
        <f>IF(ISNUMBER(I7),IF(I7&gt;=1,"✅",IF(I7&gt;=0.85,"🟡","🔴")),"—")</f>
        <v/>
      </c>
    </row>
    <row r="8">
      <c r="H8" s="49" t="inlineStr">
        <is>
          <t>الاستدامة</t>
        </is>
      </c>
      <c r="I8" s="33">
        <f>IFERROR(AVERAGEIFS('قاعدة المؤشرات'!$F$4:$F$121,'قاعدة المؤشرات'!$D$4:$D$121,"الاستدامة"),"—")</f>
        <v/>
      </c>
      <c r="J8" s="50">
        <f>IF(ISNUMBER(I8),IF(I8&gt;=1,"✅",IF(I8&gt;=0.85,"🟡","🔴")),"—")</f>
        <v/>
      </c>
    </row>
    <row r="9">
      <c r="B9" s="15" t="inlineStr">
        <is>
          <t>الأداء حسب الإدارة (تغذّي نفس اللوحة)</t>
        </is>
      </c>
      <c r="C9" s="43" t="n"/>
      <c r="D9" s="44" t="n"/>
    </row>
    <row r="10">
      <c r="B10" s="47" t="inlineStr">
        <is>
          <t>الإدارة</t>
        </is>
      </c>
      <c r="C10" s="47" t="inlineStr">
        <is>
          <t>الإنجاز</t>
        </is>
      </c>
      <c r="D10" s="47" t="inlineStr">
        <is>
          <t>الحالة</t>
        </is>
      </c>
    </row>
    <row r="11">
      <c r="B11" s="22" t="inlineStr">
        <is>
          <t>الإدارة التنفيذية</t>
        </is>
      </c>
      <c r="C11" s="23">
        <f>IFERROR(AVERAGEIFS('قاعدة المؤشرات'!$F$4:$F$121,'قاعدة المؤشرات'!$B$4:$B$121,"الإدارة التنفيذية"),"—")</f>
        <v/>
      </c>
      <c r="D11" s="17">
        <f>IF(ISNUMBER(C11),IF(C11&gt;=1,"✅ محقق",IF(C11&gt;=0.85,"🟡 قريب","🔴 تحت الهدف")),"—")</f>
        <v/>
      </c>
    </row>
    <row r="12">
      <c r="B12" s="22" t="inlineStr">
        <is>
          <t>الامتياز التجاري</t>
        </is>
      </c>
      <c r="C12" s="23">
        <f>IFERROR(AVERAGEIFS('قاعدة المؤشرات'!$F$4:$F$121,'قاعدة المؤشرات'!$B$4:$B$121,"الامتياز التجاري"),"—")</f>
        <v/>
      </c>
      <c r="D12" s="17">
        <f>IF(ISNUMBER(C12),IF(C12&gt;=1,"✅ محقق",IF(C12&gt;=0.85,"🟡 قريب","🔴 تحت الهدف")),"—")</f>
        <v/>
      </c>
    </row>
    <row r="13">
      <c r="B13" s="22" t="inlineStr">
        <is>
          <t>التشغيل والمحطات</t>
        </is>
      </c>
      <c r="C13" s="23">
        <f>IFERROR(AVERAGEIFS('قاعدة المؤشرات'!$F$4:$F$121,'قاعدة المؤشرات'!$B$4:$B$121,"التشغيل والمحطات"),"—")</f>
        <v/>
      </c>
      <c r="D13" s="17">
        <f>IF(ISNUMBER(C13),IF(C13&gt;=1,"✅ محقق",IF(C13&gt;=0.85,"🟡 قريب","🔴 تحت الهدف")),"—")</f>
        <v/>
      </c>
    </row>
    <row r="14">
      <c r="B14" s="22" t="inlineStr">
        <is>
          <t>الاستثمار</t>
        </is>
      </c>
      <c r="C14" s="23">
        <f>IFERROR(AVERAGEIFS('قاعدة المؤشرات'!$F$4:$F$121,'قاعدة المؤشرات'!$B$4:$B$121,"الاستثمار"),"—")</f>
        <v/>
      </c>
      <c r="D14" s="17">
        <f>IF(ISNUMBER(C14),IF(C14&gt;=1,"✅ محقق",IF(C14&gt;=0.85,"🟡 قريب","🔴 تحت الهدف")),"—")</f>
        <v/>
      </c>
    </row>
    <row r="15">
      <c r="B15" s="22" t="inlineStr">
        <is>
          <t>العقار</t>
        </is>
      </c>
      <c r="C15" s="23">
        <f>IFERROR(AVERAGEIFS('قاعدة المؤشرات'!$F$4:$F$121,'قاعدة المؤشرات'!$B$4:$B$121,"العقار"),"—")</f>
        <v/>
      </c>
      <c r="D15" s="17">
        <f>IF(ISNUMBER(C15),IF(C15&gt;=1,"✅ محقق",IF(C15&gt;=0.85,"🟡 قريب","🔴 تحت الهدف")),"—")</f>
        <v/>
      </c>
    </row>
    <row r="16">
      <c r="B16" s="22" t="inlineStr">
        <is>
          <t>التقنية الرقمية</t>
        </is>
      </c>
      <c r="C16" s="23">
        <f>IFERROR(AVERAGEIFS('قاعدة المؤشرات'!$F$4:$F$121,'قاعدة المؤشرات'!$B$4:$B$121,"التقنية الرقمية"),"—")</f>
        <v/>
      </c>
      <c r="D16" s="17">
        <f>IF(ISNUMBER(C16),IF(C16&gt;=1,"✅ محقق",IF(C16&gt;=0.85,"🟡 قريب","🔴 تحت الهدف")),"—")</f>
        <v/>
      </c>
    </row>
    <row r="17">
      <c r="B17" s="22" t="inlineStr">
        <is>
          <t>الموارد البشرية</t>
        </is>
      </c>
      <c r="C17" s="23">
        <f>IFERROR(AVERAGEIFS('قاعدة المؤشرات'!$F$4:$F$121,'قاعدة المؤشرات'!$B$4:$B$121,"الموارد البشرية"),"—")</f>
        <v/>
      </c>
      <c r="D17" s="17">
        <f>IF(ISNUMBER(C17),IF(C17&gt;=1,"✅ محقق",IF(C17&gt;=0.85,"🟡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1"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2" t="inlineStr">
        <is>
          <t>إطلاق تطبيق «تانكي»</t>
        </is>
      </c>
      <c r="C4" s="40" t="inlineStr">
        <is>
          <t>الابتكار</t>
        </is>
      </c>
      <c r="D4" s="52" t="inlineStr">
        <is>
          <t>تطبيق «تانكي»</t>
        </is>
      </c>
      <c r="E4" s="52" t="inlineStr">
        <is>
          <t>عدد المستخدمين النشطين (MAU)</t>
        </is>
      </c>
      <c r="F4" s="40" t="inlineStr">
        <is>
          <t>التقنية الرقمية</t>
        </is>
      </c>
      <c r="G4" s="40" t="n"/>
      <c r="H4" s="40" t="n"/>
      <c r="I4" s="53" t="n"/>
      <c r="J4" s="54" t="n"/>
      <c r="K4" s="17">
        <f>IF($J4="","—",IF($J4&gt;=1,"✅ مكتملة",IF($J4&gt;0,"🟠 جارية","⚪ لم تبدأ")))</f>
        <v/>
      </c>
      <c r="L4" s="52" t="n"/>
    </row>
    <row r="5" ht="26" customHeight="1">
      <c r="A5" s="17" t="n">
        <v>2</v>
      </c>
      <c r="B5" s="52" t="inlineStr">
        <is>
          <t>برنامج التحول الرقمي وأتمتة العمليات</t>
        </is>
      </c>
      <c r="C5" s="40" t="inlineStr">
        <is>
          <t>الابتكار</t>
        </is>
      </c>
      <c r="D5" s="52" t="inlineStr">
        <is>
          <t>التحول التقني</t>
        </is>
      </c>
      <c r="E5" s="52" t="inlineStr">
        <is>
          <t>نسبة الأتمتة على مستوى الشركة</t>
        </is>
      </c>
      <c r="F5" s="40" t="inlineStr">
        <is>
          <t>التقنية الرقمية</t>
        </is>
      </c>
      <c r="G5" s="40" t="n"/>
      <c r="H5" s="40" t="n"/>
      <c r="I5" s="53" t="n"/>
      <c r="J5" s="54" t="n"/>
      <c r="K5" s="17">
        <f>IF($J5="","—",IF($J5&gt;=1,"✅ مكتملة",IF($J5&gt;0,"🟠 جارية","⚪ لم تبدأ")))</f>
        <v/>
      </c>
      <c r="L5" s="52" t="n"/>
    </row>
    <row r="6" ht="26" customHeight="1">
      <c r="A6" s="17" t="n">
        <v>3</v>
      </c>
      <c r="B6" s="52" t="inlineStr">
        <is>
          <t>برنامج تطوير واستبقاء الموظفين</t>
        </is>
      </c>
      <c r="C6" s="40" t="inlineStr">
        <is>
          <t>الاستدامة</t>
        </is>
      </c>
      <c r="D6" s="52" t="inlineStr">
        <is>
          <t>الاستثمار في الموظفين</t>
        </is>
      </c>
      <c r="E6" s="52" t="inlineStr">
        <is>
          <t>الاستبقاء + eNPS</t>
        </is>
      </c>
      <c r="F6" s="40" t="inlineStr">
        <is>
          <t>الموارد البشرية</t>
        </is>
      </c>
      <c r="G6" s="40" t="n"/>
      <c r="H6" s="40" t="n"/>
      <c r="I6" s="53" t="n"/>
      <c r="J6" s="54" t="n"/>
      <c r="K6" s="17">
        <f>IF($J6="","—",IF($J6&gt;=1,"✅ مكتملة",IF($J6&gt;0,"🟠 جارية","⚪ لم تبدأ")))</f>
        <v/>
      </c>
      <c r="L6" s="52" t="n"/>
    </row>
    <row r="7" ht="26" customHeight="1">
      <c r="A7" s="17" t="n">
        <v>4</v>
      </c>
      <c r="B7" s="52" t="inlineStr">
        <is>
          <t>خطة افتتاح 30 محطة جديدة</t>
        </is>
      </c>
      <c r="C7" s="40" t="inlineStr">
        <is>
          <t>النمو</t>
        </is>
      </c>
      <c r="D7" s="52" t="inlineStr">
        <is>
          <t>التوسع في المواقع</t>
        </is>
      </c>
      <c r="E7" s="52" t="inlineStr">
        <is>
          <t>عدد المحطات المشغّلة</t>
        </is>
      </c>
      <c r="F7" s="40" t="inlineStr">
        <is>
          <t>التشغيل والمحطات</t>
        </is>
      </c>
      <c r="G7" s="40" t="n"/>
      <c r="H7" s="40" t="n"/>
      <c r="I7" s="53" t="n"/>
      <c r="J7" s="54" t="n"/>
      <c r="K7" s="17">
        <f>IF($J7="","—",IF($J7&gt;=1,"✅ مكتملة",IF($J7&gt;0,"🟠 جارية","⚪ لم تبدأ")))</f>
        <v/>
      </c>
      <c r="L7" s="52" t="n"/>
    </row>
    <row r="8" ht="26" customHeight="1">
      <c r="A8" s="17" t="n">
        <v>5</v>
      </c>
      <c r="B8" s="52" t="inlineStr">
        <is>
          <t>حملة استقطاب 167 عقد امتياز</t>
        </is>
      </c>
      <c r="C8" s="40" t="inlineStr">
        <is>
          <t>النمو</t>
        </is>
      </c>
      <c r="D8" s="52" t="inlineStr">
        <is>
          <t>الامتياز التجاري</t>
        </is>
      </c>
      <c r="E8" s="52" t="inlineStr">
        <is>
          <t>عقود الامتياز الجديدة</t>
        </is>
      </c>
      <c r="F8" s="40" t="inlineStr">
        <is>
          <t>الامتياز التجاري</t>
        </is>
      </c>
      <c r="G8" s="40" t="n"/>
      <c r="H8" s="40" t="n"/>
      <c r="I8" s="53" t="n"/>
      <c r="J8" s="54" t="n"/>
      <c r="K8" s="17">
        <f>IF($J8="","—",IF($J8&gt;=1,"✅ مكتملة",IF($J8&gt;0,"🟠 جارية","⚪ لم تبدأ")))</f>
        <v/>
      </c>
      <c r="L8" s="52" t="n"/>
    </row>
    <row r="9" ht="26" customHeight="1">
      <c r="A9" s="17" t="n">
        <v>6</v>
      </c>
      <c r="B9" s="52" t="inlineStr">
        <is>
          <t>تطوير وتشغيل ساحات درب</t>
        </is>
      </c>
      <c r="C9" s="40" t="inlineStr">
        <is>
          <t>الابتكار</t>
        </is>
      </c>
      <c r="D9" s="52" t="inlineStr">
        <is>
          <t>ساحات درب</t>
        </is>
      </c>
      <c r="E9" s="52" t="inlineStr">
        <is>
          <t>نسبة تأجير ساحة درب</t>
        </is>
      </c>
      <c r="F9" s="40" t="inlineStr">
        <is>
          <t>العقار</t>
        </is>
      </c>
      <c r="G9" s="40" t="n"/>
      <c r="H9" s="40" t="n"/>
      <c r="I9" s="53" t="n"/>
      <c r="J9" s="54" t="n"/>
      <c r="K9" s="17">
        <f>IF($J9="","—",IF($J9&gt;=1,"✅ مكتملة",IF($J9&gt;0,"🟠 جارية","⚪ لم تبدأ")))</f>
        <v/>
      </c>
      <c r="L9" s="52" t="n"/>
    </row>
    <row r="10" ht="26" customHeight="1">
      <c r="A10" s="17" t="n">
        <v>7</v>
      </c>
      <c r="B10" s="52" t="inlineStr">
        <is>
          <t>مشروع تطوير الهوية والتصاميم</t>
        </is>
      </c>
      <c r="C10" s="40" t="inlineStr">
        <is>
          <t>الابتكار</t>
        </is>
      </c>
      <c r="D10" s="52" t="inlineStr">
        <is>
          <t>تطوير التصاميم والهوية</t>
        </is>
      </c>
      <c r="E10" s="52" t="inlineStr">
        <is>
          <t>التزام المحطات بالهوية</t>
        </is>
      </c>
      <c r="F10" s="40" t="inlineStr">
        <is>
          <t>التسويق (مقترح)</t>
        </is>
      </c>
      <c r="G10" s="40" t="n"/>
      <c r="H10" s="40" t="n"/>
      <c r="I10" s="53" t="n"/>
      <c r="J10" s="54" t="n"/>
      <c r="K10" s="17">
        <f>IF($J10="","—",IF($J10&gt;=1,"✅ مكتملة",IF($J10&gt;0,"🟠 جارية","⚪ لم تبدأ")))</f>
        <v/>
      </c>
      <c r="L10" s="52" t="n"/>
    </row>
    <row r="11" ht="26" customHeight="1">
      <c r="A11" s="17" t="n">
        <v>8</v>
      </c>
      <c r="B11" s="52" t="n"/>
      <c r="C11" s="40" t="n"/>
      <c r="D11" s="52" t="n"/>
      <c r="E11" s="52" t="n"/>
      <c r="F11" s="40" t="n"/>
      <c r="G11" s="40" t="n"/>
      <c r="H11" s="40" t="n"/>
      <c r="I11" s="53" t="n"/>
      <c r="J11" s="54" t="n"/>
      <c r="K11" s="17">
        <f>IF($J11="","—",IF($J11&gt;=1,"✅ مكتملة",IF($J11&gt;0,"🟠 جارية","⚪ لم تبدأ")))</f>
        <v/>
      </c>
      <c r="L11" s="52" t="n"/>
    </row>
    <row r="12" ht="26" customHeight="1">
      <c r="A12" s="17" t="n">
        <v>9</v>
      </c>
      <c r="B12" s="52" t="n"/>
      <c r="C12" s="40" t="n"/>
      <c r="D12" s="52" t="n"/>
      <c r="E12" s="52" t="n"/>
      <c r="F12" s="40" t="n"/>
      <c r="G12" s="40" t="n"/>
      <c r="H12" s="40" t="n"/>
      <c r="I12" s="53" t="n"/>
      <c r="J12" s="54" t="n"/>
      <c r="K12" s="17">
        <f>IF($J12="","—",IF($J12&gt;=1,"✅ مكتملة",IF($J12&gt;0,"🟠 جارية","⚪ لم تبدأ")))</f>
        <v/>
      </c>
      <c r="L12" s="52" t="n"/>
    </row>
    <row r="13" ht="26" customHeight="1">
      <c r="A13" s="17" t="n">
        <v>10</v>
      </c>
      <c r="B13" s="52" t="n"/>
      <c r="C13" s="40" t="n"/>
      <c r="D13" s="52" t="n"/>
      <c r="E13" s="52" t="n"/>
      <c r="F13" s="40" t="n"/>
      <c r="G13" s="40" t="n"/>
      <c r="H13" s="40" t="n"/>
      <c r="I13" s="53" t="n"/>
      <c r="J13" s="54" t="n"/>
      <c r="K13" s="17">
        <f>IF($J13="","—",IF($J13&gt;=1,"✅ مكتملة",IF($J13&gt;0,"🟠 جارية","⚪ لم تبدأ")))</f>
        <v/>
      </c>
      <c r="L13" s="52" t="n"/>
    </row>
    <row r="14" ht="26" customHeight="1">
      <c r="A14" s="17" t="n">
        <v>11</v>
      </c>
      <c r="B14" s="52" t="n"/>
      <c r="C14" s="40" t="n"/>
      <c r="D14" s="52" t="n"/>
      <c r="E14" s="52" t="n"/>
      <c r="F14" s="40" t="n"/>
      <c r="G14" s="40" t="n"/>
      <c r="H14" s="40" t="n"/>
      <c r="I14" s="53" t="n"/>
      <c r="J14" s="54" t="n"/>
      <c r="K14" s="17">
        <f>IF($J14="","—",IF($J14&gt;=1,"✅ مكتملة",IF($J14&gt;0,"🟠 جارية","⚪ لم تبدأ")))</f>
        <v/>
      </c>
      <c r="L14" s="52" t="n"/>
    </row>
    <row r="15" ht="26" customHeight="1">
      <c r="A15" s="17" t="n">
        <v>12</v>
      </c>
      <c r="B15" s="52" t="n"/>
      <c r="C15" s="40" t="n"/>
      <c r="D15" s="52" t="n"/>
      <c r="E15" s="52" t="n"/>
      <c r="F15" s="40" t="n"/>
      <c r="G15" s="40" t="n"/>
      <c r="H15" s="40" t="n"/>
      <c r="I15" s="53" t="n"/>
      <c r="J15" s="54" t="n"/>
      <c r="K15" s="17">
        <f>IF($J15="","—",IF($J15&gt;=1,"✅ مكتملة",IF($J15&gt;0,"🟠 جارية","⚪ لم تبدأ")))</f>
        <v/>
      </c>
      <c r="L15" s="52" t="n"/>
    </row>
    <row r="16" ht="26" customHeight="1">
      <c r="A16" s="17" t="n">
        <v>13</v>
      </c>
      <c r="B16" s="52" t="n"/>
      <c r="C16" s="40" t="n"/>
      <c r="D16" s="52" t="n"/>
      <c r="E16" s="52" t="n"/>
      <c r="F16" s="40" t="n"/>
      <c r="G16" s="40" t="n"/>
      <c r="H16" s="40" t="n"/>
      <c r="I16" s="53" t="n"/>
      <c r="J16" s="54" t="n"/>
      <c r="K16" s="17">
        <f>IF($J16="","—",IF($J16&gt;=1,"✅ مكتملة",IF($J16&gt;0,"🟠 جارية","⚪ لم تبدأ")))</f>
        <v/>
      </c>
      <c r="L16" s="52"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3" t="n"/>
      <c r="D4" s="43" t="n"/>
      <c r="E4" s="44" t="n"/>
    </row>
    <row r="5">
      <c r="B5" s="55" t="inlineStr">
        <is>
          <t>الدورية</t>
        </is>
      </c>
      <c r="C5" s="55" t="inlineStr">
        <is>
          <t>النشاط</t>
        </is>
      </c>
      <c r="D5" s="55" t="inlineStr">
        <is>
          <t>المسؤول</t>
        </is>
      </c>
      <c r="E5" s="55"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3" t="n"/>
      <c r="D11" s="43" t="n"/>
      <c r="E11" s="44" t="n"/>
    </row>
    <row r="12">
      <c r="B12" s="56" t="inlineStr">
        <is>
          <t>R = منفّذ · A = مُساءل · C = مُستشار · I = مُطّلع</t>
        </is>
      </c>
      <c r="C12" s="43" t="n"/>
      <c r="D12" s="43" t="n"/>
      <c r="E12" s="44" t="n"/>
    </row>
    <row r="13">
      <c r="B13" s="55" t="inlineStr">
        <is>
          <t>المهمة</t>
        </is>
      </c>
      <c r="C13" s="55" t="inlineStr">
        <is>
          <t>المسؤول (A)</t>
        </is>
      </c>
      <c r="D13" s="55" t="inlineStr">
        <is>
          <t>المنفّذ (R)</t>
        </is>
      </c>
      <c r="E13" s="55"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3" t="n"/>
      <c r="D19" s="43" t="n"/>
      <c r="E19" s="44" t="n"/>
    </row>
    <row r="20">
      <c r="B20" s="55" t="inlineStr">
        <is>
          <t>الركيزة</t>
        </is>
      </c>
      <c r="C20" s="55" t="inlineStr">
        <is>
          <t>2026</t>
        </is>
      </c>
      <c r="D20" s="55" t="inlineStr">
        <is>
          <t>2027</t>
        </is>
      </c>
      <c r="E20" s="55" t="inlineStr">
        <is>
          <t>2028</t>
        </is>
      </c>
    </row>
    <row r="21" ht="26" customHeight="1">
      <c r="B21" s="22" t="inlineStr">
        <is>
          <t>النمو — المحطات المشغّلة</t>
        </is>
      </c>
      <c r="C21" s="57" t="inlineStr">
        <is>
          <t>85 + 150</t>
        </is>
      </c>
      <c r="D21" s="57" t="inlineStr">
        <is>
          <t>≈ 320</t>
        </is>
      </c>
      <c r="E21" s="57" t="inlineStr">
        <is>
          <t>≈ 450</t>
        </is>
      </c>
    </row>
    <row r="22" ht="26" customHeight="1">
      <c r="B22" s="22" t="inlineStr">
        <is>
          <t>النمو — العقود الجديدة</t>
        </is>
      </c>
      <c r="C22" s="57" t="inlineStr">
        <is>
          <t>167 + 190</t>
        </is>
      </c>
      <c r="D22" s="57" t="inlineStr">
        <is>
          <t>تصاعدي</t>
        </is>
      </c>
      <c r="E22" s="57" t="inlineStr">
        <is>
          <t>تصاعدي</t>
        </is>
      </c>
    </row>
    <row r="23" ht="26" customHeight="1">
      <c r="B23" s="22" t="inlineStr">
        <is>
          <t>الابتكار — أتمتة/تانكي</t>
        </is>
      </c>
      <c r="C23" s="57" t="inlineStr">
        <is>
          <t>إطلاق وتثبيت</t>
        </is>
      </c>
      <c r="D23" s="57" t="inlineStr">
        <is>
          <t>توسّع</t>
        </is>
      </c>
      <c r="E23" s="57" t="inlineStr">
        <is>
          <t>نضج رقمي</t>
        </is>
      </c>
    </row>
    <row r="24" ht="26" customHeight="1">
      <c r="B24" s="22" t="inlineStr">
        <is>
          <t>الاستدامة — رضا وجودة</t>
        </is>
      </c>
      <c r="C24" s="57" t="inlineStr">
        <is>
          <t>CSAT 90% · جاهزية 99%</t>
        </is>
      </c>
      <c r="D24" s="57" t="inlineStr">
        <is>
          <t>الحفاظ والتحسين</t>
        </is>
      </c>
      <c r="E24" s="57" t="inlineStr">
        <is>
          <t>تميّز تشغيلي</t>
        </is>
      </c>
    </row>
    <row r="26">
      <c r="B26" s="58" t="inlineStr">
        <is>
          <t>📌 الأرقام التقديرية للطموحات الثلاثية تحتاج اعتماد الإدارة التنفيذية وربطها بخطوط الأساس 2025.</t>
        </is>
      </c>
      <c r="C26" s="43" t="n"/>
      <c r="D26" s="43" t="n"/>
      <c r="E26" s="44"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4"/>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3" t="n"/>
      <c r="D4" s="44" t="n"/>
    </row>
    <row r="5">
      <c r="B5" s="22" t="inlineStr">
        <is>
          <t>إجمالي المؤشرات في القاعدة</t>
        </is>
      </c>
      <c r="C5" s="59">
        <f>121-3</f>
        <v/>
      </c>
    </row>
    <row r="6">
      <c r="B6" s="22" t="inlineStr">
        <is>
          <t>✅ محقق</t>
        </is>
      </c>
      <c r="C6" s="59">
        <f>COUNTIF('قاعدة المؤشرات'!$G$4:$G$121,"✅ محقق")</f>
        <v/>
      </c>
    </row>
    <row r="7">
      <c r="B7" s="22" t="inlineStr">
        <is>
          <t>🟡 قريب</t>
        </is>
      </c>
      <c r="C7" s="59">
        <f>COUNTIF('قاعدة المؤشرات'!$G$4:$G$121,"🟡 قريب")</f>
        <v/>
      </c>
    </row>
    <row r="8">
      <c r="B8" s="22" t="inlineStr">
        <is>
          <t>🔴 تحت الهدف</t>
        </is>
      </c>
      <c r="C8" s="59">
        <f>COUNTIF('قاعدة المؤشرات'!$G$4:$G$121,"🔴 تحت الهدف")</f>
        <v/>
      </c>
    </row>
    <row r="9">
      <c r="B9" s="22" t="inlineStr">
        <is>
          <t>— بانتظار بيانات</t>
        </is>
      </c>
      <c r="C9" s="59">
        <f>COUNTIF('قاعدة المؤشرات'!$G$4:$G$121,"—")</f>
        <v/>
      </c>
    </row>
    <row r="11">
      <c r="B11" s="7" t="inlineStr">
        <is>
          <t>② تكامل الأوزان لكل إدارة (يجب = 100%)</t>
        </is>
      </c>
      <c r="C11" s="43" t="n"/>
      <c r="D11" s="44" t="n"/>
    </row>
    <row r="12">
      <c r="B12" s="55" t="inlineStr">
        <is>
          <t>الإدارة</t>
        </is>
      </c>
      <c r="C12" s="55" t="inlineStr">
        <is>
          <t>مجموع الأوزان</t>
        </is>
      </c>
      <c r="D12" s="55" t="inlineStr">
        <is>
          <t>النتيجة</t>
        </is>
      </c>
    </row>
    <row r="13">
      <c r="B13" s="22" t="inlineStr">
        <is>
          <t>الإدارة التنفيذية</t>
        </is>
      </c>
      <c r="C13" s="60">
        <f>'الإدارة التنفيذية · المؤشرات'!AB14</f>
        <v/>
      </c>
      <c r="D13" s="17">
        <f>IF(ROUND('الإدارة التنفيذية · المؤشرات'!AB14,3)=1,"✅ سليم","⚠️ يحتاج ضبط")</f>
        <v/>
      </c>
    </row>
    <row r="14">
      <c r="B14" s="22" t="inlineStr">
        <is>
          <t>الامتياز التجاري</t>
        </is>
      </c>
      <c r="C14" s="60">
        <f>'الامتياز · المؤشرات'!AB40</f>
        <v/>
      </c>
      <c r="D14" s="17">
        <f>IF(ROUND('الامتياز · المؤشرات'!AB40,3)=1,"✅ سليم","⚠️ يحتاج ضبط")</f>
        <v/>
      </c>
    </row>
    <row r="15">
      <c r="B15" s="22" t="inlineStr">
        <is>
          <t>التشغيل والمحطات</t>
        </is>
      </c>
      <c r="C15" s="60">
        <f>'التشغيل · المؤشرات'!AB20</f>
        <v/>
      </c>
      <c r="D15" s="17">
        <f>IF(ROUND('التشغيل · المؤشرات'!AB20,3)=1,"✅ سليم","⚠️ يحتاج ضبط")</f>
        <v/>
      </c>
    </row>
    <row r="16">
      <c r="B16" s="22" t="inlineStr">
        <is>
          <t>الاستثمار</t>
        </is>
      </c>
      <c r="C16" s="60">
        <f>'الاستثمار · المؤشرات'!AB28</f>
        <v/>
      </c>
      <c r="D16" s="17">
        <f>IF(ROUND('الاستثمار · المؤشرات'!AB28,3)=1,"✅ سليم","⚠️ يحتاج ضبط")</f>
        <v/>
      </c>
    </row>
    <row r="17">
      <c r="B17" s="22" t="inlineStr">
        <is>
          <t>العقار</t>
        </is>
      </c>
      <c r="C17" s="60">
        <f>'العقار · المؤشرات'!AB20</f>
        <v/>
      </c>
      <c r="D17" s="17">
        <f>IF(ROUND('العقار · المؤشرات'!AB20,3)=1,"✅ سليم","⚠️ يحتاج ضبط")</f>
        <v/>
      </c>
    </row>
    <row r="18">
      <c r="B18" s="22" t="inlineStr">
        <is>
          <t>التقنية الرقمية</t>
        </is>
      </c>
      <c r="C18" s="60">
        <f>'التقنية الرقمية · المؤشرات'!AB12</f>
        <v/>
      </c>
      <c r="D18" s="17">
        <f>IF(ROUND('التقنية الرقمية · المؤشرات'!AB12,3)=1,"✅ سليم","⚠️ يحتاج ضبط")</f>
        <v/>
      </c>
    </row>
    <row r="19">
      <c r="B19" s="22" t="inlineStr">
        <is>
          <t>الموارد البشرية</t>
        </is>
      </c>
      <c r="C19" s="60">
        <f>'الموارد البشرية · المؤشرات'!AB12</f>
        <v/>
      </c>
      <c r="D19" s="17">
        <f>IF(ROUND('الموارد البشرية · المؤشرات'!AB12,3)=1,"✅ سليم","⚠️ يحتاج ضبط")</f>
        <v/>
      </c>
    </row>
    <row r="21">
      <c r="B21" s="7" t="inlineStr">
        <is>
          <t>③ اكتمال خطوط الأساس 2025 (المتبقّي بلا إدخال)</t>
        </is>
      </c>
      <c r="C21" s="43" t="n"/>
      <c r="D21" s="44" t="n"/>
    </row>
    <row r="22">
      <c r="B22" s="55" t="inlineStr">
        <is>
          <t>الإدارة</t>
        </is>
      </c>
      <c r="C22" s="55" t="inlineStr">
        <is>
          <t>مؤشرات بلا خط أساس</t>
        </is>
      </c>
      <c r="D22" s="55" t="inlineStr">
        <is>
          <t>النتيجة</t>
        </is>
      </c>
    </row>
    <row r="23">
      <c r="B23" s="22" t="inlineStr">
        <is>
          <t>الإدارة التنفيذية</t>
        </is>
      </c>
      <c r="C23" s="59">
        <f>COUNTBLANK('الإدارة التنفيذية · المؤشرات'!Z4:Z13)</f>
        <v/>
      </c>
      <c r="D23" s="21">
        <f>IF(COUNTBLANK('الإدارة التنفيذية · المؤشرات'!Z4:Z13)=0,"✅ مكتمل","⏳ "&amp;COUNTBLANK('الإدارة التنفيذية · المؤشرات'!Z4:Z13)&amp;" بانتظار")</f>
        <v/>
      </c>
    </row>
    <row r="24">
      <c r="B24" s="22" t="inlineStr">
        <is>
          <t>الامتياز التجاري</t>
        </is>
      </c>
      <c r="C24" s="59">
        <f>COUNTBLANK('الامتياز · المؤشرات'!Z4:Z39)</f>
        <v/>
      </c>
      <c r="D24" s="21">
        <f>IF(COUNTBLANK('الامتياز · المؤشرات'!Z4:Z39)=0,"✅ مكتمل","⏳ "&amp;COUNTBLANK('الامتياز · المؤشرات'!Z4:Z39)&amp;" بانتظار")</f>
        <v/>
      </c>
    </row>
    <row r="25">
      <c r="B25" s="22" t="inlineStr">
        <is>
          <t>التشغيل والمحطات</t>
        </is>
      </c>
      <c r="C25" s="59">
        <f>COUNTBLANK('التشغيل · المؤشرات'!Z4:Z19)</f>
        <v/>
      </c>
      <c r="D25" s="21">
        <f>IF(COUNTBLANK('التشغيل · المؤشرات'!Z4:Z19)=0,"✅ مكتمل","⏳ "&amp;COUNTBLANK('التشغيل · المؤشرات'!Z4:Z19)&amp;" بانتظار")</f>
        <v/>
      </c>
    </row>
    <row r="26">
      <c r="B26" s="22" t="inlineStr">
        <is>
          <t>الاستثمار</t>
        </is>
      </c>
      <c r="C26" s="59">
        <f>COUNTBLANK('الاستثمار · المؤشرات'!Z4:Z27)</f>
        <v/>
      </c>
      <c r="D26" s="21">
        <f>IF(COUNTBLANK('الاستثمار · المؤشرات'!Z4:Z27)=0,"✅ مكتمل","⏳ "&amp;COUNTBLANK('الاستثمار · المؤشرات'!Z4:Z27)&amp;" بانتظار")</f>
        <v/>
      </c>
    </row>
    <row r="27">
      <c r="B27" s="22" t="inlineStr">
        <is>
          <t>العقار</t>
        </is>
      </c>
      <c r="C27" s="59">
        <f>COUNTBLANK('العقار · المؤشرات'!Z4:Z19)</f>
        <v/>
      </c>
      <c r="D27" s="21">
        <f>IF(COUNTBLANK('العقار · المؤشرات'!Z4:Z19)=0,"✅ مكتمل","⏳ "&amp;COUNTBLANK('العقار · المؤشرات'!Z4:Z19)&amp;" بانتظار")</f>
        <v/>
      </c>
    </row>
    <row r="28">
      <c r="B28" s="22" t="inlineStr">
        <is>
          <t>التقنية الرقمية</t>
        </is>
      </c>
      <c r="C28" s="59">
        <f>COUNTBLANK('التقنية الرقمية · المؤشرات'!Z4:Z11)</f>
        <v/>
      </c>
      <c r="D28" s="21">
        <f>IF(COUNTBLANK('التقنية الرقمية · المؤشرات'!Z4:Z11)=0,"✅ مكتمل","⏳ "&amp;COUNTBLANK('التقنية الرقمية · المؤشرات'!Z4:Z11)&amp;" بانتظار")</f>
        <v/>
      </c>
    </row>
    <row r="29">
      <c r="B29" s="22" t="inlineStr">
        <is>
          <t>الموارد البشرية</t>
        </is>
      </c>
      <c r="C29" s="59">
        <f>COUNTBLANK('الموارد البشرية · المؤشرات'!Z4:Z11)</f>
        <v/>
      </c>
      <c r="D29" s="21">
        <f>IF(COUNTBLANK('الموارد البشرية · المؤشرات'!Z4:Z11)=0,"✅ مكتمل","⏳ "&amp;COUNTBLANK('الموارد البشرية · المؤشرات'!Z4:Z11)&amp;" بانتظار")</f>
        <v/>
      </c>
    </row>
    <row r="31">
      <c r="B31" s="7" t="inlineStr">
        <is>
          <t>④ تغطية مشاريع الخارطة بالمؤشرات</t>
        </is>
      </c>
      <c r="C31" s="43" t="n"/>
      <c r="D31" s="44" t="n"/>
    </row>
    <row r="32">
      <c r="B32" s="55" t="inlineStr">
        <is>
          <t>المشروع</t>
        </is>
      </c>
      <c r="C32" s="55" t="inlineStr">
        <is>
          <t>عدد المؤشرات</t>
        </is>
      </c>
      <c r="D32" s="55" t="inlineStr">
        <is>
          <t>النتيجة</t>
        </is>
      </c>
    </row>
    <row r="33">
      <c r="B33" s="22" t="inlineStr">
        <is>
          <t>التوسع في المواقع</t>
        </is>
      </c>
      <c r="C33" s="59">
        <f>COUNTIF('قاعدة المؤشرات'!$E$4:$E$121,"التوسع في المواقع")</f>
        <v/>
      </c>
      <c r="D33" s="17">
        <f>IF(COUNTIF('قاعدة المؤشرات'!$E$4:$E$121,"التوسع في المواقع")=0,"🔴 فجوة — بلا مؤشر","✅ مغطّى")</f>
        <v/>
      </c>
    </row>
    <row r="34">
      <c r="B34" s="22" t="inlineStr">
        <is>
          <t>الامتياز التجاري</t>
        </is>
      </c>
      <c r="C34" s="59">
        <f>COUNTIF('قاعدة المؤشرات'!$E$4:$E$121,"الامتياز التجاري")</f>
        <v/>
      </c>
      <c r="D34" s="17">
        <f>IF(COUNTIF('قاعدة المؤشرات'!$E$4:$E$121,"الامتياز التجاري")=0,"🔴 فجوة — بلا مؤشر","✅ مغطّى")</f>
        <v/>
      </c>
    </row>
    <row r="35">
      <c r="B35" s="22" t="inlineStr">
        <is>
          <t>زيادة وصول العملاء</t>
        </is>
      </c>
      <c r="C35" s="59">
        <f>COUNTIF('قاعدة المؤشرات'!$E$4:$E$121,"زيادة وصول العملاء")</f>
        <v/>
      </c>
      <c r="D35" s="17">
        <f>IF(COUNTIF('قاعدة المؤشرات'!$E$4:$E$121,"زيادة وصول العملاء")=0,"🔴 فجوة — بلا مؤشر","✅ مغطّى")</f>
        <v/>
      </c>
    </row>
    <row r="36">
      <c r="B36" s="22" t="inlineStr">
        <is>
          <t>إطلاق مشاريع جديدة</t>
        </is>
      </c>
      <c r="C36" s="59">
        <f>COUNTIF('قاعدة المؤشرات'!$E$4:$E$121,"إطلاق مشاريع جديدة")</f>
        <v/>
      </c>
      <c r="D36" s="17">
        <f>IF(COUNTIF('قاعدة المؤشرات'!$E$4:$E$121,"إطلاق مشاريع جديدة")=0,"🔴 فجوة — بلا مؤشر","✅ مغطّى")</f>
        <v/>
      </c>
    </row>
    <row r="37">
      <c r="B37" s="22" t="inlineStr">
        <is>
          <t>تطوير التصاميم والهوية</t>
        </is>
      </c>
      <c r="C37" s="59">
        <f>COUNTIF('قاعدة المؤشرات'!$E$4:$E$121,"تطوير التصاميم والهوية")</f>
        <v/>
      </c>
      <c r="D37" s="17">
        <f>IF(COUNTIF('قاعدة المؤشرات'!$E$4:$E$121,"تطوير التصاميم والهوية")=0,"🔴 فجوة — بلا مؤشر","✅ مغطّى")</f>
        <v/>
      </c>
    </row>
    <row r="38">
      <c r="B38" s="22" t="inlineStr">
        <is>
          <t>التحول التقني</t>
        </is>
      </c>
      <c r="C38" s="59">
        <f>COUNTIF('قاعدة المؤشرات'!$E$4:$E$121,"التحول التقني")</f>
        <v/>
      </c>
      <c r="D38" s="17">
        <f>IF(COUNTIF('قاعدة المؤشرات'!$E$4:$E$121,"التحول التقني")=0,"🔴 فجوة — بلا مؤشر","✅ مغطّى")</f>
        <v/>
      </c>
    </row>
    <row r="39">
      <c r="B39" s="22" t="inlineStr">
        <is>
          <t>ساحات درب</t>
        </is>
      </c>
      <c r="C39" s="59">
        <f>COUNTIF('قاعدة المؤشرات'!$E$4:$E$121,"ساحات درب")</f>
        <v/>
      </c>
      <c r="D39" s="17">
        <f>IF(COUNTIF('قاعدة المؤشرات'!$E$4:$E$121,"ساحات درب")=0,"🔴 فجوة — بلا مؤشر","✅ مغطّى")</f>
        <v/>
      </c>
    </row>
    <row r="40">
      <c r="B40" s="22" t="inlineStr">
        <is>
          <t>تطبيق «تانكي»</t>
        </is>
      </c>
      <c r="C40" s="59">
        <f>COUNTIF('قاعدة المؤشرات'!$E$4:$E$121,"تطبيق «تانكي»")</f>
        <v/>
      </c>
      <c r="D40" s="17">
        <f>IF(COUNTIF('قاعدة المؤشرات'!$E$4:$E$121,"تطبيق «تانكي»")=0,"🔴 فجوة — بلا مؤشر","✅ مغطّى")</f>
        <v/>
      </c>
    </row>
    <row r="41">
      <c r="B41" s="22" t="inlineStr">
        <is>
          <t>تعزيز تجربة العملاء</t>
        </is>
      </c>
      <c r="C41" s="59">
        <f>COUNTIF('قاعدة المؤشرات'!$E$4:$E$121,"تعزيز تجربة العملاء")</f>
        <v/>
      </c>
      <c r="D41" s="17">
        <f>IF(COUNTIF('قاعدة المؤشرات'!$E$4:$E$121,"تعزيز تجربة العملاء")=0,"🔴 فجوة — بلا مؤشر","✅ مغطّى")</f>
        <v/>
      </c>
    </row>
    <row r="42">
      <c r="B42" s="22" t="inlineStr">
        <is>
          <t>جودة التشغيل</t>
        </is>
      </c>
      <c r="C42" s="59">
        <f>COUNTIF('قاعدة المؤشرات'!$E$4:$E$121,"جودة التشغيل")</f>
        <v/>
      </c>
      <c r="D42" s="17">
        <f>IF(COUNTIF('قاعدة المؤشرات'!$E$4:$E$121,"جودة التشغيل")=0,"🔴 فجوة — بلا مؤشر","✅ مغطّى")</f>
        <v/>
      </c>
    </row>
    <row r="43">
      <c r="B43" s="22" t="inlineStr">
        <is>
          <t>منظومة التأجير</t>
        </is>
      </c>
      <c r="C43" s="59">
        <f>COUNTIF('قاعدة المؤشرات'!$E$4:$E$121,"منظومة التأجير")</f>
        <v/>
      </c>
      <c r="D43" s="17">
        <f>IF(COUNTIF('قاعدة المؤشرات'!$E$4:$E$121,"منظومة التأجير")=0,"🔴 فجوة — بلا مؤشر","✅ مغطّى")</f>
        <v/>
      </c>
    </row>
    <row r="44">
      <c r="B44" s="22" t="inlineStr">
        <is>
          <t>الاستثمار في الموظفين</t>
        </is>
      </c>
      <c r="C44" s="59">
        <f>COUNTIF('قاعدة المؤشرات'!$E$4:$E$121,"الاستثمار في الموظفين")</f>
        <v/>
      </c>
      <c r="D44" s="17">
        <f>IF(COUNTIF('قاعدة المؤشرات'!$E$4:$E$121,"الاستثمار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11:D11"/>
    <mergeCell ref="B31:D31"/>
    <mergeCell ref="B4:D4"/>
    <mergeCell ref="B21:D21"/>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1" t="inlineStr">
        <is>
          <t>محطة</t>
        </is>
      </c>
      <c r="E4" s="61" t="inlineStr">
        <is>
          <t>↑</t>
        </is>
      </c>
      <c r="F4" s="61" t="inlineStr">
        <is>
          <t>LAST</t>
        </is>
      </c>
      <c r="G4" s="62" t="n">
        <v>235</v>
      </c>
      <c r="H4" s="63" t="inlineStr">
        <is>
          <t>≥ 235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لاحق</t>
        </is>
      </c>
      <c r="AB4" s="54" t="n">
        <v>0.1</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النمو</t>
        </is>
      </c>
      <c r="C5" s="22" t="inlineStr">
        <is>
          <t>إجمالي العقود الجديدة — الشركة</t>
        </is>
      </c>
      <c r="D5" s="61" t="inlineStr">
        <is>
          <t>عقد</t>
        </is>
      </c>
      <c r="E5" s="61" t="inlineStr">
        <is>
          <t>↑</t>
        </is>
      </c>
      <c r="F5" s="61" t="inlineStr">
        <is>
          <t>SUM</t>
        </is>
      </c>
      <c r="G5" s="62" t="n">
        <v>357</v>
      </c>
      <c r="H5" s="63" t="inlineStr">
        <is>
          <t>357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الامتياز التجاري</t>
        </is>
      </c>
      <c r="Z5" s="67" t="n"/>
      <c r="AA5" s="21" t="inlineStr">
        <is>
          <t>🟣 لاحق</t>
        </is>
      </c>
      <c r="AB5" s="54" t="n">
        <v>0.1</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النمو</t>
        </is>
      </c>
      <c r="C6" s="22" t="inlineStr">
        <is>
          <t>إجمالي إيرادات الشركة السنوية</t>
        </is>
      </c>
      <c r="D6" s="61" t="inlineStr">
        <is>
          <t>ر.س</t>
        </is>
      </c>
      <c r="E6" s="61" t="inlineStr">
        <is>
          <t>↑</t>
        </is>
      </c>
      <c r="F6" s="61" t="inlineStr">
        <is>
          <t>SUM</t>
        </is>
      </c>
      <c r="G6" s="61" t="inlineStr"/>
      <c r="H6" s="63" t="inlineStr">
        <is>
          <t>تصاعدي مستمر</t>
        </is>
      </c>
      <c r="I6" s="70" t="n"/>
      <c r="J6" s="70" t="n"/>
      <c r="K6" s="70" t="n"/>
      <c r="L6" s="70" t="n"/>
      <c r="M6" s="70" t="n"/>
      <c r="N6" s="70" t="n"/>
      <c r="O6" s="70" t="n"/>
      <c r="P6" s="70" t="n"/>
      <c r="Q6" s="70" t="n"/>
      <c r="R6" s="70" t="n"/>
      <c r="S6" s="70" t="n"/>
      <c r="T6" s="70" t="n"/>
      <c r="U6" s="71">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53" t="n"/>
      <c r="AA6" s="21" t="inlineStr">
        <is>
          <t>🟣 لاحق</t>
        </is>
      </c>
      <c r="AB6" s="54" t="n">
        <v>0.1</v>
      </c>
      <c r="AC6" s="23">
        <f>IF($V6="","",$AB6*MIN($V6,1))</f>
        <v/>
      </c>
      <c r="AD6" s="72">
        <f>IF($G6="","",IF($F6="SUM",IF('لوحة الإدارة التنفيذية'!$P$2="","",$G6/12*'لوحة الإدارة التنفيذية'!$P$2),$G6))</f>
        <v/>
      </c>
      <c r="AE6" s="73">
        <f>IF($F6="SUM",IF(OR('لوحة الإدارة التنفيذية'!$P$2="",'لوحة الإدارة التنفيذية'!$P$2=0),"",IF($U6="","",$U6/'لوحة الإدارة التنفيذية'!$P$2*12)),IF($U6="","",$U6))</f>
        <v/>
      </c>
      <c r="AF6" s="72">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النمو</t>
        </is>
      </c>
      <c r="C7" s="22" t="inlineStr">
        <is>
          <t>نسبة نمو إيرادات الشركة (سنوي)</t>
        </is>
      </c>
      <c r="D7" s="61" t="inlineStr">
        <is>
          <t>%</t>
        </is>
      </c>
      <c r="E7" s="61" t="inlineStr">
        <is>
          <t>↑</t>
        </is>
      </c>
      <c r="F7" s="61" t="inlineStr">
        <is>
          <t>AVG</t>
        </is>
      </c>
      <c r="G7" s="61" t="inlineStr"/>
      <c r="H7" s="63" t="inlineStr">
        <is>
          <t>مستهدف تنفيذي</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0.1</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الابتكار</t>
        </is>
      </c>
      <c r="C8" s="22" t="inlineStr">
        <is>
          <t>نسبة إنجاز مشاريع الخارطة التنفيذية</t>
        </is>
      </c>
      <c r="D8" s="61" t="inlineStr">
        <is>
          <t>%</t>
        </is>
      </c>
      <c r="E8" s="61" t="inlineStr">
        <is>
          <t>↑</t>
        </is>
      </c>
      <c r="F8" s="61" t="inlineStr">
        <is>
          <t>LAST</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الابتكار</t>
        </is>
      </c>
      <c r="Y8" s="22" t="inlineStr">
        <is>
          <t>إطلاق مشاريع جديدة</t>
        </is>
      </c>
      <c r="Z8" s="54" t="n"/>
      <c r="AA8" s="21" t="inlineStr">
        <is>
          <t>🟣 لاحق</t>
        </is>
      </c>
      <c r="AB8" s="54" t="n">
        <v>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الابتكار</t>
        </is>
      </c>
      <c r="C9" s="22" t="inlineStr">
        <is>
          <t>نسبة التحول الرقمي على مستوى الشركة</t>
        </is>
      </c>
      <c r="D9" s="61" t="inlineStr">
        <is>
          <t>%</t>
        </is>
      </c>
      <c r="E9" s="61" t="inlineStr">
        <is>
          <t>↑</t>
        </is>
      </c>
      <c r="F9" s="61" t="inlineStr">
        <is>
          <t>LAST</t>
        </is>
      </c>
      <c r="G9" s="75" t="n">
        <v>0.9</v>
      </c>
      <c r="H9" s="63" t="inlineStr">
        <is>
          <t>≥ 90%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الابتكار</t>
        </is>
      </c>
      <c r="Y9" s="22" t="inlineStr">
        <is>
          <t>التحول التقني</t>
        </is>
      </c>
      <c r="Z9" s="54" t="n"/>
      <c r="AA9" s="21" t="inlineStr">
        <is>
          <t>🟣 لاحق</t>
        </is>
      </c>
      <c r="AB9" s="54" t="n">
        <v>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التعلّم والنمو</t>
        </is>
      </c>
    </row>
    <row r="10" ht="26" customHeight="1">
      <c r="A10" s="17" t="n">
        <v>7</v>
      </c>
      <c r="B10" s="22" t="inlineStr">
        <is>
          <t>الاستدامة</t>
        </is>
      </c>
      <c r="C10" s="22" t="inlineStr">
        <is>
          <t>مؤشر رضا العملاء العام (الشركة)</t>
        </is>
      </c>
      <c r="D10" s="61" t="inlineStr">
        <is>
          <t>%</t>
        </is>
      </c>
      <c r="E10" s="61" t="inlineStr">
        <is>
          <t>↑</t>
        </is>
      </c>
      <c r="F10" s="61" t="inlineStr">
        <is>
          <t>AVG</t>
        </is>
      </c>
      <c r="G10" s="75" t="n">
        <v>0.9</v>
      </c>
      <c r="H10" s="63" t="inlineStr">
        <is>
          <t>≥ 90%</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تعزيز تجربة العملاء</t>
        </is>
      </c>
      <c r="Z10" s="54" t="n"/>
      <c r="AA10" s="21" t="inlineStr">
        <is>
          <t>🟣 لاحق</t>
        </is>
      </c>
      <c r="AB10" s="54" t="n">
        <v>0.1</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العملاء</t>
        </is>
      </c>
    </row>
    <row r="11" ht="26" customHeight="1">
      <c r="A11" s="17" t="n">
        <v>8</v>
      </c>
      <c r="B11" s="22" t="inlineStr">
        <is>
          <t>الاستدامة</t>
        </is>
      </c>
      <c r="C11" s="22" t="inlineStr">
        <is>
          <t>مؤشر رضا الموظفين العام (eNPS)</t>
        </is>
      </c>
      <c r="D11" s="61" t="inlineStr">
        <is>
          <t>نقطة</t>
        </is>
      </c>
      <c r="E11" s="61" t="inlineStr">
        <is>
          <t>↑</t>
        </is>
      </c>
      <c r="F11" s="61" t="inlineStr">
        <is>
          <t>AVG</t>
        </is>
      </c>
      <c r="G11" s="76" t="n">
        <v>30</v>
      </c>
      <c r="H11" s="63" t="inlineStr">
        <is>
          <t>≥ 30</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الاستثمار في الموظفين</t>
        </is>
      </c>
      <c r="Z11" s="79" t="n"/>
      <c r="AA11" s="21" t="inlineStr">
        <is>
          <t>🟣 لاحق</t>
        </is>
      </c>
      <c r="AB11" s="54" t="n">
        <v>0.1</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التعلّم والنمو</t>
        </is>
      </c>
    </row>
    <row r="12" ht="26" customHeight="1">
      <c r="A12" s="17" t="n">
        <v>9</v>
      </c>
      <c r="B12" s="22" t="inlineStr">
        <is>
          <t>الاستدامة</t>
        </is>
      </c>
      <c r="C12" s="22" t="inlineStr">
        <is>
          <t>نسبة تحقيق المستهدفات الاستراتيجية العامة</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النمو</t>
        </is>
      </c>
      <c r="C13" s="22" t="inlineStr">
        <is>
          <t>الالتزام بمعايير وزارة الطاقة (تغطية 13 منطقة)</t>
        </is>
      </c>
      <c r="D13" s="61" t="inlineStr">
        <is>
          <t>%</t>
        </is>
      </c>
      <c r="E13" s="61" t="inlineStr">
        <is>
          <t>↑</t>
        </is>
      </c>
      <c r="F13" s="61" t="inlineStr">
        <is>
          <t>LAST</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النمو</t>
        </is>
      </c>
      <c r="Y13" s="22" t="inlineStr">
        <is>
          <t>التوسع في المواقع</t>
        </is>
      </c>
      <c r="Z13" s="54" t="n"/>
      <c r="AA13" s="21" t="inlineStr">
        <is>
          <t>🟣 لاحق</t>
        </is>
      </c>
      <c r="AB13" s="54" t="n">
        <v>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c r="A14" s="81" t="inlineStr"/>
      <c r="B14" s="82" t="inlineStr">
        <is>
          <t>الإجمالي الموزون للإدارة</t>
        </is>
      </c>
      <c r="AB14" s="83">
        <f>SUM(AB4:AB13)</f>
        <v/>
      </c>
      <c r="AC14" s="84">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1" t="inlineStr">
        <is>
          <t>محطة</t>
        </is>
      </c>
      <c r="E4" s="61" t="inlineStr">
        <is>
          <t>↑</t>
        </is>
      </c>
      <c r="F4" s="61" t="inlineStr">
        <is>
          <t>LAST</t>
        </is>
      </c>
      <c r="G4" s="62" t="n">
        <v>150</v>
      </c>
      <c r="H4" s="63" t="inlineStr">
        <is>
          <t>150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قائد</t>
        </is>
      </c>
      <c r="AB4" s="54" t="n">
        <v>0.0278</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النمو والتوسع</t>
        </is>
      </c>
      <c r="C5" s="22" t="inlineStr">
        <is>
          <t>عدد عقود الامتياز الجديدة الموقّعة</t>
        </is>
      </c>
      <c r="D5" s="61" t="inlineStr">
        <is>
          <t>عقد</t>
        </is>
      </c>
      <c r="E5" s="61" t="inlineStr">
        <is>
          <t>↑</t>
        </is>
      </c>
      <c r="F5" s="61" t="inlineStr">
        <is>
          <t>SUM</t>
        </is>
      </c>
      <c r="G5" s="62" t="n">
        <v>167</v>
      </c>
      <c r="H5" s="63" t="inlineStr">
        <is>
          <t>167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الامتياز التجاري</t>
        </is>
      </c>
      <c r="Z5" s="67" t="n"/>
      <c r="AA5" s="21" t="inlineStr">
        <is>
          <t>🔵 قائد</t>
        </is>
      </c>
      <c r="AB5" s="54" t="n">
        <v>0.0278</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1" t="inlineStr">
        <is>
          <t>لتر</t>
        </is>
      </c>
      <c r="E6" s="61" t="inlineStr">
        <is>
          <t>↑</t>
        </is>
      </c>
      <c r="F6" s="61" t="inlineStr">
        <is>
          <t>SUM</t>
        </is>
      </c>
      <c r="G6" s="62" t="n">
        <v>718838077</v>
      </c>
      <c r="H6" s="63" t="inlineStr">
        <is>
          <t>718.8M لتر</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67" t="n"/>
      <c r="AA6" s="21" t="inlineStr">
        <is>
          <t>🔵 قائد</t>
        </is>
      </c>
      <c r="AB6" s="54" t="n">
        <v>0.0278</v>
      </c>
      <c r="AC6" s="23">
        <f>IF($V6="","",$AB6*MIN($V6,1))</f>
        <v/>
      </c>
      <c r="AD6" s="62">
        <f>IF($G6="","",IF($F6="SUM",IF('لوحة الإدارة التنفيذية'!$P$2="","",$G6/12*'لوحة الإدارة التنفيذية'!$P$2),$G6))</f>
        <v/>
      </c>
      <c r="AE6" s="68">
        <f>IF($F6="SUM",IF(OR('لوحة الإدارة التنفيذية'!$P$2="",'لوحة الإدارة التنفيذية'!$P$2=0),"",IF($U6="","",$U6/'لوحة الإدارة التنفيذية'!$P$2*12)),IF($U6="","",$U6))</f>
        <v/>
      </c>
      <c r="AF6" s="62">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المبيعات والأداء التجاري</t>
        </is>
      </c>
      <c r="C7" s="22" t="inlineStr">
        <is>
          <t>نسبة المحطات التي حققت مستهدف المبيعات</t>
        </is>
      </c>
      <c r="D7" s="61" t="inlineStr">
        <is>
          <t>%</t>
        </is>
      </c>
      <c r="E7" s="61" t="inlineStr">
        <is>
          <t>↑</t>
        </is>
      </c>
      <c r="F7" s="61" t="inlineStr">
        <is>
          <t>AVG</t>
        </is>
      </c>
      <c r="G7" s="75" t="n">
        <v>0.9</v>
      </c>
      <c r="H7" s="63" t="inlineStr">
        <is>
          <t>90%+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0.0278</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المبيعات والأداء التجاري</t>
        </is>
      </c>
      <c r="C8" s="22" t="inlineStr">
        <is>
          <t>متوسط مبيعات المحطة الواحدة شهرياً</t>
        </is>
      </c>
      <c r="D8" s="61" t="inlineStr">
        <is>
          <t>لتر/محطة</t>
        </is>
      </c>
      <c r="E8" s="61" t="inlineStr">
        <is>
          <t>↑</t>
        </is>
      </c>
      <c r="F8" s="61" t="inlineStr">
        <is>
          <t>AVG</t>
        </is>
      </c>
      <c r="G8" s="61" t="inlineStr"/>
      <c r="H8" s="63" t="inlineStr">
        <is>
          <t>+10% نمو شهري</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زيادة وصول العملاء</t>
        </is>
      </c>
      <c r="Z8" s="67" t="n"/>
      <c r="AA8" s="21" t="inlineStr">
        <is>
          <t>🔵 قائد</t>
        </is>
      </c>
      <c r="AB8" s="54" t="n">
        <v>0.0278</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مالي</t>
        </is>
      </c>
    </row>
    <row r="9" ht="26" customHeight="1">
      <c r="A9" s="17" t="n">
        <v>6</v>
      </c>
      <c r="B9" s="22" t="inlineStr">
        <is>
          <t>المبيعات والأداء التجاري</t>
        </is>
      </c>
      <c r="C9" s="22" t="inlineStr">
        <is>
          <t>نسبة تأجير وحدات الامتياز</t>
        </is>
      </c>
      <c r="D9" s="61" t="inlineStr">
        <is>
          <t>%</t>
        </is>
      </c>
      <c r="E9" s="61" t="inlineStr">
        <is>
          <t>↑</t>
        </is>
      </c>
      <c r="F9" s="61" t="inlineStr">
        <is>
          <t>AVG</t>
        </is>
      </c>
      <c r="G9" s="75" t="n">
        <v>0.7</v>
      </c>
      <c r="H9" s="63" t="inlineStr">
        <is>
          <t>70%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منظومة التأجير</t>
        </is>
      </c>
      <c r="Z9" s="54" t="n"/>
      <c r="AA9" s="21" t="inlineStr">
        <is>
          <t>🟣 لاحق</t>
        </is>
      </c>
      <c r="AB9" s="54" t="n">
        <v>0.0278</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الأداء المالي</t>
        </is>
      </c>
      <c r="C10" s="22" t="inlineStr">
        <is>
          <t>إجمالي إيرادات إدارة الامتياز</t>
        </is>
      </c>
      <c r="D10" s="61" t="inlineStr">
        <is>
          <t>ر.س</t>
        </is>
      </c>
      <c r="E10" s="61" t="inlineStr">
        <is>
          <t>↑</t>
        </is>
      </c>
      <c r="F10" s="61" t="inlineStr">
        <is>
          <t>SUM</t>
        </is>
      </c>
      <c r="G10" s="61" t="inlineStr"/>
      <c r="H10" s="63" t="inlineStr">
        <is>
          <t>تصاعدي مستمر</t>
        </is>
      </c>
      <c r="I10" s="70" t="n"/>
      <c r="J10" s="70" t="n"/>
      <c r="K10" s="70" t="n"/>
      <c r="L10" s="70" t="n"/>
      <c r="M10" s="70" t="n"/>
      <c r="N10" s="70" t="n"/>
      <c r="O10" s="70" t="n"/>
      <c r="P10" s="70" t="n"/>
      <c r="Q10" s="70" t="n"/>
      <c r="R10" s="70" t="n"/>
      <c r="S10" s="70" t="n"/>
      <c r="T10" s="70" t="n"/>
      <c r="U10" s="71">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الامتياز التجاري</t>
        </is>
      </c>
      <c r="Z10" s="53" t="n"/>
      <c r="AA10" s="21" t="inlineStr">
        <is>
          <t>🟣 لاحق</t>
        </is>
      </c>
      <c r="AB10" s="54" t="n">
        <v>0.0278</v>
      </c>
      <c r="AC10" s="23">
        <f>IF($V10="","",$AB10*MIN($V10,1))</f>
        <v/>
      </c>
      <c r="AD10" s="72">
        <f>IF($G10="","",IF($F10="SUM",IF('لوحة الإدارة التنفيذية'!$P$2="","",$G10/12*'لوحة الإدارة التنفيذية'!$P$2),$G10))</f>
        <v/>
      </c>
      <c r="AE10" s="73">
        <f>IF($F10="SUM",IF(OR('لوحة الإدارة التنفيذية'!$P$2="",'لوحة الإدارة التنفيذية'!$P$2=0),"",IF($U10="","",$U10/'لوحة الإدارة التنفيذية'!$P$2*12)),IF($U10="","",$U10))</f>
        <v/>
      </c>
      <c r="AF10" s="72">
        <f>IF(OR($AE10="",$G10=""),"",$AE10-$G10)</f>
        <v/>
      </c>
      <c r="AG10" s="17">
        <f>IF(OR($AE10="",$G10=""),"—",IF($E10="↓",IF($AE10&lt;=$G10,"🟢 على المسار",IF($AE10&lt;=$G10*1.1,"🟡 متابعة","🔴 خطر")),IF($AE10&gt;=$G10,"🟢 على المسار",IF($AE10&gt;=$G10*0.85,"🟡 متابعة","🔴 خطر"))))</f>
        <v/>
      </c>
      <c r="AH10" s="69" t="inlineStr">
        <is>
          <t>مالي</t>
        </is>
      </c>
    </row>
    <row r="11" ht="26" customHeight="1">
      <c r="A11" s="17" t="n">
        <v>8</v>
      </c>
      <c r="B11" s="22" t="inlineStr">
        <is>
          <t>الأداء المالي</t>
        </is>
      </c>
      <c r="C11" s="22" t="inlineStr">
        <is>
          <t>رفع هامش الربحية للامتياز</t>
        </is>
      </c>
      <c r="D11" s="61" t="inlineStr">
        <is>
          <t>هللة/لتر</t>
        </is>
      </c>
      <c r="E11" s="61" t="inlineStr">
        <is>
          <t>↑</t>
        </is>
      </c>
      <c r="F11" s="61" t="inlineStr">
        <is>
          <t>AVG</t>
        </is>
      </c>
      <c r="G11" s="76" t="n">
        <v>1.8</v>
      </c>
      <c r="H11" s="63" t="inlineStr">
        <is>
          <t>+1.8 هللة/لتر</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النمو</t>
        </is>
      </c>
      <c r="Y11" s="22" t="inlineStr">
        <is>
          <t>الامتياز التجاري</t>
        </is>
      </c>
      <c r="Z11" s="79" t="n"/>
      <c r="AA11" s="21" t="inlineStr">
        <is>
          <t>🟣 لاحق</t>
        </is>
      </c>
      <c r="AB11" s="54" t="n">
        <v>0.0278</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الأداء المالي</t>
        </is>
      </c>
      <c r="C12" s="22" t="inlineStr">
        <is>
          <t>نسبة التحصيل المالي من شركاء الامتياز</t>
        </is>
      </c>
      <c r="D12" s="61" t="inlineStr">
        <is>
          <t>%</t>
        </is>
      </c>
      <c r="E12" s="61" t="inlineStr">
        <is>
          <t>↑</t>
        </is>
      </c>
      <c r="F12" s="61" t="inlineStr">
        <is>
          <t>AVG</t>
        </is>
      </c>
      <c r="G12" s="75" t="n">
        <v>0.95</v>
      </c>
      <c r="H12" s="63" t="inlineStr">
        <is>
          <t>95%+</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0.0278</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مالي</t>
        </is>
      </c>
    </row>
    <row r="13" ht="26" customHeight="1">
      <c r="A13" s="17" t="n">
        <v>10</v>
      </c>
      <c r="B13" s="22" t="inlineStr">
        <is>
          <t>الأداء المالي</t>
        </is>
      </c>
      <c r="C13" s="22" t="inlineStr">
        <is>
          <t>متوسط أيام التحصيل (DSO)</t>
        </is>
      </c>
      <c r="D13" s="61" t="inlineStr">
        <is>
          <t>يوم</t>
        </is>
      </c>
      <c r="E13" s="61" t="inlineStr">
        <is>
          <t>↓</t>
        </is>
      </c>
      <c r="F13" s="61" t="inlineStr">
        <is>
          <t>AVG</t>
        </is>
      </c>
      <c r="G13" s="76" t="n">
        <v>30</v>
      </c>
      <c r="H13" s="63" t="inlineStr">
        <is>
          <t>≤ 30 يوم</t>
        </is>
      </c>
      <c r="I13" s="77" t="n"/>
      <c r="J13" s="77" t="n"/>
      <c r="K13" s="77" t="n"/>
      <c r="L13" s="77" t="n"/>
      <c r="M13" s="77" t="n"/>
      <c r="N13" s="77" t="n"/>
      <c r="O13" s="77" t="n"/>
      <c r="P13" s="77" t="n"/>
      <c r="Q13" s="77" t="n"/>
      <c r="R13" s="77" t="n"/>
      <c r="S13" s="77" t="n"/>
      <c r="T13" s="77" t="n"/>
      <c r="U13" s="78">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الاستدامة</t>
        </is>
      </c>
      <c r="Y13" s="22" t="inlineStr">
        <is>
          <t>جودة التشغيل</t>
        </is>
      </c>
      <c r="Z13" s="79" t="n"/>
      <c r="AA13" s="21" t="inlineStr">
        <is>
          <t>🟣 لاحق</t>
        </is>
      </c>
      <c r="AB13" s="54" t="n">
        <v>0.0278</v>
      </c>
      <c r="AC13" s="23">
        <f>IF($V13="","",$AB13*MIN($V13,1))</f>
        <v/>
      </c>
      <c r="AD13" s="76">
        <f>IF($G13="","",IF($F13="SUM",IF('لوحة الإدارة التنفيذية'!$P$2="","",$G13/12*'لوحة الإدارة التنفيذية'!$P$2),$G13))</f>
        <v/>
      </c>
      <c r="AE13" s="80">
        <f>IF($F13="SUM",IF(OR('لوحة الإدارة التنفيذية'!$P$2="",'لوحة الإدارة التنفيذية'!$P$2=0),"",IF($U13="","",$U13/'لوحة الإدارة التنفيذية'!$P$2*12)),IF($U13="","",$U13))</f>
        <v/>
      </c>
      <c r="AF13" s="76">
        <f>IF(OR($AE13="",$G13=""),"",$AE13-$G13)</f>
        <v/>
      </c>
      <c r="AG13" s="17">
        <f>IF(OR($AE13="",$G13=""),"—",IF($E13="↓",IF($AE13&lt;=$G13,"🟢 على المسار",IF($AE13&lt;=$G13*1.1,"🟡 متابعة","🔴 خطر")),IF($AE13&gt;=$G13,"🟢 على المسار",IF($AE13&gt;=$G13*0.85,"🟡 متابعة","🔴 خطر"))))</f>
        <v/>
      </c>
      <c r="AH13" s="69" t="inlineStr">
        <is>
          <t>مالي</t>
        </is>
      </c>
    </row>
    <row r="14" ht="26" customHeight="1">
      <c r="A14" s="17" t="n">
        <v>11</v>
      </c>
      <c r="B14" s="22" t="inlineStr">
        <is>
          <t>الأداء المالي</t>
        </is>
      </c>
      <c r="C14" s="22" t="inlineStr">
        <is>
          <t>إجمالي المستحقات المتأخرة (+30 يوم)</t>
        </is>
      </c>
      <c r="D14" s="61" t="inlineStr">
        <is>
          <t>ر.س</t>
        </is>
      </c>
      <c r="E14" s="61" t="inlineStr">
        <is>
          <t>↓</t>
        </is>
      </c>
      <c r="F14" s="61" t="inlineStr">
        <is>
          <t>LAST</t>
        </is>
      </c>
      <c r="G14" s="61" t="inlineStr"/>
      <c r="H14" s="63" t="inlineStr">
        <is>
          <t>تراجع مستمر</t>
        </is>
      </c>
      <c r="I14" s="70" t="n"/>
      <c r="J14" s="70" t="n"/>
      <c r="K14" s="70" t="n"/>
      <c r="L14" s="70" t="n"/>
      <c r="M14" s="70" t="n"/>
      <c r="N14" s="70" t="n"/>
      <c r="O14" s="70" t="n"/>
      <c r="P14" s="70" t="n"/>
      <c r="Q14" s="70" t="n"/>
      <c r="R14" s="70" t="n"/>
      <c r="S14" s="70" t="n"/>
      <c r="T14" s="70" t="n"/>
      <c r="U14" s="71">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الاستدامة</t>
        </is>
      </c>
      <c r="Y14" s="22" t="inlineStr">
        <is>
          <t>جودة التشغيل</t>
        </is>
      </c>
      <c r="Z14" s="53" t="n"/>
      <c r="AA14" s="21" t="inlineStr">
        <is>
          <t>🟣 لاحق</t>
        </is>
      </c>
      <c r="AB14" s="54" t="n">
        <v>0.0278</v>
      </c>
      <c r="AC14" s="23">
        <f>IF($V14="","",$AB14*MIN($V14,1))</f>
        <v/>
      </c>
      <c r="AD14" s="72">
        <f>IF($G14="","",IF($F14="SUM",IF('لوحة الإدارة التنفيذية'!$P$2="","",$G14/12*'لوحة الإدارة التنفيذية'!$P$2),$G14))</f>
        <v/>
      </c>
      <c r="AE14" s="73">
        <f>IF($F14="SUM",IF(OR('لوحة الإدارة التنفيذية'!$P$2="",'لوحة الإدارة التنفيذية'!$P$2=0),"",IF($U14="","",$U14/'لوحة الإدارة التنفيذية'!$P$2*12)),IF($U14="","",$U14))</f>
        <v/>
      </c>
      <c r="AF14" s="72">
        <f>IF(OR($AE14="",$G14=""),"",$AE14-$G14)</f>
        <v/>
      </c>
      <c r="AG14" s="17">
        <f>IF(OR($AE14="",$G14=""),"—",IF($E14="↓",IF($AE14&lt;=$G14,"🟢 على المسار",IF($AE14&lt;=$G14*1.1,"🟡 متابعة","🔴 خطر")),IF($AE14&gt;=$G14,"🟢 على المسار",IF($AE14&gt;=$G14*0.85,"🟡 متابعة","🔴 خطر"))))</f>
        <v/>
      </c>
      <c r="AH14" s="69" t="inlineStr">
        <is>
          <t>مالي</t>
        </is>
      </c>
    </row>
    <row r="15" ht="26" customHeight="1">
      <c r="A15" s="17" t="n">
        <v>12</v>
      </c>
      <c r="B15" s="22" t="inlineStr">
        <is>
          <t>الأداء المالي</t>
        </is>
      </c>
      <c r="C15" s="22" t="inlineStr">
        <is>
          <t>نسبة الشركاء الملتزمين بمواعيد السداد</t>
        </is>
      </c>
      <c r="D15" s="61" t="inlineStr">
        <is>
          <t>%</t>
        </is>
      </c>
      <c r="E15" s="61" t="inlineStr">
        <is>
          <t>↑</t>
        </is>
      </c>
      <c r="F15" s="61" t="inlineStr">
        <is>
          <t>AVG</t>
        </is>
      </c>
      <c r="G15" s="75" t="n">
        <v>0.9</v>
      </c>
      <c r="H15" s="63" t="inlineStr">
        <is>
          <t>90%+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جودة التشغيل</t>
        </is>
      </c>
      <c r="Z15" s="54" t="n"/>
      <c r="AA15" s="21" t="inlineStr">
        <is>
          <t>🟣 لاحق</t>
        </is>
      </c>
      <c r="AB15" s="54" t="n">
        <v>0.0278</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مالي</t>
        </is>
      </c>
    </row>
    <row r="16" ht="26" customHeight="1">
      <c r="A16" s="17" t="n">
        <v>13</v>
      </c>
      <c r="B16" s="22" t="inlineStr">
        <is>
          <t>الأداء المالي</t>
        </is>
      </c>
      <c r="C16" s="22" t="inlineStr">
        <is>
          <t>معدل دوران رأس المال (أيام الدورة)</t>
        </is>
      </c>
      <c r="D16" s="61" t="inlineStr">
        <is>
          <t>يوم</t>
        </is>
      </c>
      <c r="E16" s="61" t="inlineStr">
        <is>
          <t>↓</t>
        </is>
      </c>
      <c r="F16" s="61" t="inlineStr">
        <is>
          <t>AVG</t>
        </is>
      </c>
      <c r="G16" s="76" t="n">
        <v>5</v>
      </c>
      <c r="H16" s="63" t="inlineStr">
        <is>
          <t>≤ 5 أيام</t>
        </is>
      </c>
      <c r="I16" s="77" t="n"/>
      <c r="J16" s="77" t="n"/>
      <c r="K16" s="77" t="n"/>
      <c r="L16" s="77" t="n"/>
      <c r="M16" s="77" t="n"/>
      <c r="N16" s="77" t="n"/>
      <c r="O16" s="77" t="n"/>
      <c r="P16" s="77" t="n"/>
      <c r="Q16" s="77" t="n"/>
      <c r="R16" s="77" t="n"/>
      <c r="S16" s="77" t="n"/>
      <c r="T16" s="77" t="n"/>
      <c r="U16" s="78">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79" t="n"/>
      <c r="AA16" s="21" t="inlineStr">
        <is>
          <t>🟣 لاحق</t>
        </is>
      </c>
      <c r="AB16" s="54" t="n">
        <v>0.0278</v>
      </c>
      <c r="AC16" s="23">
        <f>IF($V16="","",$AB16*MIN($V16,1))</f>
        <v/>
      </c>
      <c r="AD16" s="76">
        <f>IF($G16="","",IF($F16="SUM",IF('لوحة الإدارة التنفيذية'!$P$2="","",$G16/12*'لوحة الإدارة التنفيذية'!$P$2),$G16))</f>
        <v/>
      </c>
      <c r="AE16" s="80">
        <f>IF($F16="SUM",IF(OR('لوحة الإدارة التنفيذية'!$P$2="",'لوحة الإدارة التنفيذية'!$P$2=0),"",IF($U16="","",$U16/'لوحة الإدارة التنفيذية'!$P$2*12)),IF($U16="","",$U16))</f>
        <v/>
      </c>
      <c r="AF16" s="76">
        <f>IF(OR($AE16="",$G16=""),"",$AE16-$G16)</f>
        <v/>
      </c>
      <c r="AG16" s="17">
        <f>IF(OR($AE16="",$G16=""),"—",IF($E16="↓",IF($AE16&lt;=$G16,"🟢 على المسار",IF($AE16&lt;=$G16*1.1,"🟡 متابعة","🔴 خطر")),IF($AE16&gt;=$G16,"🟢 على المسار",IF($AE16&gt;=$G16*0.85,"🟡 متابعة","🔴 خطر"))))</f>
        <v/>
      </c>
      <c r="AH16" s="69" t="inlineStr">
        <is>
          <t>مالي</t>
        </is>
      </c>
    </row>
    <row r="17" ht="26" customHeight="1">
      <c r="A17" s="17" t="n">
        <v>14</v>
      </c>
      <c r="B17" s="22" t="inlineStr">
        <is>
          <t>التشغيل والجودة</t>
        </is>
      </c>
      <c r="C17" s="22" t="inlineStr">
        <is>
          <t>نسبة جاهزية محطات الامتياز (صفر انقطاع)</t>
        </is>
      </c>
      <c r="D17" s="61" t="inlineStr">
        <is>
          <t>%</t>
        </is>
      </c>
      <c r="E17" s="61" t="inlineStr">
        <is>
          <t>↑</t>
        </is>
      </c>
      <c r="F17" s="61" t="inlineStr">
        <is>
          <t>AVG</t>
        </is>
      </c>
      <c r="G17" s="75" t="n">
        <v>0.99</v>
      </c>
      <c r="H17" s="63" t="inlineStr">
        <is>
          <t>99%+</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الاستدامة</t>
        </is>
      </c>
      <c r="Y17" s="22" t="inlineStr">
        <is>
          <t>جودة التشغيل</t>
        </is>
      </c>
      <c r="Z17" s="54" t="n"/>
      <c r="AA17" s="21" t="inlineStr">
        <is>
          <t>🟣 لاحق</t>
        </is>
      </c>
      <c r="AB17" s="54" t="n">
        <v>0.0278</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التشغيل والجودة</t>
        </is>
      </c>
      <c r="C18" s="22" t="inlineStr">
        <is>
          <t>عدد حالات انقطاع الوقود الموثّقة</t>
        </is>
      </c>
      <c r="D18" s="61" t="inlineStr">
        <is>
          <t>حالة</t>
        </is>
      </c>
      <c r="E18" s="61" t="inlineStr">
        <is>
          <t>↓</t>
        </is>
      </c>
      <c r="F18" s="61" t="inlineStr">
        <is>
          <t>SUM</t>
        </is>
      </c>
      <c r="G18" s="62" t="n">
        <v>0</v>
      </c>
      <c r="H18" s="63" t="inlineStr">
        <is>
          <t>0 حالة</t>
        </is>
      </c>
      <c r="I18" s="64" t="n"/>
      <c r="J18" s="64" t="n"/>
      <c r="K18" s="64" t="n"/>
      <c r="L18" s="64" t="n"/>
      <c r="M18" s="64" t="n"/>
      <c r="N18" s="64" t="n"/>
      <c r="O18" s="64" t="n"/>
      <c r="P18" s="64" t="n"/>
      <c r="Q18" s="64" t="n"/>
      <c r="R18" s="64" t="n"/>
      <c r="S18" s="64" t="n"/>
      <c r="T18" s="64" t="n"/>
      <c r="U18" s="65">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جودة التشغيل</t>
        </is>
      </c>
      <c r="Z18" s="67" t="n"/>
      <c r="AA18" s="21" t="inlineStr">
        <is>
          <t>🔵 قائد</t>
        </is>
      </c>
      <c r="AB18" s="54" t="n">
        <v>0.0278</v>
      </c>
      <c r="AC18" s="23">
        <f>IF($V18="","",$AB18*MIN($V18,1))</f>
        <v/>
      </c>
      <c r="AD18" s="62">
        <f>IF($G18="","",IF($F18="SUM",IF('لوحة الإدارة التنفيذية'!$P$2="","",$G18/12*'لوحة الإدارة التنفيذية'!$P$2),$G18))</f>
        <v/>
      </c>
      <c r="AE18" s="68">
        <f>IF($F18="SUM",IF(OR('لوحة الإدارة التنفيذية'!$P$2="",'لوحة الإدارة التنفيذية'!$P$2=0),"",IF($U18="","",$U18/'لوحة الإدارة التنفيذية'!$P$2*12)),IF($U18="","",$U18))</f>
        <v/>
      </c>
      <c r="AF18" s="62">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التشغيل والجودة</t>
        </is>
      </c>
      <c r="C19" s="22" t="inlineStr">
        <is>
          <t>نسبة إغلاق ملاحظات الجودة الميدانية</t>
        </is>
      </c>
      <c r="D19" s="61" t="inlineStr">
        <is>
          <t>%</t>
        </is>
      </c>
      <c r="E19" s="61" t="inlineStr">
        <is>
          <t>↑</t>
        </is>
      </c>
      <c r="F19" s="61" t="inlineStr">
        <is>
          <t>AVG</t>
        </is>
      </c>
      <c r="G19" s="75" t="n">
        <v>0.95</v>
      </c>
      <c r="H19" s="63" t="inlineStr">
        <is>
          <t>95%+</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جودة التشغيل</t>
        </is>
      </c>
      <c r="Z19" s="54" t="n"/>
      <c r="AA19" s="21" t="inlineStr">
        <is>
          <t>🟣 لاحق</t>
        </is>
      </c>
      <c r="AB19" s="54" t="n">
        <v>0.0278</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1" t="inlineStr">
        <is>
          <t>درجة/100</t>
        </is>
      </c>
      <c r="E20" s="61" t="inlineStr">
        <is>
          <t>↑</t>
        </is>
      </c>
      <c r="F20" s="61" t="inlineStr">
        <is>
          <t>AVG</t>
        </is>
      </c>
      <c r="G20" s="76" t="n">
        <v>85</v>
      </c>
      <c r="H20" s="63" t="inlineStr">
        <is>
          <t>85+</t>
        </is>
      </c>
      <c r="I20" s="77" t="n"/>
      <c r="J20" s="77" t="n"/>
      <c r="K20" s="77" t="n"/>
      <c r="L20" s="77" t="n"/>
      <c r="M20" s="77" t="n"/>
      <c r="N20" s="77" t="n"/>
      <c r="O20" s="77" t="n"/>
      <c r="P20" s="77" t="n"/>
      <c r="Q20" s="77" t="n"/>
      <c r="R20" s="77" t="n"/>
      <c r="S20" s="77" t="n"/>
      <c r="T20" s="77" t="n"/>
      <c r="U20" s="78">
        <f>IF($F20="SUM",IF(COUNT($I20:$T20)=0,"",SUM($I20:$T20)),IF($F20="AVG",IFERROR(AVERAGE($I20:$T20),""),IF($F20="LAST",IFERROR(LOOKUP(2,1/($I20:$T20&lt;&gt;""),$I20:$T20),""),"")))</f>
        <v/>
      </c>
      <c r="V20" s="23">
        <f>IF($G20="","",IF($U20="","",IF($G20=0,IF($U20&lt;=0,1,0),IF($E20="↓",IFERROR($G20/$U20,0),IFERROR($U20/$G20,0)))))</f>
        <v/>
      </c>
      <c r="W20" s="17">
        <f>IF($V20="","—",IF($V20&gt;=1,"✅ محقق",IF($V20&gt;=0.85,"🟡 قريب","🔴 تحت الهدف")))</f>
        <v/>
      </c>
      <c r="X20" s="66" t="inlineStr">
        <is>
          <t>الاستدامة</t>
        </is>
      </c>
      <c r="Y20" s="22" t="inlineStr">
        <is>
          <t>جودة التشغيل</t>
        </is>
      </c>
      <c r="Z20" s="79" t="n"/>
      <c r="AA20" s="21" t="inlineStr">
        <is>
          <t>🟣 لاحق</t>
        </is>
      </c>
      <c r="AB20" s="54" t="n">
        <v>0.0278</v>
      </c>
      <c r="AC20" s="23">
        <f>IF($V20="","",$AB20*MIN($V20,1))</f>
        <v/>
      </c>
      <c r="AD20" s="76">
        <f>IF($G20="","",IF($F20="SUM",IF('لوحة الإدارة التنفيذية'!$P$2="","",$G20/12*'لوحة الإدارة التنفيذية'!$P$2),$G20))</f>
        <v/>
      </c>
      <c r="AE20" s="80">
        <f>IF($F20="SUM",IF(OR('لوحة الإدارة التنفيذية'!$P$2="",'لوحة الإدارة التنفيذية'!$P$2=0),"",IF($U20="","",$U20/'لوحة الإدارة التنفيذية'!$P$2*12)),IF($U20="","",$U20))</f>
        <v/>
      </c>
      <c r="AF20" s="76">
        <f>IF(OR($AE20="",$G20=""),"",$AE20-$G20)</f>
        <v/>
      </c>
      <c r="AG20" s="17">
        <f>IF(OR($AE20="",$G20=""),"—",IF($E20="↓",IF($AE20&lt;=$G20,"🟢 على المسار",IF($AE20&lt;=$G20*1.1,"🟡 متابعة","🔴 خطر")),IF($AE20&gt;=$G20,"🟢 على المسار",IF($AE20&gt;=$G20*0.85,"🟡 متابعة","🔴 خطر"))))</f>
        <v/>
      </c>
      <c r="AH20" s="69"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1" t="inlineStr">
        <is>
          <t>%</t>
        </is>
      </c>
      <c r="E21" s="61" t="inlineStr">
        <is>
          <t>↑</t>
        </is>
      </c>
      <c r="F21" s="61" t="inlineStr">
        <is>
          <t>AVG</t>
        </is>
      </c>
      <c r="G21" s="75" t="n">
        <v>1</v>
      </c>
      <c r="H21" s="63" t="inlineStr">
        <is>
          <t>100%</t>
        </is>
      </c>
      <c r="I21" s="74" t="n"/>
      <c r="J21" s="74" t="n"/>
      <c r="K21" s="74" t="n"/>
      <c r="L21" s="74" t="n"/>
      <c r="M21" s="74" t="n"/>
      <c r="N21" s="74" t="n"/>
      <c r="O21" s="74" t="n"/>
      <c r="P21" s="74" t="n"/>
      <c r="Q21" s="74" t="n"/>
      <c r="R21" s="74" t="n"/>
      <c r="S21" s="74" t="n"/>
      <c r="T21" s="74" t="n"/>
      <c r="U21" s="60">
        <f>IF($F21="SUM",IF(COUNT($I21:$T21)=0,"",SUM($I21:$T21)),IF($F21="AVG",IFERROR(AVERAGE($I21:$T21),""),IF($F21="LAST",IFERROR(LOOKUP(2,1/($I21:$T21&lt;&gt;""),$I21:$T21),""),"")))</f>
        <v/>
      </c>
      <c r="V21" s="23">
        <f>IF($G21="","",IF($U21="","",IF($G21=0,IF($U21&lt;=0,1,0),IF($E21="↓",IFERROR($G21/$U21,0),IFERROR($U21/$G21,0)))))</f>
        <v/>
      </c>
      <c r="W21" s="17">
        <f>IF($V21="","—",IF($V21&gt;=1,"✅ محقق",IF($V21&gt;=0.85,"🟡 قريب","🔴 تحت الهدف")))</f>
        <v/>
      </c>
      <c r="X21" s="66" t="inlineStr">
        <is>
          <t>الاستدامة</t>
        </is>
      </c>
      <c r="Y21" s="22" t="inlineStr">
        <is>
          <t>جودة التشغيل</t>
        </is>
      </c>
      <c r="Z21" s="54" t="n"/>
      <c r="AA21" s="21" t="inlineStr">
        <is>
          <t>🔵 قائد</t>
        </is>
      </c>
      <c r="AB21" s="54" t="n">
        <v>0.0278</v>
      </c>
      <c r="AC21" s="23">
        <f>IF($V21="","",$AB21*MIN($V21,1))</f>
        <v/>
      </c>
      <c r="AD21" s="75">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5">
        <f>IF(OR($AE21="",$G21=""),"",$AE21-$G21)</f>
        <v/>
      </c>
      <c r="AG21" s="17">
        <f>IF(OR($AE21="",$G21=""),"—",IF($E21="↓",IF($AE21&lt;=$G21,"🟢 على المسار",IF($AE21&lt;=$G21*1.1,"🟡 متابعة","🔴 خطر")),IF($AE21&gt;=$G21,"🟢 على المسار",IF($AE21&gt;=$G21*0.85,"🟡 متابعة","🔴 خطر"))))</f>
        <v/>
      </c>
      <c r="AH21" s="69"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1" t="inlineStr">
        <is>
          <t>%</t>
        </is>
      </c>
      <c r="E22" s="61" t="inlineStr">
        <is>
          <t>↑</t>
        </is>
      </c>
      <c r="F22" s="61" t="inlineStr">
        <is>
          <t>AVG</t>
        </is>
      </c>
      <c r="G22" s="75" t="n">
        <v>1</v>
      </c>
      <c r="H22" s="63" t="inlineStr">
        <is>
          <t>100%</t>
        </is>
      </c>
      <c r="I22" s="74" t="n"/>
      <c r="J22" s="74" t="n"/>
      <c r="K22" s="74" t="n"/>
      <c r="L22" s="74" t="n"/>
      <c r="M22" s="74" t="n"/>
      <c r="N22" s="74" t="n"/>
      <c r="O22" s="74" t="n"/>
      <c r="P22" s="74" t="n"/>
      <c r="Q22" s="74" t="n"/>
      <c r="R22" s="74" t="n"/>
      <c r="S22" s="74" t="n"/>
      <c r="T22" s="74" t="n"/>
      <c r="U22" s="60">
        <f>IF($F22="SUM",IF(COUNT($I22:$T22)=0,"",SUM($I22:$T22)),IF($F22="AVG",IFERROR(AVERAGE($I22:$T22),""),IF($F22="LAST",IFERROR(LOOKUP(2,1/($I22:$T22&lt;&gt;""),$I22:$T22),""),"")))</f>
        <v/>
      </c>
      <c r="V22" s="23">
        <f>IF($G22="","",IF($U22="","",IF($G22=0,IF($U22&lt;=0,1,0),IF($E22="↓",IFERROR($G22/$U22,0),IFERROR($U22/$G22,0)))))</f>
        <v/>
      </c>
      <c r="W22" s="17">
        <f>IF($V22="","—",IF($V22&gt;=1,"✅ محقق",IF($V22&gt;=0.85,"🟡 قريب","🔴 تحت الهدف")))</f>
        <v/>
      </c>
      <c r="X22" s="66" t="inlineStr">
        <is>
          <t>الاستدامة</t>
        </is>
      </c>
      <c r="Y22" s="22" t="inlineStr">
        <is>
          <t>جودة التشغيل</t>
        </is>
      </c>
      <c r="Z22" s="54" t="n"/>
      <c r="AA22" s="21" t="inlineStr">
        <is>
          <t>🟣 لاحق</t>
        </is>
      </c>
      <c r="AB22" s="54" t="n">
        <v>0.0278</v>
      </c>
      <c r="AC22" s="23">
        <f>IF($V22="","",$AB22*MIN($V22,1))</f>
        <v/>
      </c>
      <c r="AD22" s="75">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5">
        <f>IF(OR($AE22="",$G22=""),"",$AE22-$G22)</f>
        <v/>
      </c>
      <c r="AG22" s="17">
        <f>IF(OR($AE22="",$G22=""),"—",IF($E22="↓",IF($AE22&lt;=$G22,"🟢 على المسار",IF($AE22&lt;=$G22*1.1,"🟡 متابعة","🔴 خطر")),IF($AE22&gt;=$G22,"🟢 على المسار",IF($AE22&gt;=$G22*0.85,"🟡 متابعة","🔴 خطر"))))</f>
        <v/>
      </c>
      <c r="AH22" s="69" t="inlineStr">
        <is>
          <t>العمليات الداخلية</t>
        </is>
      </c>
    </row>
    <row r="23" ht="26" customHeight="1">
      <c r="A23" s="17" t="n">
        <v>20</v>
      </c>
      <c r="B23" s="22" t="inlineStr">
        <is>
          <t>التشغيل والجودة</t>
        </is>
      </c>
      <c r="C23" s="22" t="inlineStr">
        <is>
          <t>متوسط وقت معالجة البلاغات التشغيلية</t>
        </is>
      </c>
      <c r="D23" s="61" t="inlineStr">
        <is>
          <t>ساعة</t>
        </is>
      </c>
      <c r="E23" s="61" t="inlineStr">
        <is>
          <t>↓</t>
        </is>
      </c>
      <c r="F23" s="61" t="inlineStr">
        <is>
          <t>AVG</t>
        </is>
      </c>
      <c r="G23" s="76" t="n">
        <v>24</v>
      </c>
      <c r="H23" s="63" t="inlineStr">
        <is>
          <t>≤ 24 ساعة</t>
        </is>
      </c>
      <c r="I23" s="77" t="n"/>
      <c r="J23" s="77" t="n"/>
      <c r="K23" s="77" t="n"/>
      <c r="L23" s="77" t="n"/>
      <c r="M23" s="77" t="n"/>
      <c r="N23" s="77" t="n"/>
      <c r="O23" s="77" t="n"/>
      <c r="P23" s="77" t="n"/>
      <c r="Q23" s="77" t="n"/>
      <c r="R23" s="77" t="n"/>
      <c r="S23" s="77" t="n"/>
      <c r="T23" s="77" t="n"/>
      <c r="U23" s="78">
        <f>IF($F23="SUM",IF(COUNT($I23:$T23)=0,"",SUM($I23:$T23)),IF($F23="AVG",IFERROR(AVERAGE($I23:$T23),""),IF($F23="LAST",IFERROR(LOOKUP(2,1/($I23:$T23&lt;&gt;""),$I23:$T23),""),"")))</f>
        <v/>
      </c>
      <c r="V23" s="23">
        <f>IF($G23="","",IF($U23="","",IF($G23=0,IF($U23&lt;=0,1,0),IF($E23="↓",IFERROR($G23/$U23,0),IFERROR($U23/$G23,0)))))</f>
        <v/>
      </c>
      <c r="W23" s="17">
        <f>IF($V23="","—",IF($V23&gt;=1,"✅ محقق",IF($V23&gt;=0.85,"🟡 قريب","🔴 تحت الهدف")))</f>
        <v/>
      </c>
      <c r="X23" s="66" t="inlineStr">
        <is>
          <t>الاستدامة</t>
        </is>
      </c>
      <c r="Y23" s="22" t="inlineStr">
        <is>
          <t>جودة التشغيل</t>
        </is>
      </c>
      <c r="Z23" s="79" t="n"/>
      <c r="AA23" s="21" t="inlineStr">
        <is>
          <t>🟣 لاحق</t>
        </is>
      </c>
      <c r="AB23" s="54" t="n">
        <v>0.0278</v>
      </c>
      <c r="AC23" s="23">
        <f>IF($V23="","",$AB23*MIN($V23,1))</f>
        <v/>
      </c>
      <c r="AD23" s="76">
        <f>IF($G23="","",IF($F23="SUM",IF('لوحة الإدارة التنفيذية'!$P$2="","",$G23/12*'لوحة الإدارة التنفيذية'!$P$2),$G23))</f>
        <v/>
      </c>
      <c r="AE23" s="80">
        <f>IF($F23="SUM",IF(OR('لوحة الإدارة التنفيذية'!$P$2="",'لوحة الإدارة التنفيذية'!$P$2=0),"",IF($U23="","",$U23/'لوحة الإدارة التنفيذية'!$P$2*12)),IF($U23="","",$U23))</f>
        <v/>
      </c>
      <c r="AF23" s="76">
        <f>IF(OR($AE23="",$G23=""),"",$AE23-$G23)</f>
        <v/>
      </c>
      <c r="AG23" s="17">
        <f>IF(OR($AE23="",$G23=""),"—",IF($E23="↓",IF($AE23&lt;=$G23,"🟢 على المسار",IF($AE23&lt;=$G23*1.1,"🟡 متابعة","🔴 خطر")),IF($AE23&gt;=$G23,"🟢 على المسار",IF($AE23&gt;=$G23*0.85,"🟡 متابعة","🔴 خطر"))))</f>
        <v/>
      </c>
      <c r="AH23" s="69" t="inlineStr">
        <is>
          <t>العمليات الداخلية</t>
        </is>
      </c>
    </row>
    <row r="24" ht="26" customHeight="1">
      <c r="A24" s="17" t="n">
        <v>21</v>
      </c>
      <c r="B24" s="22" t="inlineStr">
        <is>
          <t>التشغيل والجودة</t>
        </is>
      </c>
      <c r="C24" s="22" t="inlineStr">
        <is>
          <t>نسبة أتمتة محطات الامتياز</t>
        </is>
      </c>
      <c r="D24" s="61" t="inlineStr">
        <is>
          <t>%</t>
        </is>
      </c>
      <c r="E24" s="61" t="inlineStr">
        <is>
          <t>↑</t>
        </is>
      </c>
      <c r="F24" s="61" t="inlineStr">
        <is>
          <t>LAST</t>
        </is>
      </c>
      <c r="G24" s="75" t="n">
        <v>0.9</v>
      </c>
      <c r="H24" s="63" t="inlineStr">
        <is>
          <t>90%</t>
        </is>
      </c>
      <c r="I24" s="74" t="n"/>
      <c r="J24" s="74" t="n"/>
      <c r="K24" s="74" t="n"/>
      <c r="L24" s="74" t="n"/>
      <c r="M24" s="74" t="n"/>
      <c r="N24" s="74" t="n"/>
      <c r="O24" s="74" t="n"/>
      <c r="P24" s="74" t="n"/>
      <c r="Q24" s="74" t="n"/>
      <c r="R24" s="74" t="n"/>
      <c r="S24" s="74" t="n"/>
      <c r="T24" s="74" t="n"/>
      <c r="U24" s="60">
        <f>IF($F24="SUM",IF(COUNT($I24:$T24)=0,"",SUM($I24:$T24)),IF($F24="AVG",IFERROR(AVERAGE($I24:$T24),""),IF($F24="LAST",IFERROR(LOOKUP(2,1/($I24:$T24&lt;&gt;""),$I24:$T24),""),"")))</f>
        <v/>
      </c>
      <c r="V24" s="23">
        <f>IF($G24="","",IF($U24="","",IF($G24=0,IF($U24&lt;=0,1,0),IF($E24="↓",IFERROR($G24/$U24,0),IFERROR($U24/$G24,0)))))</f>
        <v/>
      </c>
      <c r="W24" s="17">
        <f>IF($V24="","—",IF($V24&gt;=1,"✅ محقق",IF($V24&gt;=0.85,"🟡 قريب","🔴 تحت الهدف")))</f>
        <v/>
      </c>
      <c r="X24" s="66" t="inlineStr">
        <is>
          <t>الابتكار</t>
        </is>
      </c>
      <c r="Y24" s="22" t="inlineStr">
        <is>
          <t>التحول التقني</t>
        </is>
      </c>
      <c r="Z24" s="54" t="n"/>
      <c r="AA24" s="21" t="inlineStr">
        <is>
          <t>🟣 لاحق</t>
        </is>
      </c>
      <c r="AB24" s="54" t="n">
        <v>0.0278</v>
      </c>
      <c r="AC24" s="23">
        <f>IF($V24="","",$AB24*MIN($V24,1))</f>
        <v/>
      </c>
      <c r="AD24" s="75">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9" t="inlineStr">
        <is>
          <t>التعلّم والنمو</t>
        </is>
      </c>
    </row>
    <row r="25" ht="26" customHeight="1">
      <c r="A25" s="17" t="n">
        <v>22</v>
      </c>
      <c r="B25" s="22" t="inlineStr">
        <is>
          <t>التشغيل والجودة</t>
        </is>
      </c>
      <c r="C25" s="22" t="inlineStr">
        <is>
          <t>نسبة تطبيق المعيار الشامل داخل المحطات</t>
        </is>
      </c>
      <c r="D25" s="61" t="inlineStr">
        <is>
          <t>%</t>
        </is>
      </c>
      <c r="E25" s="61" t="inlineStr">
        <is>
          <t>↑</t>
        </is>
      </c>
      <c r="F25" s="61" t="inlineStr">
        <is>
          <t>LAST</t>
        </is>
      </c>
      <c r="G25" s="75" t="n">
        <v>0.3</v>
      </c>
      <c r="H25" s="63" t="inlineStr">
        <is>
          <t>30%</t>
        </is>
      </c>
      <c r="I25" s="74" t="n"/>
      <c r="J25" s="74" t="n"/>
      <c r="K25" s="74" t="n"/>
      <c r="L25" s="74" t="n"/>
      <c r="M25" s="74" t="n"/>
      <c r="N25" s="74" t="n"/>
      <c r="O25" s="74" t="n"/>
      <c r="P25" s="74" t="n"/>
      <c r="Q25" s="74" t="n"/>
      <c r="R25" s="74" t="n"/>
      <c r="S25" s="74" t="n"/>
      <c r="T25" s="74" t="n"/>
      <c r="U25" s="60">
        <f>IF($F25="SUM",IF(COUNT($I25:$T25)=0,"",SUM($I25:$T25)),IF($F25="AVG",IFERROR(AVERAGE($I25:$T25),""),IF($F25="LAST",IFERROR(LOOKUP(2,1/($I25:$T25&lt;&gt;""),$I25:$T25),""),"")))</f>
        <v/>
      </c>
      <c r="V25" s="23">
        <f>IF($G25="","",IF($U25="","",IF($G25=0,IF($U25&lt;=0,1,0),IF($E25="↓",IFERROR($G25/$U25,0),IFERROR($U25/$G25,0)))))</f>
        <v/>
      </c>
      <c r="W25" s="17">
        <f>IF($V25="","—",IF($V25&gt;=1,"✅ محقق",IF($V25&gt;=0.85,"🟡 قريب","🔴 تحت الهدف")))</f>
        <v/>
      </c>
      <c r="X25" s="66" t="inlineStr">
        <is>
          <t>الابتكار</t>
        </is>
      </c>
      <c r="Y25" s="22" t="inlineStr">
        <is>
          <t>التحول التقني</t>
        </is>
      </c>
      <c r="Z25" s="54" t="n"/>
      <c r="AA25" s="21" t="inlineStr">
        <is>
          <t>🟣 لاحق</t>
        </is>
      </c>
      <c r="AB25" s="54" t="n">
        <v>0.0278</v>
      </c>
      <c r="AC25" s="23">
        <f>IF($V25="","",$AB25*MIN($V25,1))</f>
        <v/>
      </c>
      <c r="AD25" s="75">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5">
        <f>IF(OR($AE25="",$G25=""),"",$AE25-$G25)</f>
        <v/>
      </c>
      <c r="AG25" s="17">
        <f>IF(OR($AE25="",$G25=""),"—",IF($E25="↓",IF($AE25&lt;=$G25,"🟢 على المسار",IF($AE25&lt;=$G25*1.1,"🟡 متابعة","🔴 خطر")),IF($AE25&gt;=$G25,"🟢 على المسار",IF($AE25&gt;=$G25*0.85,"🟡 متابعة","🔴 خطر"))))</f>
        <v/>
      </c>
      <c r="AH25" s="69"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1" t="inlineStr">
        <is>
          <t>%</t>
        </is>
      </c>
      <c r="E26" s="61" t="inlineStr">
        <is>
          <t>↑</t>
        </is>
      </c>
      <c r="F26" s="61" t="inlineStr">
        <is>
          <t>LAST</t>
        </is>
      </c>
      <c r="G26" s="75" t="n">
        <v>0.55</v>
      </c>
      <c r="H26" s="63" t="inlineStr">
        <is>
          <t>55%</t>
        </is>
      </c>
      <c r="I26" s="74" t="n"/>
      <c r="J26" s="74" t="n"/>
      <c r="K26" s="74" t="n"/>
      <c r="L26" s="74" t="n"/>
      <c r="M26" s="74" t="n"/>
      <c r="N26" s="74" t="n"/>
      <c r="O26" s="74" t="n"/>
      <c r="P26" s="74" t="n"/>
      <c r="Q26" s="74" t="n"/>
      <c r="R26" s="74" t="n"/>
      <c r="S26" s="74" t="n"/>
      <c r="T26" s="74" t="n"/>
      <c r="U26" s="60">
        <f>IF($F26="SUM",IF(COUNT($I26:$T26)=0,"",SUM($I26:$T26)),IF($F26="AVG",IFERROR(AVERAGE($I26:$T26),""),IF($F26="LAST",IFERROR(LOOKUP(2,1/($I26:$T26&lt;&gt;""),$I26:$T26),""),"")))</f>
        <v/>
      </c>
      <c r="V26" s="23">
        <f>IF($G26="","",IF($U26="","",IF($G26=0,IF($U26&lt;=0,1,0),IF($E26="↓",IFERROR($G26/$U26,0),IFERROR($U26/$G26,0)))))</f>
        <v/>
      </c>
      <c r="W26" s="17">
        <f>IF($V26="","—",IF($V26&gt;=1,"✅ محقق",IF($V26&gt;=0.85,"🟡 قريب","🔴 تحت الهدف")))</f>
        <v/>
      </c>
      <c r="X26" s="66" t="inlineStr">
        <is>
          <t>الابتكار</t>
        </is>
      </c>
      <c r="Y26" s="22" t="inlineStr">
        <is>
          <t>تطوير التصاميم والهوية</t>
        </is>
      </c>
      <c r="Z26" s="54" t="n"/>
      <c r="AA26" s="21" t="inlineStr">
        <is>
          <t>🟣 لاحق</t>
        </is>
      </c>
      <c r="AB26" s="54" t="n">
        <v>0.0278</v>
      </c>
      <c r="AC26" s="23">
        <f>IF($V26="","",$AB26*MIN($V26,1))</f>
        <v/>
      </c>
      <c r="AD26" s="75">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9" t="inlineStr">
        <is>
          <t>التعلّم والنمو</t>
        </is>
      </c>
    </row>
    <row r="27" ht="26" customHeight="1">
      <c r="A27" s="17" t="n">
        <v>24</v>
      </c>
      <c r="B27" s="22" t="inlineStr">
        <is>
          <t>التوسع الإقليمي</t>
        </is>
      </c>
      <c r="C27" s="22" t="inlineStr">
        <is>
          <t>نسبة العقود التي تغطي المناطق الـ13</t>
        </is>
      </c>
      <c r="D27" s="61" t="inlineStr">
        <is>
          <t>%</t>
        </is>
      </c>
      <c r="E27" s="61" t="inlineStr">
        <is>
          <t>↑</t>
        </is>
      </c>
      <c r="F27" s="61" t="inlineStr">
        <is>
          <t>LAST</t>
        </is>
      </c>
      <c r="G27" s="75" t="n">
        <v>1</v>
      </c>
      <c r="H27" s="63" t="inlineStr">
        <is>
          <t>100%</t>
        </is>
      </c>
      <c r="I27" s="74" t="n"/>
      <c r="J27" s="74" t="n"/>
      <c r="K27" s="74" t="n"/>
      <c r="L27" s="74" t="n"/>
      <c r="M27" s="74" t="n"/>
      <c r="N27" s="74" t="n"/>
      <c r="O27" s="74" t="n"/>
      <c r="P27" s="74" t="n"/>
      <c r="Q27" s="74" t="n"/>
      <c r="R27" s="74" t="n"/>
      <c r="S27" s="74" t="n"/>
      <c r="T27" s="74" t="n"/>
      <c r="U27" s="60">
        <f>IF($F27="SUM",IF(COUNT($I27:$T27)=0,"",SUM($I27:$T27)),IF($F27="AVG",IFERROR(AVERAGE($I27:$T27),""),IF($F27="LAST",IFERROR(LOOKUP(2,1/($I27:$T27&lt;&gt;""),$I27:$T27),""),"")))</f>
        <v/>
      </c>
      <c r="V27" s="23">
        <f>IF($G27="","",IF($U27="","",IF($G27=0,IF($U27&lt;=0,1,0),IF($E27="↓",IFERROR($G27/$U27,0),IFERROR($U27/$G27,0)))))</f>
        <v/>
      </c>
      <c r="W27" s="17">
        <f>IF($V27="","—",IF($V27&gt;=1,"✅ محقق",IF($V27&gt;=0.85,"🟡 قريب","🔴 تحت الهدف")))</f>
        <v/>
      </c>
      <c r="X27" s="66" t="inlineStr">
        <is>
          <t>النمو</t>
        </is>
      </c>
      <c r="Y27" s="22" t="inlineStr">
        <is>
          <t>التوسع في المواقع</t>
        </is>
      </c>
      <c r="Z27" s="54" t="n"/>
      <c r="AA27" s="21" t="inlineStr">
        <is>
          <t>🟣 لاحق</t>
        </is>
      </c>
      <c r="AB27" s="54" t="n">
        <v>0.0278</v>
      </c>
      <c r="AC27" s="23">
        <f>IF($V27="","",$AB27*MIN($V27,1))</f>
        <v/>
      </c>
      <c r="AD27" s="75">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5">
        <f>IF(OR($AE27="",$G27=""),"",$AE27-$G27)</f>
        <v/>
      </c>
      <c r="AG27" s="17">
        <f>IF(OR($AE27="",$G27=""),"—",IF($E27="↓",IF($AE27&lt;=$G27,"🟢 على المسار",IF($AE27&lt;=$G27*1.1,"🟡 متابعة","🔴 خطر")),IF($AE27&gt;=$G27,"🟢 على المسار",IF($AE27&gt;=$G27*0.85,"🟡 متابعة","🔴 خطر"))))</f>
        <v/>
      </c>
      <c r="AH27" s="69" t="inlineStr">
        <is>
          <t>العمليات الداخلية</t>
        </is>
      </c>
    </row>
    <row r="28" ht="26" customHeight="1">
      <c r="A28" s="17" t="n">
        <v>25</v>
      </c>
      <c r="B28" s="22" t="inlineStr">
        <is>
          <t>التوسع الإقليمي</t>
        </is>
      </c>
      <c r="C28" s="22" t="inlineStr">
        <is>
          <t>نسبة العقود في الـ12 مدينة الرئيسية</t>
        </is>
      </c>
      <c r="D28" s="61" t="inlineStr">
        <is>
          <t>%</t>
        </is>
      </c>
      <c r="E28" s="61" t="inlineStr">
        <is>
          <t>↓</t>
        </is>
      </c>
      <c r="F28" s="61" t="inlineStr">
        <is>
          <t>LAST</t>
        </is>
      </c>
      <c r="G28" s="75" t="n">
        <v>0.4</v>
      </c>
      <c r="H28" s="63" t="inlineStr">
        <is>
          <t>&lt; 40%</t>
        </is>
      </c>
      <c r="I28" s="74" t="n"/>
      <c r="J28" s="74" t="n"/>
      <c r="K28" s="74" t="n"/>
      <c r="L28" s="74" t="n"/>
      <c r="M28" s="74" t="n"/>
      <c r="N28" s="74" t="n"/>
      <c r="O28" s="74" t="n"/>
      <c r="P28" s="74" t="n"/>
      <c r="Q28" s="74" t="n"/>
      <c r="R28" s="74" t="n"/>
      <c r="S28" s="74" t="n"/>
      <c r="T28" s="74" t="n"/>
      <c r="U28" s="60">
        <f>IF($F28="SUM",IF(COUNT($I28:$T28)=0,"",SUM($I28:$T28)),IF($F28="AVG",IFERROR(AVERAGE($I28:$T28),""),IF($F28="LAST",IFERROR(LOOKUP(2,1/($I28:$T28&lt;&gt;""),$I28:$T28),""),"")))</f>
        <v/>
      </c>
      <c r="V28" s="23">
        <f>IF($G28="","",IF($U28="","",IF($G28=0,IF($U28&lt;=0,1,0),IF($E28="↓",IFERROR($G28/$U28,0),IFERROR($U28/$G28,0)))))</f>
        <v/>
      </c>
      <c r="W28" s="17">
        <f>IF($V28="","—",IF($V28&gt;=1,"✅ محقق",IF($V28&gt;=0.85,"🟡 قريب","🔴 تحت الهدف")))</f>
        <v/>
      </c>
      <c r="X28" s="66" t="inlineStr">
        <is>
          <t>النمو</t>
        </is>
      </c>
      <c r="Y28" s="22" t="inlineStr">
        <is>
          <t>التوسع في المواقع</t>
        </is>
      </c>
      <c r="Z28" s="54" t="n"/>
      <c r="AA28" s="21" t="inlineStr">
        <is>
          <t>🟣 لاحق</t>
        </is>
      </c>
      <c r="AB28" s="54" t="n">
        <v>0.0278</v>
      </c>
      <c r="AC28" s="23">
        <f>IF($V28="","",$AB28*MIN($V28,1))</f>
        <v/>
      </c>
      <c r="AD28" s="75">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5">
        <f>IF(OR($AE28="",$G28=""),"",$AE28-$G28)</f>
        <v/>
      </c>
      <c r="AG28" s="17">
        <f>IF(OR($AE28="",$G28=""),"—",IF($E28="↓",IF($AE28&lt;=$G28,"🟢 على المسار",IF($AE28&lt;=$G28*1.1,"🟡 متابعة","🔴 خطر")),IF($AE28&gt;=$G28,"🟢 على المسار",IF($AE28&gt;=$G28*0.85,"🟡 متابعة","🔴 خطر"))))</f>
        <v/>
      </c>
      <c r="AH28" s="69" t="inlineStr">
        <is>
          <t>العمليات الداخلية</t>
        </is>
      </c>
    </row>
    <row r="29" ht="26" customHeight="1">
      <c r="A29" s="17" t="n">
        <v>26</v>
      </c>
      <c r="B29" s="22" t="inlineStr">
        <is>
          <t>التوسع الإقليمي</t>
        </is>
      </c>
      <c r="C29" s="22" t="inlineStr">
        <is>
          <t>نسبة العقود خارج المدن الرئيسية</t>
        </is>
      </c>
      <c r="D29" s="61" t="inlineStr">
        <is>
          <t>%</t>
        </is>
      </c>
      <c r="E29" s="61" t="inlineStr">
        <is>
          <t>↑</t>
        </is>
      </c>
      <c r="F29" s="61" t="inlineStr">
        <is>
          <t>LAST</t>
        </is>
      </c>
      <c r="G29" s="75" t="n">
        <v>0.6</v>
      </c>
      <c r="H29" s="63" t="inlineStr">
        <is>
          <t>&gt; 60%</t>
        </is>
      </c>
      <c r="I29" s="74" t="n"/>
      <c r="J29" s="74" t="n"/>
      <c r="K29" s="74" t="n"/>
      <c r="L29" s="74" t="n"/>
      <c r="M29" s="74" t="n"/>
      <c r="N29" s="74" t="n"/>
      <c r="O29" s="74" t="n"/>
      <c r="P29" s="74" t="n"/>
      <c r="Q29" s="74" t="n"/>
      <c r="R29" s="74" t="n"/>
      <c r="S29" s="74" t="n"/>
      <c r="T29" s="74" t="n"/>
      <c r="U29" s="60">
        <f>IF($F29="SUM",IF(COUNT($I29:$T29)=0,"",SUM($I29:$T29)),IF($F29="AVG",IFERROR(AVERAGE($I29:$T29),""),IF($F29="LAST",IFERROR(LOOKUP(2,1/($I29:$T29&lt;&gt;""),$I29:$T29),""),"")))</f>
        <v/>
      </c>
      <c r="V29" s="23">
        <f>IF($G29="","",IF($U29="","",IF($G29=0,IF($U29&lt;=0,1,0),IF($E29="↓",IFERROR($G29/$U29,0),IFERROR($U29/$G29,0)))))</f>
        <v/>
      </c>
      <c r="W29" s="17">
        <f>IF($V29="","—",IF($V29&gt;=1,"✅ محقق",IF($V29&gt;=0.85,"🟡 قريب","🔴 تحت الهدف")))</f>
        <v/>
      </c>
      <c r="X29" s="66" t="inlineStr">
        <is>
          <t>النمو</t>
        </is>
      </c>
      <c r="Y29" s="22" t="inlineStr">
        <is>
          <t>التوسع في المواقع</t>
        </is>
      </c>
      <c r="Z29" s="54" t="n"/>
      <c r="AA29" s="21" t="inlineStr">
        <is>
          <t>🟣 لاحق</t>
        </is>
      </c>
      <c r="AB29" s="54" t="n">
        <v>0.0278</v>
      </c>
      <c r="AC29" s="23">
        <f>IF($V29="","",$AB29*MIN($V29,1))</f>
        <v/>
      </c>
      <c r="AD29" s="75">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5">
        <f>IF(OR($AE29="",$G29=""),"",$AE29-$G29)</f>
        <v/>
      </c>
      <c r="AG29" s="17">
        <f>IF(OR($AE29="",$G29=""),"—",IF($E29="↓",IF($AE29&lt;=$G29,"🟢 على المسار",IF($AE29&lt;=$G29*1.1,"🟡 متابعة","🔴 خطر")),IF($AE29&gt;=$G29,"🟢 على المسار",IF($AE29&gt;=$G29*0.85,"🟡 متابعة","🔴 خطر"))))</f>
        <v/>
      </c>
      <c r="AH29" s="69" t="inlineStr">
        <is>
          <t>العمليات الداخلية</t>
        </is>
      </c>
    </row>
    <row r="30" ht="26" customHeight="1">
      <c r="A30" s="17" t="n">
        <v>27</v>
      </c>
      <c r="B30" s="22" t="inlineStr">
        <is>
          <t>التوسع الإقليمي</t>
        </is>
      </c>
      <c r="C30" s="22" t="inlineStr">
        <is>
          <t>نسبة العقود على الطرق الإقليمية</t>
        </is>
      </c>
      <c r="D30" s="61" t="inlineStr">
        <is>
          <t>%</t>
        </is>
      </c>
      <c r="E30" s="61" t="inlineStr">
        <is>
          <t>↑</t>
        </is>
      </c>
      <c r="F30" s="61" t="inlineStr">
        <is>
          <t>LAST</t>
        </is>
      </c>
      <c r="G30" s="75" t="n">
        <v>0.25</v>
      </c>
      <c r="H30" s="63" t="inlineStr">
        <is>
          <t>&gt; 25%</t>
        </is>
      </c>
      <c r="I30" s="74" t="n"/>
      <c r="J30" s="74" t="n"/>
      <c r="K30" s="74" t="n"/>
      <c r="L30" s="74" t="n"/>
      <c r="M30" s="74" t="n"/>
      <c r="N30" s="74" t="n"/>
      <c r="O30" s="74" t="n"/>
      <c r="P30" s="74" t="n"/>
      <c r="Q30" s="74" t="n"/>
      <c r="R30" s="74" t="n"/>
      <c r="S30" s="74" t="n"/>
      <c r="T30" s="74" t="n"/>
      <c r="U30" s="60">
        <f>IF($F30="SUM",IF(COUNT($I30:$T30)=0,"",SUM($I30:$T30)),IF($F30="AVG",IFERROR(AVERAGE($I30:$T30),""),IF($F30="LAST",IFERROR(LOOKUP(2,1/($I30:$T30&lt;&gt;""),$I30:$T30),""),"")))</f>
        <v/>
      </c>
      <c r="V30" s="23">
        <f>IF($G30="","",IF($U30="","",IF($G30=0,IF($U30&lt;=0,1,0),IF($E30="↓",IFERROR($G30/$U30,0),IFERROR($U30/$G30,0)))))</f>
        <v/>
      </c>
      <c r="W30" s="17">
        <f>IF($V30="","—",IF($V30&gt;=1,"✅ محقق",IF($V30&gt;=0.85,"🟡 قريب","🔴 تحت الهدف")))</f>
        <v/>
      </c>
      <c r="X30" s="66" t="inlineStr">
        <is>
          <t>النمو</t>
        </is>
      </c>
      <c r="Y30" s="22" t="inlineStr">
        <is>
          <t>التوسع في المواقع</t>
        </is>
      </c>
      <c r="Z30" s="54" t="n"/>
      <c r="AA30" s="21" t="inlineStr">
        <is>
          <t>🟣 لاحق</t>
        </is>
      </c>
      <c r="AB30" s="54" t="n">
        <v>0.0278</v>
      </c>
      <c r="AC30" s="23">
        <f>IF($V30="","",$AB30*MIN($V30,1))</f>
        <v/>
      </c>
      <c r="AD30" s="75">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5">
        <f>IF(OR($AE30="",$G30=""),"",$AE30-$G30)</f>
        <v/>
      </c>
      <c r="AG30" s="17">
        <f>IF(OR($AE30="",$G30=""),"—",IF($E30="↓",IF($AE30&lt;=$G30,"🟢 على المسار",IF($AE30&lt;=$G30*1.1,"🟡 متابعة","🔴 خطر")),IF($AE30&gt;=$G30,"🟢 على المسار",IF($AE30&gt;=$G30*0.85,"🟡 متابعة","🔴 خطر"))))</f>
        <v/>
      </c>
      <c r="AH30" s="69"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1" t="inlineStr">
        <is>
          <t>نجمة/5</t>
        </is>
      </c>
      <c r="E31" s="61" t="inlineStr">
        <is>
          <t>↑</t>
        </is>
      </c>
      <c r="F31" s="61" t="inlineStr">
        <is>
          <t>AVG</t>
        </is>
      </c>
      <c r="G31" s="76" t="n">
        <v>4.7</v>
      </c>
      <c r="H31" s="63" t="inlineStr">
        <is>
          <t>≥ 4.7 نجمة</t>
        </is>
      </c>
      <c r="I31" s="77" t="n"/>
      <c r="J31" s="77" t="n"/>
      <c r="K31" s="77" t="n"/>
      <c r="L31" s="77" t="n"/>
      <c r="M31" s="77" t="n"/>
      <c r="N31" s="77" t="n"/>
      <c r="O31" s="77" t="n"/>
      <c r="P31" s="77" t="n"/>
      <c r="Q31" s="77" t="n"/>
      <c r="R31" s="77" t="n"/>
      <c r="S31" s="77" t="n"/>
      <c r="T31" s="77" t="n"/>
      <c r="U31" s="78">
        <f>IF($F31="SUM",IF(COUNT($I31:$T31)=0,"",SUM($I31:$T31)),IF($F31="AVG",IFERROR(AVERAGE($I31:$T31),""),IF($F31="LAST",IFERROR(LOOKUP(2,1/($I31:$T31&lt;&gt;""),$I31:$T31),""),"")))</f>
        <v/>
      </c>
      <c r="V31" s="23">
        <f>IF($G31="","",IF($U31="","",IF($G31=0,IF($U31&lt;=0,1,0),IF($E31="↓",IFERROR($G31/$U31,0),IFERROR($U31/$G31,0)))))</f>
        <v/>
      </c>
      <c r="W31" s="17">
        <f>IF($V31="","—",IF($V31&gt;=1,"✅ محقق",IF($V31&gt;=0.85,"🟡 قريب","🔴 تحت الهدف")))</f>
        <v/>
      </c>
      <c r="X31" s="66" t="inlineStr">
        <is>
          <t>الاستدامة</t>
        </is>
      </c>
      <c r="Y31" s="22" t="inlineStr">
        <is>
          <t>تعزيز تجربة العملاء</t>
        </is>
      </c>
      <c r="Z31" s="79" t="n"/>
      <c r="AA31" s="21" t="inlineStr">
        <is>
          <t>🟣 لاحق</t>
        </is>
      </c>
      <c r="AB31" s="54" t="n">
        <v>0.0278</v>
      </c>
      <c r="AC31" s="23">
        <f>IF($V31="","",$AB31*MIN($V31,1))</f>
        <v/>
      </c>
      <c r="AD31" s="76">
        <f>IF($G31="","",IF($F31="SUM",IF('لوحة الإدارة التنفيذية'!$P$2="","",$G31/12*'لوحة الإدارة التنفيذية'!$P$2),$G31))</f>
        <v/>
      </c>
      <c r="AE31" s="80">
        <f>IF($F31="SUM",IF(OR('لوحة الإدارة التنفيذية'!$P$2="",'لوحة الإدارة التنفيذية'!$P$2=0),"",IF($U31="","",$U31/'لوحة الإدارة التنفيذية'!$P$2*12)),IF($U31="","",$U31))</f>
        <v/>
      </c>
      <c r="AF31" s="76">
        <f>IF(OR($AE31="",$G31=""),"",$AE31-$G31)</f>
        <v/>
      </c>
      <c r="AG31" s="17">
        <f>IF(OR($AE31="",$G31=""),"—",IF($E31="↓",IF($AE31&lt;=$G31,"🟢 على المسار",IF($AE31&lt;=$G31*1.1,"🟡 متابعة","🔴 خطر")),IF($AE31&gt;=$G31,"🟢 على المسار",IF($AE31&gt;=$G31*0.85,"🟡 متابعة","🔴 خطر"))))</f>
        <v/>
      </c>
      <c r="AH31" s="69" t="inlineStr">
        <is>
          <t>العملاء</t>
        </is>
      </c>
    </row>
    <row r="32" ht="26" customHeight="1">
      <c r="A32" s="17" t="n">
        <v>29</v>
      </c>
      <c r="B32" s="22" t="inlineStr">
        <is>
          <t>تجربة العملاء والشركاء</t>
        </is>
      </c>
      <c r="C32" s="22" t="inlineStr">
        <is>
          <t>معدل رضا شركاء الامتياز (CSAT)</t>
        </is>
      </c>
      <c r="D32" s="61" t="inlineStr">
        <is>
          <t>%</t>
        </is>
      </c>
      <c r="E32" s="61" t="inlineStr">
        <is>
          <t>↑</t>
        </is>
      </c>
      <c r="F32" s="61" t="inlineStr">
        <is>
          <t>AVG</t>
        </is>
      </c>
      <c r="G32" s="75" t="n">
        <v>0.9</v>
      </c>
      <c r="H32" s="63" t="inlineStr">
        <is>
          <t>90%+</t>
        </is>
      </c>
      <c r="I32" s="74" t="n"/>
      <c r="J32" s="74" t="n"/>
      <c r="K32" s="74" t="n"/>
      <c r="L32" s="74" t="n"/>
      <c r="M32" s="74" t="n"/>
      <c r="N32" s="74" t="n"/>
      <c r="O32" s="74" t="n"/>
      <c r="P32" s="74" t="n"/>
      <c r="Q32" s="74" t="n"/>
      <c r="R32" s="74" t="n"/>
      <c r="S32" s="74" t="n"/>
      <c r="T32" s="74" t="n"/>
      <c r="U32" s="60">
        <f>IF($F32="SUM",IF(COUNT($I32:$T32)=0,"",SUM($I32:$T32)),IF($F32="AVG",IFERROR(AVERAGE($I32:$T32),""),IF($F32="LAST",IFERROR(LOOKUP(2,1/($I32:$T32&lt;&gt;""),$I32:$T32),""),"")))</f>
        <v/>
      </c>
      <c r="V32" s="23">
        <f>IF($G32="","",IF($U32="","",IF($G32=0,IF($U32&lt;=0,1,0),IF($E32="↓",IFERROR($G32/$U32,0),IFERROR($U32/$G32,0)))))</f>
        <v/>
      </c>
      <c r="W32" s="17">
        <f>IF($V32="","—",IF($V32&gt;=1,"✅ محقق",IF($V32&gt;=0.85,"🟡 قريب","🔴 تحت الهدف")))</f>
        <v/>
      </c>
      <c r="X32" s="66" t="inlineStr">
        <is>
          <t>الاستدامة</t>
        </is>
      </c>
      <c r="Y32" s="22" t="inlineStr">
        <is>
          <t>تعزيز تجربة العملاء</t>
        </is>
      </c>
      <c r="Z32" s="54" t="n"/>
      <c r="AA32" s="21" t="inlineStr">
        <is>
          <t>🟣 لاحق</t>
        </is>
      </c>
      <c r="AB32" s="54" t="n">
        <v>0.0278</v>
      </c>
      <c r="AC32" s="23">
        <f>IF($V32="","",$AB32*MIN($V32,1))</f>
        <v/>
      </c>
      <c r="AD32" s="75">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5">
        <f>IF(OR($AE32="",$G32=""),"",$AE32-$G32)</f>
        <v/>
      </c>
      <c r="AG32" s="17">
        <f>IF(OR($AE32="",$G32=""),"—",IF($E32="↓",IF($AE32&lt;=$G32,"🟢 على المسار",IF($AE32&lt;=$G32*1.1,"🟡 متابعة","🔴 خطر")),IF($AE32&gt;=$G32,"🟢 على المسار",IF($AE32&gt;=$G32*0.85,"🟡 متابعة","🔴 خطر"))))</f>
        <v/>
      </c>
      <c r="AH32" s="69" t="inlineStr">
        <is>
          <t>العملاء</t>
        </is>
      </c>
    </row>
    <row r="33" ht="26" customHeight="1">
      <c r="A33" s="17" t="n">
        <v>30</v>
      </c>
      <c r="B33" s="22" t="inlineStr">
        <is>
          <t>تجربة العملاء والشركاء</t>
        </is>
      </c>
      <c r="C33" s="22" t="inlineStr">
        <is>
          <t>نسبة حل الشكاوى خلال المدة المحددة</t>
        </is>
      </c>
      <c r="D33" s="61" t="inlineStr">
        <is>
          <t>%</t>
        </is>
      </c>
      <c r="E33" s="61" t="inlineStr">
        <is>
          <t>↑</t>
        </is>
      </c>
      <c r="F33" s="61" t="inlineStr">
        <is>
          <t>AVG</t>
        </is>
      </c>
      <c r="G33" s="75" t="n">
        <v>0.95</v>
      </c>
      <c r="H33" s="63" t="inlineStr">
        <is>
          <t>95%+</t>
        </is>
      </c>
      <c r="I33" s="74" t="n"/>
      <c r="J33" s="74" t="n"/>
      <c r="K33" s="74" t="n"/>
      <c r="L33" s="74" t="n"/>
      <c r="M33" s="74" t="n"/>
      <c r="N33" s="74" t="n"/>
      <c r="O33" s="74" t="n"/>
      <c r="P33" s="74" t="n"/>
      <c r="Q33" s="74" t="n"/>
      <c r="R33" s="74" t="n"/>
      <c r="S33" s="74" t="n"/>
      <c r="T33" s="74" t="n"/>
      <c r="U33" s="60">
        <f>IF($F33="SUM",IF(COUNT($I33:$T33)=0,"",SUM($I33:$T33)),IF($F33="AVG",IFERROR(AVERAGE($I33:$T33),""),IF($F33="LAST",IFERROR(LOOKUP(2,1/($I33:$T33&lt;&gt;""),$I33:$T33),""),"")))</f>
        <v/>
      </c>
      <c r="V33" s="23">
        <f>IF($G33="","",IF($U33="","",IF($G33=0,IF($U33&lt;=0,1,0),IF($E33="↓",IFERROR($G33/$U33,0),IFERROR($U33/$G33,0)))))</f>
        <v/>
      </c>
      <c r="W33" s="17">
        <f>IF($V33="","—",IF($V33&gt;=1,"✅ محقق",IF($V33&gt;=0.85,"🟡 قريب","🔴 تحت الهدف")))</f>
        <v/>
      </c>
      <c r="X33" s="66" t="inlineStr">
        <is>
          <t>الاستدامة</t>
        </is>
      </c>
      <c r="Y33" s="22" t="inlineStr">
        <is>
          <t>تعزيز تجربة العملاء</t>
        </is>
      </c>
      <c r="Z33" s="54" t="n"/>
      <c r="AA33" s="21" t="inlineStr">
        <is>
          <t>🟣 لاحق</t>
        </is>
      </c>
      <c r="AB33" s="54" t="n">
        <v>0.0278</v>
      </c>
      <c r="AC33" s="23">
        <f>IF($V33="","",$AB33*MIN($V33,1))</f>
        <v/>
      </c>
      <c r="AD33" s="75">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5">
        <f>IF(OR($AE33="",$G33=""),"",$AE33-$G33)</f>
        <v/>
      </c>
      <c r="AG33" s="17">
        <f>IF(OR($AE33="",$G33=""),"—",IF($E33="↓",IF($AE33&lt;=$G33,"🟢 على المسار",IF($AE33&lt;=$G33*1.1,"🟡 متابعة","🔴 خطر")),IF($AE33&gt;=$G33,"🟢 على المسار",IF($AE33&gt;=$G33*0.85,"🟡 متابعة","🔴 خطر"))))</f>
        <v/>
      </c>
      <c r="AH33" s="69"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1" t="inlineStr">
        <is>
          <t>%</t>
        </is>
      </c>
      <c r="E34" s="61" t="inlineStr">
        <is>
          <t>↑</t>
        </is>
      </c>
      <c r="F34" s="61" t="inlineStr">
        <is>
          <t>AVG</t>
        </is>
      </c>
      <c r="G34" s="61" t="inlineStr"/>
      <c r="H34" s="63" t="inlineStr">
        <is>
          <t>-30%</t>
        </is>
      </c>
      <c r="I34" s="74" t="n"/>
      <c r="J34" s="74" t="n"/>
      <c r="K34" s="74" t="n"/>
      <c r="L34" s="74" t="n"/>
      <c r="M34" s="74" t="n"/>
      <c r="N34" s="74" t="n"/>
      <c r="O34" s="74" t="n"/>
      <c r="P34" s="74" t="n"/>
      <c r="Q34" s="74" t="n"/>
      <c r="R34" s="74" t="n"/>
      <c r="S34" s="74" t="n"/>
      <c r="T34" s="74" t="n"/>
      <c r="U34" s="60">
        <f>IF($F34="SUM",IF(COUNT($I34:$T34)=0,"",SUM($I34:$T34)),IF($F34="AVG",IFERROR(AVERAGE($I34:$T34),""),IF($F34="LAST",IFERROR(LOOKUP(2,1/($I34:$T34&lt;&gt;""),$I34:$T34),""),"")))</f>
        <v/>
      </c>
      <c r="V34" s="23">
        <f>IF($G34="","",IF($U34="","",IF($G34=0,IF($U34&lt;=0,1,0),IF($E34="↓",IFERROR($G34/$U34,0),IFERROR($U34/$G34,0)))))</f>
        <v/>
      </c>
      <c r="W34" s="17">
        <f>IF($V34="","—",IF($V34&gt;=1,"✅ محقق",IF($V34&gt;=0.85,"🟡 قريب","🔴 تحت الهدف")))</f>
        <v/>
      </c>
      <c r="X34" s="66" t="inlineStr">
        <is>
          <t>الاستدامة</t>
        </is>
      </c>
      <c r="Y34" s="22" t="inlineStr">
        <is>
          <t>تعزيز تجربة العملاء</t>
        </is>
      </c>
      <c r="Z34" s="54" t="n"/>
      <c r="AA34" s="21" t="inlineStr">
        <is>
          <t>🟣 لاحق</t>
        </is>
      </c>
      <c r="AB34" s="54" t="n">
        <v>0.0278</v>
      </c>
      <c r="AC34" s="23">
        <f>IF($V34="","",$AB34*MIN($V34,1))</f>
        <v/>
      </c>
      <c r="AD34" s="75">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5">
        <f>IF(OR($AE34="",$G34=""),"",$AE34-$G34)</f>
        <v/>
      </c>
      <c r="AG34" s="17">
        <f>IF(OR($AE34="",$G34=""),"—",IF($E34="↓",IF($AE34&lt;=$G34,"🟢 على المسار",IF($AE34&lt;=$G34*1.1,"🟡 متابعة","🔴 خطر")),IF($AE34&gt;=$G34,"🟢 على المسار",IF($AE34&gt;=$G34*0.85,"🟡 متابعة","🔴 خطر"))))</f>
        <v/>
      </c>
      <c r="AH34" s="69" t="inlineStr">
        <is>
          <t>العملاء</t>
        </is>
      </c>
    </row>
    <row r="35" ht="26" customHeight="1">
      <c r="A35" s="17" t="n">
        <v>32</v>
      </c>
      <c r="B35" s="22" t="inlineStr">
        <is>
          <t>استدامة الشراكة والامتثال</t>
        </is>
      </c>
      <c r="C35" s="22" t="inlineStr">
        <is>
          <t>نسبة استدامة أصحاب الامتياز (Retention)</t>
        </is>
      </c>
      <c r="D35" s="61" t="inlineStr">
        <is>
          <t>%</t>
        </is>
      </c>
      <c r="E35" s="61" t="inlineStr">
        <is>
          <t>↑</t>
        </is>
      </c>
      <c r="F35" s="61" t="inlineStr">
        <is>
          <t>LAST</t>
        </is>
      </c>
      <c r="G35" s="75" t="n">
        <v>0.9</v>
      </c>
      <c r="H35" s="63" t="inlineStr">
        <is>
          <t>90%</t>
        </is>
      </c>
      <c r="I35" s="74" t="n"/>
      <c r="J35" s="74" t="n"/>
      <c r="K35" s="74" t="n"/>
      <c r="L35" s="74" t="n"/>
      <c r="M35" s="74" t="n"/>
      <c r="N35" s="74" t="n"/>
      <c r="O35" s="74" t="n"/>
      <c r="P35" s="74" t="n"/>
      <c r="Q35" s="74" t="n"/>
      <c r="R35" s="74" t="n"/>
      <c r="S35" s="74" t="n"/>
      <c r="T35" s="74" t="n"/>
      <c r="U35" s="60">
        <f>IF($F35="SUM",IF(COUNT($I35:$T35)=0,"",SUM($I35:$T35)),IF($F35="AVG",IFERROR(AVERAGE($I35:$T35),""),IF($F35="LAST",IFERROR(LOOKUP(2,1/($I35:$T35&lt;&gt;""),$I35:$T35),""),"")))</f>
        <v/>
      </c>
      <c r="V35" s="23">
        <f>IF($G35="","",IF($U35="","",IF($G35=0,IF($U35&lt;=0,1,0),IF($E35="↓",IFERROR($G35/$U35,0),IFERROR($U35/$G35,0)))))</f>
        <v/>
      </c>
      <c r="W35" s="17">
        <f>IF($V35="","—",IF($V35&gt;=1,"✅ محقق",IF($V35&gt;=0.85,"🟡 قريب","🔴 تحت الهدف")))</f>
        <v/>
      </c>
      <c r="X35" s="66" t="inlineStr">
        <is>
          <t>الاستدامة</t>
        </is>
      </c>
      <c r="Y35" s="22" t="inlineStr">
        <is>
          <t>تعزيز تجربة العملاء</t>
        </is>
      </c>
      <c r="Z35" s="54" t="n"/>
      <c r="AA35" s="21" t="inlineStr">
        <is>
          <t>🟣 لاحق</t>
        </is>
      </c>
      <c r="AB35" s="54" t="n">
        <v>0.0278</v>
      </c>
      <c r="AC35" s="23">
        <f>IF($V35="","",$AB35*MIN($V35,1))</f>
        <v/>
      </c>
      <c r="AD35" s="75">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5">
        <f>IF(OR($AE35="",$G35=""),"",$AE35-$G35)</f>
        <v/>
      </c>
      <c r="AG35" s="17">
        <f>IF(OR($AE35="",$G35=""),"—",IF($E35="↓",IF($AE35&lt;=$G35,"🟢 على المسار",IF($AE35&lt;=$G35*1.1,"🟡 متابعة","🔴 خطر")),IF($AE35&gt;=$G35,"🟢 على المسار",IF($AE35&gt;=$G35*0.85,"🟡 متابعة","🔴 خطر"))))</f>
        <v/>
      </c>
      <c r="AH35" s="69"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1" t="inlineStr">
        <is>
          <t>%</t>
        </is>
      </c>
      <c r="E36" s="61" t="inlineStr">
        <is>
          <t>↑</t>
        </is>
      </c>
      <c r="F36" s="61" t="inlineStr">
        <is>
          <t>LAST</t>
        </is>
      </c>
      <c r="G36" s="75" t="n">
        <v>1</v>
      </c>
      <c r="H36" s="63" t="inlineStr">
        <is>
          <t>100% نمو</t>
        </is>
      </c>
      <c r="I36" s="74" t="n"/>
      <c r="J36" s="74" t="n"/>
      <c r="K36" s="74" t="n"/>
      <c r="L36" s="74" t="n"/>
      <c r="M36" s="74" t="n"/>
      <c r="N36" s="74" t="n"/>
      <c r="O36" s="74" t="n"/>
      <c r="P36" s="74" t="n"/>
      <c r="Q36" s="74" t="n"/>
      <c r="R36" s="74" t="n"/>
      <c r="S36" s="74" t="n"/>
      <c r="T36" s="74" t="n"/>
      <c r="U36" s="60">
        <f>IF($F36="SUM",IF(COUNT($I36:$T36)=0,"",SUM($I36:$T36)),IF($F36="AVG",IFERROR(AVERAGE($I36:$T36),""),IF($F36="LAST",IFERROR(LOOKUP(2,1/($I36:$T36&lt;&gt;""),$I36:$T36),""),"")))</f>
        <v/>
      </c>
      <c r="V36" s="23">
        <f>IF($G36="","",IF($U36="","",IF($G36=0,IF($U36&lt;=0,1,0),IF($E36="↓",IFERROR($G36/$U36,0),IFERROR($U36/$G36,0)))))</f>
        <v/>
      </c>
      <c r="W36" s="17">
        <f>IF($V36="","—",IF($V36&gt;=1,"✅ محقق",IF($V36&gt;=0.85,"🟡 قريب","🔴 تحت الهدف")))</f>
        <v/>
      </c>
      <c r="X36" s="66" t="inlineStr">
        <is>
          <t>الاستدامة</t>
        </is>
      </c>
      <c r="Y36" s="22" t="inlineStr">
        <is>
          <t>تعزيز تجربة العملاء</t>
        </is>
      </c>
      <c r="Z36" s="54" t="n"/>
      <c r="AA36" s="21" t="inlineStr">
        <is>
          <t>🔵 قائد</t>
        </is>
      </c>
      <c r="AB36" s="54" t="n">
        <v>0.0278</v>
      </c>
      <c r="AC36" s="23">
        <f>IF($V36="","",$AB36*MIN($V36,1))</f>
        <v/>
      </c>
      <c r="AD36" s="75">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5">
        <f>IF(OR($AE36="",$G36=""),"",$AE36-$G36)</f>
        <v/>
      </c>
      <c r="AG36" s="17">
        <f>IF(OR($AE36="",$G36=""),"—",IF($E36="↓",IF($AE36&lt;=$G36,"🟢 على المسار",IF($AE36&lt;=$G36*1.1,"🟡 متابعة","🔴 خطر")),IF($AE36&gt;=$G36,"🟢 على المسار",IF($AE36&gt;=$G36*0.85,"🟡 متابعة","🔴 خطر"))))</f>
        <v/>
      </c>
      <c r="AH36" s="69"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1" t="inlineStr">
        <is>
          <t>%</t>
        </is>
      </c>
      <c r="E37" s="61" t="inlineStr">
        <is>
          <t>↑</t>
        </is>
      </c>
      <c r="F37" s="61" t="inlineStr">
        <is>
          <t>AVG</t>
        </is>
      </c>
      <c r="G37" s="75" t="n">
        <v>1</v>
      </c>
      <c r="H37" s="63" t="inlineStr">
        <is>
          <t>100%</t>
        </is>
      </c>
      <c r="I37" s="74" t="n"/>
      <c r="J37" s="74" t="n"/>
      <c r="K37" s="74" t="n"/>
      <c r="L37" s="74" t="n"/>
      <c r="M37" s="74" t="n"/>
      <c r="N37" s="74" t="n"/>
      <c r="O37" s="74" t="n"/>
      <c r="P37" s="74" t="n"/>
      <c r="Q37" s="74" t="n"/>
      <c r="R37" s="74" t="n"/>
      <c r="S37" s="74" t="n"/>
      <c r="T37" s="74" t="n"/>
      <c r="U37" s="60">
        <f>IF($F37="SUM",IF(COUNT($I37:$T37)=0,"",SUM($I37:$T37)),IF($F37="AVG",IFERROR(AVERAGE($I37:$T37),""),IF($F37="LAST",IFERROR(LOOKUP(2,1/($I37:$T37&lt;&gt;""),$I37:$T37),""),"")))</f>
        <v/>
      </c>
      <c r="V37" s="23">
        <f>IF($G37="","",IF($U37="","",IF($G37=0,IF($U37&lt;=0,1,0),IF($E37="↓",IFERROR($G37/$U37,0),IFERROR($U37/$G37,0)))))</f>
        <v/>
      </c>
      <c r="W37" s="17">
        <f>IF($V37="","—",IF($V37&gt;=1,"✅ محقق",IF($V37&gt;=0.85,"🟡 قريب","🔴 تحت الهدف")))</f>
        <v/>
      </c>
      <c r="X37" s="66" t="inlineStr">
        <is>
          <t>الاستدامة</t>
        </is>
      </c>
      <c r="Y37" s="22" t="inlineStr">
        <is>
          <t>جودة التشغيل</t>
        </is>
      </c>
      <c r="Z37" s="54" t="n"/>
      <c r="AA37" s="21" t="inlineStr">
        <is>
          <t>🟣 لاحق</t>
        </is>
      </c>
      <c r="AB37" s="54" t="n">
        <v>0.0278</v>
      </c>
      <c r="AC37" s="23">
        <f>IF($V37="","",$AB37*MIN($V37,1))</f>
        <v/>
      </c>
      <c r="AD37" s="75">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5">
        <f>IF(OR($AE37="",$G37=""),"",$AE37-$G37)</f>
        <v/>
      </c>
      <c r="AG37" s="17">
        <f>IF(OR($AE37="",$G37=""),"—",IF($E37="↓",IF($AE37&lt;=$G37,"🟢 على المسار",IF($AE37&lt;=$G37*1.1,"🟡 متابعة","🔴 خطر")),IF($AE37&gt;=$G37,"🟢 على المسار",IF($AE37&gt;=$G37*0.85,"🟡 متابعة","🔴 خطر"))))</f>
        <v/>
      </c>
      <c r="AH37" s="69"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1" t="inlineStr">
        <is>
          <t>أسبوع</t>
        </is>
      </c>
      <c r="E38" s="61" t="inlineStr">
        <is>
          <t>↓</t>
        </is>
      </c>
      <c r="F38" s="61" t="inlineStr">
        <is>
          <t>AVG</t>
        </is>
      </c>
      <c r="G38" s="76" t="n">
        <v>1</v>
      </c>
      <c r="H38" s="63" t="inlineStr">
        <is>
          <t>≤ أسبوع</t>
        </is>
      </c>
      <c r="I38" s="77" t="n"/>
      <c r="J38" s="77" t="n"/>
      <c r="K38" s="77" t="n"/>
      <c r="L38" s="77" t="n"/>
      <c r="M38" s="77" t="n"/>
      <c r="N38" s="77" t="n"/>
      <c r="O38" s="77" t="n"/>
      <c r="P38" s="77" t="n"/>
      <c r="Q38" s="77" t="n"/>
      <c r="R38" s="77" t="n"/>
      <c r="S38" s="77" t="n"/>
      <c r="T38" s="77" t="n"/>
      <c r="U38" s="78">
        <f>IF($F38="SUM",IF(COUNT($I38:$T38)=0,"",SUM($I38:$T38)),IF($F38="AVG",IFERROR(AVERAGE($I38:$T38),""),IF($F38="LAST",IFERROR(LOOKUP(2,1/($I38:$T38&lt;&gt;""),$I38:$T38),""),"")))</f>
        <v/>
      </c>
      <c r="V38" s="23">
        <f>IF($G38="","",IF($U38="","",IF($G38=0,IF($U38&lt;=0,1,0),IF($E38="↓",IFERROR($G38/$U38,0),IFERROR($U38/$G38,0)))))</f>
        <v/>
      </c>
      <c r="W38" s="17">
        <f>IF($V38="","—",IF($V38&gt;=1,"✅ محقق",IF($V38&gt;=0.85,"🟡 قريب","🔴 تحت الهدف")))</f>
        <v/>
      </c>
      <c r="X38" s="66" t="inlineStr">
        <is>
          <t>النمو</t>
        </is>
      </c>
      <c r="Y38" s="22" t="inlineStr">
        <is>
          <t>الامتياز التجاري</t>
        </is>
      </c>
      <c r="Z38" s="79" t="n"/>
      <c r="AA38" s="21" t="inlineStr">
        <is>
          <t>🟣 لاحق</t>
        </is>
      </c>
      <c r="AB38" s="54" t="n">
        <v>0.0278</v>
      </c>
      <c r="AC38" s="23">
        <f>IF($V38="","",$AB38*MIN($V38,1))</f>
        <v/>
      </c>
      <c r="AD38" s="76">
        <f>IF($G38="","",IF($F38="SUM",IF('لوحة الإدارة التنفيذية'!$P$2="","",$G38/12*'لوحة الإدارة التنفيذية'!$P$2),$G38))</f>
        <v/>
      </c>
      <c r="AE38" s="80">
        <f>IF($F38="SUM",IF(OR('لوحة الإدارة التنفيذية'!$P$2="",'لوحة الإدارة التنفيذية'!$P$2=0),"",IF($U38="","",$U38/'لوحة الإدارة التنفيذية'!$P$2*12)),IF($U38="","",$U38))</f>
        <v/>
      </c>
      <c r="AF38" s="76">
        <f>IF(OR($AE38="",$G38=""),"",$AE38-$G38)</f>
        <v/>
      </c>
      <c r="AG38" s="17">
        <f>IF(OR($AE38="",$G38=""),"—",IF($E38="↓",IF($AE38&lt;=$G38,"🟢 على المسار",IF($AE38&lt;=$G38*1.1,"🟡 متابعة","🔴 خطر")),IF($AE38&gt;=$G38,"🟢 على المسار",IF($AE38&gt;=$G38*0.85,"🟡 متابعة","🔴 خطر"))))</f>
        <v/>
      </c>
      <c r="AH38" s="69"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1" t="inlineStr">
        <is>
          <t>%</t>
        </is>
      </c>
      <c r="E39" s="61" t="inlineStr">
        <is>
          <t>↑</t>
        </is>
      </c>
      <c r="F39" s="61" t="inlineStr">
        <is>
          <t>AVG</t>
        </is>
      </c>
      <c r="G39" s="75" t="n">
        <v>1</v>
      </c>
      <c r="H39" s="63" t="inlineStr">
        <is>
          <t>100%</t>
        </is>
      </c>
      <c r="I39" s="74" t="n"/>
      <c r="J39" s="74" t="n"/>
      <c r="K39" s="74" t="n"/>
      <c r="L39" s="74" t="n"/>
      <c r="M39" s="74" t="n"/>
      <c r="N39" s="74" t="n"/>
      <c r="O39" s="74" t="n"/>
      <c r="P39" s="74" t="n"/>
      <c r="Q39" s="74" t="n"/>
      <c r="R39" s="74" t="n"/>
      <c r="S39" s="74" t="n"/>
      <c r="T39" s="74" t="n"/>
      <c r="U39" s="60">
        <f>IF($F39="SUM",IF(COUNT($I39:$T39)=0,"",SUM($I39:$T39)),IF($F39="AVG",IFERROR(AVERAGE($I39:$T39),""),IF($F39="LAST",IFERROR(LOOKUP(2,1/($I39:$T39&lt;&gt;""),$I39:$T39),""),"")))</f>
        <v/>
      </c>
      <c r="V39" s="23">
        <f>IF($G39="","",IF($U39="","",IF($G39=0,IF($U39&lt;=0,1,0),IF($E39="↓",IFERROR($G39/$U39,0),IFERROR($U39/$G39,0)))))</f>
        <v/>
      </c>
      <c r="W39" s="17">
        <f>IF($V39="","—",IF($V39&gt;=1,"✅ محقق",IF($V39&gt;=0.85,"🟡 قريب","🔴 تحت الهدف")))</f>
        <v/>
      </c>
      <c r="X39" s="66" t="inlineStr">
        <is>
          <t>الاستدامة</t>
        </is>
      </c>
      <c r="Y39" s="22" t="inlineStr">
        <is>
          <t>جودة التشغيل</t>
        </is>
      </c>
      <c r="Z39" s="54" t="n"/>
      <c r="AA39" s="21" t="inlineStr">
        <is>
          <t>🟣 لاحق</t>
        </is>
      </c>
      <c r="AB39" s="54" t="n">
        <v>0.0278</v>
      </c>
      <c r="AC39" s="23">
        <f>IF($V39="","",$AB39*MIN($V39,1))</f>
        <v/>
      </c>
      <c r="AD39" s="75">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5">
        <f>IF(OR($AE39="",$G39=""),"",$AE39-$G39)</f>
        <v/>
      </c>
      <c r="AG39" s="17">
        <f>IF(OR($AE39="",$G39=""),"—",IF($E39="↓",IF($AE39&lt;=$G39,"🟢 على المسار",IF($AE39&lt;=$G39*1.1,"🟡 متابعة","🔴 خطر")),IF($AE39&gt;=$G39,"🟢 على المسار",IF($AE39&gt;=$G39*0.85,"🟡 متابعة","🔴 خطر"))))</f>
        <v/>
      </c>
      <c r="AH39" s="69" t="inlineStr">
        <is>
          <t>العمليات الداخلية</t>
        </is>
      </c>
    </row>
    <row r="40">
      <c r="A40" s="81" t="inlineStr"/>
      <c r="B40" s="82" t="inlineStr">
        <is>
          <t>الإجمالي الموزون للإدارة</t>
        </is>
      </c>
      <c r="AB40" s="83">
        <f>SUM(AB4:AB39)</f>
        <v/>
      </c>
      <c r="AC40" s="84">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5" t="inlineStr">
        <is>
          <t>المؤشر</t>
        </is>
      </c>
      <c r="C5" s="55" t="inlineStr">
        <is>
          <t>الأولوية</t>
        </is>
      </c>
      <c r="D5" s="55" t="inlineStr">
        <is>
          <t>●/○</t>
        </is>
      </c>
    </row>
    <row r="6">
      <c r="B6" s="22" t="inlineStr">
        <is>
          <t>عدد عقود الامتياز الجديدة الموقّعة</t>
        </is>
      </c>
      <c r="C6" s="21" t="inlineStr">
        <is>
          <t>🔴 رئيسي</t>
        </is>
      </c>
      <c r="D6" s="50" t="inlineStr">
        <is>
          <t>●</t>
        </is>
      </c>
    </row>
    <row r="7">
      <c r="B7" s="22" t="inlineStr">
        <is>
          <t>عدد محطات الامتياز المشغّلة (تراكمي)</t>
        </is>
      </c>
      <c r="C7" s="21" t="inlineStr">
        <is>
          <t>🔴 رئيسي</t>
        </is>
      </c>
      <c r="D7" s="50" t="inlineStr">
        <is>
          <t>●</t>
        </is>
      </c>
    </row>
    <row r="8">
      <c r="B8" s="22" t="inlineStr">
        <is>
          <t>نسبة تحويل الفرص إلى عقود موقّعة</t>
        </is>
      </c>
      <c r="C8" s="21" t="inlineStr">
        <is>
          <t>🔴 رئيسي</t>
        </is>
      </c>
      <c r="D8" s="50" t="inlineStr">
        <is>
          <t>●</t>
        </is>
      </c>
    </row>
    <row r="9">
      <c r="B9" s="22" t="inlineStr">
        <is>
          <t>نسبة استدامة أصحاب الامتياز</t>
        </is>
      </c>
      <c r="C9" s="21" t="inlineStr">
        <is>
          <t>🔴 رئيسي</t>
        </is>
      </c>
      <c r="D9" s="50" t="inlineStr">
        <is>
          <t>●</t>
        </is>
      </c>
    </row>
    <row r="11">
      <c r="B11" s="7" t="inlineStr">
        <is>
          <t>أنس أبو طوق  —  مراقب ميداني — هوية وبنية تحتية  ·  4 مؤشر</t>
        </is>
      </c>
    </row>
    <row r="12">
      <c r="B12" s="55" t="inlineStr">
        <is>
          <t>المؤشر</t>
        </is>
      </c>
      <c r="C12" s="55" t="inlineStr">
        <is>
          <t>الأولوية</t>
        </is>
      </c>
      <c r="D12" s="55" t="inlineStr">
        <is>
          <t>●/○</t>
        </is>
      </c>
    </row>
    <row r="13">
      <c r="B13" s="22" t="inlineStr">
        <is>
          <t>نسبة جاهزية محطات الامتياز</t>
        </is>
      </c>
      <c r="C13" s="21" t="inlineStr">
        <is>
          <t>🔴 رئيسي</t>
        </is>
      </c>
      <c r="D13" s="50" t="inlineStr">
        <is>
          <t>●</t>
        </is>
      </c>
    </row>
    <row r="14">
      <c r="B14" s="22" t="inlineStr">
        <is>
          <t>نسبة إغلاق ملاحظات الجودة الميدانية</t>
        </is>
      </c>
      <c r="C14" s="21" t="inlineStr">
        <is>
          <t>🔴 رئيسي</t>
        </is>
      </c>
      <c r="D14" s="50" t="inlineStr">
        <is>
          <t>●</t>
        </is>
      </c>
    </row>
    <row r="15">
      <c r="B15" s="22" t="inlineStr">
        <is>
          <t>نسبة المحطات المستوفية لمعايير السلامة</t>
        </is>
      </c>
      <c r="C15" s="21" t="inlineStr">
        <is>
          <t>🔴 رئيسي</t>
        </is>
      </c>
      <c r="D15" s="50" t="inlineStr">
        <is>
          <t>●</t>
        </is>
      </c>
    </row>
    <row r="16">
      <c r="B16" s="22" t="inlineStr">
        <is>
          <t>نسبة التزام المحطات بالهوية المؤسسية</t>
        </is>
      </c>
      <c r="C16" s="21" t="inlineStr">
        <is>
          <t>🔴 رئيسي</t>
        </is>
      </c>
      <c r="D16" s="50" t="inlineStr">
        <is>
          <t>●</t>
        </is>
      </c>
    </row>
    <row r="18">
      <c r="B18" s="7" t="inlineStr">
        <is>
          <t>حمدي عبد الجليل  —  أخصائي امتياز — زيارات واستقطاب  ·  3 مؤشر</t>
        </is>
      </c>
    </row>
    <row r="19">
      <c r="B19" s="55" t="inlineStr">
        <is>
          <t>المؤشر</t>
        </is>
      </c>
      <c r="C19" s="55" t="inlineStr">
        <is>
          <t>الأولوية</t>
        </is>
      </c>
      <c r="D19" s="55" t="inlineStr">
        <is>
          <t>●/○</t>
        </is>
      </c>
    </row>
    <row r="20">
      <c r="B20" s="22" t="inlineStr">
        <is>
          <t>نسبة تنفيذ الزيارات الميدانية المجدولة</t>
        </is>
      </c>
      <c r="C20" s="21" t="inlineStr">
        <is>
          <t>🔴 رئيسي</t>
        </is>
      </c>
      <c r="D20" s="50" t="inlineStr">
        <is>
          <t>●</t>
        </is>
      </c>
    </row>
    <row r="21">
      <c r="B21" s="22" t="inlineStr">
        <is>
          <t>عدد عقود الامتياز الجديدة الموقّعة</t>
        </is>
      </c>
      <c r="C21" s="21" t="inlineStr">
        <is>
          <t>🔴 رئيسي</t>
        </is>
      </c>
      <c r="D21" s="50" t="inlineStr">
        <is>
          <t>○</t>
        </is>
      </c>
    </row>
    <row r="22">
      <c r="B22" s="22" t="inlineStr">
        <is>
          <t>متوسط درجة تقييم جودة المحطة</t>
        </is>
      </c>
      <c r="C22" s="21" t="inlineStr">
        <is>
          <t>🔴 رئيسي</t>
        </is>
      </c>
      <c r="D22" s="50" t="inlineStr">
        <is>
          <t>○</t>
        </is>
      </c>
    </row>
    <row r="24">
      <c r="B24" s="7" t="inlineStr">
        <is>
          <t>رغد الجندي  —  أخصائية امتياز — تسويق ومالية  ·  4 مؤشر</t>
        </is>
      </c>
    </row>
    <row r="25">
      <c r="B25" s="55" t="inlineStr">
        <is>
          <t>المؤشر</t>
        </is>
      </c>
      <c r="C25" s="55" t="inlineStr">
        <is>
          <t>الأولوية</t>
        </is>
      </c>
      <c r="D25" s="55" t="inlineStr">
        <is>
          <t>●/○</t>
        </is>
      </c>
    </row>
    <row r="26">
      <c r="B26" s="22" t="inlineStr">
        <is>
          <t>إجمالي إيرادات إدارة الامتياز</t>
        </is>
      </c>
      <c r="C26" s="21" t="inlineStr">
        <is>
          <t>🔴 رئيسي</t>
        </is>
      </c>
      <c r="D26" s="50" t="inlineStr">
        <is>
          <t>●</t>
        </is>
      </c>
    </row>
    <row r="27">
      <c r="B27" s="22" t="inlineStr">
        <is>
          <t>نسبة التحصيل المالي من شركاء الامتياز</t>
        </is>
      </c>
      <c r="C27" s="21" t="inlineStr">
        <is>
          <t>🔴 رئيسي</t>
        </is>
      </c>
      <c r="D27" s="50" t="inlineStr">
        <is>
          <t>●</t>
        </is>
      </c>
    </row>
    <row r="28">
      <c r="B28" s="22" t="inlineStr">
        <is>
          <t>متوسط تقييم المحطات على خرائط قوقل</t>
        </is>
      </c>
      <c r="C28" s="21" t="inlineStr">
        <is>
          <t>🔴 رئيسي</t>
        </is>
      </c>
      <c r="D28" s="50" t="inlineStr">
        <is>
          <t>●</t>
        </is>
      </c>
    </row>
    <row r="29">
      <c r="B29" s="22" t="inlineStr">
        <is>
          <t>عدد الحملات التسويقية الميدانية</t>
        </is>
      </c>
      <c r="C29" s="21" t="inlineStr">
        <is>
          <t>🟠 مهم</t>
        </is>
      </c>
      <c r="D29" s="50" t="inlineStr">
        <is>
          <t>●</t>
        </is>
      </c>
    </row>
    <row r="31">
      <c r="B31" s="7" t="inlineStr">
        <is>
          <t>إدريس الوائلي  —  أخصائي امتياز — تقارير وتنسيق مالي  ·  3 مؤشر</t>
        </is>
      </c>
    </row>
    <row r="32">
      <c r="B32" s="55" t="inlineStr">
        <is>
          <t>المؤشر</t>
        </is>
      </c>
      <c r="C32" s="55" t="inlineStr">
        <is>
          <t>الأولوية</t>
        </is>
      </c>
      <c r="D32" s="55" t="inlineStr">
        <is>
          <t>●/○</t>
        </is>
      </c>
    </row>
    <row r="33">
      <c r="B33" s="22" t="inlineStr">
        <is>
          <t>متوسط أيام التحصيل (DSO)</t>
        </is>
      </c>
      <c r="C33" s="21" t="inlineStr">
        <is>
          <t>🟠 مهم</t>
        </is>
      </c>
      <c r="D33" s="50" t="inlineStr">
        <is>
          <t>●</t>
        </is>
      </c>
    </row>
    <row r="34">
      <c r="B34" s="22" t="inlineStr">
        <is>
          <t>إجمالي المستحقات المتأخرة (+30 يوم)</t>
        </is>
      </c>
      <c r="C34" s="21" t="inlineStr">
        <is>
          <t>🟠 مهم</t>
        </is>
      </c>
      <c r="D34" s="50" t="inlineStr">
        <is>
          <t>●</t>
        </is>
      </c>
    </row>
    <row r="35">
      <c r="B35" s="22" t="inlineStr">
        <is>
          <t>نسبة إنجاز التقارير الدورية في موعدها</t>
        </is>
      </c>
      <c r="C35" s="21" t="inlineStr">
        <is>
          <t>🟠 مهم</t>
        </is>
      </c>
      <c r="D35" s="50" t="inlineStr">
        <is>
          <t>●</t>
        </is>
      </c>
    </row>
    <row r="37">
      <c r="B37" s="7" t="inlineStr">
        <is>
          <t>أحمد رمضان  —  أخصائي امتياز — Dynamics ومتابعة نظام  ·  2 مؤشر</t>
        </is>
      </c>
    </row>
    <row r="38">
      <c r="B38" s="55" t="inlineStr">
        <is>
          <t>المؤشر</t>
        </is>
      </c>
      <c r="C38" s="55" t="inlineStr">
        <is>
          <t>الأولوية</t>
        </is>
      </c>
      <c r="D38" s="55" t="inlineStr">
        <is>
          <t>●/○</t>
        </is>
      </c>
    </row>
    <row r="39">
      <c r="B39" s="22" t="inlineStr">
        <is>
          <t>نسبة اكتمال المستندات النظامية قبل التوقيع</t>
        </is>
      </c>
      <c r="C39" s="21" t="inlineStr">
        <is>
          <t>🟠 مهم</t>
        </is>
      </c>
      <c r="D39" s="50" t="inlineStr">
        <is>
          <t>○</t>
        </is>
      </c>
    </row>
    <row r="40">
      <c r="B40" s="22" t="inlineStr">
        <is>
          <t>نسبة إنجاز التقارير الدورية في موعدها</t>
        </is>
      </c>
      <c r="C40" s="21" t="inlineStr">
        <is>
          <t>🟠 مهم</t>
        </is>
      </c>
      <c r="D40" s="50" t="inlineStr">
        <is>
          <t>○</t>
        </is>
      </c>
    </row>
    <row r="42">
      <c r="B42" s="7" t="inlineStr">
        <is>
          <t>عبدالسلام الوالي  —  أخصائي امتياز — عمليات ومخزون  ·  2 مؤشر</t>
        </is>
      </c>
    </row>
    <row r="43">
      <c r="B43" s="55" t="inlineStr">
        <is>
          <t>المؤشر</t>
        </is>
      </c>
      <c r="C43" s="55" t="inlineStr">
        <is>
          <t>الأولوية</t>
        </is>
      </c>
      <c r="D43" s="55" t="inlineStr">
        <is>
          <t>●/○</t>
        </is>
      </c>
    </row>
    <row r="44">
      <c r="B44" s="22" t="inlineStr">
        <is>
          <t>عدد حالات انقطاع الوقود الموثّقة</t>
        </is>
      </c>
      <c r="C44" s="21" t="inlineStr">
        <is>
          <t>🔴 رئيسي</t>
        </is>
      </c>
      <c r="D44" s="50" t="inlineStr">
        <is>
          <t>●</t>
        </is>
      </c>
    </row>
    <row r="45">
      <c r="B45" s="22" t="inlineStr">
        <is>
          <t>متوسط وقت معالجة البلاغات التشغيلية</t>
        </is>
      </c>
      <c r="C45" s="21" t="inlineStr">
        <is>
          <t>🟠 مهم</t>
        </is>
      </c>
      <c r="D45" s="50" t="inlineStr">
        <is>
          <t>●</t>
        </is>
      </c>
    </row>
    <row r="47">
      <c r="B47" s="7" t="inlineStr">
        <is>
          <t>المعتصم المصعبي  —  أخصائي امتياز — عمليات ومبيعات  ·  2 مؤشر</t>
        </is>
      </c>
    </row>
    <row r="48">
      <c r="B48" s="55" t="inlineStr">
        <is>
          <t>المؤشر</t>
        </is>
      </c>
      <c r="C48" s="55" t="inlineStr">
        <is>
          <t>الأولوية</t>
        </is>
      </c>
      <c r="D48" s="55" t="inlineStr">
        <is>
          <t>●/○</t>
        </is>
      </c>
    </row>
    <row r="49">
      <c r="B49" s="22" t="inlineStr">
        <is>
          <t>متوسط مبيعات المحطة الواحدة شهرياً</t>
        </is>
      </c>
      <c r="C49" s="21" t="inlineStr">
        <is>
          <t>🟠 مهم</t>
        </is>
      </c>
      <c r="D49" s="50" t="inlineStr">
        <is>
          <t>●</t>
        </is>
      </c>
    </row>
    <row r="50">
      <c r="B50" s="22" t="inlineStr">
        <is>
          <t>إجمالي مبيعات وقود محطات الامتياز</t>
        </is>
      </c>
      <c r="C50" s="21" t="inlineStr">
        <is>
          <t>🔴 رئيسي</t>
        </is>
      </c>
      <c r="D50" s="50" t="inlineStr">
        <is>
          <t>○</t>
        </is>
      </c>
    </row>
    <row r="52">
      <c r="B52" s="7" t="inlineStr">
        <is>
          <t>يحيى العدله  —  أخصائي امتياز — تسجيل وتوثيق  ·  2 مؤشر</t>
        </is>
      </c>
    </row>
    <row r="53">
      <c r="B53" s="55" t="inlineStr">
        <is>
          <t>المؤشر</t>
        </is>
      </c>
      <c r="C53" s="55" t="inlineStr">
        <is>
          <t>الأولوية</t>
        </is>
      </c>
      <c r="D53" s="55" t="inlineStr">
        <is>
          <t>●/○</t>
        </is>
      </c>
    </row>
    <row r="54">
      <c r="B54" s="22" t="inlineStr">
        <is>
          <t>نسبة اكتمال المستندات النظامية قبل التوقيع</t>
        </is>
      </c>
      <c r="C54" s="21" t="inlineStr">
        <is>
          <t>🟠 مهم</t>
        </is>
      </c>
      <c r="D54" s="50" t="inlineStr">
        <is>
          <t>●</t>
        </is>
      </c>
    </row>
    <row r="55">
      <c r="B55" s="22" t="inlineStr">
        <is>
          <t>نسبة حل الشكاوى خلال المدة المحددة</t>
        </is>
      </c>
      <c r="C55" s="21" t="inlineStr">
        <is>
          <t>🟠 مهم</t>
        </is>
      </c>
      <c r="D55" s="50" t="inlineStr">
        <is>
          <t>○</t>
        </is>
      </c>
    </row>
    <row r="57">
      <c r="B57" s="7" t="inlineStr">
        <is>
          <t>إسماعيل سندي  —  أخصائي امتياز — تواصل عملاء وتأجير  ·  3 مؤشر</t>
        </is>
      </c>
    </row>
    <row r="58">
      <c r="B58" s="55" t="inlineStr">
        <is>
          <t>المؤشر</t>
        </is>
      </c>
      <c r="C58" s="55" t="inlineStr">
        <is>
          <t>الأولوية</t>
        </is>
      </c>
      <c r="D58" s="55" t="inlineStr">
        <is>
          <t>●/○</t>
        </is>
      </c>
    </row>
    <row r="59">
      <c r="B59" s="22" t="inlineStr">
        <is>
          <t>معدل رضا شركاء الامتياز (CSAT)</t>
        </is>
      </c>
      <c r="C59" s="21" t="inlineStr">
        <is>
          <t>🔴 رئيسي</t>
        </is>
      </c>
      <c r="D59" s="50" t="inlineStr">
        <is>
          <t>●</t>
        </is>
      </c>
    </row>
    <row r="60">
      <c r="B60" s="22" t="inlineStr">
        <is>
          <t>نسبة حل الشكاوى خلال المدة المحددة</t>
        </is>
      </c>
      <c r="C60" s="21" t="inlineStr">
        <is>
          <t>🟠 مهم</t>
        </is>
      </c>
      <c r="D60" s="50" t="inlineStr">
        <is>
          <t>●</t>
        </is>
      </c>
    </row>
    <row r="61">
      <c r="B61" s="22" t="inlineStr">
        <is>
          <t>نسبة انخفاض الشكاوى التشغيلية والإدارية</t>
        </is>
      </c>
      <c r="C61" s="21" t="inlineStr">
        <is>
          <t>🟠 مهم</t>
        </is>
      </c>
      <c r="D61" s="50"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مدير إدارة الامتياز التجاري</t>
        </is>
      </c>
    </row>
    <row r="2">
      <c r="A2" s="51" t="inlineStr">
        <is>
          <t>الكود: FM-01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5" t="n">
        <v>0.15</v>
      </c>
      <c r="D7" s="89" t="inlineStr">
        <is>
          <t>100%+ من المحطات المستهدفة</t>
        </is>
      </c>
      <c r="E7" s="54" t="n"/>
      <c r="F7" s="23">
        <f>C7*MIN(E7,1)</f>
        <v/>
      </c>
      <c r="G7" s="52" t="inlineStr"/>
    </row>
    <row r="8" ht="28" customHeight="1">
      <c r="A8" s="17" t="n">
        <v>2</v>
      </c>
      <c r="B8" s="22" t="inlineStr">
        <is>
          <t>إجمالي مبيعات محطات الامتياز</t>
        </is>
      </c>
      <c r="C8" s="75" t="n">
        <v>0.15</v>
      </c>
      <c r="D8" s="89" t="inlineStr">
        <is>
          <t>100%+ من مستهدف المبيعات الربعي</t>
        </is>
      </c>
      <c r="E8" s="54" t="n"/>
      <c r="F8" s="23">
        <f>C8*MIN(E8,1)</f>
        <v/>
      </c>
      <c r="G8" s="52" t="inlineStr"/>
    </row>
    <row r="9" ht="28" customHeight="1">
      <c r="A9" s="17" t="n">
        <v>3</v>
      </c>
      <c r="B9" s="22" t="inlineStr">
        <is>
          <t>استمرارية تزويد الوقود</t>
        </is>
      </c>
      <c r="C9" s="75" t="n">
        <v>0.1</v>
      </c>
      <c r="D9" s="89" t="inlineStr">
        <is>
          <t>0 حالات انقطاع</t>
        </is>
      </c>
      <c r="E9" s="54" t="n"/>
      <c r="F9" s="23">
        <f>C9*MIN(E9,1)</f>
        <v/>
      </c>
      <c r="G9" s="52" t="inlineStr"/>
    </row>
    <row r="10" ht="28" customHeight="1">
      <c r="A10" s="17" t="n">
        <v>4</v>
      </c>
      <c r="B10" s="22" t="inlineStr">
        <is>
          <t>نسبة التحصيل المالي</t>
        </is>
      </c>
      <c r="C10" s="75" t="n">
        <v>0.15</v>
      </c>
      <c r="D10" s="89" t="inlineStr">
        <is>
          <t>100%+ من المستحقات الربعية</t>
        </is>
      </c>
      <c r="E10" s="54" t="n"/>
      <c r="F10" s="23">
        <f>C10*MIN(E10,1)</f>
        <v/>
      </c>
      <c r="G10" s="52" t="inlineStr"/>
    </row>
    <row r="11" ht="28" customHeight="1">
      <c r="A11" s="17" t="n">
        <v>5</v>
      </c>
      <c r="B11" s="22" t="inlineStr">
        <is>
          <t>الالتزام بالهوية المؤسسية</t>
        </is>
      </c>
      <c r="C11" s="75" t="n">
        <v>0.15</v>
      </c>
      <c r="D11" s="89" t="inlineStr">
        <is>
          <t>70%+ من المحطات ملتزمة</t>
        </is>
      </c>
      <c r="E11" s="54" t="n"/>
      <c r="F11" s="23">
        <f>C11*MIN(E11,1)</f>
        <v/>
      </c>
      <c r="G11" s="52" t="inlineStr"/>
    </row>
    <row r="12" ht="28" customHeight="1">
      <c r="A12" s="17" t="n">
        <v>6</v>
      </c>
      <c r="B12" s="22" t="inlineStr">
        <is>
          <t>انخفاض عدد الشكاوى</t>
        </is>
      </c>
      <c r="C12" s="75" t="n">
        <v>0.1</v>
      </c>
      <c r="D12" s="89" t="inlineStr">
        <is>
          <t>خفض 20%+ عن الربع السابق</t>
        </is>
      </c>
      <c r="E12" s="54" t="n"/>
      <c r="F12" s="23">
        <f>C12*MIN(E12,1)</f>
        <v/>
      </c>
      <c r="G12" s="52" t="inlineStr"/>
    </row>
    <row r="13" ht="28" customHeight="1">
      <c r="A13" s="17" t="n">
        <v>7</v>
      </c>
      <c r="B13" s="22" t="inlineStr">
        <is>
          <t>تقييمات خرائط قوقل</t>
        </is>
      </c>
      <c r="C13" s="75" t="n">
        <v>0.1</v>
      </c>
      <c r="D13" s="89" t="inlineStr">
        <is>
          <t>4.7 – 5</t>
        </is>
      </c>
      <c r="E13" s="54" t="n"/>
      <c r="F13" s="23">
        <f>C13*MIN(E13,1)</f>
        <v/>
      </c>
      <c r="G13" s="52" t="inlineStr"/>
    </row>
    <row r="14" ht="28" customHeight="1">
      <c r="A14" s="17" t="n">
        <v>8</v>
      </c>
      <c r="B14" s="22" t="inlineStr">
        <is>
          <t>انتظام وجودة التقارير</t>
        </is>
      </c>
      <c r="C14" s="75" t="n">
        <v>0.1</v>
      </c>
      <c r="D14" s="89" t="inlineStr">
        <is>
          <t>100% في موعدها</t>
        </is>
      </c>
      <c r="E14" s="54" t="n"/>
      <c r="F14" s="23">
        <f>C14*MIN(E14,1)</f>
        <v/>
      </c>
      <c r="G14" s="52" t="inlineStr"/>
    </row>
    <row r="15">
      <c r="A15" s="81" t="inlineStr"/>
      <c r="B15" s="82" t="inlineStr">
        <is>
          <t>المجموع الكلي</t>
        </is>
      </c>
      <c r="C15" s="90">
        <f>SUM(C7:C14)</f>
        <v/>
      </c>
      <c r="D15" s="81" t="inlineStr"/>
      <c r="E15" s="82" t="inlineStr">
        <is>
          <t>الدرجة:</t>
        </is>
      </c>
      <c r="F15" s="91">
        <f>SUM(F7:F14)</f>
        <v/>
      </c>
      <c r="G15" s="81" t="inlineStr"/>
    </row>
    <row r="16">
      <c r="B16" s="5" t="inlineStr">
        <is>
          <t>التقدير</t>
        </is>
      </c>
      <c r="C16" s="26">
        <f>IF(F15&gt;=0.9,"ممتاز",IF(F15&gt;=0.8,"جيد جداً",IF(F15&gt;=0.7,"جيد",IF(F15&gt;=0.6,"مقبول","ضعيف"))))</f>
        <v/>
      </c>
      <c r="D16" s="44" t="n"/>
    </row>
    <row r="18">
      <c r="B18" s="5" t="inlineStr">
        <is>
          <t>سلّم التقييم</t>
        </is>
      </c>
      <c r="C18" s="43" t="n"/>
      <c r="D18" s="44"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مسؤول الامتياز التجاري</t>
        </is>
      </c>
    </row>
    <row r="2">
      <c r="A2" s="51" t="inlineStr">
        <is>
          <t>الكود: FM-02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5" t="n">
        <v>0.3</v>
      </c>
      <c r="D7" s="89" t="inlineStr">
        <is>
          <t>متابعة مستمرة 100%</t>
        </is>
      </c>
      <c r="E7" s="54" t="n"/>
      <c r="F7" s="23">
        <f>C7*MIN(E7,1)</f>
        <v/>
      </c>
      <c r="G7" s="52" t="inlineStr"/>
    </row>
    <row r="8" ht="28" customHeight="1">
      <c r="A8" s="17" t="n">
        <v>2</v>
      </c>
      <c r="B8" s="22" t="inlineStr">
        <is>
          <t>عدم انقطاع المحطات من الوقود</t>
        </is>
      </c>
      <c r="C8" s="75" t="n">
        <v>0.35</v>
      </c>
      <c r="D8" s="89" t="inlineStr">
        <is>
          <t>0 حالات انقطاع</t>
        </is>
      </c>
      <c r="E8" s="54" t="n"/>
      <c r="F8" s="23">
        <f>C8*MIN(E8,1)</f>
        <v/>
      </c>
      <c r="G8" s="52" t="inlineStr"/>
    </row>
    <row r="9" ht="28" customHeight="1">
      <c r="A9" s="17" t="n">
        <v>3</v>
      </c>
      <c r="B9" s="22" t="inlineStr">
        <is>
          <t>متابعة طلبات وتوريد الوقود</t>
        </is>
      </c>
      <c r="C9" s="75" t="n">
        <v>0.1</v>
      </c>
      <c r="D9" s="89" t="inlineStr">
        <is>
          <t>100% متابعة يومية</t>
        </is>
      </c>
      <c r="E9" s="54" t="n"/>
      <c r="F9" s="23">
        <f>C9*MIN(E9,1)</f>
        <v/>
      </c>
      <c r="G9" s="52" t="inlineStr"/>
    </row>
    <row r="10" ht="28" customHeight="1">
      <c r="A10" s="17" t="n">
        <v>4</v>
      </c>
      <c r="B10" s="22" t="inlineStr">
        <is>
          <t>إجمالي مبيعات المحطات</t>
        </is>
      </c>
      <c r="C10" s="75" t="n">
        <v>0.1</v>
      </c>
      <c r="D10" s="89" t="inlineStr">
        <is>
          <t>تحقيق هدف المبيعات</t>
        </is>
      </c>
      <c r="E10" s="54" t="n"/>
      <c r="F10" s="23">
        <f>C10*MIN(E10,1)</f>
        <v/>
      </c>
      <c r="G10" s="52" t="inlineStr"/>
    </row>
    <row r="11" ht="28" customHeight="1">
      <c r="A11" s="17" t="n">
        <v>5</v>
      </c>
      <c r="B11" s="22" t="inlineStr">
        <is>
          <t>التحصيل المالي</t>
        </is>
      </c>
      <c r="C11" s="75" t="n">
        <v>0.1</v>
      </c>
      <c r="D11" s="89" t="inlineStr">
        <is>
          <t>100% خلال الربع</t>
        </is>
      </c>
      <c r="E11" s="54" t="n"/>
      <c r="F11" s="23">
        <f>C11*MIN(E11,1)</f>
        <v/>
      </c>
      <c r="G11" s="52" t="inlineStr"/>
    </row>
    <row r="12" ht="28" customHeight="1">
      <c r="A12" s="17" t="n">
        <v>6</v>
      </c>
      <c r="B12" s="22" t="inlineStr">
        <is>
          <t>التقارير الدورية الشاملة</t>
        </is>
      </c>
      <c r="C12" s="75" t="n">
        <v>0.05</v>
      </c>
      <c r="D12" s="89" t="inlineStr">
        <is>
          <t>100% في مواعيدها</t>
        </is>
      </c>
      <c r="E12" s="54" t="n"/>
      <c r="F12" s="23">
        <f>C12*MIN(E12,1)</f>
        <v/>
      </c>
      <c r="G12" s="52" t="inlineStr"/>
    </row>
    <row r="13">
      <c r="A13" s="81" t="inlineStr"/>
      <c r="B13" s="82" t="inlineStr">
        <is>
          <t>المجموع الكلي</t>
        </is>
      </c>
      <c r="C13" s="90">
        <f>SUM(C7:C12)</f>
        <v/>
      </c>
      <c r="D13" s="81" t="inlineStr"/>
      <c r="E13" s="82" t="inlineStr">
        <is>
          <t>الدرجة:</t>
        </is>
      </c>
      <c r="F13" s="91">
        <f>SUM(F7:F12)</f>
        <v/>
      </c>
      <c r="G13" s="81" t="inlineStr"/>
    </row>
    <row r="14">
      <c r="B14" s="5" t="inlineStr">
        <is>
          <t>التقدير</t>
        </is>
      </c>
      <c r="C14" s="26">
        <f>IF(F13&gt;=0.9,"ممتاز",IF(F13&gt;=0.8,"جيد جداً",IF(F13&gt;=0.7,"جيد",IF(F13&gt;=0.6,"مقبول","ضعيف"))))</f>
        <v/>
      </c>
      <c r="D14" s="44" t="n"/>
    </row>
    <row r="16">
      <c r="B16" s="5" t="inlineStr">
        <is>
          <t>سلّم التقييم</t>
        </is>
      </c>
      <c r="C16" s="43" t="n"/>
      <c r="D16" s="44"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المراقب الميداني</t>
        </is>
      </c>
    </row>
    <row r="2">
      <c r="A2" s="51" t="inlineStr">
        <is>
          <t>الكود: FM-03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5" t="n">
        <v>0.3</v>
      </c>
      <c r="D7" s="89" t="inlineStr">
        <is>
          <t>100% من الزيارات المجدولة</t>
        </is>
      </c>
      <c r="E7" s="54" t="n"/>
      <c r="F7" s="23">
        <f>C7*MIN(E7,1)</f>
        <v/>
      </c>
      <c r="G7" s="52" t="inlineStr"/>
    </row>
    <row r="8" ht="28" customHeight="1">
      <c r="A8" s="17" t="n">
        <v>2</v>
      </c>
      <c r="B8" s="22" t="inlineStr">
        <is>
          <t>متابعة تطبيق الهوية المؤسسية</t>
        </is>
      </c>
      <c r="C8" s="75" t="n">
        <v>0.2</v>
      </c>
      <c r="D8" s="89" t="inlineStr">
        <is>
          <t>100% دون ملاحظات متكررة</t>
        </is>
      </c>
      <c r="E8" s="54" t="n"/>
      <c r="F8" s="23">
        <f>C8*MIN(E8,1)</f>
        <v/>
      </c>
      <c r="G8" s="52" t="inlineStr"/>
    </row>
    <row r="9" ht="28" customHeight="1">
      <c r="A9" s="17" t="n">
        <v>3</v>
      </c>
      <c r="B9" s="22" t="inlineStr">
        <is>
          <t>تقارير الجودة الميدانية والـChecklist</t>
        </is>
      </c>
      <c r="C9" s="75" t="n">
        <v>0.2</v>
      </c>
      <c r="D9" s="89" t="inlineStr">
        <is>
          <t>100% رفع التقارير</t>
        </is>
      </c>
      <c r="E9" s="54" t="n"/>
      <c r="F9" s="23">
        <f>C9*MIN(E9,1)</f>
        <v/>
      </c>
      <c r="G9" s="52" t="inlineStr"/>
    </row>
    <row r="10" ht="28" customHeight="1">
      <c r="A10" s="17" t="n">
        <v>4</v>
      </c>
      <c r="B10" s="22" t="inlineStr">
        <is>
          <t>متابعة العلامات التجارية</t>
        </is>
      </c>
      <c r="C10" s="75" t="n">
        <v>0.1</v>
      </c>
      <c r="D10" s="89" t="inlineStr">
        <is>
          <t>100% حسب الجدول</t>
        </is>
      </c>
      <c r="E10" s="54" t="n"/>
      <c r="F10" s="23">
        <f>C10*MIN(E10,1)</f>
        <v/>
      </c>
      <c r="G10" s="52" t="inlineStr"/>
    </row>
    <row r="11" ht="28" customHeight="1">
      <c r="A11" s="17" t="n">
        <v>5</v>
      </c>
      <c r="B11" s="22" t="inlineStr">
        <is>
          <t>تطبيق معايير السلامة الميدانية</t>
        </is>
      </c>
      <c r="C11" s="75" t="n">
        <v>0.1</v>
      </c>
      <c r="D11" s="89" t="inlineStr">
        <is>
          <t>100%</t>
        </is>
      </c>
      <c r="E11" s="54" t="n"/>
      <c r="F11" s="23">
        <f>C11*MIN(E11,1)</f>
        <v/>
      </c>
      <c r="G11" s="52" t="inlineStr"/>
    </row>
    <row r="12" ht="28" customHeight="1">
      <c r="A12" s="17" t="n">
        <v>6</v>
      </c>
      <c r="B12" s="22" t="inlineStr">
        <is>
          <t>متابعة الشكاوى وإغلاقها</t>
        </is>
      </c>
      <c r="C12" s="75" t="n">
        <v>0.1</v>
      </c>
      <c r="D12" s="89" t="inlineStr">
        <is>
          <t>الاستجابة خلال 24 ساعة</t>
        </is>
      </c>
      <c r="E12" s="54" t="n"/>
      <c r="F12" s="23">
        <f>C12*MIN(E12,1)</f>
        <v/>
      </c>
      <c r="G12" s="52" t="inlineStr"/>
    </row>
    <row r="13">
      <c r="A13" s="81" t="inlineStr"/>
      <c r="B13" s="82" t="inlineStr">
        <is>
          <t>المجموع الكلي</t>
        </is>
      </c>
      <c r="C13" s="90">
        <f>SUM(C7:C12)</f>
        <v/>
      </c>
      <c r="D13" s="81" t="inlineStr"/>
      <c r="E13" s="82" t="inlineStr">
        <is>
          <t>الدرجة:</t>
        </is>
      </c>
      <c r="F13" s="91">
        <f>SUM(F7:F12)</f>
        <v/>
      </c>
      <c r="G13" s="81" t="inlineStr"/>
    </row>
    <row r="14">
      <c r="B14" s="5" t="inlineStr">
        <is>
          <t>التقدير</t>
        </is>
      </c>
      <c r="C14" s="26">
        <f>IF(F13&gt;=0.9,"ممتاز",IF(F13&gt;=0.8,"جيد جداً",IF(F13&gt;=0.7,"جيد",IF(F13&gt;=0.6,"مقبول","ضعيف"))))</f>
        <v/>
      </c>
      <c r="D14" s="44" t="n"/>
    </row>
    <row r="16">
      <c r="B16" s="5" t="inlineStr">
        <is>
          <t>سلّم التقييم</t>
        </is>
      </c>
      <c r="C16" s="43" t="n"/>
      <c r="D16" s="44"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مسؤول التعاقدات</t>
        </is>
      </c>
    </row>
    <row r="2">
      <c r="A2" s="51" t="inlineStr">
        <is>
          <t>الكود: FM-04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5" t="n">
        <v>0.2</v>
      </c>
      <c r="D7" s="89" t="inlineStr">
        <is>
          <t>98% توافق مع المستهدفات</t>
        </is>
      </c>
      <c r="E7" s="54" t="n"/>
      <c r="F7" s="23">
        <f>C7*MIN(E7,1)</f>
        <v/>
      </c>
      <c r="G7" s="52" t="inlineStr"/>
    </row>
    <row r="8" ht="28" customHeight="1">
      <c r="A8" s="17" t="n">
        <v>2</v>
      </c>
      <c r="B8" s="22" t="inlineStr">
        <is>
          <t>اكتمال المستندات النظامية قبل التوقيع</t>
        </is>
      </c>
      <c r="C8" s="75" t="n">
        <v>0.15</v>
      </c>
      <c r="D8" s="89" t="inlineStr">
        <is>
          <t>100%</t>
        </is>
      </c>
      <c r="E8" s="54" t="n"/>
      <c r="F8" s="23">
        <f>C8*MIN(E8,1)</f>
        <v/>
      </c>
      <c r="G8" s="52" t="inlineStr"/>
    </row>
    <row r="9" ht="28" customHeight="1">
      <c r="A9" s="17" t="n">
        <v>3</v>
      </c>
      <c r="B9" s="22" t="inlineStr">
        <is>
          <t>سرعة إنجاز إجراءات العقد</t>
        </is>
      </c>
      <c r="C9" s="75" t="n">
        <v>0.3</v>
      </c>
      <c r="D9" s="89" t="inlineStr">
        <is>
          <t>خلال يومي عمل 100%</t>
        </is>
      </c>
      <c r="E9" s="54" t="n"/>
      <c r="F9" s="23">
        <f>C9*MIN(E9,1)</f>
        <v/>
      </c>
      <c r="G9" s="52" t="inlineStr"/>
    </row>
    <row r="10" ht="28" customHeight="1">
      <c r="A10" s="17" t="n">
        <v>4</v>
      </c>
      <c r="B10" s="22" t="inlineStr">
        <is>
          <t>أرشفة العقود الإلكترونية</t>
        </is>
      </c>
      <c r="C10" s="75" t="n">
        <v>0.1</v>
      </c>
      <c r="D10" s="89" t="inlineStr">
        <is>
          <t>خلال 48 ساعة 100%</t>
        </is>
      </c>
      <c r="E10" s="54" t="n"/>
      <c r="F10" s="23">
        <f>C10*MIN(E10,1)</f>
        <v/>
      </c>
      <c r="G10" s="52" t="inlineStr"/>
    </row>
    <row r="11" ht="28" customHeight="1">
      <c r="A11" s="17" t="n">
        <v>5</v>
      </c>
      <c r="B11" s="22" t="inlineStr">
        <is>
          <t>متابعة تنفيذ بنود العقد</t>
        </is>
      </c>
      <c r="C11" s="75" t="n">
        <v>0.1</v>
      </c>
      <c r="D11" s="89" t="inlineStr">
        <is>
          <t>100%</t>
        </is>
      </c>
      <c r="E11" s="54" t="n"/>
      <c r="F11" s="23">
        <f>C11*MIN(E11,1)</f>
        <v/>
      </c>
      <c r="G11" s="52" t="inlineStr"/>
    </row>
    <row r="12" ht="28" customHeight="1">
      <c r="A12" s="17" t="n">
        <v>6</v>
      </c>
      <c r="B12" s="22" t="inlineStr">
        <is>
          <t>مدى رضا العملاء</t>
        </is>
      </c>
      <c r="C12" s="75" t="n">
        <v>0.1</v>
      </c>
      <c r="D12" s="89" t="inlineStr">
        <is>
          <t>95% رضا</t>
        </is>
      </c>
      <c r="E12" s="54" t="n"/>
      <c r="F12" s="23">
        <f>C12*MIN(E12,1)</f>
        <v/>
      </c>
      <c r="G12" s="52" t="inlineStr"/>
    </row>
    <row r="13" ht="28" customHeight="1">
      <c r="A13" s="17" t="n">
        <v>7</v>
      </c>
      <c r="B13" s="22" t="inlineStr">
        <is>
          <t>تحديث قاعدة بيانات العملاء</t>
        </is>
      </c>
      <c r="C13" s="75" t="n">
        <v>0.05</v>
      </c>
      <c r="D13" s="89" t="inlineStr">
        <is>
          <t>100% دوري</t>
        </is>
      </c>
      <c r="E13" s="54" t="n"/>
      <c r="F13" s="23">
        <f>C13*MIN(E13,1)</f>
        <v/>
      </c>
      <c r="G13" s="52" t="inlineStr"/>
    </row>
    <row r="14">
      <c r="A14" s="81" t="inlineStr"/>
      <c r="B14" s="82" t="inlineStr">
        <is>
          <t>المجموع الكلي</t>
        </is>
      </c>
      <c r="C14" s="90">
        <f>SUM(C7:C13)</f>
        <v/>
      </c>
      <c r="D14" s="81" t="inlineStr"/>
      <c r="E14" s="82" t="inlineStr">
        <is>
          <t>الدرجة:</t>
        </is>
      </c>
      <c r="F14" s="91">
        <f>SUM(F7:F13)</f>
        <v/>
      </c>
      <c r="G14" s="81" t="inlineStr"/>
    </row>
    <row r="15">
      <c r="B15" s="5" t="inlineStr">
        <is>
          <t>التقدير</t>
        </is>
      </c>
      <c r="C15" s="26">
        <f>IF(F14&gt;=0.9,"ممتاز",IF(F14&gt;=0.8,"جيد جداً",IF(F14&gt;=0.7,"جيد",IF(F14&gt;=0.6,"مقبول","ضعيف"))))</f>
        <v/>
      </c>
      <c r="D15" s="44" t="n"/>
    </row>
    <row r="17">
      <c r="B17" s="5" t="inlineStr">
        <is>
          <t>سلّم التقييم</t>
        </is>
      </c>
      <c r="C17" s="43" t="n"/>
      <c r="D17" s="44"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الموظف الإداري</t>
        </is>
      </c>
    </row>
    <row r="2">
      <c r="A2" s="51" t="inlineStr">
        <is>
          <t>الكود: FM-05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5" t="n">
        <v>0.3</v>
      </c>
      <c r="D7" s="89" t="inlineStr">
        <is>
          <t>100% في الوقت المحدد</t>
        </is>
      </c>
      <c r="E7" s="54" t="n"/>
      <c r="F7" s="23">
        <f>C7*MIN(E7,1)</f>
        <v/>
      </c>
      <c r="G7" s="52" t="inlineStr"/>
    </row>
    <row r="8" ht="28" customHeight="1">
      <c r="A8" s="17" t="n">
        <v>2</v>
      </c>
      <c r="B8" s="22" t="inlineStr">
        <is>
          <t>متابعة الشكاوى وحالات العملاء</t>
        </is>
      </c>
      <c r="C8" s="75" t="n">
        <v>0.3</v>
      </c>
      <c r="D8" s="89" t="inlineStr">
        <is>
          <t>100% حتى الإغلاق</t>
        </is>
      </c>
      <c r="E8" s="54" t="n"/>
      <c r="F8" s="23">
        <f>C8*MIN(E8,1)</f>
        <v/>
      </c>
      <c r="G8" s="52" t="inlineStr"/>
    </row>
    <row r="9" ht="28" customHeight="1">
      <c r="A9" s="17" t="n">
        <v>3</v>
      </c>
      <c r="B9" s="22" t="inlineStr">
        <is>
          <t>متابعة عمولات تأجير الوحدات</t>
        </is>
      </c>
      <c r="C9" s="75" t="n">
        <v>0.2</v>
      </c>
      <c r="D9" s="89" t="inlineStr">
        <is>
          <t>100%</t>
        </is>
      </c>
      <c r="E9" s="54" t="n"/>
      <c r="F9" s="23">
        <f>C9*MIN(E9,1)</f>
        <v/>
      </c>
      <c r="G9" s="52" t="inlineStr"/>
    </row>
    <row r="10" ht="28" customHeight="1">
      <c r="A10" s="17" t="n">
        <v>4</v>
      </c>
      <c r="B10" s="22" t="inlineStr">
        <is>
          <t>تحديث بيانات العملاء والمحطات</t>
        </is>
      </c>
      <c r="C10" s="75" t="n">
        <v>0.1</v>
      </c>
      <c r="D10" s="89" t="inlineStr">
        <is>
          <t>100% دقة</t>
        </is>
      </c>
      <c r="E10" s="54" t="n"/>
      <c r="F10" s="23">
        <f>C10*MIN(E10,1)</f>
        <v/>
      </c>
      <c r="G10" s="52" t="inlineStr"/>
    </row>
    <row r="11" ht="28" customHeight="1">
      <c r="A11" s="17" t="n">
        <v>5</v>
      </c>
      <c r="B11" s="22" t="inlineStr">
        <is>
          <t>إعداد المراسلات الرسمية</t>
        </is>
      </c>
      <c r="C11" s="75" t="n">
        <v>0.1</v>
      </c>
      <c r="D11" s="89" t="inlineStr">
        <is>
          <t>100% في الوقت المحدد</t>
        </is>
      </c>
      <c r="E11" s="54" t="n"/>
      <c r="F11" s="23">
        <f>C11*MIN(E11,1)</f>
        <v/>
      </c>
      <c r="G11" s="52" t="inlineStr"/>
    </row>
    <row r="12">
      <c r="A12" s="81" t="inlineStr"/>
      <c r="B12" s="82" t="inlineStr">
        <is>
          <t>المجموع الكلي</t>
        </is>
      </c>
      <c r="C12" s="90">
        <f>SUM(C7:C11)</f>
        <v/>
      </c>
      <c r="D12" s="81" t="inlineStr"/>
      <c r="E12" s="82" t="inlineStr">
        <is>
          <t>الدرجة:</t>
        </is>
      </c>
      <c r="F12" s="91">
        <f>SUM(F7:F11)</f>
        <v/>
      </c>
      <c r="G12" s="81" t="inlineStr"/>
    </row>
    <row r="13">
      <c r="B13" s="5" t="inlineStr">
        <is>
          <t>التقدير</t>
        </is>
      </c>
      <c r="C13" s="26">
        <f>IF(F12&gt;=0.9,"ممتاز",IF(F12&gt;=0.8,"جيد جداً",IF(F12&gt;=0.7,"جيد",IF(F12&gt;=0.6,"مقبول","ضعيف"))))</f>
        <v/>
      </c>
      <c r="D13" s="44" t="n"/>
    </row>
    <row r="15">
      <c r="B15" s="5" t="inlineStr">
        <is>
          <t>سلّم التقييم</t>
        </is>
      </c>
      <c r="C15" s="43" t="n"/>
      <c r="D15" s="44"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1" t="inlineStr">
        <is>
          <t>محطة</t>
        </is>
      </c>
      <c r="E4" s="61" t="inlineStr">
        <is>
          <t>↑</t>
        </is>
      </c>
      <c r="F4" s="61" t="inlineStr">
        <is>
          <t>LAST</t>
        </is>
      </c>
      <c r="G4" s="62" t="n">
        <v>85</v>
      </c>
      <c r="H4" s="63" t="inlineStr">
        <is>
          <t>85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قائد</t>
        </is>
      </c>
      <c r="AB4" s="54" t="n">
        <v>0.0625</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الربحية</t>
        </is>
      </c>
      <c r="C5" s="22" t="inlineStr">
        <is>
          <t>نمو مبيعات بنزين 91 مقارنة بالعام السابق</t>
        </is>
      </c>
      <c r="D5" s="61" t="inlineStr">
        <is>
          <t>%</t>
        </is>
      </c>
      <c r="E5" s="61" t="inlineStr">
        <is>
          <t>↑</t>
        </is>
      </c>
      <c r="F5" s="61" t="inlineStr">
        <is>
          <t>AVG</t>
        </is>
      </c>
      <c r="G5" s="61" t="inlineStr"/>
      <c r="H5" s="63" t="inlineStr">
        <is>
          <t>يُحدد لاحقاً</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زيادة وصول العملاء</t>
        </is>
      </c>
      <c r="Z5" s="54" t="n"/>
      <c r="AA5" s="21" t="inlineStr">
        <is>
          <t>🔵 قائد</t>
        </is>
      </c>
      <c r="AB5" s="54" t="n">
        <v>0.0625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مالي</t>
        </is>
      </c>
    </row>
    <row r="6" ht="26" customHeight="1">
      <c r="A6" s="17" t="n">
        <v>3</v>
      </c>
      <c r="B6" s="22" t="inlineStr">
        <is>
          <t>الربحية</t>
        </is>
      </c>
      <c r="C6" s="22" t="inlineStr">
        <is>
          <t>نمو مبيعات بنزين 95 مقارنة بالعام السابق</t>
        </is>
      </c>
      <c r="D6" s="61" t="inlineStr">
        <is>
          <t>%</t>
        </is>
      </c>
      <c r="E6" s="61" t="inlineStr">
        <is>
          <t>↑</t>
        </is>
      </c>
      <c r="F6" s="61" t="inlineStr">
        <is>
          <t>AVG</t>
        </is>
      </c>
      <c r="G6" s="61" t="inlineStr"/>
      <c r="H6" s="63" t="inlineStr">
        <is>
          <t>يُحدد لاحقاً</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54" t="n"/>
      <c r="AA6" s="21" t="inlineStr">
        <is>
          <t>🔵 قائد</t>
        </is>
      </c>
      <c r="AB6" s="54" t="n">
        <v>0.0625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الربحية</t>
        </is>
      </c>
      <c r="C7" s="22" t="inlineStr">
        <is>
          <t>نمو مبيعات بنزين 98 مقارنة بالعام السابق</t>
        </is>
      </c>
      <c r="D7" s="61" t="inlineStr">
        <is>
          <t>%</t>
        </is>
      </c>
      <c r="E7" s="61" t="inlineStr">
        <is>
          <t>↑</t>
        </is>
      </c>
      <c r="F7" s="61" t="inlineStr">
        <is>
          <t>AVG</t>
        </is>
      </c>
      <c r="G7" s="61" t="inlineStr"/>
      <c r="H7" s="63" t="inlineStr">
        <is>
          <t>يُحدد لاحقاً</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0.0625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الربحية</t>
        </is>
      </c>
      <c r="C8" s="22" t="inlineStr">
        <is>
          <t>نمو مبيعات الديزل مقارنة بالعام السابق</t>
        </is>
      </c>
      <c r="D8" s="61" t="inlineStr">
        <is>
          <t>%</t>
        </is>
      </c>
      <c r="E8" s="61" t="inlineStr">
        <is>
          <t>↑</t>
        </is>
      </c>
      <c r="F8" s="61" t="inlineStr">
        <is>
          <t>AVG</t>
        </is>
      </c>
      <c r="G8" s="61" t="inlineStr"/>
      <c r="H8" s="63" t="inlineStr">
        <is>
          <t>يُحدد لاحقاً</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زيادة وصول العملاء</t>
        </is>
      </c>
      <c r="Z8" s="54" t="n"/>
      <c r="AA8" s="21" t="inlineStr">
        <is>
          <t>🔵 قائد</t>
        </is>
      </c>
      <c r="AB8" s="54" t="n">
        <v>0.0625</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مالي</t>
        </is>
      </c>
    </row>
    <row r="9" ht="26" customHeight="1">
      <c r="A9" s="17" t="n">
        <v>6</v>
      </c>
      <c r="B9" s="22" t="inlineStr">
        <is>
          <t>حماية الإيراد</t>
        </is>
      </c>
      <c r="C9" s="22" t="inlineStr">
        <is>
          <t>نسبة جاهزية المحطة الشاملة (Uptime)</t>
        </is>
      </c>
      <c r="D9" s="61" t="inlineStr">
        <is>
          <t>%</t>
        </is>
      </c>
      <c r="E9" s="61" t="inlineStr">
        <is>
          <t>↑</t>
        </is>
      </c>
      <c r="F9" s="61" t="inlineStr">
        <is>
          <t>AVG</t>
        </is>
      </c>
      <c r="G9" s="75" t="n">
        <v>0.99</v>
      </c>
      <c r="H9" s="63" t="inlineStr">
        <is>
          <t>99%+</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جودة التشغيل</t>
        </is>
      </c>
      <c r="Z9" s="54" t="n"/>
      <c r="AA9" s="21" t="inlineStr">
        <is>
          <t>🟣 لاحق</t>
        </is>
      </c>
      <c r="AB9" s="54" t="n">
        <v>0.0625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حماية الإيراد</t>
        </is>
      </c>
      <c r="C10" s="22" t="inlineStr">
        <is>
          <t>نسبة المضخات العاملة</t>
        </is>
      </c>
      <c r="D10" s="61" t="inlineStr">
        <is>
          <t>%</t>
        </is>
      </c>
      <c r="E10" s="61" t="inlineStr">
        <is>
          <t>↑</t>
        </is>
      </c>
      <c r="F10" s="61" t="inlineStr">
        <is>
          <t>AVG</t>
        </is>
      </c>
      <c r="G10" s="75" t="n">
        <v>0.97</v>
      </c>
      <c r="H10" s="63" t="inlineStr">
        <is>
          <t>≥ 97%</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جودة التشغيل</t>
        </is>
      </c>
      <c r="Z10" s="54" t="n"/>
      <c r="AA10" s="21" t="inlineStr">
        <is>
          <t>🟣 لاحق</t>
        </is>
      </c>
      <c r="AB10" s="54" t="n">
        <v>0.0625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ضغط التكلفة</t>
        </is>
      </c>
      <c r="C11" s="22" t="inlineStr">
        <is>
          <t>تكلفة التشغيل لكل لتر مباع</t>
        </is>
      </c>
      <c r="D11" s="61" t="inlineStr">
        <is>
          <t>هللة/لتر</t>
        </is>
      </c>
      <c r="E11" s="61" t="inlineStr">
        <is>
          <t>↓</t>
        </is>
      </c>
      <c r="F11" s="61" t="inlineStr">
        <is>
          <t>AVG</t>
        </is>
      </c>
      <c r="G11" s="61" t="inlineStr"/>
      <c r="H11" s="63" t="inlineStr">
        <is>
          <t>خفض ≥5% سنوياً</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جودة التشغيل</t>
        </is>
      </c>
      <c r="Z11" s="79" t="n"/>
      <c r="AA11" s="21" t="inlineStr">
        <is>
          <t>🟣 لاحق</t>
        </is>
      </c>
      <c r="AB11" s="54" t="n">
        <v>0.0625</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حماية الأصول</t>
        </is>
      </c>
      <c r="C12" s="22" t="inlineStr">
        <is>
          <t>نسبة الصيانة الوقائية المنفذة في موعدها</t>
        </is>
      </c>
      <c r="D12" s="61" t="inlineStr">
        <is>
          <t>%</t>
        </is>
      </c>
      <c r="E12" s="61" t="inlineStr">
        <is>
          <t>↑</t>
        </is>
      </c>
      <c r="F12" s="61" t="inlineStr">
        <is>
          <t>AVG</t>
        </is>
      </c>
      <c r="G12" s="75" t="n">
        <v>0.95</v>
      </c>
      <c r="H12" s="63" t="inlineStr">
        <is>
          <t>≥ 95%</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0.0625</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1" t="inlineStr">
        <is>
          <t>%</t>
        </is>
      </c>
      <c r="E13" s="61" t="inlineStr">
        <is>
          <t>↑</t>
        </is>
      </c>
      <c r="F13" s="61" t="inlineStr">
        <is>
          <t>AVG</t>
        </is>
      </c>
      <c r="G13" s="61" t="inlineStr"/>
      <c r="H13" s="63" t="inlineStr">
        <is>
          <t>−30%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الاستدامة</t>
        </is>
      </c>
      <c r="Y13" s="22" t="inlineStr">
        <is>
          <t>تعزيز تجربة العملاء</t>
        </is>
      </c>
      <c r="Z13" s="54" t="n"/>
      <c r="AA13" s="21" t="inlineStr">
        <is>
          <t>🟣 لاحق</t>
        </is>
      </c>
      <c r="AB13" s="54" t="n">
        <v>0.0625</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العملاء</t>
        </is>
      </c>
    </row>
    <row r="14" ht="26" customHeight="1">
      <c r="A14" s="17" t="n">
        <v>11</v>
      </c>
      <c r="B14" s="22" t="inlineStr">
        <is>
          <t>تجربة العميل</t>
        </is>
      </c>
      <c r="C14" s="22" t="inlineStr">
        <is>
          <t>تقييم Google Maps للمحطات</t>
        </is>
      </c>
      <c r="D14" s="61" t="inlineStr">
        <is>
          <t>نجمة/5</t>
        </is>
      </c>
      <c r="E14" s="61" t="inlineStr">
        <is>
          <t>↑</t>
        </is>
      </c>
      <c r="F14" s="61" t="inlineStr">
        <is>
          <t>AVG</t>
        </is>
      </c>
      <c r="G14" s="76" t="n">
        <v>4.5</v>
      </c>
      <c r="H14" s="63" t="inlineStr">
        <is>
          <t>≥ 4.5</t>
        </is>
      </c>
      <c r="I14" s="77" t="n"/>
      <c r="J14" s="77" t="n"/>
      <c r="K14" s="77" t="n"/>
      <c r="L14" s="77" t="n"/>
      <c r="M14" s="77" t="n"/>
      <c r="N14" s="77" t="n"/>
      <c r="O14" s="77" t="n"/>
      <c r="P14" s="77" t="n"/>
      <c r="Q14" s="77" t="n"/>
      <c r="R14" s="77" t="n"/>
      <c r="S14" s="77" t="n"/>
      <c r="T14" s="77" t="n"/>
      <c r="U14" s="78">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الاستدامة</t>
        </is>
      </c>
      <c r="Y14" s="22" t="inlineStr">
        <is>
          <t>تعزيز تجربة العملاء</t>
        </is>
      </c>
      <c r="Z14" s="79" t="n"/>
      <c r="AA14" s="21" t="inlineStr">
        <is>
          <t>🟣 لاحق</t>
        </is>
      </c>
      <c r="AB14" s="54" t="n">
        <v>0.0625</v>
      </c>
      <c r="AC14" s="23">
        <f>IF($V14="","",$AB14*MIN($V14,1))</f>
        <v/>
      </c>
      <c r="AD14" s="76">
        <f>IF($G14="","",IF($F14="SUM",IF('لوحة الإدارة التنفيذية'!$P$2="","",$G14/12*'لوحة الإدارة التنفيذية'!$P$2),$G14))</f>
        <v/>
      </c>
      <c r="AE14" s="80">
        <f>IF($F14="SUM",IF(OR('لوحة الإدارة التنفيذية'!$P$2="",'لوحة الإدارة التنفيذية'!$P$2=0),"",IF($U14="","",$U14/'لوحة الإدارة التنفيذية'!$P$2*12)),IF($U14="","",$U14))</f>
        <v/>
      </c>
      <c r="AF14" s="76">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تجربة العميل</t>
        </is>
      </c>
      <c r="C15" s="22" t="inlineStr">
        <is>
          <t>سرعة تعبئة الوقود</t>
        </is>
      </c>
      <c r="D15" s="61" t="inlineStr">
        <is>
          <t>دقيقة</t>
        </is>
      </c>
      <c r="E15" s="61" t="inlineStr">
        <is>
          <t>↓</t>
        </is>
      </c>
      <c r="F15" s="61" t="inlineStr">
        <is>
          <t>AVG</t>
        </is>
      </c>
      <c r="G15" s="76" t="n">
        <v>3</v>
      </c>
      <c r="H15" s="63" t="inlineStr">
        <is>
          <t>≤ 3 دقائق</t>
        </is>
      </c>
      <c r="I15" s="77" t="n"/>
      <c r="J15" s="77" t="n"/>
      <c r="K15" s="77" t="n"/>
      <c r="L15" s="77" t="n"/>
      <c r="M15" s="77" t="n"/>
      <c r="N15" s="77" t="n"/>
      <c r="O15" s="77" t="n"/>
      <c r="P15" s="77" t="n"/>
      <c r="Q15" s="77" t="n"/>
      <c r="R15" s="77" t="n"/>
      <c r="S15" s="77" t="n"/>
      <c r="T15" s="77" t="n"/>
      <c r="U15" s="78">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تعزيز تجربة العملاء</t>
        </is>
      </c>
      <c r="Z15" s="79" t="n"/>
      <c r="AA15" s="21" t="inlineStr">
        <is>
          <t>🟣 لاحق</t>
        </is>
      </c>
      <c r="AB15" s="54" t="n">
        <v>0.0625</v>
      </c>
      <c r="AC15" s="23">
        <f>IF($V15="","",$AB15*MIN($V15,1))</f>
        <v/>
      </c>
      <c r="AD15" s="76">
        <f>IF($G15="","",IF($F15="SUM",IF('لوحة الإدارة التنفيذية'!$P$2="","",$G15/12*'لوحة الإدارة التنفيذية'!$P$2),$G15))</f>
        <v/>
      </c>
      <c r="AE15" s="80">
        <f>IF($F15="SUM",IF(OR('لوحة الإدارة التنفيذية'!$P$2="",'لوحة الإدارة التنفيذية'!$P$2=0),"",IF($U15="","",$U15/'لوحة الإدارة التنفيذية'!$P$2*12)),IF($U15="","",$U15))</f>
        <v/>
      </c>
      <c r="AF15" s="76">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تجربة العميل</t>
        </is>
      </c>
      <c r="C16" s="22" t="inlineStr">
        <is>
          <t>دقة التعبئة بدون أخطاء</t>
        </is>
      </c>
      <c r="D16" s="61" t="inlineStr">
        <is>
          <t>%</t>
        </is>
      </c>
      <c r="E16" s="61" t="inlineStr">
        <is>
          <t>↑</t>
        </is>
      </c>
      <c r="F16" s="61" t="inlineStr">
        <is>
          <t>AVG</t>
        </is>
      </c>
      <c r="G16" s="75" t="n">
        <v>0.99</v>
      </c>
      <c r="H16" s="63" t="inlineStr">
        <is>
          <t>≥ 99%</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54" t="n"/>
      <c r="AA16" s="21" t="inlineStr">
        <is>
          <t>🟣 لاحق</t>
        </is>
      </c>
      <c r="AB16" s="54" t="n">
        <v>0.0625</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تجربة العميل</t>
        </is>
      </c>
      <c r="C17" s="22" t="inlineStr">
        <is>
          <t>تطبيق المعيار الشامل في المحطات</t>
        </is>
      </c>
      <c r="D17" s="61" t="inlineStr">
        <is>
          <t>%</t>
        </is>
      </c>
      <c r="E17" s="61" t="inlineStr">
        <is>
          <t>↑</t>
        </is>
      </c>
      <c r="F17" s="61" t="inlineStr">
        <is>
          <t>LAST</t>
        </is>
      </c>
      <c r="G17" s="75" t="n">
        <v>0.8</v>
      </c>
      <c r="H17" s="63" t="inlineStr">
        <is>
          <t>≥ 80%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الابتكار</t>
        </is>
      </c>
      <c r="Y17" s="22" t="inlineStr">
        <is>
          <t>التحول التقني</t>
        </is>
      </c>
      <c r="Z17" s="54" t="n"/>
      <c r="AA17" s="21" t="inlineStr">
        <is>
          <t>🟣 لاحق</t>
        </is>
      </c>
      <c r="AB17" s="54" t="n">
        <v>0.0625</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السلامة</t>
        </is>
      </c>
      <c r="C18" s="22" t="inlineStr">
        <is>
          <t>الالتزام بمعايير السلامة داخل المحطة</t>
        </is>
      </c>
      <c r="D18" s="61" t="inlineStr">
        <is>
          <t>%</t>
        </is>
      </c>
      <c r="E18" s="61" t="inlineStr">
        <is>
          <t>↑</t>
        </is>
      </c>
      <c r="F18" s="61" t="inlineStr">
        <is>
          <t>AVG</t>
        </is>
      </c>
      <c r="G18" s="75" t="n">
        <v>1</v>
      </c>
      <c r="H18" s="63" t="inlineStr">
        <is>
          <t>100%</t>
        </is>
      </c>
      <c r="I18" s="74" t="n"/>
      <c r="J18" s="74" t="n"/>
      <c r="K18" s="74" t="n"/>
      <c r="L18" s="74" t="n"/>
      <c r="M18" s="74" t="n"/>
      <c r="N18" s="74" t="n"/>
      <c r="O18" s="74" t="n"/>
      <c r="P18" s="74" t="n"/>
      <c r="Q18" s="74" t="n"/>
      <c r="R18" s="74" t="n"/>
      <c r="S18" s="74" t="n"/>
      <c r="T18" s="74" t="n"/>
      <c r="U18" s="60">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جودة التشغيل</t>
        </is>
      </c>
      <c r="Z18" s="54" t="n"/>
      <c r="AA18" s="21" t="inlineStr">
        <is>
          <t>🟣 لاحق</t>
        </is>
      </c>
      <c r="AB18" s="54" t="n">
        <v>0.0625</v>
      </c>
      <c r="AC18" s="23">
        <f>IF($V18="","",$AB18*MIN($V18,1))</f>
        <v/>
      </c>
      <c r="AD18" s="75">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البيئة</t>
        </is>
      </c>
      <c r="C19" s="22" t="inlineStr">
        <is>
          <t>التشجير داخل المحطة (معيار الوزارة)</t>
        </is>
      </c>
      <c r="D19" s="61" t="inlineStr">
        <is>
          <t>%</t>
        </is>
      </c>
      <c r="E19" s="61" t="inlineStr">
        <is>
          <t>↑</t>
        </is>
      </c>
      <c r="F19" s="61" t="inlineStr">
        <is>
          <t>LAST</t>
        </is>
      </c>
      <c r="G19" s="75" t="n">
        <v>1</v>
      </c>
      <c r="H19" s="63" t="inlineStr">
        <is>
          <t>100%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جودة التشغيل</t>
        </is>
      </c>
      <c r="Z19" s="54" t="n"/>
      <c r="AA19" s="21" t="inlineStr">
        <is>
          <t>🟣 لاحق</t>
        </is>
      </c>
      <c r="AB19" s="54" t="n">
        <v>0.0625</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c r="A20" s="81" t="inlineStr"/>
      <c r="B20" s="82" t="inlineStr">
        <is>
          <t>الإجمالي الموزون للإدارة</t>
        </is>
      </c>
      <c r="AB20" s="83">
        <f>SUM(AB4:AB19)</f>
        <v/>
      </c>
      <c r="AC20" s="84">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1" t="inlineStr">
        <is>
          <t>%</t>
        </is>
      </c>
      <c r="E4" s="61" t="inlineStr">
        <is>
          <t>↑</t>
        </is>
      </c>
      <c r="F4" s="61" t="inlineStr">
        <is>
          <t>AVG</t>
        </is>
      </c>
      <c r="G4" s="75" t="n">
        <v>1</v>
      </c>
      <c r="H4" s="63" t="inlineStr">
        <is>
          <t>100%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54" t="n"/>
      <c r="AA4" s="21" t="inlineStr">
        <is>
          <t>🟣 لاحق</t>
        </is>
      </c>
      <c r="AB4" s="54" t="n">
        <v>0.07140000000000001</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الرقابة المالية</t>
        </is>
      </c>
      <c r="C5" s="22" t="inlineStr">
        <is>
          <t>تسليم حصيلة المبيعات في الموعد</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قائد</t>
        </is>
      </c>
      <c r="AB5" s="54" t="n">
        <v>0.07140000000000001</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مالي</t>
        </is>
      </c>
    </row>
    <row r="6" ht="26" customHeight="1">
      <c r="A6" s="17" t="n">
        <v>3</v>
      </c>
      <c r="B6" s="22" t="inlineStr">
        <is>
          <t>الرقابة المالية</t>
        </is>
      </c>
      <c r="C6" s="22" t="inlineStr">
        <is>
          <t>التطابق بين POS والنقدية</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0.07140000000000001</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الرقابة المالية</t>
        </is>
      </c>
      <c r="C7" s="22" t="inlineStr">
        <is>
          <t>حالات عدم تطابق غير مبررة</t>
        </is>
      </c>
      <c r="D7" s="61" t="inlineStr">
        <is>
          <t>حالة</t>
        </is>
      </c>
      <c r="E7" s="61" t="inlineStr">
        <is>
          <t>↓</t>
        </is>
      </c>
      <c r="F7" s="61" t="inlineStr">
        <is>
          <t>SUM</t>
        </is>
      </c>
      <c r="G7" s="62" t="n">
        <v>0</v>
      </c>
      <c r="H7" s="63" t="inlineStr">
        <is>
          <t>0 حالة</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67" t="n"/>
      <c r="AA7" s="21" t="inlineStr">
        <is>
          <t>🟣 لاحق</t>
        </is>
      </c>
      <c r="AB7" s="54" t="n">
        <v>0.07140000000000001</v>
      </c>
      <c r="AC7" s="23">
        <f>IF($V7="","",$AB7*MIN($V7,1))</f>
        <v/>
      </c>
      <c r="AD7" s="62">
        <f>IF($G7="","",IF($F7="SUM",IF('لوحة الإدارة التنفيذية'!$P$2="","",$G7/12*'لوحة الإدارة التنفيذية'!$P$2),$G7))</f>
        <v/>
      </c>
      <c r="AE7" s="68">
        <f>IF($F7="SUM",IF(OR('لوحة الإدارة التنفيذية'!$P$2="",'لوحة الإدارة التنفيذية'!$P$2=0),"",IF($U7="","",$U7/'لوحة الإدارة التنفيذية'!$P$2*12)),IF($U7="","",$U7))</f>
        <v/>
      </c>
      <c r="AF7" s="62">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توريد الوقود</t>
        </is>
      </c>
      <c r="C8" s="22" t="inlineStr">
        <is>
          <t>دقة قياس مستوى الخزان يومياً</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0.07140000000000001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توريد الوقود</t>
        </is>
      </c>
      <c r="C9" s="22" t="inlineStr">
        <is>
          <t>طلب توريد الوقود قبل نفاده</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قائد</t>
        </is>
      </c>
      <c r="AB9" s="54" t="n">
        <v>0.07140000000000001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توريد الوقود</t>
        </is>
      </c>
      <c r="C10" s="22" t="inlineStr">
        <is>
          <t>حالات انقطاع الوقود</t>
        </is>
      </c>
      <c r="D10" s="61" t="inlineStr">
        <is>
          <t>حالة</t>
        </is>
      </c>
      <c r="E10" s="61" t="inlineStr">
        <is>
          <t>↓</t>
        </is>
      </c>
      <c r="F10" s="61" t="inlineStr">
        <is>
          <t>SUM</t>
        </is>
      </c>
      <c r="G10" s="62" t="n">
        <v>0</v>
      </c>
      <c r="H10" s="63" t="inlineStr">
        <is>
          <t>0 حالة</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67" t="n"/>
      <c r="AA10" s="21" t="inlineStr">
        <is>
          <t>🟣 لاحق</t>
        </is>
      </c>
      <c r="AB10" s="54" t="n">
        <v>0.07140000000000001</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توريد الوقود</t>
        </is>
      </c>
      <c r="C11" s="22" t="inlineStr">
        <is>
          <t>توثيق تفريغ الوقود (OP-F-36)</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لاحق</t>
        </is>
      </c>
      <c r="AB11" s="54" t="n">
        <v>0.07140000000000001</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إدارة الفريق</t>
        </is>
      </c>
      <c r="C12" s="22" t="inlineStr">
        <is>
          <t>الالتزام بزي الفريق ومظهره</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0.07140000000000001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إدارة الفريق</t>
        </is>
      </c>
      <c r="C13" s="22" t="inlineStr">
        <is>
          <t>توزيع الزي بعهدة موقّعة</t>
        </is>
      </c>
      <c r="D13" s="61" t="inlineStr">
        <is>
          <t>%</t>
        </is>
      </c>
      <c r="E13" s="61" t="inlineStr">
        <is>
          <t>↑</t>
        </is>
      </c>
      <c r="F13" s="61" t="inlineStr">
        <is>
          <t>AVG</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54" t="n"/>
      <c r="AA13" s="21" t="inlineStr">
        <is>
          <t>🟣 لاحق</t>
        </is>
      </c>
      <c r="AB13" s="54" t="n">
        <v>0.07140000000000001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إدارة الفريق</t>
        </is>
      </c>
      <c r="C14" s="22" t="inlineStr">
        <is>
          <t>تجديد الوثائق والتراخيص مبكراً</t>
        </is>
      </c>
      <c r="D14" s="61" t="inlineStr">
        <is>
          <t>%</t>
        </is>
      </c>
      <c r="E14" s="61" t="inlineStr">
        <is>
          <t>↑</t>
        </is>
      </c>
      <c r="F14" s="61" t="inlineStr">
        <is>
          <t>AVG</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c r="Y14" s="22" t="inlineStr"/>
      <c r="Z14" s="54" t="n"/>
      <c r="AA14" s="21" t="inlineStr">
        <is>
          <t>🟣 لاحق</t>
        </is>
      </c>
      <c r="AB14" s="54" t="n">
        <v>0.07140000000000001</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إدارة الفريق</t>
        </is>
      </c>
      <c r="C15" s="22" t="inlineStr">
        <is>
          <t>الاستجابة لبلاغات الطوارئ والأعطال</t>
        </is>
      </c>
      <c r="D15" s="61" t="inlineStr">
        <is>
          <t>دقيقة</t>
        </is>
      </c>
      <c r="E15" s="61" t="inlineStr">
        <is>
          <t>↓</t>
        </is>
      </c>
      <c r="F15" s="61" t="inlineStr">
        <is>
          <t>AVG</t>
        </is>
      </c>
      <c r="G15" s="76" t="n">
        <v>15</v>
      </c>
      <c r="H15" s="63" t="inlineStr">
        <is>
          <t>≤ 15 د</t>
        </is>
      </c>
      <c r="I15" s="77" t="n"/>
      <c r="J15" s="77" t="n"/>
      <c r="K15" s="77" t="n"/>
      <c r="L15" s="77" t="n"/>
      <c r="M15" s="77" t="n"/>
      <c r="N15" s="77" t="n"/>
      <c r="O15" s="77" t="n"/>
      <c r="P15" s="77" t="n"/>
      <c r="Q15" s="77" t="n"/>
      <c r="R15" s="77" t="n"/>
      <c r="S15" s="77" t="n"/>
      <c r="T15" s="77" t="n"/>
      <c r="U15" s="78">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c r="Y15" s="22" t="inlineStr"/>
      <c r="Z15" s="79" t="n"/>
      <c r="AA15" s="21" t="inlineStr">
        <is>
          <t>🟣 لاحق</t>
        </is>
      </c>
      <c r="AB15" s="54" t="n">
        <v>0.07140000000000001</v>
      </c>
      <c r="AC15" s="23">
        <f>IF($V15="","",$AB15*MIN($V15,1))</f>
        <v/>
      </c>
      <c r="AD15" s="76">
        <f>IF($G15="","",IF($F15="SUM",IF('لوحة الإدارة التنفيذية'!$P$2="","",$G15/12*'لوحة الإدارة التنفيذية'!$P$2),$G15))</f>
        <v/>
      </c>
      <c r="AE15" s="80">
        <f>IF($F15="SUM",IF(OR('لوحة الإدارة التنفيذية'!$P$2="",'لوحة الإدارة التنفيذية'!$P$2=0),"",IF($U15="","",$U15/'لوحة الإدارة التنفيذية'!$P$2*12)),IF($U15="","",$U15))</f>
        <v/>
      </c>
      <c r="AF15" s="76">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جودة الخدمة</t>
        </is>
      </c>
      <c r="C16" s="22" t="inlineStr">
        <is>
          <t>نظافة المرافق يومياً</t>
        </is>
      </c>
      <c r="D16" s="61" t="inlineStr">
        <is>
          <t>%</t>
        </is>
      </c>
      <c r="E16" s="61" t="inlineStr">
        <is>
          <t>↑</t>
        </is>
      </c>
      <c r="F16" s="61" t="inlineStr">
        <is>
          <t>AVG</t>
        </is>
      </c>
      <c r="G16" s="75" t="n">
        <v>1</v>
      </c>
      <c r="H16" s="63" t="inlineStr">
        <is>
          <t>100%</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c r="Y16" s="22" t="inlineStr"/>
      <c r="Z16" s="54" t="n"/>
      <c r="AA16" s="21" t="inlineStr">
        <is>
          <t>🟣 لاحق</t>
        </is>
      </c>
      <c r="AB16" s="54" t="n">
        <v>0.07140000000000001</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جودة الخدمة</t>
        </is>
      </c>
      <c r="C17" s="22" t="inlineStr">
        <is>
          <t>معالجة شكاوى العملاء خلال 24 ساعة</t>
        </is>
      </c>
      <c r="D17" s="61" t="inlineStr">
        <is>
          <t>%</t>
        </is>
      </c>
      <c r="E17" s="61" t="inlineStr">
        <is>
          <t>↑</t>
        </is>
      </c>
      <c r="F17" s="61" t="inlineStr">
        <is>
          <t>AVG</t>
        </is>
      </c>
      <c r="G17" s="75" t="n">
        <v>0.9</v>
      </c>
      <c r="H17" s="63" t="inlineStr">
        <is>
          <t>90%+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c r="Y17" s="22" t="inlineStr"/>
      <c r="Z17" s="54" t="n"/>
      <c r="AA17" s="21" t="inlineStr">
        <is>
          <t>🟣 لاحق</t>
        </is>
      </c>
      <c r="AB17" s="54" t="n">
        <v>0.07140000000000001</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العملاء</t>
        </is>
      </c>
    </row>
    <row r="18">
      <c r="A18" s="81" t="inlineStr"/>
      <c r="B18" s="82" t="inlineStr">
        <is>
          <t>الإجمالي الموزون للإدارة</t>
        </is>
      </c>
      <c r="AB18" s="83">
        <f>SUM(AB4:AB17)</f>
        <v/>
      </c>
      <c r="AC18" s="84">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1" t="inlineStr">
        <is>
          <t>%</t>
        </is>
      </c>
      <c r="E4" s="61" t="inlineStr">
        <is>
          <t>↑</t>
        </is>
      </c>
      <c r="F4" s="61" t="inlineStr">
        <is>
          <t>AVG</t>
        </is>
      </c>
      <c r="G4" s="75" t="n">
        <v>1</v>
      </c>
      <c r="H4" s="63" t="inlineStr">
        <is>
          <t>100%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54" t="n"/>
      <c r="AA4" s="21" t="inlineStr">
        <is>
          <t>🔵 قائد</t>
        </is>
      </c>
      <c r="AB4" s="54" t="n">
        <v>0.0833</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الزيارات الميدانية</t>
        </is>
      </c>
      <c r="C5" s="22" t="inlineStr">
        <is>
          <t>رفع تقرير الزيارة خلال 24 ساعة</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لاحق</t>
        </is>
      </c>
      <c r="AB5" s="54" t="n">
        <v>0.0833</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الزيارات الميدانية</t>
        </is>
      </c>
      <c r="C6" s="22" t="inlineStr">
        <is>
          <t>التحقق من جرد الوردية أثناء الزيارة</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0.0833</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الزيارات الميدانية</t>
        </is>
      </c>
      <c r="C7" s="22" t="inlineStr">
        <is>
          <t>إغلاق ملاحظات الزيارة خلال أسبوع</t>
        </is>
      </c>
      <c r="D7" s="61" t="inlineStr">
        <is>
          <t>%</t>
        </is>
      </c>
      <c r="E7" s="61" t="inlineStr">
        <is>
          <t>↑</t>
        </is>
      </c>
      <c r="F7" s="61" t="inlineStr">
        <is>
          <t>AVG</t>
        </is>
      </c>
      <c r="G7" s="75" t="n">
        <v>0.9</v>
      </c>
      <c r="H7" s="63" t="inlineStr">
        <is>
          <t>90%+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54" t="n"/>
      <c r="AA7" s="21" t="inlineStr">
        <is>
          <t>🟣 لاحق</t>
        </is>
      </c>
      <c r="AB7" s="54" t="n">
        <v>0.0833</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الرقابة والتوريد</t>
        </is>
      </c>
      <c r="C8" s="22" t="inlineStr">
        <is>
          <t>التحقق من تطابق POS والنقدية</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0.0833</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الرقابة والتوريد</t>
        </is>
      </c>
      <c r="C9" s="22" t="inlineStr">
        <is>
          <t>متابعة طلبات التوريد وتسليم الوقود</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قائد</t>
        </is>
      </c>
      <c r="AB9" s="54" t="n">
        <v>0.0833</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الرقابة والتوريد</t>
        </is>
      </c>
      <c r="C10" s="22" t="inlineStr">
        <is>
          <t>مراجعة نسبة جاهزية المضخات</t>
        </is>
      </c>
      <c r="D10" s="61" t="inlineStr">
        <is>
          <t>%</t>
        </is>
      </c>
      <c r="E10" s="61" t="inlineStr">
        <is>
          <t>↑</t>
        </is>
      </c>
      <c r="F10" s="61" t="inlineStr">
        <is>
          <t>AVG</t>
        </is>
      </c>
      <c r="G10" s="75" t="n">
        <v>0.97</v>
      </c>
      <c r="H10" s="63" t="inlineStr">
        <is>
          <t>≥ 97%</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54" t="n"/>
      <c r="AA10" s="21" t="inlineStr">
        <is>
          <t>🟣 لاحق</t>
        </is>
      </c>
      <c r="AB10" s="54" t="n">
        <v>0.0833</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متابعة الموظفين</t>
        </is>
      </c>
      <c r="C11" s="22" t="inlineStr">
        <is>
          <t>تقييم أداء الموظفين بنموذج OP-F-51</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قائد</t>
        </is>
      </c>
      <c r="AB11" s="54" t="n">
        <v>0.0833</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التعلّم والنمو</t>
        </is>
      </c>
    </row>
    <row r="12" ht="26" customHeight="1">
      <c r="A12" s="17" t="n">
        <v>9</v>
      </c>
      <c r="B12" s="22" t="inlineStr">
        <is>
          <t>متابعة الموظفين</t>
        </is>
      </c>
      <c r="C12" s="22" t="inlineStr">
        <is>
          <t>متابعة الالتزام بالزي والمظهر</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0.0833</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متابعة الموظفين</t>
        </is>
      </c>
      <c r="C13" s="22" t="inlineStr">
        <is>
          <t>حالات مخالفة السلامة دون إجراء</t>
        </is>
      </c>
      <c r="D13" s="61" t="inlineStr">
        <is>
          <t>حالة</t>
        </is>
      </c>
      <c r="E13" s="61" t="inlineStr">
        <is>
          <t>↓</t>
        </is>
      </c>
      <c r="F13" s="61" t="inlineStr">
        <is>
          <t>SUM</t>
        </is>
      </c>
      <c r="G13" s="62" t="n">
        <v>0</v>
      </c>
      <c r="H13" s="63" t="inlineStr">
        <is>
          <t>0 حالة</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67" t="n"/>
      <c r="AA13" s="21" t="inlineStr">
        <is>
          <t>🟣 لاحق</t>
        </is>
      </c>
      <c r="AB13" s="54" t="n">
        <v>0.0833</v>
      </c>
      <c r="AC13" s="23">
        <f>IF($V13="","",$AB13*MIN($V13,1))</f>
        <v/>
      </c>
      <c r="AD13" s="62">
        <f>IF($G13="","",IF($F13="SUM",IF('لوحة الإدارة التنفيذية'!$P$2="","",$G13/12*'لوحة الإدارة التنفيذية'!$P$2),$G13))</f>
        <v/>
      </c>
      <c r="AE13" s="68">
        <f>IF($F13="SUM",IF(OR('لوحة الإدارة التنفيذية'!$P$2="",'لوحة الإدارة التنفيذية'!$P$2=0),"",IF($U13="","",$U13/'لوحة الإدارة التنفيذية'!$P$2*12)),IF($U13="","",$U13))</f>
        <v/>
      </c>
      <c r="AF13" s="62">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التقارير</t>
        </is>
      </c>
      <c r="C14" s="22" t="inlineStr">
        <is>
          <t>رفع التقارير الشهرية في موعدها</t>
        </is>
      </c>
      <c r="D14" s="61" t="inlineStr">
        <is>
          <t>%</t>
        </is>
      </c>
      <c r="E14" s="61" t="inlineStr">
        <is>
          <t>↑</t>
        </is>
      </c>
      <c r="F14" s="61" t="inlineStr">
        <is>
          <t>AVG</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c r="Y14" s="22" t="inlineStr"/>
      <c r="Z14" s="54" t="n"/>
      <c r="AA14" s="21" t="inlineStr">
        <is>
          <t>🟣 لاحق</t>
        </is>
      </c>
      <c r="AB14" s="54" t="n">
        <v>0.0833</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التقارير</t>
        </is>
      </c>
      <c r="C15" s="22" t="inlineStr">
        <is>
          <t>متابعة تجديد تراخيص المحطات</t>
        </is>
      </c>
      <c r="D15" s="61" t="inlineStr">
        <is>
          <t>%</t>
        </is>
      </c>
      <c r="E15" s="61" t="inlineStr">
        <is>
          <t>↑</t>
        </is>
      </c>
      <c r="F15" s="61" t="inlineStr">
        <is>
          <t>AVG</t>
        </is>
      </c>
      <c r="G15" s="75" t="n">
        <v>1</v>
      </c>
      <c r="H15" s="63" t="inlineStr">
        <is>
          <t>100%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c r="Y15" s="22" t="inlineStr"/>
      <c r="Z15" s="54" t="n"/>
      <c r="AA15" s="21" t="inlineStr">
        <is>
          <t>🟣 لاحق</t>
        </is>
      </c>
      <c r="AB15" s="54" t="n">
        <v>0.0833</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c r="A16" s="81" t="inlineStr"/>
      <c r="B16" s="82" t="inlineStr">
        <is>
          <t>الإجمالي الموزون للإدارة</t>
        </is>
      </c>
      <c r="AB16" s="83">
        <f>SUM(AB4:AB15)</f>
        <v/>
      </c>
      <c r="AC16" s="84">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1" t="inlineStr">
        <is>
          <t>دقيقة</t>
        </is>
      </c>
      <c r="E4" s="61" t="inlineStr">
        <is>
          <t>↓</t>
        </is>
      </c>
      <c r="F4" s="61" t="inlineStr">
        <is>
          <t>AVG</t>
        </is>
      </c>
      <c r="G4" s="76" t="n">
        <v>5</v>
      </c>
      <c r="H4" s="63" t="inlineStr">
        <is>
          <t>≤ 5 دقائق</t>
        </is>
      </c>
      <c r="I4" s="77" t="n"/>
      <c r="J4" s="77" t="n"/>
      <c r="K4" s="77" t="n"/>
      <c r="L4" s="77" t="n"/>
      <c r="M4" s="77" t="n"/>
      <c r="N4" s="77" t="n"/>
      <c r="O4" s="77" t="n"/>
      <c r="P4" s="77" t="n"/>
      <c r="Q4" s="77" t="n"/>
      <c r="R4" s="77" t="n"/>
      <c r="S4" s="77" t="n"/>
      <c r="T4" s="77" t="n"/>
      <c r="U4" s="78">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79" t="n"/>
      <c r="AA4" s="21" t="inlineStr">
        <is>
          <t>🟣 لاحق</t>
        </is>
      </c>
      <c r="AB4" s="54" t="n">
        <v>0.1</v>
      </c>
      <c r="AC4" s="23">
        <f>IF($V4="","",$AB4*MIN($V4,1))</f>
        <v/>
      </c>
      <c r="AD4" s="76">
        <f>IF($G4="","",IF($F4="SUM",IF('لوحة الإدارة التنفيذية'!$P$2="","",$G4/12*'لوحة الإدارة التنفيذية'!$P$2),$G4))</f>
        <v/>
      </c>
      <c r="AE4" s="80">
        <f>IF($F4="SUM",IF(OR('لوحة الإدارة التنفيذية'!$P$2="",'لوحة الإدارة التنفيذية'!$P$2=0),"",IF($U4="","",$U4/'لوحة الإدارة التنفيذية'!$P$2*12)),IF($U4="","",$U4))</f>
        <v/>
      </c>
      <c r="AF4" s="76">
        <f>IF(OR($AE4="",$G4=""),"",$AE4-$G4)</f>
        <v/>
      </c>
      <c r="AG4" s="17">
        <f>IF(OR($AE4="",$G4=""),"—",IF($E4="↓",IF($AE4&lt;=$G4,"🟢 على المسار",IF($AE4&lt;=$G4*1.1,"🟡 متابعة","🔴 خطر")),IF($AE4&gt;=$G4,"🟢 على المسار",IF($AE4&gt;=$G4*0.85,"🟡 متابعة","🔴 خطر"))))</f>
        <v/>
      </c>
      <c r="AH4" s="69" t="inlineStr">
        <is>
          <t>العملاء</t>
        </is>
      </c>
    </row>
    <row r="5" ht="26" customHeight="1">
      <c r="A5" s="17" t="n">
        <v>2</v>
      </c>
      <c r="B5" s="22" t="inlineStr">
        <is>
          <t>الخدمة والسرعة</t>
        </is>
      </c>
      <c r="C5" s="22" t="inlineStr">
        <is>
          <t>الترحيب بالعميل عند الوصول</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لاحق</t>
        </is>
      </c>
      <c r="AB5" s="54" t="n">
        <v>0.1</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العملاء</t>
        </is>
      </c>
    </row>
    <row r="6" ht="26" customHeight="1">
      <c r="A6" s="17" t="n">
        <v>3</v>
      </c>
      <c r="B6" s="22" t="inlineStr">
        <is>
          <t>الخدمة والسرعة</t>
        </is>
      </c>
      <c r="C6" s="22" t="inlineStr">
        <is>
          <t>إعادة تركيب غطاء الخزان</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0.1</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الخدمة والسرعة</t>
        </is>
      </c>
      <c r="C7" s="22" t="inlineStr">
        <is>
          <t>عرض إيصال الدفع على العميل</t>
        </is>
      </c>
      <c r="D7" s="61" t="inlineStr">
        <is>
          <t>%</t>
        </is>
      </c>
      <c r="E7" s="61" t="inlineStr">
        <is>
          <t>↑</t>
        </is>
      </c>
      <c r="F7" s="61" t="inlineStr">
        <is>
          <t>AVG</t>
        </is>
      </c>
      <c r="G7" s="75" t="n">
        <v>1</v>
      </c>
      <c r="H7" s="63" t="inlineStr">
        <is>
          <t>100%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54" t="n"/>
      <c r="AA7" s="21" t="inlineStr">
        <is>
          <t>🟣 لاحق</t>
        </is>
      </c>
      <c r="AB7" s="54" t="n">
        <v>0.1</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العملاء</t>
        </is>
      </c>
    </row>
    <row r="8" ht="26" customHeight="1">
      <c r="A8" s="17" t="n">
        <v>5</v>
      </c>
      <c r="B8" s="22" t="inlineStr">
        <is>
          <t>المظهر والالتزام</t>
        </is>
      </c>
      <c r="C8" s="22" t="inlineStr">
        <is>
          <t>الالتزام بالزي الرسمي كاملاً</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المظهر والالتزام</t>
        </is>
      </c>
      <c r="C9" s="22" t="inlineStr">
        <is>
          <t>النظافة الشخصية والمظهر العام</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لاحق</t>
        </is>
      </c>
      <c r="AB9" s="54" t="n">
        <v>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المظهر والالتزام</t>
        </is>
      </c>
      <c r="C10" s="22" t="inlineStr">
        <is>
          <t>حالات استخدام الجوال أثناء العمل</t>
        </is>
      </c>
      <c r="D10" s="61" t="inlineStr">
        <is>
          <t>حالة</t>
        </is>
      </c>
      <c r="E10" s="61" t="inlineStr">
        <is>
          <t>↓</t>
        </is>
      </c>
      <c r="F10" s="61" t="inlineStr">
        <is>
          <t>SUM</t>
        </is>
      </c>
      <c r="G10" s="62" t="n">
        <v>0</v>
      </c>
      <c r="H10" s="63" t="inlineStr">
        <is>
          <t>0 حالة</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67" t="n"/>
      <c r="AA10" s="21" t="inlineStr">
        <is>
          <t>🟣 لاحق</t>
        </is>
      </c>
      <c r="AB10" s="54" t="n">
        <v>0.1</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الدقة والسلامة</t>
        </is>
      </c>
      <c r="C11" s="22" t="inlineStr">
        <is>
          <t>دقة نوع الوقود المُضخ</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لاحق</t>
        </is>
      </c>
      <c r="AB11" s="54" t="n">
        <v>0.1</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الدقة والسلامة</t>
        </is>
      </c>
      <c r="C12" s="22" t="inlineStr">
        <is>
          <t>إغلاق المضخة عند اكتمال الكمية</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الدقة والسلامة</t>
        </is>
      </c>
      <c r="C13" s="22" t="inlineStr">
        <is>
          <t>الالتزام بإجراءات السلامة عند الضخ</t>
        </is>
      </c>
      <c r="D13" s="61" t="inlineStr">
        <is>
          <t>%</t>
        </is>
      </c>
      <c r="E13" s="61" t="inlineStr">
        <is>
          <t>↑</t>
        </is>
      </c>
      <c r="F13" s="61" t="inlineStr">
        <is>
          <t>AVG</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54" t="n"/>
      <c r="AA13" s="21" t="inlineStr">
        <is>
          <t>🟣 لاحق</t>
        </is>
      </c>
      <c r="AB13" s="54" t="n">
        <v>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c r="A14" s="81" t="inlineStr"/>
      <c r="B14" s="82" t="inlineStr">
        <is>
          <t>الإجمالي الموزون للإدارة</t>
        </is>
      </c>
      <c r="AB14" s="83">
        <f>SUM(AB4:AB13)</f>
        <v/>
      </c>
      <c r="AC14" s="84">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1" t="inlineStr">
        <is>
          <t>عقد</t>
        </is>
      </c>
      <c r="E4" s="61" t="inlineStr">
        <is>
          <t>↑</t>
        </is>
      </c>
      <c r="F4" s="61" t="inlineStr">
        <is>
          <t>SUM</t>
        </is>
      </c>
      <c r="G4" s="62" t="n">
        <v>190</v>
      </c>
      <c r="H4" s="63" t="inlineStr">
        <is>
          <t>190 عقد</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لاحق</t>
        </is>
      </c>
      <c r="AB4" s="54" t="n">
        <v>0.0417</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نمو المحفظة</t>
        </is>
      </c>
      <c r="C5" s="22" t="inlineStr">
        <is>
          <t>عقود الاستثمار العادي الجديدة</t>
        </is>
      </c>
      <c r="D5" s="61" t="inlineStr">
        <is>
          <t>عقد</t>
        </is>
      </c>
      <c r="E5" s="61" t="inlineStr">
        <is>
          <t>↑</t>
        </is>
      </c>
      <c r="F5" s="61" t="inlineStr">
        <is>
          <t>SUM</t>
        </is>
      </c>
      <c r="G5" s="62" t="n">
        <v>90</v>
      </c>
      <c r="H5" s="63" t="inlineStr">
        <is>
          <t>90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التوسع في المواقع</t>
        </is>
      </c>
      <c r="Z5" s="67" t="n"/>
      <c r="AA5" s="21" t="inlineStr">
        <is>
          <t>🟣 لاحق</t>
        </is>
      </c>
      <c r="AB5" s="54" t="n">
        <v>0.0417</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نمو المحفظة</t>
        </is>
      </c>
      <c r="C6" s="22" t="inlineStr">
        <is>
          <t>عقود الاستحواذ الجديدة</t>
        </is>
      </c>
      <c r="D6" s="61" t="inlineStr">
        <is>
          <t>عقد</t>
        </is>
      </c>
      <c r="E6" s="61" t="inlineStr">
        <is>
          <t>↑</t>
        </is>
      </c>
      <c r="F6" s="61" t="inlineStr">
        <is>
          <t>SUM</t>
        </is>
      </c>
      <c r="G6" s="62" t="n">
        <v>100</v>
      </c>
      <c r="H6" s="63" t="inlineStr">
        <is>
          <t>100 عقد</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التوسع في المواقع</t>
        </is>
      </c>
      <c r="Z6" s="67" t="n"/>
      <c r="AA6" s="21" t="inlineStr">
        <is>
          <t>🟣 لاحق</t>
        </is>
      </c>
      <c r="AB6" s="54" t="n">
        <v>0.0417</v>
      </c>
      <c r="AC6" s="23">
        <f>IF($V6="","",$AB6*MIN($V6,1))</f>
        <v/>
      </c>
      <c r="AD6" s="62">
        <f>IF($G6="","",IF($F6="SUM",IF('لوحة الإدارة التنفيذية'!$P$2="","",$G6/12*'لوحة الإدارة التنفيذية'!$P$2),$G6))</f>
        <v/>
      </c>
      <c r="AE6" s="68">
        <f>IF($F6="SUM",IF(OR('لوحة الإدارة التنفيذية'!$P$2="",'لوحة الإدارة التنفيذية'!$P$2=0),"",IF($U6="","",$U6/'لوحة الإدارة التنفيذية'!$P$2*12)),IF($U6="","",$U6))</f>
        <v/>
      </c>
      <c r="AF6" s="62">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نمو المحفظة</t>
        </is>
      </c>
      <c r="C7" s="22" t="inlineStr">
        <is>
          <t>المحطات المستحوَذ عليها المشغّلة (تراكمي)</t>
        </is>
      </c>
      <c r="D7" s="61" t="inlineStr">
        <is>
          <t>محطة</t>
        </is>
      </c>
      <c r="E7" s="61" t="inlineStr">
        <is>
          <t>↑</t>
        </is>
      </c>
      <c r="F7" s="61" t="inlineStr">
        <is>
          <t>LAST</t>
        </is>
      </c>
      <c r="G7" s="62" t="n">
        <v>120</v>
      </c>
      <c r="H7" s="63" t="inlineStr">
        <is>
          <t>120 محطة</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التوسع في المواقع</t>
        </is>
      </c>
      <c r="Z7" s="67" t="n"/>
      <c r="AA7" s="21" t="inlineStr">
        <is>
          <t>🟣 لاحق</t>
        </is>
      </c>
      <c r="AB7" s="54" t="n">
        <v>0.0417</v>
      </c>
      <c r="AC7" s="23">
        <f>IF($V7="","",$AB7*MIN($V7,1))</f>
        <v/>
      </c>
      <c r="AD7" s="62">
        <f>IF($G7="","",IF($F7="SUM",IF('لوحة الإدارة التنفيذية'!$P$2="","",$G7/12*'لوحة الإدارة التنفيذية'!$P$2),$G7))</f>
        <v/>
      </c>
      <c r="AE7" s="68">
        <f>IF($F7="SUM",IF(OR('لوحة الإدارة التنفيذية'!$P$2="",'لوحة الإدارة التنفيذية'!$P$2=0),"",IF($U7="","",$U7/'لوحة الإدارة التنفيذية'!$P$2*12)),IF($U7="","",$U7))</f>
        <v/>
      </c>
      <c r="AF7" s="62">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نمو المحفظة</t>
        </is>
      </c>
      <c r="C8" s="22" t="inlineStr">
        <is>
          <t>عقود تأجير الأرض الجديدة</t>
        </is>
      </c>
      <c r="D8" s="61" t="inlineStr">
        <is>
          <t>عقد</t>
        </is>
      </c>
      <c r="E8" s="61" t="inlineStr">
        <is>
          <t>↑</t>
        </is>
      </c>
      <c r="F8" s="61" t="inlineStr">
        <is>
          <t>SUM</t>
        </is>
      </c>
      <c r="G8" s="62" t="n">
        <v>11</v>
      </c>
      <c r="H8" s="63" t="inlineStr">
        <is>
          <t>11 عقد</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التوسع في المواقع</t>
        </is>
      </c>
      <c r="Z8" s="67" t="n"/>
      <c r="AA8" s="21" t="inlineStr">
        <is>
          <t>🟣 لاحق</t>
        </is>
      </c>
      <c r="AB8" s="54" t="n">
        <v>0.0417</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نمو المحفظة</t>
        </is>
      </c>
      <c r="C9" s="22" t="inlineStr">
        <is>
          <t>عقود إيجار المحطة الجديدة</t>
        </is>
      </c>
      <c r="D9" s="61" t="inlineStr">
        <is>
          <t>عقد</t>
        </is>
      </c>
      <c r="E9" s="61" t="inlineStr">
        <is>
          <t>↑</t>
        </is>
      </c>
      <c r="F9" s="61" t="inlineStr">
        <is>
          <t>SUM</t>
        </is>
      </c>
      <c r="G9" s="62" t="n">
        <v>12</v>
      </c>
      <c r="H9" s="63" t="inlineStr">
        <is>
          <t>12 عقد</t>
        </is>
      </c>
      <c r="I9" s="64" t="n"/>
      <c r="J9" s="64" t="n"/>
      <c r="K9" s="64" t="n"/>
      <c r="L9" s="64" t="n"/>
      <c r="M9" s="64" t="n"/>
      <c r="N9" s="64" t="n"/>
      <c r="O9" s="64" t="n"/>
      <c r="P9" s="64" t="n"/>
      <c r="Q9" s="64" t="n"/>
      <c r="R9" s="64" t="n"/>
      <c r="S9" s="64" t="n"/>
      <c r="T9" s="64" t="n"/>
      <c r="U9" s="65">
        <f>IF($F9="SUM",IF(COUNT($I9:$T9)=0,"",SUM($I9:$T9)),IF($F9="AVG",IFERROR(AVERAGE($I9:$T9),""),IF($F9="LAST",IFERROR(LOOKUP(2,1/($I9:$T9&lt;&gt;""),$I9:$T9),""),"")))</f>
        <v/>
      </c>
      <c r="V9" s="23">
        <f>IF($G9="","",IF($U9="","",IF($G9=0,IF($U9&lt;=0,1,0),IF($E9="↓",IFERROR($G9/$U9,0),IFERROR($U9/$G9,0)))))</f>
        <v/>
      </c>
      <c r="W9" s="17">
        <f>IF($V9="","—",IF($V9&gt;=1,"✅ محقق",IF($V9&gt;=0.85,"🟡 قريب","🔴 تحت الهدف")))</f>
        <v/>
      </c>
      <c r="X9" s="66" t="inlineStr">
        <is>
          <t>النمو</t>
        </is>
      </c>
      <c r="Y9" s="22" t="inlineStr">
        <is>
          <t>التوسع في المواقع</t>
        </is>
      </c>
      <c r="Z9" s="67" t="n"/>
      <c r="AA9" s="21" t="inlineStr">
        <is>
          <t>🟣 لاحق</t>
        </is>
      </c>
      <c r="AB9" s="54" t="n">
        <v>0.0417</v>
      </c>
      <c r="AC9" s="23">
        <f>IF($V9="","",$AB9*MIN($V9,1))</f>
        <v/>
      </c>
      <c r="AD9" s="62">
        <f>IF($G9="","",IF($F9="SUM",IF('لوحة الإدارة التنفيذية'!$P$2="","",$G9/12*'لوحة الإدارة التنفيذية'!$P$2),$G9))</f>
        <v/>
      </c>
      <c r="AE9" s="68">
        <f>IF($F9="SUM",IF(OR('لوحة الإدارة التنفيذية'!$P$2="",'لوحة الإدارة التنفيذية'!$P$2=0),"",IF($U9="","",$U9/'لوحة الإدارة التنفيذية'!$P$2*12)),IF($U9="","",$U9))</f>
        <v/>
      </c>
      <c r="AF9" s="62">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نمو المحفظة</t>
        </is>
      </c>
      <c r="C10" s="22" t="inlineStr">
        <is>
          <t>عقود تشغيل المحطة الجديدة</t>
        </is>
      </c>
      <c r="D10" s="61" t="inlineStr">
        <is>
          <t>عقد</t>
        </is>
      </c>
      <c r="E10" s="61" t="inlineStr">
        <is>
          <t>↑</t>
        </is>
      </c>
      <c r="F10" s="61" t="inlineStr">
        <is>
          <t>SUM</t>
        </is>
      </c>
      <c r="G10" s="62" t="n">
        <v>68</v>
      </c>
      <c r="H10" s="63" t="inlineStr">
        <is>
          <t>68 عقد</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التوسع في المواقع</t>
        </is>
      </c>
      <c r="Z10" s="67" t="n"/>
      <c r="AA10" s="21" t="inlineStr">
        <is>
          <t>🟣 لاحق</t>
        </is>
      </c>
      <c r="AB10" s="54" t="n">
        <v>0.0417</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1" t="inlineStr">
        <is>
          <t>%</t>
        </is>
      </c>
      <c r="E11" s="61" t="inlineStr">
        <is>
          <t>↑</t>
        </is>
      </c>
      <c r="F11" s="61" t="inlineStr">
        <is>
          <t>AVG</t>
        </is>
      </c>
      <c r="G11" s="75" t="n">
        <v>0.8</v>
      </c>
      <c r="H11" s="63" t="inlineStr">
        <is>
          <t>80%+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جودة التشغيل</t>
        </is>
      </c>
      <c r="Z11" s="54" t="n"/>
      <c r="AA11" s="21" t="inlineStr">
        <is>
          <t>🟣 لاحق</t>
        </is>
      </c>
      <c r="AB11" s="54" t="n">
        <v>0.0417</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الربحية وجودة الموقع</t>
        </is>
      </c>
      <c r="C12" s="22" t="inlineStr">
        <is>
          <t>متوسط فترة استرداد رأس المال</t>
        </is>
      </c>
      <c r="D12" s="61" t="inlineStr">
        <is>
          <t>سنة</t>
        </is>
      </c>
      <c r="E12" s="61" t="inlineStr">
        <is>
          <t>↓</t>
        </is>
      </c>
      <c r="F12" s="61" t="inlineStr">
        <is>
          <t>AVG</t>
        </is>
      </c>
      <c r="G12" s="76" t="n">
        <v>5</v>
      </c>
      <c r="H12" s="63" t="inlineStr">
        <is>
          <t>≤ 5 سنوات</t>
        </is>
      </c>
      <c r="I12" s="77" t="n"/>
      <c r="J12" s="77" t="n"/>
      <c r="K12" s="77" t="n"/>
      <c r="L12" s="77" t="n"/>
      <c r="M12" s="77" t="n"/>
      <c r="N12" s="77" t="n"/>
      <c r="O12" s="77" t="n"/>
      <c r="P12" s="77" t="n"/>
      <c r="Q12" s="77" t="n"/>
      <c r="R12" s="77" t="n"/>
      <c r="S12" s="77" t="n"/>
      <c r="T12" s="77" t="n"/>
      <c r="U12" s="78">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79" t="n"/>
      <c r="AA12" s="21" t="inlineStr">
        <is>
          <t>🟣 لاحق</t>
        </is>
      </c>
      <c r="AB12" s="54" t="n">
        <v>0.0417</v>
      </c>
      <c r="AC12" s="23">
        <f>IF($V12="","",$AB12*MIN($V12,1))</f>
        <v/>
      </c>
      <c r="AD12" s="76">
        <f>IF($G12="","",IF($F12="SUM",IF('لوحة الإدارة التنفيذية'!$P$2="","",$G12/12*'لوحة الإدارة التنفيذية'!$P$2),$G12))</f>
        <v/>
      </c>
      <c r="AE12" s="80">
        <f>IF($F12="SUM",IF(OR('لوحة الإدارة التنفيذية'!$P$2="",'لوحة الإدارة التنفيذية'!$P$2=0),"",IF($U12="","",$U12/'لوحة الإدارة التنفيذية'!$P$2*12)),IF($U12="","",$U12))</f>
        <v/>
      </c>
      <c r="AF12" s="76">
        <f>IF(OR($AE12="",$G12=""),"",$AE12-$G12)</f>
        <v/>
      </c>
      <c r="AG12" s="17">
        <f>IF(OR($AE12="",$G12=""),"—",IF($E12="↓",IF($AE12&lt;=$G12,"🟢 على المسار",IF($AE12&lt;=$G12*1.1,"🟡 متابعة","🔴 خطر")),IF($AE12&gt;=$G12,"🟢 على المسار",IF($AE12&gt;=$G12*0.85,"🟡 متابعة","🔴 خطر"))))</f>
        <v/>
      </c>
      <c r="AH12" s="69" t="inlineStr">
        <is>
          <t>مالي</t>
        </is>
      </c>
    </row>
    <row r="13" ht="26" customHeight="1">
      <c r="A13" s="17" t="n">
        <v>10</v>
      </c>
      <c r="B13" s="22" t="inlineStr">
        <is>
          <t>الربحية وجودة الموقع</t>
        </is>
      </c>
      <c r="C13" s="22" t="inlineStr">
        <is>
          <t>متوسط قيمة عقد الإيجار السنوي (أرض)</t>
        </is>
      </c>
      <c r="D13" s="61" t="inlineStr">
        <is>
          <t>ر.س</t>
        </is>
      </c>
      <c r="E13" s="61" t="inlineStr">
        <is>
          <t>↑</t>
        </is>
      </c>
      <c r="F13" s="61" t="inlineStr">
        <is>
          <t>AVG</t>
        </is>
      </c>
      <c r="G13" s="61" t="inlineStr"/>
      <c r="H13" s="63" t="inlineStr">
        <is>
          <t>يُحدد لاحقاً</t>
        </is>
      </c>
      <c r="I13" s="70" t="n"/>
      <c r="J13" s="70" t="n"/>
      <c r="K13" s="70" t="n"/>
      <c r="L13" s="70" t="n"/>
      <c r="M13" s="70" t="n"/>
      <c r="N13" s="70" t="n"/>
      <c r="O13" s="70" t="n"/>
      <c r="P13" s="70" t="n"/>
      <c r="Q13" s="70" t="n"/>
      <c r="R13" s="70" t="n"/>
      <c r="S13" s="70" t="n"/>
      <c r="T13" s="70" t="n"/>
      <c r="U13" s="71">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النمو</t>
        </is>
      </c>
      <c r="Y13" s="22" t="inlineStr">
        <is>
          <t>التوسع في المواقع</t>
        </is>
      </c>
      <c r="Z13" s="53" t="n"/>
      <c r="AA13" s="21" t="inlineStr">
        <is>
          <t>🟣 لاحق</t>
        </is>
      </c>
      <c r="AB13" s="54" t="n">
        <v>0.0417</v>
      </c>
      <c r="AC13" s="23">
        <f>IF($V13="","",$AB13*MIN($V13,1))</f>
        <v/>
      </c>
      <c r="AD13" s="72">
        <f>IF($G13="","",IF($F13="SUM",IF('لوحة الإدارة التنفيذية'!$P$2="","",$G13/12*'لوحة الإدارة التنفيذية'!$P$2),$G13))</f>
        <v/>
      </c>
      <c r="AE13" s="73">
        <f>IF($F13="SUM",IF(OR('لوحة الإدارة التنفيذية'!$P$2="",'لوحة الإدارة التنفيذية'!$P$2=0),"",IF($U13="","",$U13/'لوحة الإدارة التنفيذية'!$P$2*12)),IF($U13="","",$U13))</f>
        <v/>
      </c>
      <c r="AF13" s="72">
        <f>IF(OR($AE13="",$G13=""),"",$AE13-$G13)</f>
        <v/>
      </c>
      <c r="AG13" s="17">
        <f>IF(OR($AE13="",$G13=""),"—",IF($E13="↓",IF($AE13&lt;=$G13,"🟢 على المسار",IF($AE13&lt;=$G13*1.1,"🟡 متابعة","🔴 خطر")),IF($AE13&gt;=$G13,"🟢 على المسار",IF($AE13&gt;=$G13*0.85,"🟡 متابعة","🔴 خطر"))))</f>
        <v/>
      </c>
      <c r="AH13" s="69" t="inlineStr">
        <is>
          <t>مالي</t>
        </is>
      </c>
    </row>
    <row r="14" ht="26" customHeight="1">
      <c r="A14" s="17" t="n">
        <v>11</v>
      </c>
      <c r="B14" s="22" t="inlineStr">
        <is>
          <t>التوسع الإقليمي</t>
        </is>
      </c>
      <c r="C14" s="22" t="inlineStr">
        <is>
          <t>نسبة العقود التي تغطي المناطق الـ13</t>
        </is>
      </c>
      <c r="D14" s="61" t="inlineStr">
        <is>
          <t>%</t>
        </is>
      </c>
      <c r="E14" s="61" t="inlineStr">
        <is>
          <t>↑</t>
        </is>
      </c>
      <c r="F14" s="61" t="inlineStr">
        <is>
          <t>LAST</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النمو</t>
        </is>
      </c>
      <c r="Y14" s="22" t="inlineStr">
        <is>
          <t>التوسع في المواقع</t>
        </is>
      </c>
      <c r="Z14" s="54" t="n"/>
      <c r="AA14" s="21" t="inlineStr">
        <is>
          <t>🟣 لاحق</t>
        </is>
      </c>
      <c r="AB14" s="54" t="n">
        <v>0.0417</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التوسع الإقليمي</t>
        </is>
      </c>
      <c r="C15" s="22" t="inlineStr">
        <is>
          <t>نسبة العقود خارج المدن الرئيسية</t>
        </is>
      </c>
      <c r="D15" s="61" t="inlineStr">
        <is>
          <t>%</t>
        </is>
      </c>
      <c r="E15" s="61" t="inlineStr">
        <is>
          <t>↑</t>
        </is>
      </c>
      <c r="F15" s="61" t="inlineStr">
        <is>
          <t>LAST</t>
        </is>
      </c>
      <c r="G15" s="75" t="n">
        <v>0.6</v>
      </c>
      <c r="H15" s="63" t="inlineStr">
        <is>
          <t>&gt; 60%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النمو</t>
        </is>
      </c>
      <c r="Y15" s="22" t="inlineStr">
        <is>
          <t>التوسع في المواقع</t>
        </is>
      </c>
      <c r="Z15" s="54" t="n"/>
      <c r="AA15" s="21" t="inlineStr">
        <is>
          <t>🟣 لاحق</t>
        </is>
      </c>
      <c r="AB15" s="54" t="n">
        <v>0.0417</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التوسع الإقليمي</t>
        </is>
      </c>
      <c r="C16" s="22" t="inlineStr">
        <is>
          <t>نسبة العقود في الـ12 مدينة الرئيسية</t>
        </is>
      </c>
      <c r="D16" s="61" t="inlineStr">
        <is>
          <t>%</t>
        </is>
      </c>
      <c r="E16" s="61" t="inlineStr">
        <is>
          <t>↓</t>
        </is>
      </c>
      <c r="F16" s="61" t="inlineStr">
        <is>
          <t>LAST</t>
        </is>
      </c>
      <c r="G16" s="75" t="n">
        <v>0.4</v>
      </c>
      <c r="H16" s="63" t="inlineStr">
        <is>
          <t>&lt; 40%</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النمو</t>
        </is>
      </c>
      <c r="Y16" s="22" t="inlineStr">
        <is>
          <t>التوسع في المواقع</t>
        </is>
      </c>
      <c r="Z16" s="54" t="n"/>
      <c r="AA16" s="21" t="inlineStr">
        <is>
          <t>🟣 لاحق</t>
        </is>
      </c>
      <c r="AB16" s="54" t="n">
        <v>0.0417</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التوسع الإقليمي</t>
        </is>
      </c>
      <c r="C17" s="22" t="inlineStr">
        <is>
          <t>نسبة العقود على الطرق الإقليمية</t>
        </is>
      </c>
      <c r="D17" s="61" t="inlineStr">
        <is>
          <t>%</t>
        </is>
      </c>
      <c r="E17" s="61" t="inlineStr">
        <is>
          <t>↑</t>
        </is>
      </c>
      <c r="F17" s="61" t="inlineStr">
        <is>
          <t>LAST</t>
        </is>
      </c>
      <c r="G17" s="75" t="n">
        <v>0.25</v>
      </c>
      <c r="H17" s="63" t="inlineStr">
        <is>
          <t>&gt; 25%</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النمو</t>
        </is>
      </c>
      <c r="Y17" s="22" t="inlineStr">
        <is>
          <t>التوسع في المواقع</t>
        </is>
      </c>
      <c r="Z17" s="54" t="n"/>
      <c r="AA17" s="21" t="inlineStr">
        <is>
          <t>🟣 لاحق</t>
        </is>
      </c>
      <c r="AB17" s="54" t="n">
        <v>0.0417</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كفاءة الدورة</t>
        </is>
      </c>
      <c r="C18" s="22" t="inlineStr">
        <is>
          <t>متوسط مدة إغلاق عقد الاستثمار</t>
        </is>
      </c>
      <c r="D18" s="61" t="inlineStr">
        <is>
          <t>أسبوع</t>
        </is>
      </c>
      <c r="E18" s="61" t="inlineStr">
        <is>
          <t>↓</t>
        </is>
      </c>
      <c r="F18" s="61" t="inlineStr">
        <is>
          <t>AVG</t>
        </is>
      </c>
      <c r="G18" s="76" t="n">
        <v>1</v>
      </c>
      <c r="H18" s="63" t="inlineStr">
        <is>
          <t>≤ أسبوع</t>
        </is>
      </c>
      <c r="I18" s="77" t="n"/>
      <c r="J18" s="77" t="n"/>
      <c r="K18" s="77" t="n"/>
      <c r="L18" s="77" t="n"/>
      <c r="M18" s="77" t="n"/>
      <c r="N18" s="77" t="n"/>
      <c r="O18" s="77" t="n"/>
      <c r="P18" s="77" t="n"/>
      <c r="Q18" s="77" t="n"/>
      <c r="R18" s="77" t="n"/>
      <c r="S18" s="77" t="n"/>
      <c r="T18" s="77" t="n"/>
      <c r="U18" s="78">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النمو</t>
        </is>
      </c>
      <c r="Y18" s="22" t="inlineStr">
        <is>
          <t>التوسع في المواقع</t>
        </is>
      </c>
      <c r="Z18" s="79" t="n"/>
      <c r="AA18" s="21" t="inlineStr">
        <is>
          <t>🟣 لاحق</t>
        </is>
      </c>
      <c r="AB18" s="54" t="n">
        <v>0.0417</v>
      </c>
      <c r="AC18" s="23">
        <f>IF($V18="","",$AB18*MIN($V18,1))</f>
        <v/>
      </c>
      <c r="AD18" s="76">
        <f>IF($G18="","",IF($F18="SUM",IF('لوحة الإدارة التنفيذية'!$P$2="","",$G18/12*'لوحة الإدارة التنفيذية'!$P$2),$G18))</f>
        <v/>
      </c>
      <c r="AE18" s="80">
        <f>IF($F18="SUM",IF(OR('لوحة الإدارة التنفيذية'!$P$2="",'لوحة الإدارة التنفيذية'!$P$2=0),"",IF($U18="","",$U18/'لوحة الإدارة التنفيذية'!$P$2*12)),IF($U18="","",$U18))</f>
        <v/>
      </c>
      <c r="AF18" s="76">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كفاءة الدورة</t>
        </is>
      </c>
      <c r="C19" s="22" t="inlineStr">
        <is>
          <t>نسبة العقود المتحوّلة لمحطات مشغّلة</t>
        </is>
      </c>
      <c r="D19" s="61" t="inlineStr">
        <is>
          <t>%</t>
        </is>
      </c>
      <c r="E19" s="61" t="inlineStr">
        <is>
          <t>↑</t>
        </is>
      </c>
      <c r="F19" s="61" t="inlineStr">
        <is>
          <t>AVG</t>
        </is>
      </c>
      <c r="G19" s="75" t="n">
        <v>0.3</v>
      </c>
      <c r="H19" s="63" t="inlineStr">
        <is>
          <t>≥ 30%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النمو</t>
        </is>
      </c>
      <c r="Y19" s="22" t="inlineStr">
        <is>
          <t>التوسع في المواقع</t>
        </is>
      </c>
      <c r="Z19" s="54" t="n"/>
      <c r="AA19" s="21" t="inlineStr">
        <is>
          <t>🟣 لاحق</t>
        </is>
      </c>
      <c r="AB19" s="54" t="n">
        <v>0.0417</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ht="26" customHeight="1">
      <c r="A20" s="17" t="n">
        <v>17</v>
      </c>
      <c r="B20" s="22" t="inlineStr">
        <is>
          <t>كفاءة الدورة</t>
        </is>
      </c>
      <c r="C20" s="22" t="inlineStr">
        <is>
          <t>نسبة تخفيض إيجار المواقع عالية التكاليف</t>
        </is>
      </c>
      <c r="D20" s="61" t="inlineStr">
        <is>
          <t>%</t>
        </is>
      </c>
      <c r="E20" s="61" t="inlineStr">
        <is>
          <t>↑</t>
        </is>
      </c>
      <c r="F20" s="61" t="inlineStr">
        <is>
          <t>AVG</t>
        </is>
      </c>
      <c r="G20" s="75" t="n">
        <v>0.3</v>
      </c>
      <c r="H20" s="63" t="inlineStr">
        <is>
          <t>≥ 30%</t>
        </is>
      </c>
      <c r="I20" s="74" t="n"/>
      <c r="J20" s="74" t="n"/>
      <c r="K20" s="74" t="n"/>
      <c r="L20" s="74" t="n"/>
      <c r="M20" s="74" t="n"/>
      <c r="N20" s="74" t="n"/>
      <c r="O20" s="74" t="n"/>
      <c r="P20" s="74" t="n"/>
      <c r="Q20" s="74" t="n"/>
      <c r="R20" s="74" t="n"/>
      <c r="S20" s="74" t="n"/>
      <c r="T20" s="74" t="n"/>
      <c r="U20" s="60">
        <f>IF($F20="SUM",IF(COUNT($I20:$T20)=0,"",SUM($I20:$T20)),IF($F20="AVG",IFERROR(AVERAGE($I20:$T20),""),IF($F20="LAST",IFERROR(LOOKUP(2,1/($I20:$T20&lt;&gt;""),$I20:$T20),""),"")))</f>
        <v/>
      </c>
      <c r="V20" s="23">
        <f>IF($G20="","",IF($U20="","",IF($G20=0,IF($U20&lt;=0,1,0),IF($E20="↓",IFERROR($G20/$U20,0),IFERROR($U20/$G20,0)))))</f>
        <v/>
      </c>
      <c r="W20" s="17">
        <f>IF($V20="","—",IF($V20&gt;=1,"✅ محقق",IF($V20&gt;=0.85,"🟡 قريب","🔴 تحت الهدف")))</f>
        <v/>
      </c>
      <c r="X20" s="66" t="inlineStr">
        <is>
          <t>الاستدامة</t>
        </is>
      </c>
      <c r="Y20" s="22" t="inlineStr">
        <is>
          <t>جودة التشغيل</t>
        </is>
      </c>
      <c r="Z20" s="54" t="n"/>
      <c r="AA20" s="21" t="inlineStr">
        <is>
          <t>🟣 لاحق</t>
        </is>
      </c>
      <c r="AB20" s="54" t="n">
        <v>0.0417</v>
      </c>
      <c r="AC20" s="23">
        <f>IF($V20="","",$AB20*MIN($V20,1))</f>
        <v/>
      </c>
      <c r="AD20" s="75">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9" t="inlineStr">
        <is>
          <t>العمليات الداخلية</t>
        </is>
      </c>
    </row>
    <row r="21" ht="26" customHeight="1">
      <c r="A21" s="17" t="n">
        <v>18</v>
      </c>
      <c r="B21" s="22" t="inlineStr">
        <is>
          <t>الامتثال</t>
        </is>
      </c>
      <c r="C21" s="22" t="inlineStr">
        <is>
          <t>نسبة اكتمال المستندات النظامية قبل التوقيع</t>
        </is>
      </c>
      <c r="D21" s="61" t="inlineStr">
        <is>
          <t>%</t>
        </is>
      </c>
      <c r="E21" s="61" t="inlineStr">
        <is>
          <t>↑</t>
        </is>
      </c>
      <c r="F21" s="61" t="inlineStr">
        <is>
          <t>AVG</t>
        </is>
      </c>
      <c r="G21" s="75" t="n">
        <v>1</v>
      </c>
      <c r="H21" s="63" t="inlineStr">
        <is>
          <t>100%</t>
        </is>
      </c>
      <c r="I21" s="74" t="n"/>
      <c r="J21" s="74" t="n"/>
      <c r="K21" s="74" t="n"/>
      <c r="L21" s="74" t="n"/>
      <c r="M21" s="74" t="n"/>
      <c r="N21" s="74" t="n"/>
      <c r="O21" s="74" t="n"/>
      <c r="P21" s="74" t="n"/>
      <c r="Q21" s="74" t="n"/>
      <c r="R21" s="74" t="n"/>
      <c r="S21" s="74" t="n"/>
      <c r="T21" s="74" t="n"/>
      <c r="U21" s="60">
        <f>IF($F21="SUM",IF(COUNT($I21:$T21)=0,"",SUM($I21:$T21)),IF($F21="AVG",IFERROR(AVERAGE($I21:$T21),""),IF($F21="LAST",IFERROR(LOOKUP(2,1/($I21:$T21&lt;&gt;""),$I21:$T21),""),"")))</f>
        <v/>
      </c>
      <c r="V21" s="23">
        <f>IF($G21="","",IF($U21="","",IF($G21=0,IF($U21&lt;=0,1,0),IF($E21="↓",IFERROR($G21/$U21,0),IFERROR($U21/$G21,0)))))</f>
        <v/>
      </c>
      <c r="W21" s="17">
        <f>IF($V21="","—",IF($V21&gt;=1,"✅ محقق",IF($V21&gt;=0.85,"🟡 قريب","🔴 تحت الهدف")))</f>
        <v/>
      </c>
      <c r="X21" s="66" t="inlineStr">
        <is>
          <t>الاستدامة</t>
        </is>
      </c>
      <c r="Y21" s="22" t="inlineStr">
        <is>
          <t>جودة التشغيل</t>
        </is>
      </c>
      <c r="Z21" s="54" t="n"/>
      <c r="AA21" s="21" t="inlineStr">
        <is>
          <t>🟣 لاحق</t>
        </is>
      </c>
      <c r="AB21" s="54" t="n">
        <v>0.0417</v>
      </c>
      <c r="AC21" s="23">
        <f>IF($V21="","",$AB21*MIN($V21,1))</f>
        <v/>
      </c>
      <c r="AD21" s="75">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5">
        <f>IF(OR($AE21="",$G21=""),"",$AE21-$G21)</f>
        <v/>
      </c>
      <c r="AG21" s="17">
        <f>IF(OR($AE21="",$G21=""),"—",IF($E21="↓",IF($AE21&lt;=$G21,"🟢 على المسار",IF($AE21&lt;=$G21*1.1,"🟡 متابعة","🔴 خطر")),IF($AE21&gt;=$G21,"🟢 على المسار",IF($AE21&gt;=$G21*0.85,"🟡 متابعة","🔴 خطر"))))</f>
        <v/>
      </c>
      <c r="AH21" s="69" t="inlineStr">
        <is>
          <t>العمليات الداخلية</t>
        </is>
      </c>
    </row>
    <row r="22" ht="26" customHeight="1">
      <c r="A22" s="17" t="n">
        <v>19</v>
      </c>
      <c r="B22" s="22" t="inlineStr">
        <is>
          <t>الامتثال</t>
        </is>
      </c>
      <c r="C22" s="22" t="inlineStr">
        <is>
          <t>نسبة العقود المؤرشفة إلكترونياً خلال 48 ساعة</t>
        </is>
      </c>
      <c r="D22" s="61" t="inlineStr">
        <is>
          <t>%</t>
        </is>
      </c>
      <c r="E22" s="61" t="inlineStr">
        <is>
          <t>↑</t>
        </is>
      </c>
      <c r="F22" s="61" t="inlineStr">
        <is>
          <t>AVG</t>
        </is>
      </c>
      <c r="G22" s="75" t="n">
        <v>0.95</v>
      </c>
      <c r="H22" s="63" t="inlineStr">
        <is>
          <t>95%+</t>
        </is>
      </c>
      <c r="I22" s="74" t="n"/>
      <c r="J22" s="74" t="n"/>
      <c r="K22" s="74" t="n"/>
      <c r="L22" s="74" t="n"/>
      <c r="M22" s="74" t="n"/>
      <c r="N22" s="74" t="n"/>
      <c r="O22" s="74" t="n"/>
      <c r="P22" s="74" t="n"/>
      <c r="Q22" s="74" t="n"/>
      <c r="R22" s="74" t="n"/>
      <c r="S22" s="74" t="n"/>
      <c r="T22" s="74" t="n"/>
      <c r="U22" s="60">
        <f>IF($F22="SUM",IF(COUNT($I22:$T22)=0,"",SUM($I22:$T22)),IF($F22="AVG",IFERROR(AVERAGE($I22:$T22),""),IF($F22="LAST",IFERROR(LOOKUP(2,1/($I22:$T22&lt;&gt;""),$I22:$T22),""),"")))</f>
        <v/>
      </c>
      <c r="V22" s="23">
        <f>IF($G22="","",IF($U22="","",IF($G22=0,IF($U22&lt;=0,1,0),IF($E22="↓",IFERROR($G22/$U22,0),IFERROR($U22/$G22,0)))))</f>
        <v/>
      </c>
      <c r="W22" s="17">
        <f>IF($V22="","—",IF($V22&gt;=1,"✅ محقق",IF($V22&gt;=0.85,"🟡 قريب","🔴 تحت الهدف")))</f>
        <v/>
      </c>
      <c r="X22" s="66" t="inlineStr">
        <is>
          <t>الاستدامة</t>
        </is>
      </c>
      <c r="Y22" s="22" t="inlineStr">
        <is>
          <t>جودة التشغيل</t>
        </is>
      </c>
      <c r="Z22" s="54" t="n"/>
      <c r="AA22" s="21" t="inlineStr">
        <is>
          <t>🟣 لاحق</t>
        </is>
      </c>
      <c r="AB22" s="54" t="n">
        <v>0.0417</v>
      </c>
      <c r="AC22" s="23">
        <f>IF($V22="","",$AB22*MIN($V22,1))</f>
        <v/>
      </c>
      <c r="AD22" s="75">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5">
        <f>IF(OR($AE22="",$G22=""),"",$AE22-$G22)</f>
        <v/>
      </c>
      <c r="AG22" s="17">
        <f>IF(OR($AE22="",$G22=""),"—",IF($E22="↓",IF($AE22&lt;=$G22,"🟢 على المسار",IF($AE22&lt;=$G22*1.1,"🟡 متابعة","🔴 خطر")),IF($AE22&gt;=$G22,"🟢 على المسار",IF($AE22&gt;=$G22*0.85,"🟡 متابعة","🔴 خطر"))))</f>
        <v/>
      </c>
      <c r="AH22" s="69"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1" t="inlineStr">
        <is>
          <t>%</t>
        </is>
      </c>
      <c r="E23" s="61" t="inlineStr">
        <is>
          <t>↑</t>
        </is>
      </c>
      <c r="F23" s="61" t="inlineStr">
        <is>
          <t>AVG</t>
        </is>
      </c>
      <c r="G23" s="75" t="n">
        <v>0.98</v>
      </c>
      <c r="H23" s="63" t="inlineStr">
        <is>
          <t>98%</t>
        </is>
      </c>
      <c r="I23" s="74" t="n"/>
      <c r="J23" s="74" t="n"/>
      <c r="K23" s="74" t="n"/>
      <c r="L23" s="74" t="n"/>
      <c r="M23" s="74" t="n"/>
      <c r="N23" s="74" t="n"/>
      <c r="O23" s="74" t="n"/>
      <c r="P23" s="74" t="n"/>
      <c r="Q23" s="74" t="n"/>
      <c r="R23" s="74" t="n"/>
      <c r="S23" s="74" t="n"/>
      <c r="T23" s="74" t="n"/>
      <c r="U23" s="60">
        <f>IF($F23="SUM",IF(COUNT($I23:$T23)=0,"",SUM($I23:$T23)),IF($F23="AVG",IFERROR(AVERAGE($I23:$T23),""),IF($F23="LAST",IFERROR(LOOKUP(2,1/($I23:$T23&lt;&gt;""),$I23:$T23),""),"")))</f>
        <v/>
      </c>
      <c r="V23" s="23">
        <f>IF($G23="","",IF($U23="","",IF($G23=0,IF($U23&lt;=0,1,0),IF($E23="↓",IFERROR($G23/$U23,0),IFERROR($U23/$G23,0)))))</f>
        <v/>
      </c>
      <c r="W23" s="17">
        <f>IF($V23="","—",IF($V23&gt;=1,"✅ محقق",IF($V23&gt;=0.85,"🟡 قريب","🔴 تحت الهدف")))</f>
        <v/>
      </c>
      <c r="X23" s="66" t="inlineStr">
        <is>
          <t>النمو</t>
        </is>
      </c>
      <c r="Y23" s="22" t="inlineStr">
        <is>
          <t>التوسع في المواقع</t>
        </is>
      </c>
      <c r="Z23" s="54" t="n"/>
      <c r="AA23" s="21" t="inlineStr">
        <is>
          <t>🟣 لاحق</t>
        </is>
      </c>
      <c r="AB23" s="54" t="n">
        <v>0.0417</v>
      </c>
      <c r="AC23" s="23">
        <f>IF($V23="","",$AB23*MIN($V23,1))</f>
        <v/>
      </c>
      <c r="AD23" s="75">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9" t="inlineStr">
        <is>
          <t>العمليات الداخلية</t>
        </is>
      </c>
    </row>
    <row r="24" ht="26" customHeight="1">
      <c r="A24" s="17" t="n">
        <v>21</v>
      </c>
      <c r="B24" s="22" t="inlineStr">
        <is>
          <t>جودة التعاقد</t>
        </is>
      </c>
      <c r="C24" s="22" t="inlineStr">
        <is>
          <t>سرعة إنجاز إجراءات التعاقد</t>
        </is>
      </c>
      <c r="D24" s="61" t="inlineStr">
        <is>
          <t>أسبوع</t>
        </is>
      </c>
      <c r="E24" s="61" t="inlineStr">
        <is>
          <t>↓</t>
        </is>
      </c>
      <c r="F24" s="61" t="inlineStr">
        <is>
          <t>AVG</t>
        </is>
      </c>
      <c r="G24" s="76" t="n">
        <v>1</v>
      </c>
      <c r="H24" s="63" t="inlineStr">
        <is>
          <t>≤ أسبوع</t>
        </is>
      </c>
      <c r="I24" s="77" t="n"/>
      <c r="J24" s="77" t="n"/>
      <c r="K24" s="77" t="n"/>
      <c r="L24" s="77" t="n"/>
      <c r="M24" s="77" t="n"/>
      <c r="N24" s="77" t="n"/>
      <c r="O24" s="77" t="n"/>
      <c r="P24" s="77" t="n"/>
      <c r="Q24" s="77" t="n"/>
      <c r="R24" s="77" t="n"/>
      <c r="S24" s="77" t="n"/>
      <c r="T24" s="77" t="n"/>
      <c r="U24" s="78">
        <f>IF($F24="SUM",IF(COUNT($I24:$T24)=0,"",SUM($I24:$T24)),IF($F24="AVG",IFERROR(AVERAGE($I24:$T24),""),IF($F24="LAST",IFERROR(LOOKUP(2,1/($I24:$T24&lt;&gt;""),$I24:$T24),""),"")))</f>
        <v/>
      </c>
      <c r="V24" s="23">
        <f>IF($G24="","",IF($U24="","",IF($G24=0,IF($U24&lt;=0,1,0),IF($E24="↓",IFERROR($G24/$U24,0),IFERROR($U24/$G24,0)))))</f>
        <v/>
      </c>
      <c r="W24" s="17">
        <f>IF($V24="","—",IF($V24&gt;=1,"✅ محقق",IF($V24&gt;=0.85,"🟡 قريب","🔴 تحت الهدف")))</f>
        <v/>
      </c>
      <c r="X24" s="66" t="inlineStr">
        <is>
          <t>النمو</t>
        </is>
      </c>
      <c r="Y24" s="22" t="inlineStr">
        <is>
          <t>التوسع في المواقع</t>
        </is>
      </c>
      <c r="Z24" s="79" t="n"/>
      <c r="AA24" s="21" t="inlineStr">
        <is>
          <t>🟣 لاحق</t>
        </is>
      </c>
      <c r="AB24" s="54" t="n">
        <v>0.0417</v>
      </c>
      <c r="AC24" s="23">
        <f>IF($V24="","",$AB24*MIN($V24,1))</f>
        <v/>
      </c>
      <c r="AD24" s="76">
        <f>IF($G24="","",IF($F24="SUM",IF('لوحة الإدارة التنفيذية'!$P$2="","",$G24/12*'لوحة الإدارة التنفيذية'!$P$2),$G24))</f>
        <v/>
      </c>
      <c r="AE24" s="80">
        <f>IF($F24="SUM",IF(OR('لوحة الإدارة التنفيذية'!$P$2="",'لوحة الإدارة التنفيذية'!$P$2=0),"",IF($U24="","",$U24/'لوحة الإدارة التنفيذية'!$P$2*12)),IF($U24="","",$U24))</f>
        <v/>
      </c>
      <c r="AF24" s="76">
        <f>IF(OR($AE24="",$G24=""),"",$AE24-$G24)</f>
        <v/>
      </c>
      <c r="AG24" s="17">
        <f>IF(OR($AE24="",$G24=""),"—",IF($E24="↓",IF($AE24&lt;=$G24,"🟢 على المسار",IF($AE24&lt;=$G24*1.1,"🟡 متابعة","🔴 خطر")),IF($AE24&gt;=$G24,"🟢 على المسار",IF($AE24&gt;=$G24*0.85,"🟡 متابعة","🔴 خطر"))))</f>
        <v/>
      </c>
      <c r="AH24" s="69" t="inlineStr">
        <is>
          <t>العمليات الداخلية</t>
        </is>
      </c>
    </row>
    <row r="25" ht="26" customHeight="1">
      <c r="A25" s="17" t="n">
        <v>22</v>
      </c>
      <c r="B25" s="22" t="inlineStr">
        <is>
          <t>جودة التعاقد</t>
        </is>
      </c>
      <c r="C25" s="22" t="inlineStr">
        <is>
          <t>مدى رضا المستثمرين وشركاء الاستثمار</t>
        </is>
      </c>
      <c r="D25" s="61" t="inlineStr">
        <is>
          <t>%</t>
        </is>
      </c>
      <c r="E25" s="61" t="inlineStr">
        <is>
          <t>↑</t>
        </is>
      </c>
      <c r="F25" s="61" t="inlineStr">
        <is>
          <t>AVG</t>
        </is>
      </c>
      <c r="G25" s="75" t="n">
        <v>0.8</v>
      </c>
      <c r="H25" s="63" t="inlineStr">
        <is>
          <t>80%+</t>
        </is>
      </c>
      <c r="I25" s="74" t="n"/>
      <c r="J25" s="74" t="n"/>
      <c r="K25" s="74" t="n"/>
      <c r="L25" s="74" t="n"/>
      <c r="M25" s="74" t="n"/>
      <c r="N25" s="74" t="n"/>
      <c r="O25" s="74" t="n"/>
      <c r="P25" s="74" t="n"/>
      <c r="Q25" s="74" t="n"/>
      <c r="R25" s="74" t="n"/>
      <c r="S25" s="74" t="n"/>
      <c r="T25" s="74" t="n"/>
      <c r="U25" s="60">
        <f>IF($F25="SUM",IF(COUNT($I25:$T25)=0,"",SUM($I25:$T25)),IF($F25="AVG",IFERROR(AVERAGE($I25:$T25),""),IF($F25="LAST",IFERROR(LOOKUP(2,1/($I25:$T25&lt;&gt;""),$I25:$T25),""),"")))</f>
        <v/>
      </c>
      <c r="V25" s="23">
        <f>IF($G25="","",IF($U25="","",IF($G25=0,IF($U25&lt;=0,1,0),IF($E25="↓",IFERROR($G25/$U25,0),IFERROR($U25/$G25,0)))))</f>
        <v/>
      </c>
      <c r="W25" s="17">
        <f>IF($V25="","—",IF($V25&gt;=1,"✅ محقق",IF($V25&gt;=0.85,"🟡 قريب","🔴 تحت الهدف")))</f>
        <v/>
      </c>
      <c r="X25" s="66" t="inlineStr">
        <is>
          <t>الاستدامة</t>
        </is>
      </c>
      <c r="Y25" s="22" t="inlineStr">
        <is>
          <t>تعزيز تجربة العملاء</t>
        </is>
      </c>
      <c r="Z25" s="54" t="n"/>
      <c r="AA25" s="21" t="inlineStr">
        <is>
          <t>🟣 لاحق</t>
        </is>
      </c>
      <c r="AB25" s="54" t="n">
        <v>0.0417</v>
      </c>
      <c r="AC25" s="23">
        <f>IF($V25="","",$AB25*MIN($V25,1))</f>
        <v/>
      </c>
      <c r="AD25" s="75">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5">
        <f>IF(OR($AE25="",$G25=""),"",$AE25-$G25)</f>
        <v/>
      </c>
      <c r="AG25" s="17">
        <f>IF(OR($AE25="",$G25=""),"—",IF($E25="↓",IF($AE25&lt;=$G25,"🟢 على المسار",IF($AE25&lt;=$G25*1.1,"🟡 متابعة","🔴 خطر")),IF($AE25&gt;=$G25,"🟢 على المسار",IF($AE25&gt;=$G25*0.85,"🟡 متابعة","🔴 خطر"))))</f>
        <v/>
      </c>
      <c r="AH25" s="69" t="inlineStr">
        <is>
          <t>العملاء</t>
        </is>
      </c>
    </row>
    <row r="26" ht="26" customHeight="1">
      <c r="A26" s="17" t="n">
        <v>23</v>
      </c>
      <c r="B26" s="22" t="inlineStr">
        <is>
          <t>جودة التعاقد</t>
        </is>
      </c>
      <c r="C26" s="22" t="inlineStr">
        <is>
          <t>نسبة اكتمال أرشفة ملفات العملاء</t>
        </is>
      </c>
      <c r="D26" s="61" t="inlineStr">
        <is>
          <t>%</t>
        </is>
      </c>
      <c r="E26" s="61" t="inlineStr">
        <is>
          <t>↑</t>
        </is>
      </c>
      <c r="F26" s="61" t="inlineStr">
        <is>
          <t>AVG</t>
        </is>
      </c>
      <c r="G26" s="75" t="n">
        <v>1</v>
      </c>
      <c r="H26" s="63" t="inlineStr">
        <is>
          <t>100%</t>
        </is>
      </c>
      <c r="I26" s="74" t="n"/>
      <c r="J26" s="74" t="n"/>
      <c r="K26" s="74" t="n"/>
      <c r="L26" s="74" t="n"/>
      <c r="M26" s="74" t="n"/>
      <c r="N26" s="74" t="n"/>
      <c r="O26" s="74" t="n"/>
      <c r="P26" s="74" t="n"/>
      <c r="Q26" s="74" t="n"/>
      <c r="R26" s="74" t="n"/>
      <c r="S26" s="74" t="n"/>
      <c r="T26" s="74" t="n"/>
      <c r="U26" s="60">
        <f>IF($F26="SUM",IF(COUNT($I26:$T26)=0,"",SUM($I26:$T26)),IF($F26="AVG",IFERROR(AVERAGE($I26:$T26),""),IF($F26="LAST",IFERROR(LOOKUP(2,1/($I26:$T26&lt;&gt;""),$I26:$T26),""),"")))</f>
        <v/>
      </c>
      <c r="V26" s="23">
        <f>IF($G26="","",IF($U26="","",IF($G26=0,IF($U26&lt;=0,1,0),IF($E26="↓",IFERROR($G26/$U26,0),IFERROR($U26/$G26,0)))))</f>
        <v/>
      </c>
      <c r="W26" s="17">
        <f>IF($V26="","—",IF($V26&gt;=1,"✅ محقق",IF($V26&gt;=0.85,"🟡 قريب","🔴 تحت الهدف")))</f>
        <v/>
      </c>
      <c r="X26" s="66" t="inlineStr">
        <is>
          <t>الاستدامة</t>
        </is>
      </c>
      <c r="Y26" s="22" t="inlineStr">
        <is>
          <t>جودة التشغيل</t>
        </is>
      </c>
      <c r="Z26" s="54" t="n"/>
      <c r="AA26" s="21" t="inlineStr">
        <is>
          <t>🟣 لاحق</t>
        </is>
      </c>
      <c r="AB26" s="54" t="n">
        <v>0.0417</v>
      </c>
      <c r="AC26" s="23">
        <f>IF($V26="","",$AB26*MIN($V26,1))</f>
        <v/>
      </c>
      <c r="AD26" s="75">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9" t="inlineStr">
        <is>
          <t>العملاء</t>
        </is>
      </c>
    </row>
    <row r="27" ht="26" customHeight="1">
      <c r="A27" s="17" t="n">
        <v>24</v>
      </c>
      <c r="B27" s="22" t="inlineStr">
        <is>
          <t>جودة التعاقد</t>
        </is>
      </c>
      <c r="C27" s="22" t="inlineStr">
        <is>
          <t>نسبة إنجاز التقارير الدورية في موعدها</t>
        </is>
      </c>
      <c r="D27" s="61" t="inlineStr">
        <is>
          <t>%</t>
        </is>
      </c>
      <c r="E27" s="61" t="inlineStr">
        <is>
          <t>↑</t>
        </is>
      </c>
      <c r="F27" s="61" t="inlineStr">
        <is>
          <t>AVG</t>
        </is>
      </c>
      <c r="G27" s="75" t="n">
        <v>1</v>
      </c>
      <c r="H27" s="63" t="inlineStr">
        <is>
          <t>100%</t>
        </is>
      </c>
      <c r="I27" s="74" t="n"/>
      <c r="J27" s="74" t="n"/>
      <c r="K27" s="74" t="n"/>
      <c r="L27" s="74" t="n"/>
      <c r="M27" s="74" t="n"/>
      <c r="N27" s="74" t="n"/>
      <c r="O27" s="74" t="n"/>
      <c r="P27" s="74" t="n"/>
      <c r="Q27" s="74" t="n"/>
      <c r="R27" s="74" t="n"/>
      <c r="S27" s="74" t="n"/>
      <c r="T27" s="74" t="n"/>
      <c r="U27" s="60">
        <f>IF($F27="SUM",IF(COUNT($I27:$T27)=0,"",SUM($I27:$T27)),IF($F27="AVG",IFERROR(AVERAGE($I27:$T27),""),IF($F27="LAST",IFERROR(LOOKUP(2,1/($I27:$T27&lt;&gt;""),$I27:$T27),""),"")))</f>
        <v/>
      </c>
      <c r="V27" s="23">
        <f>IF($G27="","",IF($U27="","",IF($G27=0,IF($U27&lt;=0,1,0),IF($E27="↓",IFERROR($G27/$U27,0),IFERROR($U27/$G27,0)))))</f>
        <v/>
      </c>
      <c r="W27" s="17">
        <f>IF($V27="","—",IF($V27&gt;=1,"✅ محقق",IF($V27&gt;=0.85,"🟡 قريب","🔴 تحت الهدف")))</f>
        <v/>
      </c>
      <c r="X27" s="66" t="inlineStr">
        <is>
          <t>الاستدامة</t>
        </is>
      </c>
      <c r="Y27" s="22" t="inlineStr">
        <is>
          <t>جودة التشغيل</t>
        </is>
      </c>
      <c r="Z27" s="54" t="n"/>
      <c r="AA27" s="21" t="inlineStr">
        <is>
          <t>🟣 لاحق</t>
        </is>
      </c>
      <c r="AB27" s="54" t="n">
        <v>0.0417</v>
      </c>
      <c r="AC27" s="23">
        <f>IF($V27="","",$AB27*MIN($V27,1))</f>
        <v/>
      </c>
      <c r="AD27" s="75">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5">
        <f>IF(OR($AE27="",$G27=""),"",$AE27-$G27)</f>
        <v/>
      </c>
      <c r="AG27" s="17">
        <f>IF(OR($AE27="",$G27=""),"—",IF($E27="↓",IF($AE27&lt;=$G27,"🟢 على المسار",IF($AE27&lt;=$G27*1.1,"🟡 متابعة","🔴 خطر")),IF($AE27&gt;=$G27,"🟢 على المسار",IF($AE27&gt;=$G27*0.85,"🟡 متابعة","🔴 خطر"))))</f>
        <v/>
      </c>
      <c r="AH27" s="69" t="inlineStr">
        <is>
          <t>العمليات الداخلية</t>
        </is>
      </c>
    </row>
    <row r="28">
      <c r="A28" s="81" t="inlineStr"/>
      <c r="B28" s="82" t="inlineStr">
        <is>
          <t>الإجمالي الموزون للإدارة</t>
        </is>
      </c>
      <c r="AB28" s="83">
        <f>SUM(AB4:AB27)</f>
        <v/>
      </c>
      <c r="AC28" s="84">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الاستثمار · نموذج تقييم الأداء — مدير إدارة الاستثمار</t>
        </is>
      </c>
    </row>
    <row r="2">
      <c r="A2" s="51" t="inlineStr">
        <is>
          <t>الكود: IM-01  ·  ربع سنوي  ·  🟩 أدخل «نسبة التحقيق» فقط — الدرجة تُحسب تلقائياً</t>
        </is>
      </c>
    </row>
    <row r="3">
      <c r="A3" s="86" t="inlineStr">
        <is>
          <t>اسم الموظف:</t>
        </is>
      </c>
      <c r="B3" s="52" t="inlineStr"/>
      <c r="C3" s="87" t="n"/>
      <c r="D3" s="86" t="inlineStr">
        <is>
          <t>القسم: الاستثمار</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عقود الاستثمار الجديدة (190)</t>
        </is>
      </c>
      <c r="C7" s="75" t="n">
        <v>0.2</v>
      </c>
      <c r="D7" s="89" t="inlineStr">
        <is>
          <t>100%+ من المستهدف الربعي</t>
        </is>
      </c>
      <c r="E7" s="54" t="n"/>
      <c r="F7" s="23">
        <f>C7*MIN(E7,1)</f>
        <v/>
      </c>
      <c r="G7" s="52" t="inlineStr"/>
    </row>
    <row r="8" ht="28" customHeight="1">
      <c r="A8" s="17" t="n">
        <v>2</v>
      </c>
      <c r="B8" s="22" t="inlineStr">
        <is>
          <t>نسبة المواقع ذات العائد المجدي</t>
        </is>
      </c>
      <c r="C8" s="75" t="n">
        <v>0.15</v>
      </c>
      <c r="D8" s="89" t="inlineStr">
        <is>
          <t>≥ 80%</t>
        </is>
      </c>
      <c r="E8" s="54" t="n"/>
      <c r="F8" s="23">
        <f>C8*MIN(E8,1)</f>
        <v/>
      </c>
      <c r="G8" s="52" t="inlineStr"/>
    </row>
    <row r="9" ht="28" customHeight="1">
      <c r="A9" s="17" t="n">
        <v>3</v>
      </c>
      <c r="B9" s="22" t="inlineStr">
        <is>
          <t>متوسط فترة استرداد رأس المال</t>
        </is>
      </c>
      <c r="C9" s="75" t="n">
        <v>0.1</v>
      </c>
      <c r="D9" s="89" t="inlineStr">
        <is>
          <t>≤ 5 سنوات</t>
        </is>
      </c>
      <c r="E9" s="54" t="n"/>
      <c r="F9" s="23">
        <f>C9*MIN(E9,1)</f>
        <v/>
      </c>
      <c r="G9" s="52" t="inlineStr"/>
    </row>
    <row r="10" ht="28" customHeight="1">
      <c r="A10" s="17" t="n">
        <v>4</v>
      </c>
      <c r="B10" s="22" t="inlineStr">
        <is>
          <t>التوسع الإقليمي (تغطية 13 منطقة)</t>
        </is>
      </c>
      <c r="C10" s="75" t="n">
        <v>0.15</v>
      </c>
      <c r="D10" s="89" t="inlineStr">
        <is>
          <t>100%</t>
        </is>
      </c>
      <c r="E10" s="54" t="n"/>
      <c r="F10" s="23">
        <f>C10*MIN(E10,1)</f>
        <v/>
      </c>
      <c r="G10" s="52" t="inlineStr"/>
    </row>
    <row r="11" ht="28" customHeight="1">
      <c r="A11" s="17" t="n">
        <v>5</v>
      </c>
      <c r="B11" s="22" t="inlineStr">
        <is>
          <t>متوسط مدة إغلاق عقد الاستثمار</t>
        </is>
      </c>
      <c r="C11" s="75" t="n">
        <v>0.1</v>
      </c>
      <c r="D11" s="89" t="inlineStr">
        <is>
          <t>≤ أسبوع</t>
        </is>
      </c>
      <c r="E11" s="54" t="n"/>
      <c r="F11" s="23">
        <f>C11*MIN(E11,1)</f>
        <v/>
      </c>
      <c r="G11" s="52" t="inlineStr"/>
    </row>
    <row r="12" ht="28" customHeight="1">
      <c r="A12" s="17" t="n">
        <v>6</v>
      </c>
      <c r="B12" s="22" t="inlineStr">
        <is>
          <t>اكتمال المستندات النظامية</t>
        </is>
      </c>
      <c r="C12" s="75" t="n">
        <v>0.1</v>
      </c>
      <c r="D12" s="89" t="inlineStr">
        <is>
          <t>100%</t>
        </is>
      </c>
      <c r="E12" s="54" t="n"/>
      <c r="F12" s="23">
        <f>C12*MIN(E12,1)</f>
        <v/>
      </c>
      <c r="G12" s="52" t="inlineStr"/>
    </row>
    <row r="13" ht="28" customHeight="1">
      <c r="A13" s="17" t="n">
        <v>7</v>
      </c>
      <c r="B13" s="22" t="inlineStr">
        <is>
          <t>رضا المستثمرين وشركاء الاستثمار</t>
        </is>
      </c>
      <c r="C13" s="75" t="n">
        <v>0.1</v>
      </c>
      <c r="D13" s="89" t="inlineStr">
        <is>
          <t>≥ 80%</t>
        </is>
      </c>
      <c r="E13" s="54" t="n"/>
      <c r="F13" s="23">
        <f>C13*MIN(E13,1)</f>
        <v/>
      </c>
      <c r="G13" s="52" t="inlineStr"/>
    </row>
    <row r="14" ht="28" customHeight="1">
      <c r="A14" s="17" t="n">
        <v>8</v>
      </c>
      <c r="B14" s="22" t="inlineStr">
        <is>
          <t>إنجاز التقارير الدورية</t>
        </is>
      </c>
      <c r="C14" s="75" t="n">
        <v>0.1</v>
      </c>
      <c r="D14" s="89" t="inlineStr">
        <is>
          <t>100%</t>
        </is>
      </c>
      <c r="E14" s="54" t="n"/>
      <c r="F14" s="23">
        <f>C14*MIN(E14,1)</f>
        <v/>
      </c>
      <c r="G14" s="52" t="inlineStr"/>
    </row>
    <row r="15">
      <c r="A15" s="81" t="inlineStr"/>
      <c r="B15" s="82" t="inlineStr">
        <is>
          <t>المجموع الكلي</t>
        </is>
      </c>
      <c r="C15" s="90">
        <f>SUM(C7:C14)</f>
        <v/>
      </c>
      <c r="D15" s="81" t="inlineStr"/>
      <c r="E15" s="82" t="inlineStr">
        <is>
          <t>الدرجة:</t>
        </is>
      </c>
      <c r="F15" s="91">
        <f>SUM(F7:F14)</f>
        <v/>
      </c>
      <c r="G15" s="81" t="inlineStr"/>
    </row>
    <row r="16">
      <c r="B16" s="5" t="inlineStr">
        <is>
          <t>التقدير</t>
        </is>
      </c>
      <c r="C16" s="26">
        <f>IF(F15&gt;=0.9,"ممتاز",IF(F15&gt;=0.8,"جيد جداً",IF(F15&gt;=0.7,"جيد",IF(F15&gt;=0.6,"مقبول","ضعيف"))))</f>
        <v/>
      </c>
      <c r="D16" s="44" t="n"/>
    </row>
    <row r="18">
      <c r="B18" s="5" t="inlineStr">
        <is>
          <t>سلّم التقييم</t>
        </is>
      </c>
      <c r="C18" s="43" t="n"/>
      <c r="D18" s="44"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1" t="inlineStr">
        <is>
          <t>%</t>
        </is>
      </c>
      <c r="E4" s="61" t="inlineStr">
        <is>
          <t>↑</t>
        </is>
      </c>
      <c r="F4" s="61" t="inlineStr">
        <is>
          <t>AVG</t>
        </is>
      </c>
      <c r="G4" s="75" t="n">
        <v>0.08</v>
      </c>
      <c r="H4" s="63" t="inlineStr">
        <is>
          <t>&gt; 8% سنوياً</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is>
          <t>الاستدامة</t>
        </is>
      </c>
      <c r="Y4" s="22" t="inlineStr">
        <is>
          <t>منظومة التأجير</t>
        </is>
      </c>
      <c r="Z4" s="54" t="n"/>
      <c r="AA4" s="21" t="inlineStr">
        <is>
          <t>🔵 قائد</t>
        </is>
      </c>
      <c r="AB4" s="54" t="n">
        <v>0.0625</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مالي</t>
        </is>
      </c>
    </row>
    <row r="5" ht="26" customHeight="1">
      <c r="A5" s="17" t="n">
        <v>2</v>
      </c>
      <c r="B5" s="22" t="inlineStr">
        <is>
          <t>الإدارة</t>
        </is>
      </c>
      <c r="C5" s="22" t="inlineStr">
        <is>
          <t>نسبة الالتزام بالعقود</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الاستدامة</t>
        </is>
      </c>
      <c r="Y5" s="22" t="inlineStr">
        <is>
          <t>منظومة التأجير</t>
        </is>
      </c>
      <c r="Z5" s="54" t="n"/>
      <c r="AA5" s="21" t="inlineStr">
        <is>
          <t>🟣 لاحق</t>
        </is>
      </c>
      <c r="AB5" s="54" t="n">
        <v>0.0625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الإدارة</t>
        </is>
      </c>
      <c r="C6" s="22" t="inlineStr">
        <is>
          <t>نسبة التحصيل</t>
        </is>
      </c>
      <c r="D6" s="61" t="inlineStr">
        <is>
          <t>%</t>
        </is>
      </c>
      <c r="E6" s="61" t="inlineStr">
        <is>
          <t>↑</t>
        </is>
      </c>
      <c r="F6" s="61" t="inlineStr">
        <is>
          <t>AVG</t>
        </is>
      </c>
      <c r="G6" s="75" t="n">
        <v>0.95</v>
      </c>
      <c r="H6" s="63" t="inlineStr">
        <is>
          <t>&gt; 95%</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الاستدامة</t>
        </is>
      </c>
      <c r="Y6" s="22" t="inlineStr">
        <is>
          <t>منظومة التأجير</t>
        </is>
      </c>
      <c r="Z6" s="54" t="n"/>
      <c r="AA6" s="21" t="inlineStr">
        <is>
          <t>🟣 لاحق</t>
        </is>
      </c>
      <c r="AB6" s="54" t="n">
        <v>0.0625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التأجير</t>
        </is>
      </c>
      <c r="C7" s="22" t="inlineStr">
        <is>
          <t>نسبة الإشغال</t>
        </is>
      </c>
      <c r="D7" s="61" t="inlineStr">
        <is>
          <t>%</t>
        </is>
      </c>
      <c r="E7" s="61" t="inlineStr">
        <is>
          <t>↑</t>
        </is>
      </c>
      <c r="F7" s="61" t="inlineStr">
        <is>
          <t>AVG</t>
        </is>
      </c>
      <c r="G7" s="75" t="n">
        <v>0.6</v>
      </c>
      <c r="H7" s="63" t="inlineStr">
        <is>
          <t>≥ 60%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الاستدامة</t>
        </is>
      </c>
      <c r="Y7" s="22" t="inlineStr">
        <is>
          <t>منظومة التأجير</t>
        </is>
      </c>
      <c r="Z7" s="54" t="n"/>
      <c r="AA7" s="21" t="inlineStr">
        <is>
          <t>🟣 لاحق</t>
        </is>
      </c>
      <c r="AB7" s="54" t="n">
        <v>0.0625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التأجير</t>
        </is>
      </c>
      <c r="C8" s="22" t="inlineStr">
        <is>
          <t>الوحدات المؤجَّرة شهرياً</t>
        </is>
      </c>
      <c r="D8" s="61" t="inlineStr">
        <is>
          <t>وحدة</t>
        </is>
      </c>
      <c r="E8" s="61" t="inlineStr">
        <is>
          <t>↑</t>
        </is>
      </c>
      <c r="F8" s="61" t="inlineStr">
        <is>
          <t>AVG</t>
        </is>
      </c>
      <c r="G8" s="62" t="n">
        <v>68</v>
      </c>
      <c r="H8" s="63" t="inlineStr">
        <is>
          <t>68 شهرياً</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الاستدامة</t>
        </is>
      </c>
      <c r="Y8" s="22" t="inlineStr">
        <is>
          <t>منظومة التأجير</t>
        </is>
      </c>
      <c r="Z8" s="67" t="n"/>
      <c r="AA8" s="21" t="inlineStr">
        <is>
          <t>🟣 لاحق</t>
        </is>
      </c>
      <c r="AB8" s="54" t="n">
        <v>0.0625</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التأجير</t>
        </is>
      </c>
      <c r="C9" s="22" t="inlineStr">
        <is>
          <t>العملاء المحتملون (LEADS)</t>
        </is>
      </c>
      <c r="D9" s="61" t="inlineStr">
        <is>
          <t>عميل</t>
        </is>
      </c>
      <c r="E9" s="61" t="inlineStr">
        <is>
          <t>↑</t>
        </is>
      </c>
      <c r="F9" s="61" t="inlineStr">
        <is>
          <t>AVG</t>
        </is>
      </c>
      <c r="G9" s="62" t="n">
        <v>680</v>
      </c>
      <c r="H9" s="63" t="inlineStr">
        <is>
          <t>544–680</t>
        </is>
      </c>
      <c r="I9" s="64" t="n"/>
      <c r="J9" s="64" t="n"/>
      <c r="K9" s="64" t="n"/>
      <c r="L9" s="64" t="n"/>
      <c r="M9" s="64" t="n"/>
      <c r="N9" s="64" t="n"/>
      <c r="O9" s="64" t="n"/>
      <c r="P9" s="64" t="n"/>
      <c r="Q9" s="64" t="n"/>
      <c r="R9" s="64" t="n"/>
      <c r="S9" s="64" t="n"/>
      <c r="T9" s="64" t="n"/>
      <c r="U9" s="65">
        <f>IF($F9="SUM",IF(COUNT($I9:$T9)=0,"",SUM($I9:$T9)),IF($F9="AVG",IFERROR(AVERAGE($I9:$T9),""),IF($F9="LAST",IFERROR(LOOKUP(2,1/($I9:$T9&lt;&gt;""),$I9:$T9),""),"")))</f>
        <v/>
      </c>
      <c r="V9" s="23">
        <f>IF($G9="","",IF($U9="","",IF($G9=0,IF($U9&lt;=0,1,0),IF($E9="↓",IFERROR($G9/$U9,0),IFERROR($U9/$G9,0)))))</f>
        <v/>
      </c>
      <c r="W9" s="17">
        <f>IF($V9="","—",IF($V9&gt;=1,"✅ محقق",IF($V9&gt;=0.85,"🟡 قريب","🔴 تحت الهدف")))</f>
        <v/>
      </c>
      <c r="X9" s="66" t="inlineStr">
        <is>
          <t>النمو</t>
        </is>
      </c>
      <c r="Y9" s="22" t="inlineStr">
        <is>
          <t>زيادة وصول العملاء</t>
        </is>
      </c>
      <c r="Z9" s="67" t="n"/>
      <c r="AA9" s="21" t="inlineStr">
        <is>
          <t>🔵 قائد</t>
        </is>
      </c>
      <c r="AB9" s="54" t="n">
        <v>0.0625</v>
      </c>
      <c r="AC9" s="23">
        <f>IF($V9="","",$AB9*MIN($V9,1))</f>
        <v/>
      </c>
      <c r="AD9" s="62">
        <f>IF($G9="","",IF($F9="SUM",IF('لوحة الإدارة التنفيذية'!$P$2="","",$G9/12*'لوحة الإدارة التنفيذية'!$P$2),$G9))</f>
        <v/>
      </c>
      <c r="AE9" s="68">
        <f>IF($F9="SUM",IF(OR('لوحة الإدارة التنفيذية'!$P$2="",'لوحة الإدارة التنفيذية'!$P$2=0),"",IF($U9="","",$U9/'لوحة الإدارة التنفيذية'!$P$2*12)),IF($U9="","",$U9))</f>
        <v/>
      </c>
      <c r="AF9" s="62">
        <f>IF(OR($AE9="",$G9=""),"",$AE9-$G9)</f>
        <v/>
      </c>
      <c r="AG9" s="17">
        <f>IF(OR($AE9="",$G9=""),"—",IF($E9="↓",IF($AE9&lt;=$G9,"🟢 على المسار",IF($AE9&lt;=$G9*1.1,"🟡 متابعة","🔴 خطر")),IF($AE9&gt;=$G9,"🟢 على المسار",IF($AE9&gt;=$G9*0.85,"🟡 متابعة","🔴 خطر"))))</f>
        <v/>
      </c>
      <c r="AH9" s="69" t="inlineStr">
        <is>
          <t>العملاء</t>
        </is>
      </c>
    </row>
    <row r="10" ht="26" customHeight="1">
      <c r="A10" s="17" t="n">
        <v>7</v>
      </c>
      <c r="B10" s="22" t="inlineStr">
        <is>
          <t>التأجير</t>
        </is>
      </c>
      <c r="C10" s="22" t="inlineStr">
        <is>
          <t>معدل التحويل</t>
        </is>
      </c>
      <c r="D10" s="61" t="inlineStr">
        <is>
          <t>%</t>
        </is>
      </c>
      <c r="E10" s="61" t="inlineStr">
        <is>
          <t>↑</t>
        </is>
      </c>
      <c r="F10" s="61" t="inlineStr">
        <is>
          <t>AVG</t>
        </is>
      </c>
      <c r="G10" s="75" t="n">
        <v>0.2</v>
      </c>
      <c r="H10" s="63" t="inlineStr">
        <is>
          <t>15–25%</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زيادة وصول العملاء</t>
        </is>
      </c>
      <c r="Z10" s="54" t="n"/>
      <c r="AA10" s="21" t="inlineStr">
        <is>
          <t>🔵 قائد</t>
        </is>
      </c>
      <c r="AB10" s="54" t="n">
        <v>0.0625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التأجير</t>
        </is>
      </c>
      <c r="C11" s="22" t="inlineStr">
        <is>
          <t>زيادة عدد العلامات التجارية</t>
        </is>
      </c>
      <c r="D11" s="61" t="inlineStr">
        <is>
          <t>علامة</t>
        </is>
      </c>
      <c r="E11" s="61" t="inlineStr">
        <is>
          <t>↑</t>
        </is>
      </c>
      <c r="F11" s="61" t="inlineStr">
        <is>
          <t>LAST</t>
        </is>
      </c>
      <c r="G11" s="62" t="n">
        <v>246</v>
      </c>
      <c r="H11" s="63" t="inlineStr">
        <is>
          <t>246 علامة</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منظومة التأجير</t>
        </is>
      </c>
      <c r="Z11" s="67" t="n"/>
      <c r="AA11" s="21" t="inlineStr">
        <is>
          <t>🔵 قائد</t>
        </is>
      </c>
      <c r="AB11" s="54" t="n">
        <v>0.0625</v>
      </c>
      <c r="AC11" s="23">
        <f>IF($V11="","",$AB11*MIN($V11,1))</f>
        <v/>
      </c>
      <c r="AD11" s="62">
        <f>IF($G11="","",IF($F11="SUM",IF('لوحة الإدارة التنفيذية'!$P$2="","",$G11/12*'لوحة الإدارة التنفيذية'!$P$2),$G11))</f>
        <v/>
      </c>
      <c r="AE11" s="68">
        <f>IF($F11="SUM",IF(OR('لوحة الإدارة التنفيذية'!$P$2="",'لوحة الإدارة التنفيذية'!$P$2=0),"",IF($U11="","",$U11/'لوحة الإدارة التنفيذية'!$P$2*12)),IF($U11="","",$U11))</f>
        <v/>
      </c>
      <c r="AF11" s="62">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الإبداع والتكامل</t>
        </is>
      </c>
      <c r="C12" s="22" t="inlineStr">
        <is>
          <t>نسبة تأجير ساحة درب</t>
        </is>
      </c>
      <c r="D12" s="61" t="inlineStr">
        <is>
          <t>%</t>
        </is>
      </c>
      <c r="E12" s="61" t="inlineStr">
        <is>
          <t>↑</t>
        </is>
      </c>
      <c r="F12" s="61" t="inlineStr">
        <is>
          <t>LAST</t>
        </is>
      </c>
      <c r="G12" s="75" t="n">
        <v>0.8</v>
      </c>
      <c r="H12" s="63" t="inlineStr">
        <is>
          <t>≥ 80%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الابتكار</t>
        </is>
      </c>
      <c r="Y12" s="22" t="inlineStr">
        <is>
          <t>ساحات درب</t>
        </is>
      </c>
      <c r="Z12" s="54" t="n"/>
      <c r="AA12" s="21" t="inlineStr">
        <is>
          <t>🟣 لاحق</t>
        </is>
      </c>
      <c r="AB12" s="54" t="n">
        <v>0.0625</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الإبداع والتكامل</t>
        </is>
      </c>
      <c r="C13" s="22" t="inlineStr">
        <is>
          <t>علامات تجارية جديدة (ساحة درب)</t>
        </is>
      </c>
      <c r="D13" s="61" t="inlineStr">
        <is>
          <t>علامة</t>
        </is>
      </c>
      <c r="E13" s="61" t="inlineStr">
        <is>
          <t>↑</t>
        </is>
      </c>
      <c r="F13" s="61" t="inlineStr">
        <is>
          <t>SUM</t>
        </is>
      </c>
      <c r="G13" s="62" t="n">
        <v>6</v>
      </c>
      <c r="H13" s="63" t="inlineStr">
        <is>
          <t>6 علامات</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الابتكار</t>
        </is>
      </c>
      <c r="Y13" s="22" t="inlineStr">
        <is>
          <t>ساحات درب</t>
        </is>
      </c>
      <c r="Z13" s="67" t="n"/>
      <c r="AA13" s="21" t="inlineStr">
        <is>
          <t>🟣 لاحق</t>
        </is>
      </c>
      <c r="AB13" s="54" t="n">
        <v>0.0625</v>
      </c>
      <c r="AC13" s="23">
        <f>IF($V13="","",$AB13*MIN($V13,1))</f>
        <v/>
      </c>
      <c r="AD13" s="62">
        <f>IF($G13="","",IF($F13="SUM",IF('لوحة الإدارة التنفيذية'!$P$2="","",$G13/12*'لوحة الإدارة التنفيذية'!$P$2),$G13))</f>
        <v/>
      </c>
      <c r="AE13" s="68">
        <f>IF($F13="SUM",IF(OR('لوحة الإدارة التنفيذية'!$P$2="",'لوحة الإدارة التنفيذية'!$P$2=0),"",IF($U13="","",$U13/'لوحة الإدارة التنفيذية'!$P$2*12)),IF($U13="","",$U13))</f>
        <v/>
      </c>
      <c r="AF13" s="62">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الإبداع والتكامل</t>
        </is>
      </c>
      <c r="C14" s="22" t="inlineStr">
        <is>
          <t>الشراكات الاستراتيجية</t>
        </is>
      </c>
      <c r="D14" s="61" t="inlineStr">
        <is>
          <t>شراكة</t>
        </is>
      </c>
      <c r="E14" s="61" t="inlineStr">
        <is>
          <t>↑</t>
        </is>
      </c>
      <c r="F14" s="61" t="inlineStr">
        <is>
          <t>SUM</t>
        </is>
      </c>
      <c r="G14" s="62" t="n">
        <v>5</v>
      </c>
      <c r="H14" s="63" t="inlineStr">
        <is>
          <t>5 شراكات</t>
        </is>
      </c>
      <c r="I14" s="64" t="n"/>
      <c r="J14" s="64" t="n"/>
      <c r="K14" s="64" t="n"/>
      <c r="L14" s="64" t="n"/>
      <c r="M14" s="64" t="n"/>
      <c r="N14" s="64" t="n"/>
      <c r="O14" s="64" t="n"/>
      <c r="P14" s="64" t="n"/>
      <c r="Q14" s="64" t="n"/>
      <c r="R14" s="64" t="n"/>
      <c r="S14" s="64" t="n"/>
      <c r="T14" s="64" t="n"/>
      <c r="U14" s="65">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الابتكار</t>
        </is>
      </c>
      <c r="Y14" s="22" t="inlineStr">
        <is>
          <t>إطلاق مشاريع جديدة</t>
        </is>
      </c>
      <c r="Z14" s="67" t="n"/>
      <c r="AA14" s="21" t="inlineStr">
        <is>
          <t>🟣 لاحق</t>
        </is>
      </c>
      <c r="AB14" s="54" t="n">
        <v>0.0625</v>
      </c>
      <c r="AC14" s="23">
        <f>IF($V14="","",$AB14*MIN($V14,1))</f>
        <v/>
      </c>
      <c r="AD14" s="62">
        <f>IF($G14="","",IF($F14="SUM",IF('لوحة الإدارة التنفيذية'!$P$2="","",$G14/12*'لوحة الإدارة التنفيذية'!$P$2),$G14))</f>
        <v/>
      </c>
      <c r="AE14" s="68">
        <f>IF($F14="SUM",IF(OR('لوحة الإدارة التنفيذية'!$P$2="",'لوحة الإدارة التنفيذية'!$P$2=0),"",IF($U14="","",$U14/'لوحة الإدارة التنفيذية'!$P$2*12)),IF($U14="","",$U14))</f>
        <v/>
      </c>
      <c r="AF14" s="62">
        <f>IF(OR($AE14="",$G14=""),"",$AE14-$G14)</f>
        <v/>
      </c>
      <c r="AG14" s="17">
        <f>IF(OR($AE14="",$G14=""),"—",IF($E14="↓",IF($AE14&lt;=$G14,"🟢 على المسار",IF($AE14&lt;=$G14*1.1,"🟡 متابعة","🔴 خطر")),IF($AE14&gt;=$G14,"🟢 على المسار",IF($AE14&gt;=$G14*0.85,"🟡 متابعة","🔴 خطر"))))</f>
        <v/>
      </c>
      <c r="AH14" s="69" t="inlineStr">
        <is>
          <t>التعلّم والنمو</t>
        </is>
      </c>
    </row>
    <row r="15" ht="26" customHeight="1">
      <c r="A15" s="17" t="n">
        <v>12</v>
      </c>
      <c r="B15" s="22" t="inlineStr">
        <is>
          <t>إدارة الأملاك</t>
        </is>
      </c>
      <c r="C15" s="22" t="inlineStr">
        <is>
          <t>نسبة تجديد العقود</t>
        </is>
      </c>
      <c r="D15" s="61" t="inlineStr">
        <is>
          <t>%</t>
        </is>
      </c>
      <c r="E15" s="61" t="inlineStr">
        <is>
          <t>↑</t>
        </is>
      </c>
      <c r="F15" s="61" t="inlineStr">
        <is>
          <t>AVG</t>
        </is>
      </c>
      <c r="G15" s="75" t="n">
        <v>1</v>
      </c>
      <c r="H15" s="63" t="inlineStr">
        <is>
          <t>100%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منظومة التأجير</t>
        </is>
      </c>
      <c r="Z15" s="54" t="n"/>
      <c r="AA15" s="21" t="inlineStr">
        <is>
          <t>🟣 لاحق</t>
        </is>
      </c>
      <c r="AB15" s="54" t="n">
        <v>0.0625</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تنسيق المشاريع</t>
        </is>
      </c>
      <c r="C16" s="22" t="inlineStr">
        <is>
          <t>متوسط زمن تسليم الوحدة</t>
        </is>
      </c>
      <c r="D16" s="61" t="inlineStr">
        <is>
          <t>يوم</t>
        </is>
      </c>
      <c r="E16" s="61" t="inlineStr">
        <is>
          <t>↓</t>
        </is>
      </c>
      <c r="F16" s="61" t="inlineStr">
        <is>
          <t>AVG</t>
        </is>
      </c>
      <c r="G16" s="76" t="n">
        <v>7</v>
      </c>
      <c r="H16" s="63" t="inlineStr">
        <is>
          <t>≤ 7 أيام</t>
        </is>
      </c>
      <c r="I16" s="77" t="n"/>
      <c r="J16" s="77" t="n"/>
      <c r="K16" s="77" t="n"/>
      <c r="L16" s="77" t="n"/>
      <c r="M16" s="77" t="n"/>
      <c r="N16" s="77" t="n"/>
      <c r="O16" s="77" t="n"/>
      <c r="P16" s="77" t="n"/>
      <c r="Q16" s="77" t="n"/>
      <c r="R16" s="77" t="n"/>
      <c r="S16" s="77" t="n"/>
      <c r="T16" s="77" t="n"/>
      <c r="U16" s="78">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79" t="n"/>
      <c r="AA16" s="21" t="inlineStr">
        <is>
          <t>🟣 لاحق</t>
        </is>
      </c>
      <c r="AB16" s="54" t="n">
        <v>0.0625</v>
      </c>
      <c r="AC16" s="23">
        <f>IF($V16="","",$AB16*MIN($V16,1))</f>
        <v/>
      </c>
      <c r="AD16" s="76">
        <f>IF($G16="","",IF($F16="SUM",IF('لوحة الإدارة التنفيذية'!$P$2="","",$G16/12*'لوحة الإدارة التنفيذية'!$P$2),$G16))</f>
        <v/>
      </c>
      <c r="AE16" s="80">
        <f>IF($F16="SUM",IF(OR('لوحة الإدارة التنفيذية'!$P$2="",'لوحة الإدارة التنفيذية'!$P$2=0),"",IF($U16="","",$U16/'لوحة الإدارة التنفيذية'!$P$2*12)),IF($U16="","",$U16))</f>
        <v/>
      </c>
      <c r="AF16" s="76">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تنسيق المشاريع</t>
        </is>
      </c>
      <c r="C17" s="22" t="inlineStr">
        <is>
          <t>نسبة إغلاق الطلبات خلال 3 أسابيع</t>
        </is>
      </c>
      <c r="D17" s="61" t="inlineStr">
        <is>
          <t>%</t>
        </is>
      </c>
      <c r="E17" s="61" t="inlineStr">
        <is>
          <t>↑</t>
        </is>
      </c>
      <c r="F17" s="61" t="inlineStr">
        <is>
          <t>AVG</t>
        </is>
      </c>
      <c r="G17" s="75" t="n">
        <v>0.9</v>
      </c>
      <c r="H17" s="63" t="inlineStr">
        <is>
          <t>&gt; 90%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الاستدامة</t>
        </is>
      </c>
      <c r="Y17" s="22" t="inlineStr">
        <is>
          <t>جودة التشغيل</t>
        </is>
      </c>
      <c r="Z17" s="54" t="n"/>
      <c r="AA17" s="21" t="inlineStr">
        <is>
          <t>🔵 قائد</t>
        </is>
      </c>
      <c r="AB17" s="54" t="n">
        <v>0.0625</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الجودة والاستدامة</t>
        </is>
      </c>
      <c r="C18" s="22" t="inlineStr">
        <is>
          <t>استدامة المستأجرين (لم يُنهَ مبكراً)</t>
        </is>
      </c>
      <c r="D18" s="61" t="inlineStr">
        <is>
          <t>%</t>
        </is>
      </c>
      <c r="E18" s="61" t="inlineStr">
        <is>
          <t>↑</t>
        </is>
      </c>
      <c r="F18" s="61" t="inlineStr">
        <is>
          <t>AVG</t>
        </is>
      </c>
      <c r="G18" s="75" t="n">
        <v>0.8</v>
      </c>
      <c r="H18" s="63" t="inlineStr">
        <is>
          <t>≥ 80%</t>
        </is>
      </c>
      <c r="I18" s="74" t="n"/>
      <c r="J18" s="74" t="n"/>
      <c r="K18" s="74" t="n"/>
      <c r="L18" s="74" t="n"/>
      <c r="M18" s="74" t="n"/>
      <c r="N18" s="74" t="n"/>
      <c r="O18" s="74" t="n"/>
      <c r="P18" s="74" t="n"/>
      <c r="Q18" s="74" t="n"/>
      <c r="R18" s="74" t="n"/>
      <c r="S18" s="74" t="n"/>
      <c r="T18" s="74" t="n"/>
      <c r="U18" s="60">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تعزيز تجربة العملاء</t>
        </is>
      </c>
      <c r="Z18" s="54" t="n"/>
      <c r="AA18" s="21" t="inlineStr">
        <is>
          <t>🟣 لاحق</t>
        </is>
      </c>
      <c r="AB18" s="54" t="n">
        <v>0.0625</v>
      </c>
      <c r="AC18" s="23">
        <f>IF($V18="","",$AB18*MIN($V18,1))</f>
        <v/>
      </c>
      <c r="AD18" s="75">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9" t="inlineStr">
        <is>
          <t>العملاء</t>
        </is>
      </c>
    </row>
    <row r="19" ht="26" customHeight="1">
      <c r="A19" s="17" t="n">
        <v>16</v>
      </c>
      <c r="B19" s="22" t="inlineStr">
        <is>
          <t>الجودة والاستدامة</t>
        </is>
      </c>
      <c r="C19" s="22" t="inlineStr">
        <is>
          <t>معدل رضا المستأجرين (استبيان ربعي)</t>
        </is>
      </c>
      <c r="D19" s="61" t="inlineStr">
        <is>
          <t>%</t>
        </is>
      </c>
      <c r="E19" s="61" t="inlineStr">
        <is>
          <t>↑</t>
        </is>
      </c>
      <c r="F19" s="61" t="inlineStr">
        <is>
          <t>AVG</t>
        </is>
      </c>
      <c r="G19" s="75" t="n">
        <v>0.9</v>
      </c>
      <c r="H19" s="63" t="inlineStr">
        <is>
          <t>≥ 90%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تعزيز تجربة العملاء</t>
        </is>
      </c>
      <c r="Z19" s="54" t="n"/>
      <c r="AA19" s="21" t="inlineStr">
        <is>
          <t>🟣 لاحق</t>
        </is>
      </c>
      <c r="AB19" s="54" t="n">
        <v>0.0625</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العملاء</t>
        </is>
      </c>
    </row>
    <row r="20">
      <c r="A20" s="81" t="inlineStr"/>
      <c r="B20" s="82" t="inlineStr">
        <is>
          <t>الإجمالي الموزون للإدارة</t>
        </is>
      </c>
      <c r="AB20" s="83">
        <f>SUM(AB4:AB19)</f>
        <v/>
      </c>
      <c r="AC20" s="84">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العقار · نموذج تقييم الأداء — مدير إدارة العقار</t>
        </is>
      </c>
    </row>
    <row r="2">
      <c r="A2" s="51" t="inlineStr">
        <is>
          <t>الكود: RM-01  ·  ربع سنوي  ·  🟩 أدخل «نسبة التحقيق» فقط — الدرجة تُحسب تلقائياً</t>
        </is>
      </c>
    </row>
    <row r="3">
      <c r="A3" s="86" t="inlineStr">
        <is>
          <t>اسم الموظف:</t>
        </is>
      </c>
      <c r="B3" s="52" t="inlineStr"/>
      <c r="C3" s="87" t="n"/>
      <c r="D3" s="86" t="inlineStr">
        <is>
          <t>القسم: العقار</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نمو الإيرادات الإيجارية</t>
        </is>
      </c>
      <c r="C7" s="75" t="n">
        <v>0.15</v>
      </c>
      <c r="D7" s="89" t="inlineStr">
        <is>
          <t>&gt; 8% سنوياً</t>
        </is>
      </c>
      <c r="E7" s="54" t="n"/>
      <c r="F7" s="23">
        <f>C7*MIN(E7,1)</f>
        <v/>
      </c>
      <c r="G7" s="52" t="inlineStr"/>
    </row>
    <row r="8" ht="28" customHeight="1">
      <c r="A8" s="17" t="n">
        <v>2</v>
      </c>
      <c r="B8" s="22" t="inlineStr">
        <is>
          <t>نسبة الإشغال</t>
        </is>
      </c>
      <c r="C8" s="75" t="n">
        <v>0.2</v>
      </c>
      <c r="D8" s="89" t="inlineStr">
        <is>
          <t>≥ 60%</t>
        </is>
      </c>
      <c r="E8" s="54" t="n"/>
      <c r="F8" s="23">
        <f>C8*MIN(E8,1)</f>
        <v/>
      </c>
      <c r="G8" s="52" t="inlineStr"/>
    </row>
    <row r="9" ht="28" customHeight="1">
      <c r="A9" s="17" t="n">
        <v>3</v>
      </c>
      <c r="B9" s="22" t="inlineStr">
        <is>
          <t>نسبة التحصيل</t>
        </is>
      </c>
      <c r="C9" s="75" t="n">
        <v>0.15</v>
      </c>
      <c r="D9" s="89" t="inlineStr">
        <is>
          <t>&gt; 95%</t>
        </is>
      </c>
      <c r="E9" s="54" t="n"/>
      <c r="F9" s="23">
        <f>C9*MIN(E9,1)</f>
        <v/>
      </c>
      <c r="G9" s="52" t="inlineStr"/>
    </row>
    <row r="10" ht="28" customHeight="1">
      <c r="A10" s="17" t="n">
        <v>4</v>
      </c>
      <c r="B10" s="22" t="inlineStr">
        <is>
          <t>الوحدات المؤجَّرة شهرياً</t>
        </is>
      </c>
      <c r="C10" s="75" t="n">
        <v>0.15</v>
      </c>
      <c r="D10" s="89" t="inlineStr">
        <is>
          <t>68 وحدة/شهر</t>
        </is>
      </c>
      <c r="E10" s="54" t="n"/>
      <c r="F10" s="23">
        <f>C10*MIN(E10,1)</f>
        <v/>
      </c>
      <c r="G10" s="52" t="inlineStr"/>
    </row>
    <row r="11" ht="28" customHeight="1">
      <c r="A11" s="17" t="n">
        <v>5</v>
      </c>
      <c r="B11" s="22" t="inlineStr">
        <is>
          <t>نسبة تأجير ساحة درب</t>
        </is>
      </c>
      <c r="C11" s="75" t="n">
        <v>0.1</v>
      </c>
      <c r="D11" s="89" t="inlineStr">
        <is>
          <t>≥ 80%</t>
        </is>
      </c>
      <c r="E11" s="54" t="n"/>
      <c r="F11" s="23">
        <f>C11*MIN(E11,1)</f>
        <v/>
      </c>
      <c r="G11" s="52" t="inlineStr"/>
    </row>
    <row r="12" ht="28" customHeight="1">
      <c r="A12" s="17" t="n">
        <v>6</v>
      </c>
      <c r="B12" s="22" t="inlineStr">
        <is>
          <t>نسبة تجديد العقود</t>
        </is>
      </c>
      <c r="C12" s="75" t="n">
        <v>0.1</v>
      </c>
      <c r="D12" s="89" t="inlineStr">
        <is>
          <t>100%</t>
        </is>
      </c>
      <c r="E12" s="54" t="n"/>
      <c r="F12" s="23">
        <f>C12*MIN(E12,1)</f>
        <v/>
      </c>
      <c r="G12" s="52" t="inlineStr"/>
    </row>
    <row r="13" ht="28" customHeight="1">
      <c r="A13" s="17" t="n">
        <v>7</v>
      </c>
      <c r="B13" s="22" t="inlineStr">
        <is>
          <t>استدامة المستأجرين</t>
        </is>
      </c>
      <c r="C13" s="75" t="n">
        <v>0.1</v>
      </c>
      <c r="D13" s="89" t="inlineStr">
        <is>
          <t>≥ 80%</t>
        </is>
      </c>
      <c r="E13" s="54" t="n"/>
      <c r="F13" s="23">
        <f>C13*MIN(E13,1)</f>
        <v/>
      </c>
      <c r="G13" s="52" t="inlineStr"/>
    </row>
    <row r="14" ht="28" customHeight="1">
      <c r="A14" s="17" t="n">
        <v>8</v>
      </c>
      <c r="B14" s="22" t="inlineStr">
        <is>
          <t>رضا المستأجرين</t>
        </is>
      </c>
      <c r="C14" s="75" t="n">
        <v>0.05</v>
      </c>
      <c r="D14" s="89" t="inlineStr">
        <is>
          <t>≥ 90%</t>
        </is>
      </c>
      <c r="E14" s="54" t="n"/>
      <c r="F14" s="23">
        <f>C14*MIN(E14,1)</f>
        <v/>
      </c>
      <c r="G14" s="52" t="inlineStr"/>
    </row>
    <row r="15">
      <c r="A15" s="81" t="inlineStr"/>
      <c r="B15" s="82" t="inlineStr">
        <is>
          <t>المجموع الكلي</t>
        </is>
      </c>
      <c r="C15" s="90">
        <f>SUM(C7:C14)</f>
        <v/>
      </c>
      <c r="D15" s="81" t="inlineStr"/>
      <c r="E15" s="82" t="inlineStr">
        <is>
          <t>الدرجة:</t>
        </is>
      </c>
      <c r="F15" s="91">
        <f>SUM(F7:F14)</f>
        <v/>
      </c>
      <c r="G15" s="81" t="inlineStr"/>
    </row>
    <row r="16">
      <c r="B16" s="5" t="inlineStr">
        <is>
          <t>التقدير</t>
        </is>
      </c>
      <c r="C16" s="26">
        <f>IF(F15&gt;=0.9,"ممتاز",IF(F15&gt;=0.8,"جيد جداً",IF(F15&gt;=0.7,"جيد",IF(F15&gt;=0.6,"مقبول","ضعيف"))))</f>
        <v/>
      </c>
      <c r="D16" s="44" t="n"/>
    </row>
    <row r="18">
      <c r="B18" s="5" t="inlineStr">
        <is>
          <t>سلّم التقييم</t>
        </is>
      </c>
      <c r="C18" s="43" t="n"/>
      <c r="D18" s="44"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الرقمية · مؤشرات الأداء 2026  (8 مؤشرات) — تانكي والتحول التقني</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منتج تانكي</t>
        </is>
      </c>
      <c r="C4" s="22" t="inlineStr">
        <is>
          <t>عدد مستخدمي تطبيق «تانكي» النشطين شهرياً (MAU)</t>
        </is>
      </c>
      <c r="D4" s="61" t="inlineStr">
        <is>
          <t>مستخدم</t>
        </is>
      </c>
      <c r="E4" s="61" t="inlineStr">
        <is>
          <t>↑</t>
        </is>
      </c>
      <c r="F4" s="61" t="inlineStr">
        <is>
          <t>LAST</t>
        </is>
      </c>
      <c r="G4" s="61" t="inlineStr"/>
      <c r="H4" s="63" t="inlineStr">
        <is>
          <t>يُحدد لاحقاً</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الابتكار</t>
        </is>
      </c>
      <c r="Y4" s="22" t="inlineStr">
        <is>
          <t>تطبيق «تانكي»</t>
        </is>
      </c>
      <c r="Z4" s="67" t="n"/>
      <c r="AA4" s="21" t="inlineStr">
        <is>
          <t>🔵 قائد</t>
        </is>
      </c>
      <c r="AB4" s="54" t="n">
        <v>0.125</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التعلّم والنمو</t>
        </is>
      </c>
    </row>
    <row r="5" ht="26" customHeight="1">
      <c r="A5" s="17" t="n">
        <v>2</v>
      </c>
      <c r="B5" s="22" t="inlineStr">
        <is>
          <t>منتج تانكي</t>
        </is>
      </c>
      <c r="C5" s="22" t="inlineStr">
        <is>
          <t>نمو تنزيلات تطبيق تانكي</t>
        </is>
      </c>
      <c r="D5" s="61" t="inlineStr">
        <is>
          <t>%</t>
        </is>
      </c>
      <c r="E5" s="61" t="inlineStr">
        <is>
          <t>↑</t>
        </is>
      </c>
      <c r="F5" s="61" t="inlineStr">
        <is>
          <t>AVG</t>
        </is>
      </c>
      <c r="G5" s="61" t="inlineStr"/>
      <c r="H5" s="63" t="inlineStr">
        <is>
          <t>يُحدد لاحقاً</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الابتكار</t>
        </is>
      </c>
      <c r="Y5" s="22" t="inlineStr">
        <is>
          <t>تطبيق «تانكي»</t>
        </is>
      </c>
      <c r="Z5" s="54" t="n"/>
      <c r="AA5" s="21" t="inlineStr">
        <is>
          <t>🔵 قائد</t>
        </is>
      </c>
      <c r="AB5" s="54" t="n">
        <v>0.125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التعلّم والنمو</t>
        </is>
      </c>
    </row>
    <row r="6" ht="26" customHeight="1">
      <c r="A6" s="17" t="n">
        <v>3</v>
      </c>
      <c r="B6" s="22" t="inlineStr">
        <is>
          <t>منتج تانكي</t>
        </is>
      </c>
      <c r="C6" s="22" t="inlineStr">
        <is>
          <t>نسبة المعاملات الرقمية عبر تانكي</t>
        </is>
      </c>
      <c r="D6" s="61" t="inlineStr">
        <is>
          <t>%</t>
        </is>
      </c>
      <c r="E6" s="61" t="inlineStr">
        <is>
          <t>↑</t>
        </is>
      </c>
      <c r="F6" s="61" t="inlineStr">
        <is>
          <t>AVG</t>
        </is>
      </c>
      <c r="G6" s="61" t="inlineStr"/>
      <c r="H6" s="63" t="inlineStr">
        <is>
          <t>يُحدد لاحقاً</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الابتكار</t>
        </is>
      </c>
      <c r="Y6" s="22" t="inlineStr">
        <is>
          <t>تطبيق «تانكي»</t>
        </is>
      </c>
      <c r="Z6" s="54" t="n"/>
      <c r="AA6" s="21" t="inlineStr">
        <is>
          <t>🟣 لاحق</t>
        </is>
      </c>
      <c r="AB6" s="54" t="n">
        <v>0.125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التعلّم والنمو</t>
        </is>
      </c>
    </row>
    <row r="7" ht="26" customHeight="1">
      <c r="A7" s="17" t="n">
        <v>4</v>
      </c>
      <c r="B7" s="22" t="inlineStr">
        <is>
          <t>منتج تانكي</t>
        </is>
      </c>
      <c r="C7" s="22" t="inlineStr">
        <is>
          <t>معدل رضا مستخدمي تطبيق تانكي</t>
        </is>
      </c>
      <c r="D7" s="61" t="inlineStr">
        <is>
          <t>نجمة/5</t>
        </is>
      </c>
      <c r="E7" s="61" t="inlineStr">
        <is>
          <t>↑</t>
        </is>
      </c>
      <c r="F7" s="61" t="inlineStr">
        <is>
          <t>AVG</t>
        </is>
      </c>
      <c r="G7" s="76" t="n">
        <v>4.5</v>
      </c>
      <c r="H7" s="63" t="inlineStr">
        <is>
          <t>≥ 4.5</t>
        </is>
      </c>
      <c r="I7" s="77" t="n"/>
      <c r="J7" s="77" t="n"/>
      <c r="K7" s="77" t="n"/>
      <c r="L7" s="77" t="n"/>
      <c r="M7" s="77" t="n"/>
      <c r="N7" s="77" t="n"/>
      <c r="O7" s="77" t="n"/>
      <c r="P7" s="77" t="n"/>
      <c r="Q7" s="77" t="n"/>
      <c r="R7" s="77" t="n"/>
      <c r="S7" s="77" t="n"/>
      <c r="T7" s="77" t="n"/>
      <c r="U7" s="78">
        <f>IF($F7="SUM",IF(COUNT($I7:$T7)=0,"",SUM($I7:$T7)),IF($F7="AVG",IFERROR(AVERAGE($I7:$T7),""),IF($F7="LAST",IFERROR(LOOKUP(2,1/($I7:$T7&lt;&gt;""),$I7:$T7),""),"")))</f>
        <v/>
      </c>
      <c r="V7" s="23">
        <f>IF($G7="","",IF($U7="","",IF($G7=0,IF($U7&lt;=0,1,0),IF($E7="↓",IFERROR($G7/$U7,0),IFERROR($U7/$G7,0)))))</f>
        <v/>
      </c>
      <c r="W7" s="17">
        <f>IF($V7="","—",IF($V7&gt;=1,"✅ محقق",IF($V7&gt;=0.85,"🟡 قريب","🔴 تحت الهدف")))</f>
        <v/>
      </c>
      <c r="X7" s="66" t="inlineStr">
        <is>
          <t>الابتكار</t>
        </is>
      </c>
      <c r="Y7" s="22" t="inlineStr">
        <is>
          <t>تطبيق «تانكي»</t>
        </is>
      </c>
      <c r="Z7" s="79" t="n"/>
      <c r="AA7" s="21" t="inlineStr">
        <is>
          <t>🟣 لاحق</t>
        </is>
      </c>
      <c r="AB7" s="54" t="n">
        <v>0.125</v>
      </c>
      <c r="AC7" s="23">
        <f>IF($V7="","",$AB7*MIN($V7,1))</f>
        <v/>
      </c>
      <c r="AD7" s="76">
        <f>IF($G7="","",IF($F7="SUM",IF('لوحة الإدارة التنفيذية'!$P$2="","",$G7/12*'لوحة الإدارة التنفيذية'!$P$2),$G7))</f>
        <v/>
      </c>
      <c r="AE7" s="80">
        <f>IF($F7="SUM",IF(OR('لوحة الإدارة التنفيذية'!$P$2="",'لوحة الإدارة التنفيذية'!$P$2=0),"",IF($U7="","",$U7/'لوحة الإدارة التنفيذية'!$P$2*12)),IF($U7="","",$U7))</f>
        <v/>
      </c>
      <c r="AF7" s="76">
        <f>IF(OR($AE7="",$G7=""),"",$AE7-$G7)</f>
        <v/>
      </c>
      <c r="AG7" s="17">
        <f>IF(OR($AE7="",$G7=""),"—",IF($E7="↓",IF($AE7&lt;=$G7,"🟢 على المسار",IF($AE7&lt;=$G7*1.1,"🟡 متابعة","🔴 خطر")),IF($AE7&gt;=$G7,"🟢 على المسار",IF($AE7&gt;=$G7*0.85,"🟡 متابعة","🔴 خطر"))))</f>
        <v/>
      </c>
      <c r="AH7" s="69" t="inlineStr">
        <is>
          <t>التعلّم والنمو</t>
        </is>
      </c>
    </row>
    <row r="8" ht="26" customHeight="1">
      <c r="A8" s="17" t="n">
        <v>5</v>
      </c>
      <c r="B8" s="22" t="inlineStr">
        <is>
          <t>التحول التقني</t>
        </is>
      </c>
      <c r="C8" s="22" t="inlineStr">
        <is>
          <t>نسبة أتمتة العمليات الأساسية (شركة)</t>
        </is>
      </c>
      <c r="D8" s="61" t="inlineStr">
        <is>
          <t>%</t>
        </is>
      </c>
      <c r="E8" s="61" t="inlineStr">
        <is>
          <t>↑</t>
        </is>
      </c>
      <c r="F8" s="61" t="inlineStr">
        <is>
          <t>LAST</t>
        </is>
      </c>
      <c r="G8" s="61" t="inlineStr"/>
      <c r="H8" s="63" t="inlineStr">
        <is>
          <t>يُحدد لاحقاً</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الابتكار</t>
        </is>
      </c>
      <c r="Y8" s="22" t="inlineStr">
        <is>
          <t>التحول التقني</t>
        </is>
      </c>
      <c r="Z8" s="54" t="n"/>
      <c r="AA8" s="21" t="inlineStr">
        <is>
          <t>🟣 لاحق</t>
        </is>
      </c>
      <c r="AB8" s="54" t="n">
        <v>0.125</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التعلّم والنمو</t>
        </is>
      </c>
    </row>
    <row r="9" ht="26" customHeight="1">
      <c r="A9" s="17" t="n">
        <v>6</v>
      </c>
      <c r="B9" s="22" t="inlineStr">
        <is>
          <t>التحول التقني</t>
        </is>
      </c>
      <c r="C9" s="22" t="inlineStr">
        <is>
          <t>نسبة جاهزية الأنظمة (Uptime)</t>
        </is>
      </c>
      <c r="D9" s="61" t="inlineStr">
        <is>
          <t>%</t>
        </is>
      </c>
      <c r="E9" s="61" t="inlineStr">
        <is>
          <t>↑</t>
        </is>
      </c>
      <c r="F9" s="61" t="inlineStr">
        <is>
          <t>AVG</t>
        </is>
      </c>
      <c r="G9" s="75" t="n">
        <v>0.995</v>
      </c>
      <c r="H9" s="63" t="inlineStr">
        <is>
          <t>≥ 99.5%</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الابتكار</t>
        </is>
      </c>
      <c r="Y9" s="22" t="inlineStr">
        <is>
          <t>التحول التقني</t>
        </is>
      </c>
      <c r="Z9" s="54" t="n"/>
      <c r="AA9" s="21" t="inlineStr">
        <is>
          <t>🟣 لاحق</t>
        </is>
      </c>
      <c r="AB9" s="54" t="n">
        <v>0.125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التحول التقني</t>
        </is>
      </c>
      <c r="C10" s="22" t="inlineStr">
        <is>
          <t>متوسط زمن حل أعطال الأنظمة</t>
        </is>
      </c>
      <c r="D10" s="61" t="inlineStr">
        <is>
          <t>ساعة</t>
        </is>
      </c>
      <c r="E10" s="61" t="inlineStr">
        <is>
          <t>↓</t>
        </is>
      </c>
      <c r="F10" s="61" t="inlineStr">
        <is>
          <t>AVG</t>
        </is>
      </c>
      <c r="G10" s="76" t="n">
        <v>4</v>
      </c>
      <c r="H10" s="63" t="inlineStr">
        <is>
          <t>≤ 4 ساعات</t>
        </is>
      </c>
      <c r="I10" s="77" t="n"/>
      <c r="J10" s="77" t="n"/>
      <c r="K10" s="77" t="n"/>
      <c r="L10" s="77" t="n"/>
      <c r="M10" s="77" t="n"/>
      <c r="N10" s="77" t="n"/>
      <c r="O10" s="77" t="n"/>
      <c r="P10" s="77" t="n"/>
      <c r="Q10" s="77" t="n"/>
      <c r="R10" s="77" t="n"/>
      <c r="S10" s="77" t="n"/>
      <c r="T10" s="77" t="n"/>
      <c r="U10" s="78">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الابتكار</t>
        </is>
      </c>
      <c r="Y10" s="22" t="inlineStr">
        <is>
          <t>التحول التقني</t>
        </is>
      </c>
      <c r="Z10" s="79" t="n"/>
      <c r="AA10" s="21" t="inlineStr">
        <is>
          <t>🟣 لاحق</t>
        </is>
      </c>
      <c r="AB10" s="54" t="n">
        <v>0.125</v>
      </c>
      <c r="AC10" s="23">
        <f>IF($V10="","",$AB10*MIN($V10,1))</f>
        <v/>
      </c>
      <c r="AD10" s="76">
        <f>IF($G10="","",IF($F10="SUM",IF('لوحة الإدارة التنفيذية'!$P$2="","",$G10/12*'لوحة الإدارة التنفيذية'!$P$2),$G10))</f>
        <v/>
      </c>
      <c r="AE10" s="80">
        <f>IF($F10="SUM",IF(OR('لوحة الإدارة التنفيذية'!$P$2="",'لوحة الإدارة التنفيذية'!$P$2=0),"",IF($U10="","",$U10/'لوحة الإدارة التنفيذية'!$P$2*12)),IF($U10="","",$U10))</f>
        <v/>
      </c>
      <c r="AF10" s="76">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التحول التقني</t>
        </is>
      </c>
      <c r="C11" s="22" t="inlineStr">
        <is>
          <t>نسبة المشاريع التقنية المنجزة في الوقت</t>
        </is>
      </c>
      <c r="D11" s="61" t="inlineStr">
        <is>
          <t>%</t>
        </is>
      </c>
      <c r="E11" s="61" t="inlineStr">
        <is>
          <t>↑</t>
        </is>
      </c>
      <c r="F11" s="61" t="inlineStr">
        <is>
          <t>AVG</t>
        </is>
      </c>
      <c r="G11" s="75" t="n">
        <v>0.9</v>
      </c>
      <c r="H11" s="63" t="inlineStr">
        <is>
          <t>≥ 90%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الابتكار</t>
        </is>
      </c>
      <c r="Y11" s="22" t="inlineStr">
        <is>
          <t>التحول التقني</t>
        </is>
      </c>
      <c r="Z11" s="54" t="n"/>
      <c r="AA11" s="21" t="inlineStr">
        <is>
          <t>🟣 لاحق</t>
        </is>
      </c>
      <c r="AB11" s="54" t="n">
        <v>0.125</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c r="A12" s="81" t="inlineStr"/>
      <c r="B12" s="82" t="inlineStr">
        <is>
          <t>الإجمالي الموزون للإدارة</t>
        </is>
      </c>
      <c r="AB12" s="83">
        <f>SUM(AB4:AB11)</f>
        <v/>
      </c>
      <c r="AC12" s="84">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التقنية الرقمية · نموذج تقييم الأداء — مدير إدارة التقنية الرقمية</t>
        </is>
      </c>
    </row>
    <row r="2">
      <c r="A2" s="51" t="inlineStr">
        <is>
          <t>الكود: DM-01  ·  ربع سنوي  ·  🟩 أدخل «نسبة التحقيق» فقط — الدرجة تُحسب تلقائياً</t>
        </is>
      </c>
    </row>
    <row r="3">
      <c r="A3" s="86" t="inlineStr">
        <is>
          <t>اسم الموظف:</t>
        </is>
      </c>
      <c r="B3" s="52" t="inlineStr"/>
      <c r="C3" s="87" t="n"/>
      <c r="D3" s="86" t="inlineStr">
        <is>
          <t>القسم: التقنية الرقمية</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مستخدمو تطبيق تانكي (MAU)</t>
        </is>
      </c>
      <c r="C7" s="75" t="n">
        <v>0.2</v>
      </c>
      <c r="D7" s="89" t="inlineStr">
        <is>
          <t>مستهدف تصاعدي</t>
        </is>
      </c>
      <c r="E7" s="54" t="n"/>
      <c r="F7" s="23">
        <f>C7*MIN(E7,1)</f>
        <v/>
      </c>
      <c r="G7" s="52" t="inlineStr"/>
    </row>
    <row r="8" ht="28" customHeight="1">
      <c r="A8" s="17" t="n">
        <v>2</v>
      </c>
      <c r="B8" s="22" t="inlineStr">
        <is>
          <t>نسبة المعاملات الرقمية</t>
        </is>
      </c>
      <c r="C8" s="75" t="n">
        <v>0.15</v>
      </c>
      <c r="D8" s="89" t="inlineStr">
        <is>
          <t>تصاعدي</t>
        </is>
      </c>
      <c r="E8" s="54" t="n"/>
      <c r="F8" s="23">
        <f>C8*MIN(E8,1)</f>
        <v/>
      </c>
      <c r="G8" s="52" t="inlineStr"/>
    </row>
    <row r="9" ht="28" customHeight="1">
      <c r="A9" s="17" t="n">
        <v>3</v>
      </c>
      <c r="B9" s="22" t="inlineStr">
        <is>
          <t>نسبة الأتمتة على مستوى الشركة</t>
        </is>
      </c>
      <c r="C9" s="75" t="n">
        <v>0.2</v>
      </c>
      <c r="D9" s="89" t="inlineStr">
        <is>
          <t>≥ 90%</t>
        </is>
      </c>
      <c r="E9" s="54" t="n"/>
      <c r="F9" s="23">
        <f>C9*MIN(E9,1)</f>
        <v/>
      </c>
      <c r="G9" s="52" t="inlineStr"/>
    </row>
    <row r="10" ht="28" customHeight="1">
      <c r="A10" s="17" t="n">
        <v>4</v>
      </c>
      <c r="B10" s="22" t="inlineStr">
        <is>
          <t>جاهزية الأنظمة (Uptime)</t>
        </is>
      </c>
      <c r="C10" s="75" t="n">
        <v>0.15</v>
      </c>
      <c r="D10" s="89" t="inlineStr">
        <is>
          <t>≥ 99.5%</t>
        </is>
      </c>
      <c r="E10" s="54" t="n"/>
      <c r="F10" s="23">
        <f>C10*MIN(E10,1)</f>
        <v/>
      </c>
      <c r="G10" s="52" t="inlineStr"/>
    </row>
    <row r="11" ht="28" customHeight="1">
      <c r="A11" s="17" t="n">
        <v>5</v>
      </c>
      <c r="B11" s="22" t="inlineStr">
        <is>
          <t>متوسط زمن حل الأعطال</t>
        </is>
      </c>
      <c r="C11" s="75" t="n">
        <v>0.1</v>
      </c>
      <c r="D11" s="89" t="inlineStr">
        <is>
          <t>≤ 4 ساعات</t>
        </is>
      </c>
      <c r="E11" s="54" t="n"/>
      <c r="F11" s="23">
        <f>C11*MIN(E11,1)</f>
        <v/>
      </c>
      <c r="G11" s="52" t="inlineStr"/>
    </row>
    <row r="12" ht="28" customHeight="1">
      <c r="A12" s="17" t="n">
        <v>6</v>
      </c>
      <c r="B12" s="22" t="inlineStr">
        <is>
          <t>المشاريع التقنية المنجزة في الوقت</t>
        </is>
      </c>
      <c r="C12" s="75" t="n">
        <v>0.15</v>
      </c>
      <c r="D12" s="89" t="inlineStr">
        <is>
          <t>≥ 90%</t>
        </is>
      </c>
      <c r="E12" s="54" t="n"/>
      <c r="F12" s="23">
        <f>C12*MIN(E12,1)</f>
        <v/>
      </c>
      <c r="G12" s="52" t="inlineStr"/>
    </row>
    <row r="13" ht="28" customHeight="1">
      <c r="A13" s="17" t="n">
        <v>7</v>
      </c>
      <c r="B13" s="22" t="inlineStr">
        <is>
          <t>رضا المستخدمين عن الأنظمة</t>
        </is>
      </c>
      <c r="C13" s="75" t="n">
        <v>0.05</v>
      </c>
      <c r="D13" s="89" t="inlineStr">
        <is>
          <t>≥ 4.5</t>
        </is>
      </c>
      <c r="E13" s="54" t="n"/>
      <c r="F13" s="23">
        <f>C13*MIN(E13,1)</f>
        <v/>
      </c>
      <c r="G13" s="52" t="inlineStr"/>
    </row>
    <row r="14">
      <c r="A14" s="81" t="inlineStr"/>
      <c r="B14" s="82" t="inlineStr">
        <is>
          <t>المجموع الكلي</t>
        </is>
      </c>
      <c r="C14" s="90">
        <f>SUM(C7:C13)</f>
        <v/>
      </c>
      <c r="D14" s="81" t="inlineStr"/>
      <c r="E14" s="82" t="inlineStr">
        <is>
          <t>الدرجة:</t>
        </is>
      </c>
      <c r="F14" s="91">
        <f>SUM(F7:F13)</f>
        <v/>
      </c>
      <c r="G14" s="81" t="inlineStr"/>
    </row>
    <row r="15">
      <c r="B15" s="5" t="inlineStr">
        <is>
          <t>التقدير</t>
        </is>
      </c>
      <c r="C15" s="26">
        <f>IF(F14&gt;=0.9,"ممتاز",IF(F14&gt;=0.8,"جيد جداً",IF(F14&gt;=0.7,"جيد",IF(F14&gt;=0.6,"مقبول","ضعيف"))))</f>
        <v/>
      </c>
      <c r="D15" s="44" t="n"/>
    </row>
    <row r="17">
      <c r="B17" s="5" t="inlineStr">
        <is>
          <t>سلّم التقييم</t>
        </is>
      </c>
      <c r="C17" s="43" t="n"/>
      <c r="D17" s="44"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(8 مؤشرات) — الاستثمار في الموظفين</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الاستبقاء</t>
        </is>
      </c>
      <c r="C4" s="22" t="inlineStr">
        <is>
          <t>معدل استبقاء الموظفين (Retention)</t>
        </is>
      </c>
      <c r="D4" s="61" t="inlineStr">
        <is>
          <t>%</t>
        </is>
      </c>
      <c r="E4" s="61" t="inlineStr">
        <is>
          <t>↑</t>
        </is>
      </c>
      <c r="F4" s="61" t="inlineStr">
        <is>
          <t>LAST</t>
        </is>
      </c>
      <c r="G4" s="75" t="n">
        <v>0.9</v>
      </c>
      <c r="H4" s="63" t="inlineStr">
        <is>
          <t>≥ 90%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is>
          <t>الاستدامة</t>
        </is>
      </c>
      <c r="Y4" s="22" t="inlineStr">
        <is>
          <t>الاستثمار في الموظفين</t>
        </is>
      </c>
      <c r="Z4" s="54" t="n"/>
      <c r="AA4" s="21" t="inlineStr">
        <is>
          <t>🟣 لاحق</t>
        </is>
      </c>
      <c r="AB4" s="54" t="n">
        <v>0.125</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التعلّم والنمو</t>
        </is>
      </c>
    </row>
    <row r="5" ht="26" customHeight="1">
      <c r="A5" s="17" t="n">
        <v>2</v>
      </c>
      <c r="B5" s="22" t="inlineStr">
        <is>
          <t>الاستبقاء</t>
        </is>
      </c>
      <c r="C5" s="22" t="inlineStr">
        <is>
          <t>معدل دوران الموظفين (Turnover)</t>
        </is>
      </c>
      <c r="D5" s="61" t="inlineStr">
        <is>
          <t>%</t>
        </is>
      </c>
      <c r="E5" s="61" t="inlineStr">
        <is>
          <t>↓</t>
        </is>
      </c>
      <c r="F5" s="61" t="inlineStr">
        <is>
          <t>AVG</t>
        </is>
      </c>
      <c r="G5" s="75" t="n">
        <v>0.1</v>
      </c>
      <c r="H5" s="63" t="inlineStr">
        <is>
          <t>≤ 10%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الاستدامة</t>
        </is>
      </c>
      <c r="Y5" s="22" t="inlineStr">
        <is>
          <t>الاستثمار في الموظفين</t>
        </is>
      </c>
      <c r="Z5" s="54" t="n"/>
      <c r="AA5" s="21" t="inlineStr">
        <is>
          <t>🟣 لاحق</t>
        </is>
      </c>
      <c r="AB5" s="54" t="n">
        <v>0.125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التعلّم والنمو</t>
        </is>
      </c>
    </row>
    <row r="6" ht="26" customHeight="1">
      <c r="A6" s="17" t="n">
        <v>3</v>
      </c>
      <c r="B6" s="22" t="inlineStr">
        <is>
          <t>التطوير</t>
        </is>
      </c>
      <c r="C6" s="22" t="inlineStr">
        <is>
          <t>متوسط ساعات التدريب لكل موظف</t>
        </is>
      </c>
      <c r="D6" s="61" t="inlineStr">
        <is>
          <t>ساعة</t>
        </is>
      </c>
      <c r="E6" s="61" t="inlineStr">
        <is>
          <t>↑</t>
        </is>
      </c>
      <c r="F6" s="61" t="inlineStr">
        <is>
          <t>SUM</t>
        </is>
      </c>
      <c r="G6" s="76" t="n">
        <v>40</v>
      </c>
      <c r="H6" s="63" t="inlineStr">
        <is>
          <t>≥ 40 ساعة</t>
        </is>
      </c>
      <c r="I6" s="77" t="n"/>
      <c r="J6" s="77" t="n"/>
      <c r="K6" s="77" t="n"/>
      <c r="L6" s="77" t="n"/>
      <c r="M6" s="77" t="n"/>
      <c r="N6" s="77" t="n"/>
      <c r="O6" s="77" t="n"/>
      <c r="P6" s="77" t="n"/>
      <c r="Q6" s="77" t="n"/>
      <c r="R6" s="77" t="n"/>
      <c r="S6" s="77" t="n"/>
      <c r="T6" s="77" t="n"/>
      <c r="U6" s="78">
        <f>IF($F6="SUM",IF(COUNT($I6:$T6)=0,"",SUM($I6:$T6)),IF($F6="AVG",IFERROR(AVERAGE($I6:$T6),""),IF($F6="LAST",IFERROR(LOOKUP(2,1/($I6:$T6&lt;&gt;""),$I6:$T6),""),"")))</f>
        <v/>
      </c>
      <c r="V6" s="23">
        <f>IF($G6="","",IF($U6="","",IF($G6=0,IF($U6&lt;=0,1,0),IF($E6="↓",IFERROR($G6/$U6,0),IFERROR($U6/$G6,0)))))</f>
        <v/>
      </c>
      <c r="W6" s="17">
        <f>IF($V6="","—",IF($V6&gt;=1,"✅ محقق",IF($V6&gt;=0.85,"🟡 قريب","🔴 تحت الهدف")))</f>
        <v/>
      </c>
      <c r="X6" s="66" t="inlineStr">
        <is>
          <t>الاستدامة</t>
        </is>
      </c>
      <c r="Y6" s="22" t="inlineStr">
        <is>
          <t>الاستثمار في الموظفين</t>
        </is>
      </c>
      <c r="Z6" s="79" t="n"/>
      <c r="AA6" s="21" t="inlineStr">
        <is>
          <t>🔵 قائد</t>
        </is>
      </c>
      <c r="AB6" s="54" t="n">
        <v>0.125</v>
      </c>
      <c r="AC6" s="23">
        <f>IF($V6="","",$AB6*MIN($V6,1))</f>
        <v/>
      </c>
      <c r="AD6" s="76">
        <f>IF($G6="","",IF($F6="SUM",IF('لوحة الإدارة التنفيذية'!$P$2="","",$G6/12*'لوحة الإدارة التنفيذية'!$P$2),$G6))</f>
        <v/>
      </c>
      <c r="AE6" s="80">
        <f>IF($F6="SUM",IF(OR('لوحة الإدارة التنفيذية'!$P$2="",'لوحة الإدارة التنفيذية'!$P$2=0),"",IF($U6="","",$U6/'لوحة الإدارة التنفيذية'!$P$2*12)),IF($U6="","",$U6))</f>
        <v/>
      </c>
      <c r="AF6" s="76">
        <f>IF(OR($AE6="",$G6=""),"",$AE6-$G6)</f>
        <v/>
      </c>
      <c r="AG6" s="17">
        <f>IF(OR($AE6="",$G6=""),"—",IF($E6="↓",IF($AE6&lt;=$G6,"🟢 على المسار",IF($AE6&lt;=$G6*1.1,"🟡 متابعة","🔴 خطر")),IF($AE6&gt;=$G6,"🟢 على المسار",IF($AE6&gt;=$G6*0.85,"🟡 متابعة","🔴 خطر"))))</f>
        <v/>
      </c>
      <c r="AH6" s="69" t="inlineStr">
        <is>
          <t>التعلّم والنمو</t>
        </is>
      </c>
    </row>
    <row r="7" ht="26" customHeight="1">
      <c r="A7" s="17" t="n">
        <v>4</v>
      </c>
      <c r="B7" s="22" t="inlineStr">
        <is>
          <t>التطوير</t>
        </is>
      </c>
      <c r="C7" s="22" t="inlineStr">
        <is>
          <t>نسبة الموظفين المشمولين بخطة تطوير</t>
        </is>
      </c>
      <c r="D7" s="61" t="inlineStr">
        <is>
          <t>%</t>
        </is>
      </c>
      <c r="E7" s="61" t="inlineStr">
        <is>
          <t>↑</t>
        </is>
      </c>
      <c r="F7" s="61" t="inlineStr">
        <is>
          <t>LAST</t>
        </is>
      </c>
      <c r="G7" s="75" t="n">
        <v>0.8</v>
      </c>
      <c r="H7" s="63" t="inlineStr">
        <is>
          <t>≥ 80%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الاستدامة</t>
        </is>
      </c>
      <c r="Y7" s="22" t="inlineStr">
        <is>
          <t>الاستثمار في الموظفين</t>
        </is>
      </c>
      <c r="Z7" s="54" t="n"/>
      <c r="AA7" s="21" t="inlineStr">
        <is>
          <t>🟣 لاحق</t>
        </is>
      </c>
      <c r="AB7" s="54" t="n">
        <v>0.125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التعلّم والنمو</t>
        </is>
      </c>
    </row>
    <row r="8" ht="26" customHeight="1">
      <c r="A8" s="17" t="n">
        <v>5</v>
      </c>
      <c r="B8" s="22" t="inlineStr">
        <is>
          <t>الرضا والانتماء</t>
        </is>
      </c>
      <c r="C8" s="22" t="inlineStr">
        <is>
          <t>مؤشر رضا الموظفين (eNPS)</t>
        </is>
      </c>
      <c r="D8" s="61" t="inlineStr">
        <is>
          <t>نقطة</t>
        </is>
      </c>
      <c r="E8" s="61" t="inlineStr">
        <is>
          <t>↑</t>
        </is>
      </c>
      <c r="F8" s="61" t="inlineStr">
        <is>
          <t>AVG</t>
        </is>
      </c>
      <c r="G8" s="76" t="n">
        <v>30</v>
      </c>
      <c r="H8" s="63" t="inlineStr">
        <is>
          <t>≥ 30</t>
        </is>
      </c>
      <c r="I8" s="77" t="n"/>
      <c r="J8" s="77" t="n"/>
      <c r="K8" s="77" t="n"/>
      <c r="L8" s="77" t="n"/>
      <c r="M8" s="77" t="n"/>
      <c r="N8" s="77" t="n"/>
      <c r="O8" s="77" t="n"/>
      <c r="P8" s="77" t="n"/>
      <c r="Q8" s="77" t="n"/>
      <c r="R8" s="77" t="n"/>
      <c r="S8" s="77" t="n"/>
      <c r="T8" s="77" t="n"/>
      <c r="U8" s="78">
        <f>IF($F8="SUM",IF(COUNT($I8:$T8)=0,"",SUM($I8:$T8)),IF($F8="AVG",IFERROR(AVERAGE($I8:$T8),""),IF($F8="LAST",IFERROR(LOOKUP(2,1/($I8:$T8&lt;&gt;""),$I8:$T8),""),"")))</f>
        <v/>
      </c>
      <c r="V8" s="23">
        <f>IF($G8="","",IF($U8="","",IF($G8=0,IF($U8&lt;=0,1,0),IF($E8="↓",IFERROR($G8/$U8,0),IFERROR($U8/$G8,0)))))</f>
        <v/>
      </c>
      <c r="W8" s="17">
        <f>IF($V8="","—",IF($V8&gt;=1,"✅ محقق",IF($V8&gt;=0.85,"🟡 قريب","🔴 تحت الهدف")))</f>
        <v/>
      </c>
      <c r="X8" s="66" t="inlineStr">
        <is>
          <t>الاستدامة</t>
        </is>
      </c>
      <c r="Y8" s="22" t="inlineStr">
        <is>
          <t>الاستثمار في الموظفين</t>
        </is>
      </c>
      <c r="Z8" s="79" t="n"/>
      <c r="AA8" s="21" t="inlineStr">
        <is>
          <t>🟣 لاحق</t>
        </is>
      </c>
      <c r="AB8" s="54" t="n">
        <v>0.125</v>
      </c>
      <c r="AC8" s="23">
        <f>IF($V8="","",$AB8*MIN($V8,1))</f>
        <v/>
      </c>
      <c r="AD8" s="76">
        <f>IF($G8="","",IF($F8="SUM",IF('لوحة الإدارة التنفيذية'!$P$2="","",$G8/12*'لوحة الإدارة التنفيذية'!$P$2),$G8))</f>
        <v/>
      </c>
      <c r="AE8" s="80">
        <f>IF($F8="SUM",IF(OR('لوحة الإدارة التنفيذية'!$P$2="",'لوحة الإدارة التنفيذية'!$P$2=0),"",IF($U8="","",$U8/'لوحة الإدارة التنفيذية'!$P$2*12)),IF($U8="","",$U8))</f>
        <v/>
      </c>
      <c r="AF8" s="76">
        <f>IF(OR($AE8="",$G8=""),"",$AE8-$G8)</f>
        <v/>
      </c>
      <c r="AG8" s="17">
        <f>IF(OR($AE8="",$G8=""),"—",IF($E8="↓",IF($AE8&lt;=$G8,"🟢 على المسار",IF($AE8&lt;=$G8*1.1,"🟡 متابعة","🔴 خطر")),IF($AE8&gt;=$G8,"🟢 على المسار",IF($AE8&gt;=$G8*0.85,"🟡 متابعة","🔴 خطر"))))</f>
        <v/>
      </c>
      <c r="AH8" s="69" t="inlineStr">
        <is>
          <t>التعلّم والنمو</t>
        </is>
      </c>
    </row>
    <row r="9" ht="26" customHeight="1">
      <c r="A9" s="17" t="n">
        <v>6</v>
      </c>
      <c r="B9" s="22" t="inlineStr">
        <is>
          <t>الاستقطاب</t>
        </is>
      </c>
      <c r="C9" s="22" t="inlineStr">
        <is>
          <t>نسبة شغل الشواغر خلال 30 يوم</t>
        </is>
      </c>
      <c r="D9" s="61" t="inlineStr">
        <is>
          <t>%</t>
        </is>
      </c>
      <c r="E9" s="61" t="inlineStr">
        <is>
          <t>↑</t>
        </is>
      </c>
      <c r="F9" s="61" t="inlineStr">
        <is>
          <t>AVG</t>
        </is>
      </c>
      <c r="G9" s="75" t="n">
        <v>0.85</v>
      </c>
      <c r="H9" s="63" t="inlineStr">
        <is>
          <t>≥ 85%</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الاستثمار في الموظفين</t>
        </is>
      </c>
      <c r="Z9" s="54" t="n"/>
      <c r="AA9" s="21" t="inlineStr">
        <is>
          <t>🟣 لاحق</t>
        </is>
      </c>
      <c r="AB9" s="54" t="n">
        <v>0.125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الأداء</t>
        </is>
      </c>
      <c r="C10" s="22" t="inlineStr">
        <is>
          <t>نسبة إنجاز تقييمات الأداء في موعدها</t>
        </is>
      </c>
      <c r="D10" s="61" t="inlineStr">
        <is>
          <t>%</t>
        </is>
      </c>
      <c r="E10" s="61" t="inlineStr">
        <is>
          <t>↑</t>
        </is>
      </c>
      <c r="F10" s="61" t="inlineStr">
        <is>
          <t>AVG</t>
        </is>
      </c>
      <c r="G10" s="75" t="n">
        <v>1</v>
      </c>
      <c r="H10" s="63" t="inlineStr">
        <is>
          <t>100%</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الاستثمار في الموظفين</t>
        </is>
      </c>
      <c r="Z10" s="54" t="n"/>
      <c r="AA10" s="21" t="inlineStr">
        <is>
          <t>🟣 لاحق</t>
        </is>
      </c>
      <c r="AB10" s="54" t="n">
        <v>0.125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الامتثال</t>
        </is>
      </c>
      <c r="C11" s="22" t="inlineStr">
        <is>
          <t>نسبة السعودة</t>
        </is>
      </c>
      <c r="D11" s="61" t="inlineStr">
        <is>
          <t>%</t>
        </is>
      </c>
      <c r="E11" s="61" t="inlineStr">
        <is>
          <t>↑</t>
        </is>
      </c>
      <c r="F11" s="61" t="inlineStr">
        <is>
          <t>LAST</t>
        </is>
      </c>
      <c r="G11" s="61" t="inlineStr"/>
      <c r="H11" s="63" t="inlineStr">
        <is>
          <t>حسب النطاق</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الاستثمار في الموظفين</t>
        </is>
      </c>
      <c r="Z11" s="54" t="n"/>
      <c r="AA11" s="21" t="inlineStr">
        <is>
          <t>🟣 لاحق</t>
        </is>
      </c>
      <c r="AB11" s="54" t="n">
        <v>0.125</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التعلّم والنمو</t>
        </is>
      </c>
    </row>
    <row r="12">
      <c r="A12" s="81" t="inlineStr"/>
      <c r="B12" s="82" t="inlineStr">
        <is>
          <t>الإجمالي الموزون للإدارة</t>
        </is>
      </c>
      <c r="AB12" s="83">
        <f>SUM(AB4:AB11)</f>
        <v/>
      </c>
      <c r="AC12" s="84">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الموارد البشرية · نموذج تقييم الأداء — مدير إدارة الموارد البشرية</t>
        </is>
      </c>
    </row>
    <row r="2">
      <c r="A2" s="51" t="inlineStr">
        <is>
          <t>الكود: HM-01  ·  ربع سنوي  ·  🟩 أدخل «نسبة التحقيق» فقط — الدرجة تُحسب تلقائياً</t>
        </is>
      </c>
    </row>
    <row r="3">
      <c r="A3" s="86" t="inlineStr">
        <is>
          <t>اسم الموظف:</t>
        </is>
      </c>
      <c r="B3" s="52" t="inlineStr"/>
      <c r="C3" s="87" t="n"/>
      <c r="D3" s="86" t="inlineStr">
        <is>
          <t>القسم: الموارد البشرية</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معدل استبقاء الموظفين</t>
        </is>
      </c>
      <c r="C7" s="75" t="n">
        <v>0.2</v>
      </c>
      <c r="D7" s="89" t="inlineStr">
        <is>
          <t>≥ 90%</t>
        </is>
      </c>
      <c r="E7" s="54" t="n"/>
      <c r="F7" s="23">
        <f>C7*MIN(E7,1)</f>
        <v/>
      </c>
      <c r="G7" s="52" t="inlineStr"/>
    </row>
    <row r="8" ht="28" customHeight="1">
      <c r="A8" s="17" t="n">
        <v>2</v>
      </c>
      <c r="B8" s="22" t="inlineStr">
        <is>
          <t>معدل دوران الموظفين</t>
        </is>
      </c>
      <c r="C8" s="75" t="n">
        <v>0.15</v>
      </c>
      <c r="D8" s="89" t="inlineStr">
        <is>
          <t>≤ 10%</t>
        </is>
      </c>
      <c r="E8" s="54" t="n"/>
      <c r="F8" s="23">
        <f>C8*MIN(E8,1)</f>
        <v/>
      </c>
      <c r="G8" s="52" t="inlineStr"/>
    </row>
    <row r="9" ht="28" customHeight="1">
      <c r="A9" s="17" t="n">
        <v>3</v>
      </c>
      <c r="B9" s="22" t="inlineStr">
        <is>
          <t>متوسط ساعات التدريب لكل موظف</t>
        </is>
      </c>
      <c r="C9" s="75" t="n">
        <v>0.15</v>
      </c>
      <c r="D9" s="89" t="inlineStr">
        <is>
          <t>≥ 40 ساعة</t>
        </is>
      </c>
      <c r="E9" s="54" t="n"/>
      <c r="F9" s="23">
        <f>C9*MIN(E9,1)</f>
        <v/>
      </c>
      <c r="G9" s="52" t="inlineStr"/>
    </row>
    <row r="10" ht="28" customHeight="1">
      <c r="A10" s="17" t="n">
        <v>4</v>
      </c>
      <c r="B10" s="22" t="inlineStr">
        <is>
          <t>الموظفون المشمولون بخطة تطوير</t>
        </is>
      </c>
      <c r="C10" s="75" t="n">
        <v>0.15</v>
      </c>
      <c r="D10" s="89" t="inlineStr">
        <is>
          <t>≥ 80%</t>
        </is>
      </c>
      <c r="E10" s="54" t="n"/>
      <c r="F10" s="23">
        <f>C10*MIN(E10,1)</f>
        <v/>
      </c>
      <c r="G10" s="52" t="inlineStr"/>
    </row>
    <row r="11" ht="28" customHeight="1">
      <c r="A11" s="17" t="n">
        <v>5</v>
      </c>
      <c r="B11" s="22" t="inlineStr">
        <is>
          <t>مؤشر رضا الموظفين (eNPS)</t>
        </is>
      </c>
      <c r="C11" s="75" t="n">
        <v>0.15</v>
      </c>
      <c r="D11" s="89" t="inlineStr">
        <is>
          <t>≥ 30</t>
        </is>
      </c>
      <c r="E11" s="54" t="n"/>
      <c r="F11" s="23">
        <f>C11*MIN(E11,1)</f>
        <v/>
      </c>
      <c r="G11" s="52" t="inlineStr"/>
    </row>
    <row r="12" ht="28" customHeight="1">
      <c r="A12" s="17" t="n">
        <v>6</v>
      </c>
      <c r="B12" s="22" t="inlineStr">
        <is>
          <t>شغل الشواغر خلال 30 يوم</t>
        </is>
      </c>
      <c r="C12" s="75" t="n">
        <v>0.1</v>
      </c>
      <c r="D12" s="89" t="inlineStr">
        <is>
          <t>≥ 85%</t>
        </is>
      </c>
      <c r="E12" s="54" t="n"/>
      <c r="F12" s="23">
        <f>C12*MIN(E12,1)</f>
        <v/>
      </c>
      <c r="G12" s="52" t="inlineStr"/>
    </row>
    <row r="13" ht="28" customHeight="1">
      <c r="A13" s="17" t="n">
        <v>7</v>
      </c>
      <c r="B13" s="22" t="inlineStr">
        <is>
          <t>إنجاز تقييمات الأداء في موعدها</t>
        </is>
      </c>
      <c r="C13" s="75" t="n">
        <v>0.1</v>
      </c>
      <c r="D13" s="89" t="inlineStr">
        <is>
          <t>100%</t>
        </is>
      </c>
      <c r="E13" s="54" t="n"/>
      <c r="F13" s="23">
        <f>C13*MIN(E13,1)</f>
        <v/>
      </c>
      <c r="G13" s="52" t="inlineStr"/>
    </row>
    <row r="14">
      <c r="A14" s="81" t="inlineStr"/>
      <c r="B14" s="82" t="inlineStr">
        <is>
          <t>المجموع الكلي</t>
        </is>
      </c>
      <c r="C14" s="90">
        <f>SUM(C7:C13)</f>
        <v/>
      </c>
      <c r="D14" s="81" t="inlineStr"/>
      <c r="E14" s="82" t="inlineStr">
        <is>
          <t>الدرجة:</t>
        </is>
      </c>
      <c r="F14" s="91">
        <f>SUM(F7:F13)</f>
        <v/>
      </c>
      <c r="G14" s="81" t="inlineStr"/>
    </row>
    <row r="15">
      <c r="B15" s="5" t="inlineStr">
        <is>
          <t>التقدير</t>
        </is>
      </c>
      <c r="C15" s="26">
        <f>IF(F14&gt;=0.9,"ممتاز",IF(F14&gt;=0.8,"جيد جداً",IF(F14&gt;=0.7,"جيد",IF(F14&gt;=0.6,"مقبول","ضعيف"))))</f>
        <v/>
      </c>
      <c r="D15" s="44" t="n"/>
    </row>
    <row r="17">
      <c r="B17" s="5" t="inlineStr">
        <is>
          <t>سلّم التقييم</t>
        </is>
      </c>
      <c r="C17" s="43" t="n"/>
      <c r="D17" s="44"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21"/>
  <sheetViews>
    <sheetView showGridLines="0" rightToLeft="1" workbookViewId="0">
      <selection activeCell="A1" sqref="A1"/>
    </sheetView>
  </sheetViews>
  <sheetFormatPr baseColWidth="8" defaultRowHeight="15"/>
  <cols>
    <col width="4" customWidth="1" min="1" max="1"/>
    <col width="18" customWidth="1" min="2" max="2"/>
    <col width="40" customWidth="1" min="3" max="3"/>
    <col width="10" customWidth="1" min="4" max="4"/>
    <col width="26" customWidth="1" min="5" max="5"/>
    <col width="18" customWidth="1" min="6" max="6"/>
    <col width="14" customWidth="1" min="7" max="7"/>
    <col width="22" customWidth="1" min="8" max="8"/>
    <col width="18" customWidth="1" min="9" max="9"/>
    <col width="12" customWidth="1" min="10" max="10"/>
    <col width="18" customWidth="1" min="11" max="11"/>
  </cols>
  <sheetData>
    <row r="1" ht="28" customHeight="1">
      <c r="A1" s="28" t="inlineStr">
        <is>
          <t>قاموس المؤشرات — التعريف الموحّد لكل مؤشر</t>
        </is>
      </c>
    </row>
    <row r="2">
      <c r="A2" s="51" t="inlineStr">
        <is>
          <t>مرجع التعريف: الوحدة · طريقة القياس · المستهدف · الركيزة · المشروع · المنظور · النوع · المالك</t>
        </is>
      </c>
    </row>
    <row r="3" ht="28" customHeight="1">
      <c r="A3" s="30" t="inlineStr">
        <is>
          <t>#</t>
        </is>
      </c>
      <c r="B3" s="30" t="inlineStr">
        <is>
          <t>الإدارة</t>
        </is>
      </c>
      <c r="C3" s="30" t="inlineStr">
        <is>
          <t>المؤشر</t>
        </is>
      </c>
      <c r="D3" s="30" t="inlineStr">
        <is>
          <t>الوحدة</t>
        </is>
      </c>
      <c r="E3" s="30" t="inlineStr">
        <is>
          <t>طريقة القياس</t>
        </is>
      </c>
      <c r="F3" s="30" t="inlineStr">
        <is>
          <t>المستهدف</t>
        </is>
      </c>
      <c r="G3" s="30" t="inlineStr">
        <is>
          <t>الركيزة</t>
        </is>
      </c>
      <c r="H3" s="30" t="inlineStr">
        <is>
          <t>المشروع</t>
        </is>
      </c>
      <c r="I3" s="30" t="inlineStr">
        <is>
          <t>المنظور</t>
        </is>
      </c>
      <c r="J3" s="30" t="inlineStr">
        <is>
          <t>النوع</t>
        </is>
      </c>
      <c r="K3" s="30" t="inlineStr">
        <is>
          <t>المالك</t>
        </is>
      </c>
    </row>
    <row r="4" ht="22" customHeight="1">
      <c r="A4" s="69" t="n">
        <v>1</v>
      </c>
      <c r="B4" s="92" t="inlineStr">
        <is>
          <t>الإدارة التنفيذية</t>
        </is>
      </c>
      <c r="C4" s="92" t="inlineStr">
        <is>
          <t>إجمالي المحطات المشغّلة — الشركة (تراكمي)</t>
        </is>
      </c>
      <c r="D4" s="69" t="inlineStr">
        <is>
          <t>محطة</t>
        </is>
      </c>
      <c r="E4" s="93" t="inlineStr">
        <is>
          <t>تراكمي (آخر قيمة) · (الفعلي÷المستهدف)×100</t>
        </is>
      </c>
      <c r="F4" s="69" t="inlineStr">
        <is>
          <t>≥ 235 محطة</t>
        </is>
      </c>
      <c r="G4" s="69" t="inlineStr">
        <is>
          <t>النمو</t>
        </is>
      </c>
      <c r="H4" s="92" t="inlineStr">
        <is>
          <t>التوسع في المواقع</t>
        </is>
      </c>
      <c r="I4" s="69" t="inlineStr">
        <is>
          <t>العمليات الداخلية</t>
        </is>
      </c>
      <c r="J4" s="69" t="inlineStr">
        <is>
          <t>🟣 لاحق</t>
        </is>
      </c>
      <c r="K4" s="40" t="n"/>
    </row>
    <row r="5" ht="22" customHeight="1">
      <c r="A5" s="69" t="n">
        <v>2</v>
      </c>
      <c r="B5" s="92" t="inlineStr">
        <is>
          <t>الإدارة التنفيذية</t>
        </is>
      </c>
      <c r="C5" s="92" t="inlineStr">
        <is>
          <t>إجمالي العقود الجديدة — الشركة</t>
        </is>
      </c>
      <c r="D5" s="69" t="inlineStr">
        <is>
          <t>عقد</t>
        </is>
      </c>
      <c r="E5" s="93" t="inlineStr">
        <is>
          <t>تجميعي (مجموع شهري) · (الفعلي÷المستهدف)×100</t>
        </is>
      </c>
      <c r="F5" s="69" t="inlineStr">
        <is>
          <t>357 عقد</t>
        </is>
      </c>
      <c r="G5" s="69" t="inlineStr">
        <is>
          <t>النمو</t>
        </is>
      </c>
      <c r="H5" s="92" t="inlineStr">
        <is>
          <t>الامتياز التجاري</t>
        </is>
      </c>
      <c r="I5" s="69" t="inlineStr">
        <is>
          <t>العمليات الداخلية</t>
        </is>
      </c>
      <c r="J5" s="69" t="inlineStr">
        <is>
          <t>🟣 لاحق</t>
        </is>
      </c>
      <c r="K5" s="40" t="n"/>
    </row>
    <row r="6" ht="22" customHeight="1">
      <c r="A6" s="69" t="n">
        <v>3</v>
      </c>
      <c r="B6" s="92" t="inlineStr">
        <is>
          <t>الإدارة التنفيذية</t>
        </is>
      </c>
      <c r="C6" s="92" t="inlineStr">
        <is>
          <t>إجمالي إيرادات الشركة السنوية</t>
        </is>
      </c>
      <c r="D6" s="69" t="inlineStr">
        <is>
          <t>ر.س</t>
        </is>
      </c>
      <c r="E6" s="93" t="inlineStr">
        <is>
          <t>تجميعي (مجموع شهري) · (الفعلي÷المستهدف)×100</t>
        </is>
      </c>
      <c r="F6" s="69" t="inlineStr">
        <is>
          <t>تصاعدي مستمر</t>
        </is>
      </c>
      <c r="G6" s="69" t="inlineStr">
        <is>
          <t>النمو</t>
        </is>
      </c>
      <c r="H6" s="92" t="inlineStr">
        <is>
          <t>زيادة وصول العملاء</t>
        </is>
      </c>
      <c r="I6" s="69" t="inlineStr">
        <is>
          <t>مالي</t>
        </is>
      </c>
      <c r="J6" s="69" t="inlineStr">
        <is>
          <t>🟣 لاحق</t>
        </is>
      </c>
      <c r="K6" s="40" t="n"/>
    </row>
    <row r="7" ht="22" customHeight="1">
      <c r="A7" s="69" t="n">
        <v>4</v>
      </c>
      <c r="B7" s="92" t="inlineStr">
        <is>
          <t>الإدارة التنفيذية</t>
        </is>
      </c>
      <c r="C7" s="92" t="inlineStr">
        <is>
          <t>نسبة نمو إيرادات الشركة (سنوي)</t>
        </is>
      </c>
      <c r="D7" s="69" t="inlineStr">
        <is>
          <t>%</t>
        </is>
      </c>
      <c r="E7" s="93" t="inlineStr">
        <is>
          <t>متوسط شهري · (الفعلي÷المستهدف)×100</t>
        </is>
      </c>
      <c r="F7" s="69" t="inlineStr">
        <is>
          <t>مستهدف تنفيذي</t>
        </is>
      </c>
      <c r="G7" s="69" t="inlineStr">
        <is>
          <t>النمو</t>
        </is>
      </c>
      <c r="H7" s="92" t="inlineStr">
        <is>
          <t>زيادة وصول العملاء</t>
        </is>
      </c>
      <c r="I7" s="69" t="inlineStr">
        <is>
          <t>مالي</t>
        </is>
      </c>
      <c r="J7" s="69" t="inlineStr">
        <is>
          <t>🔵 قائد</t>
        </is>
      </c>
      <c r="K7" s="40" t="n"/>
    </row>
    <row r="8" ht="22" customHeight="1">
      <c r="A8" s="69" t="n">
        <v>5</v>
      </c>
      <c r="B8" s="92" t="inlineStr">
        <is>
          <t>الإدارة التنفيذية</t>
        </is>
      </c>
      <c r="C8" s="92" t="inlineStr">
        <is>
          <t>نسبة إنجاز مشاريع الخارطة التنفيذية</t>
        </is>
      </c>
      <c r="D8" s="69" t="inlineStr">
        <is>
          <t>%</t>
        </is>
      </c>
      <c r="E8" s="93" t="inlineStr">
        <is>
          <t>تراكمي (آخر قيمة) · (الفعلي÷المستهدف)×100</t>
        </is>
      </c>
      <c r="F8" s="69" t="inlineStr">
        <is>
          <t>100%</t>
        </is>
      </c>
      <c r="G8" s="69" t="inlineStr">
        <is>
          <t>الابتكار</t>
        </is>
      </c>
      <c r="H8" s="92" t="inlineStr">
        <is>
          <t>إطلاق مشاريع جديدة</t>
        </is>
      </c>
      <c r="I8" s="69" t="inlineStr">
        <is>
          <t>العمليات الداخلية</t>
        </is>
      </c>
      <c r="J8" s="69" t="inlineStr">
        <is>
          <t>🟣 لاحق</t>
        </is>
      </c>
      <c r="K8" s="40" t="n"/>
    </row>
    <row r="9" ht="22" customHeight="1">
      <c r="A9" s="69" t="n">
        <v>6</v>
      </c>
      <c r="B9" s="92" t="inlineStr">
        <is>
          <t>الإدارة التنفيذية</t>
        </is>
      </c>
      <c r="C9" s="92" t="inlineStr">
        <is>
          <t>نسبة التحول الرقمي على مستوى الشركة</t>
        </is>
      </c>
      <c r="D9" s="69" t="inlineStr">
        <is>
          <t>%</t>
        </is>
      </c>
      <c r="E9" s="93" t="inlineStr">
        <is>
          <t>تراكمي (آخر قيمة) · (الفعلي÷المستهدف)×100</t>
        </is>
      </c>
      <c r="F9" s="69" t="inlineStr">
        <is>
          <t>≥ 90%</t>
        </is>
      </c>
      <c r="G9" s="69" t="inlineStr">
        <is>
          <t>الابتكار</t>
        </is>
      </c>
      <c r="H9" s="92" t="inlineStr">
        <is>
          <t>التحول التقني</t>
        </is>
      </c>
      <c r="I9" s="69" t="inlineStr">
        <is>
          <t>التعلّم والنمو</t>
        </is>
      </c>
      <c r="J9" s="69" t="inlineStr">
        <is>
          <t>🟣 لاحق</t>
        </is>
      </c>
      <c r="K9" s="40" t="n"/>
    </row>
    <row r="10" ht="22" customHeight="1">
      <c r="A10" s="69" t="n">
        <v>7</v>
      </c>
      <c r="B10" s="92" t="inlineStr">
        <is>
          <t>الإدارة التنفيذية</t>
        </is>
      </c>
      <c r="C10" s="92" t="inlineStr">
        <is>
          <t>مؤشر رضا العملاء العام (الشركة)</t>
        </is>
      </c>
      <c r="D10" s="69" t="inlineStr">
        <is>
          <t>%</t>
        </is>
      </c>
      <c r="E10" s="93" t="inlineStr">
        <is>
          <t>متوسط شهري · (الفعلي÷المستهدف)×100</t>
        </is>
      </c>
      <c r="F10" s="69" t="inlineStr">
        <is>
          <t>≥ 90%</t>
        </is>
      </c>
      <c r="G10" s="69" t="inlineStr">
        <is>
          <t>الاستدامة</t>
        </is>
      </c>
      <c r="H10" s="92" t="inlineStr">
        <is>
          <t>تعزيز تجربة العملاء</t>
        </is>
      </c>
      <c r="I10" s="69" t="inlineStr">
        <is>
          <t>العملاء</t>
        </is>
      </c>
      <c r="J10" s="69" t="inlineStr">
        <is>
          <t>🟣 لاحق</t>
        </is>
      </c>
      <c r="K10" s="40" t="n"/>
    </row>
    <row r="11" ht="22" customHeight="1">
      <c r="A11" s="69" t="n">
        <v>8</v>
      </c>
      <c r="B11" s="92" t="inlineStr">
        <is>
          <t>الإدارة التنفيذية</t>
        </is>
      </c>
      <c r="C11" s="92" t="inlineStr">
        <is>
          <t>مؤشر رضا الموظفين العام (eNPS)</t>
        </is>
      </c>
      <c r="D11" s="69" t="inlineStr">
        <is>
          <t>نقطة</t>
        </is>
      </c>
      <c r="E11" s="93" t="inlineStr">
        <is>
          <t>متوسط شهري · (الفعلي÷المستهدف)×100</t>
        </is>
      </c>
      <c r="F11" s="69" t="inlineStr">
        <is>
          <t>≥ 30</t>
        </is>
      </c>
      <c r="G11" s="69" t="inlineStr">
        <is>
          <t>الاستدامة</t>
        </is>
      </c>
      <c r="H11" s="92" t="inlineStr">
        <is>
          <t>الاستثمار في الموظفين</t>
        </is>
      </c>
      <c r="I11" s="69" t="inlineStr">
        <is>
          <t>التعلّم والنمو</t>
        </is>
      </c>
      <c r="J11" s="69" t="inlineStr">
        <is>
          <t>🟣 لاحق</t>
        </is>
      </c>
      <c r="K11" s="40" t="n"/>
    </row>
    <row r="12" ht="22" customHeight="1">
      <c r="A12" s="69" t="n">
        <v>9</v>
      </c>
      <c r="B12" s="92" t="inlineStr">
        <is>
          <t>الإدارة التنفيذية</t>
        </is>
      </c>
      <c r="C12" s="92" t="inlineStr">
        <is>
          <t>نسبة تحقيق المستهدفات الاستراتيجية العامة</t>
        </is>
      </c>
      <c r="D12" s="69" t="inlineStr">
        <is>
          <t>%</t>
        </is>
      </c>
      <c r="E12" s="93" t="inlineStr">
        <is>
          <t>متوسط شهري · (الفعلي÷المستهدف)×100</t>
        </is>
      </c>
      <c r="F12" s="69" t="inlineStr">
        <is>
          <t>100%</t>
        </is>
      </c>
      <c r="G12" s="69" t="inlineStr">
        <is>
          <t>الاستدامة</t>
        </is>
      </c>
      <c r="H12" s="92" t="inlineStr">
        <is>
          <t>جودة التشغيل</t>
        </is>
      </c>
      <c r="I12" s="69" t="inlineStr">
        <is>
          <t>العمليات الداخلية</t>
        </is>
      </c>
      <c r="J12" s="69" t="inlineStr">
        <is>
          <t>🟣 لاحق</t>
        </is>
      </c>
      <c r="K12" s="40" t="n"/>
    </row>
    <row r="13" ht="22" customHeight="1">
      <c r="A13" s="69" t="n">
        <v>10</v>
      </c>
      <c r="B13" s="92" t="inlineStr">
        <is>
          <t>الإدارة التنفيذية</t>
        </is>
      </c>
      <c r="C13" s="92" t="inlineStr">
        <is>
          <t>الالتزام بمعايير وزارة الطاقة (تغطية 13 منطقة)</t>
        </is>
      </c>
      <c r="D13" s="69" t="inlineStr">
        <is>
          <t>%</t>
        </is>
      </c>
      <c r="E13" s="93" t="inlineStr">
        <is>
          <t>تراكمي (آخر قيمة) · (الفعلي÷المستهدف)×100</t>
        </is>
      </c>
      <c r="F13" s="69" t="inlineStr">
        <is>
          <t>100%</t>
        </is>
      </c>
      <c r="G13" s="69" t="inlineStr">
        <is>
          <t>النمو</t>
        </is>
      </c>
      <c r="H13" s="92" t="inlineStr">
        <is>
          <t>التوسع في المواقع</t>
        </is>
      </c>
      <c r="I13" s="69" t="inlineStr">
        <is>
          <t>العمليات الداخلية</t>
        </is>
      </c>
      <c r="J13" s="69" t="inlineStr">
        <is>
          <t>🟣 لاحق</t>
        </is>
      </c>
      <c r="K13" s="40" t="n"/>
    </row>
    <row r="14" ht="22" customHeight="1">
      <c r="A14" s="69" t="n">
        <v>11</v>
      </c>
      <c r="B14" s="92" t="inlineStr">
        <is>
          <t>الامتياز التجاري</t>
        </is>
      </c>
      <c r="C14" s="92" t="inlineStr">
        <is>
          <t>عدد محطات الامتياز المشغّلة (تراكمي)</t>
        </is>
      </c>
      <c r="D14" s="69" t="inlineStr">
        <is>
          <t>محطة</t>
        </is>
      </c>
      <c r="E14" s="93" t="inlineStr">
        <is>
          <t>تراكمي (آخر قيمة) · (الفعلي÷المستهدف)×100</t>
        </is>
      </c>
      <c r="F14" s="69" t="inlineStr">
        <is>
          <t>150 محطة</t>
        </is>
      </c>
      <c r="G14" s="69" t="inlineStr">
        <is>
          <t>النمو</t>
        </is>
      </c>
      <c r="H14" s="92" t="inlineStr">
        <is>
          <t>التوسع في المواقع</t>
        </is>
      </c>
      <c r="I14" s="69" t="inlineStr">
        <is>
          <t>العمليات الداخلية</t>
        </is>
      </c>
      <c r="J14" s="69" t="inlineStr">
        <is>
          <t>🔵 قائد</t>
        </is>
      </c>
      <c r="K14" s="40" t="n"/>
    </row>
    <row r="15" ht="22" customHeight="1">
      <c r="A15" s="69" t="n">
        <v>12</v>
      </c>
      <c r="B15" s="92" t="inlineStr">
        <is>
          <t>الامتياز التجاري</t>
        </is>
      </c>
      <c r="C15" s="92" t="inlineStr">
        <is>
          <t>عدد عقود الامتياز الجديدة الموقّعة</t>
        </is>
      </c>
      <c r="D15" s="69" t="inlineStr">
        <is>
          <t>عقد</t>
        </is>
      </c>
      <c r="E15" s="93" t="inlineStr">
        <is>
          <t>تجميعي (مجموع شهري) · (الفعلي÷المستهدف)×100</t>
        </is>
      </c>
      <c r="F15" s="69" t="inlineStr">
        <is>
          <t>167 عقد</t>
        </is>
      </c>
      <c r="G15" s="69" t="inlineStr">
        <is>
          <t>النمو</t>
        </is>
      </c>
      <c r="H15" s="92" t="inlineStr">
        <is>
          <t>الامتياز التجاري</t>
        </is>
      </c>
      <c r="I15" s="69" t="inlineStr">
        <is>
          <t>العمليات الداخلية</t>
        </is>
      </c>
      <c r="J15" s="69" t="inlineStr">
        <is>
          <t>🔵 قائد</t>
        </is>
      </c>
      <c r="K15" s="40" t="n"/>
    </row>
    <row r="16" ht="22" customHeight="1">
      <c r="A16" s="69" t="n">
        <v>13</v>
      </c>
      <c r="B16" s="92" t="inlineStr">
        <is>
          <t>الامتياز التجاري</t>
        </is>
      </c>
      <c r="C16" s="92" t="inlineStr">
        <is>
          <t>إجمالي مبيعات وقود محطات الامتياز</t>
        </is>
      </c>
      <c r="D16" s="69" t="inlineStr">
        <is>
          <t>لتر</t>
        </is>
      </c>
      <c r="E16" s="93" t="inlineStr">
        <is>
          <t>تجميعي (مجموع شهري) · (الفعلي÷المستهدف)×100</t>
        </is>
      </c>
      <c r="F16" s="69" t="inlineStr">
        <is>
          <t>718.8M لتر</t>
        </is>
      </c>
      <c r="G16" s="69" t="inlineStr">
        <is>
          <t>النمو</t>
        </is>
      </c>
      <c r="H16" s="92" t="inlineStr">
        <is>
          <t>زيادة وصول العملاء</t>
        </is>
      </c>
      <c r="I16" s="69" t="inlineStr">
        <is>
          <t>مالي</t>
        </is>
      </c>
      <c r="J16" s="69" t="inlineStr">
        <is>
          <t>🔵 قائد</t>
        </is>
      </c>
      <c r="K16" s="40" t="n"/>
    </row>
    <row r="17" ht="22" customHeight="1">
      <c r="A17" s="69" t="n">
        <v>14</v>
      </c>
      <c r="B17" s="92" t="inlineStr">
        <is>
          <t>الامتياز التجاري</t>
        </is>
      </c>
      <c r="C17" s="92" t="inlineStr">
        <is>
          <t>نسبة المحطات التي حققت مستهدف المبيعات</t>
        </is>
      </c>
      <c r="D17" s="69" t="inlineStr">
        <is>
          <t>%</t>
        </is>
      </c>
      <c r="E17" s="93" t="inlineStr">
        <is>
          <t>متوسط شهري · (الفعلي÷المستهدف)×100</t>
        </is>
      </c>
      <c r="F17" s="69" t="inlineStr">
        <is>
          <t>90%+</t>
        </is>
      </c>
      <c r="G17" s="69" t="inlineStr">
        <is>
          <t>النمو</t>
        </is>
      </c>
      <c r="H17" s="92" t="inlineStr">
        <is>
          <t>زيادة وصول العملاء</t>
        </is>
      </c>
      <c r="I17" s="69" t="inlineStr">
        <is>
          <t>مالي</t>
        </is>
      </c>
      <c r="J17" s="69" t="inlineStr">
        <is>
          <t>🔵 قائد</t>
        </is>
      </c>
      <c r="K17" s="40" t="n"/>
    </row>
    <row r="18" ht="22" customHeight="1">
      <c r="A18" s="69" t="n">
        <v>15</v>
      </c>
      <c r="B18" s="92" t="inlineStr">
        <is>
          <t>الامتياز التجاري</t>
        </is>
      </c>
      <c r="C18" s="92" t="inlineStr">
        <is>
          <t>متوسط مبيعات المحطة الواحدة شهرياً</t>
        </is>
      </c>
      <c r="D18" s="69" t="inlineStr">
        <is>
          <t>لتر/محطة</t>
        </is>
      </c>
      <c r="E18" s="93" t="inlineStr">
        <is>
          <t>متوسط شهري · (الفعلي÷المستهدف)×100</t>
        </is>
      </c>
      <c r="F18" s="69" t="inlineStr">
        <is>
          <t>+10% نمو شهري</t>
        </is>
      </c>
      <c r="G18" s="69" t="inlineStr">
        <is>
          <t>النمو</t>
        </is>
      </c>
      <c r="H18" s="92" t="inlineStr">
        <is>
          <t>زيادة وصول العملاء</t>
        </is>
      </c>
      <c r="I18" s="69" t="inlineStr">
        <is>
          <t>مالي</t>
        </is>
      </c>
      <c r="J18" s="69" t="inlineStr">
        <is>
          <t>🔵 قائد</t>
        </is>
      </c>
      <c r="K18" s="40" t="n"/>
    </row>
    <row r="19" ht="22" customHeight="1">
      <c r="A19" s="69" t="n">
        <v>16</v>
      </c>
      <c r="B19" s="92" t="inlineStr">
        <is>
          <t>الامتياز التجاري</t>
        </is>
      </c>
      <c r="C19" s="92" t="inlineStr">
        <is>
          <t>نسبة تأجير وحدات الامتياز</t>
        </is>
      </c>
      <c r="D19" s="69" t="inlineStr">
        <is>
          <t>%</t>
        </is>
      </c>
      <c r="E19" s="93" t="inlineStr">
        <is>
          <t>متوسط شهري · (الفعلي÷المستهدف)×100</t>
        </is>
      </c>
      <c r="F19" s="69" t="inlineStr">
        <is>
          <t>70%</t>
        </is>
      </c>
      <c r="G19" s="69" t="inlineStr">
        <is>
          <t>الاستدامة</t>
        </is>
      </c>
      <c r="H19" s="92" t="inlineStr">
        <is>
          <t>منظومة التأجير</t>
        </is>
      </c>
      <c r="I19" s="69" t="inlineStr">
        <is>
          <t>العمليات الداخلية</t>
        </is>
      </c>
      <c r="J19" s="69" t="inlineStr">
        <is>
          <t>🟣 لاحق</t>
        </is>
      </c>
      <c r="K19" s="40" t="n"/>
    </row>
    <row r="20" ht="22" customHeight="1">
      <c r="A20" s="69" t="n">
        <v>17</v>
      </c>
      <c r="B20" s="92" t="inlineStr">
        <is>
          <t>الامتياز التجاري</t>
        </is>
      </c>
      <c r="C20" s="92" t="inlineStr">
        <is>
          <t>إجمالي إيرادات إدارة الامتياز</t>
        </is>
      </c>
      <c r="D20" s="69" t="inlineStr">
        <is>
          <t>ر.س</t>
        </is>
      </c>
      <c r="E20" s="93" t="inlineStr">
        <is>
          <t>تجميعي (مجموع شهري) · (الفعلي÷المستهدف)×100</t>
        </is>
      </c>
      <c r="F20" s="69" t="inlineStr">
        <is>
          <t>تصاعدي مستمر</t>
        </is>
      </c>
      <c r="G20" s="69" t="inlineStr">
        <is>
          <t>النمو</t>
        </is>
      </c>
      <c r="H20" s="92" t="inlineStr">
        <is>
          <t>الامتياز التجاري</t>
        </is>
      </c>
      <c r="I20" s="69" t="inlineStr">
        <is>
          <t>مالي</t>
        </is>
      </c>
      <c r="J20" s="69" t="inlineStr">
        <is>
          <t>🟣 لاحق</t>
        </is>
      </c>
      <c r="K20" s="40" t="n"/>
    </row>
    <row r="21" ht="22" customHeight="1">
      <c r="A21" s="69" t="n">
        <v>18</v>
      </c>
      <c r="B21" s="92" t="inlineStr">
        <is>
          <t>الامتياز التجاري</t>
        </is>
      </c>
      <c r="C21" s="92" t="inlineStr">
        <is>
          <t>رفع هامش الربحية للامتياز</t>
        </is>
      </c>
      <c r="D21" s="69" t="inlineStr">
        <is>
          <t>هللة/لتر</t>
        </is>
      </c>
      <c r="E21" s="93" t="inlineStr">
        <is>
          <t>متوسط شهري · (الفعلي÷المستهدف)×100</t>
        </is>
      </c>
      <c r="F21" s="69" t="inlineStr">
        <is>
          <t>+1.8 هللة/لتر</t>
        </is>
      </c>
      <c r="G21" s="69" t="inlineStr">
        <is>
          <t>النمو</t>
        </is>
      </c>
      <c r="H21" s="92" t="inlineStr">
        <is>
          <t>الامتياز التجاري</t>
        </is>
      </c>
      <c r="I21" s="69" t="inlineStr">
        <is>
          <t>مالي</t>
        </is>
      </c>
      <c r="J21" s="69" t="inlineStr">
        <is>
          <t>🟣 لاحق</t>
        </is>
      </c>
      <c r="K21" s="40" t="n"/>
    </row>
    <row r="22" ht="22" customHeight="1">
      <c r="A22" s="69" t="n">
        <v>19</v>
      </c>
      <c r="B22" s="92" t="inlineStr">
        <is>
          <t>الامتياز التجاري</t>
        </is>
      </c>
      <c r="C22" s="92" t="inlineStr">
        <is>
          <t>نسبة التحصيل المالي من شركاء الامتياز</t>
        </is>
      </c>
      <c r="D22" s="69" t="inlineStr">
        <is>
          <t>%</t>
        </is>
      </c>
      <c r="E22" s="93" t="inlineStr">
        <is>
          <t>متوسط شهري · (الفعلي÷المستهدف)×100</t>
        </is>
      </c>
      <c r="F22" s="69" t="inlineStr">
        <is>
          <t>95%+</t>
        </is>
      </c>
      <c r="G22" s="69" t="inlineStr">
        <is>
          <t>الاستدامة</t>
        </is>
      </c>
      <c r="H22" s="92" t="inlineStr">
        <is>
          <t>جودة التشغيل</t>
        </is>
      </c>
      <c r="I22" s="69" t="inlineStr">
        <is>
          <t>مالي</t>
        </is>
      </c>
      <c r="J22" s="69" t="inlineStr">
        <is>
          <t>🟣 لاحق</t>
        </is>
      </c>
      <c r="K22" s="40" t="n"/>
    </row>
    <row r="23" ht="22" customHeight="1">
      <c r="A23" s="69" t="n">
        <v>20</v>
      </c>
      <c r="B23" s="92" t="inlineStr">
        <is>
          <t>الامتياز التجاري</t>
        </is>
      </c>
      <c r="C23" s="92" t="inlineStr">
        <is>
          <t>متوسط أيام التحصيل (DSO)</t>
        </is>
      </c>
      <c r="D23" s="69" t="inlineStr">
        <is>
          <t>يوم</t>
        </is>
      </c>
      <c r="E23" s="93" t="inlineStr">
        <is>
          <t>متوسط شهري · (الفعلي÷المستهدف)×100</t>
        </is>
      </c>
      <c r="F23" s="69" t="inlineStr">
        <is>
          <t>≤ 30 يوم</t>
        </is>
      </c>
      <c r="G23" s="69" t="inlineStr">
        <is>
          <t>الاستدامة</t>
        </is>
      </c>
      <c r="H23" s="92" t="inlineStr">
        <is>
          <t>جودة التشغيل</t>
        </is>
      </c>
      <c r="I23" s="69" t="inlineStr">
        <is>
          <t>مالي</t>
        </is>
      </c>
      <c r="J23" s="69" t="inlineStr">
        <is>
          <t>🟣 لاحق</t>
        </is>
      </c>
      <c r="K23" s="40" t="n"/>
    </row>
    <row r="24" ht="22" customHeight="1">
      <c r="A24" s="69" t="n">
        <v>21</v>
      </c>
      <c r="B24" s="92" t="inlineStr">
        <is>
          <t>الامتياز التجاري</t>
        </is>
      </c>
      <c r="C24" s="92" t="inlineStr">
        <is>
          <t>إجمالي المستحقات المتأخرة (+30 يوم)</t>
        </is>
      </c>
      <c r="D24" s="69" t="inlineStr">
        <is>
          <t>ر.س</t>
        </is>
      </c>
      <c r="E24" s="93" t="inlineStr">
        <is>
          <t>تراكمي (آخر قيمة) · (الفعلي÷المستهدف)×100</t>
        </is>
      </c>
      <c r="F24" s="69" t="inlineStr">
        <is>
          <t>تراجع مستمر</t>
        </is>
      </c>
      <c r="G24" s="69" t="inlineStr">
        <is>
          <t>الاستدامة</t>
        </is>
      </c>
      <c r="H24" s="92" t="inlineStr">
        <is>
          <t>جودة التشغيل</t>
        </is>
      </c>
      <c r="I24" s="69" t="inlineStr">
        <is>
          <t>مالي</t>
        </is>
      </c>
      <c r="J24" s="69" t="inlineStr">
        <is>
          <t>🟣 لاحق</t>
        </is>
      </c>
      <c r="K24" s="40" t="n"/>
    </row>
    <row r="25" ht="22" customHeight="1">
      <c r="A25" s="69" t="n">
        <v>22</v>
      </c>
      <c r="B25" s="92" t="inlineStr">
        <is>
          <t>الامتياز التجاري</t>
        </is>
      </c>
      <c r="C25" s="92" t="inlineStr">
        <is>
          <t>نسبة الشركاء الملتزمين بمواعيد السداد</t>
        </is>
      </c>
      <c r="D25" s="69" t="inlineStr">
        <is>
          <t>%</t>
        </is>
      </c>
      <c r="E25" s="93" t="inlineStr">
        <is>
          <t>متوسط شهري · (الفعلي÷المستهدف)×100</t>
        </is>
      </c>
      <c r="F25" s="69" t="inlineStr">
        <is>
          <t>90%+</t>
        </is>
      </c>
      <c r="G25" s="69" t="inlineStr">
        <is>
          <t>الاستدامة</t>
        </is>
      </c>
      <c r="H25" s="92" t="inlineStr">
        <is>
          <t>جودة التشغيل</t>
        </is>
      </c>
      <c r="I25" s="69" t="inlineStr">
        <is>
          <t>مالي</t>
        </is>
      </c>
      <c r="J25" s="69" t="inlineStr">
        <is>
          <t>🟣 لاحق</t>
        </is>
      </c>
      <c r="K25" s="40" t="n"/>
    </row>
    <row r="26" ht="22" customHeight="1">
      <c r="A26" s="69" t="n">
        <v>23</v>
      </c>
      <c r="B26" s="92" t="inlineStr">
        <is>
          <t>الامتياز التجاري</t>
        </is>
      </c>
      <c r="C26" s="92" t="inlineStr">
        <is>
          <t>معدل دوران رأس المال (أيام الدورة)</t>
        </is>
      </c>
      <c r="D26" s="69" t="inlineStr">
        <is>
          <t>يوم</t>
        </is>
      </c>
      <c r="E26" s="93" t="inlineStr">
        <is>
          <t>متوسط شهري · (الفعلي÷المستهدف)×100</t>
        </is>
      </c>
      <c r="F26" s="69" t="inlineStr">
        <is>
          <t>≤ 5 أيام</t>
        </is>
      </c>
      <c r="G26" s="69" t="inlineStr">
        <is>
          <t>الاستدامة</t>
        </is>
      </c>
      <c r="H26" s="92" t="inlineStr">
        <is>
          <t>جودة التشغيل</t>
        </is>
      </c>
      <c r="I26" s="69" t="inlineStr">
        <is>
          <t>مالي</t>
        </is>
      </c>
      <c r="J26" s="69" t="inlineStr">
        <is>
          <t>🟣 لاحق</t>
        </is>
      </c>
      <c r="K26" s="40" t="n"/>
    </row>
    <row r="27" ht="22" customHeight="1">
      <c r="A27" s="69" t="n">
        <v>24</v>
      </c>
      <c r="B27" s="92" t="inlineStr">
        <is>
          <t>الامتياز التجاري</t>
        </is>
      </c>
      <c r="C27" s="92" t="inlineStr">
        <is>
          <t>نسبة جاهزية محطات الامتياز (صفر انقطاع)</t>
        </is>
      </c>
      <c r="D27" s="69" t="inlineStr">
        <is>
          <t>%</t>
        </is>
      </c>
      <c r="E27" s="93" t="inlineStr">
        <is>
          <t>متوسط شهري · (الفعلي÷المستهدف)×100</t>
        </is>
      </c>
      <c r="F27" s="69" t="inlineStr">
        <is>
          <t>99%+</t>
        </is>
      </c>
      <c r="G27" s="69" t="inlineStr">
        <is>
          <t>الاستدامة</t>
        </is>
      </c>
      <c r="H27" s="92" t="inlineStr">
        <is>
          <t>جودة التشغيل</t>
        </is>
      </c>
      <c r="I27" s="69" t="inlineStr">
        <is>
          <t>العمليات الداخلية</t>
        </is>
      </c>
      <c r="J27" s="69" t="inlineStr">
        <is>
          <t>🟣 لاحق</t>
        </is>
      </c>
      <c r="K27" s="40" t="n"/>
    </row>
    <row r="28" ht="22" customHeight="1">
      <c r="A28" s="69" t="n">
        <v>25</v>
      </c>
      <c r="B28" s="92" t="inlineStr">
        <is>
          <t>الامتياز التجاري</t>
        </is>
      </c>
      <c r="C28" s="92" t="inlineStr">
        <is>
          <t>عدد حالات انقطاع الوقود الموثّقة</t>
        </is>
      </c>
      <c r="D28" s="69" t="inlineStr">
        <is>
          <t>حالة</t>
        </is>
      </c>
      <c r="E28" s="93" t="inlineStr">
        <is>
          <t>تجميعي (مجموع شهري) · (الفعلي÷المستهدف)×100</t>
        </is>
      </c>
      <c r="F28" s="69" t="inlineStr">
        <is>
          <t>0 حالة</t>
        </is>
      </c>
      <c r="G28" s="69" t="inlineStr">
        <is>
          <t>الاستدامة</t>
        </is>
      </c>
      <c r="H28" s="92" t="inlineStr">
        <is>
          <t>جودة التشغيل</t>
        </is>
      </c>
      <c r="I28" s="69" t="inlineStr">
        <is>
          <t>العمليات الداخلية</t>
        </is>
      </c>
      <c r="J28" s="69" t="inlineStr">
        <is>
          <t>🔵 قائد</t>
        </is>
      </c>
      <c r="K28" s="40" t="n"/>
    </row>
    <row r="29" ht="22" customHeight="1">
      <c r="A29" s="69" t="n">
        <v>26</v>
      </c>
      <c r="B29" s="92" t="inlineStr">
        <is>
          <t>الامتياز التجاري</t>
        </is>
      </c>
      <c r="C29" s="92" t="inlineStr">
        <is>
          <t>نسبة إغلاق ملاحظات الجودة الميدانية</t>
        </is>
      </c>
      <c r="D29" s="69" t="inlineStr">
        <is>
          <t>%</t>
        </is>
      </c>
      <c r="E29" s="93" t="inlineStr">
        <is>
          <t>متوسط شهري · (الفعلي÷المستهدف)×100</t>
        </is>
      </c>
      <c r="F29" s="69" t="inlineStr">
        <is>
          <t>95%+</t>
        </is>
      </c>
      <c r="G29" s="69" t="inlineStr">
        <is>
          <t>الاستدامة</t>
        </is>
      </c>
      <c r="H29" s="92" t="inlineStr">
        <is>
          <t>جودة التشغيل</t>
        </is>
      </c>
      <c r="I29" s="69" t="inlineStr">
        <is>
          <t>العمليات الداخلية</t>
        </is>
      </c>
      <c r="J29" s="69" t="inlineStr">
        <is>
          <t>🟣 لاحق</t>
        </is>
      </c>
      <c r="K29" s="40" t="n"/>
    </row>
    <row r="30" ht="22" customHeight="1">
      <c r="A30" s="69" t="n">
        <v>27</v>
      </c>
      <c r="B30" s="92" t="inlineStr">
        <is>
          <t>الامتياز التجاري</t>
        </is>
      </c>
      <c r="C30" s="92" t="inlineStr">
        <is>
          <t>متوسط درجة تقييم جودة المحطة (قائمة التحقق)</t>
        </is>
      </c>
      <c r="D30" s="69" t="inlineStr">
        <is>
          <t>درجة/100</t>
        </is>
      </c>
      <c r="E30" s="93" t="inlineStr">
        <is>
          <t>متوسط شهري · (الفعلي÷المستهدف)×100</t>
        </is>
      </c>
      <c r="F30" s="69" t="inlineStr">
        <is>
          <t>85+</t>
        </is>
      </c>
      <c r="G30" s="69" t="inlineStr">
        <is>
          <t>الاستدامة</t>
        </is>
      </c>
      <c r="H30" s="92" t="inlineStr">
        <is>
          <t>جودة التشغيل</t>
        </is>
      </c>
      <c r="I30" s="69" t="inlineStr">
        <is>
          <t>العمليات الداخلية</t>
        </is>
      </c>
      <c r="J30" s="69" t="inlineStr">
        <is>
          <t>🟣 لاحق</t>
        </is>
      </c>
      <c r="K30" s="40" t="n"/>
    </row>
    <row r="31" ht="22" customHeight="1">
      <c r="A31" s="69" t="n">
        <v>28</v>
      </c>
      <c r="B31" s="92" t="inlineStr">
        <is>
          <t>الامتياز التجاري</t>
        </is>
      </c>
      <c r="C31" s="92" t="inlineStr">
        <is>
          <t>نسبة تنفيذ الزيارات الميدانية المجدولة</t>
        </is>
      </c>
      <c r="D31" s="69" t="inlineStr">
        <is>
          <t>%</t>
        </is>
      </c>
      <c r="E31" s="93" t="inlineStr">
        <is>
          <t>متوسط شهري · (الفعلي÷المستهدف)×100</t>
        </is>
      </c>
      <c r="F31" s="69" t="inlineStr">
        <is>
          <t>100%</t>
        </is>
      </c>
      <c r="G31" s="69" t="inlineStr">
        <is>
          <t>الاستدامة</t>
        </is>
      </c>
      <c r="H31" s="92" t="inlineStr">
        <is>
          <t>جودة التشغيل</t>
        </is>
      </c>
      <c r="I31" s="69" t="inlineStr">
        <is>
          <t>العمليات الداخلية</t>
        </is>
      </c>
      <c r="J31" s="69" t="inlineStr">
        <is>
          <t>🔵 قائد</t>
        </is>
      </c>
      <c r="K31" s="40" t="n"/>
    </row>
    <row r="32" ht="22" customHeight="1">
      <c r="A32" s="69" t="n">
        <v>29</v>
      </c>
      <c r="B32" s="92" t="inlineStr">
        <is>
          <t>الامتياز التجاري</t>
        </is>
      </c>
      <c r="C32" s="92" t="inlineStr">
        <is>
          <t>نسبة المحطات المستوفية لمعايير السلامة</t>
        </is>
      </c>
      <c r="D32" s="69" t="inlineStr">
        <is>
          <t>%</t>
        </is>
      </c>
      <c r="E32" s="93" t="inlineStr">
        <is>
          <t>متوسط شهري · (الفعلي÷المستهدف)×100</t>
        </is>
      </c>
      <c r="F32" s="69" t="inlineStr">
        <is>
          <t>100%</t>
        </is>
      </c>
      <c r="G32" s="69" t="inlineStr">
        <is>
          <t>الاستدامة</t>
        </is>
      </c>
      <c r="H32" s="92" t="inlineStr">
        <is>
          <t>جودة التشغيل</t>
        </is>
      </c>
      <c r="I32" s="69" t="inlineStr">
        <is>
          <t>العمليات الداخلية</t>
        </is>
      </c>
      <c r="J32" s="69" t="inlineStr">
        <is>
          <t>🟣 لاحق</t>
        </is>
      </c>
      <c r="K32" s="40" t="n"/>
    </row>
    <row r="33" ht="22" customHeight="1">
      <c r="A33" s="69" t="n">
        <v>30</v>
      </c>
      <c r="B33" s="92" t="inlineStr">
        <is>
          <t>الامتياز التجاري</t>
        </is>
      </c>
      <c r="C33" s="92" t="inlineStr">
        <is>
          <t>متوسط وقت معالجة البلاغات التشغيلية</t>
        </is>
      </c>
      <c r="D33" s="69" t="inlineStr">
        <is>
          <t>ساعة</t>
        </is>
      </c>
      <c r="E33" s="93" t="inlineStr">
        <is>
          <t>متوسط شهري · (الفعلي÷المستهدف)×100</t>
        </is>
      </c>
      <c r="F33" s="69" t="inlineStr">
        <is>
          <t>≤ 24 ساعة</t>
        </is>
      </c>
      <c r="G33" s="69" t="inlineStr">
        <is>
          <t>الاستدامة</t>
        </is>
      </c>
      <c r="H33" s="92" t="inlineStr">
        <is>
          <t>جودة التشغيل</t>
        </is>
      </c>
      <c r="I33" s="69" t="inlineStr">
        <is>
          <t>العمليات الداخلية</t>
        </is>
      </c>
      <c r="J33" s="69" t="inlineStr">
        <is>
          <t>🟣 لاحق</t>
        </is>
      </c>
      <c r="K33" s="40" t="n"/>
    </row>
    <row r="34" ht="22" customHeight="1">
      <c r="A34" s="69" t="n">
        <v>31</v>
      </c>
      <c r="B34" s="92" t="inlineStr">
        <is>
          <t>الامتياز التجاري</t>
        </is>
      </c>
      <c r="C34" s="92" t="inlineStr">
        <is>
          <t>نسبة أتمتة محطات الامتياز</t>
        </is>
      </c>
      <c r="D34" s="69" t="inlineStr">
        <is>
          <t>%</t>
        </is>
      </c>
      <c r="E34" s="93" t="inlineStr">
        <is>
          <t>تراكمي (آخر قيمة) · (الفعلي÷المستهدف)×100</t>
        </is>
      </c>
      <c r="F34" s="69" t="inlineStr">
        <is>
          <t>90%</t>
        </is>
      </c>
      <c r="G34" s="69" t="inlineStr">
        <is>
          <t>الابتكار</t>
        </is>
      </c>
      <c r="H34" s="92" t="inlineStr">
        <is>
          <t>التحول التقني</t>
        </is>
      </c>
      <c r="I34" s="69" t="inlineStr">
        <is>
          <t>التعلّم والنمو</t>
        </is>
      </c>
      <c r="J34" s="69" t="inlineStr">
        <is>
          <t>🟣 لاحق</t>
        </is>
      </c>
      <c r="K34" s="40" t="n"/>
    </row>
    <row r="35" ht="22" customHeight="1">
      <c r="A35" s="69" t="n">
        <v>32</v>
      </c>
      <c r="B35" s="92" t="inlineStr">
        <is>
          <t>الامتياز التجاري</t>
        </is>
      </c>
      <c r="C35" s="92" t="inlineStr">
        <is>
          <t>نسبة تطبيق المعيار الشامل داخل المحطات</t>
        </is>
      </c>
      <c r="D35" s="69" t="inlineStr">
        <is>
          <t>%</t>
        </is>
      </c>
      <c r="E35" s="93" t="inlineStr">
        <is>
          <t>تراكمي (آخر قيمة) · (الفعلي÷المستهدف)×100</t>
        </is>
      </c>
      <c r="F35" s="69" t="inlineStr">
        <is>
          <t>30%</t>
        </is>
      </c>
      <c r="G35" s="69" t="inlineStr">
        <is>
          <t>الابتكار</t>
        </is>
      </c>
      <c r="H35" s="92" t="inlineStr">
        <is>
          <t>التحول التقني</t>
        </is>
      </c>
      <c r="I35" s="69" t="inlineStr">
        <is>
          <t>العمليات الداخلية</t>
        </is>
      </c>
      <c r="J35" s="69" t="inlineStr">
        <is>
          <t>🟣 لاحق</t>
        </is>
      </c>
      <c r="K35" s="40" t="n"/>
    </row>
    <row r="36" ht="22" customHeight="1">
      <c r="A36" s="69" t="n">
        <v>33</v>
      </c>
      <c r="B36" s="92" t="inlineStr">
        <is>
          <t>الامتياز التجاري</t>
        </is>
      </c>
      <c r="C36" s="92" t="inlineStr">
        <is>
          <t>نسبة التزام المحطات بالهوية المؤسسية</t>
        </is>
      </c>
      <c r="D36" s="69" t="inlineStr">
        <is>
          <t>%</t>
        </is>
      </c>
      <c r="E36" s="93" t="inlineStr">
        <is>
          <t>تراكمي (آخر قيمة) · (الفعلي÷المستهدف)×100</t>
        </is>
      </c>
      <c r="F36" s="69" t="inlineStr">
        <is>
          <t>55%</t>
        </is>
      </c>
      <c r="G36" s="69" t="inlineStr">
        <is>
          <t>الابتكار</t>
        </is>
      </c>
      <c r="H36" s="92" t="inlineStr">
        <is>
          <t>تطوير التصاميم والهوية</t>
        </is>
      </c>
      <c r="I36" s="69" t="inlineStr">
        <is>
          <t>التعلّم والنمو</t>
        </is>
      </c>
      <c r="J36" s="69" t="inlineStr">
        <is>
          <t>🟣 لاحق</t>
        </is>
      </c>
      <c r="K36" s="40" t="n"/>
    </row>
    <row r="37" ht="22" customHeight="1">
      <c r="A37" s="69" t="n">
        <v>34</v>
      </c>
      <c r="B37" s="92" t="inlineStr">
        <is>
          <t>الامتياز التجاري</t>
        </is>
      </c>
      <c r="C37" s="92" t="inlineStr">
        <is>
          <t>نسبة العقود التي تغطي المناطق الـ13</t>
        </is>
      </c>
      <c r="D37" s="69" t="inlineStr">
        <is>
          <t>%</t>
        </is>
      </c>
      <c r="E37" s="93" t="inlineStr">
        <is>
          <t>تراكمي (آخر قيمة) · (الفعلي÷المستهدف)×100</t>
        </is>
      </c>
      <c r="F37" s="69" t="inlineStr">
        <is>
          <t>100%</t>
        </is>
      </c>
      <c r="G37" s="69" t="inlineStr">
        <is>
          <t>النمو</t>
        </is>
      </c>
      <c r="H37" s="92" t="inlineStr">
        <is>
          <t>التوسع في المواقع</t>
        </is>
      </c>
      <c r="I37" s="69" t="inlineStr">
        <is>
          <t>العمليات الداخلية</t>
        </is>
      </c>
      <c r="J37" s="69" t="inlineStr">
        <is>
          <t>🟣 لاحق</t>
        </is>
      </c>
      <c r="K37" s="40" t="n"/>
    </row>
    <row r="38" ht="22" customHeight="1">
      <c r="A38" s="69" t="n">
        <v>35</v>
      </c>
      <c r="B38" s="92" t="inlineStr">
        <is>
          <t>الامتياز التجاري</t>
        </is>
      </c>
      <c r="C38" s="92" t="inlineStr">
        <is>
          <t>نسبة العقود في الـ12 مدينة الرئيسية</t>
        </is>
      </c>
      <c r="D38" s="69" t="inlineStr">
        <is>
          <t>%</t>
        </is>
      </c>
      <c r="E38" s="93" t="inlineStr">
        <is>
          <t>تراكمي (آخر قيمة) · (الفعلي÷المستهدف)×100</t>
        </is>
      </c>
      <c r="F38" s="69" t="inlineStr">
        <is>
          <t>&lt; 40%</t>
        </is>
      </c>
      <c r="G38" s="69" t="inlineStr">
        <is>
          <t>النمو</t>
        </is>
      </c>
      <c r="H38" s="92" t="inlineStr">
        <is>
          <t>التوسع في المواقع</t>
        </is>
      </c>
      <c r="I38" s="69" t="inlineStr">
        <is>
          <t>العمليات الداخلية</t>
        </is>
      </c>
      <c r="J38" s="69" t="inlineStr">
        <is>
          <t>🟣 لاحق</t>
        </is>
      </c>
      <c r="K38" s="40" t="n"/>
    </row>
    <row r="39" ht="22" customHeight="1">
      <c r="A39" s="69" t="n">
        <v>36</v>
      </c>
      <c r="B39" s="92" t="inlineStr">
        <is>
          <t>الامتياز التجاري</t>
        </is>
      </c>
      <c r="C39" s="92" t="inlineStr">
        <is>
          <t>نسبة العقود خارج المدن الرئيسية</t>
        </is>
      </c>
      <c r="D39" s="69" t="inlineStr">
        <is>
          <t>%</t>
        </is>
      </c>
      <c r="E39" s="93" t="inlineStr">
        <is>
          <t>تراكمي (آخر قيمة) · (الفعلي÷المستهدف)×100</t>
        </is>
      </c>
      <c r="F39" s="69" t="inlineStr">
        <is>
          <t>&gt; 60%</t>
        </is>
      </c>
      <c r="G39" s="69" t="inlineStr">
        <is>
          <t>النمو</t>
        </is>
      </c>
      <c r="H39" s="92" t="inlineStr">
        <is>
          <t>التوسع في المواقع</t>
        </is>
      </c>
      <c r="I39" s="69" t="inlineStr">
        <is>
          <t>العمليات الداخلية</t>
        </is>
      </c>
      <c r="J39" s="69" t="inlineStr">
        <is>
          <t>🟣 لاحق</t>
        </is>
      </c>
      <c r="K39" s="40" t="n"/>
    </row>
    <row r="40" ht="22" customHeight="1">
      <c r="A40" s="69" t="n">
        <v>37</v>
      </c>
      <c r="B40" s="92" t="inlineStr">
        <is>
          <t>الامتياز التجاري</t>
        </is>
      </c>
      <c r="C40" s="92" t="inlineStr">
        <is>
          <t>نسبة العقود على الطرق الإقليمية</t>
        </is>
      </c>
      <c r="D40" s="69" t="inlineStr">
        <is>
          <t>%</t>
        </is>
      </c>
      <c r="E40" s="93" t="inlineStr">
        <is>
          <t>تراكمي (آخر قيمة) · (الفعلي÷المستهدف)×100</t>
        </is>
      </c>
      <c r="F40" s="69" t="inlineStr">
        <is>
          <t>&gt; 25%</t>
        </is>
      </c>
      <c r="G40" s="69" t="inlineStr">
        <is>
          <t>النمو</t>
        </is>
      </c>
      <c r="H40" s="92" t="inlineStr">
        <is>
          <t>التوسع في المواقع</t>
        </is>
      </c>
      <c r="I40" s="69" t="inlineStr">
        <is>
          <t>العمليات الداخلية</t>
        </is>
      </c>
      <c r="J40" s="69" t="inlineStr">
        <is>
          <t>🟣 لاحق</t>
        </is>
      </c>
      <c r="K40" s="40" t="n"/>
    </row>
    <row r="41" ht="22" customHeight="1">
      <c r="A41" s="69" t="n">
        <v>38</v>
      </c>
      <c r="B41" s="92" t="inlineStr">
        <is>
          <t>الامتياز التجاري</t>
        </is>
      </c>
      <c r="C41" s="92" t="inlineStr">
        <is>
          <t>متوسط تقييم المحطات على خرائط قوقل</t>
        </is>
      </c>
      <c r="D41" s="69" t="inlineStr">
        <is>
          <t>نجمة/5</t>
        </is>
      </c>
      <c r="E41" s="93" t="inlineStr">
        <is>
          <t>متوسط شهري · (الفعلي÷المستهدف)×100</t>
        </is>
      </c>
      <c r="F41" s="69" t="inlineStr">
        <is>
          <t>≥ 4.7 نجمة</t>
        </is>
      </c>
      <c r="G41" s="69" t="inlineStr">
        <is>
          <t>الاستدامة</t>
        </is>
      </c>
      <c r="H41" s="92" t="inlineStr">
        <is>
          <t>تعزيز تجربة العملاء</t>
        </is>
      </c>
      <c r="I41" s="69" t="inlineStr">
        <is>
          <t>العملاء</t>
        </is>
      </c>
      <c r="J41" s="69" t="inlineStr">
        <is>
          <t>🟣 لاحق</t>
        </is>
      </c>
      <c r="K41" s="40" t="n"/>
    </row>
    <row r="42" ht="22" customHeight="1">
      <c r="A42" s="69" t="n">
        <v>39</v>
      </c>
      <c r="B42" s="92" t="inlineStr">
        <is>
          <t>الامتياز التجاري</t>
        </is>
      </c>
      <c r="C42" s="92" t="inlineStr">
        <is>
          <t>معدل رضا شركاء الامتياز (CSAT)</t>
        </is>
      </c>
      <c r="D42" s="69" t="inlineStr">
        <is>
          <t>%</t>
        </is>
      </c>
      <c r="E42" s="93" t="inlineStr">
        <is>
          <t>متوسط شهري · (الفعلي÷المستهدف)×100</t>
        </is>
      </c>
      <c r="F42" s="69" t="inlineStr">
        <is>
          <t>90%+</t>
        </is>
      </c>
      <c r="G42" s="69" t="inlineStr">
        <is>
          <t>الاستدامة</t>
        </is>
      </c>
      <c r="H42" s="92" t="inlineStr">
        <is>
          <t>تعزيز تجربة العملاء</t>
        </is>
      </c>
      <c r="I42" s="69" t="inlineStr">
        <is>
          <t>العملاء</t>
        </is>
      </c>
      <c r="J42" s="69" t="inlineStr">
        <is>
          <t>🟣 لاحق</t>
        </is>
      </c>
      <c r="K42" s="40" t="n"/>
    </row>
    <row r="43" ht="22" customHeight="1">
      <c r="A43" s="69" t="n">
        <v>40</v>
      </c>
      <c r="B43" s="92" t="inlineStr">
        <is>
          <t>الامتياز التجاري</t>
        </is>
      </c>
      <c r="C43" s="92" t="inlineStr">
        <is>
          <t>نسبة حل الشكاوى خلال المدة المحددة</t>
        </is>
      </c>
      <c r="D43" s="69" t="inlineStr">
        <is>
          <t>%</t>
        </is>
      </c>
      <c r="E43" s="93" t="inlineStr">
        <is>
          <t>متوسط شهري · (الفعلي÷المستهدف)×100</t>
        </is>
      </c>
      <c r="F43" s="69" t="inlineStr">
        <is>
          <t>95%+</t>
        </is>
      </c>
      <c r="G43" s="69" t="inlineStr">
        <is>
          <t>الاستدامة</t>
        </is>
      </c>
      <c r="H43" s="92" t="inlineStr">
        <is>
          <t>تعزيز تجربة العملاء</t>
        </is>
      </c>
      <c r="I43" s="69" t="inlineStr">
        <is>
          <t>العملاء</t>
        </is>
      </c>
      <c r="J43" s="69" t="inlineStr">
        <is>
          <t>🟣 لاحق</t>
        </is>
      </c>
      <c r="K43" s="40" t="n"/>
    </row>
    <row r="44" ht="22" customHeight="1">
      <c r="A44" s="69" t="n">
        <v>41</v>
      </c>
      <c r="B44" s="92" t="inlineStr">
        <is>
          <t>الامتياز التجاري</t>
        </is>
      </c>
      <c r="C44" s="92" t="inlineStr">
        <is>
          <t>نسبة انخفاض الشكاوى التشغيلية والإدارية</t>
        </is>
      </c>
      <c r="D44" s="69" t="inlineStr">
        <is>
          <t>%</t>
        </is>
      </c>
      <c r="E44" s="93" t="inlineStr">
        <is>
          <t>متوسط شهري · (الفعلي÷المستهدف)×100</t>
        </is>
      </c>
      <c r="F44" s="69" t="inlineStr">
        <is>
          <t>-30%</t>
        </is>
      </c>
      <c r="G44" s="69" t="inlineStr">
        <is>
          <t>الاستدامة</t>
        </is>
      </c>
      <c r="H44" s="92" t="inlineStr">
        <is>
          <t>تعزيز تجربة العملاء</t>
        </is>
      </c>
      <c r="I44" s="69" t="inlineStr">
        <is>
          <t>العملاء</t>
        </is>
      </c>
      <c r="J44" s="69" t="inlineStr">
        <is>
          <t>🟣 لاحق</t>
        </is>
      </c>
      <c r="K44" s="40" t="n"/>
    </row>
    <row r="45" ht="22" customHeight="1">
      <c r="A45" s="69" t="n">
        <v>42</v>
      </c>
      <c r="B45" s="92" t="inlineStr">
        <is>
          <t>الامتياز التجاري</t>
        </is>
      </c>
      <c r="C45" s="92" t="inlineStr">
        <is>
          <t>نسبة استدامة أصحاب الامتياز (Retention)</t>
        </is>
      </c>
      <c r="D45" s="69" t="inlineStr">
        <is>
          <t>%</t>
        </is>
      </c>
      <c r="E45" s="93" t="inlineStr">
        <is>
          <t>تراكمي (آخر قيمة) · (الفعلي÷المستهدف)×100</t>
        </is>
      </c>
      <c r="F45" s="69" t="inlineStr">
        <is>
          <t>90%</t>
        </is>
      </c>
      <c r="G45" s="69" t="inlineStr">
        <is>
          <t>الاستدامة</t>
        </is>
      </c>
      <c r="H45" s="92" t="inlineStr">
        <is>
          <t>تعزيز تجربة العملاء</t>
        </is>
      </c>
      <c r="I45" s="69" t="inlineStr">
        <is>
          <t>العمليات الداخلية</t>
        </is>
      </c>
      <c r="J45" s="69" t="inlineStr">
        <is>
          <t>🟣 لاحق</t>
        </is>
      </c>
      <c r="K45" s="40" t="n"/>
    </row>
    <row r="46" ht="22" customHeight="1">
      <c r="A46" s="69" t="n">
        <v>43</v>
      </c>
      <c r="B46" s="92" t="inlineStr">
        <is>
          <t>الامتياز التجاري</t>
        </is>
      </c>
      <c r="C46" s="92" t="inlineStr">
        <is>
          <t>نسبة زيادة عدد أصحاب الامتياز</t>
        </is>
      </c>
      <c r="D46" s="69" t="inlineStr">
        <is>
          <t>%</t>
        </is>
      </c>
      <c r="E46" s="93" t="inlineStr">
        <is>
          <t>تراكمي (آخر قيمة) · (الفعلي÷المستهدف)×100</t>
        </is>
      </c>
      <c r="F46" s="69" t="inlineStr">
        <is>
          <t>100% نمو</t>
        </is>
      </c>
      <c r="G46" s="69" t="inlineStr">
        <is>
          <t>الاستدامة</t>
        </is>
      </c>
      <c r="H46" s="92" t="inlineStr">
        <is>
          <t>تعزيز تجربة العملاء</t>
        </is>
      </c>
      <c r="I46" s="69" t="inlineStr">
        <is>
          <t>العمليات الداخلية</t>
        </is>
      </c>
      <c r="J46" s="69" t="inlineStr">
        <is>
          <t>🔵 قائد</t>
        </is>
      </c>
      <c r="K46" s="40" t="n"/>
    </row>
    <row r="47" ht="22" customHeight="1">
      <c r="A47" s="69" t="n">
        <v>44</v>
      </c>
      <c r="B47" s="92" t="inlineStr">
        <is>
          <t>الامتياز التجاري</t>
        </is>
      </c>
      <c r="C47" s="92" t="inlineStr">
        <is>
          <t>نسبة اكتمال المستندات النظامية قبل التوقيع</t>
        </is>
      </c>
      <c r="D47" s="69" t="inlineStr">
        <is>
          <t>%</t>
        </is>
      </c>
      <c r="E47" s="93" t="inlineStr">
        <is>
          <t>متوسط شهري · (الفعلي÷المستهدف)×100</t>
        </is>
      </c>
      <c r="F47" s="69" t="inlineStr">
        <is>
          <t>100%</t>
        </is>
      </c>
      <c r="G47" s="69" t="inlineStr">
        <is>
          <t>الاستدامة</t>
        </is>
      </c>
      <c r="H47" s="92" t="inlineStr">
        <is>
          <t>جودة التشغيل</t>
        </is>
      </c>
      <c r="I47" s="69" t="inlineStr">
        <is>
          <t>العمليات الداخلية</t>
        </is>
      </c>
      <c r="J47" s="69" t="inlineStr">
        <is>
          <t>🟣 لاحق</t>
        </is>
      </c>
      <c r="K47" s="40" t="n"/>
    </row>
    <row r="48" ht="22" customHeight="1">
      <c r="A48" s="69" t="n">
        <v>45</v>
      </c>
      <c r="B48" s="92" t="inlineStr">
        <is>
          <t>الامتياز التجاري</t>
        </is>
      </c>
      <c r="C48" s="92" t="inlineStr">
        <is>
          <t>متوسط مدة إغلاق عقد الامتياز</t>
        </is>
      </c>
      <c r="D48" s="69" t="inlineStr">
        <is>
          <t>أسبوع</t>
        </is>
      </c>
      <c r="E48" s="93" t="inlineStr">
        <is>
          <t>متوسط شهري · (الفعلي÷المستهدف)×100</t>
        </is>
      </c>
      <c r="F48" s="69" t="inlineStr">
        <is>
          <t>≤ أسبوع</t>
        </is>
      </c>
      <c r="G48" s="69" t="inlineStr">
        <is>
          <t>النمو</t>
        </is>
      </c>
      <c r="H48" s="92" t="inlineStr">
        <is>
          <t>الامتياز التجاري</t>
        </is>
      </c>
      <c r="I48" s="69" t="inlineStr">
        <is>
          <t>العمليات الداخلية</t>
        </is>
      </c>
      <c r="J48" s="69" t="inlineStr">
        <is>
          <t>🟣 لاحق</t>
        </is>
      </c>
      <c r="K48" s="40" t="n"/>
    </row>
    <row r="49" ht="22" customHeight="1">
      <c r="A49" s="69" t="n">
        <v>46</v>
      </c>
      <c r="B49" s="92" t="inlineStr">
        <is>
          <t>الامتياز التجاري</t>
        </is>
      </c>
      <c r="C49" s="92" t="inlineStr">
        <is>
          <t>نسبة إنجاز التقارير الدورية في موعدها</t>
        </is>
      </c>
      <c r="D49" s="69" t="inlineStr">
        <is>
          <t>%</t>
        </is>
      </c>
      <c r="E49" s="93" t="inlineStr">
        <is>
          <t>متوسط شهري · (الفعلي÷المستهدف)×100</t>
        </is>
      </c>
      <c r="F49" s="69" t="inlineStr">
        <is>
          <t>100%</t>
        </is>
      </c>
      <c r="G49" s="69" t="inlineStr">
        <is>
          <t>الاستدامة</t>
        </is>
      </c>
      <c r="H49" s="92" t="inlineStr">
        <is>
          <t>جودة التشغيل</t>
        </is>
      </c>
      <c r="I49" s="69" t="inlineStr">
        <is>
          <t>العمليات الداخلية</t>
        </is>
      </c>
      <c r="J49" s="69" t="inlineStr">
        <is>
          <t>🟣 لاحق</t>
        </is>
      </c>
      <c r="K49" s="40" t="n"/>
    </row>
    <row r="50" ht="22" customHeight="1">
      <c r="A50" s="69" t="n">
        <v>47</v>
      </c>
      <c r="B50" s="92" t="inlineStr">
        <is>
          <t>التشغيل والمحطات</t>
        </is>
      </c>
      <c r="C50" s="92" t="inlineStr">
        <is>
          <t>عدد المحطات المشغّلة (تراكمي)</t>
        </is>
      </c>
      <c r="D50" s="69" t="inlineStr">
        <is>
          <t>محطة</t>
        </is>
      </c>
      <c r="E50" s="93" t="inlineStr">
        <is>
          <t>تراكمي (آخر قيمة) · (الفعلي÷المستهدف)×100</t>
        </is>
      </c>
      <c r="F50" s="69" t="inlineStr">
        <is>
          <t>85 محطة</t>
        </is>
      </c>
      <c r="G50" s="69" t="inlineStr">
        <is>
          <t>النمو</t>
        </is>
      </c>
      <c r="H50" s="92" t="inlineStr">
        <is>
          <t>التوسع في المواقع</t>
        </is>
      </c>
      <c r="I50" s="69" t="inlineStr">
        <is>
          <t>العمليات الداخلية</t>
        </is>
      </c>
      <c r="J50" s="69" t="inlineStr">
        <is>
          <t>🔵 قائد</t>
        </is>
      </c>
      <c r="K50" s="40" t="n"/>
    </row>
    <row r="51" ht="22" customHeight="1">
      <c r="A51" s="69" t="n">
        <v>48</v>
      </c>
      <c r="B51" s="92" t="inlineStr">
        <is>
          <t>التشغيل والمحطات</t>
        </is>
      </c>
      <c r="C51" s="92" t="inlineStr">
        <is>
          <t>نمو مبيعات بنزين 91 مقارنة بالعام السابق</t>
        </is>
      </c>
      <c r="D51" s="69" t="inlineStr">
        <is>
          <t>%</t>
        </is>
      </c>
      <c r="E51" s="93" t="inlineStr">
        <is>
          <t>متوسط شهري · (الفعلي÷المستهدف)×100</t>
        </is>
      </c>
      <c r="F51" s="69" t="inlineStr">
        <is>
          <t>يُحدد لاحقاً</t>
        </is>
      </c>
      <c r="G51" s="69" t="inlineStr">
        <is>
          <t>النمو</t>
        </is>
      </c>
      <c r="H51" s="92" t="inlineStr">
        <is>
          <t>زيادة وصول العملاء</t>
        </is>
      </c>
      <c r="I51" s="69" t="inlineStr">
        <is>
          <t>مالي</t>
        </is>
      </c>
      <c r="J51" s="69" t="inlineStr">
        <is>
          <t>🔵 قائد</t>
        </is>
      </c>
      <c r="K51" s="40" t="n"/>
    </row>
    <row r="52" ht="22" customHeight="1">
      <c r="A52" s="69" t="n">
        <v>49</v>
      </c>
      <c r="B52" s="92" t="inlineStr">
        <is>
          <t>التشغيل والمحطات</t>
        </is>
      </c>
      <c r="C52" s="92" t="inlineStr">
        <is>
          <t>نمو مبيعات بنزين 95 مقارنة بالعام السابق</t>
        </is>
      </c>
      <c r="D52" s="69" t="inlineStr">
        <is>
          <t>%</t>
        </is>
      </c>
      <c r="E52" s="93" t="inlineStr">
        <is>
          <t>متوسط شهري · (الفعلي÷المستهدف)×100</t>
        </is>
      </c>
      <c r="F52" s="69" t="inlineStr">
        <is>
          <t>يُحدد لاحقاً</t>
        </is>
      </c>
      <c r="G52" s="69" t="inlineStr">
        <is>
          <t>النمو</t>
        </is>
      </c>
      <c r="H52" s="92" t="inlineStr">
        <is>
          <t>زيادة وصول العملاء</t>
        </is>
      </c>
      <c r="I52" s="69" t="inlineStr">
        <is>
          <t>مالي</t>
        </is>
      </c>
      <c r="J52" s="69" t="inlineStr">
        <is>
          <t>🔵 قائد</t>
        </is>
      </c>
      <c r="K52" s="40" t="n"/>
    </row>
    <row r="53" ht="22" customHeight="1">
      <c r="A53" s="69" t="n">
        <v>50</v>
      </c>
      <c r="B53" s="92" t="inlineStr">
        <is>
          <t>التشغيل والمحطات</t>
        </is>
      </c>
      <c r="C53" s="92" t="inlineStr">
        <is>
          <t>نمو مبيعات بنزين 98 مقارنة بالعام السابق</t>
        </is>
      </c>
      <c r="D53" s="69" t="inlineStr">
        <is>
          <t>%</t>
        </is>
      </c>
      <c r="E53" s="93" t="inlineStr">
        <is>
          <t>متوسط شهري · (الفعلي÷المستهدف)×100</t>
        </is>
      </c>
      <c r="F53" s="69" t="inlineStr">
        <is>
          <t>يُحدد لاحقاً</t>
        </is>
      </c>
      <c r="G53" s="69" t="inlineStr">
        <is>
          <t>النمو</t>
        </is>
      </c>
      <c r="H53" s="92" t="inlineStr">
        <is>
          <t>زيادة وصول العملاء</t>
        </is>
      </c>
      <c r="I53" s="69" t="inlineStr">
        <is>
          <t>مالي</t>
        </is>
      </c>
      <c r="J53" s="69" t="inlineStr">
        <is>
          <t>🔵 قائد</t>
        </is>
      </c>
      <c r="K53" s="40" t="n"/>
    </row>
    <row r="54" ht="22" customHeight="1">
      <c r="A54" s="69" t="n">
        <v>51</v>
      </c>
      <c r="B54" s="92" t="inlineStr">
        <is>
          <t>التشغيل والمحطات</t>
        </is>
      </c>
      <c r="C54" s="92" t="inlineStr">
        <is>
          <t>نمو مبيعات الديزل مقارنة بالعام السابق</t>
        </is>
      </c>
      <c r="D54" s="69" t="inlineStr">
        <is>
          <t>%</t>
        </is>
      </c>
      <c r="E54" s="93" t="inlineStr">
        <is>
          <t>متوسط شهري · (الفعلي÷المستهدف)×100</t>
        </is>
      </c>
      <c r="F54" s="69" t="inlineStr">
        <is>
          <t>يُحدد لاحقاً</t>
        </is>
      </c>
      <c r="G54" s="69" t="inlineStr">
        <is>
          <t>النمو</t>
        </is>
      </c>
      <c r="H54" s="92" t="inlineStr">
        <is>
          <t>زيادة وصول العملاء</t>
        </is>
      </c>
      <c r="I54" s="69" t="inlineStr">
        <is>
          <t>مالي</t>
        </is>
      </c>
      <c r="J54" s="69" t="inlineStr">
        <is>
          <t>🔵 قائد</t>
        </is>
      </c>
      <c r="K54" s="40" t="n"/>
    </row>
    <row r="55" ht="22" customHeight="1">
      <c r="A55" s="69" t="n">
        <v>52</v>
      </c>
      <c r="B55" s="92" t="inlineStr">
        <is>
          <t>التشغيل والمحطات</t>
        </is>
      </c>
      <c r="C55" s="92" t="inlineStr">
        <is>
          <t>نسبة جاهزية المحطة الشاملة (Uptime)</t>
        </is>
      </c>
      <c r="D55" s="69" t="inlineStr">
        <is>
          <t>%</t>
        </is>
      </c>
      <c r="E55" s="93" t="inlineStr">
        <is>
          <t>متوسط شهري · (الفعلي÷المستهدف)×100</t>
        </is>
      </c>
      <c r="F55" s="69" t="inlineStr">
        <is>
          <t>99%+</t>
        </is>
      </c>
      <c r="G55" s="69" t="inlineStr">
        <is>
          <t>الاستدامة</t>
        </is>
      </c>
      <c r="H55" s="92" t="inlineStr">
        <is>
          <t>جودة التشغيل</t>
        </is>
      </c>
      <c r="I55" s="69" t="inlineStr">
        <is>
          <t>العمليات الداخلية</t>
        </is>
      </c>
      <c r="J55" s="69" t="inlineStr">
        <is>
          <t>🟣 لاحق</t>
        </is>
      </c>
      <c r="K55" s="40" t="n"/>
    </row>
    <row r="56" ht="22" customHeight="1">
      <c r="A56" s="69" t="n">
        <v>53</v>
      </c>
      <c r="B56" s="92" t="inlineStr">
        <is>
          <t>التشغيل والمحطات</t>
        </is>
      </c>
      <c r="C56" s="92" t="inlineStr">
        <is>
          <t>نسبة المضخات العاملة</t>
        </is>
      </c>
      <c r="D56" s="69" t="inlineStr">
        <is>
          <t>%</t>
        </is>
      </c>
      <c r="E56" s="93" t="inlineStr">
        <is>
          <t>متوسط شهري · (الفعلي÷المستهدف)×100</t>
        </is>
      </c>
      <c r="F56" s="69" t="inlineStr">
        <is>
          <t>≥ 97%</t>
        </is>
      </c>
      <c r="G56" s="69" t="inlineStr">
        <is>
          <t>الاستدامة</t>
        </is>
      </c>
      <c r="H56" s="92" t="inlineStr">
        <is>
          <t>جودة التشغيل</t>
        </is>
      </c>
      <c r="I56" s="69" t="inlineStr">
        <is>
          <t>العمليات الداخلية</t>
        </is>
      </c>
      <c r="J56" s="69" t="inlineStr">
        <is>
          <t>🟣 لاحق</t>
        </is>
      </c>
      <c r="K56" s="40" t="n"/>
    </row>
    <row r="57" ht="22" customHeight="1">
      <c r="A57" s="69" t="n">
        <v>54</v>
      </c>
      <c r="B57" s="92" t="inlineStr">
        <is>
          <t>التشغيل والمحطات</t>
        </is>
      </c>
      <c r="C57" s="92" t="inlineStr">
        <is>
          <t>تكلفة التشغيل لكل لتر مباع</t>
        </is>
      </c>
      <c r="D57" s="69" t="inlineStr">
        <is>
          <t>هللة/لتر</t>
        </is>
      </c>
      <c r="E57" s="93" t="inlineStr">
        <is>
          <t>متوسط شهري · (الفعلي÷المستهدف)×100</t>
        </is>
      </c>
      <c r="F57" s="69" t="inlineStr">
        <is>
          <t>خفض ≥5% سنوياً</t>
        </is>
      </c>
      <c r="G57" s="69" t="inlineStr">
        <is>
          <t>الاستدامة</t>
        </is>
      </c>
      <c r="H57" s="92" t="inlineStr">
        <is>
          <t>جودة التشغيل</t>
        </is>
      </c>
      <c r="I57" s="69" t="inlineStr">
        <is>
          <t>مالي</t>
        </is>
      </c>
      <c r="J57" s="69" t="inlineStr">
        <is>
          <t>🟣 لاحق</t>
        </is>
      </c>
      <c r="K57" s="40" t="n"/>
    </row>
    <row r="58" ht="22" customHeight="1">
      <c r="A58" s="69" t="n">
        <v>55</v>
      </c>
      <c r="B58" s="92" t="inlineStr">
        <is>
          <t>التشغيل والمحطات</t>
        </is>
      </c>
      <c r="C58" s="92" t="inlineStr">
        <is>
          <t>نسبة الصيانة الوقائية المنفذة في موعدها</t>
        </is>
      </c>
      <c r="D58" s="69" t="inlineStr">
        <is>
          <t>%</t>
        </is>
      </c>
      <c r="E58" s="93" t="inlineStr">
        <is>
          <t>متوسط شهري · (الفعلي÷المستهدف)×100</t>
        </is>
      </c>
      <c r="F58" s="69" t="inlineStr">
        <is>
          <t>≥ 95%</t>
        </is>
      </c>
      <c r="G58" s="69" t="inlineStr">
        <is>
          <t>الاستدامة</t>
        </is>
      </c>
      <c r="H58" s="92" t="inlineStr">
        <is>
          <t>جودة التشغيل</t>
        </is>
      </c>
      <c r="I58" s="69" t="inlineStr">
        <is>
          <t>العمليات الداخلية</t>
        </is>
      </c>
      <c r="J58" s="69" t="inlineStr">
        <is>
          <t>🟣 لاحق</t>
        </is>
      </c>
      <c r="K58" s="40" t="n"/>
    </row>
    <row r="59" ht="22" customHeight="1">
      <c r="A59" s="69" t="n">
        <v>56</v>
      </c>
      <c r="B59" s="92" t="inlineStr">
        <is>
          <t>التشغيل والمحطات</t>
        </is>
      </c>
      <c r="C59" s="92" t="inlineStr">
        <is>
          <t>نسبة انخفاض الشكاوى مقارنة بالشهر السابق</t>
        </is>
      </c>
      <c r="D59" s="69" t="inlineStr">
        <is>
          <t>%</t>
        </is>
      </c>
      <c r="E59" s="93" t="inlineStr">
        <is>
          <t>متوسط شهري · (الفعلي÷المستهدف)×100</t>
        </is>
      </c>
      <c r="F59" s="69" t="inlineStr">
        <is>
          <t>−30%</t>
        </is>
      </c>
      <c r="G59" s="69" t="inlineStr">
        <is>
          <t>الاستدامة</t>
        </is>
      </c>
      <c r="H59" s="92" t="inlineStr">
        <is>
          <t>تعزيز تجربة العملاء</t>
        </is>
      </c>
      <c r="I59" s="69" t="inlineStr">
        <is>
          <t>العملاء</t>
        </is>
      </c>
      <c r="J59" s="69" t="inlineStr">
        <is>
          <t>🟣 لاحق</t>
        </is>
      </c>
      <c r="K59" s="40" t="n"/>
    </row>
    <row r="60" ht="22" customHeight="1">
      <c r="A60" s="69" t="n">
        <v>57</v>
      </c>
      <c r="B60" s="92" t="inlineStr">
        <is>
          <t>التشغيل والمحطات</t>
        </is>
      </c>
      <c r="C60" s="92" t="inlineStr">
        <is>
          <t>تقييم Google Maps للمحطات</t>
        </is>
      </c>
      <c r="D60" s="69" t="inlineStr">
        <is>
          <t>نجمة/5</t>
        </is>
      </c>
      <c r="E60" s="93" t="inlineStr">
        <is>
          <t>متوسط شهري · (الفعلي÷المستهدف)×100</t>
        </is>
      </c>
      <c r="F60" s="69" t="inlineStr">
        <is>
          <t>≥ 4.5</t>
        </is>
      </c>
      <c r="G60" s="69" t="inlineStr">
        <is>
          <t>الاستدامة</t>
        </is>
      </c>
      <c r="H60" s="92" t="inlineStr">
        <is>
          <t>تعزيز تجربة العملاء</t>
        </is>
      </c>
      <c r="I60" s="69" t="inlineStr">
        <is>
          <t>العمليات الداخلية</t>
        </is>
      </c>
      <c r="J60" s="69" t="inlineStr">
        <is>
          <t>🟣 لاحق</t>
        </is>
      </c>
      <c r="K60" s="40" t="n"/>
    </row>
    <row r="61" ht="22" customHeight="1">
      <c r="A61" s="69" t="n">
        <v>58</v>
      </c>
      <c r="B61" s="92" t="inlineStr">
        <is>
          <t>التشغيل والمحطات</t>
        </is>
      </c>
      <c r="C61" s="92" t="inlineStr">
        <is>
          <t>سرعة تعبئة الوقود</t>
        </is>
      </c>
      <c r="D61" s="69" t="inlineStr">
        <is>
          <t>دقيقة</t>
        </is>
      </c>
      <c r="E61" s="93" t="inlineStr">
        <is>
          <t>متوسط شهري · (الفعلي÷المستهدف)×100</t>
        </is>
      </c>
      <c r="F61" s="69" t="inlineStr">
        <is>
          <t>≤ 3 دقائق</t>
        </is>
      </c>
      <c r="G61" s="69" t="inlineStr">
        <is>
          <t>الاستدامة</t>
        </is>
      </c>
      <c r="H61" s="92" t="inlineStr">
        <is>
          <t>تعزيز تجربة العملاء</t>
        </is>
      </c>
      <c r="I61" s="69" t="inlineStr">
        <is>
          <t>العمليات الداخلية</t>
        </is>
      </c>
      <c r="J61" s="69" t="inlineStr">
        <is>
          <t>🟣 لاحق</t>
        </is>
      </c>
      <c r="K61" s="40" t="n"/>
    </row>
    <row r="62" ht="22" customHeight="1">
      <c r="A62" s="69" t="n">
        <v>59</v>
      </c>
      <c r="B62" s="92" t="inlineStr">
        <is>
          <t>التشغيل والمحطات</t>
        </is>
      </c>
      <c r="C62" s="92" t="inlineStr">
        <is>
          <t>دقة التعبئة بدون أخطاء</t>
        </is>
      </c>
      <c r="D62" s="69" t="inlineStr">
        <is>
          <t>%</t>
        </is>
      </c>
      <c r="E62" s="93" t="inlineStr">
        <is>
          <t>متوسط شهري · (الفعلي÷المستهدف)×100</t>
        </is>
      </c>
      <c r="F62" s="69" t="inlineStr">
        <is>
          <t>≥ 99%</t>
        </is>
      </c>
      <c r="G62" s="69" t="inlineStr">
        <is>
          <t>الاستدامة</t>
        </is>
      </c>
      <c r="H62" s="92" t="inlineStr">
        <is>
          <t>جودة التشغيل</t>
        </is>
      </c>
      <c r="I62" s="69" t="inlineStr">
        <is>
          <t>العمليات الداخلية</t>
        </is>
      </c>
      <c r="J62" s="69" t="inlineStr">
        <is>
          <t>🟣 لاحق</t>
        </is>
      </c>
      <c r="K62" s="40" t="n"/>
    </row>
    <row r="63" ht="22" customHeight="1">
      <c r="A63" s="69" t="n">
        <v>60</v>
      </c>
      <c r="B63" s="92" t="inlineStr">
        <is>
          <t>التشغيل والمحطات</t>
        </is>
      </c>
      <c r="C63" s="92" t="inlineStr">
        <is>
          <t>تطبيق المعيار الشامل في المحطات</t>
        </is>
      </c>
      <c r="D63" s="69" t="inlineStr">
        <is>
          <t>%</t>
        </is>
      </c>
      <c r="E63" s="93" t="inlineStr">
        <is>
          <t>تراكمي (آخر قيمة) · (الفعلي÷المستهدف)×100</t>
        </is>
      </c>
      <c r="F63" s="69" t="inlineStr">
        <is>
          <t>≥ 80%</t>
        </is>
      </c>
      <c r="G63" s="69" t="inlineStr">
        <is>
          <t>الابتكار</t>
        </is>
      </c>
      <c r="H63" s="92" t="inlineStr">
        <is>
          <t>التحول التقني</t>
        </is>
      </c>
      <c r="I63" s="69" t="inlineStr">
        <is>
          <t>العمليات الداخلية</t>
        </is>
      </c>
      <c r="J63" s="69" t="inlineStr">
        <is>
          <t>🟣 لاحق</t>
        </is>
      </c>
      <c r="K63" s="40" t="n"/>
    </row>
    <row r="64" ht="22" customHeight="1">
      <c r="A64" s="69" t="n">
        <v>61</v>
      </c>
      <c r="B64" s="92" t="inlineStr">
        <is>
          <t>التشغيل والمحطات</t>
        </is>
      </c>
      <c r="C64" s="92" t="inlineStr">
        <is>
          <t>الالتزام بمعايير السلامة داخل المحطة</t>
        </is>
      </c>
      <c r="D64" s="69" t="inlineStr">
        <is>
          <t>%</t>
        </is>
      </c>
      <c r="E64" s="93" t="inlineStr">
        <is>
          <t>متوسط شهري · (الفعلي÷المستهدف)×100</t>
        </is>
      </c>
      <c r="F64" s="69" t="inlineStr">
        <is>
          <t>100%</t>
        </is>
      </c>
      <c r="G64" s="69" t="inlineStr">
        <is>
          <t>الاستدامة</t>
        </is>
      </c>
      <c r="H64" s="92" t="inlineStr">
        <is>
          <t>جودة التشغيل</t>
        </is>
      </c>
      <c r="I64" s="69" t="inlineStr">
        <is>
          <t>العمليات الداخلية</t>
        </is>
      </c>
      <c r="J64" s="69" t="inlineStr">
        <is>
          <t>🟣 لاحق</t>
        </is>
      </c>
      <c r="K64" s="40" t="n"/>
    </row>
    <row r="65" ht="22" customHeight="1">
      <c r="A65" s="69" t="n">
        <v>62</v>
      </c>
      <c r="B65" s="92" t="inlineStr">
        <is>
          <t>التشغيل والمحطات</t>
        </is>
      </c>
      <c r="C65" s="92" t="inlineStr">
        <is>
          <t>التشجير داخل المحطة (معيار الوزارة)</t>
        </is>
      </c>
      <c r="D65" s="69" t="inlineStr">
        <is>
          <t>%</t>
        </is>
      </c>
      <c r="E65" s="93" t="inlineStr">
        <is>
          <t>تراكمي (آخر قيمة) · (الفعلي÷المستهدف)×100</t>
        </is>
      </c>
      <c r="F65" s="69" t="inlineStr">
        <is>
          <t>100%</t>
        </is>
      </c>
      <c r="G65" s="69" t="inlineStr">
        <is>
          <t>الاستدامة</t>
        </is>
      </c>
      <c r="H65" s="92" t="inlineStr">
        <is>
          <t>جودة التشغيل</t>
        </is>
      </c>
      <c r="I65" s="69" t="inlineStr">
        <is>
          <t>العمليات الداخلية</t>
        </is>
      </c>
      <c r="J65" s="69" t="inlineStr">
        <is>
          <t>🟣 لاحق</t>
        </is>
      </c>
      <c r="K65" s="40" t="n"/>
    </row>
    <row r="66" ht="22" customHeight="1">
      <c r="A66" s="69" t="n">
        <v>63</v>
      </c>
      <c r="B66" s="92" t="inlineStr">
        <is>
          <t>الاستثمار</t>
        </is>
      </c>
      <c r="C66" s="92" t="inlineStr">
        <is>
          <t>إجمالي عقود الاستثمار الجديدة (جميع النماذج)</t>
        </is>
      </c>
      <c r="D66" s="69" t="inlineStr">
        <is>
          <t>عقد</t>
        </is>
      </c>
      <c r="E66" s="93" t="inlineStr">
        <is>
          <t>تجميعي (مجموع شهري) · (الفعلي÷المستهدف)×100</t>
        </is>
      </c>
      <c r="F66" s="69" t="inlineStr">
        <is>
          <t>190 عقد</t>
        </is>
      </c>
      <c r="G66" s="69" t="inlineStr">
        <is>
          <t>النمو</t>
        </is>
      </c>
      <c r="H66" s="92" t="inlineStr">
        <is>
          <t>التوسع في المواقع</t>
        </is>
      </c>
      <c r="I66" s="69" t="inlineStr">
        <is>
          <t>العمليات الداخلية</t>
        </is>
      </c>
      <c r="J66" s="69" t="inlineStr">
        <is>
          <t>🟣 لاحق</t>
        </is>
      </c>
      <c r="K66" s="40" t="n"/>
    </row>
    <row r="67" ht="22" customHeight="1">
      <c r="A67" s="69" t="n">
        <v>64</v>
      </c>
      <c r="B67" s="92" t="inlineStr">
        <is>
          <t>الاستثمار</t>
        </is>
      </c>
      <c r="C67" s="92" t="inlineStr">
        <is>
          <t>عقود الاستثمار العادي الجديدة</t>
        </is>
      </c>
      <c r="D67" s="69" t="inlineStr">
        <is>
          <t>عقد</t>
        </is>
      </c>
      <c r="E67" s="93" t="inlineStr">
        <is>
          <t>تجميعي (مجموع شهري) · (الفعلي÷المستهدف)×100</t>
        </is>
      </c>
      <c r="F67" s="69" t="inlineStr">
        <is>
          <t>90 عقد</t>
        </is>
      </c>
      <c r="G67" s="69" t="inlineStr">
        <is>
          <t>النمو</t>
        </is>
      </c>
      <c r="H67" s="92" t="inlineStr">
        <is>
          <t>التوسع في المواقع</t>
        </is>
      </c>
      <c r="I67" s="69" t="inlineStr">
        <is>
          <t>العمليات الداخلية</t>
        </is>
      </c>
      <c r="J67" s="69" t="inlineStr">
        <is>
          <t>🟣 لاحق</t>
        </is>
      </c>
      <c r="K67" s="40" t="n"/>
    </row>
    <row r="68" ht="22" customHeight="1">
      <c r="A68" s="69" t="n">
        <v>65</v>
      </c>
      <c r="B68" s="92" t="inlineStr">
        <is>
          <t>الاستثمار</t>
        </is>
      </c>
      <c r="C68" s="92" t="inlineStr">
        <is>
          <t>عقود الاستحواذ الجديدة</t>
        </is>
      </c>
      <c r="D68" s="69" t="inlineStr">
        <is>
          <t>عقد</t>
        </is>
      </c>
      <c r="E68" s="93" t="inlineStr">
        <is>
          <t>تجميعي (مجموع شهري) · (الفعلي÷المستهدف)×100</t>
        </is>
      </c>
      <c r="F68" s="69" t="inlineStr">
        <is>
          <t>100 عقد</t>
        </is>
      </c>
      <c r="G68" s="69" t="inlineStr">
        <is>
          <t>النمو</t>
        </is>
      </c>
      <c r="H68" s="92" t="inlineStr">
        <is>
          <t>التوسع في المواقع</t>
        </is>
      </c>
      <c r="I68" s="69" t="inlineStr">
        <is>
          <t>العمليات الداخلية</t>
        </is>
      </c>
      <c r="J68" s="69" t="inlineStr">
        <is>
          <t>🟣 لاحق</t>
        </is>
      </c>
      <c r="K68" s="40" t="n"/>
    </row>
    <row r="69" ht="22" customHeight="1">
      <c r="A69" s="69" t="n">
        <v>66</v>
      </c>
      <c r="B69" s="92" t="inlineStr">
        <is>
          <t>الاستثمار</t>
        </is>
      </c>
      <c r="C69" s="92" t="inlineStr">
        <is>
          <t>المحطات المستحوَذ عليها المشغّلة (تراكمي)</t>
        </is>
      </c>
      <c r="D69" s="69" t="inlineStr">
        <is>
          <t>محطة</t>
        </is>
      </c>
      <c r="E69" s="93" t="inlineStr">
        <is>
          <t>تراكمي (آخر قيمة) · (الفعلي÷المستهدف)×100</t>
        </is>
      </c>
      <c r="F69" s="69" t="inlineStr">
        <is>
          <t>120 محطة</t>
        </is>
      </c>
      <c r="G69" s="69" t="inlineStr">
        <is>
          <t>النمو</t>
        </is>
      </c>
      <c r="H69" s="92" t="inlineStr">
        <is>
          <t>التوسع في المواقع</t>
        </is>
      </c>
      <c r="I69" s="69" t="inlineStr">
        <is>
          <t>العمليات الداخلية</t>
        </is>
      </c>
      <c r="J69" s="69" t="inlineStr">
        <is>
          <t>🟣 لاحق</t>
        </is>
      </c>
      <c r="K69" s="40" t="n"/>
    </row>
    <row r="70" ht="22" customHeight="1">
      <c r="A70" s="69" t="n">
        <v>67</v>
      </c>
      <c r="B70" s="92" t="inlineStr">
        <is>
          <t>الاستثمار</t>
        </is>
      </c>
      <c r="C70" s="92" t="inlineStr">
        <is>
          <t>عقود تأجير الأرض الجديدة</t>
        </is>
      </c>
      <c r="D70" s="69" t="inlineStr">
        <is>
          <t>عقد</t>
        </is>
      </c>
      <c r="E70" s="93" t="inlineStr">
        <is>
          <t>تجميعي (مجموع شهري) · (الفعلي÷المستهدف)×100</t>
        </is>
      </c>
      <c r="F70" s="69" t="inlineStr">
        <is>
          <t>11 عقد</t>
        </is>
      </c>
      <c r="G70" s="69" t="inlineStr">
        <is>
          <t>النمو</t>
        </is>
      </c>
      <c r="H70" s="92" t="inlineStr">
        <is>
          <t>التوسع في المواقع</t>
        </is>
      </c>
      <c r="I70" s="69" t="inlineStr">
        <is>
          <t>العمليات الداخلية</t>
        </is>
      </c>
      <c r="J70" s="69" t="inlineStr">
        <is>
          <t>🟣 لاحق</t>
        </is>
      </c>
      <c r="K70" s="40" t="n"/>
    </row>
    <row r="71" ht="22" customHeight="1">
      <c r="A71" s="69" t="n">
        <v>68</v>
      </c>
      <c r="B71" s="92" t="inlineStr">
        <is>
          <t>الاستثمار</t>
        </is>
      </c>
      <c r="C71" s="92" t="inlineStr">
        <is>
          <t>عقود إيجار المحطة الجديدة</t>
        </is>
      </c>
      <c r="D71" s="69" t="inlineStr">
        <is>
          <t>عقد</t>
        </is>
      </c>
      <c r="E71" s="93" t="inlineStr">
        <is>
          <t>تجميعي (مجموع شهري) · (الفعلي÷المستهدف)×100</t>
        </is>
      </c>
      <c r="F71" s="69" t="inlineStr">
        <is>
          <t>12 عقد</t>
        </is>
      </c>
      <c r="G71" s="69" t="inlineStr">
        <is>
          <t>النمو</t>
        </is>
      </c>
      <c r="H71" s="92" t="inlineStr">
        <is>
          <t>التوسع في المواقع</t>
        </is>
      </c>
      <c r="I71" s="69" t="inlineStr">
        <is>
          <t>العمليات الداخلية</t>
        </is>
      </c>
      <c r="J71" s="69" t="inlineStr">
        <is>
          <t>🟣 لاحق</t>
        </is>
      </c>
      <c r="K71" s="40" t="n"/>
    </row>
    <row r="72" ht="22" customHeight="1">
      <c r="A72" s="69" t="n">
        <v>69</v>
      </c>
      <c r="B72" s="92" t="inlineStr">
        <is>
          <t>الاستثمار</t>
        </is>
      </c>
      <c r="C72" s="92" t="inlineStr">
        <is>
          <t>عقود تشغيل المحطة الجديدة</t>
        </is>
      </c>
      <c r="D72" s="69" t="inlineStr">
        <is>
          <t>عقد</t>
        </is>
      </c>
      <c r="E72" s="93" t="inlineStr">
        <is>
          <t>تجميعي (مجموع شهري) · (الفعلي÷المستهدف)×100</t>
        </is>
      </c>
      <c r="F72" s="69" t="inlineStr">
        <is>
          <t>68 عقد</t>
        </is>
      </c>
      <c r="G72" s="69" t="inlineStr">
        <is>
          <t>النمو</t>
        </is>
      </c>
      <c r="H72" s="92" t="inlineStr">
        <is>
          <t>التوسع في المواقع</t>
        </is>
      </c>
      <c r="I72" s="69" t="inlineStr">
        <is>
          <t>العمليات الداخلية</t>
        </is>
      </c>
      <c r="J72" s="69" t="inlineStr">
        <is>
          <t>🟣 لاحق</t>
        </is>
      </c>
      <c r="K72" s="40" t="n"/>
    </row>
    <row r="73" ht="22" customHeight="1">
      <c r="A73" s="69" t="n">
        <v>70</v>
      </c>
      <c r="B73" s="92" t="inlineStr">
        <is>
          <t>الاستثمار</t>
        </is>
      </c>
      <c r="C73" s="92" t="inlineStr">
        <is>
          <t>نسبة المواقع المعتمدة ذات العائد المجدي</t>
        </is>
      </c>
      <c r="D73" s="69" t="inlineStr">
        <is>
          <t>%</t>
        </is>
      </c>
      <c r="E73" s="93" t="inlineStr">
        <is>
          <t>متوسط شهري · (الفعلي÷المستهدف)×100</t>
        </is>
      </c>
      <c r="F73" s="69" t="inlineStr">
        <is>
          <t>80%+</t>
        </is>
      </c>
      <c r="G73" s="69" t="inlineStr">
        <is>
          <t>الاستدامة</t>
        </is>
      </c>
      <c r="H73" s="92" t="inlineStr">
        <is>
          <t>جودة التشغيل</t>
        </is>
      </c>
      <c r="I73" s="69" t="inlineStr">
        <is>
          <t>مالي</t>
        </is>
      </c>
      <c r="J73" s="69" t="inlineStr">
        <is>
          <t>🟣 لاحق</t>
        </is>
      </c>
      <c r="K73" s="40" t="n"/>
    </row>
    <row r="74" ht="22" customHeight="1">
      <c r="A74" s="69" t="n">
        <v>71</v>
      </c>
      <c r="B74" s="92" t="inlineStr">
        <is>
          <t>الاستثمار</t>
        </is>
      </c>
      <c r="C74" s="92" t="inlineStr">
        <is>
          <t>متوسط فترة استرداد رأس المال</t>
        </is>
      </c>
      <c r="D74" s="69" t="inlineStr">
        <is>
          <t>سنة</t>
        </is>
      </c>
      <c r="E74" s="93" t="inlineStr">
        <is>
          <t>متوسط شهري · (الفعلي÷المستهدف)×100</t>
        </is>
      </c>
      <c r="F74" s="69" t="inlineStr">
        <is>
          <t>≤ 5 سنوات</t>
        </is>
      </c>
      <c r="G74" s="69" t="inlineStr">
        <is>
          <t>الاستدامة</t>
        </is>
      </c>
      <c r="H74" s="92" t="inlineStr">
        <is>
          <t>جودة التشغيل</t>
        </is>
      </c>
      <c r="I74" s="69" t="inlineStr">
        <is>
          <t>مالي</t>
        </is>
      </c>
      <c r="J74" s="69" t="inlineStr">
        <is>
          <t>🟣 لاحق</t>
        </is>
      </c>
      <c r="K74" s="40" t="n"/>
    </row>
    <row r="75" ht="22" customHeight="1">
      <c r="A75" s="69" t="n">
        <v>72</v>
      </c>
      <c r="B75" s="92" t="inlineStr">
        <is>
          <t>الاستثمار</t>
        </is>
      </c>
      <c r="C75" s="92" t="inlineStr">
        <is>
          <t>متوسط قيمة عقد الإيجار السنوي (أرض)</t>
        </is>
      </c>
      <c r="D75" s="69" t="inlineStr">
        <is>
          <t>ر.س</t>
        </is>
      </c>
      <c r="E75" s="93" t="inlineStr">
        <is>
          <t>متوسط شهري · (الفعلي÷المستهدف)×100</t>
        </is>
      </c>
      <c r="F75" s="69" t="inlineStr">
        <is>
          <t>يُحدد لاحقاً</t>
        </is>
      </c>
      <c r="G75" s="69" t="inlineStr">
        <is>
          <t>النمو</t>
        </is>
      </c>
      <c r="H75" s="92" t="inlineStr">
        <is>
          <t>التوسع في المواقع</t>
        </is>
      </c>
      <c r="I75" s="69" t="inlineStr">
        <is>
          <t>مالي</t>
        </is>
      </c>
      <c r="J75" s="69" t="inlineStr">
        <is>
          <t>🟣 لاحق</t>
        </is>
      </c>
      <c r="K75" s="40" t="n"/>
    </row>
    <row r="76" ht="22" customHeight="1">
      <c r="A76" s="69" t="n">
        <v>73</v>
      </c>
      <c r="B76" s="92" t="inlineStr">
        <is>
          <t>الاستثمار</t>
        </is>
      </c>
      <c r="C76" s="92" t="inlineStr">
        <is>
          <t>نسبة العقود التي تغطي المناطق الـ13</t>
        </is>
      </c>
      <c r="D76" s="69" t="inlineStr">
        <is>
          <t>%</t>
        </is>
      </c>
      <c r="E76" s="93" t="inlineStr">
        <is>
          <t>تراكمي (آخر قيمة) · (الفعلي÷المستهدف)×100</t>
        </is>
      </c>
      <c r="F76" s="69" t="inlineStr">
        <is>
          <t>100%</t>
        </is>
      </c>
      <c r="G76" s="69" t="inlineStr">
        <is>
          <t>النمو</t>
        </is>
      </c>
      <c r="H76" s="92" t="inlineStr">
        <is>
          <t>التوسع في المواقع</t>
        </is>
      </c>
      <c r="I76" s="69" t="inlineStr">
        <is>
          <t>العمليات الداخلية</t>
        </is>
      </c>
      <c r="J76" s="69" t="inlineStr">
        <is>
          <t>🟣 لاحق</t>
        </is>
      </c>
      <c r="K76" s="40" t="n"/>
    </row>
    <row r="77" ht="22" customHeight="1">
      <c r="A77" s="69" t="n">
        <v>74</v>
      </c>
      <c r="B77" s="92" t="inlineStr">
        <is>
          <t>الاستثمار</t>
        </is>
      </c>
      <c r="C77" s="92" t="inlineStr">
        <is>
          <t>نسبة العقود خارج المدن الرئيسية</t>
        </is>
      </c>
      <c r="D77" s="69" t="inlineStr">
        <is>
          <t>%</t>
        </is>
      </c>
      <c r="E77" s="93" t="inlineStr">
        <is>
          <t>تراكمي (آخر قيمة) · (الفعلي÷المستهدف)×100</t>
        </is>
      </c>
      <c r="F77" s="69" t="inlineStr">
        <is>
          <t>&gt; 60%</t>
        </is>
      </c>
      <c r="G77" s="69" t="inlineStr">
        <is>
          <t>النمو</t>
        </is>
      </c>
      <c r="H77" s="92" t="inlineStr">
        <is>
          <t>التوسع في المواقع</t>
        </is>
      </c>
      <c r="I77" s="69" t="inlineStr">
        <is>
          <t>العمليات الداخلية</t>
        </is>
      </c>
      <c r="J77" s="69" t="inlineStr">
        <is>
          <t>🟣 لاحق</t>
        </is>
      </c>
      <c r="K77" s="40" t="n"/>
    </row>
    <row r="78" ht="22" customHeight="1">
      <c r="A78" s="69" t="n">
        <v>75</v>
      </c>
      <c r="B78" s="92" t="inlineStr">
        <is>
          <t>الاستثمار</t>
        </is>
      </c>
      <c r="C78" s="92" t="inlineStr">
        <is>
          <t>نسبة العقود في الـ12 مدينة الرئيسية</t>
        </is>
      </c>
      <c r="D78" s="69" t="inlineStr">
        <is>
          <t>%</t>
        </is>
      </c>
      <c r="E78" s="93" t="inlineStr">
        <is>
          <t>تراكمي (آخر قيمة) · (الفعلي÷المستهدف)×100</t>
        </is>
      </c>
      <c r="F78" s="69" t="inlineStr">
        <is>
          <t>&lt; 40%</t>
        </is>
      </c>
      <c r="G78" s="69" t="inlineStr">
        <is>
          <t>النمو</t>
        </is>
      </c>
      <c r="H78" s="92" t="inlineStr">
        <is>
          <t>التوسع في المواقع</t>
        </is>
      </c>
      <c r="I78" s="69" t="inlineStr">
        <is>
          <t>العمليات الداخلية</t>
        </is>
      </c>
      <c r="J78" s="69" t="inlineStr">
        <is>
          <t>🟣 لاحق</t>
        </is>
      </c>
      <c r="K78" s="40" t="n"/>
    </row>
    <row r="79" ht="22" customHeight="1">
      <c r="A79" s="69" t="n">
        <v>76</v>
      </c>
      <c r="B79" s="92" t="inlineStr">
        <is>
          <t>الاستثمار</t>
        </is>
      </c>
      <c r="C79" s="92" t="inlineStr">
        <is>
          <t>نسبة العقود على الطرق الإقليمية</t>
        </is>
      </c>
      <c r="D79" s="69" t="inlineStr">
        <is>
          <t>%</t>
        </is>
      </c>
      <c r="E79" s="93" t="inlineStr">
        <is>
          <t>تراكمي (آخر قيمة) · (الفعلي÷المستهدف)×100</t>
        </is>
      </c>
      <c r="F79" s="69" t="inlineStr">
        <is>
          <t>&gt; 25%</t>
        </is>
      </c>
      <c r="G79" s="69" t="inlineStr">
        <is>
          <t>النمو</t>
        </is>
      </c>
      <c r="H79" s="92" t="inlineStr">
        <is>
          <t>التوسع في المواقع</t>
        </is>
      </c>
      <c r="I79" s="69" t="inlineStr">
        <is>
          <t>العمليات الداخلية</t>
        </is>
      </c>
      <c r="J79" s="69" t="inlineStr">
        <is>
          <t>🟣 لاحق</t>
        </is>
      </c>
      <c r="K79" s="40" t="n"/>
    </row>
    <row r="80" ht="22" customHeight="1">
      <c r="A80" s="69" t="n">
        <v>77</v>
      </c>
      <c r="B80" s="92" t="inlineStr">
        <is>
          <t>الاستثمار</t>
        </is>
      </c>
      <c r="C80" s="92" t="inlineStr">
        <is>
          <t>متوسط مدة إغلاق عقد الاستثمار</t>
        </is>
      </c>
      <c r="D80" s="69" t="inlineStr">
        <is>
          <t>أسبوع</t>
        </is>
      </c>
      <c r="E80" s="93" t="inlineStr">
        <is>
          <t>متوسط شهري · (الفعلي÷المستهدف)×100</t>
        </is>
      </c>
      <c r="F80" s="69" t="inlineStr">
        <is>
          <t>≤ أسبوع</t>
        </is>
      </c>
      <c r="G80" s="69" t="inlineStr">
        <is>
          <t>النمو</t>
        </is>
      </c>
      <c r="H80" s="92" t="inlineStr">
        <is>
          <t>التوسع في المواقع</t>
        </is>
      </c>
      <c r="I80" s="69" t="inlineStr">
        <is>
          <t>العمليات الداخلية</t>
        </is>
      </c>
      <c r="J80" s="69" t="inlineStr">
        <is>
          <t>🟣 لاحق</t>
        </is>
      </c>
      <c r="K80" s="40" t="n"/>
    </row>
    <row r="81" ht="22" customHeight="1">
      <c r="A81" s="69" t="n">
        <v>78</v>
      </c>
      <c r="B81" s="92" t="inlineStr">
        <is>
          <t>الاستثمار</t>
        </is>
      </c>
      <c r="C81" s="92" t="inlineStr">
        <is>
          <t>نسبة العقود المتحوّلة لمحطات مشغّلة</t>
        </is>
      </c>
      <c r="D81" s="69" t="inlineStr">
        <is>
          <t>%</t>
        </is>
      </c>
      <c r="E81" s="93" t="inlineStr">
        <is>
          <t>متوسط شهري · (الفعلي÷المستهدف)×100</t>
        </is>
      </c>
      <c r="F81" s="69" t="inlineStr">
        <is>
          <t>≥ 30%</t>
        </is>
      </c>
      <c r="G81" s="69" t="inlineStr">
        <is>
          <t>النمو</t>
        </is>
      </c>
      <c r="H81" s="92" t="inlineStr">
        <is>
          <t>التوسع في المواقع</t>
        </is>
      </c>
      <c r="I81" s="69" t="inlineStr">
        <is>
          <t>العمليات الداخلية</t>
        </is>
      </c>
      <c r="J81" s="69" t="inlineStr">
        <is>
          <t>🟣 لاحق</t>
        </is>
      </c>
      <c r="K81" s="40" t="n"/>
    </row>
    <row r="82" ht="22" customHeight="1">
      <c r="A82" s="69" t="n">
        <v>79</v>
      </c>
      <c r="B82" s="92" t="inlineStr">
        <is>
          <t>الاستثمار</t>
        </is>
      </c>
      <c r="C82" s="92" t="inlineStr">
        <is>
          <t>نسبة تخفيض إيجار المواقع عالية التكاليف</t>
        </is>
      </c>
      <c r="D82" s="69" t="inlineStr">
        <is>
          <t>%</t>
        </is>
      </c>
      <c r="E82" s="93" t="inlineStr">
        <is>
          <t>متوسط شهري · (الفعلي÷المستهدف)×100</t>
        </is>
      </c>
      <c r="F82" s="69" t="inlineStr">
        <is>
          <t>≥ 30%</t>
        </is>
      </c>
      <c r="G82" s="69" t="inlineStr">
        <is>
          <t>الاستدامة</t>
        </is>
      </c>
      <c r="H82" s="92" t="inlineStr">
        <is>
          <t>جودة التشغيل</t>
        </is>
      </c>
      <c r="I82" s="69" t="inlineStr">
        <is>
          <t>العمليات الداخلية</t>
        </is>
      </c>
      <c r="J82" s="69" t="inlineStr">
        <is>
          <t>🟣 لاحق</t>
        </is>
      </c>
      <c r="K82" s="40" t="n"/>
    </row>
    <row r="83" ht="22" customHeight="1">
      <c r="A83" s="69" t="n">
        <v>80</v>
      </c>
      <c r="B83" s="92" t="inlineStr">
        <is>
          <t>الاستثمار</t>
        </is>
      </c>
      <c r="C83" s="92" t="inlineStr">
        <is>
          <t>نسبة اكتمال المستندات النظامية قبل التوقيع</t>
        </is>
      </c>
      <c r="D83" s="69" t="inlineStr">
        <is>
          <t>%</t>
        </is>
      </c>
      <c r="E83" s="93" t="inlineStr">
        <is>
          <t>متوسط شهري · (الفعلي÷المستهدف)×100</t>
        </is>
      </c>
      <c r="F83" s="69" t="inlineStr">
        <is>
          <t>100%</t>
        </is>
      </c>
      <c r="G83" s="69" t="inlineStr">
        <is>
          <t>الاستدامة</t>
        </is>
      </c>
      <c r="H83" s="92" t="inlineStr">
        <is>
          <t>جودة التشغيل</t>
        </is>
      </c>
      <c r="I83" s="69" t="inlineStr">
        <is>
          <t>العمليات الداخلية</t>
        </is>
      </c>
      <c r="J83" s="69" t="inlineStr">
        <is>
          <t>🟣 لاحق</t>
        </is>
      </c>
      <c r="K83" s="40" t="n"/>
    </row>
    <row r="84" ht="22" customHeight="1">
      <c r="A84" s="69" t="n">
        <v>81</v>
      </c>
      <c r="B84" s="92" t="inlineStr">
        <is>
          <t>الاستثمار</t>
        </is>
      </c>
      <c r="C84" s="92" t="inlineStr">
        <is>
          <t>نسبة العقود المؤرشفة إلكترونياً خلال 48 ساعة</t>
        </is>
      </c>
      <c r="D84" s="69" t="inlineStr">
        <is>
          <t>%</t>
        </is>
      </c>
      <c r="E84" s="93" t="inlineStr">
        <is>
          <t>متوسط شهري · (الفعلي÷المستهدف)×100</t>
        </is>
      </c>
      <c r="F84" s="69" t="inlineStr">
        <is>
          <t>95%+</t>
        </is>
      </c>
      <c r="G84" s="69" t="inlineStr">
        <is>
          <t>الاستدامة</t>
        </is>
      </c>
      <c r="H84" s="92" t="inlineStr">
        <is>
          <t>جودة التشغيل</t>
        </is>
      </c>
      <c r="I84" s="69" t="inlineStr">
        <is>
          <t>العمليات الداخلية</t>
        </is>
      </c>
      <c r="J84" s="69" t="inlineStr">
        <is>
          <t>🟣 لاحق</t>
        </is>
      </c>
      <c r="K84" s="40" t="n"/>
    </row>
    <row r="85" ht="22" customHeight="1">
      <c r="A85" s="69" t="n">
        <v>82</v>
      </c>
      <c r="B85" s="92" t="inlineStr">
        <is>
          <t>الاستثمار</t>
        </is>
      </c>
      <c r="C85" s="92" t="inlineStr">
        <is>
          <t>جودة التفاوض مع المستثمرين (توافق مع المستهدفات)</t>
        </is>
      </c>
      <c r="D85" s="69" t="inlineStr">
        <is>
          <t>%</t>
        </is>
      </c>
      <c r="E85" s="93" t="inlineStr">
        <is>
          <t>متوسط شهري · (الفعلي÷المستهدف)×100</t>
        </is>
      </c>
      <c r="F85" s="69" t="inlineStr">
        <is>
          <t>98%</t>
        </is>
      </c>
      <c r="G85" s="69" t="inlineStr">
        <is>
          <t>النمو</t>
        </is>
      </c>
      <c r="H85" s="92" t="inlineStr">
        <is>
          <t>التوسع في المواقع</t>
        </is>
      </c>
      <c r="I85" s="69" t="inlineStr">
        <is>
          <t>العمليات الداخلية</t>
        </is>
      </c>
      <c r="J85" s="69" t="inlineStr">
        <is>
          <t>🟣 لاحق</t>
        </is>
      </c>
      <c r="K85" s="40" t="n"/>
    </row>
    <row r="86" ht="22" customHeight="1">
      <c r="A86" s="69" t="n">
        <v>83</v>
      </c>
      <c r="B86" s="92" t="inlineStr">
        <is>
          <t>الاستثمار</t>
        </is>
      </c>
      <c r="C86" s="92" t="inlineStr">
        <is>
          <t>سرعة إنجاز إجراءات التعاقد</t>
        </is>
      </c>
      <c r="D86" s="69" t="inlineStr">
        <is>
          <t>أسبوع</t>
        </is>
      </c>
      <c r="E86" s="93" t="inlineStr">
        <is>
          <t>متوسط شهري · (الفعلي÷المستهدف)×100</t>
        </is>
      </c>
      <c r="F86" s="69" t="inlineStr">
        <is>
          <t>≤ أسبوع</t>
        </is>
      </c>
      <c r="G86" s="69" t="inlineStr">
        <is>
          <t>النمو</t>
        </is>
      </c>
      <c r="H86" s="92" t="inlineStr">
        <is>
          <t>التوسع في المواقع</t>
        </is>
      </c>
      <c r="I86" s="69" t="inlineStr">
        <is>
          <t>العمليات الداخلية</t>
        </is>
      </c>
      <c r="J86" s="69" t="inlineStr">
        <is>
          <t>🟣 لاحق</t>
        </is>
      </c>
      <c r="K86" s="40" t="n"/>
    </row>
    <row r="87" ht="22" customHeight="1">
      <c r="A87" s="69" t="n">
        <v>84</v>
      </c>
      <c r="B87" s="92" t="inlineStr">
        <is>
          <t>الاستثمار</t>
        </is>
      </c>
      <c r="C87" s="92" t="inlineStr">
        <is>
          <t>مدى رضا المستثمرين وشركاء الاستثمار</t>
        </is>
      </c>
      <c r="D87" s="69" t="inlineStr">
        <is>
          <t>%</t>
        </is>
      </c>
      <c r="E87" s="93" t="inlineStr">
        <is>
          <t>متوسط شهري · (الفعلي÷المستهدف)×100</t>
        </is>
      </c>
      <c r="F87" s="69" t="inlineStr">
        <is>
          <t>80%+</t>
        </is>
      </c>
      <c r="G87" s="69" t="inlineStr">
        <is>
          <t>الاستدامة</t>
        </is>
      </c>
      <c r="H87" s="92" t="inlineStr">
        <is>
          <t>تعزيز تجربة العملاء</t>
        </is>
      </c>
      <c r="I87" s="69" t="inlineStr">
        <is>
          <t>العملاء</t>
        </is>
      </c>
      <c r="J87" s="69" t="inlineStr">
        <is>
          <t>🟣 لاحق</t>
        </is>
      </c>
      <c r="K87" s="40" t="n"/>
    </row>
    <row r="88" ht="22" customHeight="1">
      <c r="A88" s="69" t="n">
        <v>85</v>
      </c>
      <c r="B88" s="92" t="inlineStr">
        <is>
          <t>الاستثمار</t>
        </is>
      </c>
      <c r="C88" s="92" t="inlineStr">
        <is>
          <t>نسبة اكتمال أرشفة ملفات العملاء</t>
        </is>
      </c>
      <c r="D88" s="69" t="inlineStr">
        <is>
          <t>%</t>
        </is>
      </c>
      <c r="E88" s="93" t="inlineStr">
        <is>
          <t>متوسط شهري · (الفعلي÷المستهدف)×100</t>
        </is>
      </c>
      <c r="F88" s="69" t="inlineStr">
        <is>
          <t>100%</t>
        </is>
      </c>
      <c r="G88" s="69" t="inlineStr">
        <is>
          <t>الاستدامة</t>
        </is>
      </c>
      <c r="H88" s="92" t="inlineStr">
        <is>
          <t>جودة التشغيل</t>
        </is>
      </c>
      <c r="I88" s="69" t="inlineStr">
        <is>
          <t>العملاء</t>
        </is>
      </c>
      <c r="J88" s="69" t="inlineStr">
        <is>
          <t>🟣 لاحق</t>
        </is>
      </c>
      <c r="K88" s="40" t="n"/>
    </row>
    <row r="89" ht="22" customHeight="1">
      <c r="A89" s="69" t="n">
        <v>86</v>
      </c>
      <c r="B89" s="92" t="inlineStr">
        <is>
          <t>الاستثمار</t>
        </is>
      </c>
      <c r="C89" s="92" t="inlineStr">
        <is>
          <t>نسبة إنجاز التقارير الدورية في موعدها</t>
        </is>
      </c>
      <c r="D89" s="69" t="inlineStr">
        <is>
          <t>%</t>
        </is>
      </c>
      <c r="E89" s="93" t="inlineStr">
        <is>
          <t>متوسط شهري · (الفعلي÷المستهدف)×100</t>
        </is>
      </c>
      <c r="F89" s="69" t="inlineStr">
        <is>
          <t>100%</t>
        </is>
      </c>
      <c r="G89" s="69" t="inlineStr">
        <is>
          <t>الاستدامة</t>
        </is>
      </c>
      <c r="H89" s="92" t="inlineStr">
        <is>
          <t>جودة التشغيل</t>
        </is>
      </c>
      <c r="I89" s="69" t="inlineStr">
        <is>
          <t>العمليات الداخلية</t>
        </is>
      </c>
      <c r="J89" s="69" t="inlineStr">
        <is>
          <t>🟣 لاحق</t>
        </is>
      </c>
      <c r="K89" s="40" t="n"/>
    </row>
    <row r="90" ht="22" customHeight="1">
      <c r="A90" s="69" t="n">
        <v>87</v>
      </c>
      <c r="B90" s="92" t="inlineStr">
        <is>
          <t>العقار</t>
        </is>
      </c>
      <c r="C90" s="92" t="inlineStr">
        <is>
          <t>نمو الإيرادات الإيجارية</t>
        </is>
      </c>
      <c r="D90" s="69" t="inlineStr">
        <is>
          <t>%</t>
        </is>
      </c>
      <c r="E90" s="93" t="inlineStr">
        <is>
          <t>متوسط شهري · (الفعلي÷المستهدف)×100</t>
        </is>
      </c>
      <c r="F90" s="69" t="inlineStr">
        <is>
          <t>&gt; 8% سنوياً</t>
        </is>
      </c>
      <c r="G90" s="69" t="inlineStr">
        <is>
          <t>الاستدامة</t>
        </is>
      </c>
      <c r="H90" s="92" t="inlineStr">
        <is>
          <t>منظومة التأجير</t>
        </is>
      </c>
      <c r="I90" s="69" t="inlineStr">
        <is>
          <t>مالي</t>
        </is>
      </c>
      <c r="J90" s="69" t="inlineStr">
        <is>
          <t>🔵 قائد</t>
        </is>
      </c>
      <c r="K90" s="40" t="n"/>
    </row>
    <row r="91" ht="22" customHeight="1">
      <c r="A91" s="69" t="n">
        <v>88</v>
      </c>
      <c r="B91" s="92" t="inlineStr">
        <is>
          <t>العقار</t>
        </is>
      </c>
      <c r="C91" s="92" t="inlineStr">
        <is>
          <t>نسبة الالتزام بالعقود</t>
        </is>
      </c>
      <c r="D91" s="69" t="inlineStr">
        <is>
          <t>%</t>
        </is>
      </c>
      <c r="E91" s="93" t="inlineStr">
        <is>
          <t>متوسط شهري · (الفعلي÷المستهدف)×100</t>
        </is>
      </c>
      <c r="F91" s="69" t="inlineStr">
        <is>
          <t>100%</t>
        </is>
      </c>
      <c r="G91" s="69" t="inlineStr">
        <is>
          <t>الاستدامة</t>
        </is>
      </c>
      <c r="H91" s="92" t="inlineStr">
        <is>
          <t>منظومة التأجير</t>
        </is>
      </c>
      <c r="I91" s="69" t="inlineStr">
        <is>
          <t>العمليات الداخلية</t>
        </is>
      </c>
      <c r="J91" s="69" t="inlineStr">
        <is>
          <t>🟣 لاحق</t>
        </is>
      </c>
      <c r="K91" s="40" t="n"/>
    </row>
    <row r="92" ht="22" customHeight="1">
      <c r="A92" s="69" t="n">
        <v>89</v>
      </c>
      <c r="B92" s="92" t="inlineStr">
        <is>
          <t>العقار</t>
        </is>
      </c>
      <c r="C92" s="92" t="inlineStr">
        <is>
          <t>نسبة التحصيل</t>
        </is>
      </c>
      <c r="D92" s="69" t="inlineStr">
        <is>
          <t>%</t>
        </is>
      </c>
      <c r="E92" s="93" t="inlineStr">
        <is>
          <t>متوسط شهري · (الفعلي÷المستهدف)×100</t>
        </is>
      </c>
      <c r="F92" s="69" t="inlineStr">
        <is>
          <t>&gt; 95%</t>
        </is>
      </c>
      <c r="G92" s="69" t="inlineStr">
        <is>
          <t>الاستدامة</t>
        </is>
      </c>
      <c r="H92" s="92" t="inlineStr">
        <is>
          <t>منظومة التأجير</t>
        </is>
      </c>
      <c r="I92" s="69" t="inlineStr">
        <is>
          <t>مالي</t>
        </is>
      </c>
      <c r="J92" s="69" t="inlineStr">
        <is>
          <t>🟣 لاحق</t>
        </is>
      </c>
      <c r="K92" s="40" t="n"/>
    </row>
    <row r="93" ht="22" customHeight="1">
      <c r="A93" s="69" t="n">
        <v>90</v>
      </c>
      <c r="B93" s="92" t="inlineStr">
        <is>
          <t>العقار</t>
        </is>
      </c>
      <c r="C93" s="92" t="inlineStr">
        <is>
          <t>نسبة الإشغال</t>
        </is>
      </c>
      <c r="D93" s="69" t="inlineStr">
        <is>
          <t>%</t>
        </is>
      </c>
      <c r="E93" s="93" t="inlineStr">
        <is>
          <t>متوسط شهري · (الفعلي÷المستهدف)×100</t>
        </is>
      </c>
      <c r="F93" s="69" t="inlineStr">
        <is>
          <t>≥ 60%</t>
        </is>
      </c>
      <c r="G93" s="69" t="inlineStr">
        <is>
          <t>الاستدامة</t>
        </is>
      </c>
      <c r="H93" s="92" t="inlineStr">
        <is>
          <t>منظومة التأجير</t>
        </is>
      </c>
      <c r="I93" s="69" t="inlineStr">
        <is>
          <t>العمليات الداخلية</t>
        </is>
      </c>
      <c r="J93" s="69" t="inlineStr">
        <is>
          <t>🟣 لاحق</t>
        </is>
      </c>
      <c r="K93" s="40" t="n"/>
    </row>
    <row r="94" ht="22" customHeight="1">
      <c r="A94" s="69" t="n">
        <v>91</v>
      </c>
      <c r="B94" s="92" t="inlineStr">
        <is>
          <t>العقار</t>
        </is>
      </c>
      <c r="C94" s="92" t="inlineStr">
        <is>
          <t>الوحدات المؤجَّرة شهرياً</t>
        </is>
      </c>
      <c r="D94" s="69" t="inlineStr">
        <is>
          <t>وحدة</t>
        </is>
      </c>
      <c r="E94" s="93" t="inlineStr">
        <is>
          <t>متوسط شهري · (الفعلي÷المستهدف)×100</t>
        </is>
      </c>
      <c r="F94" s="69" t="inlineStr">
        <is>
          <t>68 شهرياً</t>
        </is>
      </c>
      <c r="G94" s="69" t="inlineStr">
        <is>
          <t>الاستدامة</t>
        </is>
      </c>
      <c r="H94" s="92" t="inlineStr">
        <is>
          <t>منظومة التأجير</t>
        </is>
      </c>
      <c r="I94" s="69" t="inlineStr">
        <is>
          <t>العمليات الداخلية</t>
        </is>
      </c>
      <c r="J94" s="69" t="inlineStr">
        <is>
          <t>🟣 لاحق</t>
        </is>
      </c>
      <c r="K94" s="40" t="n"/>
    </row>
    <row r="95" ht="22" customHeight="1">
      <c r="A95" s="69" t="n">
        <v>92</v>
      </c>
      <c r="B95" s="92" t="inlineStr">
        <is>
          <t>العقار</t>
        </is>
      </c>
      <c r="C95" s="92" t="inlineStr">
        <is>
          <t>العملاء المحتملون (LEADS)</t>
        </is>
      </c>
      <c r="D95" s="69" t="inlineStr">
        <is>
          <t>عميل</t>
        </is>
      </c>
      <c r="E95" s="93" t="inlineStr">
        <is>
          <t>متوسط شهري · (الفعلي÷المستهدف)×100</t>
        </is>
      </c>
      <c r="F95" s="69" t="inlineStr">
        <is>
          <t>544–680</t>
        </is>
      </c>
      <c r="G95" s="69" t="inlineStr">
        <is>
          <t>النمو</t>
        </is>
      </c>
      <c r="H95" s="92" t="inlineStr">
        <is>
          <t>زيادة وصول العملاء</t>
        </is>
      </c>
      <c r="I95" s="69" t="inlineStr">
        <is>
          <t>العملاء</t>
        </is>
      </c>
      <c r="J95" s="69" t="inlineStr">
        <is>
          <t>🔵 قائد</t>
        </is>
      </c>
      <c r="K95" s="40" t="n"/>
    </row>
    <row r="96" ht="22" customHeight="1">
      <c r="A96" s="69" t="n">
        <v>93</v>
      </c>
      <c r="B96" s="92" t="inlineStr">
        <is>
          <t>العقار</t>
        </is>
      </c>
      <c r="C96" s="92" t="inlineStr">
        <is>
          <t>معدل التحويل</t>
        </is>
      </c>
      <c r="D96" s="69" t="inlineStr">
        <is>
          <t>%</t>
        </is>
      </c>
      <c r="E96" s="93" t="inlineStr">
        <is>
          <t>متوسط شهري · (الفعلي÷المستهدف)×100</t>
        </is>
      </c>
      <c r="F96" s="69" t="inlineStr">
        <is>
          <t>15–25%</t>
        </is>
      </c>
      <c r="G96" s="69" t="inlineStr">
        <is>
          <t>النمو</t>
        </is>
      </c>
      <c r="H96" s="92" t="inlineStr">
        <is>
          <t>زيادة وصول العملاء</t>
        </is>
      </c>
      <c r="I96" s="69" t="inlineStr">
        <is>
          <t>العمليات الداخلية</t>
        </is>
      </c>
      <c r="J96" s="69" t="inlineStr">
        <is>
          <t>🔵 قائد</t>
        </is>
      </c>
      <c r="K96" s="40" t="n"/>
    </row>
    <row r="97" ht="22" customHeight="1">
      <c r="A97" s="69" t="n">
        <v>94</v>
      </c>
      <c r="B97" s="92" t="inlineStr">
        <is>
          <t>العقار</t>
        </is>
      </c>
      <c r="C97" s="92" t="inlineStr">
        <is>
          <t>زيادة عدد العلامات التجارية</t>
        </is>
      </c>
      <c r="D97" s="69" t="inlineStr">
        <is>
          <t>علامة</t>
        </is>
      </c>
      <c r="E97" s="93" t="inlineStr">
        <is>
          <t>تراكمي (آخر قيمة) · (الفعلي÷المستهدف)×100</t>
        </is>
      </c>
      <c r="F97" s="69" t="inlineStr">
        <is>
          <t>246 علامة</t>
        </is>
      </c>
      <c r="G97" s="69" t="inlineStr">
        <is>
          <t>الاستدامة</t>
        </is>
      </c>
      <c r="H97" s="92" t="inlineStr">
        <is>
          <t>منظومة التأجير</t>
        </is>
      </c>
      <c r="I97" s="69" t="inlineStr">
        <is>
          <t>العمليات الداخلية</t>
        </is>
      </c>
      <c r="J97" s="69" t="inlineStr">
        <is>
          <t>🔵 قائد</t>
        </is>
      </c>
      <c r="K97" s="40" t="n"/>
    </row>
    <row r="98" ht="22" customHeight="1">
      <c r="A98" s="69" t="n">
        <v>95</v>
      </c>
      <c r="B98" s="92" t="inlineStr">
        <is>
          <t>العقار</t>
        </is>
      </c>
      <c r="C98" s="92" t="inlineStr">
        <is>
          <t>نسبة تأجير ساحة درب</t>
        </is>
      </c>
      <c r="D98" s="69" t="inlineStr">
        <is>
          <t>%</t>
        </is>
      </c>
      <c r="E98" s="93" t="inlineStr">
        <is>
          <t>تراكمي (آخر قيمة) · (الفعلي÷المستهدف)×100</t>
        </is>
      </c>
      <c r="F98" s="69" t="inlineStr">
        <is>
          <t>≥ 80%</t>
        </is>
      </c>
      <c r="G98" s="69" t="inlineStr">
        <is>
          <t>الابتكار</t>
        </is>
      </c>
      <c r="H98" s="92" t="inlineStr">
        <is>
          <t>ساحات درب</t>
        </is>
      </c>
      <c r="I98" s="69" t="inlineStr">
        <is>
          <t>العمليات الداخلية</t>
        </is>
      </c>
      <c r="J98" s="69" t="inlineStr">
        <is>
          <t>🟣 لاحق</t>
        </is>
      </c>
      <c r="K98" s="40" t="n"/>
    </row>
    <row r="99" ht="22" customHeight="1">
      <c r="A99" s="69" t="n">
        <v>96</v>
      </c>
      <c r="B99" s="92" t="inlineStr">
        <is>
          <t>العقار</t>
        </is>
      </c>
      <c r="C99" s="92" t="inlineStr">
        <is>
          <t>علامات تجارية جديدة (ساحة درب)</t>
        </is>
      </c>
      <c r="D99" s="69" t="inlineStr">
        <is>
          <t>علامة</t>
        </is>
      </c>
      <c r="E99" s="93" t="inlineStr">
        <is>
          <t>تجميعي (مجموع شهري) · (الفعلي÷المستهدف)×100</t>
        </is>
      </c>
      <c r="F99" s="69" t="inlineStr">
        <is>
          <t>6 علامات</t>
        </is>
      </c>
      <c r="G99" s="69" t="inlineStr">
        <is>
          <t>الابتكار</t>
        </is>
      </c>
      <c r="H99" s="92" t="inlineStr">
        <is>
          <t>ساحات درب</t>
        </is>
      </c>
      <c r="I99" s="69" t="inlineStr">
        <is>
          <t>العمليات الداخلية</t>
        </is>
      </c>
      <c r="J99" s="69" t="inlineStr">
        <is>
          <t>🟣 لاحق</t>
        </is>
      </c>
      <c r="K99" s="40" t="n"/>
    </row>
    <row r="100" ht="22" customHeight="1">
      <c r="A100" s="69" t="n">
        <v>97</v>
      </c>
      <c r="B100" s="92" t="inlineStr">
        <is>
          <t>العقار</t>
        </is>
      </c>
      <c r="C100" s="92" t="inlineStr">
        <is>
          <t>الشراكات الاستراتيجية</t>
        </is>
      </c>
      <c r="D100" s="69" t="inlineStr">
        <is>
          <t>شراكة</t>
        </is>
      </c>
      <c r="E100" s="93" t="inlineStr">
        <is>
          <t>تجميعي (مجموع شهري) · (الفعلي÷المستهدف)×100</t>
        </is>
      </c>
      <c r="F100" s="69" t="inlineStr">
        <is>
          <t>5 شراكات</t>
        </is>
      </c>
      <c r="G100" s="69" t="inlineStr">
        <is>
          <t>الابتكار</t>
        </is>
      </c>
      <c r="H100" s="92" t="inlineStr">
        <is>
          <t>إطلاق مشاريع جديدة</t>
        </is>
      </c>
      <c r="I100" s="69" t="inlineStr">
        <is>
          <t>التعلّم والنمو</t>
        </is>
      </c>
      <c r="J100" s="69" t="inlineStr">
        <is>
          <t>🟣 لاحق</t>
        </is>
      </c>
      <c r="K100" s="40" t="n"/>
    </row>
    <row r="101" ht="22" customHeight="1">
      <c r="A101" s="69" t="n">
        <v>98</v>
      </c>
      <c r="B101" s="92" t="inlineStr">
        <is>
          <t>العقار</t>
        </is>
      </c>
      <c r="C101" s="92" t="inlineStr">
        <is>
          <t>نسبة تجديد العقود</t>
        </is>
      </c>
      <c r="D101" s="69" t="inlineStr">
        <is>
          <t>%</t>
        </is>
      </c>
      <c r="E101" s="93" t="inlineStr">
        <is>
          <t>متوسط شهري · (الفعلي÷المستهدف)×100</t>
        </is>
      </c>
      <c r="F101" s="69" t="inlineStr">
        <is>
          <t>100%</t>
        </is>
      </c>
      <c r="G101" s="69" t="inlineStr">
        <is>
          <t>الاستدامة</t>
        </is>
      </c>
      <c r="H101" s="92" t="inlineStr">
        <is>
          <t>منظومة التأجير</t>
        </is>
      </c>
      <c r="I101" s="69" t="inlineStr">
        <is>
          <t>العمليات الداخلية</t>
        </is>
      </c>
      <c r="J101" s="69" t="inlineStr">
        <is>
          <t>🟣 لاحق</t>
        </is>
      </c>
      <c r="K101" s="40" t="n"/>
    </row>
    <row r="102" ht="22" customHeight="1">
      <c r="A102" s="69" t="n">
        <v>99</v>
      </c>
      <c r="B102" s="92" t="inlineStr">
        <is>
          <t>العقار</t>
        </is>
      </c>
      <c r="C102" s="92" t="inlineStr">
        <is>
          <t>متوسط زمن تسليم الوحدة</t>
        </is>
      </c>
      <c r="D102" s="69" t="inlineStr">
        <is>
          <t>يوم</t>
        </is>
      </c>
      <c r="E102" s="93" t="inlineStr">
        <is>
          <t>متوسط شهري · (الفعلي÷المستهدف)×100</t>
        </is>
      </c>
      <c r="F102" s="69" t="inlineStr">
        <is>
          <t>≤ 7 أيام</t>
        </is>
      </c>
      <c r="G102" s="69" t="inlineStr">
        <is>
          <t>الاستدامة</t>
        </is>
      </c>
      <c r="H102" s="92" t="inlineStr">
        <is>
          <t>جودة التشغيل</t>
        </is>
      </c>
      <c r="I102" s="69" t="inlineStr">
        <is>
          <t>العمليات الداخلية</t>
        </is>
      </c>
      <c r="J102" s="69" t="inlineStr">
        <is>
          <t>🟣 لاحق</t>
        </is>
      </c>
      <c r="K102" s="40" t="n"/>
    </row>
    <row r="103" ht="22" customHeight="1">
      <c r="A103" s="69" t="n">
        <v>100</v>
      </c>
      <c r="B103" s="92" t="inlineStr">
        <is>
          <t>العقار</t>
        </is>
      </c>
      <c r="C103" s="92" t="inlineStr">
        <is>
          <t>نسبة إغلاق الطلبات خلال 3 أسابيع</t>
        </is>
      </c>
      <c r="D103" s="69" t="inlineStr">
        <is>
          <t>%</t>
        </is>
      </c>
      <c r="E103" s="93" t="inlineStr">
        <is>
          <t>متوسط شهري · (الفعلي÷المستهدف)×100</t>
        </is>
      </c>
      <c r="F103" s="69" t="inlineStr">
        <is>
          <t>&gt; 90%</t>
        </is>
      </c>
      <c r="G103" s="69" t="inlineStr">
        <is>
          <t>الاستدامة</t>
        </is>
      </c>
      <c r="H103" s="92" t="inlineStr">
        <is>
          <t>جودة التشغيل</t>
        </is>
      </c>
      <c r="I103" s="69" t="inlineStr">
        <is>
          <t>العمليات الداخلية</t>
        </is>
      </c>
      <c r="J103" s="69" t="inlineStr">
        <is>
          <t>🔵 قائد</t>
        </is>
      </c>
      <c r="K103" s="40" t="n"/>
    </row>
    <row r="104" ht="22" customHeight="1">
      <c r="A104" s="69" t="n">
        <v>101</v>
      </c>
      <c r="B104" s="92" t="inlineStr">
        <is>
          <t>العقار</t>
        </is>
      </c>
      <c r="C104" s="92" t="inlineStr">
        <is>
          <t>استدامة المستأجرين (لم يُنهَ مبكراً)</t>
        </is>
      </c>
      <c r="D104" s="69" t="inlineStr">
        <is>
          <t>%</t>
        </is>
      </c>
      <c r="E104" s="93" t="inlineStr">
        <is>
          <t>متوسط شهري · (الفعلي÷المستهدف)×100</t>
        </is>
      </c>
      <c r="F104" s="69" t="inlineStr">
        <is>
          <t>≥ 80%</t>
        </is>
      </c>
      <c r="G104" s="69" t="inlineStr">
        <is>
          <t>الاستدامة</t>
        </is>
      </c>
      <c r="H104" s="92" t="inlineStr">
        <is>
          <t>تعزيز تجربة العملاء</t>
        </is>
      </c>
      <c r="I104" s="69" t="inlineStr">
        <is>
          <t>العملاء</t>
        </is>
      </c>
      <c r="J104" s="69" t="inlineStr">
        <is>
          <t>🟣 لاحق</t>
        </is>
      </c>
      <c r="K104" s="40" t="n"/>
    </row>
    <row r="105" ht="22" customHeight="1">
      <c r="A105" s="69" t="n">
        <v>102</v>
      </c>
      <c r="B105" s="92" t="inlineStr">
        <is>
          <t>العقار</t>
        </is>
      </c>
      <c r="C105" s="92" t="inlineStr">
        <is>
          <t>معدل رضا المستأجرين (استبيان ربعي)</t>
        </is>
      </c>
      <c r="D105" s="69" t="inlineStr">
        <is>
          <t>%</t>
        </is>
      </c>
      <c r="E105" s="93" t="inlineStr">
        <is>
          <t>متوسط شهري · (الفعلي÷المستهدف)×100</t>
        </is>
      </c>
      <c r="F105" s="69" t="inlineStr">
        <is>
          <t>≥ 90%</t>
        </is>
      </c>
      <c r="G105" s="69" t="inlineStr">
        <is>
          <t>الاستدامة</t>
        </is>
      </c>
      <c r="H105" s="92" t="inlineStr">
        <is>
          <t>تعزيز تجربة العملاء</t>
        </is>
      </c>
      <c r="I105" s="69" t="inlineStr">
        <is>
          <t>العملاء</t>
        </is>
      </c>
      <c r="J105" s="69" t="inlineStr">
        <is>
          <t>🟣 لاحق</t>
        </is>
      </c>
      <c r="K105" s="40" t="n"/>
    </row>
    <row r="106" ht="22" customHeight="1">
      <c r="A106" s="69" t="n">
        <v>103</v>
      </c>
      <c r="B106" s="92" t="inlineStr">
        <is>
          <t>التقنية الرقمية</t>
        </is>
      </c>
      <c r="C106" s="92" t="inlineStr">
        <is>
          <t>عدد مستخدمي تطبيق «تانكي» النشطين شهرياً (MAU)</t>
        </is>
      </c>
      <c r="D106" s="69" t="inlineStr">
        <is>
          <t>مستخدم</t>
        </is>
      </c>
      <c r="E106" s="93" t="inlineStr">
        <is>
          <t>تراكمي (آخر قيمة) · (الفعلي÷المستهدف)×100</t>
        </is>
      </c>
      <c r="F106" s="69" t="inlineStr">
        <is>
          <t>يُحدد لاحقاً</t>
        </is>
      </c>
      <c r="G106" s="69" t="inlineStr">
        <is>
          <t>الابتكار</t>
        </is>
      </c>
      <c r="H106" s="92" t="inlineStr">
        <is>
          <t>تطبيق «تانكي»</t>
        </is>
      </c>
      <c r="I106" s="69" t="inlineStr">
        <is>
          <t>التعلّم والنمو</t>
        </is>
      </c>
      <c r="J106" s="69" t="inlineStr">
        <is>
          <t>🔵 قائد</t>
        </is>
      </c>
      <c r="K106" s="40" t="n"/>
    </row>
    <row r="107" ht="22" customHeight="1">
      <c r="A107" s="69" t="n">
        <v>104</v>
      </c>
      <c r="B107" s="92" t="inlineStr">
        <is>
          <t>التقنية الرقمية</t>
        </is>
      </c>
      <c r="C107" s="92" t="inlineStr">
        <is>
          <t>نمو تنزيلات تطبيق تانكي</t>
        </is>
      </c>
      <c r="D107" s="69" t="inlineStr">
        <is>
          <t>%</t>
        </is>
      </c>
      <c r="E107" s="93" t="inlineStr">
        <is>
          <t>متوسط شهري · (الفعلي÷المستهدف)×100</t>
        </is>
      </c>
      <c r="F107" s="69" t="inlineStr">
        <is>
          <t>يُحدد لاحقاً</t>
        </is>
      </c>
      <c r="G107" s="69" t="inlineStr">
        <is>
          <t>الابتكار</t>
        </is>
      </c>
      <c r="H107" s="92" t="inlineStr">
        <is>
          <t>تطبيق «تانكي»</t>
        </is>
      </c>
      <c r="I107" s="69" t="inlineStr">
        <is>
          <t>التعلّم والنمو</t>
        </is>
      </c>
      <c r="J107" s="69" t="inlineStr">
        <is>
          <t>🔵 قائد</t>
        </is>
      </c>
      <c r="K107" s="40" t="n"/>
    </row>
    <row r="108" ht="22" customHeight="1">
      <c r="A108" s="69" t="n">
        <v>105</v>
      </c>
      <c r="B108" s="92" t="inlineStr">
        <is>
          <t>التقنية الرقمية</t>
        </is>
      </c>
      <c r="C108" s="92" t="inlineStr">
        <is>
          <t>نسبة المعاملات الرقمية عبر تانكي</t>
        </is>
      </c>
      <c r="D108" s="69" t="inlineStr">
        <is>
          <t>%</t>
        </is>
      </c>
      <c r="E108" s="93" t="inlineStr">
        <is>
          <t>متوسط شهري · (الفعلي÷المستهدف)×100</t>
        </is>
      </c>
      <c r="F108" s="69" t="inlineStr">
        <is>
          <t>يُحدد لاحقاً</t>
        </is>
      </c>
      <c r="G108" s="69" t="inlineStr">
        <is>
          <t>الابتكار</t>
        </is>
      </c>
      <c r="H108" s="92" t="inlineStr">
        <is>
          <t>تطبيق «تانكي»</t>
        </is>
      </c>
      <c r="I108" s="69" t="inlineStr">
        <is>
          <t>التعلّم والنمو</t>
        </is>
      </c>
      <c r="J108" s="69" t="inlineStr">
        <is>
          <t>🟣 لاحق</t>
        </is>
      </c>
      <c r="K108" s="40" t="n"/>
    </row>
    <row r="109" ht="22" customHeight="1">
      <c r="A109" s="69" t="n">
        <v>106</v>
      </c>
      <c r="B109" s="92" t="inlineStr">
        <is>
          <t>التقنية الرقمية</t>
        </is>
      </c>
      <c r="C109" s="92" t="inlineStr">
        <is>
          <t>معدل رضا مستخدمي تطبيق تانكي</t>
        </is>
      </c>
      <c r="D109" s="69" t="inlineStr">
        <is>
          <t>نجمة/5</t>
        </is>
      </c>
      <c r="E109" s="93" t="inlineStr">
        <is>
          <t>متوسط شهري · (الفعلي÷المستهدف)×100</t>
        </is>
      </c>
      <c r="F109" s="69" t="inlineStr">
        <is>
          <t>≥ 4.5</t>
        </is>
      </c>
      <c r="G109" s="69" t="inlineStr">
        <is>
          <t>الابتكار</t>
        </is>
      </c>
      <c r="H109" s="92" t="inlineStr">
        <is>
          <t>تطبيق «تانكي»</t>
        </is>
      </c>
      <c r="I109" s="69" t="inlineStr">
        <is>
          <t>التعلّم والنمو</t>
        </is>
      </c>
      <c r="J109" s="69" t="inlineStr">
        <is>
          <t>🟣 لاحق</t>
        </is>
      </c>
      <c r="K109" s="40" t="n"/>
    </row>
    <row r="110" ht="22" customHeight="1">
      <c r="A110" s="69" t="n">
        <v>107</v>
      </c>
      <c r="B110" s="92" t="inlineStr">
        <is>
          <t>التقنية الرقمية</t>
        </is>
      </c>
      <c r="C110" s="92" t="inlineStr">
        <is>
          <t>نسبة أتمتة العمليات الأساسية (شركة)</t>
        </is>
      </c>
      <c r="D110" s="69" t="inlineStr">
        <is>
          <t>%</t>
        </is>
      </c>
      <c r="E110" s="93" t="inlineStr">
        <is>
          <t>تراكمي (آخر قيمة) · (الفعلي÷المستهدف)×100</t>
        </is>
      </c>
      <c r="F110" s="69" t="inlineStr">
        <is>
          <t>يُحدد لاحقاً</t>
        </is>
      </c>
      <c r="G110" s="69" t="inlineStr">
        <is>
          <t>الابتكار</t>
        </is>
      </c>
      <c r="H110" s="92" t="inlineStr">
        <is>
          <t>التحول التقني</t>
        </is>
      </c>
      <c r="I110" s="69" t="inlineStr">
        <is>
          <t>التعلّم والنمو</t>
        </is>
      </c>
      <c r="J110" s="69" t="inlineStr">
        <is>
          <t>🟣 لاحق</t>
        </is>
      </c>
      <c r="K110" s="40" t="n"/>
    </row>
    <row r="111" ht="22" customHeight="1">
      <c r="A111" s="69" t="n">
        <v>108</v>
      </c>
      <c r="B111" s="92" t="inlineStr">
        <is>
          <t>التقنية الرقمية</t>
        </is>
      </c>
      <c r="C111" s="92" t="inlineStr">
        <is>
          <t>نسبة جاهزية الأنظمة (Uptime)</t>
        </is>
      </c>
      <c r="D111" s="69" t="inlineStr">
        <is>
          <t>%</t>
        </is>
      </c>
      <c r="E111" s="93" t="inlineStr">
        <is>
          <t>متوسط شهري · (الفعلي÷المستهدف)×100</t>
        </is>
      </c>
      <c r="F111" s="69" t="inlineStr">
        <is>
          <t>≥ 99.5%</t>
        </is>
      </c>
      <c r="G111" s="69" t="inlineStr">
        <is>
          <t>الابتكار</t>
        </is>
      </c>
      <c r="H111" s="92" t="inlineStr">
        <is>
          <t>التحول التقني</t>
        </is>
      </c>
      <c r="I111" s="69" t="inlineStr">
        <is>
          <t>العمليات الداخلية</t>
        </is>
      </c>
      <c r="J111" s="69" t="inlineStr">
        <is>
          <t>🟣 لاحق</t>
        </is>
      </c>
      <c r="K111" s="40" t="n"/>
    </row>
    <row r="112" ht="22" customHeight="1">
      <c r="A112" s="69" t="n">
        <v>109</v>
      </c>
      <c r="B112" s="92" t="inlineStr">
        <is>
          <t>التقنية الرقمية</t>
        </is>
      </c>
      <c r="C112" s="92" t="inlineStr">
        <is>
          <t>متوسط زمن حل أعطال الأنظمة</t>
        </is>
      </c>
      <c r="D112" s="69" t="inlineStr">
        <is>
          <t>ساعة</t>
        </is>
      </c>
      <c r="E112" s="93" t="inlineStr">
        <is>
          <t>متوسط شهري · (الفعلي÷المستهدف)×100</t>
        </is>
      </c>
      <c r="F112" s="69" t="inlineStr">
        <is>
          <t>≤ 4 ساعات</t>
        </is>
      </c>
      <c r="G112" s="69" t="inlineStr">
        <is>
          <t>الابتكار</t>
        </is>
      </c>
      <c r="H112" s="92" t="inlineStr">
        <is>
          <t>التحول التقني</t>
        </is>
      </c>
      <c r="I112" s="69" t="inlineStr">
        <is>
          <t>العمليات الداخلية</t>
        </is>
      </c>
      <c r="J112" s="69" t="inlineStr">
        <is>
          <t>🟣 لاحق</t>
        </is>
      </c>
      <c r="K112" s="40" t="n"/>
    </row>
    <row r="113" ht="22" customHeight="1">
      <c r="A113" s="69" t="n">
        <v>110</v>
      </c>
      <c r="B113" s="92" t="inlineStr">
        <is>
          <t>التقنية الرقمية</t>
        </is>
      </c>
      <c r="C113" s="92" t="inlineStr">
        <is>
          <t>نسبة المشاريع التقنية المنجزة في الوقت</t>
        </is>
      </c>
      <c r="D113" s="69" t="inlineStr">
        <is>
          <t>%</t>
        </is>
      </c>
      <c r="E113" s="93" t="inlineStr">
        <is>
          <t>متوسط شهري · (الفعلي÷المستهدف)×100</t>
        </is>
      </c>
      <c r="F113" s="69" t="inlineStr">
        <is>
          <t>≥ 90%</t>
        </is>
      </c>
      <c r="G113" s="69" t="inlineStr">
        <is>
          <t>الابتكار</t>
        </is>
      </c>
      <c r="H113" s="92" t="inlineStr">
        <is>
          <t>التحول التقني</t>
        </is>
      </c>
      <c r="I113" s="69" t="inlineStr">
        <is>
          <t>العمليات الداخلية</t>
        </is>
      </c>
      <c r="J113" s="69" t="inlineStr">
        <is>
          <t>🟣 لاحق</t>
        </is>
      </c>
      <c r="K113" s="40" t="n"/>
    </row>
    <row r="114" ht="22" customHeight="1">
      <c r="A114" s="69" t="n">
        <v>111</v>
      </c>
      <c r="B114" s="92" t="inlineStr">
        <is>
          <t>الموارد البشرية</t>
        </is>
      </c>
      <c r="C114" s="92" t="inlineStr">
        <is>
          <t>معدل استبقاء الموظفين (Retention)</t>
        </is>
      </c>
      <c r="D114" s="69" t="inlineStr">
        <is>
          <t>%</t>
        </is>
      </c>
      <c r="E114" s="93" t="inlineStr">
        <is>
          <t>تراكمي (آخر قيمة) · (الفعلي÷المستهدف)×100</t>
        </is>
      </c>
      <c r="F114" s="69" t="inlineStr">
        <is>
          <t>≥ 90%</t>
        </is>
      </c>
      <c r="G114" s="69" t="inlineStr">
        <is>
          <t>الاستدامة</t>
        </is>
      </c>
      <c r="H114" s="92" t="inlineStr">
        <is>
          <t>الاستثمار في الموظفين</t>
        </is>
      </c>
      <c r="I114" s="69" t="inlineStr">
        <is>
          <t>التعلّم والنمو</t>
        </is>
      </c>
      <c r="J114" s="69" t="inlineStr">
        <is>
          <t>🟣 لاحق</t>
        </is>
      </c>
      <c r="K114" s="40" t="n"/>
    </row>
    <row r="115" ht="22" customHeight="1">
      <c r="A115" s="69" t="n">
        <v>112</v>
      </c>
      <c r="B115" s="92" t="inlineStr">
        <is>
          <t>الموارد البشرية</t>
        </is>
      </c>
      <c r="C115" s="92" t="inlineStr">
        <is>
          <t>معدل دوران الموظفين (Turnover)</t>
        </is>
      </c>
      <c r="D115" s="69" t="inlineStr">
        <is>
          <t>%</t>
        </is>
      </c>
      <c r="E115" s="93" t="inlineStr">
        <is>
          <t>متوسط شهري · (الفعلي÷المستهدف)×100</t>
        </is>
      </c>
      <c r="F115" s="69" t="inlineStr">
        <is>
          <t>≤ 10%</t>
        </is>
      </c>
      <c r="G115" s="69" t="inlineStr">
        <is>
          <t>الاستدامة</t>
        </is>
      </c>
      <c r="H115" s="92" t="inlineStr">
        <is>
          <t>الاستثمار في الموظفين</t>
        </is>
      </c>
      <c r="I115" s="69" t="inlineStr">
        <is>
          <t>التعلّم والنمو</t>
        </is>
      </c>
      <c r="J115" s="69" t="inlineStr">
        <is>
          <t>🟣 لاحق</t>
        </is>
      </c>
      <c r="K115" s="40" t="n"/>
    </row>
    <row r="116" ht="22" customHeight="1">
      <c r="A116" s="69" t="n">
        <v>113</v>
      </c>
      <c r="B116" s="92" t="inlineStr">
        <is>
          <t>الموارد البشرية</t>
        </is>
      </c>
      <c r="C116" s="92" t="inlineStr">
        <is>
          <t>متوسط ساعات التدريب لكل موظف</t>
        </is>
      </c>
      <c r="D116" s="69" t="inlineStr">
        <is>
          <t>ساعة</t>
        </is>
      </c>
      <c r="E116" s="93" t="inlineStr">
        <is>
          <t>تجميعي (مجموع شهري) · (الفعلي÷المستهدف)×100</t>
        </is>
      </c>
      <c r="F116" s="69" t="inlineStr">
        <is>
          <t>≥ 40 ساعة</t>
        </is>
      </c>
      <c r="G116" s="69" t="inlineStr">
        <is>
          <t>الاستدامة</t>
        </is>
      </c>
      <c r="H116" s="92" t="inlineStr">
        <is>
          <t>الاستثمار في الموظفين</t>
        </is>
      </c>
      <c r="I116" s="69" t="inlineStr">
        <is>
          <t>التعلّم والنمو</t>
        </is>
      </c>
      <c r="J116" s="69" t="inlineStr">
        <is>
          <t>🔵 قائد</t>
        </is>
      </c>
      <c r="K116" s="40" t="n"/>
    </row>
    <row r="117" ht="22" customHeight="1">
      <c r="A117" s="69" t="n">
        <v>114</v>
      </c>
      <c r="B117" s="92" t="inlineStr">
        <is>
          <t>الموارد البشرية</t>
        </is>
      </c>
      <c r="C117" s="92" t="inlineStr">
        <is>
          <t>نسبة الموظفين المشمولين بخطة تطوير</t>
        </is>
      </c>
      <c r="D117" s="69" t="inlineStr">
        <is>
          <t>%</t>
        </is>
      </c>
      <c r="E117" s="93" t="inlineStr">
        <is>
          <t>تراكمي (آخر قيمة) · (الفعلي÷المستهدف)×100</t>
        </is>
      </c>
      <c r="F117" s="69" t="inlineStr">
        <is>
          <t>≥ 80%</t>
        </is>
      </c>
      <c r="G117" s="69" t="inlineStr">
        <is>
          <t>الاستدامة</t>
        </is>
      </c>
      <c r="H117" s="92" t="inlineStr">
        <is>
          <t>الاستثمار في الموظفين</t>
        </is>
      </c>
      <c r="I117" s="69" t="inlineStr">
        <is>
          <t>التعلّم والنمو</t>
        </is>
      </c>
      <c r="J117" s="69" t="inlineStr">
        <is>
          <t>🟣 لاحق</t>
        </is>
      </c>
      <c r="K117" s="40" t="n"/>
    </row>
    <row r="118" ht="22" customHeight="1">
      <c r="A118" s="69" t="n">
        <v>115</v>
      </c>
      <c r="B118" s="92" t="inlineStr">
        <is>
          <t>الموارد البشرية</t>
        </is>
      </c>
      <c r="C118" s="92" t="inlineStr">
        <is>
          <t>مؤشر رضا الموظفين (eNPS)</t>
        </is>
      </c>
      <c r="D118" s="69" t="inlineStr">
        <is>
          <t>نقطة</t>
        </is>
      </c>
      <c r="E118" s="93" t="inlineStr">
        <is>
          <t>متوسط شهري · (الفعلي÷المستهدف)×100</t>
        </is>
      </c>
      <c r="F118" s="69" t="inlineStr">
        <is>
          <t>≥ 30</t>
        </is>
      </c>
      <c r="G118" s="69" t="inlineStr">
        <is>
          <t>الاستدامة</t>
        </is>
      </c>
      <c r="H118" s="92" t="inlineStr">
        <is>
          <t>الاستثمار في الموظفين</t>
        </is>
      </c>
      <c r="I118" s="69" t="inlineStr">
        <is>
          <t>التعلّم والنمو</t>
        </is>
      </c>
      <c r="J118" s="69" t="inlineStr">
        <is>
          <t>🟣 لاحق</t>
        </is>
      </c>
      <c r="K118" s="40" t="n"/>
    </row>
    <row r="119" ht="22" customHeight="1">
      <c r="A119" s="69" t="n">
        <v>116</v>
      </c>
      <c r="B119" s="92" t="inlineStr">
        <is>
          <t>الموارد البشرية</t>
        </is>
      </c>
      <c r="C119" s="92" t="inlineStr">
        <is>
          <t>نسبة شغل الشواغر خلال 30 يوم</t>
        </is>
      </c>
      <c r="D119" s="69" t="inlineStr">
        <is>
          <t>%</t>
        </is>
      </c>
      <c r="E119" s="93" t="inlineStr">
        <is>
          <t>متوسط شهري · (الفعلي÷المستهدف)×100</t>
        </is>
      </c>
      <c r="F119" s="69" t="inlineStr">
        <is>
          <t>≥ 85%</t>
        </is>
      </c>
      <c r="G119" s="69" t="inlineStr">
        <is>
          <t>الاستدامة</t>
        </is>
      </c>
      <c r="H119" s="92" t="inlineStr">
        <is>
          <t>الاستثمار في الموظفين</t>
        </is>
      </c>
      <c r="I119" s="69" t="inlineStr">
        <is>
          <t>العمليات الداخلية</t>
        </is>
      </c>
      <c r="J119" s="69" t="inlineStr">
        <is>
          <t>🟣 لاحق</t>
        </is>
      </c>
      <c r="K119" s="40" t="n"/>
    </row>
    <row r="120" ht="22" customHeight="1">
      <c r="A120" s="69" t="n">
        <v>117</v>
      </c>
      <c r="B120" s="92" t="inlineStr">
        <is>
          <t>الموارد البشرية</t>
        </is>
      </c>
      <c r="C120" s="92" t="inlineStr">
        <is>
          <t>نسبة إنجاز تقييمات الأداء في موعدها</t>
        </is>
      </c>
      <c r="D120" s="69" t="inlineStr">
        <is>
          <t>%</t>
        </is>
      </c>
      <c r="E120" s="93" t="inlineStr">
        <is>
          <t>متوسط شهري · (الفعلي÷المستهدف)×100</t>
        </is>
      </c>
      <c r="F120" s="69" t="inlineStr">
        <is>
          <t>100%</t>
        </is>
      </c>
      <c r="G120" s="69" t="inlineStr">
        <is>
          <t>الاستدامة</t>
        </is>
      </c>
      <c r="H120" s="92" t="inlineStr">
        <is>
          <t>الاستثمار في الموظفين</t>
        </is>
      </c>
      <c r="I120" s="69" t="inlineStr">
        <is>
          <t>العمليات الداخلية</t>
        </is>
      </c>
      <c r="J120" s="69" t="inlineStr">
        <is>
          <t>🟣 لاحق</t>
        </is>
      </c>
      <c r="K120" s="40" t="n"/>
    </row>
    <row r="121" ht="22" customHeight="1">
      <c r="A121" s="69" t="n">
        <v>118</v>
      </c>
      <c r="B121" s="92" t="inlineStr">
        <is>
          <t>الموارد البشرية</t>
        </is>
      </c>
      <c r="C121" s="92" t="inlineStr">
        <is>
          <t>نسبة السعودة</t>
        </is>
      </c>
      <c r="D121" s="69" t="inlineStr">
        <is>
          <t>%</t>
        </is>
      </c>
      <c r="E121" s="93" t="inlineStr">
        <is>
          <t>تراكمي (آخر قيمة) · (الفعلي÷المستهدف)×100</t>
        </is>
      </c>
      <c r="F121" s="69" t="inlineStr">
        <is>
          <t>حسب النطاق</t>
        </is>
      </c>
      <c r="G121" s="69" t="inlineStr">
        <is>
          <t>الاستدامة</t>
        </is>
      </c>
      <c r="H121" s="92" t="inlineStr">
        <is>
          <t>الاستثمار في الموظفين</t>
        </is>
      </c>
      <c r="I121" s="69" t="inlineStr">
        <is>
          <t>التعلّم والنمو</t>
        </is>
      </c>
      <c r="J121" s="69" t="inlineStr">
        <is>
          <t>🟣 لاحق</t>
        </is>
      </c>
      <c r="K121" s="40"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K2"/>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4"/>
  <sheetViews>
    <sheetView showGridLines="0" rightToLeft="1" workbookViewId="0">
      <selection activeCell="A1" sqref="A1"/>
    </sheetView>
  </sheetViews>
  <sheetFormatPr baseColWidth="8" defaultRowHeight="15"/>
  <cols>
    <col width="4" customWidth="1" min="1" max="1"/>
    <col width="38" customWidth="1" min="2" max="2"/>
    <col width="22" customWidth="1" min="3" max="3"/>
    <col width="12" customWidth="1" min="4" max="4"/>
    <col width="12" customWidth="1" min="5" max="5"/>
    <col width="14" customWidth="1" min="6" max="6"/>
    <col width="34" customWidth="1" min="7" max="7"/>
    <col width="18" customWidth="1" min="8" max="8"/>
    <col width="14" customWidth="1" min="9" max="9"/>
  </cols>
  <sheetData>
    <row r="1" ht="28" customHeight="1">
      <c r="A1" s="28" t="inlineStr">
        <is>
          <t>سجل المخاطر الاستراتيجية والتشغيلية</t>
        </is>
      </c>
    </row>
    <row r="2">
      <c r="A2" s="51" t="inlineStr">
        <is>
          <t>🟩 إدخال  ·  الاحتمال/الأثر (1=منخفض 2=متوسط 3=مرتفع)  ·  درجة المخاطرة والمستوى تُحسبان تلقائياً</t>
        </is>
      </c>
    </row>
    <row r="3" ht="28" customHeight="1">
      <c r="A3" s="30" t="inlineStr">
        <is>
          <t>#</t>
        </is>
      </c>
      <c r="B3" s="30" t="inlineStr">
        <is>
          <t>الخطر</t>
        </is>
      </c>
      <c r="C3" s="30" t="inlineStr">
        <is>
          <t>المشروع/المجال المتأثر</t>
        </is>
      </c>
      <c r="D3" s="30" t="inlineStr">
        <is>
          <t>الاحتمال</t>
        </is>
      </c>
      <c r="E3" s="30" t="inlineStr">
        <is>
          <t>الأثر</t>
        </is>
      </c>
      <c r="F3" s="30" t="inlineStr">
        <is>
          <t>درجة المخاطرة</t>
        </is>
      </c>
      <c r="G3" s="30" t="inlineStr">
        <is>
          <t>الاستجابة/التخفيف</t>
        </is>
      </c>
      <c r="H3" s="30" t="inlineStr">
        <is>
          <t>المالك</t>
        </is>
      </c>
      <c r="I3" s="30" t="inlineStr">
        <is>
          <t>المستوى</t>
        </is>
      </c>
    </row>
    <row r="4" ht="26" customHeight="1">
      <c r="A4" s="17" t="n">
        <v>1</v>
      </c>
      <c r="B4" s="52" t="inlineStr">
        <is>
          <t>تأخّر إطلاق/تبنّي تطبيق تانكي</t>
        </is>
      </c>
      <c r="C4" s="52" t="inlineStr">
        <is>
          <t>الابتكار — تطبيق تانكي</t>
        </is>
      </c>
      <c r="D4" s="40" t="n"/>
      <c r="E4" s="40" t="n"/>
      <c r="F4" s="59">
        <f>IF(OR(D4="",E4=""),"",D4*E4)</f>
        <v/>
      </c>
      <c r="G4" s="52" t="n"/>
      <c r="H4" s="40" t="n"/>
      <c r="I4" s="17">
        <f>IF(F4="","—",IF(F4&gt;=6,"🔴 مرتفع",IF(F4&gt;=3,"🟡 متوسط","🟢 منخفض")))</f>
        <v/>
      </c>
    </row>
    <row r="5" ht="26" customHeight="1">
      <c r="A5" s="17" t="n">
        <v>2</v>
      </c>
      <c r="B5" s="52" t="inlineStr">
        <is>
          <t>ارتفاع دوران الموظفين ونقص الكوادر</t>
        </is>
      </c>
      <c r="C5" s="52" t="inlineStr">
        <is>
          <t>الاستدامة — الموظفون</t>
        </is>
      </c>
      <c r="D5" s="40" t="n"/>
      <c r="E5" s="40" t="n"/>
      <c r="F5" s="59">
        <f>IF(OR(D5="",E5=""),"",D5*E5)</f>
        <v/>
      </c>
      <c r="G5" s="52" t="n"/>
      <c r="H5" s="40" t="n"/>
      <c r="I5" s="17">
        <f>IF(F5="","—",IF(F5&gt;=6,"🔴 مرتفع",IF(F5&gt;=3,"🟡 متوسط","🟢 منخفض")))</f>
        <v/>
      </c>
    </row>
    <row r="6" ht="26" customHeight="1">
      <c r="A6" s="17" t="n">
        <v>3</v>
      </c>
      <c r="B6" s="52" t="inlineStr">
        <is>
          <t>تقلّب هوامش/أسعار الوقود</t>
        </is>
      </c>
      <c r="C6" s="52" t="inlineStr">
        <is>
          <t>النمو — المالية</t>
        </is>
      </c>
      <c r="D6" s="40" t="n"/>
      <c r="E6" s="40" t="n"/>
      <c r="F6" s="59">
        <f>IF(OR(D6="",E6=""),"",D6*E6)</f>
        <v/>
      </c>
      <c r="G6" s="52" t="n"/>
      <c r="H6" s="40" t="n"/>
      <c r="I6" s="17">
        <f>IF(F6="","—",IF(F6&gt;=6,"🔴 مرتفع",IF(F6&gt;=3,"🟡 متوسط","🟢 منخفض")))</f>
        <v/>
      </c>
    </row>
    <row r="7" ht="26" customHeight="1">
      <c r="A7" s="17" t="n">
        <v>4</v>
      </c>
      <c r="B7" s="52" t="inlineStr">
        <is>
          <t>عدم تحقيق مستهدف العقود الجديدة</t>
        </is>
      </c>
      <c r="C7" s="52" t="inlineStr">
        <is>
          <t>النمو — الامتياز/الاستثمار</t>
        </is>
      </c>
      <c r="D7" s="40" t="n"/>
      <c r="E7" s="40" t="n"/>
      <c r="F7" s="59">
        <f>IF(OR(D7="",E7=""),"",D7*E7)</f>
        <v/>
      </c>
      <c r="G7" s="52" t="n"/>
      <c r="H7" s="40" t="n"/>
      <c r="I7" s="17">
        <f>IF(F7="","—",IF(F7&gt;=6,"🔴 مرتفع",IF(F7&gt;=3,"🟡 متوسط","🟢 منخفض")))</f>
        <v/>
      </c>
    </row>
    <row r="8" ht="26" customHeight="1">
      <c r="A8" s="17" t="n">
        <v>5</v>
      </c>
      <c r="B8" s="52" t="inlineStr">
        <is>
          <t>عدم استيفاء اشتراطات وزارة الطاقة</t>
        </is>
      </c>
      <c r="C8" s="52" t="inlineStr">
        <is>
          <t>التوسع الإقليمي — الامتثال</t>
        </is>
      </c>
      <c r="D8" s="40" t="n"/>
      <c r="E8" s="40" t="n"/>
      <c r="F8" s="59">
        <f>IF(OR(D8="",E8=""),"",D8*E8)</f>
        <v/>
      </c>
      <c r="G8" s="52" t="n"/>
      <c r="H8" s="40" t="n"/>
      <c r="I8" s="17">
        <f>IF(F8="","—",IF(F8&gt;=6,"🔴 مرتفع",IF(F8&gt;=3,"🟡 متوسط","🟢 منخفض")))</f>
        <v/>
      </c>
    </row>
    <row r="9" ht="26" customHeight="1">
      <c r="A9" s="17" t="n">
        <v>6</v>
      </c>
      <c r="B9" s="52" t="inlineStr">
        <is>
          <t>حوادث سلامة أو انقطاع تشغيلي بالمحطات</t>
        </is>
      </c>
      <c r="C9" s="52" t="inlineStr">
        <is>
          <t>الاستدامة — جودة التشغيل</t>
        </is>
      </c>
      <c r="D9" s="40" t="n"/>
      <c r="E9" s="40" t="n"/>
      <c r="F9" s="59">
        <f>IF(OR(D9="",E9=""),"",D9*E9)</f>
        <v/>
      </c>
      <c r="G9" s="52" t="n"/>
      <c r="H9" s="40" t="n"/>
      <c r="I9" s="17">
        <f>IF(F9="","—",IF(F9&gt;=6,"🔴 مرتفع",IF(F9&gt;=3,"🟡 متوسط","🟢 منخفض")))</f>
        <v/>
      </c>
    </row>
    <row r="10" ht="26" customHeight="1">
      <c r="A10" s="17" t="n">
        <v>7</v>
      </c>
      <c r="B10" s="52" t="n"/>
      <c r="C10" s="52" t="n"/>
      <c r="D10" s="40" t="n"/>
      <c r="E10" s="40" t="n"/>
      <c r="F10" s="59">
        <f>IF(OR(D10="",E10=""),"",D10*E10)</f>
        <v/>
      </c>
      <c r="G10" s="52" t="n"/>
      <c r="H10" s="40" t="n"/>
      <c r="I10" s="17">
        <f>IF(F10="","—",IF(F10&gt;=6,"🔴 مرتفع",IF(F10&gt;=3,"🟡 متوسط","🟢 منخفض")))</f>
        <v/>
      </c>
    </row>
    <row r="11" ht="26" customHeight="1">
      <c r="A11" s="17" t="n">
        <v>8</v>
      </c>
      <c r="B11" s="52" t="n"/>
      <c r="C11" s="52" t="n"/>
      <c r="D11" s="40" t="n"/>
      <c r="E11" s="40" t="n"/>
      <c r="F11" s="59">
        <f>IF(OR(D11="",E11=""),"",D11*E11)</f>
        <v/>
      </c>
      <c r="G11" s="52" t="n"/>
      <c r="H11" s="40" t="n"/>
      <c r="I11" s="17">
        <f>IF(F11="","—",IF(F11&gt;=6,"🔴 مرتفع",IF(F11&gt;=3,"🟡 متوسط","🟢 منخفض")))</f>
        <v/>
      </c>
    </row>
    <row r="12" ht="26" customHeight="1">
      <c r="A12" s="17" t="n">
        <v>9</v>
      </c>
      <c r="B12" s="52" t="n"/>
      <c r="C12" s="52" t="n"/>
      <c r="D12" s="40" t="n"/>
      <c r="E12" s="40" t="n"/>
      <c r="F12" s="59">
        <f>IF(OR(D12="",E12=""),"",D12*E12)</f>
        <v/>
      </c>
      <c r="G12" s="52" t="n"/>
      <c r="H12" s="40" t="n"/>
      <c r="I12" s="17">
        <f>IF(F12="","—",IF(F12&gt;=6,"🔴 مرتفع",IF(F12&gt;=3,"🟡 متوسط","🟢 منخفض")))</f>
        <v/>
      </c>
    </row>
    <row r="13" ht="26" customHeight="1">
      <c r="A13" s="17" t="n">
        <v>10</v>
      </c>
      <c r="B13" s="52" t="n"/>
      <c r="C13" s="52" t="n"/>
      <c r="D13" s="40" t="n"/>
      <c r="E13" s="40" t="n"/>
      <c r="F13" s="59">
        <f>IF(OR(D13="",E13=""),"",D13*E13)</f>
        <v/>
      </c>
      <c r="G13" s="52" t="n"/>
      <c r="H13" s="40" t="n"/>
      <c r="I13" s="17">
        <f>IF(F13="","—",IF(F13&gt;=6,"🔴 مرتفع",IF(F13&gt;=3,"🟡 متوسط","🟢 منخفض")))</f>
        <v/>
      </c>
    </row>
    <row r="14" ht="26" customHeight="1">
      <c r="A14" s="17" t="n">
        <v>11</v>
      </c>
      <c r="B14" s="52" t="n"/>
      <c r="C14" s="52" t="n"/>
      <c r="D14" s="40" t="n"/>
      <c r="E14" s="40" t="n"/>
      <c r="F14" s="59">
        <f>IF(OR(D14="",E14=""),"",D14*E14)</f>
        <v/>
      </c>
      <c r="G14" s="52" t="n"/>
      <c r="H14" s="40" t="n"/>
      <c r="I14" s="17">
        <f>IF(F14="","—",IF(F14&gt;=6,"🔴 مرتفع",IF(F14&gt;=3,"🟡 متوسط","🟢 منخفض")))</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1:I1"/>
    <mergeCell ref="A2:I2"/>
  </mergeCells>
  <dataValidations count="1">
    <dataValidation sqref="D4 D5 D6 D7 D8 D9 D10 D11 D12 D13 D14 E4 E5 E6 E7 E8 E9 E10 E11 E12 E13 E14" showDropDown="0" showInputMessage="0" showErrorMessage="0" allowBlank="1" type="whole" operator="between">
      <formula1>1</formula1>
      <formula2>3</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5"/>
  <sheetViews>
    <sheetView showGridLines="0" rightToLeft="1" workbookViewId="0">
      <selection activeCell="A1" sqref="A1"/>
    </sheetView>
  </sheetViews>
  <sheetFormatPr baseColWidth="8" defaultRowHeight="15"/>
  <cols>
    <col width="4" customWidth="1" min="1" max="1"/>
    <col width="14" customWidth="1" min="2" max="2"/>
    <col width="26" customWidth="1" min="3" max="3"/>
    <col width="34" customWidth="1" min="4" max="4"/>
    <col width="34" customWidth="1" min="5" max="5"/>
    <col width="18" customWidth="1" min="6" max="6"/>
    <col width="14" customWidth="1" min="7" max="7"/>
    <col width="14" customWidth="1" min="8" max="8"/>
  </cols>
  <sheetData>
    <row r="1" ht="28" customHeight="1">
      <c r="A1" s="28" t="inlineStr">
        <is>
          <t>سجل الإجراءات التصحيحية (PDCA) — متابعة الانحرافات</t>
        </is>
      </c>
    </row>
    <row r="2">
      <c r="A2" s="51" t="inlineStr">
        <is>
          <t>🟩 لكل مؤشر/انحراف: السبب الجذري ← الإجراء ← المسؤول ← الموعد ← الحالة</t>
        </is>
      </c>
    </row>
    <row r="3" ht="28" customHeight="1">
      <c r="A3" s="30" t="inlineStr">
        <is>
          <t>#</t>
        </is>
      </c>
      <c r="B3" s="30" t="inlineStr">
        <is>
          <t>التاريخ</t>
        </is>
      </c>
      <c r="C3" s="30" t="inlineStr">
        <is>
          <t>المؤشر/المجال</t>
        </is>
      </c>
      <c r="D3" s="30" t="inlineStr">
        <is>
          <t>الملاحظة / السبب الجذري</t>
        </is>
      </c>
      <c r="E3" s="30" t="inlineStr">
        <is>
          <t>الإجراء التصحيحي</t>
        </is>
      </c>
      <c r="F3" s="30" t="inlineStr">
        <is>
          <t>المسؤول</t>
        </is>
      </c>
      <c r="G3" s="30" t="inlineStr">
        <is>
          <t>الموعد</t>
        </is>
      </c>
      <c r="H3" s="30" t="inlineStr">
        <is>
          <t>الحالة</t>
        </is>
      </c>
    </row>
    <row r="4" ht="24" customHeight="1">
      <c r="A4" s="17" t="n">
        <v>1</v>
      </c>
      <c r="B4" s="40" t="n"/>
      <c r="C4" s="52" t="n"/>
      <c r="D4" s="52" t="n"/>
      <c r="E4" s="52" t="n"/>
      <c r="F4" s="40" t="n"/>
      <c r="G4" s="40" t="n"/>
      <c r="H4" s="40" t="n"/>
    </row>
    <row r="5" ht="24" customHeight="1">
      <c r="A5" s="17" t="n">
        <v>2</v>
      </c>
      <c r="B5" s="40" t="n"/>
      <c r="C5" s="52" t="n"/>
      <c r="D5" s="52" t="n"/>
      <c r="E5" s="52" t="n"/>
      <c r="F5" s="40" t="n"/>
      <c r="G5" s="40" t="n"/>
      <c r="H5" s="40" t="n"/>
    </row>
    <row r="6" ht="24" customHeight="1">
      <c r="A6" s="17" t="n">
        <v>3</v>
      </c>
      <c r="B6" s="40" t="n"/>
      <c r="C6" s="52" t="n"/>
      <c r="D6" s="52" t="n"/>
      <c r="E6" s="52" t="n"/>
      <c r="F6" s="40" t="n"/>
      <c r="G6" s="40" t="n"/>
      <c r="H6" s="40" t="n"/>
    </row>
    <row r="7" ht="24" customHeight="1">
      <c r="A7" s="17" t="n">
        <v>4</v>
      </c>
      <c r="B7" s="40" t="n"/>
      <c r="C7" s="52" t="n"/>
      <c r="D7" s="52" t="n"/>
      <c r="E7" s="52" t="n"/>
      <c r="F7" s="40" t="n"/>
      <c r="G7" s="40" t="n"/>
      <c r="H7" s="40" t="n"/>
    </row>
    <row r="8" ht="24" customHeight="1">
      <c r="A8" s="17" t="n">
        <v>5</v>
      </c>
      <c r="B8" s="40" t="n"/>
      <c r="C8" s="52" t="n"/>
      <c r="D8" s="52" t="n"/>
      <c r="E8" s="52" t="n"/>
      <c r="F8" s="40" t="n"/>
      <c r="G8" s="40" t="n"/>
      <c r="H8" s="40" t="n"/>
    </row>
    <row r="9" ht="24" customHeight="1">
      <c r="A9" s="17" t="n">
        <v>6</v>
      </c>
      <c r="B9" s="40" t="n"/>
      <c r="C9" s="52" t="n"/>
      <c r="D9" s="52" t="n"/>
      <c r="E9" s="52" t="n"/>
      <c r="F9" s="40" t="n"/>
      <c r="G9" s="40" t="n"/>
      <c r="H9" s="40" t="n"/>
    </row>
    <row r="10" ht="24" customHeight="1">
      <c r="A10" s="17" t="n">
        <v>7</v>
      </c>
      <c r="B10" s="40" t="n"/>
      <c r="C10" s="52" t="n"/>
      <c r="D10" s="52" t="n"/>
      <c r="E10" s="52" t="n"/>
      <c r="F10" s="40" t="n"/>
      <c r="G10" s="40" t="n"/>
      <c r="H10" s="40" t="n"/>
    </row>
    <row r="11" ht="24" customHeight="1">
      <c r="A11" s="17" t="n">
        <v>8</v>
      </c>
      <c r="B11" s="40" t="n"/>
      <c r="C11" s="52" t="n"/>
      <c r="D11" s="52" t="n"/>
      <c r="E11" s="52" t="n"/>
      <c r="F11" s="40" t="n"/>
      <c r="G11" s="40" t="n"/>
      <c r="H11" s="40" t="n"/>
    </row>
    <row r="12" ht="24" customHeight="1">
      <c r="A12" s="17" t="n">
        <v>9</v>
      </c>
      <c r="B12" s="40" t="n"/>
      <c r="C12" s="52" t="n"/>
      <c r="D12" s="52" t="n"/>
      <c r="E12" s="52" t="n"/>
      <c r="F12" s="40" t="n"/>
      <c r="G12" s="40" t="n"/>
      <c r="H12" s="40" t="n"/>
    </row>
    <row r="13" ht="24" customHeight="1">
      <c r="A13" s="17" t="n">
        <v>10</v>
      </c>
      <c r="B13" s="40" t="n"/>
      <c r="C13" s="52" t="n"/>
      <c r="D13" s="52" t="n"/>
      <c r="E13" s="52" t="n"/>
      <c r="F13" s="40" t="n"/>
      <c r="G13" s="40" t="n"/>
      <c r="H13" s="40" t="n"/>
    </row>
    <row r="14" ht="24" customHeight="1">
      <c r="A14" s="17" t="n">
        <v>11</v>
      </c>
      <c r="B14" s="40" t="n"/>
      <c r="C14" s="52" t="n"/>
      <c r="D14" s="52" t="n"/>
      <c r="E14" s="52" t="n"/>
      <c r="F14" s="40" t="n"/>
      <c r="G14" s="40" t="n"/>
      <c r="H14" s="40" t="n"/>
    </row>
    <row r="15" ht="24" customHeight="1">
      <c r="A15" s="17" t="n">
        <v>12</v>
      </c>
      <c r="B15" s="40" t="n"/>
      <c r="C15" s="52" t="n"/>
      <c r="D15" s="52" t="n"/>
      <c r="E15" s="52" t="n"/>
      <c r="F15" s="40" t="n"/>
      <c r="G15" s="40" t="n"/>
      <c r="H15" s="40"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dataValidations count="1">
    <dataValidation sqref="H4 H5 H6 H7 H8 H9 H10 H11 H12 H13 H14 H15" showDropDown="0" showInputMessage="0" showErrorMessage="0" allowBlank="1" type="list">
      <formula1>"مفتوح,قيد التنفيذ,مكتمل,متأخر"</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2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5" t="inlineStr">
        <is>
          <t>قاعدة المؤشرات الموحّدة — مصدر تغذية اللوحة والخارطة والركائز (آلي)</t>
        </is>
      </c>
    </row>
    <row r="2">
      <c r="A2" s="51"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9" t="n">
        <v>1</v>
      </c>
      <c r="B4" s="92" t="inlineStr">
        <is>
          <t>الإدارة التنفيذية</t>
        </is>
      </c>
      <c r="C4" s="92">
        <f>'الإدارة التنفيذية · المؤشرات'!C4</f>
        <v/>
      </c>
      <c r="D4" s="69">
        <f>'الإدارة التنفيذية · المؤشرات'!X4</f>
        <v/>
      </c>
      <c r="E4" s="92">
        <f>'الإدارة التنفيذية · المؤشرات'!Y4</f>
        <v/>
      </c>
      <c r="F4" s="94">
        <f>'الإدارة التنفيذية · المؤشرات'!V4</f>
        <v/>
      </c>
      <c r="G4" s="69">
        <f>'الإدارة التنفيذية · المؤشرات'!W4</f>
        <v/>
      </c>
      <c r="H4" s="69">
        <f>'الإدارة التنفيذية · المؤشرات'!AH4</f>
        <v/>
      </c>
    </row>
    <row r="5">
      <c r="A5" s="69" t="n">
        <v>2</v>
      </c>
      <c r="B5" s="92" t="inlineStr">
        <is>
          <t>الإدارة التنفيذية</t>
        </is>
      </c>
      <c r="C5" s="92">
        <f>'الإدارة التنفيذية · المؤشرات'!C5</f>
        <v/>
      </c>
      <c r="D5" s="69">
        <f>'الإدارة التنفيذية · المؤشرات'!X5</f>
        <v/>
      </c>
      <c r="E5" s="92">
        <f>'الإدارة التنفيذية · المؤشرات'!Y5</f>
        <v/>
      </c>
      <c r="F5" s="94">
        <f>'الإدارة التنفيذية · المؤشرات'!V5</f>
        <v/>
      </c>
      <c r="G5" s="69">
        <f>'الإدارة التنفيذية · المؤشرات'!W5</f>
        <v/>
      </c>
      <c r="H5" s="69">
        <f>'الإدارة التنفيذية · المؤشرات'!AH5</f>
        <v/>
      </c>
    </row>
    <row r="6">
      <c r="A6" s="69" t="n">
        <v>3</v>
      </c>
      <c r="B6" s="92" t="inlineStr">
        <is>
          <t>الإدارة التنفيذية</t>
        </is>
      </c>
      <c r="C6" s="92">
        <f>'الإدارة التنفيذية · المؤشرات'!C6</f>
        <v/>
      </c>
      <c r="D6" s="69">
        <f>'الإدارة التنفيذية · المؤشرات'!X6</f>
        <v/>
      </c>
      <c r="E6" s="92">
        <f>'الإدارة التنفيذية · المؤشرات'!Y6</f>
        <v/>
      </c>
      <c r="F6" s="94">
        <f>'الإدارة التنفيذية · المؤشرات'!V6</f>
        <v/>
      </c>
      <c r="G6" s="69">
        <f>'الإدارة التنفيذية · المؤشرات'!W6</f>
        <v/>
      </c>
      <c r="H6" s="69">
        <f>'الإدارة التنفيذية · المؤشرات'!AH6</f>
        <v/>
      </c>
    </row>
    <row r="7">
      <c r="A7" s="69" t="n">
        <v>4</v>
      </c>
      <c r="B7" s="92" t="inlineStr">
        <is>
          <t>الإدارة التنفيذية</t>
        </is>
      </c>
      <c r="C7" s="92">
        <f>'الإدارة التنفيذية · المؤشرات'!C7</f>
        <v/>
      </c>
      <c r="D7" s="69">
        <f>'الإدارة التنفيذية · المؤشرات'!X7</f>
        <v/>
      </c>
      <c r="E7" s="92">
        <f>'الإدارة التنفيذية · المؤشرات'!Y7</f>
        <v/>
      </c>
      <c r="F7" s="94">
        <f>'الإدارة التنفيذية · المؤشرات'!V7</f>
        <v/>
      </c>
      <c r="G7" s="69">
        <f>'الإدارة التنفيذية · المؤشرات'!W7</f>
        <v/>
      </c>
      <c r="H7" s="69">
        <f>'الإدارة التنفيذية · المؤشرات'!AH7</f>
        <v/>
      </c>
    </row>
    <row r="8">
      <c r="A8" s="69" t="n">
        <v>5</v>
      </c>
      <c r="B8" s="92" t="inlineStr">
        <is>
          <t>الإدارة التنفيذية</t>
        </is>
      </c>
      <c r="C8" s="92">
        <f>'الإدارة التنفيذية · المؤشرات'!C8</f>
        <v/>
      </c>
      <c r="D8" s="69">
        <f>'الإدارة التنفيذية · المؤشرات'!X8</f>
        <v/>
      </c>
      <c r="E8" s="92">
        <f>'الإدارة التنفيذية · المؤشرات'!Y8</f>
        <v/>
      </c>
      <c r="F8" s="94">
        <f>'الإدارة التنفيذية · المؤشرات'!V8</f>
        <v/>
      </c>
      <c r="G8" s="69">
        <f>'الإدارة التنفيذية · المؤشرات'!W8</f>
        <v/>
      </c>
      <c r="H8" s="69">
        <f>'الإدارة التنفيذية · المؤشرات'!AH8</f>
        <v/>
      </c>
    </row>
    <row r="9">
      <c r="A9" s="69" t="n">
        <v>6</v>
      </c>
      <c r="B9" s="92" t="inlineStr">
        <is>
          <t>الإدارة التنفيذية</t>
        </is>
      </c>
      <c r="C9" s="92">
        <f>'الإدارة التنفيذية · المؤشرات'!C9</f>
        <v/>
      </c>
      <c r="D9" s="69">
        <f>'الإدارة التنفيذية · المؤشرات'!X9</f>
        <v/>
      </c>
      <c r="E9" s="92">
        <f>'الإدارة التنفيذية · المؤشرات'!Y9</f>
        <v/>
      </c>
      <c r="F9" s="94">
        <f>'الإدارة التنفيذية · المؤشرات'!V9</f>
        <v/>
      </c>
      <c r="G9" s="69">
        <f>'الإدارة التنفيذية · المؤشرات'!W9</f>
        <v/>
      </c>
      <c r="H9" s="69">
        <f>'الإدارة التنفيذية · المؤشرات'!AH9</f>
        <v/>
      </c>
    </row>
    <row r="10">
      <c r="A10" s="69" t="n">
        <v>7</v>
      </c>
      <c r="B10" s="92" t="inlineStr">
        <is>
          <t>الإدارة التنفيذية</t>
        </is>
      </c>
      <c r="C10" s="92">
        <f>'الإدارة التنفيذية · المؤشرات'!C10</f>
        <v/>
      </c>
      <c r="D10" s="69">
        <f>'الإدارة التنفيذية · المؤشرات'!X10</f>
        <v/>
      </c>
      <c r="E10" s="92">
        <f>'الإدارة التنفيذية · المؤشرات'!Y10</f>
        <v/>
      </c>
      <c r="F10" s="94">
        <f>'الإدارة التنفيذية · المؤشرات'!V10</f>
        <v/>
      </c>
      <c r="G10" s="69">
        <f>'الإدارة التنفيذية · المؤشرات'!W10</f>
        <v/>
      </c>
      <c r="H10" s="69">
        <f>'الإدارة التنفيذية · المؤشرات'!AH10</f>
        <v/>
      </c>
    </row>
    <row r="11">
      <c r="A11" s="69" t="n">
        <v>8</v>
      </c>
      <c r="B11" s="92" t="inlineStr">
        <is>
          <t>الإدارة التنفيذية</t>
        </is>
      </c>
      <c r="C11" s="92">
        <f>'الإدارة التنفيذية · المؤشرات'!C11</f>
        <v/>
      </c>
      <c r="D11" s="69">
        <f>'الإدارة التنفيذية · المؤشرات'!X11</f>
        <v/>
      </c>
      <c r="E11" s="92">
        <f>'الإدارة التنفيذية · المؤشرات'!Y11</f>
        <v/>
      </c>
      <c r="F11" s="94">
        <f>'الإدارة التنفيذية · المؤشرات'!V11</f>
        <v/>
      </c>
      <c r="G11" s="69">
        <f>'الإدارة التنفيذية · المؤشرات'!W11</f>
        <v/>
      </c>
      <c r="H11" s="69">
        <f>'الإدارة التنفيذية · المؤشرات'!AH11</f>
        <v/>
      </c>
    </row>
    <row r="12">
      <c r="A12" s="69" t="n">
        <v>9</v>
      </c>
      <c r="B12" s="92" t="inlineStr">
        <is>
          <t>الإدارة التنفيذية</t>
        </is>
      </c>
      <c r="C12" s="92">
        <f>'الإدارة التنفيذية · المؤشرات'!C12</f>
        <v/>
      </c>
      <c r="D12" s="69">
        <f>'الإدارة التنفيذية · المؤشرات'!X12</f>
        <v/>
      </c>
      <c r="E12" s="92">
        <f>'الإدارة التنفيذية · المؤشرات'!Y12</f>
        <v/>
      </c>
      <c r="F12" s="94">
        <f>'الإدارة التنفيذية · المؤشرات'!V12</f>
        <v/>
      </c>
      <c r="G12" s="69">
        <f>'الإدارة التنفيذية · المؤشرات'!W12</f>
        <v/>
      </c>
      <c r="H12" s="69">
        <f>'الإدارة التنفيذية · المؤشرات'!AH12</f>
        <v/>
      </c>
    </row>
    <row r="13">
      <c r="A13" s="69" t="n">
        <v>10</v>
      </c>
      <c r="B13" s="92" t="inlineStr">
        <is>
          <t>الإدارة التنفيذية</t>
        </is>
      </c>
      <c r="C13" s="92">
        <f>'الإدارة التنفيذية · المؤشرات'!C13</f>
        <v/>
      </c>
      <c r="D13" s="69">
        <f>'الإدارة التنفيذية · المؤشرات'!X13</f>
        <v/>
      </c>
      <c r="E13" s="92">
        <f>'الإدارة التنفيذية · المؤشرات'!Y13</f>
        <v/>
      </c>
      <c r="F13" s="94">
        <f>'الإدارة التنفيذية · المؤشرات'!V13</f>
        <v/>
      </c>
      <c r="G13" s="69">
        <f>'الإدارة التنفيذية · المؤشرات'!W13</f>
        <v/>
      </c>
      <c r="H13" s="69">
        <f>'الإدارة التنفيذية · المؤشرات'!AH13</f>
        <v/>
      </c>
    </row>
    <row r="14">
      <c r="A14" s="69" t="n">
        <v>11</v>
      </c>
      <c r="B14" s="92" t="inlineStr">
        <is>
          <t>الامتياز التجاري</t>
        </is>
      </c>
      <c r="C14" s="92">
        <f>'الامتياز · المؤشرات'!C4</f>
        <v/>
      </c>
      <c r="D14" s="69">
        <f>'الامتياز · المؤشرات'!X4</f>
        <v/>
      </c>
      <c r="E14" s="92">
        <f>'الامتياز · المؤشرات'!Y4</f>
        <v/>
      </c>
      <c r="F14" s="94">
        <f>'الامتياز · المؤشرات'!V4</f>
        <v/>
      </c>
      <c r="G14" s="69">
        <f>'الامتياز · المؤشرات'!W4</f>
        <v/>
      </c>
      <c r="H14" s="69">
        <f>'الامتياز · المؤشرات'!AH4</f>
        <v/>
      </c>
    </row>
    <row r="15">
      <c r="A15" s="69" t="n">
        <v>12</v>
      </c>
      <c r="B15" s="92" t="inlineStr">
        <is>
          <t>الامتياز التجاري</t>
        </is>
      </c>
      <c r="C15" s="92">
        <f>'الامتياز · المؤشرات'!C5</f>
        <v/>
      </c>
      <c r="D15" s="69">
        <f>'الامتياز · المؤشرات'!X5</f>
        <v/>
      </c>
      <c r="E15" s="92">
        <f>'الامتياز · المؤشرات'!Y5</f>
        <v/>
      </c>
      <c r="F15" s="94">
        <f>'الامتياز · المؤشرات'!V5</f>
        <v/>
      </c>
      <c r="G15" s="69">
        <f>'الامتياز · المؤشرات'!W5</f>
        <v/>
      </c>
      <c r="H15" s="69">
        <f>'الامتياز · المؤشرات'!AH5</f>
        <v/>
      </c>
    </row>
    <row r="16">
      <c r="A16" s="69" t="n">
        <v>13</v>
      </c>
      <c r="B16" s="92" t="inlineStr">
        <is>
          <t>الامتياز التجاري</t>
        </is>
      </c>
      <c r="C16" s="92">
        <f>'الامتياز · المؤشرات'!C6</f>
        <v/>
      </c>
      <c r="D16" s="69">
        <f>'الامتياز · المؤشرات'!X6</f>
        <v/>
      </c>
      <c r="E16" s="92">
        <f>'الامتياز · المؤشرات'!Y6</f>
        <v/>
      </c>
      <c r="F16" s="94">
        <f>'الامتياز · المؤشرات'!V6</f>
        <v/>
      </c>
      <c r="G16" s="69">
        <f>'الامتياز · المؤشرات'!W6</f>
        <v/>
      </c>
      <c r="H16" s="69">
        <f>'الامتياز · المؤشرات'!AH6</f>
        <v/>
      </c>
    </row>
    <row r="17">
      <c r="A17" s="69" t="n">
        <v>14</v>
      </c>
      <c r="B17" s="92" t="inlineStr">
        <is>
          <t>الامتياز التجاري</t>
        </is>
      </c>
      <c r="C17" s="92">
        <f>'الامتياز · المؤشرات'!C7</f>
        <v/>
      </c>
      <c r="D17" s="69">
        <f>'الامتياز · المؤشرات'!X7</f>
        <v/>
      </c>
      <c r="E17" s="92">
        <f>'الامتياز · المؤشرات'!Y7</f>
        <v/>
      </c>
      <c r="F17" s="94">
        <f>'الامتياز · المؤشرات'!V7</f>
        <v/>
      </c>
      <c r="G17" s="69">
        <f>'الامتياز · المؤشرات'!W7</f>
        <v/>
      </c>
      <c r="H17" s="69">
        <f>'الامتياز · المؤشرات'!AH7</f>
        <v/>
      </c>
    </row>
    <row r="18">
      <c r="A18" s="69" t="n">
        <v>15</v>
      </c>
      <c r="B18" s="92" t="inlineStr">
        <is>
          <t>الامتياز التجاري</t>
        </is>
      </c>
      <c r="C18" s="92">
        <f>'الامتياز · المؤشرات'!C8</f>
        <v/>
      </c>
      <c r="D18" s="69">
        <f>'الامتياز · المؤشرات'!X8</f>
        <v/>
      </c>
      <c r="E18" s="92">
        <f>'الامتياز · المؤشرات'!Y8</f>
        <v/>
      </c>
      <c r="F18" s="94">
        <f>'الامتياز · المؤشرات'!V8</f>
        <v/>
      </c>
      <c r="G18" s="69">
        <f>'الامتياز · المؤشرات'!W8</f>
        <v/>
      </c>
      <c r="H18" s="69">
        <f>'الامتياز · المؤشرات'!AH8</f>
        <v/>
      </c>
    </row>
    <row r="19">
      <c r="A19" s="69" t="n">
        <v>16</v>
      </c>
      <c r="B19" s="92" t="inlineStr">
        <is>
          <t>الامتياز التجاري</t>
        </is>
      </c>
      <c r="C19" s="92">
        <f>'الامتياز · المؤشرات'!C9</f>
        <v/>
      </c>
      <c r="D19" s="69">
        <f>'الامتياز · المؤشرات'!X9</f>
        <v/>
      </c>
      <c r="E19" s="92">
        <f>'الامتياز · المؤشرات'!Y9</f>
        <v/>
      </c>
      <c r="F19" s="94">
        <f>'الامتياز · المؤشرات'!V9</f>
        <v/>
      </c>
      <c r="G19" s="69">
        <f>'الامتياز · المؤشرات'!W9</f>
        <v/>
      </c>
      <c r="H19" s="69">
        <f>'الامتياز · المؤشرات'!AH9</f>
        <v/>
      </c>
    </row>
    <row r="20">
      <c r="A20" s="69" t="n">
        <v>17</v>
      </c>
      <c r="B20" s="92" t="inlineStr">
        <is>
          <t>الامتياز التجاري</t>
        </is>
      </c>
      <c r="C20" s="92">
        <f>'الامتياز · المؤشرات'!C10</f>
        <v/>
      </c>
      <c r="D20" s="69">
        <f>'الامتياز · المؤشرات'!X10</f>
        <v/>
      </c>
      <c r="E20" s="92">
        <f>'الامتياز · المؤشرات'!Y10</f>
        <v/>
      </c>
      <c r="F20" s="94">
        <f>'الامتياز · المؤشرات'!V10</f>
        <v/>
      </c>
      <c r="G20" s="69">
        <f>'الامتياز · المؤشرات'!W10</f>
        <v/>
      </c>
      <c r="H20" s="69">
        <f>'الامتياز · المؤشرات'!AH10</f>
        <v/>
      </c>
    </row>
    <row r="21">
      <c r="A21" s="69" t="n">
        <v>18</v>
      </c>
      <c r="B21" s="92" t="inlineStr">
        <is>
          <t>الامتياز التجاري</t>
        </is>
      </c>
      <c r="C21" s="92">
        <f>'الامتياز · المؤشرات'!C11</f>
        <v/>
      </c>
      <c r="D21" s="69">
        <f>'الامتياز · المؤشرات'!X11</f>
        <v/>
      </c>
      <c r="E21" s="92">
        <f>'الامتياز · المؤشرات'!Y11</f>
        <v/>
      </c>
      <c r="F21" s="94">
        <f>'الامتياز · المؤشرات'!V11</f>
        <v/>
      </c>
      <c r="G21" s="69">
        <f>'الامتياز · المؤشرات'!W11</f>
        <v/>
      </c>
      <c r="H21" s="69">
        <f>'الامتياز · المؤشرات'!AH11</f>
        <v/>
      </c>
    </row>
    <row r="22">
      <c r="A22" s="69" t="n">
        <v>19</v>
      </c>
      <c r="B22" s="92" t="inlineStr">
        <is>
          <t>الامتياز التجاري</t>
        </is>
      </c>
      <c r="C22" s="92">
        <f>'الامتياز · المؤشرات'!C12</f>
        <v/>
      </c>
      <c r="D22" s="69">
        <f>'الامتياز · المؤشرات'!X12</f>
        <v/>
      </c>
      <c r="E22" s="92">
        <f>'الامتياز · المؤشرات'!Y12</f>
        <v/>
      </c>
      <c r="F22" s="94">
        <f>'الامتياز · المؤشرات'!V12</f>
        <v/>
      </c>
      <c r="G22" s="69">
        <f>'الامتياز · المؤشرات'!W12</f>
        <v/>
      </c>
      <c r="H22" s="69">
        <f>'الامتياز · المؤشرات'!AH12</f>
        <v/>
      </c>
    </row>
    <row r="23">
      <c r="A23" s="69" t="n">
        <v>20</v>
      </c>
      <c r="B23" s="92" t="inlineStr">
        <is>
          <t>الامتياز التجاري</t>
        </is>
      </c>
      <c r="C23" s="92">
        <f>'الامتياز · المؤشرات'!C13</f>
        <v/>
      </c>
      <c r="D23" s="69">
        <f>'الامتياز · المؤشرات'!X13</f>
        <v/>
      </c>
      <c r="E23" s="92">
        <f>'الامتياز · المؤشرات'!Y13</f>
        <v/>
      </c>
      <c r="F23" s="94">
        <f>'الامتياز · المؤشرات'!V13</f>
        <v/>
      </c>
      <c r="G23" s="69">
        <f>'الامتياز · المؤشرات'!W13</f>
        <v/>
      </c>
      <c r="H23" s="69">
        <f>'الامتياز · المؤشرات'!AH13</f>
        <v/>
      </c>
    </row>
    <row r="24">
      <c r="A24" s="69" t="n">
        <v>21</v>
      </c>
      <c r="B24" s="92" t="inlineStr">
        <is>
          <t>الامتياز التجاري</t>
        </is>
      </c>
      <c r="C24" s="92">
        <f>'الامتياز · المؤشرات'!C14</f>
        <v/>
      </c>
      <c r="D24" s="69">
        <f>'الامتياز · المؤشرات'!X14</f>
        <v/>
      </c>
      <c r="E24" s="92">
        <f>'الامتياز · المؤشرات'!Y14</f>
        <v/>
      </c>
      <c r="F24" s="94">
        <f>'الامتياز · المؤشرات'!V14</f>
        <v/>
      </c>
      <c r="G24" s="69">
        <f>'الامتياز · المؤشرات'!W14</f>
        <v/>
      </c>
      <c r="H24" s="69">
        <f>'الامتياز · المؤشرات'!AH14</f>
        <v/>
      </c>
    </row>
    <row r="25">
      <c r="A25" s="69" t="n">
        <v>22</v>
      </c>
      <c r="B25" s="92" t="inlineStr">
        <is>
          <t>الامتياز التجاري</t>
        </is>
      </c>
      <c r="C25" s="92">
        <f>'الامتياز · المؤشرات'!C15</f>
        <v/>
      </c>
      <c r="D25" s="69">
        <f>'الامتياز · المؤشرات'!X15</f>
        <v/>
      </c>
      <c r="E25" s="92">
        <f>'الامتياز · المؤشرات'!Y15</f>
        <v/>
      </c>
      <c r="F25" s="94">
        <f>'الامتياز · المؤشرات'!V15</f>
        <v/>
      </c>
      <c r="G25" s="69">
        <f>'الامتياز · المؤشرات'!W15</f>
        <v/>
      </c>
      <c r="H25" s="69">
        <f>'الامتياز · المؤشرات'!AH15</f>
        <v/>
      </c>
    </row>
    <row r="26">
      <c r="A26" s="69" t="n">
        <v>23</v>
      </c>
      <c r="B26" s="92" t="inlineStr">
        <is>
          <t>الامتياز التجاري</t>
        </is>
      </c>
      <c r="C26" s="92">
        <f>'الامتياز · المؤشرات'!C16</f>
        <v/>
      </c>
      <c r="D26" s="69">
        <f>'الامتياز · المؤشرات'!X16</f>
        <v/>
      </c>
      <c r="E26" s="92">
        <f>'الامتياز · المؤشرات'!Y16</f>
        <v/>
      </c>
      <c r="F26" s="94">
        <f>'الامتياز · المؤشرات'!V16</f>
        <v/>
      </c>
      <c r="G26" s="69">
        <f>'الامتياز · المؤشرات'!W16</f>
        <v/>
      </c>
      <c r="H26" s="69">
        <f>'الامتياز · المؤشرات'!AH16</f>
        <v/>
      </c>
    </row>
    <row r="27">
      <c r="A27" s="69" t="n">
        <v>24</v>
      </c>
      <c r="B27" s="92" t="inlineStr">
        <is>
          <t>الامتياز التجاري</t>
        </is>
      </c>
      <c r="C27" s="92">
        <f>'الامتياز · المؤشرات'!C17</f>
        <v/>
      </c>
      <c r="D27" s="69">
        <f>'الامتياز · المؤشرات'!X17</f>
        <v/>
      </c>
      <c r="E27" s="92">
        <f>'الامتياز · المؤشرات'!Y17</f>
        <v/>
      </c>
      <c r="F27" s="94">
        <f>'الامتياز · المؤشرات'!V17</f>
        <v/>
      </c>
      <c r="G27" s="69">
        <f>'الامتياز · المؤشرات'!W17</f>
        <v/>
      </c>
      <c r="H27" s="69">
        <f>'الامتياز · المؤشرات'!AH17</f>
        <v/>
      </c>
    </row>
    <row r="28">
      <c r="A28" s="69" t="n">
        <v>25</v>
      </c>
      <c r="B28" s="92" t="inlineStr">
        <is>
          <t>الامتياز التجاري</t>
        </is>
      </c>
      <c r="C28" s="92">
        <f>'الامتياز · المؤشرات'!C18</f>
        <v/>
      </c>
      <c r="D28" s="69">
        <f>'الامتياز · المؤشرات'!X18</f>
        <v/>
      </c>
      <c r="E28" s="92">
        <f>'الامتياز · المؤشرات'!Y18</f>
        <v/>
      </c>
      <c r="F28" s="94">
        <f>'الامتياز · المؤشرات'!V18</f>
        <v/>
      </c>
      <c r="G28" s="69">
        <f>'الامتياز · المؤشرات'!W18</f>
        <v/>
      </c>
      <c r="H28" s="69">
        <f>'الامتياز · المؤشرات'!AH18</f>
        <v/>
      </c>
    </row>
    <row r="29">
      <c r="A29" s="69" t="n">
        <v>26</v>
      </c>
      <c r="B29" s="92" t="inlineStr">
        <is>
          <t>الامتياز التجاري</t>
        </is>
      </c>
      <c r="C29" s="92">
        <f>'الامتياز · المؤشرات'!C19</f>
        <v/>
      </c>
      <c r="D29" s="69">
        <f>'الامتياز · المؤشرات'!X19</f>
        <v/>
      </c>
      <c r="E29" s="92">
        <f>'الامتياز · المؤشرات'!Y19</f>
        <v/>
      </c>
      <c r="F29" s="94">
        <f>'الامتياز · المؤشرات'!V19</f>
        <v/>
      </c>
      <c r="G29" s="69">
        <f>'الامتياز · المؤشرات'!W19</f>
        <v/>
      </c>
      <c r="H29" s="69">
        <f>'الامتياز · المؤشرات'!AH19</f>
        <v/>
      </c>
    </row>
    <row r="30">
      <c r="A30" s="69" t="n">
        <v>27</v>
      </c>
      <c r="B30" s="92" t="inlineStr">
        <is>
          <t>الامتياز التجاري</t>
        </is>
      </c>
      <c r="C30" s="92">
        <f>'الامتياز · المؤشرات'!C20</f>
        <v/>
      </c>
      <c r="D30" s="69">
        <f>'الامتياز · المؤشرات'!X20</f>
        <v/>
      </c>
      <c r="E30" s="92">
        <f>'الامتياز · المؤشرات'!Y20</f>
        <v/>
      </c>
      <c r="F30" s="94">
        <f>'الامتياز · المؤشرات'!V20</f>
        <v/>
      </c>
      <c r="G30" s="69">
        <f>'الامتياز · المؤشرات'!W20</f>
        <v/>
      </c>
      <c r="H30" s="69">
        <f>'الامتياز · المؤشرات'!AH20</f>
        <v/>
      </c>
    </row>
    <row r="31">
      <c r="A31" s="69" t="n">
        <v>28</v>
      </c>
      <c r="B31" s="92" t="inlineStr">
        <is>
          <t>الامتياز التجاري</t>
        </is>
      </c>
      <c r="C31" s="92">
        <f>'الامتياز · المؤشرات'!C21</f>
        <v/>
      </c>
      <c r="D31" s="69">
        <f>'الامتياز · المؤشرات'!X21</f>
        <v/>
      </c>
      <c r="E31" s="92">
        <f>'الامتياز · المؤشرات'!Y21</f>
        <v/>
      </c>
      <c r="F31" s="94">
        <f>'الامتياز · المؤشرات'!V21</f>
        <v/>
      </c>
      <c r="G31" s="69">
        <f>'الامتياز · المؤشرات'!W21</f>
        <v/>
      </c>
      <c r="H31" s="69">
        <f>'الامتياز · المؤشرات'!AH21</f>
        <v/>
      </c>
    </row>
    <row r="32">
      <c r="A32" s="69" t="n">
        <v>29</v>
      </c>
      <c r="B32" s="92" t="inlineStr">
        <is>
          <t>الامتياز التجاري</t>
        </is>
      </c>
      <c r="C32" s="92">
        <f>'الامتياز · المؤشرات'!C22</f>
        <v/>
      </c>
      <c r="D32" s="69">
        <f>'الامتياز · المؤشرات'!X22</f>
        <v/>
      </c>
      <c r="E32" s="92">
        <f>'الامتياز · المؤشرات'!Y22</f>
        <v/>
      </c>
      <c r="F32" s="94">
        <f>'الامتياز · المؤشرات'!V22</f>
        <v/>
      </c>
      <c r="G32" s="69">
        <f>'الامتياز · المؤشرات'!W22</f>
        <v/>
      </c>
      <c r="H32" s="69">
        <f>'الامتياز · المؤشرات'!AH22</f>
        <v/>
      </c>
    </row>
    <row r="33">
      <c r="A33" s="69" t="n">
        <v>30</v>
      </c>
      <c r="B33" s="92" t="inlineStr">
        <is>
          <t>الامتياز التجاري</t>
        </is>
      </c>
      <c r="C33" s="92">
        <f>'الامتياز · المؤشرات'!C23</f>
        <v/>
      </c>
      <c r="D33" s="69">
        <f>'الامتياز · المؤشرات'!X23</f>
        <v/>
      </c>
      <c r="E33" s="92">
        <f>'الامتياز · المؤشرات'!Y23</f>
        <v/>
      </c>
      <c r="F33" s="94">
        <f>'الامتياز · المؤشرات'!V23</f>
        <v/>
      </c>
      <c r="G33" s="69">
        <f>'الامتياز · المؤشرات'!W23</f>
        <v/>
      </c>
      <c r="H33" s="69">
        <f>'الامتياز · المؤشرات'!AH23</f>
        <v/>
      </c>
    </row>
    <row r="34">
      <c r="A34" s="69" t="n">
        <v>31</v>
      </c>
      <c r="B34" s="92" t="inlineStr">
        <is>
          <t>الامتياز التجاري</t>
        </is>
      </c>
      <c r="C34" s="92">
        <f>'الامتياز · المؤشرات'!C24</f>
        <v/>
      </c>
      <c r="D34" s="69">
        <f>'الامتياز · المؤشرات'!X24</f>
        <v/>
      </c>
      <c r="E34" s="92">
        <f>'الامتياز · المؤشرات'!Y24</f>
        <v/>
      </c>
      <c r="F34" s="94">
        <f>'الامتياز · المؤشرات'!V24</f>
        <v/>
      </c>
      <c r="G34" s="69">
        <f>'الامتياز · المؤشرات'!W24</f>
        <v/>
      </c>
      <c r="H34" s="69">
        <f>'الامتياز · المؤشرات'!AH24</f>
        <v/>
      </c>
    </row>
    <row r="35">
      <c r="A35" s="69" t="n">
        <v>32</v>
      </c>
      <c r="B35" s="92" t="inlineStr">
        <is>
          <t>الامتياز التجاري</t>
        </is>
      </c>
      <c r="C35" s="92">
        <f>'الامتياز · المؤشرات'!C25</f>
        <v/>
      </c>
      <c r="D35" s="69">
        <f>'الامتياز · المؤشرات'!X25</f>
        <v/>
      </c>
      <c r="E35" s="92">
        <f>'الامتياز · المؤشرات'!Y25</f>
        <v/>
      </c>
      <c r="F35" s="94">
        <f>'الامتياز · المؤشرات'!V25</f>
        <v/>
      </c>
      <c r="G35" s="69">
        <f>'الامتياز · المؤشرات'!W25</f>
        <v/>
      </c>
      <c r="H35" s="69">
        <f>'الامتياز · المؤشرات'!AH25</f>
        <v/>
      </c>
    </row>
    <row r="36">
      <c r="A36" s="69" t="n">
        <v>33</v>
      </c>
      <c r="B36" s="92" t="inlineStr">
        <is>
          <t>الامتياز التجاري</t>
        </is>
      </c>
      <c r="C36" s="92">
        <f>'الامتياز · المؤشرات'!C26</f>
        <v/>
      </c>
      <c r="D36" s="69">
        <f>'الامتياز · المؤشرات'!X26</f>
        <v/>
      </c>
      <c r="E36" s="92">
        <f>'الامتياز · المؤشرات'!Y26</f>
        <v/>
      </c>
      <c r="F36" s="94">
        <f>'الامتياز · المؤشرات'!V26</f>
        <v/>
      </c>
      <c r="G36" s="69">
        <f>'الامتياز · المؤشرات'!W26</f>
        <v/>
      </c>
      <c r="H36" s="69">
        <f>'الامتياز · المؤشرات'!AH26</f>
        <v/>
      </c>
    </row>
    <row r="37">
      <c r="A37" s="69" t="n">
        <v>34</v>
      </c>
      <c r="B37" s="92" t="inlineStr">
        <is>
          <t>الامتياز التجاري</t>
        </is>
      </c>
      <c r="C37" s="92">
        <f>'الامتياز · المؤشرات'!C27</f>
        <v/>
      </c>
      <c r="D37" s="69">
        <f>'الامتياز · المؤشرات'!X27</f>
        <v/>
      </c>
      <c r="E37" s="92">
        <f>'الامتياز · المؤشرات'!Y27</f>
        <v/>
      </c>
      <c r="F37" s="94">
        <f>'الامتياز · المؤشرات'!V27</f>
        <v/>
      </c>
      <c r="G37" s="69">
        <f>'الامتياز · المؤشرات'!W27</f>
        <v/>
      </c>
      <c r="H37" s="69">
        <f>'الامتياز · المؤشرات'!AH27</f>
        <v/>
      </c>
    </row>
    <row r="38">
      <c r="A38" s="69" t="n">
        <v>35</v>
      </c>
      <c r="B38" s="92" t="inlineStr">
        <is>
          <t>الامتياز التجاري</t>
        </is>
      </c>
      <c r="C38" s="92">
        <f>'الامتياز · المؤشرات'!C28</f>
        <v/>
      </c>
      <c r="D38" s="69">
        <f>'الامتياز · المؤشرات'!X28</f>
        <v/>
      </c>
      <c r="E38" s="92">
        <f>'الامتياز · المؤشرات'!Y28</f>
        <v/>
      </c>
      <c r="F38" s="94">
        <f>'الامتياز · المؤشرات'!V28</f>
        <v/>
      </c>
      <c r="G38" s="69">
        <f>'الامتياز · المؤشرات'!W28</f>
        <v/>
      </c>
      <c r="H38" s="69">
        <f>'الامتياز · المؤشرات'!AH28</f>
        <v/>
      </c>
    </row>
    <row r="39">
      <c r="A39" s="69" t="n">
        <v>36</v>
      </c>
      <c r="B39" s="92" t="inlineStr">
        <is>
          <t>الامتياز التجاري</t>
        </is>
      </c>
      <c r="C39" s="92">
        <f>'الامتياز · المؤشرات'!C29</f>
        <v/>
      </c>
      <c r="D39" s="69">
        <f>'الامتياز · المؤشرات'!X29</f>
        <v/>
      </c>
      <c r="E39" s="92">
        <f>'الامتياز · المؤشرات'!Y29</f>
        <v/>
      </c>
      <c r="F39" s="94">
        <f>'الامتياز · المؤشرات'!V29</f>
        <v/>
      </c>
      <c r="G39" s="69">
        <f>'الامتياز · المؤشرات'!W29</f>
        <v/>
      </c>
      <c r="H39" s="69">
        <f>'الامتياز · المؤشرات'!AH29</f>
        <v/>
      </c>
    </row>
    <row r="40">
      <c r="A40" s="69" t="n">
        <v>37</v>
      </c>
      <c r="B40" s="92" t="inlineStr">
        <is>
          <t>الامتياز التجاري</t>
        </is>
      </c>
      <c r="C40" s="92">
        <f>'الامتياز · المؤشرات'!C30</f>
        <v/>
      </c>
      <c r="D40" s="69">
        <f>'الامتياز · المؤشرات'!X30</f>
        <v/>
      </c>
      <c r="E40" s="92">
        <f>'الامتياز · المؤشرات'!Y30</f>
        <v/>
      </c>
      <c r="F40" s="94">
        <f>'الامتياز · المؤشرات'!V30</f>
        <v/>
      </c>
      <c r="G40" s="69">
        <f>'الامتياز · المؤشرات'!W30</f>
        <v/>
      </c>
      <c r="H40" s="69">
        <f>'الامتياز · المؤشرات'!AH30</f>
        <v/>
      </c>
    </row>
    <row r="41">
      <c r="A41" s="69" t="n">
        <v>38</v>
      </c>
      <c r="B41" s="92" t="inlineStr">
        <is>
          <t>الامتياز التجاري</t>
        </is>
      </c>
      <c r="C41" s="92">
        <f>'الامتياز · المؤشرات'!C31</f>
        <v/>
      </c>
      <c r="D41" s="69">
        <f>'الامتياز · المؤشرات'!X31</f>
        <v/>
      </c>
      <c r="E41" s="92">
        <f>'الامتياز · المؤشرات'!Y31</f>
        <v/>
      </c>
      <c r="F41" s="94">
        <f>'الامتياز · المؤشرات'!V31</f>
        <v/>
      </c>
      <c r="G41" s="69">
        <f>'الامتياز · المؤشرات'!W31</f>
        <v/>
      </c>
      <c r="H41" s="69">
        <f>'الامتياز · المؤشرات'!AH31</f>
        <v/>
      </c>
    </row>
    <row r="42">
      <c r="A42" s="69" t="n">
        <v>39</v>
      </c>
      <c r="B42" s="92" t="inlineStr">
        <is>
          <t>الامتياز التجاري</t>
        </is>
      </c>
      <c r="C42" s="92">
        <f>'الامتياز · المؤشرات'!C32</f>
        <v/>
      </c>
      <c r="D42" s="69">
        <f>'الامتياز · المؤشرات'!X32</f>
        <v/>
      </c>
      <c r="E42" s="92">
        <f>'الامتياز · المؤشرات'!Y32</f>
        <v/>
      </c>
      <c r="F42" s="94">
        <f>'الامتياز · المؤشرات'!V32</f>
        <v/>
      </c>
      <c r="G42" s="69">
        <f>'الامتياز · المؤشرات'!W32</f>
        <v/>
      </c>
      <c r="H42" s="69">
        <f>'الامتياز · المؤشرات'!AH32</f>
        <v/>
      </c>
    </row>
    <row r="43">
      <c r="A43" s="69" t="n">
        <v>40</v>
      </c>
      <c r="B43" s="92" t="inlineStr">
        <is>
          <t>الامتياز التجاري</t>
        </is>
      </c>
      <c r="C43" s="92">
        <f>'الامتياز · المؤشرات'!C33</f>
        <v/>
      </c>
      <c r="D43" s="69">
        <f>'الامتياز · المؤشرات'!X33</f>
        <v/>
      </c>
      <c r="E43" s="92">
        <f>'الامتياز · المؤشرات'!Y33</f>
        <v/>
      </c>
      <c r="F43" s="94">
        <f>'الامتياز · المؤشرات'!V33</f>
        <v/>
      </c>
      <c r="G43" s="69">
        <f>'الامتياز · المؤشرات'!W33</f>
        <v/>
      </c>
      <c r="H43" s="69">
        <f>'الامتياز · المؤشرات'!AH33</f>
        <v/>
      </c>
    </row>
    <row r="44">
      <c r="A44" s="69" t="n">
        <v>41</v>
      </c>
      <c r="B44" s="92" t="inlineStr">
        <is>
          <t>الامتياز التجاري</t>
        </is>
      </c>
      <c r="C44" s="92">
        <f>'الامتياز · المؤشرات'!C34</f>
        <v/>
      </c>
      <c r="D44" s="69">
        <f>'الامتياز · المؤشرات'!X34</f>
        <v/>
      </c>
      <c r="E44" s="92">
        <f>'الامتياز · المؤشرات'!Y34</f>
        <v/>
      </c>
      <c r="F44" s="94">
        <f>'الامتياز · المؤشرات'!V34</f>
        <v/>
      </c>
      <c r="G44" s="69">
        <f>'الامتياز · المؤشرات'!W34</f>
        <v/>
      </c>
      <c r="H44" s="69">
        <f>'الامتياز · المؤشرات'!AH34</f>
        <v/>
      </c>
    </row>
    <row r="45">
      <c r="A45" s="69" t="n">
        <v>42</v>
      </c>
      <c r="B45" s="92" t="inlineStr">
        <is>
          <t>الامتياز التجاري</t>
        </is>
      </c>
      <c r="C45" s="92">
        <f>'الامتياز · المؤشرات'!C35</f>
        <v/>
      </c>
      <c r="D45" s="69">
        <f>'الامتياز · المؤشرات'!X35</f>
        <v/>
      </c>
      <c r="E45" s="92">
        <f>'الامتياز · المؤشرات'!Y35</f>
        <v/>
      </c>
      <c r="F45" s="94">
        <f>'الامتياز · المؤشرات'!V35</f>
        <v/>
      </c>
      <c r="G45" s="69">
        <f>'الامتياز · المؤشرات'!W35</f>
        <v/>
      </c>
      <c r="H45" s="69">
        <f>'الامتياز · المؤشرات'!AH35</f>
        <v/>
      </c>
    </row>
    <row r="46">
      <c r="A46" s="69" t="n">
        <v>43</v>
      </c>
      <c r="B46" s="92" t="inlineStr">
        <is>
          <t>الامتياز التجاري</t>
        </is>
      </c>
      <c r="C46" s="92">
        <f>'الامتياز · المؤشرات'!C36</f>
        <v/>
      </c>
      <c r="D46" s="69">
        <f>'الامتياز · المؤشرات'!X36</f>
        <v/>
      </c>
      <c r="E46" s="92">
        <f>'الامتياز · المؤشرات'!Y36</f>
        <v/>
      </c>
      <c r="F46" s="94">
        <f>'الامتياز · المؤشرات'!V36</f>
        <v/>
      </c>
      <c r="G46" s="69">
        <f>'الامتياز · المؤشرات'!W36</f>
        <v/>
      </c>
      <c r="H46" s="69">
        <f>'الامتياز · المؤشرات'!AH36</f>
        <v/>
      </c>
    </row>
    <row r="47">
      <c r="A47" s="69" t="n">
        <v>44</v>
      </c>
      <c r="B47" s="92" t="inlineStr">
        <is>
          <t>الامتياز التجاري</t>
        </is>
      </c>
      <c r="C47" s="92">
        <f>'الامتياز · المؤشرات'!C37</f>
        <v/>
      </c>
      <c r="D47" s="69">
        <f>'الامتياز · المؤشرات'!X37</f>
        <v/>
      </c>
      <c r="E47" s="92">
        <f>'الامتياز · المؤشرات'!Y37</f>
        <v/>
      </c>
      <c r="F47" s="94">
        <f>'الامتياز · المؤشرات'!V37</f>
        <v/>
      </c>
      <c r="G47" s="69">
        <f>'الامتياز · المؤشرات'!W37</f>
        <v/>
      </c>
      <c r="H47" s="69">
        <f>'الامتياز · المؤشرات'!AH37</f>
        <v/>
      </c>
    </row>
    <row r="48">
      <c r="A48" s="69" t="n">
        <v>45</v>
      </c>
      <c r="B48" s="92" t="inlineStr">
        <is>
          <t>الامتياز التجاري</t>
        </is>
      </c>
      <c r="C48" s="92">
        <f>'الامتياز · المؤشرات'!C38</f>
        <v/>
      </c>
      <c r="D48" s="69">
        <f>'الامتياز · المؤشرات'!X38</f>
        <v/>
      </c>
      <c r="E48" s="92">
        <f>'الامتياز · المؤشرات'!Y38</f>
        <v/>
      </c>
      <c r="F48" s="94">
        <f>'الامتياز · المؤشرات'!V38</f>
        <v/>
      </c>
      <c r="G48" s="69">
        <f>'الامتياز · المؤشرات'!W38</f>
        <v/>
      </c>
      <c r="H48" s="69">
        <f>'الامتياز · المؤشرات'!AH38</f>
        <v/>
      </c>
    </row>
    <row r="49">
      <c r="A49" s="69" t="n">
        <v>46</v>
      </c>
      <c r="B49" s="92" t="inlineStr">
        <is>
          <t>الامتياز التجاري</t>
        </is>
      </c>
      <c r="C49" s="92">
        <f>'الامتياز · المؤشرات'!C39</f>
        <v/>
      </c>
      <c r="D49" s="69">
        <f>'الامتياز · المؤشرات'!X39</f>
        <v/>
      </c>
      <c r="E49" s="92">
        <f>'الامتياز · المؤشرات'!Y39</f>
        <v/>
      </c>
      <c r="F49" s="94">
        <f>'الامتياز · المؤشرات'!V39</f>
        <v/>
      </c>
      <c r="G49" s="69">
        <f>'الامتياز · المؤشرات'!W39</f>
        <v/>
      </c>
      <c r="H49" s="69">
        <f>'الامتياز · المؤشرات'!AH39</f>
        <v/>
      </c>
    </row>
    <row r="50">
      <c r="A50" s="69" t="n">
        <v>47</v>
      </c>
      <c r="B50" s="92" t="inlineStr">
        <is>
          <t>التشغيل والمحطات</t>
        </is>
      </c>
      <c r="C50" s="92">
        <f>'التشغيل · المؤشرات'!C4</f>
        <v/>
      </c>
      <c r="D50" s="69">
        <f>'التشغيل · المؤشرات'!X4</f>
        <v/>
      </c>
      <c r="E50" s="92">
        <f>'التشغيل · المؤشرات'!Y4</f>
        <v/>
      </c>
      <c r="F50" s="94">
        <f>'التشغيل · المؤشرات'!V4</f>
        <v/>
      </c>
      <c r="G50" s="69">
        <f>'التشغيل · المؤشرات'!W4</f>
        <v/>
      </c>
      <c r="H50" s="69">
        <f>'التشغيل · المؤشرات'!AH4</f>
        <v/>
      </c>
    </row>
    <row r="51">
      <c r="A51" s="69" t="n">
        <v>48</v>
      </c>
      <c r="B51" s="92" t="inlineStr">
        <is>
          <t>التشغيل والمحطات</t>
        </is>
      </c>
      <c r="C51" s="92">
        <f>'التشغيل · المؤشرات'!C5</f>
        <v/>
      </c>
      <c r="D51" s="69">
        <f>'التشغيل · المؤشرات'!X5</f>
        <v/>
      </c>
      <c r="E51" s="92">
        <f>'التشغيل · المؤشرات'!Y5</f>
        <v/>
      </c>
      <c r="F51" s="94">
        <f>'التشغيل · المؤشرات'!V5</f>
        <v/>
      </c>
      <c r="G51" s="69">
        <f>'التشغيل · المؤشرات'!W5</f>
        <v/>
      </c>
      <c r="H51" s="69">
        <f>'التشغيل · المؤشرات'!AH5</f>
        <v/>
      </c>
    </row>
    <row r="52">
      <c r="A52" s="69" t="n">
        <v>49</v>
      </c>
      <c r="B52" s="92" t="inlineStr">
        <is>
          <t>التشغيل والمحطات</t>
        </is>
      </c>
      <c r="C52" s="92">
        <f>'التشغيل · المؤشرات'!C6</f>
        <v/>
      </c>
      <c r="D52" s="69">
        <f>'التشغيل · المؤشرات'!X6</f>
        <v/>
      </c>
      <c r="E52" s="92">
        <f>'التشغيل · المؤشرات'!Y6</f>
        <v/>
      </c>
      <c r="F52" s="94">
        <f>'التشغيل · المؤشرات'!V6</f>
        <v/>
      </c>
      <c r="G52" s="69">
        <f>'التشغيل · المؤشرات'!W6</f>
        <v/>
      </c>
      <c r="H52" s="69">
        <f>'التشغيل · المؤشرات'!AH6</f>
        <v/>
      </c>
    </row>
    <row r="53">
      <c r="A53" s="69" t="n">
        <v>50</v>
      </c>
      <c r="B53" s="92" t="inlineStr">
        <is>
          <t>التشغيل والمحطات</t>
        </is>
      </c>
      <c r="C53" s="92">
        <f>'التشغيل · المؤشرات'!C7</f>
        <v/>
      </c>
      <c r="D53" s="69">
        <f>'التشغيل · المؤشرات'!X7</f>
        <v/>
      </c>
      <c r="E53" s="92">
        <f>'التشغيل · المؤشرات'!Y7</f>
        <v/>
      </c>
      <c r="F53" s="94">
        <f>'التشغيل · المؤشرات'!V7</f>
        <v/>
      </c>
      <c r="G53" s="69">
        <f>'التشغيل · المؤشرات'!W7</f>
        <v/>
      </c>
      <c r="H53" s="69">
        <f>'التشغيل · المؤشرات'!AH7</f>
        <v/>
      </c>
    </row>
    <row r="54">
      <c r="A54" s="69" t="n">
        <v>51</v>
      </c>
      <c r="B54" s="92" t="inlineStr">
        <is>
          <t>التشغيل والمحطات</t>
        </is>
      </c>
      <c r="C54" s="92">
        <f>'التشغيل · المؤشرات'!C8</f>
        <v/>
      </c>
      <c r="D54" s="69">
        <f>'التشغيل · المؤشرات'!X8</f>
        <v/>
      </c>
      <c r="E54" s="92">
        <f>'التشغيل · المؤشرات'!Y8</f>
        <v/>
      </c>
      <c r="F54" s="94">
        <f>'التشغيل · المؤشرات'!V8</f>
        <v/>
      </c>
      <c r="G54" s="69">
        <f>'التشغيل · المؤشرات'!W8</f>
        <v/>
      </c>
      <c r="H54" s="69">
        <f>'التشغيل · المؤشرات'!AH8</f>
        <v/>
      </c>
    </row>
    <row r="55">
      <c r="A55" s="69" t="n">
        <v>52</v>
      </c>
      <c r="B55" s="92" t="inlineStr">
        <is>
          <t>التشغيل والمحطات</t>
        </is>
      </c>
      <c r="C55" s="92">
        <f>'التشغيل · المؤشرات'!C9</f>
        <v/>
      </c>
      <c r="D55" s="69">
        <f>'التشغيل · المؤشرات'!X9</f>
        <v/>
      </c>
      <c r="E55" s="92">
        <f>'التشغيل · المؤشرات'!Y9</f>
        <v/>
      </c>
      <c r="F55" s="94">
        <f>'التشغيل · المؤشرات'!V9</f>
        <v/>
      </c>
      <c r="G55" s="69">
        <f>'التشغيل · المؤشرات'!W9</f>
        <v/>
      </c>
      <c r="H55" s="69">
        <f>'التشغيل · المؤشرات'!AH9</f>
        <v/>
      </c>
    </row>
    <row r="56">
      <c r="A56" s="69" t="n">
        <v>53</v>
      </c>
      <c r="B56" s="92" t="inlineStr">
        <is>
          <t>التشغيل والمحطات</t>
        </is>
      </c>
      <c r="C56" s="92">
        <f>'التشغيل · المؤشرات'!C10</f>
        <v/>
      </c>
      <c r="D56" s="69">
        <f>'التشغيل · المؤشرات'!X10</f>
        <v/>
      </c>
      <c r="E56" s="92">
        <f>'التشغيل · المؤشرات'!Y10</f>
        <v/>
      </c>
      <c r="F56" s="94">
        <f>'التشغيل · المؤشرات'!V10</f>
        <v/>
      </c>
      <c r="G56" s="69">
        <f>'التشغيل · المؤشرات'!W10</f>
        <v/>
      </c>
      <c r="H56" s="69">
        <f>'التشغيل · المؤشرات'!AH10</f>
        <v/>
      </c>
    </row>
    <row r="57">
      <c r="A57" s="69" t="n">
        <v>54</v>
      </c>
      <c r="B57" s="92" t="inlineStr">
        <is>
          <t>التشغيل والمحطات</t>
        </is>
      </c>
      <c r="C57" s="92">
        <f>'التشغيل · المؤشرات'!C11</f>
        <v/>
      </c>
      <c r="D57" s="69">
        <f>'التشغيل · المؤشرات'!X11</f>
        <v/>
      </c>
      <c r="E57" s="92">
        <f>'التشغيل · المؤشرات'!Y11</f>
        <v/>
      </c>
      <c r="F57" s="94">
        <f>'التشغيل · المؤشرات'!V11</f>
        <v/>
      </c>
      <c r="G57" s="69">
        <f>'التشغيل · المؤشرات'!W11</f>
        <v/>
      </c>
      <c r="H57" s="69">
        <f>'التشغيل · المؤشرات'!AH11</f>
        <v/>
      </c>
    </row>
    <row r="58">
      <c r="A58" s="69" t="n">
        <v>55</v>
      </c>
      <c r="B58" s="92" t="inlineStr">
        <is>
          <t>التشغيل والمحطات</t>
        </is>
      </c>
      <c r="C58" s="92">
        <f>'التشغيل · المؤشرات'!C12</f>
        <v/>
      </c>
      <c r="D58" s="69">
        <f>'التشغيل · المؤشرات'!X12</f>
        <v/>
      </c>
      <c r="E58" s="92">
        <f>'التشغيل · المؤشرات'!Y12</f>
        <v/>
      </c>
      <c r="F58" s="94">
        <f>'التشغيل · المؤشرات'!V12</f>
        <v/>
      </c>
      <c r="G58" s="69">
        <f>'التشغيل · المؤشرات'!W12</f>
        <v/>
      </c>
      <c r="H58" s="69">
        <f>'التشغيل · المؤشرات'!AH12</f>
        <v/>
      </c>
    </row>
    <row r="59">
      <c r="A59" s="69" t="n">
        <v>56</v>
      </c>
      <c r="B59" s="92" t="inlineStr">
        <is>
          <t>التشغيل والمحطات</t>
        </is>
      </c>
      <c r="C59" s="92">
        <f>'التشغيل · المؤشرات'!C13</f>
        <v/>
      </c>
      <c r="D59" s="69">
        <f>'التشغيل · المؤشرات'!X13</f>
        <v/>
      </c>
      <c r="E59" s="92">
        <f>'التشغيل · المؤشرات'!Y13</f>
        <v/>
      </c>
      <c r="F59" s="94">
        <f>'التشغيل · المؤشرات'!V13</f>
        <v/>
      </c>
      <c r="G59" s="69">
        <f>'التشغيل · المؤشرات'!W13</f>
        <v/>
      </c>
      <c r="H59" s="69">
        <f>'التشغيل · المؤشرات'!AH13</f>
        <v/>
      </c>
    </row>
    <row r="60">
      <c r="A60" s="69" t="n">
        <v>57</v>
      </c>
      <c r="B60" s="92" t="inlineStr">
        <is>
          <t>التشغيل والمحطات</t>
        </is>
      </c>
      <c r="C60" s="92">
        <f>'التشغيل · المؤشرات'!C14</f>
        <v/>
      </c>
      <c r="D60" s="69">
        <f>'التشغيل · المؤشرات'!X14</f>
        <v/>
      </c>
      <c r="E60" s="92">
        <f>'التشغيل · المؤشرات'!Y14</f>
        <v/>
      </c>
      <c r="F60" s="94">
        <f>'التشغيل · المؤشرات'!V14</f>
        <v/>
      </c>
      <c r="G60" s="69">
        <f>'التشغيل · المؤشرات'!W14</f>
        <v/>
      </c>
      <c r="H60" s="69">
        <f>'التشغيل · المؤشرات'!AH14</f>
        <v/>
      </c>
    </row>
    <row r="61">
      <c r="A61" s="69" t="n">
        <v>58</v>
      </c>
      <c r="B61" s="92" t="inlineStr">
        <is>
          <t>التشغيل والمحطات</t>
        </is>
      </c>
      <c r="C61" s="92">
        <f>'التشغيل · المؤشرات'!C15</f>
        <v/>
      </c>
      <c r="D61" s="69">
        <f>'التشغيل · المؤشرات'!X15</f>
        <v/>
      </c>
      <c r="E61" s="92">
        <f>'التشغيل · المؤشرات'!Y15</f>
        <v/>
      </c>
      <c r="F61" s="94">
        <f>'التشغيل · المؤشرات'!V15</f>
        <v/>
      </c>
      <c r="G61" s="69">
        <f>'التشغيل · المؤشرات'!W15</f>
        <v/>
      </c>
      <c r="H61" s="69">
        <f>'التشغيل · المؤشرات'!AH15</f>
        <v/>
      </c>
    </row>
    <row r="62">
      <c r="A62" s="69" t="n">
        <v>59</v>
      </c>
      <c r="B62" s="92" t="inlineStr">
        <is>
          <t>التشغيل والمحطات</t>
        </is>
      </c>
      <c r="C62" s="92">
        <f>'التشغيل · المؤشرات'!C16</f>
        <v/>
      </c>
      <c r="D62" s="69">
        <f>'التشغيل · المؤشرات'!X16</f>
        <v/>
      </c>
      <c r="E62" s="92">
        <f>'التشغيل · المؤشرات'!Y16</f>
        <v/>
      </c>
      <c r="F62" s="94">
        <f>'التشغيل · المؤشرات'!V16</f>
        <v/>
      </c>
      <c r="G62" s="69">
        <f>'التشغيل · المؤشرات'!W16</f>
        <v/>
      </c>
      <c r="H62" s="69">
        <f>'التشغيل · المؤشرات'!AH16</f>
        <v/>
      </c>
    </row>
    <row r="63">
      <c r="A63" s="69" t="n">
        <v>60</v>
      </c>
      <c r="B63" s="92" t="inlineStr">
        <is>
          <t>التشغيل والمحطات</t>
        </is>
      </c>
      <c r="C63" s="92">
        <f>'التشغيل · المؤشرات'!C17</f>
        <v/>
      </c>
      <c r="D63" s="69">
        <f>'التشغيل · المؤشرات'!X17</f>
        <v/>
      </c>
      <c r="E63" s="92">
        <f>'التشغيل · المؤشرات'!Y17</f>
        <v/>
      </c>
      <c r="F63" s="94">
        <f>'التشغيل · المؤشرات'!V17</f>
        <v/>
      </c>
      <c r="G63" s="69">
        <f>'التشغيل · المؤشرات'!W17</f>
        <v/>
      </c>
      <c r="H63" s="69">
        <f>'التشغيل · المؤشرات'!AH17</f>
        <v/>
      </c>
    </row>
    <row r="64">
      <c r="A64" s="69" t="n">
        <v>61</v>
      </c>
      <c r="B64" s="92" t="inlineStr">
        <is>
          <t>التشغيل والمحطات</t>
        </is>
      </c>
      <c r="C64" s="92">
        <f>'التشغيل · المؤشرات'!C18</f>
        <v/>
      </c>
      <c r="D64" s="69">
        <f>'التشغيل · المؤشرات'!X18</f>
        <v/>
      </c>
      <c r="E64" s="92">
        <f>'التشغيل · المؤشرات'!Y18</f>
        <v/>
      </c>
      <c r="F64" s="94">
        <f>'التشغيل · المؤشرات'!V18</f>
        <v/>
      </c>
      <c r="G64" s="69">
        <f>'التشغيل · المؤشرات'!W18</f>
        <v/>
      </c>
      <c r="H64" s="69">
        <f>'التشغيل · المؤشرات'!AH18</f>
        <v/>
      </c>
    </row>
    <row r="65">
      <c r="A65" s="69" t="n">
        <v>62</v>
      </c>
      <c r="B65" s="92" t="inlineStr">
        <is>
          <t>التشغيل والمحطات</t>
        </is>
      </c>
      <c r="C65" s="92">
        <f>'التشغيل · المؤشرات'!C19</f>
        <v/>
      </c>
      <c r="D65" s="69">
        <f>'التشغيل · المؤشرات'!X19</f>
        <v/>
      </c>
      <c r="E65" s="92">
        <f>'التشغيل · المؤشرات'!Y19</f>
        <v/>
      </c>
      <c r="F65" s="94">
        <f>'التشغيل · المؤشرات'!V19</f>
        <v/>
      </c>
      <c r="G65" s="69">
        <f>'التشغيل · المؤشرات'!W19</f>
        <v/>
      </c>
      <c r="H65" s="69">
        <f>'التشغيل · المؤشرات'!AH19</f>
        <v/>
      </c>
    </row>
    <row r="66">
      <c r="A66" s="69" t="n">
        <v>63</v>
      </c>
      <c r="B66" s="92" t="inlineStr">
        <is>
          <t>الاستثمار</t>
        </is>
      </c>
      <c r="C66" s="92">
        <f>'الاستثمار · المؤشرات'!C4</f>
        <v/>
      </c>
      <c r="D66" s="69">
        <f>'الاستثمار · المؤشرات'!X4</f>
        <v/>
      </c>
      <c r="E66" s="92">
        <f>'الاستثمار · المؤشرات'!Y4</f>
        <v/>
      </c>
      <c r="F66" s="94">
        <f>'الاستثمار · المؤشرات'!V4</f>
        <v/>
      </c>
      <c r="G66" s="69">
        <f>'الاستثمار · المؤشرات'!W4</f>
        <v/>
      </c>
      <c r="H66" s="69">
        <f>'الاستثمار · المؤشرات'!AH4</f>
        <v/>
      </c>
    </row>
    <row r="67">
      <c r="A67" s="69" t="n">
        <v>64</v>
      </c>
      <c r="B67" s="92" t="inlineStr">
        <is>
          <t>الاستثمار</t>
        </is>
      </c>
      <c r="C67" s="92">
        <f>'الاستثمار · المؤشرات'!C5</f>
        <v/>
      </c>
      <c r="D67" s="69">
        <f>'الاستثمار · المؤشرات'!X5</f>
        <v/>
      </c>
      <c r="E67" s="92">
        <f>'الاستثمار · المؤشرات'!Y5</f>
        <v/>
      </c>
      <c r="F67" s="94">
        <f>'الاستثمار · المؤشرات'!V5</f>
        <v/>
      </c>
      <c r="G67" s="69">
        <f>'الاستثمار · المؤشرات'!W5</f>
        <v/>
      </c>
      <c r="H67" s="69">
        <f>'الاستثمار · المؤشرات'!AH5</f>
        <v/>
      </c>
    </row>
    <row r="68">
      <c r="A68" s="69" t="n">
        <v>65</v>
      </c>
      <c r="B68" s="92" t="inlineStr">
        <is>
          <t>الاستثمار</t>
        </is>
      </c>
      <c r="C68" s="92">
        <f>'الاستثمار · المؤشرات'!C6</f>
        <v/>
      </c>
      <c r="D68" s="69">
        <f>'الاستثمار · المؤشرات'!X6</f>
        <v/>
      </c>
      <c r="E68" s="92">
        <f>'الاستثمار · المؤشرات'!Y6</f>
        <v/>
      </c>
      <c r="F68" s="94">
        <f>'الاستثمار · المؤشرات'!V6</f>
        <v/>
      </c>
      <c r="G68" s="69">
        <f>'الاستثمار · المؤشرات'!W6</f>
        <v/>
      </c>
      <c r="H68" s="69">
        <f>'الاستثمار · المؤشرات'!AH6</f>
        <v/>
      </c>
    </row>
    <row r="69">
      <c r="A69" s="69" t="n">
        <v>66</v>
      </c>
      <c r="B69" s="92" t="inlineStr">
        <is>
          <t>الاستثمار</t>
        </is>
      </c>
      <c r="C69" s="92">
        <f>'الاستثمار · المؤشرات'!C7</f>
        <v/>
      </c>
      <c r="D69" s="69">
        <f>'الاستثمار · المؤشرات'!X7</f>
        <v/>
      </c>
      <c r="E69" s="92">
        <f>'الاستثمار · المؤشرات'!Y7</f>
        <v/>
      </c>
      <c r="F69" s="94">
        <f>'الاستثمار · المؤشرات'!V7</f>
        <v/>
      </c>
      <c r="G69" s="69">
        <f>'الاستثمار · المؤشرات'!W7</f>
        <v/>
      </c>
      <c r="H69" s="69">
        <f>'الاستثمار · المؤشرات'!AH7</f>
        <v/>
      </c>
    </row>
    <row r="70">
      <c r="A70" s="69" t="n">
        <v>67</v>
      </c>
      <c r="B70" s="92" t="inlineStr">
        <is>
          <t>الاستثمار</t>
        </is>
      </c>
      <c r="C70" s="92">
        <f>'الاستثمار · المؤشرات'!C8</f>
        <v/>
      </c>
      <c r="D70" s="69">
        <f>'الاستثمار · المؤشرات'!X8</f>
        <v/>
      </c>
      <c r="E70" s="92">
        <f>'الاستثمار · المؤشرات'!Y8</f>
        <v/>
      </c>
      <c r="F70" s="94">
        <f>'الاستثمار · المؤشرات'!V8</f>
        <v/>
      </c>
      <c r="G70" s="69">
        <f>'الاستثمار · المؤشرات'!W8</f>
        <v/>
      </c>
      <c r="H70" s="69">
        <f>'الاستثمار · المؤشرات'!AH8</f>
        <v/>
      </c>
    </row>
    <row r="71">
      <c r="A71" s="69" t="n">
        <v>68</v>
      </c>
      <c r="B71" s="92" t="inlineStr">
        <is>
          <t>الاستثمار</t>
        </is>
      </c>
      <c r="C71" s="92">
        <f>'الاستثمار · المؤشرات'!C9</f>
        <v/>
      </c>
      <c r="D71" s="69">
        <f>'الاستثمار · المؤشرات'!X9</f>
        <v/>
      </c>
      <c r="E71" s="92">
        <f>'الاستثمار · المؤشرات'!Y9</f>
        <v/>
      </c>
      <c r="F71" s="94">
        <f>'الاستثمار · المؤشرات'!V9</f>
        <v/>
      </c>
      <c r="G71" s="69">
        <f>'الاستثمار · المؤشرات'!W9</f>
        <v/>
      </c>
      <c r="H71" s="69">
        <f>'الاستثمار · المؤشرات'!AH9</f>
        <v/>
      </c>
    </row>
    <row r="72">
      <c r="A72" s="69" t="n">
        <v>69</v>
      </c>
      <c r="B72" s="92" t="inlineStr">
        <is>
          <t>الاستثمار</t>
        </is>
      </c>
      <c r="C72" s="92">
        <f>'الاستثمار · المؤشرات'!C10</f>
        <v/>
      </c>
      <c r="D72" s="69">
        <f>'الاستثمار · المؤشرات'!X10</f>
        <v/>
      </c>
      <c r="E72" s="92">
        <f>'الاستثمار · المؤشرات'!Y10</f>
        <v/>
      </c>
      <c r="F72" s="94">
        <f>'الاستثمار · المؤشرات'!V10</f>
        <v/>
      </c>
      <c r="G72" s="69">
        <f>'الاستثمار · المؤشرات'!W10</f>
        <v/>
      </c>
      <c r="H72" s="69">
        <f>'الاستثمار · المؤشرات'!AH10</f>
        <v/>
      </c>
    </row>
    <row r="73">
      <c r="A73" s="69" t="n">
        <v>70</v>
      </c>
      <c r="B73" s="92" t="inlineStr">
        <is>
          <t>الاستثمار</t>
        </is>
      </c>
      <c r="C73" s="92">
        <f>'الاستثمار · المؤشرات'!C11</f>
        <v/>
      </c>
      <c r="D73" s="69">
        <f>'الاستثمار · المؤشرات'!X11</f>
        <v/>
      </c>
      <c r="E73" s="92">
        <f>'الاستثمار · المؤشرات'!Y11</f>
        <v/>
      </c>
      <c r="F73" s="94">
        <f>'الاستثمار · المؤشرات'!V11</f>
        <v/>
      </c>
      <c r="G73" s="69">
        <f>'الاستثمار · المؤشرات'!W11</f>
        <v/>
      </c>
      <c r="H73" s="69">
        <f>'الاستثمار · المؤشرات'!AH11</f>
        <v/>
      </c>
    </row>
    <row r="74">
      <c r="A74" s="69" t="n">
        <v>71</v>
      </c>
      <c r="B74" s="92" t="inlineStr">
        <is>
          <t>الاستثمار</t>
        </is>
      </c>
      <c r="C74" s="92">
        <f>'الاستثمار · المؤشرات'!C12</f>
        <v/>
      </c>
      <c r="D74" s="69">
        <f>'الاستثمار · المؤشرات'!X12</f>
        <v/>
      </c>
      <c r="E74" s="92">
        <f>'الاستثمار · المؤشرات'!Y12</f>
        <v/>
      </c>
      <c r="F74" s="94">
        <f>'الاستثمار · المؤشرات'!V12</f>
        <v/>
      </c>
      <c r="G74" s="69">
        <f>'الاستثمار · المؤشرات'!W12</f>
        <v/>
      </c>
      <c r="H74" s="69">
        <f>'الاستثمار · المؤشرات'!AH12</f>
        <v/>
      </c>
    </row>
    <row r="75">
      <c r="A75" s="69" t="n">
        <v>72</v>
      </c>
      <c r="B75" s="92" t="inlineStr">
        <is>
          <t>الاستثمار</t>
        </is>
      </c>
      <c r="C75" s="92">
        <f>'الاستثمار · المؤشرات'!C13</f>
        <v/>
      </c>
      <c r="D75" s="69">
        <f>'الاستثمار · المؤشرات'!X13</f>
        <v/>
      </c>
      <c r="E75" s="92">
        <f>'الاستثمار · المؤشرات'!Y13</f>
        <v/>
      </c>
      <c r="F75" s="94">
        <f>'الاستثمار · المؤشرات'!V13</f>
        <v/>
      </c>
      <c r="G75" s="69">
        <f>'الاستثمار · المؤشرات'!W13</f>
        <v/>
      </c>
      <c r="H75" s="69">
        <f>'الاستثمار · المؤشرات'!AH13</f>
        <v/>
      </c>
    </row>
    <row r="76">
      <c r="A76" s="69" t="n">
        <v>73</v>
      </c>
      <c r="B76" s="92" t="inlineStr">
        <is>
          <t>الاستثمار</t>
        </is>
      </c>
      <c r="C76" s="92">
        <f>'الاستثمار · المؤشرات'!C14</f>
        <v/>
      </c>
      <c r="D76" s="69">
        <f>'الاستثمار · المؤشرات'!X14</f>
        <v/>
      </c>
      <c r="E76" s="92">
        <f>'الاستثمار · المؤشرات'!Y14</f>
        <v/>
      </c>
      <c r="F76" s="94">
        <f>'الاستثمار · المؤشرات'!V14</f>
        <v/>
      </c>
      <c r="G76" s="69">
        <f>'الاستثمار · المؤشرات'!W14</f>
        <v/>
      </c>
      <c r="H76" s="69">
        <f>'الاستثمار · المؤشرات'!AH14</f>
        <v/>
      </c>
    </row>
    <row r="77">
      <c r="A77" s="69" t="n">
        <v>74</v>
      </c>
      <c r="B77" s="92" t="inlineStr">
        <is>
          <t>الاستثمار</t>
        </is>
      </c>
      <c r="C77" s="92">
        <f>'الاستثمار · المؤشرات'!C15</f>
        <v/>
      </c>
      <c r="D77" s="69">
        <f>'الاستثمار · المؤشرات'!X15</f>
        <v/>
      </c>
      <c r="E77" s="92">
        <f>'الاستثمار · المؤشرات'!Y15</f>
        <v/>
      </c>
      <c r="F77" s="94">
        <f>'الاستثمار · المؤشرات'!V15</f>
        <v/>
      </c>
      <c r="G77" s="69">
        <f>'الاستثمار · المؤشرات'!W15</f>
        <v/>
      </c>
      <c r="H77" s="69">
        <f>'الاستثمار · المؤشرات'!AH15</f>
        <v/>
      </c>
    </row>
    <row r="78">
      <c r="A78" s="69" t="n">
        <v>75</v>
      </c>
      <c r="B78" s="92" t="inlineStr">
        <is>
          <t>الاستثمار</t>
        </is>
      </c>
      <c r="C78" s="92">
        <f>'الاستثمار · المؤشرات'!C16</f>
        <v/>
      </c>
      <c r="D78" s="69">
        <f>'الاستثمار · المؤشرات'!X16</f>
        <v/>
      </c>
      <c r="E78" s="92">
        <f>'الاستثمار · المؤشرات'!Y16</f>
        <v/>
      </c>
      <c r="F78" s="94">
        <f>'الاستثمار · المؤشرات'!V16</f>
        <v/>
      </c>
      <c r="G78" s="69">
        <f>'الاستثمار · المؤشرات'!W16</f>
        <v/>
      </c>
      <c r="H78" s="69">
        <f>'الاستثمار · المؤشرات'!AH16</f>
        <v/>
      </c>
    </row>
    <row r="79">
      <c r="A79" s="69" t="n">
        <v>76</v>
      </c>
      <c r="B79" s="92" t="inlineStr">
        <is>
          <t>الاستثمار</t>
        </is>
      </c>
      <c r="C79" s="92">
        <f>'الاستثمار · المؤشرات'!C17</f>
        <v/>
      </c>
      <c r="D79" s="69">
        <f>'الاستثمار · المؤشرات'!X17</f>
        <v/>
      </c>
      <c r="E79" s="92">
        <f>'الاستثمار · المؤشرات'!Y17</f>
        <v/>
      </c>
      <c r="F79" s="94">
        <f>'الاستثمار · المؤشرات'!V17</f>
        <v/>
      </c>
      <c r="G79" s="69">
        <f>'الاستثمار · المؤشرات'!W17</f>
        <v/>
      </c>
      <c r="H79" s="69">
        <f>'الاستثمار · المؤشرات'!AH17</f>
        <v/>
      </c>
    </row>
    <row r="80">
      <c r="A80" s="69" t="n">
        <v>77</v>
      </c>
      <c r="B80" s="92" t="inlineStr">
        <is>
          <t>الاستثمار</t>
        </is>
      </c>
      <c r="C80" s="92">
        <f>'الاستثمار · المؤشرات'!C18</f>
        <v/>
      </c>
      <c r="D80" s="69">
        <f>'الاستثمار · المؤشرات'!X18</f>
        <v/>
      </c>
      <c r="E80" s="92">
        <f>'الاستثمار · المؤشرات'!Y18</f>
        <v/>
      </c>
      <c r="F80" s="94">
        <f>'الاستثمار · المؤشرات'!V18</f>
        <v/>
      </c>
      <c r="G80" s="69">
        <f>'الاستثمار · المؤشرات'!W18</f>
        <v/>
      </c>
      <c r="H80" s="69">
        <f>'الاستثمار · المؤشرات'!AH18</f>
        <v/>
      </c>
    </row>
    <row r="81">
      <c r="A81" s="69" t="n">
        <v>78</v>
      </c>
      <c r="B81" s="92" t="inlineStr">
        <is>
          <t>الاستثمار</t>
        </is>
      </c>
      <c r="C81" s="92">
        <f>'الاستثمار · المؤشرات'!C19</f>
        <v/>
      </c>
      <c r="D81" s="69">
        <f>'الاستثمار · المؤشرات'!X19</f>
        <v/>
      </c>
      <c r="E81" s="92">
        <f>'الاستثمار · المؤشرات'!Y19</f>
        <v/>
      </c>
      <c r="F81" s="94">
        <f>'الاستثمار · المؤشرات'!V19</f>
        <v/>
      </c>
      <c r="G81" s="69">
        <f>'الاستثمار · المؤشرات'!W19</f>
        <v/>
      </c>
      <c r="H81" s="69">
        <f>'الاستثمار · المؤشرات'!AH19</f>
        <v/>
      </c>
    </row>
    <row r="82">
      <c r="A82" s="69" t="n">
        <v>79</v>
      </c>
      <c r="B82" s="92" t="inlineStr">
        <is>
          <t>الاستثمار</t>
        </is>
      </c>
      <c r="C82" s="92">
        <f>'الاستثمار · المؤشرات'!C20</f>
        <v/>
      </c>
      <c r="D82" s="69">
        <f>'الاستثمار · المؤشرات'!X20</f>
        <v/>
      </c>
      <c r="E82" s="92">
        <f>'الاستثمار · المؤشرات'!Y20</f>
        <v/>
      </c>
      <c r="F82" s="94">
        <f>'الاستثمار · المؤشرات'!V20</f>
        <v/>
      </c>
      <c r="G82" s="69">
        <f>'الاستثمار · المؤشرات'!W20</f>
        <v/>
      </c>
      <c r="H82" s="69">
        <f>'الاستثمار · المؤشرات'!AH20</f>
        <v/>
      </c>
    </row>
    <row r="83">
      <c r="A83" s="69" t="n">
        <v>80</v>
      </c>
      <c r="B83" s="92" t="inlineStr">
        <is>
          <t>الاستثمار</t>
        </is>
      </c>
      <c r="C83" s="92">
        <f>'الاستثمار · المؤشرات'!C21</f>
        <v/>
      </c>
      <c r="D83" s="69">
        <f>'الاستثمار · المؤشرات'!X21</f>
        <v/>
      </c>
      <c r="E83" s="92">
        <f>'الاستثمار · المؤشرات'!Y21</f>
        <v/>
      </c>
      <c r="F83" s="94">
        <f>'الاستثمار · المؤشرات'!V21</f>
        <v/>
      </c>
      <c r="G83" s="69">
        <f>'الاستثمار · المؤشرات'!W21</f>
        <v/>
      </c>
      <c r="H83" s="69">
        <f>'الاستثمار · المؤشرات'!AH21</f>
        <v/>
      </c>
    </row>
    <row r="84">
      <c r="A84" s="69" t="n">
        <v>81</v>
      </c>
      <c r="B84" s="92" t="inlineStr">
        <is>
          <t>الاستثمار</t>
        </is>
      </c>
      <c r="C84" s="92">
        <f>'الاستثمار · المؤشرات'!C22</f>
        <v/>
      </c>
      <c r="D84" s="69">
        <f>'الاستثمار · المؤشرات'!X22</f>
        <v/>
      </c>
      <c r="E84" s="92">
        <f>'الاستثمار · المؤشرات'!Y22</f>
        <v/>
      </c>
      <c r="F84" s="94">
        <f>'الاستثمار · المؤشرات'!V22</f>
        <v/>
      </c>
      <c r="G84" s="69">
        <f>'الاستثمار · المؤشرات'!W22</f>
        <v/>
      </c>
      <c r="H84" s="69">
        <f>'الاستثمار · المؤشرات'!AH22</f>
        <v/>
      </c>
    </row>
    <row r="85">
      <c r="A85" s="69" t="n">
        <v>82</v>
      </c>
      <c r="B85" s="92" t="inlineStr">
        <is>
          <t>الاستثمار</t>
        </is>
      </c>
      <c r="C85" s="92">
        <f>'الاستثمار · المؤشرات'!C23</f>
        <v/>
      </c>
      <c r="D85" s="69">
        <f>'الاستثمار · المؤشرات'!X23</f>
        <v/>
      </c>
      <c r="E85" s="92">
        <f>'الاستثمار · المؤشرات'!Y23</f>
        <v/>
      </c>
      <c r="F85" s="94">
        <f>'الاستثمار · المؤشرات'!V23</f>
        <v/>
      </c>
      <c r="G85" s="69">
        <f>'الاستثمار · المؤشرات'!W23</f>
        <v/>
      </c>
      <c r="H85" s="69">
        <f>'الاستثمار · المؤشرات'!AH23</f>
        <v/>
      </c>
    </row>
    <row r="86">
      <c r="A86" s="69" t="n">
        <v>83</v>
      </c>
      <c r="B86" s="92" t="inlineStr">
        <is>
          <t>الاستثمار</t>
        </is>
      </c>
      <c r="C86" s="92">
        <f>'الاستثمار · المؤشرات'!C24</f>
        <v/>
      </c>
      <c r="D86" s="69">
        <f>'الاستثمار · المؤشرات'!X24</f>
        <v/>
      </c>
      <c r="E86" s="92">
        <f>'الاستثمار · المؤشرات'!Y24</f>
        <v/>
      </c>
      <c r="F86" s="94">
        <f>'الاستثمار · المؤشرات'!V24</f>
        <v/>
      </c>
      <c r="G86" s="69">
        <f>'الاستثمار · المؤشرات'!W24</f>
        <v/>
      </c>
      <c r="H86" s="69">
        <f>'الاستثمار · المؤشرات'!AH24</f>
        <v/>
      </c>
    </row>
    <row r="87">
      <c r="A87" s="69" t="n">
        <v>84</v>
      </c>
      <c r="B87" s="92" t="inlineStr">
        <is>
          <t>الاستثمار</t>
        </is>
      </c>
      <c r="C87" s="92">
        <f>'الاستثمار · المؤشرات'!C25</f>
        <v/>
      </c>
      <c r="D87" s="69">
        <f>'الاستثمار · المؤشرات'!X25</f>
        <v/>
      </c>
      <c r="E87" s="92">
        <f>'الاستثمار · المؤشرات'!Y25</f>
        <v/>
      </c>
      <c r="F87" s="94">
        <f>'الاستثمار · المؤشرات'!V25</f>
        <v/>
      </c>
      <c r="G87" s="69">
        <f>'الاستثمار · المؤشرات'!W25</f>
        <v/>
      </c>
      <c r="H87" s="69">
        <f>'الاستثمار · المؤشرات'!AH25</f>
        <v/>
      </c>
    </row>
    <row r="88">
      <c r="A88" s="69" t="n">
        <v>85</v>
      </c>
      <c r="B88" s="92" t="inlineStr">
        <is>
          <t>الاستثمار</t>
        </is>
      </c>
      <c r="C88" s="92">
        <f>'الاستثمار · المؤشرات'!C26</f>
        <v/>
      </c>
      <c r="D88" s="69">
        <f>'الاستثمار · المؤشرات'!X26</f>
        <v/>
      </c>
      <c r="E88" s="92">
        <f>'الاستثمار · المؤشرات'!Y26</f>
        <v/>
      </c>
      <c r="F88" s="94">
        <f>'الاستثمار · المؤشرات'!V26</f>
        <v/>
      </c>
      <c r="G88" s="69">
        <f>'الاستثمار · المؤشرات'!W26</f>
        <v/>
      </c>
      <c r="H88" s="69">
        <f>'الاستثمار · المؤشرات'!AH26</f>
        <v/>
      </c>
    </row>
    <row r="89">
      <c r="A89" s="69" t="n">
        <v>86</v>
      </c>
      <c r="B89" s="92" t="inlineStr">
        <is>
          <t>الاستثمار</t>
        </is>
      </c>
      <c r="C89" s="92">
        <f>'الاستثمار · المؤشرات'!C27</f>
        <v/>
      </c>
      <c r="D89" s="69">
        <f>'الاستثمار · المؤشرات'!X27</f>
        <v/>
      </c>
      <c r="E89" s="92">
        <f>'الاستثمار · المؤشرات'!Y27</f>
        <v/>
      </c>
      <c r="F89" s="94">
        <f>'الاستثمار · المؤشرات'!V27</f>
        <v/>
      </c>
      <c r="G89" s="69">
        <f>'الاستثمار · المؤشرات'!W27</f>
        <v/>
      </c>
      <c r="H89" s="69">
        <f>'الاستثمار · المؤشرات'!AH27</f>
        <v/>
      </c>
    </row>
    <row r="90">
      <c r="A90" s="69" t="n">
        <v>87</v>
      </c>
      <c r="B90" s="92" t="inlineStr">
        <is>
          <t>العقار</t>
        </is>
      </c>
      <c r="C90" s="92">
        <f>'العقار · المؤشرات'!C4</f>
        <v/>
      </c>
      <c r="D90" s="69">
        <f>'العقار · المؤشرات'!X4</f>
        <v/>
      </c>
      <c r="E90" s="92">
        <f>'العقار · المؤشرات'!Y4</f>
        <v/>
      </c>
      <c r="F90" s="94">
        <f>'العقار · المؤشرات'!V4</f>
        <v/>
      </c>
      <c r="G90" s="69">
        <f>'العقار · المؤشرات'!W4</f>
        <v/>
      </c>
      <c r="H90" s="69">
        <f>'العقار · المؤشرات'!AH4</f>
        <v/>
      </c>
    </row>
    <row r="91">
      <c r="A91" s="69" t="n">
        <v>88</v>
      </c>
      <c r="B91" s="92" t="inlineStr">
        <is>
          <t>العقار</t>
        </is>
      </c>
      <c r="C91" s="92">
        <f>'العقار · المؤشرات'!C5</f>
        <v/>
      </c>
      <c r="D91" s="69">
        <f>'العقار · المؤشرات'!X5</f>
        <v/>
      </c>
      <c r="E91" s="92">
        <f>'العقار · المؤشرات'!Y5</f>
        <v/>
      </c>
      <c r="F91" s="94">
        <f>'العقار · المؤشرات'!V5</f>
        <v/>
      </c>
      <c r="G91" s="69">
        <f>'العقار · المؤشرات'!W5</f>
        <v/>
      </c>
      <c r="H91" s="69">
        <f>'العقار · المؤشرات'!AH5</f>
        <v/>
      </c>
    </row>
    <row r="92">
      <c r="A92" s="69" t="n">
        <v>89</v>
      </c>
      <c r="B92" s="92" t="inlineStr">
        <is>
          <t>العقار</t>
        </is>
      </c>
      <c r="C92" s="92">
        <f>'العقار · المؤشرات'!C6</f>
        <v/>
      </c>
      <c r="D92" s="69">
        <f>'العقار · المؤشرات'!X6</f>
        <v/>
      </c>
      <c r="E92" s="92">
        <f>'العقار · المؤشرات'!Y6</f>
        <v/>
      </c>
      <c r="F92" s="94">
        <f>'العقار · المؤشرات'!V6</f>
        <v/>
      </c>
      <c r="G92" s="69">
        <f>'العقار · المؤشرات'!W6</f>
        <v/>
      </c>
      <c r="H92" s="69">
        <f>'العقار · المؤشرات'!AH6</f>
        <v/>
      </c>
    </row>
    <row r="93">
      <c r="A93" s="69" t="n">
        <v>90</v>
      </c>
      <c r="B93" s="92" t="inlineStr">
        <is>
          <t>العقار</t>
        </is>
      </c>
      <c r="C93" s="92">
        <f>'العقار · المؤشرات'!C7</f>
        <v/>
      </c>
      <c r="D93" s="69">
        <f>'العقار · المؤشرات'!X7</f>
        <v/>
      </c>
      <c r="E93" s="92">
        <f>'العقار · المؤشرات'!Y7</f>
        <v/>
      </c>
      <c r="F93" s="94">
        <f>'العقار · المؤشرات'!V7</f>
        <v/>
      </c>
      <c r="G93" s="69">
        <f>'العقار · المؤشرات'!W7</f>
        <v/>
      </c>
      <c r="H93" s="69">
        <f>'العقار · المؤشرات'!AH7</f>
        <v/>
      </c>
    </row>
    <row r="94">
      <c r="A94" s="69" t="n">
        <v>91</v>
      </c>
      <c r="B94" s="92" t="inlineStr">
        <is>
          <t>العقار</t>
        </is>
      </c>
      <c r="C94" s="92">
        <f>'العقار · المؤشرات'!C8</f>
        <v/>
      </c>
      <c r="D94" s="69">
        <f>'العقار · المؤشرات'!X8</f>
        <v/>
      </c>
      <c r="E94" s="92">
        <f>'العقار · المؤشرات'!Y8</f>
        <v/>
      </c>
      <c r="F94" s="94">
        <f>'العقار · المؤشرات'!V8</f>
        <v/>
      </c>
      <c r="G94" s="69">
        <f>'العقار · المؤشرات'!W8</f>
        <v/>
      </c>
      <c r="H94" s="69">
        <f>'العقار · المؤشرات'!AH8</f>
        <v/>
      </c>
    </row>
    <row r="95">
      <c r="A95" s="69" t="n">
        <v>92</v>
      </c>
      <c r="B95" s="92" t="inlineStr">
        <is>
          <t>العقار</t>
        </is>
      </c>
      <c r="C95" s="92">
        <f>'العقار · المؤشرات'!C9</f>
        <v/>
      </c>
      <c r="D95" s="69">
        <f>'العقار · المؤشرات'!X9</f>
        <v/>
      </c>
      <c r="E95" s="92">
        <f>'العقار · المؤشرات'!Y9</f>
        <v/>
      </c>
      <c r="F95" s="94">
        <f>'العقار · المؤشرات'!V9</f>
        <v/>
      </c>
      <c r="G95" s="69">
        <f>'العقار · المؤشرات'!W9</f>
        <v/>
      </c>
      <c r="H95" s="69">
        <f>'العقار · المؤشرات'!AH9</f>
        <v/>
      </c>
    </row>
    <row r="96">
      <c r="A96" s="69" t="n">
        <v>93</v>
      </c>
      <c r="B96" s="92" t="inlineStr">
        <is>
          <t>العقار</t>
        </is>
      </c>
      <c r="C96" s="92">
        <f>'العقار · المؤشرات'!C10</f>
        <v/>
      </c>
      <c r="D96" s="69">
        <f>'العقار · المؤشرات'!X10</f>
        <v/>
      </c>
      <c r="E96" s="92">
        <f>'العقار · المؤشرات'!Y10</f>
        <v/>
      </c>
      <c r="F96" s="94">
        <f>'العقار · المؤشرات'!V10</f>
        <v/>
      </c>
      <c r="G96" s="69">
        <f>'العقار · المؤشرات'!W10</f>
        <v/>
      </c>
      <c r="H96" s="69">
        <f>'العقار · المؤشرات'!AH10</f>
        <v/>
      </c>
    </row>
    <row r="97">
      <c r="A97" s="69" t="n">
        <v>94</v>
      </c>
      <c r="B97" s="92" t="inlineStr">
        <is>
          <t>العقار</t>
        </is>
      </c>
      <c r="C97" s="92">
        <f>'العقار · المؤشرات'!C11</f>
        <v/>
      </c>
      <c r="D97" s="69">
        <f>'العقار · المؤشرات'!X11</f>
        <v/>
      </c>
      <c r="E97" s="92">
        <f>'العقار · المؤشرات'!Y11</f>
        <v/>
      </c>
      <c r="F97" s="94">
        <f>'العقار · المؤشرات'!V11</f>
        <v/>
      </c>
      <c r="G97" s="69">
        <f>'العقار · المؤشرات'!W11</f>
        <v/>
      </c>
      <c r="H97" s="69">
        <f>'العقار · المؤشرات'!AH11</f>
        <v/>
      </c>
    </row>
    <row r="98">
      <c r="A98" s="69" t="n">
        <v>95</v>
      </c>
      <c r="B98" s="92" t="inlineStr">
        <is>
          <t>العقار</t>
        </is>
      </c>
      <c r="C98" s="92">
        <f>'العقار · المؤشرات'!C12</f>
        <v/>
      </c>
      <c r="D98" s="69">
        <f>'العقار · المؤشرات'!X12</f>
        <v/>
      </c>
      <c r="E98" s="92">
        <f>'العقار · المؤشرات'!Y12</f>
        <v/>
      </c>
      <c r="F98" s="94">
        <f>'العقار · المؤشرات'!V12</f>
        <v/>
      </c>
      <c r="G98" s="69">
        <f>'العقار · المؤشرات'!W12</f>
        <v/>
      </c>
      <c r="H98" s="69">
        <f>'العقار · المؤشرات'!AH12</f>
        <v/>
      </c>
    </row>
    <row r="99">
      <c r="A99" s="69" t="n">
        <v>96</v>
      </c>
      <c r="B99" s="92" t="inlineStr">
        <is>
          <t>العقار</t>
        </is>
      </c>
      <c r="C99" s="92">
        <f>'العقار · المؤشرات'!C13</f>
        <v/>
      </c>
      <c r="D99" s="69">
        <f>'العقار · المؤشرات'!X13</f>
        <v/>
      </c>
      <c r="E99" s="92">
        <f>'العقار · المؤشرات'!Y13</f>
        <v/>
      </c>
      <c r="F99" s="94">
        <f>'العقار · المؤشرات'!V13</f>
        <v/>
      </c>
      <c r="G99" s="69">
        <f>'العقار · المؤشرات'!W13</f>
        <v/>
      </c>
      <c r="H99" s="69">
        <f>'العقار · المؤشرات'!AH13</f>
        <v/>
      </c>
    </row>
    <row r="100">
      <c r="A100" s="69" t="n">
        <v>97</v>
      </c>
      <c r="B100" s="92" t="inlineStr">
        <is>
          <t>العقار</t>
        </is>
      </c>
      <c r="C100" s="92">
        <f>'العقار · المؤشرات'!C14</f>
        <v/>
      </c>
      <c r="D100" s="69">
        <f>'العقار · المؤشرات'!X14</f>
        <v/>
      </c>
      <c r="E100" s="92">
        <f>'العقار · المؤشرات'!Y14</f>
        <v/>
      </c>
      <c r="F100" s="94">
        <f>'العقار · المؤشرات'!V14</f>
        <v/>
      </c>
      <c r="G100" s="69">
        <f>'العقار · المؤشرات'!W14</f>
        <v/>
      </c>
      <c r="H100" s="69">
        <f>'العقار · المؤشرات'!AH14</f>
        <v/>
      </c>
    </row>
    <row r="101">
      <c r="A101" s="69" t="n">
        <v>98</v>
      </c>
      <c r="B101" s="92" t="inlineStr">
        <is>
          <t>العقار</t>
        </is>
      </c>
      <c r="C101" s="92">
        <f>'العقار · المؤشرات'!C15</f>
        <v/>
      </c>
      <c r="D101" s="69">
        <f>'العقار · المؤشرات'!X15</f>
        <v/>
      </c>
      <c r="E101" s="92">
        <f>'العقار · المؤشرات'!Y15</f>
        <v/>
      </c>
      <c r="F101" s="94">
        <f>'العقار · المؤشرات'!V15</f>
        <v/>
      </c>
      <c r="G101" s="69">
        <f>'العقار · المؤشرات'!W15</f>
        <v/>
      </c>
      <c r="H101" s="69">
        <f>'العقار · المؤشرات'!AH15</f>
        <v/>
      </c>
    </row>
    <row r="102">
      <c r="A102" s="69" t="n">
        <v>99</v>
      </c>
      <c r="B102" s="92" t="inlineStr">
        <is>
          <t>العقار</t>
        </is>
      </c>
      <c r="C102" s="92">
        <f>'العقار · المؤشرات'!C16</f>
        <v/>
      </c>
      <c r="D102" s="69">
        <f>'العقار · المؤشرات'!X16</f>
        <v/>
      </c>
      <c r="E102" s="92">
        <f>'العقار · المؤشرات'!Y16</f>
        <v/>
      </c>
      <c r="F102" s="94">
        <f>'العقار · المؤشرات'!V16</f>
        <v/>
      </c>
      <c r="G102" s="69">
        <f>'العقار · المؤشرات'!W16</f>
        <v/>
      </c>
      <c r="H102" s="69">
        <f>'العقار · المؤشرات'!AH16</f>
        <v/>
      </c>
    </row>
    <row r="103">
      <c r="A103" s="69" t="n">
        <v>100</v>
      </c>
      <c r="B103" s="92" t="inlineStr">
        <is>
          <t>العقار</t>
        </is>
      </c>
      <c r="C103" s="92">
        <f>'العقار · المؤشرات'!C17</f>
        <v/>
      </c>
      <c r="D103" s="69">
        <f>'العقار · المؤشرات'!X17</f>
        <v/>
      </c>
      <c r="E103" s="92">
        <f>'العقار · المؤشرات'!Y17</f>
        <v/>
      </c>
      <c r="F103" s="94">
        <f>'العقار · المؤشرات'!V17</f>
        <v/>
      </c>
      <c r="G103" s="69">
        <f>'العقار · المؤشرات'!W17</f>
        <v/>
      </c>
      <c r="H103" s="69">
        <f>'العقار · المؤشرات'!AH17</f>
        <v/>
      </c>
    </row>
    <row r="104">
      <c r="A104" s="69" t="n">
        <v>101</v>
      </c>
      <c r="B104" s="92" t="inlineStr">
        <is>
          <t>العقار</t>
        </is>
      </c>
      <c r="C104" s="92">
        <f>'العقار · المؤشرات'!C18</f>
        <v/>
      </c>
      <c r="D104" s="69">
        <f>'العقار · المؤشرات'!X18</f>
        <v/>
      </c>
      <c r="E104" s="92">
        <f>'العقار · المؤشرات'!Y18</f>
        <v/>
      </c>
      <c r="F104" s="94">
        <f>'العقار · المؤشرات'!V18</f>
        <v/>
      </c>
      <c r="G104" s="69">
        <f>'العقار · المؤشرات'!W18</f>
        <v/>
      </c>
      <c r="H104" s="69">
        <f>'العقار · المؤشرات'!AH18</f>
        <v/>
      </c>
    </row>
    <row r="105">
      <c r="A105" s="69" t="n">
        <v>102</v>
      </c>
      <c r="B105" s="92" t="inlineStr">
        <is>
          <t>العقار</t>
        </is>
      </c>
      <c r="C105" s="92">
        <f>'العقار · المؤشرات'!C19</f>
        <v/>
      </c>
      <c r="D105" s="69">
        <f>'العقار · المؤشرات'!X19</f>
        <v/>
      </c>
      <c r="E105" s="92">
        <f>'العقار · المؤشرات'!Y19</f>
        <v/>
      </c>
      <c r="F105" s="94">
        <f>'العقار · المؤشرات'!V19</f>
        <v/>
      </c>
      <c r="G105" s="69">
        <f>'العقار · المؤشرات'!W19</f>
        <v/>
      </c>
      <c r="H105" s="69">
        <f>'العقار · المؤشرات'!AH19</f>
        <v/>
      </c>
    </row>
    <row r="106">
      <c r="A106" s="69" t="n">
        <v>103</v>
      </c>
      <c r="B106" s="92" t="inlineStr">
        <is>
          <t>التقنية الرقمية</t>
        </is>
      </c>
      <c r="C106" s="92">
        <f>'التقنية الرقمية · المؤشرات'!C4</f>
        <v/>
      </c>
      <c r="D106" s="69">
        <f>'التقنية الرقمية · المؤشرات'!X4</f>
        <v/>
      </c>
      <c r="E106" s="92">
        <f>'التقنية الرقمية · المؤشرات'!Y4</f>
        <v/>
      </c>
      <c r="F106" s="94">
        <f>'التقنية الرقمية · المؤشرات'!V4</f>
        <v/>
      </c>
      <c r="G106" s="69">
        <f>'التقنية الرقمية · المؤشرات'!W4</f>
        <v/>
      </c>
      <c r="H106" s="69">
        <f>'التقنية الرقمية · المؤشرات'!AH4</f>
        <v/>
      </c>
    </row>
    <row r="107">
      <c r="A107" s="69" t="n">
        <v>104</v>
      </c>
      <c r="B107" s="92" t="inlineStr">
        <is>
          <t>التقنية الرقمية</t>
        </is>
      </c>
      <c r="C107" s="92">
        <f>'التقنية الرقمية · المؤشرات'!C5</f>
        <v/>
      </c>
      <c r="D107" s="69">
        <f>'التقنية الرقمية · المؤشرات'!X5</f>
        <v/>
      </c>
      <c r="E107" s="92">
        <f>'التقنية الرقمية · المؤشرات'!Y5</f>
        <v/>
      </c>
      <c r="F107" s="94">
        <f>'التقنية الرقمية · المؤشرات'!V5</f>
        <v/>
      </c>
      <c r="G107" s="69">
        <f>'التقنية الرقمية · المؤشرات'!W5</f>
        <v/>
      </c>
      <c r="H107" s="69">
        <f>'التقنية الرقمية · المؤشرات'!AH5</f>
        <v/>
      </c>
    </row>
    <row r="108">
      <c r="A108" s="69" t="n">
        <v>105</v>
      </c>
      <c r="B108" s="92" t="inlineStr">
        <is>
          <t>التقنية الرقمية</t>
        </is>
      </c>
      <c r="C108" s="92">
        <f>'التقنية الرقمية · المؤشرات'!C6</f>
        <v/>
      </c>
      <c r="D108" s="69">
        <f>'التقنية الرقمية · المؤشرات'!X6</f>
        <v/>
      </c>
      <c r="E108" s="92">
        <f>'التقنية الرقمية · المؤشرات'!Y6</f>
        <v/>
      </c>
      <c r="F108" s="94">
        <f>'التقنية الرقمية · المؤشرات'!V6</f>
        <v/>
      </c>
      <c r="G108" s="69">
        <f>'التقنية الرقمية · المؤشرات'!W6</f>
        <v/>
      </c>
      <c r="H108" s="69">
        <f>'التقنية الرقمية · المؤشرات'!AH6</f>
        <v/>
      </c>
    </row>
    <row r="109">
      <c r="A109" s="69" t="n">
        <v>106</v>
      </c>
      <c r="B109" s="92" t="inlineStr">
        <is>
          <t>التقنية الرقمية</t>
        </is>
      </c>
      <c r="C109" s="92">
        <f>'التقنية الرقمية · المؤشرات'!C7</f>
        <v/>
      </c>
      <c r="D109" s="69">
        <f>'التقنية الرقمية · المؤشرات'!X7</f>
        <v/>
      </c>
      <c r="E109" s="92">
        <f>'التقنية الرقمية · المؤشرات'!Y7</f>
        <v/>
      </c>
      <c r="F109" s="94">
        <f>'التقنية الرقمية · المؤشرات'!V7</f>
        <v/>
      </c>
      <c r="G109" s="69">
        <f>'التقنية الرقمية · المؤشرات'!W7</f>
        <v/>
      </c>
      <c r="H109" s="69">
        <f>'التقنية الرقمية · المؤشرات'!AH7</f>
        <v/>
      </c>
    </row>
    <row r="110">
      <c r="A110" s="69" t="n">
        <v>107</v>
      </c>
      <c r="B110" s="92" t="inlineStr">
        <is>
          <t>التقنية الرقمية</t>
        </is>
      </c>
      <c r="C110" s="92">
        <f>'التقنية الرقمية · المؤشرات'!C8</f>
        <v/>
      </c>
      <c r="D110" s="69">
        <f>'التقنية الرقمية · المؤشرات'!X8</f>
        <v/>
      </c>
      <c r="E110" s="92">
        <f>'التقنية الرقمية · المؤشرات'!Y8</f>
        <v/>
      </c>
      <c r="F110" s="94">
        <f>'التقنية الرقمية · المؤشرات'!V8</f>
        <v/>
      </c>
      <c r="G110" s="69">
        <f>'التقنية الرقمية · المؤشرات'!W8</f>
        <v/>
      </c>
      <c r="H110" s="69">
        <f>'التقنية الرقمية · المؤشرات'!AH8</f>
        <v/>
      </c>
    </row>
    <row r="111">
      <c r="A111" s="69" t="n">
        <v>108</v>
      </c>
      <c r="B111" s="92" t="inlineStr">
        <is>
          <t>التقنية الرقمية</t>
        </is>
      </c>
      <c r="C111" s="92">
        <f>'التقنية الرقمية · المؤشرات'!C9</f>
        <v/>
      </c>
      <c r="D111" s="69">
        <f>'التقنية الرقمية · المؤشرات'!X9</f>
        <v/>
      </c>
      <c r="E111" s="92">
        <f>'التقنية الرقمية · المؤشرات'!Y9</f>
        <v/>
      </c>
      <c r="F111" s="94">
        <f>'التقنية الرقمية · المؤشرات'!V9</f>
        <v/>
      </c>
      <c r="G111" s="69">
        <f>'التقنية الرقمية · المؤشرات'!W9</f>
        <v/>
      </c>
      <c r="H111" s="69">
        <f>'التقنية الرقمية · المؤشرات'!AH9</f>
        <v/>
      </c>
    </row>
    <row r="112">
      <c r="A112" s="69" t="n">
        <v>109</v>
      </c>
      <c r="B112" s="92" t="inlineStr">
        <is>
          <t>التقنية الرقمية</t>
        </is>
      </c>
      <c r="C112" s="92">
        <f>'التقنية الرقمية · المؤشرات'!C10</f>
        <v/>
      </c>
      <c r="D112" s="69">
        <f>'التقنية الرقمية · المؤشرات'!X10</f>
        <v/>
      </c>
      <c r="E112" s="92">
        <f>'التقنية الرقمية · المؤشرات'!Y10</f>
        <v/>
      </c>
      <c r="F112" s="94">
        <f>'التقنية الرقمية · المؤشرات'!V10</f>
        <v/>
      </c>
      <c r="G112" s="69">
        <f>'التقنية الرقمية · المؤشرات'!W10</f>
        <v/>
      </c>
      <c r="H112" s="69">
        <f>'التقنية الرقمية · المؤشرات'!AH10</f>
        <v/>
      </c>
    </row>
    <row r="113">
      <c r="A113" s="69" t="n">
        <v>110</v>
      </c>
      <c r="B113" s="92" t="inlineStr">
        <is>
          <t>التقنية الرقمية</t>
        </is>
      </c>
      <c r="C113" s="92">
        <f>'التقنية الرقمية · المؤشرات'!C11</f>
        <v/>
      </c>
      <c r="D113" s="69">
        <f>'التقنية الرقمية · المؤشرات'!X11</f>
        <v/>
      </c>
      <c r="E113" s="92">
        <f>'التقنية الرقمية · المؤشرات'!Y11</f>
        <v/>
      </c>
      <c r="F113" s="94">
        <f>'التقنية الرقمية · المؤشرات'!V11</f>
        <v/>
      </c>
      <c r="G113" s="69">
        <f>'التقنية الرقمية · المؤشرات'!W11</f>
        <v/>
      </c>
      <c r="H113" s="69">
        <f>'التقنية الرقمية · المؤشرات'!AH11</f>
        <v/>
      </c>
    </row>
    <row r="114">
      <c r="A114" s="69" t="n">
        <v>111</v>
      </c>
      <c r="B114" s="92" t="inlineStr">
        <is>
          <t>الموارد البشرية</t>
        </is>
      </c>
      <c r="C114" s="92">
        <f>'الموارد البشرية · المؤشرات'!C4</f>
        <v/>
      </c>
      <c r="D114" s="69">
        <f>'الموارد البشرية · المؤشرات'!X4</f>
        <v/>
      </c>
      <c r="E114" s="92">
        <f>'الموارد البشرية · المؤشرات'!Y4</f>
        <v/>
      </c>
      <c r="F114" s="94">
        <f>'الموارد البشرية · المؤشرات'!V4</f>
        <v/>
      </c>
      <c r="G114" s="69">
        <f>'الموارد البشرية · المؤشرات'!W4</f>
        <v/>
      </c>
      <c r="H114" s="69">
        <f>'الموارد البشرية · المؤشرات'!AH4</f>
        <v/>
      </c>
    </row>
    <row r="115">
      <c r="A115" s="69" t="n">
        <v>112</v>
      </c>
      <c r="B115" s="92" t="inlineStr">
        <is>
          <t>الموارد البشرية</t>
        </is>
      </c>
      <c r="C115" s="92">
        <f>'الموارد البشرية · المؤشرات'!C5</f>
        <v/>
      </c>
      <c r="D115" s="69">
        <f>'الموارد البشرية · المؤشرات'!X5</f>
        <v/>
      </c>
      <c r="E115" s="92">
        <f>'الموارد البشرية · المؤشرات'!Y5</f>
        <v/>
      </c>
      <c r="F115" s="94">
        <f>'الموارد البشرية · المؤشرات'!V5</f>
        <v/>
      </c>
      <c r="G115" s="69">
        <f>'الموارد البشرية · المؤشرات'!W5</f>
        <v/>
      </c>
      <c r="H115" s="69">
        <f>'الموارد البشرية · المؤشرات'!AH5</f>
        <v/>
      </c>
    </row>
    <row r="116">
      <c r="A116" s="69" t="n">
        <v>113</v>
      </c>
      <c r="B116" s="92" t="inlineStr">
        <is>
          <t>الموارد البشرية</t>
        </is>
      </c>
      <c r="C116" s="92">
        <f>'الموارد البشرية · المؤشرات'!C6</f>
        <v/>
      </c>
      <c r="D116" s="69">
        <f>'الموارد البشرية · المؤشرات'!X6</f>
        <v/>
      </c>
      <c r="E116" s="92">
        <f>'الموارد البشرية · المؤشرات'!Y6</f>
        <v/>
      </c>
      <c r="F116" s="94">
        <f>'الموارد البشرية · المؤشرات'!V6</f>
        <v/>
      </c>
      <c r="G116" s="69">
        <f>'الموارد البشرية · المؤشرات'!W6</f>
        <v/>
      </c>
      <c r="H116" s="69">
        <f>'الموارد البشرية · المؤشرات'!AH6</f>
        <v/>
      </c>
    </row>
    <row r="117">
      <c r="A117" s="69" t="n">
        <v>114</v>
      </c>
      <c r="B117" s="92" t="inlineStr">
        <is>
          <t>الموارد البشرية</t>
        </is>
      </c>
      <c r="C117" s="92">
        <f>'الموارد البشرية · المؤشرات'!C7</f>
        <v/>
      </c>
      <c r="D117" s="69">
        <f>'الموارد البشرية · المؤشرات'!X7</f>
        <v/>
      </c>
      <c r="E117" s="92">
        <f>'الموارد البشرية · المؤشرات'!Y7</f>
        <v/>
      </c>
      <c r="F117" s="94">
        <f>'الموارد البشرية · المؤشرات'!V7</f>
        <v/>
      </c>
      <c r="G117" s="69">
        <f>'الموارد البشرية · المؤشرات'!W7</f>
        <v/>
      </c>
      <c r="H117" s="69">
        <f>'الموارد البشرية · المؤشرات'!AH7</f>
        <v/>
      </c>
    </row>
    <row r="118">
      <c r="A118" s="69" t="n">
        <v>115</v>
      </c>
      <c r="B118" s="92" t="inlineStr">
        <is>
          <t>الموارد البشرية</t>
        </is>
      </c>
      <c r="C118" s="92">
        <f>'الموارد البشرية · المؤشرات'!C8</f>
        <v/>
      </c>
      <c r="D118" s="69">
        <f>'الموارد البشرية · المؤشرات'!X8</f>
        <v/>
      </c>
      <c r="E118" s="92">
        <f>'الموارد البشرية · المؤشرات'!Y8</f>
        <v/>
      </c>
      <c r="F118" s="94">
        <f>'الموارد البشرية · المؤشرات'!V8</f>
        <v/>
      </c>
      <c r="G118" s="69">
        <f>'الموارد البشرية · المؤشرات'!W8</f>
        <v/>
      </c>
      <c r="H118" s="69">
        <f>'الموارد البشرية · المؤشرات'!AH8</f>
        <v/>
      </c>
    </row>
    <row r="119">
      <c r="A119" s="69" t="n">
        <v>116</v>
      </c>
      <c r="B119" s="92" t="inlineStr">
        <is>
          <t>الموارد البشرية</t>
        </is>
      </c>
      <c r="C119" s="92">
        <f>'الموارد البشرية · المؤشرات'!C9</f>
        <v/>
      </c>
      <c r="D119" s="69">
        <f>'الموارد البشرية · المؤشرات'!X9</f>
        <v/>
      </c>
      <c r="E119" s="92">
        <f>'الموارد البشرية · المؤشرات'!Y9</f>
        <v/>
      </c>
      <c r="F119" s="94">
        <f>'الموارد البشرية · المؤشرات'!V9</f>
        <v/>
      </c>
      <c r="G119" s="69">
        <f>'الموارد البشرية · المؤشرات'!W9</f>
        <v/>
      </c>
      <c r="H119" s="69">
        <f>'الموارد البشرية · المؤشرات'!AH9</f>
        <v/>
      </c>
    </row>
    <row r="120">
      <c r="A120" s="69" t="n">
        <v>117</v>
      </c>
      <c r="B120" s="92" t="inlineStr">
        <is>
          <t>الموارد البشرية</t>
        </is>
      </c>
      <c r="C120" s="92">
        <f>'الموارد البشرية · المؤشرات'!C10</f>
        <v/>
      </c>
      <c r="D120" s="69">
        <f>'الموارد البشرية · المؤشرات'!X10</f>
        <v/>
      </c>
      <c r="E120" s="92">
        <f>'الموارد البشرية · المؤشرات'!Y10</f>
        <v/>
      </c>
      <c r="F120" s="94">
        <f>'الموارد البشرية · المؤشرات'!V10</f>
        <v/>
      </c>
      <c r="G120" s="69">
        <f>'الموارد البشرية · المؤشرات'!W10</f>
        <v/>
      </c>
      <c r="H120" s="69">
        <f>'الموارد البشرية · المؤشرات'!AH10</f>
        <v/>
      </c>
    </row>
    <row r="121">
      <c r="A121" s="69" t="n">
        <v>118</v>
      </c>
      <c r="B121" s="92" t="inlineStr">
        <is>
          <t>الموارد البشرية</t>
        </is>
      </c>
      <c r="C121" s="92">
        <f>'الموارد البشرية · المؤشرات'!C11</f>
        <v/>
      </c>
      <c r="D121" s="69">
        <f>'الموارد البشرية · المؤشرات'!X11</f>
        <v/>
      </c>
      <c r="E121" s="92">
        <f>'الموارد البشرية · المؤشرات'!Y11</f>
        <v/>
      </c>
      <c r="F121" s="94">
        <f>'الموارد البشرية · المؤشرات'!V11</f>
        <v/>
      </c>
      <c r="G121" s="69">
        <f>'الموارد البشرية · المؤشرات'!W11</f>
        <v/>
      </c>
      <c r="H121" s="69">
        <f>'الموارد البشرية · المؤشرات'!AH11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2026-06-11T05:42:49Z</dcterms:created>
  <dcterms:modified xsi:type="dcterms:W3CDTF">2026-06-11T05:42:50Z</dcterms:modified>
</cp:coreProperties>
</file>