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name="دليل الاستخدام" sheetId="1" state="visible" r:id="rId1"/>
    <sheet name="الاستراتيجية" sheetId="2" state="visible" r:id="rId2"/>
    <sheet name="لوحة الإدارة التنفيذية" sheetId="3" state="visible" r:id="rId3"/>
    <sheet name="الامتياز · المؤشرات" sheetId="4" state="visible" r:id="rId4"/>
    <sheet name="الامتياز · الموظفون" sheetId="5" state="visible" r:id="rId5"/>
    <sheet name="الامتياز · مدير الإدارة" sheetId="6" state="visible" r:id="rId6"/>
    <sheet name="الامتياز · مسؤول الامتياز" sheetId="7" state="visible" r:id="rId7"/>
    <sheet name="الامتياز · المراقب الميداني" sheetId="8" state="visible" r:id="rId8"/>
    <sheet name="الامتياز · مسؤول التعاقدات" sheetId="9" state="visible" r:id="rId9"/>
    <sheet name="الامتياز · الموظف الإداري" sheetId="10" state="visible" r:id="rId10"/>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4">
    <font>
      <name val="Calibri"/>
      <family val="2"/>
      <color theme="1"/>
      <sz val="11"/>
      <scheme val="minor"/>
    </font>
    <font>
      <name val="Arial"/>
      <b val="1"/>
      <color rgb="001F3864"/>
      <sz val="18"/>
    </font>
    <font>
      <name val="Arial"/>
      <color rgb="00000000"/>
      <sz val="11"/>
    </font>
    <font>
      <name val="Arial"/>
      <b val="1"/>
      <color rgb="00000000"/>
      <sz val="11"/>
    </font>
    <font>
      <name val="Arial"/>
      <b val="1"/>
      <color rgb="00FFFFFF"/>
      <sz val="18"/>
    </font>
    <font>
      <name val="Arial"/>
      <b val="1"/>
      <color rgb="00FFFFFF"/>
      <sz val="11"/>
    </font>
    <font>
      <name val="Arial"/>
      <b val="1"/>
      <color rgb="00FFFFFF"/>
      <sz val="12"/>
    </font>
    <font>
      <name val="Arial"/>
      <color rgb="00FFFFFF"/>
      <sz val="11"/>
    </font>
    <font>
      <name val="Arial"/>
      <b val="1"/>
      <color rgb="001F3864"/>
      <sz val="12"/>
    </font>
    <font>
      <name val="Arial"/>
      <b val="1"/>
      <color rgb="002E5496"/>
      <sz val="11"/>
    </font>
    <font>
      <name val="Arial"/>
      <b val="1"/>
      <color rgb="00FFFFFF"/>
      <sz val="15"/>
    </font>
    <font>
      <name val="Arial"/>
      <color rgb="001F3864"/>
      <sz val="10"/>
    </font>
    <font>
      <name val="Arial"/>
      <b val="1"/>
      <color rgb="00FFFFFF"/>
      <sz val="10"/>
    </font>
    <font>
      <name val="Arial"/>
      <b val="1"/>
      <color rgb="00000000"/>
      <sz val="10"/>
    </font>
    <font>
      <name val="Arial"/>
      <color rgb="00000000"/>
      <sz val="10"/>
    </font>
    <font>
      <name val="Arial"/>
      <color rgb="00595959"/>
      <sz val="9"/>
    </font>
    <font>
      <name val="Arial"/>
      <b val="1"/>
      <color rgb="001F3864"/>
      <sz val="10"/>
    </font>
    <font>
      <name val="Arial"/>
      <b val="1"/>
      <color rgb="00FFFFFF"/>
      <sz val="20"/>
    </font>
    <font>
      <name val="Arial"/>
      <b val="1"/>
      <color rgb="001F3864"/>
      <sz val="30"/>
    </font>
    <font>
      <name val="Arial"/>
      <b val="1"/>
      <color rgb="001F3864"/>
      <sz val="22"/>
    </font>
    <font>
      <name val="Arial"/>
      <color rgb="00808080"/>
      <sz val="9"/>
    </font>
    <font>
      <name val="Arial"/>
      <b val="1"/>
      <color rgb="00FFFFFF"/>
      <sz val="14"/>
    </font>
    <font>
      <name val="Arial"/>
      <b val="1"/>
      <color rgb="00FFFF00"/>
      <sz val="13"/>
    </font>
    <font>
      <name val="Arial"/>
      <b val="1"/>
      <color rgb="001F3864"/>
      <sz val="11"/>
    </font>
  </fonts>
  <fills count="8">
    <fill>
      <patternFill/>
    </fill>
    <fill>
      <patternFill patternType="gray125"/>
    </fill>
    <fill>
      <patternFill patternType="solid">
        <fgColor rgb="001F3864"/>
      </patternFill>
    </fill>
    <fill>
      <patternFill patternType="solid">
        <fgColor rgb="002E5496"/>
      </patternFill>
    </fill>
    <fill>
      <patternFill patternType="solid">
        <fgColor rgb="00FFE699"/>
      </patternFill>
    </fill>
    <fill>
      <patternFill patternType="solid">
        <fgColor rgb="00C6EFCE"/>
      </patternFill>
    </fill>
    <fill>
      <patternFill patternType="solid">
        <fgColor rgb="00F8CBAD"/>
      </patternFill>
    </fill>
    <fill>
      <patternFill patternType="solid">
        <fgColor rgb="008EAADB"/>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17" fillId="2" borderId="0"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6" borderId="1" applyAlignment="1" pivotButton="0" quotePrefix="0" xfId="0">
      <alignment horizontal="center" vertical="center" wrapText="1"/>
    </xf>
    <xf numFmtId="9" fontId="18"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0" fillId="0" borderId="4" pivotButton="0" quotePrefix="0" xfId="0"/>
    <xf numFmtId="0" fontId="6" fillId="3" borderId="1" applyAlignment="1" pivotButton="0" quotePrefix="0" xfId="0">
      <alignment horizontal="center" vertical="center" wrapText="1"/>
    </xf>
    <xf numFmtId="0" fontId="0" fillId="0" borderId="7" pivotButton="0" quotePrefix="0" xfId="0"/>
    <xf numFmtId="0" fontId="0" fillId="0" borderId="8" pivotButton="0" quotePrefix="0" xfId="0"/>
    <xf numFmtId="0" fontId="5" fillId="7"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2" fillId="0" borderId="1" applyAlignment="1" pivotButton="0" quotePrefix="0" xfId="0">
      <alignment horizontal="center" vertical="center" wrapText="1"/>
    </xf>
    <xf numFmtId="0" fontId="10" fillId="2" borderId="0" applyAlignment="1" pivotButton="0" quotePrefix="0" xfId="0">
      <alignment horizontal="center" vertical="center"/>
    </xf>
    <xf numFmtId="0" fontId="11" fillId="4" borderId="0" applyAlignment="1" pivotButton="0" quotePrefix="0" xfId="0">
      <alignment horizontal="center" vertical="center"/>
    </xf>
    <xf numFmtId="0" fontId="12" fillId="3"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9" fontId="2"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13"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0" fontId="12" fillId="7" borderId="1" applyAlignment="1" pivotButton="0" quotePrefix="0" xfId="0">
      <alignment horizontal="center" vertical="center" wrapText="1"/>
    </xf>
    <xf numFmtId="0" fontId="2" fillId="7" borderId="1" applyAlignment="1" pivotButton="0" quotePrefix="0" xfId="0">
      <alignment horizontal="right" vertical="center" wrapTex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21" fillId="2" borderId="0" applyAlignment="1" pivotButton="0" quotePrefix="0" xfId="0">
      <alignment horizontal="center" vertical="center"/>
    </xf>
    <xf numFmtId="0" fontId="13" fillId="0" borderId="1" applyAlignment="1" pivotButton="0" quotePrefix="0" xfId="0">
      <alignment horizontal="right" vertical="center" wrapText="1"/>
    </xf>
    <xf numFmtId="0" fontId="2" fillId="5" borderId="1" applyAlignment="1" applyProtection="1" pivotButton="0" quotePrefix="0" xfId="0">
      <alignment horizontal="right" vertical="center" wrapText="1"/>
      <protection locked="0" hidden="0"/>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2" fillId="5" borderId="1" applyAlignment="1" applyProtection="1" pivotButton="0" quotePrefix="0" xfId="0">
      <alignment horizontal="center" vertical="center" wrapText="1"/>
      <protection locked="0" hidden="0"/>
    </xf>
    <xf numFmtId="0" fontId="5" fillId="2" borderId="1" applyAlignment="1" pivotButton="0" quotePrefix="0" xfId="0">
      <alignment horizontal="center" vertical="center" wrapText="1"/>
    </xf>
    <xf numFmtId="9" fontId="5" fillId="2" borderId="1" applyAlignment="1" pivotButton="0" quotePrefix="0" xfId="0">
      <alignment horizontal="center" vertical="center" wrapText="1"/>
    </xf>
    <xf numFmtId="0" fontId="2" fillId="2" borderId="1" applyAlignment="1" pivotButton="0" quotePrefix="0" xfId="0">
      <alignment horizontal="right" vertical="center" wrapText="1"/>
    </xf>
    <xf numFmtId="9" fontId="22" fillId="2" borderId="1" applyAlignment="1" pivotButton="0" quotePrefix="0" xfId="0">
      <alignment horizontal="center" vertical="center" wrapText="1"/>
    </xf>
    <xf numFmtId="0" fontId="23"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2">
      <c r="B2" s="1" t="inlineStr">
        <is>
          <t>درب · منظومة مؤشرات الأداء 2026 — ملف موحّد</t>
        </is>
      </c>
    </row>
    <row r="3" ht="8" customHeight="1">
      <c r="B3" s="2" t="inlineStr"/>
    </row>
    <row r="4" ht="30" customHeight="1">
      <c r="B4" s="3" t="inlineStr">
        <is>
          <t>🧭 الفكرة  —  ملف واحد يتدرّج من فوق لتحت: الاستراتيجية ← لوحة الإدارة التنفيذية ← مؤشرات كل إدارة ← تقييم كل موظف. كل المؤشرات تغذّي نفس اللوحة تلقائياً.</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لا تُكتب يدوياً.</t>
        </is>
      </c>
    </row>
    <row r="7" ht="30" customHeight="1">
      <c r="B7" s="3" t="inlineStr">
        <is>
          <t>🔒 الحماية  —  كل شيت محمي بكلمة مرور: darb2026  — لفك الحماية مؤقتاً للتعديل على الهيكل: مراجعة ← حماية الورقة ← أدخل كلمة المرور.</t>
        </is>
      </c>
    </row>
    <row r="8" ht="30" customHeight="1">
      <c r="B8" s="3" t="inlineStr">
        <is>
          <t>👤 الصلاحيات  —  عند التوزيع: كل موظف/مسؤول يُمنح صلاحية الإدخال على نطاق خلاياه الخضراء فقط (Allow Edit Ranges في Excel / صلاحيات الورقة في SharePoint). الهيكل والمستهدفات تبقى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هذا الإصدار يحتوي نموذج إدارة الامتياز التجاري كاملاً. الإدارات الأخرى (التشغيل، الاستثمار، العقار) تُضاف لنفس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2" ht="32" customHeight="1">
      <c r="B2" s="4" t="inlineStr">
        <is>
          <t>ركائز واستراتيجية درب 2026</t>
        </is>
      </c>
    </row>
    <row r="4">
      <c r="A4" s="5" t="inlineStr"/>
      <c r="B4" s="5" t="inlineStr">
        <is>
          <t>الركيزة / الهدف</t>
        </is>
      </c>
      <c r="C4" s="5" t="inlineStr">
        <is>
          <t>الوصف</t>
        </is>
      </c>
      <c r="D4" s="5" t="inlineStr">
        <is>
          <t>المستهدف الرقمي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4"/>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s>
  <sheetData>
    <row r="2" ht="38" customHeight="1">
      <c r="B2" s="13" t="inlineStr">
        <is>
          <t>درب · لوحة الإدارة التنفيذية 2026</t>
        </is>
      </c>
    </row>
    <row r="4" ht="22" customHeight="1">
      <c r="B4" s="5" t="inlineStr">
        <is>
          <t>مؤشر الإنجاز العام (الامتياز)</t>
        </is>
      </c>
      <c r="D4" s="14" t="inlineStr">
        <is>
          <t>✅ محقق</t>
        </is>
      </c>
      <c r="E4" s="15" t="inlineStr">
        <is>
          <t>🟡 قريب</t>
        </is>
      </c>
      <c r="F4" s="16" t="inlineStr">
        <is>
          <t>🔴 تحت الهدف</t>
        </is>
      </c>
    </row>
    <row r="5" ht="30" customHeight="1">
      <c r="B5" s="17">
        <f>IFERROR(AVERAGE('الامتياز · المؤشرات'!$V$4:$V$39),0)</f>
        <v/>
      </c>
      <c r="D5" s="18">
        <f>COUNTIF('الامتياز · المؤشرات'!$W$4:$W$39,"✅ محقق")</f>
        <v/>
      </c>
      <c r="E5" s="18">
        <f>COUNTIF('الامتياز · المؤشرات'!$W$4:$W$39,"🟡 قريب")</f>
        <v/>
      </c>
      <c r="F5" s="18">
        <f>COUNTIF('الامتياز · المؤشرات'!$W$4:$W$39,"🔴 تحت الهدف")</f>
        <v/>
      </c>
    </row>
    <row r="6">
      <c r="D6" s="19" t="n"/>
      <c r="E6" s="19" t="n"/>
      <c r="F6" s="19" t="n"/>
    </row>
    <row r="8">
      <c r="B8" s="20" t="inlineStr">
        <is>
          <t>الأداء حسب المحور — إدارة الامتياز</t>
        </is>
      </c>
      <c r="C8" s="21" t="n"/>
      <c r="D8" s="22" t="n"/>
    </row>
    <row r="9">
      <c r="B9" s="23" t="inlineStr">
        <is>
          <t>المحور</t>
        </is>
      </c>
      <c r="C9" s="23" t="inlineStr">
        <is>
          <t>نسبة التحقيق</t>
        </is>
      </c>
      <c r="D9" s="23" t="inlineStr">
        <is>
          <t>الحالة</t>
        </is>
      </c>
    </row>
    <row r="10">
      <c r="B10" s="24" t="inlineStr">
        <is>
          <t>النمو والتوسع</t>
        </is>
      </c>
      <c r="C10" s="25">
        <f>IFERROR(AVERAGEIFS('الامتياز · المؤشرات'!$V$4:$V$39,'الامتياز · المؤشرات'!$B$4:$B$39,"النمو والتوسع"),0)</f>
        <v/>
      </c>
      <c r="D10" s="26">
        <f>IF(C10&gt;=1,"✅ محقق",IF(C10&gt;=0.85,"🟡 قريب","🔴 تحت الهدف"))</f>
        <v/>
      </c>
    </row>
    <row r="11">
      <c r="B11" s="24" t="inlineStr">
        <is>
          <t>المبيعات والأداء التجاري</t>
        </is>
      </c>
      <c r="C11" s="25">
        <f>IFERROR(AVERAGEIFS('الامتياز · المؤشرات'!$V$4:$V$39,'الامتياز · المؤشرات'!$B$4:$B$39,"المبيعات والأداء التجاري"),0)</f>
        <v/>
      </c>
      <c r="D11" s="26">
        <f>IF(C11&gt;=1,"✅ محقق",IF(C11&gt;=0.85,"🟡 قريب","🔴 تحت الهدف"))</f>
        <v/>
      </c>
    </row>
    <row r="12">
      <c r="B12" s="24" t="inlineStr">
        <is>
          <t>الأداء المالي</t>
        </is>
      </c>
      <c r="C12" s="25">
        <f>IFERROR(AVERAGEIFS('الامتياز · المؤشرات'!$V$4:$V$39,'الامتياز · المؤشرات'!$B$4:$B$39,"الأداء المالي"),0)</f>
        <v/>
      </c>
      <c r="D12" s="26">
        <f>IF(C12&gt;=1,"✅ محقق",IF(C12&gt;=0.85,"🟡 قريب","🔴 تحت الهدف"))</f>
        <v/>
      </c>
    </row>
    <row r="13">
      <c r="B13" s="24" t="inlineStr">
        <is>
          <t>التشغيل والجودة</t>
        </is>
      </c>
      <c r="C13" s="25">
        <f>IFERROR(AVERAGEIFS('الامتياز · المؤشرات'!$V$4:$V$39,'الامتياز · المؤشرات'!$B$4:$B$39,"التشغيل والجودة"),0)</f>
        <v/>
      </c>
      <c r="D13" s="26">
        <f>IF(C13&gt;=1,"✅ محقق",IF(C13&gt;=0.85,"🟡 قريب","🔴 تحت الهدف"))</f>
        <v/>
      </c>
    </row>
    <row r="14">
      <c r="B14" s="24" t="inlineStr">
        <is>
          <t>الهوية والتسويق</t>
        </is>
      </c>
      <c r="C14" s="25">
        <f>IFERROR(AVERAGEIFS('الامتياز · المؤشرات'!$V$4:$V$39,'الامتياز · المؤشرات'!$B$4:$B$39,"الهوية والتسويق"),0)</f>
        <v/>
      </c>
      <c r="D14" s="26">
        <f>IF(C14&gt;=1,"✅ محقق",IF(C14&gt;=0.85,"🟡 قريب","🔴 تحت الهدف"))</f>
        <v/>
      </c>
    </row>
    <row r="15">
      <c r="B15" s="24" t="inlineStr">
        <is>
          <t>التوسع الإقليمي</t>
        </is>
      </c>
      <c r="C15" s="25">
        <f>IFERROR(AVERAGEIFS('الامتياز · المؤشرات'!$V$4:$V$39,'الامتياز · المؤشرات'!$B$4:$B$39,"التوسع الإقليمي"),0)</f>
        <v/>
      </c>
      <c r="D15" s="26">
        <f>IF(C15&gt;=1,"✅ محقق",IF(C15&gt;=0.85,"🟡 قريب","🔴 تحت الهدف"))</f>
        <v/>
      </c>
    </row>
    <row r="16">
      <c r="B16" s="24" t="inlineStr">
        <is>
          <t>تجربة العملاء والشركاء</t>
        </is>
      </c>
      <c r="C16" s="25">
        <f>IFERROR(AVERAGEIFS('الامتياز · المؤشرات'!$V$4:$V$39,'الامتياز · المؤشرات'!$B$4:$B$39,"تجربة العملاء والشركاء"),0)</f>
        <v/>
      </c>
      <c r="D16" s="26">
        <f>IF(C16&gt;=1,"✅ محقق",IF(C16&gt;=0.85,"🟡 قريب","🔴 تحت الهدف"))</f>
        <v/>
      </c>
    </row>
    <row r="17">
      <c r="B17" s="24" t="inlineStr">
        <is>
          <t>استدامة الشراكة والامتثال</t>
        </is>
      </c>
      <c r="C17" s="25">
        <f>IFERROR(AVERAGEIFS('الامتياز · المؤشرات'!$V$4:$V$39,'الامتياز · المؤشرات'!$B$4:$B$39,"استدامة الشراكة والامتثال"),0)</f>
        <v/>
      </c>
      <c r="D17" s="26">
        <f>IF(C17&gt;=1,"✅ محقق",IF(C17&gt;=0.85,"🟡 قريب","🔴 تحت الهدف"))</f>
        <v/>
      </c>
    </row>
    <row r="19">
      <c r="B19" s="20" t="inlineStr">
        <is>
          <t>نظرة الإدارات (تغذي نفس الملف)</t>
        </is>
      </c>
      <c r="C19" s="21" t="n"/>
      <c r="D19" s="22" t="n"/>
    </row>
    <row r="20">
      <c r="B20" s="23" t="inlineStr">
        <is>
          <t>الإدارة</t>
        </is>
      </c>
      <c r="C20" s="23" t="inlineStr">
        <is>
          <t>الإنجاز</t>
        </is>
      </c>
      <c r="D20" s="23" t="inlineStr">
        <is>
          <t>الحالة</t>
        </is>
      </c>
    </row>
    <row r="21">
      <c r="B21" s="24" t="inlineStr">
        <is>
          <t>الامتياز التجاري والمبيعات</t>
        </is>
      </c>
      <c r="C21" s="25">
        <f>IFERROR(AVERAGE('الامتياز · المؤشرات'!$V$4:$V$39),0)</f>
        <v/>
      </c>
      <c r="D21" s="26">
        <f>IF(C21&gt;=1,"✅ محقق",IF(C21&gt;=0.85,"🟡 قريب","🔴 تحت الهدف"))</f>
        <v/>
      </c>
    </row>
    <row r="22">
      <c r="B22" s="24" t="inlineStr">
        <is>
          <t>التشغيل والمحطات</t>
        </is>
      </c>
      <c r="C22" s="27" t="inlineStr">
        <is>
          <t>قيد الإضافة</t>
        </is>
      </c>
      <c r="D22" s="28" t="inlineStr">
        <is>
          <t>—</t>
        </is>
      </c>
    </row>
    <row r="23">
      <c r="B23" s="24" t="inlineStr">
        <is>
          <t>الاستثمار</t>
        </is>
      </c>
      <c r="C23" s="27" t="inlineStr">
        <is>
          <t>قيد الإضافة</t>
        </is>
      </c>
      <c r="D23" s="28" t="inlineStr">
        <is>
          <t>—</t>
        </is>
      </c>
    </row>
    <row r="24">
      <c r="B24" s="24" t="inlineStr">
        <is>
          <t>العقار</t>
        </is>
      </c>
      <c r="C24" s="27" t="inlineStr">
        <is>
          <t>قيد الإضافة</t>
        </is>
      </c>
      <c r="D24" s="28"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19:D19"/>
    <mergeCell ref="B2:F2"/>
    <mergeCell ref="B8:D8"/>
    <mergeCell ref="B5:C6"/>
    <mergeCell ref="F5:F6"/>
    <mergeCell ref="B4:C4"/>
    <mergeCell ref="D5:D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9"/>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s>
  <sheetData>
    <row r="1" ht="30" customHeight="1">
      <c r="A1" s="29" t="inlineStr">
        <is>
          <t>إدارة الامتياز التجاري والمبيعات · مؤشرات الأداء 2026  (36 مؤشر / 8 محاور)</t>
        </is>
      </c>
    </row>
    <row r="2">
      <c r="A2" s="30" t="inlineStr">
        <is>
          <t>🟩 الخلايا الخضراء = إدخال شهري للمسؤول   ·   باقي الأعمدة محسوبة/مقفولة   ·   YTD ونسبة التحقيق والحالة تلقائية</t>
        </is>
      </c>
    </row>
    <row r="3" ht="34" customHeight="1">
      <c r="A3" s="31" t="inlineStr">
        <is>
          <t>#</t>
        </is>
      </c>
      <c r="B3" s="31" t="inlineStr">
        <is>
          <t>المحور</t>
        </is>
      </c>
      <c r="C3" s="31" t="inlineStr">
        <is>
          <t>المؤشر</t>
        </is>
      </c>
      <c r="D3" s="31" t="inlineStr">
        <is>
          <t>الوحدة</t>
        </is>
      </c>
      <c r="E3" s="31" t="inlineStr">
        <is>
          <t>القطبية</t>
        </is>
      </c>
      <c r="F3" s="31" t="inlineStr">
        <is>
          <t>التجميع</t>
        </is>
      </c>
      <c r="G3" s="31" t="inlineStr">
        <is>
          <t>المستهدف</t>
        </is>
      </c>
      <c r="H3" s="31" t="inlineStr">
        <is>
          <t>نص المستهدف</t>
        </is>
      </c>
      <c r="I3" s="31" t="inlineStr">
        <is>
          <t>يناير</t>
        </is>
      </c>
      <c r="J3" s="31" t="inlineStr">
        <is>
          <t>فبراير</t>
        </is>
      </c>
      <c r="K3" s="31" t="inlineStr">
        <is>
          <t>مارس</t>
        </is>
      </c>
      <c r="L3" s="31" t="inlineStr">
        <is>
          <t>أبريل</t>
        </is>
      </c>
      <c r="M3" s="31" t="inlineStr">
        <is>
          <t>مايو</t>
        </is>
      </c>
      <c r="N3" s="31" t="inlineStr">
        <is>
          <t>يونيو</t>
        </is>
      </c>
      <c r="O3" s="31" t="inlineStr">
        <is>
          <t>يوليو</t>
        </is>
      </c>
      <c r="P3" s="31" t="inlineStr">
        <is>
          <t>أغسطس</t>
        </is>
      </c>
      <c r="Q3" s="31" t="inlineStr">
        <is>
          <t>سبتمبر</t>
        </is>
      </c>
      <c r="R3" s="31" t="inlineStr">
        <is>
          <t>أكتوبر</t>
        </is>
      </c>
      <c r="S3" s="31" t="inlineStr">
        <is>
          <t>نوفمبر</t>
        </is>
      </c>
      <c r="T3" s="31" t="inlineStr">
        <is>
          <t>ديسمبر</t>
        </is>
      </c>
      <c r="U3" s="31" t="inlineStr">
        <is>
          <t>YTD</t>
        </is>
      </c>
      <c r="V3" s="31" t="inlineStr">
        <is>
          <t>نسبة التحقيق</t>
        </is>
      </c>
      <c r="W3" s="31" t="inlineStr">
        <is>
          <t>الحالة</t>
        </is>
      </c>
    </row>
    <row r="4" ht="26" customHeight="1">
      <c r="A4" s="26" t="n">
        <v>1</v>
      </c>
      <c r="B4" s="24" t="inlineStr">
        <is>
          <t>النمو والتوسع</t>
        </is>
      </c>
      <c r="C4" s="24" t="inlineStr">
        <is>
          <t>عدد محطات الامتياز المشغّلة (تراكمي)</t>
        </is>
      </c>
      <c r="D4" s="28" t="inlineStr">
        <is>
          <t>محطة</t>
        </is>
      </c>
      <c r="E4" s="28" t="inlineStr">
        <is>
          <t>↑</t>
        </is>
      </c>
      <c r="F4" s="28" t="inlineStr">
        <is>
          <t>LAST</t>
        </is>
      </c>
      <c r="G4" s="32" t="n">
        <v>150</v>
      </c>
      <c r="H4" s="33" t="inlineStr">
        <is>
          <t>150 محطة</t>
        </is>
      </c>
      <c r="I4" s="34" t="n"/>
      <c r="J4" s="34" t="n"/>
      <c r="K4" s="34" t="n"/>
      <c r="L4" s="34" t="n"/>
      <c r="M4" s="34" t="n"/>
      <c r="N4" s="34" t="n"/>
      <c r="O4" s="34" t="n"/>
      <c r="P4" s="34" t="n"/>
      <c r="Q4" s="34" t="n"/>
      <c r="R4" s="34" t="n"/>
      <c r="S4" s="34" t="n"/>
      <c r="T4" s="34" t="n"/>
      <c r="U4" s="35">
        <f>IF($F4="SUM",IF(COUNT($I4:$T4)=0,"",SUM($I4:$T4)),IF($F4="AVG",IFERROR(AVERAGE($I4:$T4),""),IF($F4="LAST",IFERROR(LOOKUP(2,1/($I4:$T4&lt;&gt;""),$I4:$T4),""),"")))</f>
        <v/>
      </c>
      <c r="V4" s="25">
        <f>IF($G4="","",IF($U4="","",IF($G4=0,IF($U4&lt;=0,1,0),IF($E4="↓",IFERROR($G4/$U4,0),IFERROR($U4/$G4,0)))))</f>
        <v/>
      </c>
      <c r="W4" s="26">
        <f>IF($V4="","—",IF($V4&gt;=1,"✅ محقق",IF($V4&gt;=0.85,"🟡 قريب","🔴 تحت الهدف")))</f>
        <v/>
      </c>
    </row>
    <row r="5" ht="26" customHeight="1">
      <c r="A5" s="26" t="n">
        <v>2</v>
      </c>
      <c r="B5" s="24" t="inlineStr">
        <is>
          <t>النمو والتوسع</t>
        </is>
      </c>
      <c r="C5" s="24" t="inlineStr">
        <is>
          <t>عدد عقود الامتياز الجديدة الموقّعة</t>
        </is>
      </c>
      <c r="D5" s="28" t="inlineStr">
        <is>
          <t>عقد</t>
        </is>
      </c>
      <c r="E5" s="28" t="inlineStr">
        <is>
          <t>↑</t>
        </is>
      </c>
      <c r="F5" s="28" t="inlineStr">
        <is>
          <t>SUM</t>
        </is>
      </c>
      <c r="G5" s="32" t="n">
        <v>167</v>
      </c>
      <c r="H5" s="33" t="inlineStr">
        <is>
          <t>167 عقد</t>
        </is>
      </c>
      <c r="I5" s="34" t="n"/>
      <c r="J5" s="34" t="n"/>
      <c r="K5" s="34" t="n"/>
      <c r="L5" s="34" t="n"/>
      <c r="M5" s="34" t="n"/>
      <c r="N5" s="34" t="n"/>
      <c r="O5" s="34" t="n"/>
      <c r="P5" s="34" t="n"/>
      <c r="Q5" s="34" t="n"/>
      <c r="R5" s="34" t="n"/>
      <c r="S5" s="34" t="n"/>
      <c r="T5" s="34" t="n"/>
      <c r="U5" s="35">
        <f>IF($F5="SUM",IF(COUNT($I5:$T5)=0,"",SUM($I5:$T5)),IF($F5="AVG",IFERROR(AVERAGE($I5:$T5),""),IF($F5="LAST",IFERROR(LOOKUP(2,1/($I5:$T5&lt;&gt;""),$I5:$T5),""),"")))</f>
        <v/>
      </c>
      <c r="V5" s="25">
        <f>IF($G5="","",IF($U5="","",IF($G5=0,IF($U5&lt;=0,1,0),IF($E5="↓",IFERROR($G5/$U5,0),IFERROR($U5/$G5,0)))))</f>
        <v/>
      </c>
      <c r="W5" s="26">
        <f>IF($V5="","—",IF($V5&gt;=1,"✅ محقق",IF($V5&gt;=0.85,"🟡 قريب","🔴 تحت الهدف")))</f>
        <v/>
      </c>
    </row>
    <row r="6" ht="26" customHeight="1">
      <c r="A6" s="26" t="n">
        <v>3</v>
      </c>
      <c r="B6" s="24" t="inlineStr">
        <is>
          <t>المبيعات والأداء التجاري</t>
        </is>
      </c>
      <c r="C6" s="24" t="inlineStr">
        <is>
          <t>إجمالي مبيعات وقود محطات الامتياز</t>
        </is>
      </c>
      <c r="D6" s="28" t="inlineStr">
        <is>
          <t>لتر</t>
        </is>
      </c>
      <c r="E6" s="28" t="inlineStr">
        <is>
          <t>↑</t>
        </is>
      </c>
      <c r="F6" s="28" t="inlineStr">
        <is>
          <t>SUM</t>
        </is>
      </c>
      <c r="G6" s="32" t="n">
        <v>718838077</v>
      </c>
      <c r="H6" s="33" t="inlineStr">
        <is>
          <t>718.8M لتر</t>
        </is>
      </c>
      <c r="I6" s="34" t="n"/>
      <c r="J6" s="34" t="n"/>
      <c r="K6" s="34" t="n"/>
      <c r="L6" s="34" t="n"/>
      <c r="M6" s="34" t="n"/>
      <c r="N6" s="34" t="n"/>
      <c r="O6" s="34" t="n"/>
      <c r="P6" s="34" t="n"/>
      <c r="Q6" s="34" t="n"/>
      <c r="R6" s="34" t="n"/>
      <c r="S6" s="34" t="n"/>
      <c r="T6" s="34" t="n"/>
      <c r="U6" s="35">
        <f>IF($F6="SUM",IF(COUNT($I6:$T6)=0,"",SUM($I6:$T6)),IF($F6="AVG",IFERROR(AVERAGE($I6:$T6),""),IF($F6="LAST",IFERROR(LOOKUP(2,1/($I6:$T6&lt;&gt;""),$I6:$T6),""),"")))</f>
        <v/>
      </c>
      <c r="V6" s="25">
        <f>IF($G6="","",IF($U6="","",IF($G6=0,IF($U6&lt;=0,1,0),IF($E6="↓",IFERROR($G6/$U6,0),IFERROR($U6/$G6,0)))))</f>
        <v/>
      </c>
      <c r="W6" s="26">
        <f>IF($V6="","—",IF($V6&gt;=1,"✅ محقق",IF($V6&gt;=0.85,"🟡 قريب","🔴 تحت الهدف")))</f>
        <v/>
      </c>
    </row>
    <row r="7" ht="26" customHeight="1">
      <c r="A7" s="26" t="n">
        <v>4</v>
      </c>
      <c r="B7" s="24" t="inlineStr">
        <is>
          <t>المبيعات والأداء التجاري</t>
        </is>
      </c>
      <c r="C7" s="24" t="inlineStr">
        <is>
          <t>نسبة المحطات التي حققت مستهدف المبيعات</t>
        </is>
      </c>
      <c r="D7" s="28" t="inlineStr">
        <is>
          <t>%</t>
        </is>
      </c>
      <c r="E7" s="28" t="inlineStr">
        <is>
          <t>↑</t>
        </is>
      </c>
      <c r="F7" s="28" t="inlineStr">
        <is>
          <t>AVG</t>
        </is>
      </c>
      <c r="G7" s="36" t="n">
        <v>0.9</v>
      </c>
      <c r="H7" s="33" t="inlineStr">
        <is>
          <t>90%+</t>
        </is>
      </c>
      <c r="I7" s="37" t="n"/>
      <c r="J7" s="37" t="n"/>
      <c r="K7" s="37" t="n"/>
      <c r="L7" s="37" t="n"/>
      <c r="M7" s="37" t="n"/>
      <c r="N7" s="37" t="n"/>
      <c r="O7" s="37" t="n"/>
      <c r="P7" s="37" t="n"/>
      <c r="Q7" s="37" t="n"/>
      <c r="R7" s="37" t="n"/>
      <c r="S7" s="37" t="n"/>
      <c r="T7" s="37" t="n"/>
      <c r="U7" s="38">
        <f>IF($F7="SUM",IF(COUNT($I7:$T7)=0,"",SUM($I7:$T7)),IF($F7="AVG",IFERROR(AVERAGE($I7:$T7),""),IF($F7="LAST",IFERROR(LOOKUP(2,1/($I7:$T7&lt;&gt;""),$I7:$T7),""),"")))</f>
        <v/>
      </c>
      <c r="V7" s="25">
        <f>IF($G7="","",IF($U7="","",IF($G7=0,IF($U7&lt;=0,1,0),IF($E7="↓",IFERROR($G7/$U7,0),IFERROR($U7/$G7,0)))))</f>
        <v/>
      </c>
      <c r="W7" s="26">
        <f>IF($V7="","—",IF($V7&gt;=1,"✅ محقق",IF($V7&gt;=0.85,"🟡 قريب","🔴 تحت الهدف")))</f>
        <v/>
      </c>
    </row>
    <row r="8" ht="26" customHeight="1">
      <c r="A8" s="26" t="n">
        <v>5</v>
      </c>
      <c r="B8" s="24" t="inlineStr">
        <is>
          <t>المبيعات والأداء التجاري</t>
        </is>
      </c>
      <c r="C8" s="24" t="inlineStr">
        <is>
          <t>متوسط مبيعات المحطة الواحدة شهرياً</t>
        </is>
      </c>
      <c r="D8" s="28" t="inlineStr">
        <is>
          <t>لتر/محطة</t>
        </is>
      </c>
      <c r="E8" s="28" t="inlineStr">
        <is>
          <t>↑</t>
        </is>
      </c>
      <c r="F8" s="28" t="inlineStr">
        <is>
          <t>AVG</t>
        </is>
      </c>
      <c r="G8" s="28" t="inlineStr"/>
      <c r="H8" s="33" t="inlineStr">
        <is>
          <t>+10% نمو شهري</t>
        </is>
      </c>
      <c r="I8" s="34" t="n"/>
      <c r="J8" s="34" t="n"/>
      <c r="K8" s="34" t="n"/>
      <c r="L8" s="34" t="n"/>
      <c r="M8" s="34" t="n"/>
      <c r="N8" s="34" t="n"/>
      <c r="O8" s="34" t="n"/>
      <c r="P8" s="34" t="n"/>
      <c r="Q8" s="34" t="n"/>
      <c r="R8" s="34" t="n"/>
      <c r="S8" s="34" t="n"/>
      <c r="T8" s="34" t="n"/>
      <c r="U8" s="35">
        <f>IF($F8="SUM",IF(COUNT($I8:$T8)=0,"",SUM($I8:$T8)),IF($F8="AVG",IFERROR(AVERAGE($I8:$T8),""),IF($F8="LAST",IFERROR(LOOKUP(2,1/($I8:$T8&lt;&gt;""),$I8:$T8),""),"")))</f>
        <v/>
      </c>
      <c r="V8" s="25">
        <f>IF($G8="","",IF($U8="","",IF($G8=0,IF($U8&lt;=0,1,0),IF($E8="↓",IFERROR($G8/$U8,0),IFERROR($U8/$G8,0)))))</f>
        <v/>
      </c>
      <c r="W8" s="26">
        <f>IF($V8="","—",IF($V8&gt;=1,"✅ محقق",IF($V8&gt;=0.85,"🟡 قريب","🔴 تحت الهدف")))</f>
        <v/>
      </c>
    </row>
    <row r="9" ht="26" customHeight="1">
      <c r="A9" s="26" t="n">
        <v>6</v>
      </c>
      <c r="B9" s="24" t="inlineStr">
        <is>
          <t>المبيعات والأداء التجاري</t>
        </is>
      </c>
      <c r="C9" s="24" t="inlineStr">
        <is>
          <t>نسبة تأجير وحدات الامتياز</t>
        </is>
      </c>
      <c r="D9" s="28" t="inlineStr">
        <is>
          <t>%</t>
        </is>
      </c>
      <c r="E9" s="28" t="inlineStr">
        <is>
          <t>↑</t>
        </is>
      </c>
      <c r="F9" s="28" t="inlineStr">
        <is>
          <t>AVG</t>
        </is>
      </c>
      <c r="G9" s="36" t="n">
        <v>0.7</v>
      </c>
      <c r="H9" s="33" t="inlineStr">
        <is>
          <t>70%</t>
        </is>
      </c>
      <c r="I9" s="37" t="n"/>
      <c r="J9" s="37" t="n"/>
      <c r="K9" s="37" t="n"/>
      <c r="L9" s="37" t="n"/>
      <c r="M9" s="37" t="n"/>
      <c r="N9" s="37" t="n"/>
      <c r="O9" s="37" t="n"/>
      <c r="P9" s="37" t="n"/>
      <c r="Q9" s="37" t="n"/>
      <c r="R9" s="37" t="n"/>
      <c r="S9" s="37" t="n"/>
      <c r="T9" s="37" t="n"/>
      <c r="U9" s="38">
        <f>IF($F9="SUM",IF(COUNT($I9:$T9)=0,"",SUM($I9:$T9)),IF($F9="AVG",IFERROR(AVERAGE($I9:$T9),""),IF($F9="LAST",IFERROR(LOOKUP(2,1/($I9:$T9&lt;&gt;""),$I9:$T9),""),"")))</f>
        <v/>
      </c>
      <c r="V9" s="25">
        <f>IF($G9="","",IF($U9="","",IF($G9=0,IF($U9&lt;=0,1,0),IF($E9="↓",IFERROR($G9/$U9,0),IFERROR($U9/$G9,0)))))</f>
        <v/>
      </c>
      <c r="W9" s="26">
        <f>IF($V9="","—",IF($V9&gt;=1,"✅ محقق",IF($V9&gt;=0.85,"🟡 قريب","🔴 تحت الهدف")))</f>
        <v/>
      </c>
    </row>
    <row r="10" ht="26" customHeight="1">
      <c r="A10" s="26" t="n">
        <v>7</v>
      </c>
      <c r="B10" s="24" t="inlineStr">
        <is>
          <t>الأداء المالي</t>
        </is>
      </c>
      <c r="C10" s="24" t="inlineStr">
        <is>
          <t>إجمالي إيرادات إدارة الامتياز</t>
        </is>
      </c>
      <c r="D10" s="28" t="inlineStr">
        <is>
          <t>ر.س</t>
        </is>
      </c>
      <c r="E10" s="28" t="inlineStr">
        <is>
          <t>↑</t>
        </is>
      </c>
      <c r="F10" s="28" t="inlineStr">
        <is>
          <t>SUM</t>
        </is>
      </c>
      <c r="G10" s="28" t="inlineStr"/>
      <c r="H10" s="33" t="inlineStr">
        <is>
          <t>تصاعدي مستمر</t>
        </is>
      </c>
      <c r="I10" s="39" t="n"/>
      <c r="J10" s="39" t="n"/>
      <c r="K10" s="39" t="n"/>
      <c r="L10" s="39" t="n"/>
      <c r="M10" s="39" t="n"/>
      <c r="N10" s="39" t="n"/>
      <c r="O10" s="39" t="n"/>
      <c r="P10" s="39" t="n"/>
      <c r="Q10" s="39" t="n"/>
      <c r="R10" s="39" t="n"/>
      <c r="S10" s="39" t="n"/>
      <c r="T10" s="39" t="n"/>
      <c r="U10" s="40">
        <f>IF($F10="SUM",IF(COUNT($I10:$T10)=0,"",SUM($I10:$T10)),IF($F10="AVG",IFERROR(AVERAGE($I10:$T10),""),IF($F10="LAST",IFERROR(LOOKUP(2,1/($I10:$T10&lt;&gt;""),$I10:$T10),""),"")))</f>
        <v/>
      </c>
      <c r="V10" s="25">
        <f>IF($G10="","",IF($U10="","",IF($G10=0,IF($U10&lt;=0,1,0),IF($E10="↓",IFERROR($G10/$U10,0),IFERROR($U10/$G10,0)))))</f>
        <v/>
      </c>
      <c r="W10" s="26">
        <f>IF($V10="","—",IF($V10&gt;=1,"✅ محقق",IF($V10&gt;=0.85,"🟡 قريب","🔴 تحت الهدف")))</f>
        <v/>
      </c>
    </row>
    <row r="11" ht="26" customHeight="1">
      <c r="A11" s="26" t="n">
        <v>8</v>
      </c>
      <c r="B11" s="24" t="inlineStr">
        <is>
          <t>الأداء المالي</t>
        </is>
      </c>
      <c r="C11" s="24" t="inlineStr">
        <is>
          <t>رفع هامش الربحية للامتياز</t>
        </is>
      </c>
      <c r="D11" s="28" t="inlineStr">
        <is>
          <t>هللة/لتر</t>
        </is>
      </c>
      <c r="E11" s="28" t="inlineStr">
        <is>
          <t>↑</t>
        </is>
      </c>
      <c r="F11" s="28" t="inlineStr">
        <is>
          <t>AVG</t>
        </is>
      </c>
      <c r="G11" s="41" t="n">
        <v>1.8</v>
      </c>
      <c r="H11" s="33" t="inlineStr">
        <is>
          <t>+1.8 هللة/لتر</t>
        </is>
      </c>
      <c r="I11" s="42" t="n"/>
      <c r="J11" s="42" t="n"/>
      <c r="K11" s="42" t="n"/>
      <c r="L11" s="42" t="n"/>
      <c r="M11" s="42" t="n"/>
      <c r="N11" s="42" t="n"/>
      <c r="O11" s="42" t="n"/>
      <c r="P11" s="42" t="n"/>
      <c r="Q11" s="42" t="n"/>
      <c r="R11" s="42" t="n"/>
      <c r="S11" s="42" t="n"/>
      <c r="T11" s="42" t="n"/>
      <c r="U11" s="43">
        <f>IF($F11="SUM",IF(COUNT($I11:$T11)=0,"",SUM($I11:$T11)),IF($F11="AVG",IFERROR(AVERAGE($I11:$T11),""),IF($F11="LAST",IFERROR(LOOKUP(2,1/($I11:$T11&lt;&gt;""),$I11:$T11),""),"")))</f>
        <v/>
      </c>
      <c r="V11" s="25">
        <f>IF($G11="","",IF($U11="","",IF($G11=0,IF($U11&lt;=0,1,0),IF($E11="↓",IFERROR($G11/$U11,0),IFERROR($U11/$G11,0)))))</f>
        <v/>
      </c>
      <c r="W11" s="26">
        <f>IF($V11="","—",IF($V11&gt;=1,"✅ محقق",IF($V11&gt;=0.85,"🟡 قريب","🔴 تحت الهدف")))</f>
        <v/>
      </c>
    </row>
    <row r="12" ht="26" customHeight="1">
      <c r="A12" s="26" t="n">
        <v>9</v>
      </c>
      <c r="B12" s="24" t="inlineStr">
        <is>
          <t>الأداء المالي</t>
        </is>
      </c>
      <c r="C12" s="24" t="inlineStr">
        <is>
          <t>نسبة التحصيل المالي من شركاء الامتياز</t>
        </is>
      </c>
      <c r="D12" s="28" t="inlineStr">
        <is>
          <t>%</t>
        </is>
      </c>
      <c r="E12" s="28" t="inlineStr">
        <is>
          <t>↑</t>
        </is>
      </c>
      <c r="F12" s="28" t="inlineStr">
        <is>
          <t>AVG</t>
        </is>
      </c>
      <c r="G12" s="36" t="n">
        <v>0.95</v>
      </c>
      <c r="H12" s="33" t="inlineStr">
        <is>
          <t>95%+</t>
        </is>
      </c>
      <c r="I12" s="37" t="n"/>
      <c r="J12" s="37" t="n"/>
      <c r="K12" s="37" t="n"/>
      <c r="L12" s="37" t="n"/>
      <c r="M12" s="37" t="n"/>
      <c r="N12" s="37" t="n"/>
      <c r="O12" s="37" t="n"/>
      <c r="P12" s="37" t="n"/>
      <c r="Q12" s="37" t="n"/>
      <c r="R12" s="37" t="n"/>
      <c r="S12" s="37" t="n"/>
      <c r="T12" s="37" t="n"/>
      <c r="U12" s="38">
        <f>IF($F12="SUM",IF(COUNT($I12:$T12)=0,"",SUM($I12:$T12)),IF($F12="AVG",IFERROR(AVERAGE($I12:$T12),""),IF($F12="LAST",IFERROR(LOOKUP(2,1/($I12:$T12&lt;&gt;""),$I12:$T12),""),"")))</f>
        <v/>
      </c>
      <c r="V12" s="25">
        <f>IF($G12="","",IF($U12="","",IF($G12=0,IF($U12&lt;=0,1,0),IF($E12="↓",IFERROR($G12/$U12,0),IFERROR($U12/$G12,0)))))</f>
        <v/>
      </c>
      <c r="W12" s="26">
        <f>IF($V12="","—",IF($V12&gt;=1,"✅ محقق",IF($V12&gt;=0.85,"🟡 قريب","🔴 تحت الهدف")))</f>
        <v/>
      </c>
    </row>
    <row r="13" ht="26" customHeight="1">
      <c r="A13" s="26" t="n">
        <v>10</v>
      </c>
      <c r="B13" s="24" t="inlineStr">
        <is>
          <t>الأداء المالي</t>
        </is>
      </c>
      <c r="C13" s="24" t="inlineStr">
        <is>
          <t>متوسط أيام التحصيل (DSO)</t>
        </is>
      </c>
      <c r="D13" s="28" t="inlineStr">
        <is>
          <t>يوم</t>
        </is>
      </c>
      <c r="E13" s="28" t="inlineStr">
        <is>
          <t>↓</t>
        </is>
      </c>
      <c r="F13" s="28" t="inlineStr">
        <is>
          <t>AVG</t>
        </is>
      </c>
      <c r="G13" s="41" t="n">
        <v>30</v>
      </c>
      <c r="H13" s="33" t="inlineStr">
        <is>
          <t>≤ 30 يوم</t>
        </is>
      </c>
      <c r="I13" s="42" t="n"/>
      <c r="J13" s="42" t="n"/>
      <c r="K13" s="42" t="n"/>
      <c r="L13" s="42" t="n"/>
      <c r="M13" s="42" t="n"/>
      <c r="N13" s="42" t="n"/>
      <c r="O13" s="42" t="n"/>
      <c r="P13" s="42" t="n"/>
      <c r="Q13" s="42" t="n"/>
      <c r="R13" s="42" t="n"/>
      <c r="S13" s="42" t="n"/>
      <c r="T13" s="42" t="n"/>
      <c r="U13" s="43">
        <f>IF($F13="SUM",IF(COUNT($I13:$T13)=0,"",SUM($I13:$T13)),IF($F13="AVG",IFERROR(AVERAGE($I13:$T13),""),IF($F13="LAST",IFERROR(LOOKUP(2,1/($I13:$T13&lt;&gt;""),$I13:$T13),""),"")))</f>
        <v/>
      </c>
      <c r="V13" s="25">
        <f>IF($G13="","",IF($U13="","",IF($G13=0,IF($U13&lt;=0,1,0),IF($E13="↓",IFERROR($G13/$U13,0),IFERROR($U13/$G13,0)))))</f>
        <v/>
      </c>
      <c r="W13" s="26">
        <f>IF($V13="","—",IF($V13&gt;=1,"✅ محقق",IF($V13&gt;=0.85,"🟡 قريب","🔴 تحت الهدف")))</f>
        <v/>
      </c>
    </row>
    <row r="14" ht="26" customHeight="1">
      <c r="A14" s="26" t="n">
        <v>11</v>
      </c>
      <c r="B14" s="24" t="inlineStr">
        <is>
          <t>الأداء المالي</t>
        </is>
      </c>
      <c r="C14" s="24" t="inlineStr">
        <is>
          <t>إجمالي المستحقات المتأخرة (+30 يوم)</t>
        </is>
      </c>
      <c r="D14" s="28" t="inlineStr">
        <is>
          <t>ر.س</t>
        </is>
      </c>
      <c r="E14" s="28" t="inlineStr">
        <is>
          <t>↓</t>
        </is>
      </c>
      <c r="F14" s="28" t="inlineStr">
        <is>
          <t>LAST</t>
        </is>
      </c>
      <c r="G14" s="28" t="inlineStr"/>
      <c r="H14" s="33" t="inlineStr">
        <is>
          <t>تراجع مستمر</t>
        </is>
      </c>
      <c r="I14" s="39" t="n"/>
      <c r="J14" s="39" t="n"/>
      <c r="K14" s="39" t="n"/>
      <c r="L14" s="39" t="n"/>
      <c r="M14" s="39" t="n"/>
      <c r="N14" s="39" t="n"/>
      <c r="O14" s="39" t="n"/>
      <c r="P14" s="39" t="n"/>
      <c r="Q14" s="39" t="n"/>
      <c r="R14" s="39" t="n"/>
      <c r="S14" s="39" t="n"/>
      <c r="T14" s="39" t="n"/>
      <c r="U14" s="40">
        <f>IF($F14="SUM",IF(COUNT($I14:$T14)=0,"",SUM($I14:$T14)),IF($F14="AVG",IFERROR(AVERAGE($I14:$T14),""),IF($F14="LAST",IFERROR(LOOKUP(2,1/($I14:$T14&lt;&gt;""),$I14:$T14),""),"")))</f>
        <v/>
      </c>
      <c r="V14" s="25">
        <f>IF($G14="","",IF($U14="","",IF($G14=0,IF($U14&lt;=0,1,0),IF($E14="↓",IFERROR($G14/$U14,0),IFERROR($U14/$G14,0)))))</f>
        <v/>
      </c>
      <c r="W14" s="26">
        <f>IF($V14="","—",IF($V14&gt;=1,"✅ محقق",IF($V14&gt;=0.85,"🟡 قريب","🔴 تحت الهدف")))</f>
        <v/>
      </c>
    </row>
    <row r="15" ht="26" customHeight="1">
      <c r="A15" s="26" t="n">
        <v>12</v>
      </c>
      <c r="B15" s="24" t="inlineStr">
        <is>
          <t>الأداء المالي</t>
        </is>
      </c>
      <c r="C15" s="24" t="inlineStr">
        <is>
          <t>نسبة الشركاء الملتزمين بمواعيد السداد</t>
        </is>
      </c>
      <c r="D15" s="28" t="inlineStr">
        <is>
          <t>%</t>
        </is>
      </c>
      <c r="E15" s="28" t="inlineStr">
        <is>
          <t>↑</t>
        </is>
      </c>
      <c r="F15" s="28" t="inlineStr">
        <is>
          <t>AVG</t>
        </is>
      </c>
      <c r="G15" s="36" t="n">
        <v>0.9</v>
      </c>
      <c r="H15" s="33" t="inlineStr">
        <is>
          <t>90%+</t>
        </is>
      </c>
      <c r="I15" s="37" t="n"/>
      <c r="J15" s="37" t="n"/>
      <c r="K15" s="37" t="n"/>
      <c r="L15" s="37" t="n"/>
      <c r="M15" s="37" t="n"/>
      <c r="N15" s="37" t="n"/>
      <c r="O15" s="37" t="n"/>
      <c r="P15" s="37" t="n"/>
      <c r="Q15" s="37" t="n"/>
      <c r="R15" s="37" t="n"/>
      <c r="S15" s="37" t="n"/>
      <c r="T15" s="37" t="n"/>
      <c r="U15" s="38">
        <f>IF($F15="SUM",IF(COUNT($I15:$T15)=0,"",SUM($I15:$T15)),IF($F15="AVG",IFERROR(AVERAGE($I15:$T15),""),IF($F15="LAST",IFERROR(LOOKUP(2,1/($I15:$T15&lt;&gt;""),$I15:$T15),""),"")))</f>
        <v/>
      </c>
      <c r="V15" s="25">
        <f>IF($G15="","",IF($U15="","",IF($G15=0,IF($U15&lt;=0,1,0),IF($E15="↓",IFERROR($G15/$U15,0),IFERROR($U15/$G15,0)))))</f>
        <v/>
      </c>
      <c r="W15" s="26">
        <f>IF($V15="","—",IF($V15&gt;=1,"✅ محقق",IF($V15&gt;=0.85,"🟡 قريب","🔴 تحت الهدف")))</f>
        <v/>
      </c>
    </row>
    <row r="16" ht="26" customHeight="1">
      <c r="A16" s="26" t="n">
        <v>13</v>
      </c>
      <c r="B16" s="24" t="inlineStr">
        <is>
          <t>الأداء المالي</t>
        </is>
      </c>
      <c r="C16" s="24" t="inlineStr">
        <is>
          <t>معدل دوران رأس المال (أيام الدورة)</t>
        </is>
      </c>
      <c r="D16" s="28" t="inlineStr">
        <is>
          <t>يوم</t>
        </is>
      </c>
      <c r="E16" s="28" t="inlineStr">
        <is>
          <t>↓</t>
        </is>
      </c>
      <c r="F16" s="28" t="inlineStr">
        <is>
          <t>AVG</t>
        </is>
      </c>
      <c r="G16" s="41" t="n">
        <v>5</v>
      </c>
      <c r="H16" s="33" t="inlineStr">
        <is>
          <t>≤ 5 أيام</t>
        </is>
      </c>
      <c r="I16" s="42" t="n"/>
      <c r="J16" s="42" t="n"/>
      <c r="K16" s="42" t="n"/>
      <c r="L16" s="42" t="n"/>
      <c r="M16" s="42" t="n"/>
      <c r="N16" s="42" t="n"/>
      <c r="O16" s="42" t="n"/>
      <c r="P16" s="42" t="n"/>
      <c r="Q16" s="42" t="n"/>
      <c r="R16" s="42" t="n"/>
      <c r="S16" s="42" t="n"/>
      <c r="T16" s="42" t="n"/>
      <c r="U16" s="43">
        <f>IF($F16="SUM",IF(COUNT($I16:$T16)=0,"",SUM($I16:$T16)),IF($F16="AVG",IFERROR(AVERAGE($I16:$T16),""),IF($F16="LAST",IFERROR(LOOKUP(2,1/($I16:$T16&lt;&gt;""),$I16:$T16),""),"")))</f>
        <v/>
      </c>
      <c r="V16" s="25">
        <f>IF($G16="","",IF($U16="","",IF($G16=0,IF($U16&lt;=0,1,0),IF($E16="↓",IFERROR($G16/$U16,0),IFERROR($U16/$G16,0)))))</f>
        <v/>
      </c>
      <c r="W16" s="26">
        <f>IF($V16="","—",IF($V16&gt;=1,"✅ محقق",IF($V16&gt;=0.85,"🟡 قريب","🔴 تحت الهدف")))</f>
        <v/>
      </c>
    </row>
    <row r="17" ht="26" customHeight="1">
      <c r="A17" s="26" t="n">
        <v>14</v>
      </c>
      <c r="B17" s="24" t="inlineStr">
        <is>
          <t>التشغيل والجودة</t>
        </is>
      </c>
      <c r="C17" s="24" t="inlineStr">
        <is>
          <t>نسبة جاهزية محطات الامتياز (صفر انقطاع)</t>
        </is>
      </c>
      <c r="D17" s="28" t="inlineStr">
        <is>
          <t>%</t>
        </is>
      </c>
      <c r="E17" s="28" t="inlineStr">
        <is>
          <t>↑</t>
        </is>
      </c>
      <c r="F17" s="28" t="inlineStr">
        <is>
          <t>AVG</t>
        </is>
      </c>
      <c r="G17" s="36" t="n">
        <v>0.99</v>
      </c>
      <c r="H17" s="33" t="inlineStr">
        <is>
          <t>99%+</t>
        </is>
      </c>
      <c r="I17" s="37" t="n"/>
      <c r="J17" s="37" t="n"/>
      <c r="K17" s="37" t="n"/>
      <c r="L17" s="37" t="n"/>
      <c r="M17" s="37" t="n"/>
      <c r="N17" s="37" t="n"/>
      <c r="O17" s="37" t="n"/>
      <c r="P17" s="37" t="n"/>
      <c r="Q17" s="37" t="n"/>
      <c r="R17" s="37" t="n"/>
      <c r="S17" s="37" t="n"/>
      <c r="T17" s="37" t="n"/>
      <c r="U17" s="38">
        <f>IF($F17="SUM",IF(COUNT($I17:$T17)=0,"",SUM($I17:$T17)),IF($F17="AVG",IFERROR(AVERAGE($I17:$T17),""),IF($F17="LAST",IFERROR(LOOKUP(2,1/($I17:$T17&lt;&gt;""),$I17:$T17),""),"")))</f>
        <v/>
      </c>
      <c r="V17" s="25">
        <f>IF($G17="","",IF($U17="","",IF($G17=0,IF($U17&lt;=0,1,0),IF($E17="↓",IFERROR($G17/$U17,0),IFERROR($U17/$G17,0)))))</f>
        <v/>
      </c>
      <c r="W17" s="26">
        <f>IF($V17="","—",IF($V17&gt;=1,"✅ محقق",IF($V17&gt;=0.85,"🟡 قريب","🔴 تحت الهدف")))</f>
        <v/>
      </c>
    </row>
    <row r="18" ht="26" customHeight="1">
      <c r="A18" s="26" t="n">
        <v>15</v>
      </c>
      <c r="B18" s="24" t="inlineStr">
        <is>
          <t>التشغيل والجودة</t>
        </is>
      </c>
      <c r="C18" s="24" t="inlineStr">
        <is>
          <t>عدد حالات انقطاع الوقود الموثّقة</t>
        </is>
      </c>
      <c r="D18" s="28" t="inlineStr">
        <is>
          <t>حالة</t>
        </is>
      </c>
      <c r="E18" s="28" t="inlineStr">
        <is>
          <t>↓</t>
        </is>
      </c>
      <c r="F18" s="28" t="inlineStr">
        <is>
          <t>SUM</t>
        </is>
      </c>
      <c r="G18" s="32" t="n">
        <v>0</v>
      </c>
      <c r="H18" s="33" t="inlineStr">
        <is>
          <t>0 حالة</t>
        </is>
      </c>
      <c r="I18" s="34" t="n"/>
      <c r="J18" s="34" t="n"/>
      <c r="K18" s="34" t="n"/>
      <c r="L18" s="34" t="n"/>
      <c r="M18" s="34" t="n"/>
      <c r="N18" s="34" t="n"/>
      <c r="O18" s="34" t="n"/>
      <c r="P18" s="34" t="n"/>
      <c r="Q18" s="34" t="n"/>
      <c r="R18" s="34" t="n"/>
      <c r="S18" s="34" t="n"/>
      <c r="T18" s="34" t="n"/>
      <c r="U18" s="35">
        <f>IF($F18="SUM",IF(COUNT($I18:$T18)=0,"",SUM($I18:$T18)),IF($F18="AVG",IFERROR(AVERAGE($I18:$T18),""),IF($F18="LAST",IFERROR(LOOKUP(2,1/($I18:$T18&lt;&gt;""),$I18:$T18),""),"")))</f>
        <v/>
      </c>
      <c r="V18" s="25">
        <f>IF($G18="","",IF($U18="","",IF($G18=0,IF($U18&lt;=0,1,0),IF($E18="↓",IFERROR($G18/$U18,0),IFERROR($U18/$G18,0)))))</f>
        <v/>
      </c>
      <c r="W18" s="26">
        <f>IF($V18="","—",IF($V18&gt;=1,"✅ محقق",IF($V18&gt;=0.85,"🟡 قريب","🔴 تحت الهدف")))</f>
        <v/>
      </c>
    </row>
    <row r="19" ht="26" customHeight="1">
      <c r="A19" s="26" t="n">
        <v>16</v>
      </c>
      <c r="B19" s="24" t="inlineStr">
        <is>
          <t>التشغيل والجودة</t>
        </is>
      </c>
      <c r="C19" s="24" t="inlineStr">
        <is>
          <t>نسبة إغلاق ملاحظات الجودة الميدانية</t>
        </is>
      </c>
      <c r="D19" s="28" t="inlineStr">
        <is>
          <t>%</t>
        </is>
      </c>
      <c r="E19" s="28" t="inlineStr">
        <is>
          <t>↑</t>
        </is>
      </c>
      <c r="F19" s="28" t="inlineStr">
        <is>
          <t>AVG</t>
        </is>
      </c>
      <c r="G19" s="36" t="n">
        <v>0.95</v>
      </c>
      <c r="H19" s="33" t="inlineStr">
        <is>
          <t>95%+</t>
        </is>
      </c>
      <c r="I19" s="37" t="n"/>
      <c r="J19" s="37" t="n"/>
      <c r="K19" s="37" t="n"/>
      <c r="L19" s="37" t="n"/>
      <c r="M19" s="37" t="n"/>
      <c r="N19" s="37" t="n"/>
      <c r="O19" s="37" t="n"/>
      <c r="P19" s="37" t="n"/>
      <c r="Q19" s="37" t="n"/>
      <c r="R19" s="37" t="n"/>
      <c r="S19" s="37" t="n"/>
      <c r="T19" s="37" t="n"/>
      <c r="U19" s="38">
        <f>IF($F19="SUM",IF(COUNT($I19:$T19)=0,"",SUM($I19:$T19)),IF($F19="AVG",IFERROR(AVERAGE($I19:$T19),""),IF($F19="LAST",IFERROR(LOOKUP(2,1/($I19:$T19&lt;&gt;""),$I19:$T19),""),"")))</f>
        <v/>
      </c>
      <c r="V19" s="25">
        <f>IF($G19="","",IF($U19="","",IF($G19=0,IF($U19&lt;=0,1,0),IF($E19="↓",IFERROR($G19/$U19,0),IFERROR($U19/$G19,0)))))</f>
        <v/>
      </c>
      <c r="W19" s="26">
        <f>IF($V19="","—",IF($V19&gt;=1,"✅ محقق",IF($V19&gt;=0.85,"🟡 قريب","🔴 تحت الهدف")))</f>
        <v/>
      </c>
    </row>
    <row r="20" ht="26" customHeight="1">
      <c r="A20" s="26" t="n">
        <v>17</v>
      </c>
      <c r="B20" s="24" t="inlineStr">
        <is>
          <t>التشغيل والجودة</t>
        </is>
      </c>
      <c r="C20" s="24" t="inlineStr">
        <is>
          <t>متوسط درجة تقييم جودة المحطة (قائمة التحقق)</t>
        </is>
      </c>
      <c r="D20" s="28" t="inlineStr">
        <is>
          <t>درجة/100</t>
        </is>
      </c>
      <c r="E20" s="28" t="inlineStr">
        <is>
          <t>↑</t>
        </is>
      </c>
      <c r="F20" s="28" t="inlineStr">
        <is>
          <t>AVG</t>
        </is>
      </c>
      <c r="G20" s="41" t="n">
        <v>85</v>
      </c>
      <c r="H20" s="33" t="inlineStr">
        <is>
          <t>85+</t>
        </is>
      </c>
      <c r="I20" s="42" t="n"/>
      <c r="J20" s="42" t="n"/>
      <c r="K20" s="42" t="n"/>
      <c r="L20" s="42" t="n"/>
      <c r="M20" s="42" t="n"/>
      <c r="N20" s="42" t="n"/>
      <c r="O20" s="42" t="n"/>
      <c r="P20" s="42" t="n"/>
      <c r="Q20" s="42" t="n"/>
      <c r="R20" s="42" t="n"/>
      <c r="S20" s="42" t="n"/>
      <c r="T20" s="42" t="n"/>
      <c r="U20" s="43">
        <f>IF($F20="SUM",IF(COUNT($I20:$T20)=0,"",SUM($I20:$T20)),IF($F20="AVG",IFERROR(AVERAGE($I20:$T20),""),IF($F20="LAST",IFERROR(LOOKUP(2,1/($I20:$T20&lt;&gt;""),$I20:$T20),""),"")))</f>
        <v/>
      </c>
      <c r="V20" s="25">
        <f>IF($G20="","",IF($U20="","",IF($G20=0,IF($U20&lt;=0,1,0),IF($E20="↓",IFERROR($G20/$U20,0),IFERROR($U20/$G20,0)))))</f>
        <v/>
      </c>
      <c r="W20" s="26">
        <f>IF($V20="","—",IF($V20&gt;=1,"✅ محقق",IF($V20&gt;=0.85,"🟡 قريب","🔴 تحت الهدف")))</f>
        <v/>
      </c>
    </row>
    <row r="21" ht="26" customHeight="1">
      <c r="A21" s="26" t="n">
        <v>18</v>
      </c>
      <c r="B21" s="24" t="inlineStr">
        <is>
          <t>التشغيل والجودة</t>
        </is>
      </c>
      <c r="C21" s="24" t="inlineStr">
        <is>
          <t>نسبة تنفيذ الزيارات الميدانية المجدولة</t>
        </is>
      </c>
      <c r="D21" s="28" t="inlineStr">
        <is>
          <t>%</t>
        </is>
      </c>
      <c r="E21" s="28" t="inlineStr">
        <is>
          <t>↑</t>
        </is>
      </c>
      <c r="F21" s="28" t="inlineStr">
        <is>
          <t>AVG</t>
        </is>
      </c>
      <c r="G21" s="36" t="n">
        <v>1</v>
      </c>
      <c r="H21" s="33" t="inlineStr">
        <is>
          <t>100%</t>
        </is>
      </c>
      <c r="I21" s="37" t="n"/>
      <c r="J21" s="37" t="n"/>
      <c r="K21" s="37" t="n"/>
      <c r="L21" s="37" t="n"/>
      <c r="M21" s="37" t="n"/>
      <c r="N21" s="37" t="n"/>
      <c r="O21" s="37" t="n"/>
      <c r="P21" s="37" t="n"/>
      <c r="Q21" s="37" t="n"/>
      <c r="R21" s="37" t="n"/>
      <c r="S21" s="37" t="n"/>
      <c r="T21" s="37" t="n"/>
      <c r="U21" s="38">
        <f>IF($F21="SUM",IF(COUNT($I21:$T21)=0,"",SUM($I21:$T21)),IF($F21="AVG",IFERROR(AVERAGE($I21:$T21),""),IF($F21="LAST",IFERROR(LOOKUP(2,1/($I21:$T21&lt;&gt;""),$I21:$T21),""),"")))</f>
        <v/>
      </c>
      <c r="V21" s="25">
        <f>IF($G21="","",IF($U21="","",IF($G21=0,IF($U21&lt;=0,1,0),IF($E21="↓",IFERROR($G21/$U21,0),IFERROR($U21/$G21,0)))))</f>
        <v/>
      </c>
      <c r="W21" s="26">
        <f>IF($V21="","—",IF($V21&gt;=1,"✅ محقق",IF($V21&gt;=0.85,"🟡 قريب","🔴 تحت الهدف")))</f>
        <v/>
      </c>
    </row>
    <row r="22" ht="26" customHeight="1">
      <c r="A22" s="26" t="n">
        <v>19</v>
      </c>
      <c r="B22" s="24" t="inlineStr">
        <is>
          <t>التشغيل والجودة</t>
        </is>
      </c>
      <c r="C22" s="24" t="inlineStr">
        <is>
          <t>نسبة المحطات المستوفية لمعايير السلامة</t>
        </is>
      </c>
      <c r="D22" s="28" t="inlineStr">
        <is>
          <t>%</t>
        </is>
      </c>
      <c r="E22" s="28" t="inlineStr">
        <is>
          <t>↑</t>
        </is>
      </c>
      <c r="F22" s="28" t="inlineStr">
        <is>
          <t>AVG</t>
        </is>
      </c>
      <c r="G22" s="36" t="n">
        <v>1</v>
      </c>
      <c r="H22" s="33" t="inlineStr">
        <is>
          <t>100%</t>
        </is>
      </c>
      <c r="I22" s="37" t="n"/>
      <c r="J22" s="37" t="n"/>
      <c r="K22" s="37" t="n"/>
      <c r="L22" s="37" t="n"/>
      <c r="M22" s="37" t="n"/>
      <c r="N22" s="37" t="n"/>
      <c r="O22" s="37" t="n"/>
      <c r="P22" s="37" t="n"/>
      <c r="Q22" s="37" t="n"/>
      <c r="R22" s="37" t="n"/>
      <c r="S22" s="37" t="n"/>
      <c r="T22" s="37" t="n"/>
      <c r="U22" s="38">
        <f>IF($F22="SUM",IF(COUNT($I22:$T22)=0,"",SUM($I22:$T22)),IF($F22="AVG",IFERROR(AVERAGE($I22:$T22),""),IF($F22="LAST",IFERROR(LOOKUP(2,1/($I22:$T22&lt;&gt;""),$I22:$T22),""),"")))</f>
        <v/>
      </c>
      <c r="V22" s="25">
        <f>IF($G22="","",IF($U22="","",IF($G22=0,IF($U22&lt;=0,1,0),IF($E22="↓",IFERROR($G22/$U22,0),IFERROR($U22/$G22,0)))))</f>
        <v/>
      </c>
      <c r="W22" s="26">
        <f>IF($V22="","—",IF($V22&gt;=1,"✅ محقق",IF($V22&gt;=0.85,"🟡 قريب","🔴 تحت الهدف")))</f>
        <v/>
      </c>
    </row>
    <row r="23" ht="26" customHeight="1">
      <c r="A23" s="26" t="n">
        <v>20</v>
      </c>
      <c r="B23" s="24" t="inlineStr">
        <is>
          <t>التشغيل والجودة</t>
        </is>
      </c>
      <c r="C23" s="24" t="inlineStr">
        <is>
          <t>متوسط وقت معالجة البلاغات التشغيلية</t>
        </is>
      </c>
      <c r="D23" s="28" t="inlineStr">
        <is>
          <t>ساعة</t>
        </is>
      </c>
      <c r="E23" s="28" t="inlineStr">
        <is>
          <t>↓</t>
        </is>
      </c>
      <c r="F23" s="28" t="inlineStr">
        <is>
          <t>AVG</t>
        </is>
      </c>
      <c r="G23" s="41" t="n">
        <v>24</v>
      </c>
      <c r="H23" s="33" t="inlineStr">
        <is>
          <t>≤ 24 ساعة</t>
        </is>
      </c>
      <c r="I23" s="42" t="n"/>
      <c r="J23" s="42" t="n"/>
      <c r="K23" s="42" t="n"/>
      <c r="L23" s="42" t="n"/>
      <c r="M23" s="42" t="n"/>
      <c r="N23" s="42" t="n"/>
      <c r="O23" s="42" t="n"/>
      <c r="P23" s="42" t="n"/>
      <c r="Q23" s="42" t="n"/>
      <c r="R23" s="42" t="n"/>
      <c r="S23" s="42" t="n"/>
      <c r="T23" s="42" t="n"/>
      <c r="U23" s="43">
        <f>IF($F23="SUM",IF(COUNT($I23:$T23)=0,"",SUM($I23:$T23)),IF($F23="AVG",IFERROR(AVERAGE($I23:$T23),""),IF($F23="LAST",IFERROR(LOOKUP(2,1/($I23:$T23&lt;&gt;""),$I23:$T23),""),"")))</f>
        <v/>
      </c>
      <c r="V23" s="25">
        <f>IF($G23="","",IF($U23="","",IF($G23=0,IF($U23&lt;=0,1,0),IF($E23="↓",IFERROR($G23/$U23,0),IFERROR($U23/$G23,0)))))</f>
        <v/>
      </c>
      <c r="W23" s="26">
        <f>IF($V23="","—",IF($V23&gt;=1,"✅ محقق",IF($V23&gt;=0.85,"🟡 قريب","🔴 تحت الهدف")))</f>
        <v/>
      </c>
    </row>
    <row r="24" ht="26" customHeight="1">
      <c r="A24" s="26" t="n">
        <v>21</v>
      </c>
      <c r="B24" s="24" t="inlineStr">
        <is>
          <t>التشغيل والجودة</t>
        </is>
      </c>
      <c r="C24" s="24" t="inlineStr">
        <is>
          <t>نسبة أتمتة محطات الامتياز</t>
        </is>
      </c>
      <c r="D24" s="28" t="inlineStr">
        <is>
          <t>%</t>
        </is>
      </c>
      <c r="E24" s="28" t="inlineStr">
        <is>
          <t>↑</t>
        </is>
      </c>
      <c r="F24" s="28" t="inlineStr">
        <is>
          <t>LAST</t>
        </is>
      </c>
      <c r="G24" s="36" t="n">
        <v>0.9</v>
      </c>
      <c r="H24" s="33" t="inlineStr">
        <is>
          <t>90%</t>
        </is>
      </c>
      <c r="I24" s="37" t="n"/>
      <c r="J24" s="37" t="n"/>
      <c r="K24" s="37" t="n"/>
      <c r="L24" s="37" t="n"/>
      <c r="M24" s="37" t="n"/>
      <c r="N24" s="37" t="n"/>
      <c r="O24" s="37" t="n"/>
      <c r="P24" s="37" t="n"/>
      <c r="Q24" s="37" t="n"/>
      <c r="R24" s="37" t="n"/>
      <c r="S24" s="37" t="n"/>
      <c r="T24" s="37" t="n"/>
      <c r="U24" s="38">
        <f>IF($F24="SUM",IF(COUNT($I24:$T24)=0,"",SUM($I24:$T24)),IF($F24="AVG",IFERROR(AVERAGE($I24:$T24),""),IF($F24="LAST",IFERROR(LOOKUP(2,1/($I24:$T24&lt;&gt;""),$I24:$T24),""),"")))</f>
        <v/>
      </c>
      <c r="V24" s="25">
        <f>IF($G24="","",IF($U24="","",IF($G24=0,IF($U24&lt;=0,1,0),IF($E24="↓",IFERROR($G24/$U24,0),IFERROR($U24/$G24,0)))))</f>
        <v/>
      </c>
      <c r="W24" s="26">
        <f>IF($V24="","—",IF($V24&gt;=1,"✅ محقق",IF($V24&gt;=0.85,"🟡 قريب","🔴 تحت الهدف")))</f>
        <v/>
      </c>
    </row>
    <row r="25" ht="26" customHeight="1">
      <c r="A25" s="26" t="n">
        <v>22</v>
      </c>
      <c r="B25" s="24" t="inlineStr">
        <is>
          <t>التشغيل والجودة</t>
        </is>
      </c>
      <c r="C25" s="24" t="inlineStr">
        <is>
          <t>نسبة تطبيق المعيار الشامل داخل المحطات</t>
        </is>
      </c>
      <c r="D25" s="28" t="inlineStr">
        <is>
          <t>%</t>
        </is>
      </c>
      <c r="E25" s="28" t="inlineStr">
        <is>
          <t>↑</t>
        </is>
      </c>
      <c r="F25" s="28" t="inlineStr">
        <is>
          <t>LAST</t>
        </is>
      </c>
      <c r="G25" s="36" t="n">
        <v>0.3</v>
      </c>
      <c r="H25" s="33" t="inlineStr">
        <is>
          <t>30%</t>
        </is>
      </c>
      <c r="I25" s="37" t="n"/>
      <c r="J25" s="37" t="n"/>
      <c r="K25" s="37" t="n"/>
      <c r="L25" s="37" t="n"/>
      <c r="M25" s="37" t="n"/>
      <c r="N25" s="37" t="n"/>
      <c r="O25" s="37" t="n"/>
      <c r="P25" s="37" t="n"/>
      <c r="Q25" s="37" t="n"/>
      <c r="R25" s="37" t="n"/>
      <c r="S25" s="37" t="n"/>
      <c r="T25" s="37" t="n"/>
      <c r="U25" s="38">
        <f>IF($F25="SUM",IF(COUNT($I25:$T25)=0,"",SUM($I25:$T25)),IF($F25="AVG",IFERROR(AVERAGE($I25:$T25),""),IF($F25="LAST",IFERROR(LOOKUP(2,1/($I25:$T25&lt;&gt;""),$I25:$T25),""),"")))</f>
        <v/>
      </c>
      <c r="V25" s="25">
        <f>IF($G25="","",IF($U25="","",IF($G25=0,IF($U25&lt;=0,1,0),IF($E25="↓",IFERROR($G25/$U25,0),IFERROR($U25/$G25,0)))))</f>
        <v/>
      </c>
      <c r="W25" s="26">
        <f>IF($V25="","—",IF($V25&gt;=1,"✅ محقق",IF($V25&gt;=0.85,"🟡 قريب","🔴 تحت الهدف")))</f>
        <v/>
      </c>
    </row>
    <row r="26" ht="26" customHeight="1">
      <c r="A26" s="26" t="n">
        <v>23</v>
      </c>
      <c r="B26" s="24" t="inlineStr">
        <is>
          <t>الهوية والتسويق</t>
        </is>
      </c>
      <c r="C26" s="24" t="inlineStr">
        <is>
          <t>نسبة التزام المحطات بالهوية المؤسسية</t>
        </is>
      </c>
      <c r="D26" s="28" t="inlineStr">
        <is>
          <t>%</t>
        </is>
      </c>
      <c r="E26" s="28" t="inlineStr">
        <is>
          <t>↑</t>
        </is>
      </c>
      <c r="F26" s="28" t="inlineStr">
        <is>
          <t>LAST</t>
        </is>
      </c>
      <c r="G26" s="36" t="n">
        <v>0.55</v>
      </c>
      <c r="H26" s="33" t="inlineStr">
        <is>
          <t>55%</t>
        </is>
      </c>
      <c r="I26" s="37" t="n"/>
      <c r="J26" s="37" t="n"/>
      <c r="K26" s="37" t="n"/>
      <c r="L26" s="37" t="n"/>
      <c r="M26" s="37" t="n"/>
      <c r="N26" s="37" t="n"/>
      <c r="O26" s="37" t="n"/>
      <c r="P26" s="37" t="n"/>
      <c r="Q26" s="37" t="n"/>
      <c r="R26" s="37" t="n"/>
      <c r="S26" s="37" t="n"/>
      <c r="T26" s="37" t="n"/>
      <c r="U26" s="38">
        <f>IF($F26="SUM",IF(COUNT($I26:$T26)=0,"",SUM($I26:$T26)),IF($F26="AVG",IFERROR(AVERAGE($I26:$T26),""),IF($F26="LAST",IFERROR(LOOKUP(2,1/($I26:$T26&lt;&gt;""),$I26:$T26),""),"")))</f>
        <v/>
      </c>
      <c r="V26" s="25">
        <f>IF($G26="","",IF($U26="","",IF($G26=0,IF($U26&lt;=0,1,0),IF($E26="↓",IFERROR($G26/$U26,0),IFERROR($U26/$G26,0)))))</f>
        <v/>
      </c>
      <c r="W26" s="26">
        <f>IF($V26="","—",IF($V26&gt;=1,"✅ محقق",IF($V26&gt;=0.85,"🟡 قريب","🔴 تحت الهدف")))</f>
        <v/>
      </c>
    </row>
    <row r="27" ht="26" customHeight="1">
      <c r="A27" s="26" t="n">
        <v>24</v>
      </c>
      <c r="B27" s="24" t="inlineStr">
        <is>
          <t>التوسع الإقليمي</t>
        </is>
      </c>
      <c r="C27" s="24" t="inlineStr">
        <is>
          <t>نسبة العقود التي تغطي المناطق الـ13</t>
        </is>
      </c>
      <c r="D27" s="28" t="inlineStr">
        <is>
          <t>%</t>
        </is>
      </c>
      <c r="E27" s="28" t="inlineStr">
        <is>
          <t>↑</t>
        </is>
      </c>
      <c r="F27" s="28" t="inlineStr">
        <is>
          <t>LAST</t>
        </is>
      </c>
      <c r="G27" s="36" t="n">
        <v>1</v>
      </c>
      <c r="H27" s="33" t="inlineStr">
        <is>
          <t>100%</t>
        </is>
      </c>
      <c r="I27" s="37" t="n"/>
      <c r="J27" s="37" t="n"/>
      <c r="K27" s="37" t="n"/>
      <c r="L27" s="37" t="n"/>
      <c r="M27" s="37" t="n"/>
      <c r="N27" s="37" t="n"/>
      <c r="O27" s="37" t="n"/>
      <c r="P27" s="37" t="n"/>
      <c r="Q27" s="37" t="n"/>
      <c r="R27" s="37" t="n"/>
      <c r="S27" s="37" t="n"/>
      <c r="T27" s="37" t="n"/>
      <c r="U27" s="38">
        <f>IF($F27="SUM",IF(COUNT($I27:$T27)=0,"",SUM($I27:$T27)),IF($F27="AVG",IFERROR(AVERAGE($I27:$T27),""),IF($F27="LAST",IFERROR(LOOKUP(2,1/($I27:$T27&lt;&gt;""),$I27:$T27),""),"")))</f>
        <v/>
      </c>
      <c r="V27" s="25">
        <f>IF($G27="","",IF($U27="","",IF($G27=0,IF($U27&lt;=0,1,0),IF($E27="↓",IFERROR($G27/$U27,0),IFERROR($U27/$G27,0)))))</f>
        <v/>
      </c>
      <c r="W27" s="26">
        <f>IF($V27="","—",IF($V27&gt;=1,"✅ محقق",IF($V27&gt;=0.85,"🟡 قريب","🔴 تحت الهدف")))</f>
        <v/>
      </c>
    </row>
    <row r="28" ht="26" customHeight="1">
      <c r="A28" s="26" t="n">
        <v>25</v>
      </c>
      <c r="B28" s="24" t="inlineStr">
        <is>
          <t>التوسع الإقليمي</t>
        </is>
      </c>
      <c r="C28" s="24" t="inlineStr">
        <is>
          <t>نسبة العقود في الـ12 مدينة الرئيسية</t>
        </is>
      </c>
      <c r="D28" s="28" t="inlineStr">
        <is>
          <t>%</t>
        </is>
      </c>
      <c r="E28" s="28" t="inlineStr">
        <is>
          <t>↓</t>
        </is>
      </c>
      <c r="F28" s="28" t="inlineStr">
        <is>
          <t>LAST</t>
        </is>
      </c>
      <c r="G28" s="36" t="n">
        <v>0.4</v>
      </c>
      <c r="H28" s="33" t="inlineStr">
        <is>
          <t>&lt; 40%</t>
        </is>
      </c>
      <c r="I28" s="37" t="n"/>
      <c r="J28" s="37" t="n"/>
      <c r="K28" s="37" t="n"/>
      <c r="L28" s="37" t="n"/>
      <c r="M28" s="37" t="n"/>
      <c r="N28" s="37" t="n"/>
      <c r="O28" s="37" t="n"/>
      <c r="P28" s="37" t="n"/>
      <c r="Q28" s="37" t="n"/>
      <c r="R28" s="37" t="n"/>
      <c r="S28" s="37" t="n"/>
      <c r="T28" s="37" t="n"/>
      <c r="U28" s="38">
        <f>IF($F28="SUM",IF(COUNT($I28:$T28)=0,"",SUM($I28:$T28)),IF($F28="AVG",IFERROR(AVERAGE($I28:$T28),""),IF($F28="LAST",IFERROR(LOOKUP(2,1/($I28:$T28&lt;&gt;""),$I28:$T28),""),"")))</f>
        <v/>
      </c>
      <c r="V28" s="25">
        <f>IF($G28="","",IF($U28="","",IF($G28=0,IF($U28&lt;=0,1,0),IF($E28="↓",IFERROR($G28/$U28,0),IFERROR($U28/$G28,0)))))</f>
        <v/>
      </c>
      <c r="W28" s="26">
        <f>IF($V28="","—",IF($V28&gt;=1,"✅ محقق",IF($V28&gt;=0.85,"🟡 قريب","🔴 تحت الهدف")))</f>
        <v/>
      </c>
    </row>
    <row r="29" ht="26" customHeight="1">
      <c r="A29" s="26" t="n">
        <v>26</v>
      </c>
      <c r="B29" s="24" t="inlineStr">
        <is>
          <t>التوسع الإقليمي</t>
        </is>
      </c>
      <c r="C29" s="24" t="inlineStr">
        <is>
          <t>نسبة العقود خارج المدن الرئيسية</t>
        </is>
      </c>
      <c r="D29" s="28" t="inlineStr">
        <is>
          <t>%</t>
        </is>
      </c>
      <c r="E29" s="28" t="inlineStr">
        <is>
          <t>↑</t>
        </is>
      </c>
      <c r="F29" s="28" t="inlineStr">
        <is>
          <t>LAST</t>
        </is>
      </c>
      <c r="G29" s="36" t="n">
        <v>0.6</v>
      </c>
      <c r="H29" s="33" t="inlineStr">
        <is>
          <t>&gt; 60%</t>
        </is>
      </c>
      <c r="I29" s="37" t="n"/>
      <c r="J29" s="37" t="n"/>
      <c r="K29" s="37" t="n"/>
      <c r="L29" s="37" t="n"/>
      <c r="M29" s="37" t="n"/>
      <c r="N29" s="37" t="n"/>
      <c r="O29" s="37" t="n"/>
      <c r="P29" s="37" t="n"/>
      <c r="Q29" s="37" t="n"/>
      <c r="R29" s="37" t="n"/>
      <c r="S29" s="37" t="n"/>
      <c r="T29" s="37" t="n"/>
      <c r="U29" s="38">
        <f>IF($F29="SUM",IF(COUNT($I29:$T29)=0,"",SUM($I29:$T29)),IF($F29="AVG",IFERROR(AVERAGE($I29:$T29),""),IF($F29="LAST",IFERROR(LOOKUP(2,1/($I29:$T29&lt;&gt;""),$I29:$T29),""),"")))</f>
        <v/>
      </c>
      <c r="V29" s="25">
        <f>IF($G29="","",IF($U29="","",IF($G29=0,IF($U29&lt;=0,1,0),IF($E29="↓",IFERROR($G29/$U29,0),IFERROR($U29/$G29,0)))))</f>
        <v/>
      </c>
      <c r="W29" s="26">
        <f>IF($V29="","—",IF($V29&gt;=1,"✅ محقق",IF($V29&gt;=0.85,"🟡 قريب","🔴 تحت الهدف")))</f>
        <v/>
      </c>
    </row>
    <row r="30" ht="26" customHeight="1">
      <c r="A30" s="26" t="n">
        <v>27</v>
      </c>
      <c r="B30" s="24" t="inlineStr">
        <is>
          <t>التوسع الإقليمي</t>
        </is>
      </c>
      <c r="C30" s="24" t="inlineStr">
        <is>
          <t>نسبة العقود على الطرق الإقليمية</t>
        </is>
      </c>
      <c r="D30" s="28" t="inlineStr">
        <is>
          <t>%</t>
        </is>
      </c>
      <c r="E30" s="28" t="inlineStr">
        <is>
          <t>↑</t>
        </is>
      </c>
      <c r="F30" s="28" t="inlineStr">
        <is>
          <t>LAST</t>
        </is>
      </c>
      <c r="G30" s="36" t="n">
        <v>0.25</v>
      </c>
      <c r="H30" s="33" t="inlineStr">
        <is>
          <t>&gt; 25%</t>
        </is>
      </c>
      <c r="I30" s="37" t="n"/>
      <c r="J30" s="37" t="n"/>
      <c r="K30" s="37" t="n"/>
      <c r="L30" s="37" t="n"/>
      <c r="M30" s="37" t="n"/>
      <c r="N30" s="37" t="n"/>
      <c r="O30" s="37" t="n"/>
      <c r="P30" s="37" t="n"/>
      <c r="Q30" s="37" t="n"/>
      <c r="R30" s="37" t="n"/>
      <c r="S30" s="37" t="n"/>
      <c r="T30" s="37" t="n"/>
      <c r="U30" s="38">
        <f>IF($F30="SUM",IF(COUNT($I30:$T30)=0,"",SUM($I30:$T30)),IF($F30="AVG",IFERROR(AVERAGE($I30:$T30),""),IF($F30="LAST",IFERROR(LOOKUP(2,1/($I30:$T30&lt;&gt;""),$I30:$T30),""),"")))</f>
        <v/>
      </c>
      <c r="V30" s="25">
        <f>IF($G30="","",IF($U30="","",IF($G30=0,IF($U30&lt;=0,1,0),IF($E30="↓",IFERROR($G30/$U30,0),IFERROR($U30/$G30,0)))))</f>
        <v/>
      </c>
      <c r="W30" s="26">
        <f>IF($V30="","—",IF($V30&gt;=1,"✅ محقق",IF($V30&gt;=0.85,"🟡 قريب","🔴 تحت الهدف")))</f>
        <v/>
      </c>
    </row>
    <row r="31" ht="26" customHeight="1">
      <c r="A31" s="26" t="n">
        <v>28</v>
      </c>
      <c r="B31" s="24" t="inlineStr">
        <is>
          <t>تجربة العملاء والشركاء</t>
        </is>
      </c>
      <c r="C31" s="24" t="inlineStr">
        <is>
          <t>متوسط تقييم المحطات على خرائط قوقل</t>
        </is>
      </c>
      <c r="D31" s="28" t="inlineStr">
        <is>
          <t>نجمة/5</t>
        </is>
      </c>
      <c r="E31" s="28" t="inlineStr">
        <is>
          <t>↑</t>
        </is>
      </c>
      <c r="F31" s="28" t="inlineStr">
        <is>
          <t>AVG</t>
        </is>
      </c>
      <c r="G31" s="41" t="n">
        <v>4.7</v>
      </c>
      <c r="H31" s="33" t="inlineStr">
        <is>
          <t>≥ 4.7 نجمة</t>
        </is>
      </c>
      <c r="I31" s="42" t="n"/>
      <c r="J31" s="42" t="n"/>
      <c r="K31" s="42" t="n"/>
      <c r="L31" s="42" t="n"/>
      <c r="M31" s="42" t="n"/>
      <c r="N31" s="42" t="n"/>
      <c r="O31" s="42" t="n"/>
      <c r="P31" s="42" t="n"/>
      <c r="Q31" s="42" t="n"/>
      <c r="R31" s="42" t="n"/>
      <c r="S31" s="42" t="n"/>
      <c r="T31" s="42" t="n"/>
      <c r="U31" s="43">
        <f>IF($F31="SUM",IF(COUNT($I31:$T31)=0,"",SUM($I31:$T31)),IF($F31="AVG",IFERROR(AVERAGE($I31:$T31),""),IF($F31="LAST",IFERROR(LOOKUP(2,1/($I31:$T31&lt;&gt;""),$I31:$T31),""),"")))</f>
        <v/>
      </c>
      <c r="V31" s="25">
        <f>IF($G31="","",IF($U31="","",IF($G31=0,IF($U31&lt;=0,1,0),IF($E31="↓",IFERROR($G31/$U31,0),IFERROR($U31/$G31,0)))))</f>
        <v/>
      </c>
      <c r="W31" s="26">
        <f>IF($V31="","—",IF($V31&gt;=1,"✅ محقق",IF($V31&gt;=0.85,"🟡 قريب","🔴 تحت الهدف")))</f>
        <v/>
      </c>
    </row>
    <row r="32" ht="26" customHeight="1">
      <c r="A32" s="26" t="n">
        <v>29</v>
      </c>
      <c r="B32" s="24" t="inlineStr">
        <is>
          <t>تجربة العملاء والشركاء</t>
        </is>
      </c>
      <c r="C32" s="24" t="inlineStr">
        <is>
          <t>معدل رضا شركاء الامتياز (CSAT)</t>
        </is>
      </c>
      <c r="D32" s="28" t="inlineStr">
        <is>
          <t>%</t>
        </is>
      </c>
      <c r="E32" s="28" t="inlineStr">
        <is>
          <t>↑</t>
        </is>
      </c>
      <c r="F32" s="28" t="inlineStr">
        <is>
          <t>AVG</t>
        </is>
      </c>
      <c r="G32" s="36" t="n">
        <v>0.9</v>
      </c>
      <c r="H32" s="33" t="inlineStr">
        <is>
          <t>90%+</t>
        </is>
      </c>
      <c r="I32" s="37" t="n"/>
      <c r="J32" s="37" t="n"/>
      <c r="K32" s="37" t="n"/>
      <c r="L32" s="37" t="n"/>
      <c r="M32" s="37" t="n"/>
      <c r="N32" s="37" t="n"/>
      <c r="O32" s="37" t="n"/>
      <c r="P32" s="37" t="n"/>
      <c r="Q32" s="37" t="n"/>
      <c r="R32" s="37" t="n"/>
      <c r="S32" s="37" t="n"/>
      <c r="T32" s="37" t="n"/>
      <c r="U32" s="38">
        <f>IF($F32="SUM",IF(COUNT($I32:$T32)=0,"",SUM($I32:$T32)),IF($F32="AVG",IFERROR(AVERAGE($I32:$T32),""),IF($F32="LAST",IFERROR(LOOKUP(2,1/($I32:$T32&lt;&gt;""),$I32:$T32),""),"")))</f>
        <v/>
      </c>
      <c r="V32" s="25">
        <f>IF($G32="","",IF($U32="","",IF($G32=0,IF($U32&lt;=0,1,0),IF($E32="↓",IFERROR($G32/$U32,0),IFERROR($U32/$G32,0)))))</f>
        <v/>
      </c>
      <c r="W32" s="26">
        <f>IF($V32="","—",IF($V32&gt;=1,"✅ محقق",IF($V32&gt;=0.85,"🟡 قريب","🔴 تحت الهدف")))</f>
        <v/>
      </c>
    </row>
    <row r="33" ht="26" customHeight="1">
      <c r="A33" s="26" t="n">
        <v>30</v>
      </c>
      <c r="B33" s="24" t="inlineStr">
        <is>
          <t>تجربة العملاء والشركاء</t>
        </is>
      </c>
      <c r="C33" s="24" t="inlineStr">
        <is>
          <t>نسبة حل الشكاوى خلال المدة المحددة</t>
        </is>
      </c>
      <c r="D33" s="28" t="inlineStr">
        <is>
          <t>%</t>
        </is>
      </c>
      <c r="E33" s="28" t="inlineStr">
        <is>
          <t>↑</t>
        </is>
      </c>
      <c r="F33" s="28" t="inlineStr">
        <is>
          <t>AVG</t>
        </is>
      </c>
      <c r="G33" s="36" t="n">
        <v>0.95</v>
      </c>
      <c r="H33" s="33" t="inlineStr">
        <is>
          <t>95%+</t>
        </is>
      </c>
      <c r="I33" s="37" t="n"/>
      <c r="J33" s="37" t="n"/>
      <c r="K33" s="37" t="n"/>
      <c r="L33" s="37" t="n"/>
      <c r="M33" s="37" t="n"/>
      <c r="N33" s="37" t="n"/>
      <c r="O33" s="37" t="n"/>
      <c r="P33" s="37" t="n"/>
      <c r="Q33" s="37" t="n"/>
      <c r="R33" s="37" t="n"/>
      <c r="S33" s="37" t="n"/>
      <c r="T33" s="37" t="n"/>
      <c r="U33" s="38">
        <f>IF($F33="SUM",IF(COUNT($I33:$T33)=0,"",SUM($I33:$T33)),IF($F33="AVG",IFERROR(AVERAGE($I33:$T33),""),IF($F33="LAST",IFERROR(LOOKUP(2,1/($I33:$T33&lt;&gt;""),$I33:$T33),""),"")))</f>
        <v/>
      </c>
      <c r="V33" s="25">
        <f>IF($G33="","",IF($U33="","",IF($G33=0,IF($U33&lt;=0,1,0),IF($E33="↓",IFERROR($G33/$U33,0),IFERROR($U33/$G33,0)))))</f>
        <v/>
      </c>
      <c r="W33" s="26">
        <f>IF($V33="","—",IF($V33&gt;=1,"✅ محقق",IF($V33&gt;=0.85,"🟡 قريب","🔴 تحت الهدف")))</f>
        <v/>
      </c>
    </row>
    <row r="34" ht="26" customHeight="1">
      <c r="A34" s="26" t="n">
        <v>31</v>
      </c>
      <c r="B34" s="24" t="inlineStr">
        <is>
          <t>تجربة العملاء والشركاء</t>
        </is>
      </c>
      <c r="C34" s="24" t="inlineStr">
        <is>
          <t>نسبة انخفاض الشكاوى التشغيلية والإدارية</t>
        </is>
      </c>
      <c r="D34" s="28" t="inlineStr">
        <is>
          <t>%</t>
        </is>
      </c>
      <c r="E34" s="28" t="inlineStr">
        <is>
          <t>↑</t>
        </is>
      </c>
      <c r="F34" s="28" t="inlineStr">
        <is>
          <t>AVG</t>
        </is>
      </c>
      <c r="G34" s="28" t="inlineStr"/>
      <c r="H34" s="33" t="inlineStr">
        <is>
          <t>-30%</t>
        </is>
      </c>
      <c r="I34" s="37" t="n"/>
      <c r="J34" s="37" t="n"/>
      <c r="K34" s="37" t="n"/>
      <c r="L34" s="37" t="n"/>
      <c r="M34" s="37" t="n"/>
      <c r="N34" s="37" t="n"/>
      <c r="O34" s="37" t="n"/>
      <c r="P34" s="37" t="n"/>
      <c r="Q34" s="37" t="n"/>
      <c r="R34" s="37" t="n"/>
      <c r="S34" s="37" t="n"/>
      <c r="T34" s="37" t="n"/>
      <c r="U34" s="38">
        <f>IF($F34="SUM",IF(COUNT($I34:$T34)=0,"",SUM($I34:$T34)),IF($F34="AVG",IFERROR(AVERAGE($I34:$T34),""),IF($F34="LAST",IFERROR(LOOKUP(2,1/($I34:$T34&lt;&gt;""),$I34:$T34),""),"")))</f>
        <v/>
      </c>
      <c r="V34" s="25">
        <f>IF($G34="","",IF($U34="","",IF($G34=0,IF($U34&lt;=0,1,0),IF($E34="↓",IFERROR($G34/$U34,0),IFERROR($U34/$G34,0)))))</f>
        <v/>
      </c>
      <c r="W34" s="26">
        <f>IF($V34="","—",IF($V34&gt;=1,"✅ محقق",IF($V34&gt;=0.85,"🟡 قريب","🔴 تحت الهدف")))</f>
        <v/>
      </c>
    </row>
    <row r="35" ht="26" customHeight="1">
      <c r="A35" s="26" t="n">
        <v>32</v>
      </c>
      <c r="B35" s="24" t="inlineStr">
        <is>
          <t>استدامة الشراكة والامتثال</t>
        </is>
      </c>
      <c r="C35" s="24" t="inlineStr">
        <is>
          <t>نسبة استدامة أصحاب الامتياز (Retention)</t>
        </is>
      </c>
      <c r="D35" s="28" t="inlineStr">
        <is>
          <t>%</t>
        </is>
      </c>
      <c r="E35" s="28" t="inlineStr">
        <is>
          <t>↑</t>
        </is>
      </c>
      <c r="F35" s="28" t="inlineStr">
        <is>
          <t>LAST</t>
        </is>
      </c>
      <c r="G35" s="36" t="n">
        <v>0.9</v>
      </c>
      <c r="H35" s="33" t="inlineStr">
        <is>
          <t>90%</t>
        </is>
      </c>
      <c r="I35" s="37" t="n"/>
      <c r="J35" s="37" t="n"/>
      <c r="K35" s="37" t="n"/>
      <c r="L35" s="37" t="n"/>
      <c r="M35" s="37" t="n"/>
      <c r="N35" s="37" t="n"/>
      <c r="O35" s="37" t="n"/>
      <c r="P35" s="37" t="n"/>
      <c r="Q35" s="37" t="n"/>
      <c r="R35" s="37" t="n"/>
      <c r="S35" s="37" t="n"/>
      <c r="T35" s="37" t="n"/>
      <c r="U35" s="38">
        <f>IF($F35="SUM",IF(COUNT($I35:$T35)=0,"",SUM($I35:$T35)),IF($F35="AVG",IFERROR(AVERAGE($I35:$T35),""),IF($F35="LAST",IFERROR(LOOKUP(2,1/($I35:$T35&lt;&gt;""),$I35:$T35),""),"")))</f>
        <v/>
      </c>
      <c r="V35" s="25">
        <f>IF($G35="","",IF($U35="","",IF($G35=0,IF($U35&lt;=0,1,0),IF($E35="↓",IFERROR($G35/$U35,0),IFERROR($U35/$G35,0)))))</f>
        <v/>
      </c>
      <c r="W35" s="26">
        <f>IF($V35="","—",IF($V35&gt;=1,"✅ محقق",IF($V35&gt;=0.85,"🟡 قريب","🔴 تحت الهدف")))</f>
        <v/>
      </c>
    </row>
    <row r="36" ht="26" customHeight="1">
      <c r="A36" s="26" t="n">
        <v>33</v>
      </c>
      <c r="B36" s="24" t="inlineStr">
        <is>
          <t>استدامة الشراكة والامتثال</t>
        </is>
      </c>
      <c r="C36" s="24" t="inlineStr">
        <is>
          <t>نسبة زيادة عدد أصحاب الامتياز</t>
        </is>
      </c>
      <c r="D36" s="28" t="inlineStr">
        <is>
          <t>%</t>
        </is>
      </c>
      <c r="E36" s="28" t="inlineStr">
        <is>
          <t>↑</t>
        </is>
      </c>
      <c r="F36" s="28" t="inlineStr">
        <is>
          <t>LAST</t>
        </is>
      </c>
      <c r="G36" s="36" t="n">
        <v>1</v>
      </c>
      <c r="H36" s="33" t="inlineStr">
        <is>
          <t>100% نمو</t>
        </is>
      </c>
      <c r="I36" s="37" t="n"/>
      <c r="J36" s="37" t="n"/>
      <c r="K36" s="37" t="n"/>
      <c r="L36" s="37" t="n"/>
      <c r="M36" s="37" t="n"/>
      <c r="N36" s="37" t="n"/>
      <c r="O36" s="37" t="n"/>
      <c r="P36" s="37" t="n"/>
      <c r="Q36" s="37" t="n"/>
      <c r="R36" s="37" t="n"/>
      <c r="S36" s="37" t="n"/>
      <c r="T36" s="37" t="n"/>
      <c r="U36" s="38">
        <f>IF($F36="SUM",IF(COUNT($I36:$T36)=0,"",SUM($I36:$T36)),IF($F36="AVG",IFERROR(AVERAGE($I36:$T36),""),IF($F36="LAST",IFERROR(LOOKUP(2,1/($I36:$T36&lt;&gt;""),$I36:$T36),""),"")))</f>
        <v/>
      </c>
      <c r="V36" s="25">
        <f>IF($G36="","",IF($U36="","",IF($G36=0,IF($U36&lt;=0,1,0),IF($E36="↓",IFERROR($G36/$U36,0),IFERROR($U36/$G36,0)))))</f>
        <v/>
      </c>
      <c r="W36" s="26">
        <f>IF($V36="","—",IF($V36&gt;=1,"✅ محقق",IF($V36&gt;=0.85,"🟡 قريب","🔴 تحت الهدف")))</f>
        <v/>
      </c>
    </row>
    <row r="37" ht="26" customHeight="1">
      <c r="A37" s="26" t="n">
        <v>34</v>
      </c>
      <c r="B37" s="24" t="inlineStr">
        <is>
          <t>استدامة الشراكة والامتثال</t>
        </is>
      </c>
      <c r="C37" s="24" t="inlineStr">
        <is>
          <t>نسبة اكتمال المستندات النظامية قبل التوقيع</t>
        </is>
      </c>
      <c r="D37" s="28" t="inlineStr">
        <is>
          <t>%</t>
        </is>
      </c>
      <c r="E37" s="28" t="inlineStr">
        <is>
          <t>↑</t>
        </is>
      </c>
      <c r="F37" s="28" t="inlineStr">
        <is>
          <t>AVG</t>
        </is>
      </c>
      <c r="G37" s="36" t="n">
        <v>1</v>
      </c>
      <c r="H37" s="33" t="inlineStr">
        <is>
          <t>100%</t>
        </is>
      </c>
      <c r="I37" s="37" t="n"/>
      <c r="J37" s="37" t="n"/>
      <c r="K37" s="37" t="n"/>
      <c r="L37" s="37" t="n"/>
      <c r="M37" s="37" t="n"/>
      <c r="N37" s="37" t="n"/>
      <c r="O37" s="37" t="n"/>
      <c r="P37" s="37" t="n"/>
      <c r="Q37" s="37" t="n"/>
      <c r="R37" s="37" t="n"/>
      <c r="S37" s="37" t="n"/>
      <c r="T37" s="37" t="n"/>
      <c r="U37" s="38">
        <f>IF($F37="SUM",IF(COUNT($I37:$T37)=0,"",SUM($I37:$T37)),IF($F37="AVG",IFERROR(AVERAGE($I37:$T37),""),IF($F37="LAST",IFERROR(LOOKUP(2,1/($I37:$T37&lt;&gt;""),$I37:$T37),""),"")))</f>
        <v/>
      </c>
      <c r="V37" s="25">
        <f>IF($G37="","",IF($U37="","",IF($G37=0,IF($U37&lt;=0,1,0),IF($E37="↓",IFERROR($G37/$U37,0),IFERROR($U37/$G37,0)))))</f>
        <v/>
      </c>
      <c r="W37" s="26">
        <f>IF($V37="","—",IF($V37&gt;=1,"✅ محقق",IF($V37&gt;=0.85,"🟡 قريب","🔴 تحت الهدف")))</f>
        <v/>
      </c>
    </row>
    <row r="38" ht="26" customHeight="1">
      <c r="A38" s="26" t="n">
        <v>35</v>
      </c>
      <c r="B38" s="24" t="inlineStr">
        <is>
          <t>استدامة الشراكة والامتثال</t>
        </is>
      </c>
      <c r="C38" s="24" t="inlineStr">
        <is>
          <t>متوسط مدة إغلاق عقد الامتياز</t>
        </is>
      </c>
      <c r="D38" s="28" t="inlineStr">
        <is>
          <t>أسبوع</t>
        </is>
      </c>
      <c r="E38" s="28" t="inlineStr">
        <is>
          <t>↓</t>
        </is>
      </c>
      <c r="F38" s="28" t="inlineStr">
        <is>
          <t>AVG</t>
        </is>
      </c>
      <c r="G38" s="41" t="n">
        <v>1</v>
      </c>
      <c r="H38" s="33" t="inlineStr">
        <is>
          <t>≤ أسبوع</t>
        </is>
      </c>
      <c r="I38" s="42" t="n"/>
      <c r="J38" s="42" t="n"/>
      <c r="K38" s="42" t="n"/>
      <c r="L38" s="42" t="n"/>
      <c r="M38" s="42" t="n"/>
      <c r="N38" s="42" t="n"/>
      <c r="O38" s="42" t="n"/>
      <c r="P38" s="42" t="n"/>
      <c r="Q38" s="42" t="n"/>
      <c r="R38" s="42" t="n"/>
      <c r="S38" s="42" t="n"/>
      <c r="T38" s="42" t="n"/>
      <c r="U38" s="43">
        <f>IF($F38="SUM",IF(COUNT($I38:$T38)=0,"",SUM($I38:$T38)),IF($F38="AVG",IFERROR(AVERAGE($I38:$T38),""),IF($F38="LAST",IFERROR(LOOKUP(2,1/($I38:$T38&lt;&gt;""),$I38:$T38),""),"")))</f>
        <v/>
      </c>
      <c r="V38" s="25">
        <f>IF($G38="","",IF($U38="","",IF($G38=0,IF($U38&lt;=0,1,0),IF($E38="↓",IFERROR($G38/$U38,0),IFERROR($U38/$G38,0)))))</f>
        <v/>
      </c>
      <c r="W38" s="26">
        <f>IF($V38="","—",IF($V38&gt;=1,"✅ محقق",IF($V38&gt;=0.85,"🟡 قريب","🔴 تحت الهدف")))</f>
        <v/>
      </c>
    </row>
    <row r="39" ht="26" customHeight="1">
      <c r="A39" s="26" t="n">
        <v>36</v>
      </c>
      <c r="B39" s="24" t="inlineStr">
        <is>
          <t>استدامة الشراكة والامتثال</t>
        </is>
      </c>
      <c r="C39" s="24" t="inlineStr">
        <is>
          <t>نسبة إنجاز التقارير الدورية في موعدها</t>
        </is>
      </c>
      <c r="D39" s="28" t="inlineStr">
        <is>
          <t>%</t>
        </is>
      </c>
      <c r="E39" s="28" t="inlineStr">
        <is>
          <t>↑</t>
        </is>
      </c>
      <c r="F39" s="28" t="inlineStr">
        <is>
          <t>AVG</t>
        </is>
      </c>
      <c r="G39" s="36" t="n">
        <v>1</v>
      </c>
      <c r="H39" s="33" t="inlineStr">
        <is>
          <t>100%</t>
        </is>
      </c>
      <c r="I39" s="37" t="n"/>
      <c r="J39" s="37" t="n"/>
      <c r="K39" s="37" t="n"/>
      <c r="L39" s="37" t="n"/>
      <c r="M39" s="37" t="n"/>
      <c r="N39" s="37" t="n"/>
      <c r="O39" s="37" t="n"/>
      <c r="P39" s="37" t="n"/>
      <c r="Q39" s="37" t="n"/>
      <c r="R39" s="37" t="n"/>
      <c r="S39" s="37" t="n"/>
      <c r="T39" s="37" t="n"/>
      <c r="U39" s="38">
        <f>IF($F39="SUM",IF(COUNT($I39:$T39)=0,"",SUM($I39:$T39)),IF($F39="AVG",IFERROR(AVERAGE($I39:$T39),""),IF($F39="LAST",IFERROR(LOOKUP(2,1/($I39:$T39&lt;&gt;""),$I39:$T39),""),"")))</f>
        <v/>
      </c>
      <c r="V39" s="25">
        <f>IF($G39="","",IF($U39="","",IF($G39=0,IF($U39&lt;=0,1,0),IF($E39="↓",IFERROR($G39/$U39,0),IFERROR($U39/$G39,0)))))</f>
        <v/>
      </c>
      <c r="W39" s="26">
        <f>IF($V39="","—",IF($V39&gt;=1,"✅ محقق",IF($V39&gt;=0.85,"🟡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W2"/>
    <mergeCell ref="A1:W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70"/>
  <sheetViews>
    <sheetView showGridLines="0" rightToLeft="1" workbookViewId="0">
      <selection activeCell="A1" sqref="A1"/>
    </sheetView>
  </sheetViews>
  <sheetFormatPr baseColWidth="8" defaultRowHeight="15"/>
  <cols>
    <col width="3" customWidth="1" min="1" max="1"/>
    <col width="22" customWidth="1" min="2" max="2"/>
    <col width="34" customWidth="1" min="3" max="3"/>
    <col width="46" customWidth="1" min="4" max="4"/>
    <col width="12" customWidth="1" min="5" max="5"/>
  </cols>
  <sheetData>
    <row r="2" ht="28" customHeight="1">
      <c r="B2" s="29" t="inlineStr">
        <is>
          <t>إدارة الامتياز · مؤشرات كل موظف (مرجع الربط)</t>
        </is>
      </c>
    </row>
    <row r="4">
      <c r="B4" s="7" t="inlineStr">
        <is>
          <t>علاء عزت  —  أخصائي امتياز — عقود واستقطاب  ·  5 مؤشر</t>
        </is>
      </c>
    </row>
    <row r="5">
      <c r="B5" s="44" t="inlineStr">
        <is>
          <t>●/○</t>
        </is>
      </c>
      <c r="C5" s="44" t="inlineStr">
        <is>
          <t>المؤشر</t>
        </is>
      </c>
      <c r="D5" s="44" t="inlineStr">
        <is>
          <t>الأولوية</t>
        </is>
      </c>
      <c r="E5" s="45" t="inlineStr"/>
    </row>
    <row r="6">
      <c r="B6" s="46" t="inlineStr">
        <is>
          <t>●</t>
        </is>
      </c>
      <c r="C6" s="24" t="inlineStr">
        <is>
          <t>عدد عقود الامتياز الجديدة الموقّعة</t>
        </is>
      </c>
      <c r="D6" s="47" t="inlineStr">
        <is>
          <t>🔴 رئيسي</t>
        </is>
      </c>
      <c r="E6" s="10" t="inlineStr"/>
    </row>
    <row r="7">
      <c r="B7" s="46" t="inlineStr">
        <is>
          <t>●</t>
        </is>
      </c>
      <c r="C7" s="24" t="inlineStr">
        <is>
          <t>عدد محطات الامتياز المشغّلة (تراكمي)</t>
        </is>
      </c>
      <c r="D7" s="47" t="inlineStr">
        <is>
          <t>🔴 رئيسي</t>
        </is>
      </c>
      <c r="E7" s="10" t="inlineStr"/>
    </row>
    <row r="8">
      <c r="B8" s="46" t="inlineStr">
        <is>
          <t>●</t>
        </is>
      </c>
      <c r="C8" s="24" t="inlineStr">
        <is>
          <t>نسبة تحويل الفرص إلى عقود موقّعة</t>
        </is>
      </c>
      <c r="D8" s="47" t="inlineStr">
        <is>
          <t>🔴 رئيسي</t>
        </is>
      </c>
      <c r="E8" s="10" t="inlineStr"/>
    </row>
    <row r="9">
      <c r="B9" s="46" t="inlineStr">
        <is>
          <t>●</t>
        </is>
      </c>
      <c r="C9" s="24" t="inlineStr">
        <is>
          <t>إجمالي مبيعات وقود محطات الامتياز</t>
        </is>
      </c>
      <c r="D9" s="47" t="inlineStr">
        <is>
          <t>🔴 رئيسي</t>
        </is>
      </c>
      <c r="E9" s="10" t="inlineStr"/>
    </row>
    <row r="10">
      <c r="B10" s="46" t="inlineStr">
        <is>
          <t>●</t>
        </is>
      </c>
      <c r="C10" s="24" t="inlineStr">
        <is>
          <t>نسبة استدامة أصحاب الامتياز</t>
        </is>
      </c>
      <c r="D10" s="47" t="inlineStr">
        <is>
          <t>🔴 رئيسي</t>
        </is>
      </c>
      <c r="E10" s="10" t="inlineStr"/>
    </row>
    <row r="12">
      <c r="B12" s="7" t="inlineStr">
        <is>
          <t>أنس أبو طوق  —  مراقب ميداني — هوية وبنية تحتية  ·  5 مؤشر</t>
        </is>
      </c>
    </row>
    <row r="13">
      <c r="B13" s="44" t="inlineStr">
        <is>
          <t>●/○</t>
        </is>
      </c>
      <c r="C13" s="44" t="inlineStr">
        <is>
          <t>المؤشر</t>
        </is>
      </c>
      <c r="D13" s="44" t="inlineStr">
        <is>
          <t>الأولوية</t>
        </is>
      </c>
      <c r="E13" s="45" t="inlineStr"/>
    </row>
    <row r="14">
      <c r="B14" s="46" t="inlineStr">
        <is>
          <t>●</t>
        </is>
      </c>
      <c r="C14" s="24" t="inlineStr">
        <is>
          <t>نسبة جاهزية محطات الامتياز</t>
        </is>
      </c>
      <c r="D14" s="47" t="inlineStr">
        <is>
          <t>🔴 رئيسي</t>
        </is>
      </c>
      <c r="E14" s="10" t="inlineStr"/>
    </row>
    <row r="15">
      <c r="B15" s="46" t="inlineStr">
        <is>
          <t>●</t>
        </is>
      </c>
      <c r="C15" s="24" t="inlineStr">
        <is>
          <t>نسبة إغلاق ملاحظات الجودة الميدانية</t>
        </is>
      </c>
      <c r="D15" s="47" t="inlineStr">
        <is>
          <t>🔴 رئيسي</t>
        </is>
      </c>
      <c r="E15" s="10" t="inlineStr"/>
    </row>
    <row r="16">
      <c r="B16" s="46" t="inlineStr">
        <is>
          <t>●</t>
        </is>
      </c>
      <c r="C16" s="24" t="inlineStr">
        <is>
          <t>متوسط درجة تقييم جودة المحطة</t>
        </is>
      </c>
      <c r="D16" s="47" t="inlineStr">
        <is>
          <t>🔴 رئيسي</t>
        </is>
      </c>
      <c r="E16" s="10" t="inlineStr"/>
    </row>
    <row r="17">
      <c r="B17" s="46" t="inlineStr">
        <is>
          <t>●</t>
        </is>
      </c>
      <c r="C17" s="24" t="inlineStr">
        <is>
          <t>نسبة المحطات المستوفية لمعايير السلامة</t>
        </is>
      </c>
      <c r="D17" s="47" t="inlineStr">
        <is>
          <t>🔴 رئيسي</t>
        </is>
      </c>
      <c r="E17" s="10" t="inlineStr"/>
    </row>
    <row r="18">
      <c r="B18" s="46" t="inlineStr">
        <is>
          <t>●</t>
        </is>
      </c>
      <c r="C18" s="24" t="inlineStr">
        <is>
          <t>نسبة التزام المحطات بالهوية المؤسسية</t>
        </is>
      </c>
      <c r="D18" s="47" t="inlineStr">
        <is>
          <t>🔴 رئيسي</t>
        </is>
      </c>
      <c r="E18" s="10" t="inlineStr"/>
    </row>
    <row r="20">
      <c r="B20" s="7" t="inlineStr">
        <is>
          <t>حمدي عبد الجليل  —  أخصائي امتياز — زيارات واستقطاب  ·  4 مؤشر</t>
        </is>
      </c>
    </row>
    <row r="21">
      <c r="B21" s="44" t="inlineStr">
        <is>
          <t>●/○</t>
        </is>
      </c>
      <c r="C21" s="44" t="inlineStr">
        <is>
          <t>المؤشر</t>
        </is>
      </c>
      <c r="D21" s="44" t="inlineStr">
        <is>
          <t>الأولوية</t>
        </is>
      </c>
      <c r="E21" s="45" t="inlineStr"/>
    </row>
    <row r="22">
      <c r="B22" s="46" t="inlineStr">
        <is>
          <t>●</t>
        </is>
      </c>
      <c r="C22" s="24" t="inlineStr">
        <is>
          <t>نسبة تنفيذ الزيارات الميدانية المجدولة</t>
        </is>
      </c>
      <c r="D22" s="47" t="inlineStr">
        <is>
          <t>🔴 رئيسي</t>
        </is>
      </c>
      <c r="E22" s="10" t="inlineStr"/>
    </row>
    <row r="23">
      <c r="B23" s="46" t="inlineStr">
        <is>
          <t>○</t>
        </is>
      </c>
      <c r="C23" s="24" t="inlineStr">
        <is>
          <t>عدد عقود الامتياز الجديدة الموقّعة</t>
        </is>
      </c>
      <c r="D23" s="47" t="inlineStr">
        <is>
          <t>🔴 رئيسي</t>
        </is>
      </c>
      <c r="E23" s="10" t="inlineStr"/>
    </row>
    <row r="24">
      <c r="B24" s="46" t="inlineStr">
        <is>
          <t>○</t>
        </is>
      </c>
      <c r="C24" s="24" t="inlineStr">
        <is>
          <t>متوسط درجة تقييم جودة المحطة</t>
        </is>
      </c>
      <c r="D24" s="47" t="inlineStr">
        <is>
          <t>🔴 رئيسي</t>
        </is>
      </c>
      <c r="E24" s="10" t="inlineStr"/>
    </row>
    <row r="25">
      <c r="B25" s="46" t="inlineStr">
        <is>
          <t>●</t>
        </is>
      </c>
      <c r="C25" s="24" t="inlineStr">
        <is>
          <t>نسبة مبيعات المنتجات غير البترولية</t>
        </is>
      </c>
      <c r="D25" s="47" t="inlineStr">
        <is>
          <t>🟡 متابعة</t>
        </is>
      </c>
      <c r="E25" s="10" t="inlineStr"/>
    </row>
    <row r="27">
      <c r="B27" s="7" t="inlineStr">
        <is>
          <t>رغد الجندي  —  أخصائية امتياز — تسويق ومالية  ·  5 مؤشر</t>
        </is>
      </c>
    </row>
    <row r="28">
      <c r="B28" s="44" t="inlineStr">
        <is>
          <t>●/○</t>
        </is>
      </c>
      <c r="C28" s="44" t="inlineStr">
        <is>
          <t>المؤشر</t>
        </is>
      </c>
      <c r="D28" s="44" t="inlineStr">
        <is>
          <t>الأولوية</t>
        </is>
      </c>
      <c r="E28" s="45" t="inlineStr"/>
    </row>
    <row r="29">
      <c r="B29" s="46" t="inlineStr">
        <is>
          <t>●</t>
        </is>
      </c>
      <c r="C29" s="24" t="inlineStr">
        <is>
          <t>إجمالي إيرادات إدارة الامتياز</t>
        </is>
      </c>
      <c r="D29" s="47" t="inlineStr">
        <is>
          <t>🔴 رئيسي</t>
        </is>
      </c>
      <c r="E29" s="10" t="inlineStr"/>
    </row>
    <row r="30">
      <c r="B30" s="46" t="inlineStr">
        <is>
          <t>●</t>
        </is>
      </c>
      <c r="C30" s="24" t="inlineStr">
        <is>
          <t>نسبة التحصيل المالي من شركاء الامتياز</t>
        </is>
      </c>
      <c r="D30" s="47" t="inlineStr">
        <is>
          <t>🔴 رئيسي</t>
        </is>
      </c>
      <c r="E30" s="10" t="inlineStr"/>
    </row>
    <row r="31">
      <c r="B31" s="46" t="inlineStr">
        <is>
          <t>●</t>
        </is>
      </c>
      <c r="C31" s="24" t="inlineStr">
        <is>
          <t>متوسط تقييم المحطات على خرائط قوقل</t>
        </is>
      </c>
      <c r="D31" s="47" t="inlineStr">
        <is>
          <t>🔴 رئيسي</t>
        </is>
      </c>
      <c r="E31" s="10" t="inlineStr"/>
    </row>
    <row r="32">
      <c r="B32" s="46" t="inlineStr">
        <is>
          <t>●</t>
        </is>
      </c>
      <c r="C32" s="24" t="inlineStr">
        <is>
          <t>نسبة الشركاء الملتزمين بمواعيد السداد</t>
        </is>
      </c>
      <c r="D32" s="47" t="inlineStr">
        <is>
          <t>🟠 مهم</t>
        </is>
      </c>
      <c r="E32" s="10" t="inlineStr"/>
    </row>
    <row r="33">
      <c r="B33" s="46" t="inlineStr">
        <is>
          <t>●</t>
        </is>
      </c>
      <c r="C33" s="24" t="inlineStr">
        <is>
          <t>عدد الحملات التسويقية الميدانية</t>
        </is>
      </c>
      <c r="D33" s="47" t="inlineStr">
        <is>
          <t>🟠 مهم</t>
        </is>
      </c>
      <c r="E33" s="10" t="inlineStr"/>
    </row>
    <row r="35">
      <c r="B35" s="7" t="inlineStr">
        <is>
          <t>إدريس الوائلي  —  أخصائي امتياز — تقارير وتنسيق مالي  ·  4 مؤشر</t>
        </is>
      </c>
    </row>
    <row r="36">
      <c r="B36" s="44" t="inlineStr">
        <is>
          <t>●/○</t>
        </is>
      </c>
      <c r="C36" s="44" t="inlineStr">
        <is>
          <t>المؤشر</t>
        </is>
      </c>
      <c r="D36" s="44" t="inlineStr">
        <is>
          <t>الأولوية</t>
        </is>
      </c>
      <c r="E36" s="45" t="inlineStr"/>
    </row>
    <row r="37">
      <c r="B37" s="46" t="inlineStr">
        <is>
          <t>●</t>
        </is>
      </c>
      <c r="C37" s="24" t="inlineStr">
        <is>
          <t>متوسط أيام التحصيل (DSO)</t>
        </is>
      </c>
      <c r="D37" s="47" t="inlineStr">
        <is>
          <t>🟠 مهم</t>
        </is>
      </c>
      <c r="E37" s="10" t="inlineStr"/>
    </row>
    <row r="38">
      <c r="B38" s="46" t="inlineStr">
        <is>
          <t>●</t>
        </is>
      </c>
      <c r="C38" s="24" t="inlineStr">
        <is>
          <t>إجمالي المستحقات المتأخرة (+30 يوم)</t>
        </is>
      </c>
      <c r="D38" s="47" t="inlineStr">
        <is>
          <t>🟠 مهم</t>
        </is>
      </c>
      <c r="E38" s="10" t="inlineStr"/>
    </row>
    <row r="39">
      <c r="B39" s="46" t="inlineStr">
        <is>
          <t>●</t>
        </is>
      </c>
      <c r="C39" s="24" t="inlineStr">
        <is>
          <t>نسبة إنجاز التقارير الدورية في موعدها</t>
        </is>
      </c>
      <c r="D39" s="47" t="inlineStr">
        <is>
          <t>🟠 مهم</t>
        </is>
      </c>
      <c r="E39" s="10" t="inlineStr"/>
    </row>
    <row r="40">
      <c r="B40" s="46" t="inlineStr">
        <is>
          <t>○</t>
        </is>
      </c>
      <c r="C40" s="24" t="inlineStr">
        <is>
          <t>عدد محطات الامتياز المشغّلة</t>
        </is>
      </c>
      <c r="D40" s="47" t="inlineStr">
        <is>
          <t>🔴 رئيسي</t>
        </is>
      </c>
      <c r="E40" s="10" t="inlineStr"/>
    </row>
    <row r="42">
      <c r="B42" s="7" t="inlineStr">
        <is>
          <t>أحمد رمضان  —  أخصائي امتياز — Dynamics ومتابعة نظام  ·  2 مؤشر</t>
        </is>
      </c>
    </row>
    <row r="43">
      <c r="B43" s="44" t="inlineStr">
        <is>
          <t>●/○</t>
        </is>
      </c>
      <c r="C43" s="44" t="inlineStr">
        <is>
          <t>المؤشر</t>
        </is>
      </c>
      <c r="D43" s="44" t="inlineStr">
        <is>
          <t>الأولوية</t>
        </is>
      </c>
      <c r="E43" s="45" t="inlineStr"/>
    </row>
    <row r="44">
      <c r="B44" s="46" t="inlineStr">
        <is>
          <t>○</t>
        </is>
      </c>
      <c r="C44" s="24" t="inlineStr">
        <is>
          <t>نسبة اكتمال المستندات النظامية قبل التوقيع</t>
        </is>
      </c>
      <c r="D44" s="47" t="inlineStr">
        <is>
          <t>🟠 مهم</t>
        </is>
      </c>
      <c r="E44" s="10" t="inlineStr"/>
    </row>
    <row r="45">
      <c r="B45" s="46" t="inlineStr">
        <is>
          <t>○</t>
        </is>
      </c>
      <c r="C45" s="24" t="inlineStr">
        <is>
          <t>نسبة إنجاز التقارير الدورية في موعدها</t>
        </is>
      </c>
      <c r="D45" s="47" t="inlineStr">
        <is>
          <t>🟠 مهم</t>
        </is>
      </c>
      <c r="E45" s="10" t="inlineStr"/>
    </row>
    <row r="47">
      <c r="B47" s="7" t="inlineStr">
        <is>
          <t>عبدالسلام الوالي  —  أخصائي امتياز — عمليات ومخزون  ·  3 مؤشر</t>
        </is>
      </c>
    </row>
    <row r="48">
      <c r="B48" s="44" t="inlineStr">
        <is>
          <t>●/○</t>
        </is>
      </c>
      <c r="C48" s="44" t="inlineStr">
        <is>
          <t>المؤشر</t>
        </is>
      </c>
      <c r="D48" s="44" t="inlineStr">
        <is>
          <t>الأولوية</t>
        </is>
      </c>
      <c r="E48" s="45" t="inlineStr"/>
    </row>
    <row r="49">
      <c r="B49" s="46" t="inlineStr">
        <is>
          <t>●</t>
        </is>
      </c>
      <c r="C49" s="24" t="inlineStr">
        <is>
          <t>عدد حالات انقطاع الوقود الموثّقة</t>
        </is>
      </c>
      <c r="D49" s="47" t="inlineStr">
        <is>
          <t>🔴 رئيسي</t>
        </is>
      </c>
      <c r="E49" s="10" t="inlineStr"/>
    </row>
    <row r="50">
      <c r="B50" s="46" t="inlineStr">
        <is>
          <t>●</t>
        </is>
      </c>
      <c r="C50" s="24" t="inlineStr">
        <is>
          <t>متوسط وقت معالجة البلاغات التشغيلية</t>
        </is>
      </c>
      <c r="D50" s="47" t="inlineStr">
        <is>
          <t>🟠 مهم</t>
        </is>
      </c>
      <c r="E50" s="10" t="inlineStr"/>
    </row>
    <row r="51">
      <c r="B51" s="46" t="inlineStr">
        <is>
          <t>○</t>
        </is>
      </c>
      <c r="C51" s="24" t="inlineStr">
        <is>
          <t>نسبة الشركاء الملتزمين بمواعيد السداد</t>
        </is>
      </c>
      <c r="D51" s="47" t="inlineStr">
        <is>
          <t>🟠 مهم</t>
        </is>
      </c>
      <c r="E51" s="10" t="inlineStr"/>
    </row>
    <row r="53">
      <c r="B53" s="7" t="inlineStr">
        <is>
          <t>المعتصم المصعبي  —  أخصائي امتياز — عمليات ومبيعات  ·  3 مؤشر</t>
        </is>
      </c>
    </row>
    <row r="54">
      <c r="B54" s="44" t="inlineStr">
        <is>
          <t>●/○</t>
        </is>
      </c>
      <c r="C54" s="44" t="inlineStr">
        <is>
          <t>المؤشر</t>
        </is>
      </c>
      <c r="D54" s="44" t="inlineStr">
        <is>
          <t>الأولوية</t>
        </is>
      </c>
      <c r="E54" s="45" t="inlineStr"/>
    </row>
    <row r="55">
      <c r="B55" s="46" t="inlineStr">
        <is>
          <t>●</t>
        </is>
      </c>
      <c r="C55" s="24" t="inlineStr">
        <is>
          <t>متوسط مبيعات المحطة الواحدة شهرياً</t>
        </is>
      </c>
      <c r="D55" s="47" t="inlineStr">
        <is>
          <t>🟠 مهم</t>
        </is>
      </c>
      <c r="E55" s="10" t="inlineStr"/>
    </row>
    <row r="56">
      <c r="B56" s="46" t="inlineStr">
        <is>
          <t>○</t>
        </is>
      </c>
      <c r="C56" s="24" t="inlineStr">
        <is>
          <t>إجمالي مبيعات وقود محطات الامتياز</t>
        </is>
      </c>
      <c r="D56" s="47" t="inlineStr">
        <is>
          <t>🔴 رئيسي</t>
        </is>
      </c>
      <c r="E56" s="10" t="inlineStr"/>
    </row>
    <row r="57">
      <c r="B57" s="46" t="inlineStr">
        <is>
          <t>○</t>
        </is>
      </c>
      <c r="C57" s="24" t="inlineStr">
        <is>
          <t>نسبة جاهزية محطات الامتياز</t>
        </is>
      </c>
      <c r="D57" s="47" t="inlineStr">
        <is>
          <t>🔴 رئيسي</t>
        </is>
      </c>
      <c r="E57" s="10" t="inlineStr"/>
    </row>
    <row r="59">
      <c r="B59" s="7" t="inlineStr">
        <is>
          <t>يحيى العدله  —  أخصائي امتياز — تسجيل وتوثيق  ·  3 مؤشر</t>
        </is>
      </c>
    </row>
    <row r="60">
      <c r="B60" s="44" t="inlineStr">
        <is>
          <t>●/○</t>
        </is>
      </c>
      <c r="C60" s="44" t="inlineStr">
        <is>
          <t>المؤشر</t>
        </is>
      </c>
      <c r="D60" s="44" t="inlineStr">
        <is>
          <t>الأولوية</t>
        </is>
      </c>
      <c r="E60" s="45" t="inlineStr"/>
    </row>
    <row r="61">
      <c r="B61" s="46" t="inlineStr">
        <is>
          <t>●</t>
        </is>
      </c>
      <c r="C61" s="24" t="inlineStr">
        <is>
          <t>نسبة اكتمال المستندات النظامية قبل التوقيع</t>
        </is>
      </c>
      <c r="D61" s="47" t="inlineStr">
        <is>
          <t>🟠 مهم</t>
        </is>
      </c>
      <c r="E61" s="10" t="inlineStr"/>
    </row>
    <row r="62">
      <c r="B62" s="46" t="inlineStr">
        <is>
          <t>○</t>
        </is>
      </c>
      <c r="C62" s="24" t="inlineStr">
        <is>
          <t>نسبة حل الشكاوى خلال المدة المحددة</t>
        </is>
      </c>
      <c r="D62" s="47" t="inlineStr">
        <is>
          <t>🟠 مهم</t>
        </is>
      </c>
      <c r="E62" s="10" t="inlineStr"/>
    </row>
    <row r="63">
      <c r="B63" s="46" t="inlineStr">
        <is>
          <t>○</t>
        </is>
      </c>
      <c r="C63" s="24" t="inlineStr">
        <is>
          <t>متوسط مدة إغلاق عقد الامتياز</t>
        </is>
      </c>
      <c r="D63" s="47" t="inlineStr">
        <is>
          <t>🟠 مهم</t>
        </is>
      </c>
      <c r="E63" s="10" t="inlineStr"/>
    </row>
    <row r="65">
      <c r="B65" s="7" t="inlineStr">
        <is>
          <t>إسماعيل سندي  —  أخصائي امتياز — تواصل عملاء وتأجير  ·  4 مؤشر</t>
        </is>
      </c>
    </row>
    <row r="66">
      <c r="B66" s="44" t="inlineStr">
        <is>
          <t>●/○</t>
        </is>
      </c>
      <c r="C66" s="44" t="inlineStr">
        <is>
          <t>المؤشر</t>
        </is>
      </c>
      <c r="D66" s="44" t="inlineStr">
        <is>
          <t>الأولوية</t>
        </is>
      </c>
      <c r="E66" s="45" t="inlineStr"/>
    </row>
    <row r="67">
      <c r="B67" s="46" t="inlineStr">
        <is>
          <t>●</t>
        </is>
      </c>
      <c r="C67" s="24" t="inlineStr">
        <is>
          <t>معدل رضا شركاء الامتياز (CSAT)</t>
        </is>
      </c>
      <c r="D67" s="47" t="inlineStr">
        <is>
          <t>🔴 رئيسي</t>
        </is>
      </c>
      <c r="E67" s="10" t="inlineStr"/>
    </row>
    <row r="68">
      <c r="B68" s="46" t="inlineStr">
        <is>
          <t>●</t>
        </is>
      </c>
      <c r="C68" s="24" t="inlineStr">
        <is>
          <t>نسبة حل الشكاوى خلال المدة المحددة</t>
        </is>
      </c>
      <c r="D68" s="47" t="inlineStr">
        <is>
          <t>🟠 مهم</t>
        </is>
      </c>
      <c r="E68" s="10" t="inlineStr"/>
    </row>
    <row r="69">
      <c r="B69" s="46" t="inlineStr">
        <is>
          <t>●</t>
        </is>
      </c>
      <c r="C69" s="24" t="inlineStr">
        <is>
          <t>نسبة انخفاض الشكاوى التشغيلية والإدارية</t>
        </is>
      </c>
      <c r="D69" s="47" t="inlineStr">
        <is>
          <t>🟠 مهم</t>
        </is>
      </c>
      <c r="E69" s="10" t="inlineStr"/>
    </row>
    <row r="70">
      <c r="B70" s="46" t="inlineStr">
        <is>
          <t>○</t>
        </is>
      </c>
      <c r="C70" s="24" t="inlineStr">
        <is>
          <t>نسبة استدامة أصحاب الامتياز</t>
        </is>
      </c>
      <c r="D70" s="47" t="inlineStr">
        <is>
          <t>🔴 رئيسي</t>
        </is>
      </c>
      <c r="E70" s="10" t="inlineStr"/>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27:E27"/>
    <mergeCell ref="B35:E35"/>
    <mergeCell ref="B4:E4"/>
    <mergeCell ref="B53:E53"/>
    <mergeCell ref="B65:E65"/>
    <mergeCell ref="B12:E12"/>
    <mergeCell ref="B47:E47"/>
    <mergeCell ref="B2:E2"/>
    <mergeCell ref="B20:E20"/>
    <mergeCell ref="B59:E59"/>
    <mergeCell ref="B42:E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48" t="inlineStr">
        <is>
          <t>إدارة الامتياز التجاري · نموذج تقييم الأداء — مدير إدارة الامتياز التجاري</t>
        </is>
      </c>
    </row>
    <row r="2">
      <c r="A2" s="30" t="inlineStr">
        <is>
          <t>الكود: FM-01   ·   فترة القياس: ربع سنوي   ·   🟩 أدخل «نسبة التحقيق» فقط — الدرجة تُحسب تلقائياً</t>
        </is>
      </c>
    </row>
    <row r="3">
      <c r="A3" s="49" t="inlineStr">
        <is>
          <t>اسم الموظف:</t>
        </is>
      </c>
      <c r="B3" s="50" t="inlineStr"/>
      <c r="C3" s="51" t="n"/>
      <c r="D3" s="49" t="inlineStr">
        <is>
          <t>القسم: الامتياز التجاري</t>
        </is>
      </c>
      <c r="E3" s="50" t="inlineStr"/>
      <c r="F3" s="52" t="n"/>
      <c r="G3" s="51" t="n"/>
    </row>
    <row r="4">
      <c r="A4" s="49" t="inlineStr">
        <is>
          <t>المدير المباشر:</t>
        </is>
      </c>
      <c r="B4" s="50" t="inlineStr"/>
      <c r="C4" s="51" t="n"/>
      <c r="D4" s="49" t="inlineStr">
        <is>
          <t>الربع / السنة:</t>
        </is>
      </c>
      <c r="E4" s="50" t="inlineStr"/>
      <c r="F4" s="52" t="n"/>
      <c r="G4" s="51" t="n"/>
    </row>
    <row r="5">
      <c r="A5" s="49" t="inlineStr">
        <is>
          <t>تاريخ التقييم:</t>
        </is>
      </c>
      <c r="B5" s="50" t="inlineStr"/>
      <c r="C5" s="51" t="n"/>
      <c r="D5" s="49" t="inlineStr">
        <is>
          <t>حالة التقييم:</t>
        </is>
      </c>
      <c r="E5" s="50" t="inlineStr"/>
      <c r="F5" s="52" t="n"/>
      <c r="G5" s="51" t="n"/>
    </row>
    <row r="6" ht="30" customHeight="1">
      <c r="A6" s="31" t="inlineStr">
        <is>
          <t>#</t>
        </is>
      </c>
      <c r="B6" s="31" t="inlineStr">
        <is>
          <t>مؤشر الأداء</t>
        </is>
      </c>
      <c r="C6" s="31" t="inlineStr">
        <is>
          <t>الوزن %</t>
        </is>
      </c>
      <c r="D6" s="31" t="inlineStr">
        <is>
          <t>المستهدف</t>
        </is>
      </c>
      <c r="E6" s="31" t="inlineStr">
        <is>
          <t>نسبة التحقيق</t>
        </is>
      </c>
      <c r="F6" s="31" t="inlineStr">
        <is>
          <t>الدرجة المحققة</t>
        </is>
      </c>
      <c r="G6" s="31" t="inlineStr">
        <is>
          <t>ملاحظات</t>
        </is>
      </c>
    </row>
    <row r="7" ht="28" customHeight="1">
      <c r="A7" s="26" t="n">
        <v>1</v>
      </c>
      <c r="B7" s="24" t="inlineStr">
        <is>
          <t>عدد محطات الامتياز الجديدة</t>
        </is>
      </c>
      <c r="C7" s="36" t="n">
        <v>0.15</v>
      </c>
      <c r="D7" s="53" t="inlineStr">
        <is>
          <t>100%+ من المحطات المستهدفة</t>
        </is>
      </c>
      <c r="E7" s="54" t="n"/>
      <c r="F7" s="25">
        <f>C7*MIN(E7,1)</f>
        <v/>
      </c>
      <c r="G7" s="50" t="inlineStr"/>
    </row>
    <row r="8" ht="28" customHeight="1">
      <c r="A8" s="26" t="n">
        <v>2</v>
      </c>
      <c r="B8" s="24" t="inlineStr">
        <is>
          <t>إجمالي مبيعات محطات الامتياز</t>
        </is>
      </c>
      <c r="C8" s="36" t="n">
        <v>0.15</v>
      </c>
      <c r="D8" s="53" t="inlineStr">
        <is>
          <t>100%+ من مستهدف المبيعات الربعي</t>
        </is>
      </c>
      <c r="E8" s="54" t="n"/>
      <c r="F8" s="25">
        <f>C8*MIN(E8,1)</f>
        <v/>
      </c>
      <c r="G8" s="50" t="inlineStr"/>
    </row>
    <row r="9" ht="28" customHeight="1">
      <c r="A9" s="26" t="n">
        <v>3</v>
      </c>
      <c r="B9" s="24" t="inlineStr">
        <is>
          <t>استمرارية تزويد الوقود</t>
        </is>
      </c>
      <c r="C9" s="36" t="n">
        <v>0.1</v>
      </c>
      <c r="D9" s="53" t="inlineStr">
        <is>
          <t>0 حالات انقطاع</t>
        </is>
      </c>
      <c r="E9" s="54" t="n"/>
      <c r="F9" s="25">
        <f>C9*MIN(E9,1)</f>
        <v/>
      </c>
      <c r="G9" s="50" t="inlineStr"/>
    </row>
    <row r="10" ht="28" customHeight="1">
      <c r="A10" s="26" t="n">
        <v>4</v>
      </c>
      <c r="B10" s="24" t="inlineStr">
        <is>
          <t>نسبة التحصيل المالي</t>
        </is>
      </c>
      <c r="C10" s="36" t="n">
        <v>0.15</v>
      </c>
      <c r="D10" s="53" t="inlineStr">
        <is>
          <t>100%+ من المستحقات الربعية</t>
        </is>
      </c>
      <c r="E10" s="54" t="n"/>
      <c r="F10" s="25">
        <f>C10*MIN(E10,1)</f>
        <v/>
      </c>
      <c r="G10" s="50" t="inlineStr"/>
    </row>
    <row r="11" ht="28" customHeight="1">
      <c r="A11" s="26" t="n">
        <v>5</v>
      </c>
      <c r="B11" s="24" t="inlineStr">
        <is>
          <t>الالتزام بالهوية المؤسسية</t>
        </is>
      </c>
      <c r="C11" s="36" t="n">
        <v>0.15</v>
      </c>
      <c r="D11" s="53" t="inlineStr">
        <is>
          <t>70%+ من المحطات ملتزمة</t>
        </is>
      </c>
      <c r="E11" s="54" t="n"/>
      <c r="F11" s="25">
        <f>C11*MIN(E11,1)</f>
        <v/>
      </c>
      <c r="G11" s="50" t="inlineStr"/>
    </row>
    <row r="12" ht="28" customHeight="1">
      <c r="A12" s="26" t="n">
        <v>6</v>
      </c>
      <c r="B12" s="24" t="inlineStr">
        <is>
          <t>انخفاض عدد الشكاوى</t>
        </is>
      </c>
      <c r="C12" s="36" t="n">
        <v>0.1</v>
      </c>
      <c r="D12" s="53" t="inlineStr">
        <is>
          <t>خفض 20%+ مقارنة بالربع السابق</t>
        </is>
      </c>
      <c r="E12" s="54" t="n"/>
      <c r="F12" s="25">
        <f>C12*MIN(E12,1)</f>
        <v/>
      </c>
      <c r="G12" s="50" t="inlineStr"/>
    </row>
    <row r="13" ht="28" customHeight="1">
      <c r="A13" s="26" t="n">
        <v>7</v>
      </c>
      <c r="B13" s="24" t="inlineStr">
        <is>
          <t>تقييمات خرائط قوقل</t>
        </is>
      </c>
      <c r="C13" s="36" t="n">
        <v>0.1</v>
      </c>
      <c r="D13" s="53" t="inlineStr">
        <is>
          <t>4.7 – 5</t>
        </is>
      </c>
      <c r="E13" s="54" t="n"/>
      <c r="F13" s="25">
        <f>C13*MIN(E13,1)</f>
        <v/>
      </c>
      <c r="G13" s="50" t="inlineStr"/>
    </row>
    <row r="14" ht="28" customHeight="1">
      <c r="A14" s="26" t="n">
        <v>8</v>
      </c>
      <c r="B14" s="24" t="inlineStr">
        <is>
          <t>انتظام وجودة التقارير</t>
        </is>
      </c>
      <c r="C14" s="36" t="n">
        <v>0.1</v>
      </c>
      <c r="D14" s="53" t="inlineStr">
        <is>
          <t>100% في موعدها</t>
        </is>
      </c>
      <c r="E14" s="54" t="n"/>
      <c r="F14" s="25">
        <f>C14*MIN(E14,1)</f>
        <v/>
      </c>
      <c r="G14" s="50" t="inlineStr"/>
    </row>
    <row r="15">
      <c r="A15" s="10" t="inlineStr"/>
      <c r="B15" s="55" t="inlineStr">
        <is>
          <t>المجموع الكلي</t>
        </is>
      </c>
      <c r="C15" s="56">
        <f>SUM(C7:C14)</f>
        <v/>
      </c>
      <c r="D15" s="57" t="inlineStr"/>
      <c r="E15" s="55" t="inlineStr">
        <is>
          <t>الدرجة:</t>
        </is>
      </c>
      <c r="F15" s="58">
        <f>SUM(F7:F14)</f>
        <v/>
      </c>
      <c r="G15" s="57" t="inlineStr"/>
    </row>
    <row r="16">
      <c r="B16" s="5" t="inlineStr">
        <is>
          <t>التقدير</t>
        </is>
      </c>
      <c r="C16" s="59">
        <f>IF(F15&gt;=0.9,"ممتاز",IF(F15&gt;=0.8,"جيد جداً",IF(F15&gt;=0.7,"جيد",IF(F15&gt;=0.6,"مقبول","ضعيف"))))</f>
        <v/>
      </c>
      <c r="D16" s="22" t="n"/>
    </row>
    <row r="18">
      <c r="B18" s="5" t="inlineStr">
        <is>
          <t>سلّم التقييم</t>
        </is>
      </c>
      <c r="C18" s="21" t="n"/>
      <c r="D18" s="22" t="n"/>
    </row>
    <row r="19">
      <c r="B19" s="26" t="inlineStr">
        <is>
          <t>ممتاز</t>
        </is>
      </c>
      <c r="C19" s="47" t="inlineStr">
        <is>
          <t>90% – 100%</t>
        </is>
      </c>
      <c r="D19" s="24" t="inlineStr">
        <is>
          <t>تجاوز المستهدف</t>
        </is>
      </c>
    </row>
    <row r="20">
      <c r="B20" s="26" t="inlineStr">
        <is>
          <t>جيد جداً</t>
        </is>
      </c>
      <c r="C20" s="47" t="inlineStr">
        <is>
          <t>80% – 89%</t>
        </is>
      </c>
      <c r="D20" s="24" t="inlineStr">
        <is>
          <t>حقق المستهدف تقريباً</t>
        </is>
      </c>
    </row>
    <row r="21">
      <c r="B21" s="26" t="inlineStr">
        <is>
          <t>جيد</t>
        </is>
      </c>
      <c r="C21" s="47" t="inlineStr">
        <is>
          <t>70% – 79%</t>
        </is>
      </c>
      <c r="D21" s="24" t="inlineStr">
        <is>
          <t>حقق معظم المستهدفات</t>
        </is>
      </c>
    </row>
    <row r="22">
      <c r="B22" s="26" t="inlineStr">
        <is>
          <t>مقبول</t>
        </is>
      </c>
      <c r="C22" s="47" t="inlineStr">
        <is>
          <t>60% – 69%</t>
        </is>
      </c>
      <c r="D22" s="24" t="inlineStr">
        <is>
          <t>يحتاج تحسين</t>
        </is>
      </c>
    </row>
    <row r="23">
      <c r="B23" s="26" t="inlineStr">
        <is>
          <t>ضعيف</t>
        </is>
      </c>
      <c r="C23" s="47" t="inlineStr">
        <is>
          <t>أقل من 60%</t>
        </is>
      </c>
      <c r="D23" s="24"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8">
    <mergeCell ref="D22"/>
    <mergeCell ref="D23"/>
    <mergeCell ref="A1:G1"/>
    <mergeCell ref="A4"/>
    <mergeCell ref="C16:D16"/>
    <mergeCell ref="A3"/>
    <mergeCell ref="B3:C3"/>
    <mergeCell ref="B5:C5"/>
    <mergeCell ref="E5:G5"/>
    <mergeCell ref="D20"/>
    <mergeCell ref="D21"/>
    <mergeCell ref="B18:D18"/>
    <mergeCell ref="D19"/>
    <mergeCell ref="A2:G2"/>
    <mergeCell ref="E4:G4"/>
    <mergeCell ref="E3:G3"/>
    <mergeCell ref="B4:C4"/>
    <mergeCell ref="A5"/>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48" t="inlineStr">
        <is>
          <t>إدارة الامتياز التجاري · نموذج تقييم الأداء — مسؤول الامتياز التجاري</t>
        </is>
      </c>
    </row>
    <row r="2">
      <c r="A2" s="30" t="inlineStr">
        <is>
          <t>الكود: FM-02   ·   فترة القياس: ربع سنوي   ·   🟩 أدخل «نسبة التحقيق» فقط — الدرجة تُحسب تلقائياً</t>
        </is>
      </c>
    </row>
    <row r="3">
      <c r="A3" s="49" t="inlineStr">
        <is>
          <t>اسم الموظف:</t>
        </is>
      </c>
      <c r="B3" s="50" t="inlineStr"/>
      <c r="C3" s="51" t="n"/>
      <c r="D3" s="49" t="inlineStr">
        <is>
          <t>القسم: الامتياز التجاري</t>
        </is>
      </c>
      <c r="E3" s="50" t="inlineStr"/>
      <c r="F3" s="52" t="n"/>
      <c r="G3" s="51" t="n"/>
    </row>
    <row r="4">
      <c r="A4" s="49" t="inlineStr">
        <is>
          <t>المدير المباشر:</t>
        </is>
      </c>
      <c r="B4" s="50" t="inlineStr"/>
      <c r="C4" s="51" t="n"/>
      <c r="D4" s="49" t="inlineStr">
        <is>
          <t>الربع / السنة:</t>
        </is>
      </c>
      <c r="E4" s="50" t="inlineStr"/>
      <c r="F4" s="52" t="n"/>
      <c r="G4" s="51" t="n"/>
    </row>
    <row r="5">
      <c r="A5" s="49" t="inlineStr">
        <is>
          <t>تاريخ التقييم:</t>
        </is>
      </c>
      <c r="B5" s="50" t="inlineStr"/>
      <c r="C5" s="51" t="n"/>
      <c r="D5" s="49" t="inlineStr">
        <is>
          <t>حالة التقييم:</t>
        </is>
      </c>
      <c r="E5" s="50" t="inlineStr"/>
      <c r="F5" s="52" t="n"/>
      <c r="G5" s="51" t="n"/>
    </row>
    <row r="6" ht="30" customHeight="1">
      <c r="A6" s="31" t="inlineStr">
        <is>
          <t>#</t>
        </is>
      </c>
      <c r="B6" s="31" t="inlineStr">
        <is>
          <t>مؤشر الأداء</t>
        </is>
      </c>
      <c r="C6" s="31" t="inlineStr">
        <is>
          <t>الوزن %</t>
        </is>
      </c>
      <c r="D6" s="31" t="inlineStr">
        <is>
          <t>المستهدف</t>
        </is>
      </c>
      <c r="E6" s="31" t="inlineStr">
        <is>
          <t>نسبة التحقيق</t>
        </is>
      </c>
      <c r="F6" s="31" t="inlineStr">
        <is>
          <t>الدرجة المحققة</t>
        </is>
      </c>
      <c r="G6" s="31" t="inlineStr">
        <is>
          <t>ملاحظات</t>
        </is>
      </c>
    </row>
    <row r="7" ht="28" customHeight="1">
      <c r="A7" s="26" t="n">
        <v>1</v>
      </c>
      <c r="B7" s="24" t="inlineStr">
        <is>
          <t>المتابعة مع عملاء الامتياز</t>
        </is>
      </c>
      <c r="C7" s="36" t="n">
        <v>0.3</v>
      </c>
      <c r="D7" s="53" t="inlineStr">
        <is>
          <t>متابعة مستمرة 100%</t>
        </is>
      </c>
      <c r="E7" s="54" t="n"/>
      <c r="F7" s="25">
        <f>C7*MIN(E7,1)</f>
        <v/>
      </c>
      <c r="G7" s="50" t="inlineStr"/>
    </row>
    <row r="8" ht="28" customHeight="1">
      <c r="A8" s="26" t="n">
        <v>2</v>
      </c>
      <c r="B8" s="24" t="inlineStr">
        <is>
          <t>عدم انقطاع المحطات من الوقود</t>
        </is>
      </c>
      <c r="C8" s="36" t="n">
        <v>0.35</v>
      </c>
      <c r="D8" s="53" t="inlineStr">
        <is>
          <t>0 حالات انقطاع</t>
        </is>
      </c>
      <c r="E8" s="54" t="n"/>
      <c r="F8" s="25">
        <f>C8*MIN(E8,1)</f>
        <v/>
      </c>
      <c r="G8" s="50" t="inlineStr"/>
    </row>
    <row r="9" ht="28" customHeight="1">
      <c r="A9" s="26" t="n">
        <v>3</v>
      </c>
      <c r="B9" s="24" t="inlineStr">
        <is>
          <t>متابعة طلبات وتوريد الوقود</t>
        </is>
      </c>
      <c r="C9" s="36" t="n">
        <v>0.1</v>
      </c>
      <c r="D9" s="53" t="inlineStr">
        <is>
          <t>100% متابعة يومية</t>
        </is>
      </c>
      <c r="E9" s="54" t="n"/>
      <c r="F9" s="25">
        <f>C9*MIN(E9,1)</f>
        <v/>
      </c>
      <c r="G9" s="50" t="inlineStr"/>
    </row>
    <row r="10" ht="28" customHeight="1">
      <c r="A10" s="26" t="n">
        <v>4</v>
      </c>
      <c r="B10" s="24" t="inlineStr">
        <is>
          <t>إجمالي مبيعات المحطات</t>
        </is>
      </c>
      <c r="C10" s="36" t="n">
        <v>0.1</v>
      </c>
      <c r="D10" s="53" t="inlineStr">
        <is>
          <t>تحقيق هدف المبيعات</t>
        </is>
      </c>
      <c r="E10" s="54" t="n"/>
      <c r="F10" s="25">
        <f>C10*MIN(E10,1)</f>
        <v/>
      </c>
      <c r="G10" s="50" t="inlineStr"/>
    </row>
    <row r="11" ht="28" customHeight="1">
      <c r="A11" s="26" t="n">
        <v>5</v>
      </c>
      <c r="B11" s="24" t="inlineStr">
        <is>
          <t>التحصيل المالي</t>
        </is>
      </c>
      <c r="C11" s="36" t="n">
        <v>0.1</v>
      </c>
      <c r="D11" s="53" t="inlineStr">
        <is>
          <t>100% خلال الربع</t>
        </is>
      </c>
      <c r="E11" s="54" t="n"/>
      <c r="F11" s="25">
        <f>C11*MIN(E11,1)</f>
        <v/>
      </c>
      <c r="G11" s="50" t="inlineStr"/>
    </row>
    <row r="12" ht="28" customHeight="1">
      <c r="A12" s="26" t="n">
        <v>6</v>
      </c>
      <c r="B12" s="24" t="inlineStr">
        <is>
          <t>التقارير الدورية الشاملة</t>
        </is>
      </c>
      <c r="C12" s="36" t="n">
        <v>0.05</v>
      </c>
      <c r="D12" s="53" t="inlineStr">
        <is>
          <t>100% في مواعيدها</t>
        </is>
      </c>
      <c r="E12" s="54" t="n"/>
      <c r="F12" s="25">
        <f>C12*MIN(E12,1)</f>
        <v/>
      </c>
      <c r="G12" s="50" t="inlineStr"/>
    </row>
    <row r="13">
      <c r="A13" s="10" t="inlineStr"/>
      <c r="B13" s="55" t="inlineStr">
        <is>
          <t>المجموع الكلي</t>
        </is>
      </c>
      <c r="C13" s="56">
        <f>SUM(C7:C12)</f>
        <v/>
      </c>
      <c r="D13" s="57" t="inlineStr"/>
      <c r="E13" s="55" t="inlineStr">
        <is>
          <t>الدرجة:</t>
        </is>
      </c>
      <c r="F13" s="58">
        <f>SUM(F7:F12)</f>
        <v/>
      </c>
      <c r="G13" s="57" t="inlineStr"/>
    </row>
    <row r="14">
      <c r="B14" s="5" t="inlineStr">
        <is>
          <t>التقدير</t>
        </is>
      </c>
      <c r="C14" s="59">
        <f>IF(F13&gt;=0.9,"ممتاز",IF(F13&gt;=0.8,"جيد جداً",IF(F13&gt;=0.7,"جيد",IF(F13&gt;=0.6,"مقبول","ضعيف"))))</f>
        <v/>
      </c>
      <c r="D14" s="22" t="n"/>
    </row>
    <row r="16">
      <c r="B16" s="5" t="inlineStr">
        <is>
          <t>سلّم التقييم</t>
        </is>
      </c>
      <c r="C16" s="21" t="n"/>
      <c r="D16" s="22" t="n"/>
    </row>
    <row r="17">
      <c r="B17" s="26" t="inlineStr">
        <is>
          <t>ممتاز</t>
        </is>
      </c>
      <c r="C17" s="47" t="inlineStr">
        <is>
          <t>90% – 100%</t>
        </is>
      </c>
      <c r="D17" s="24" t="inlineStr">
        <is>
          <t>تجاوز المستهدف</t>
        </is>
      </c>
    </row>
    <row r="18">
      <c r="B18" s="26" t="inlineStr">
        <is>
          <t>جيد جداً</t>
        </is>
      </c>
      <c r="C18" s="47" t="inlineStr">
        <is>
          <t>80% – 89%</t>
        </is>
      </c>
      <c r="D18" s="24" t="inlineStr">
        <is>
          <t>حقق المستهدف تقريباً</t>
        </is>
      </c>
    </row>
    <row r="19">
      <c r="B19" s="26" t="inlineStr">
        <is>
          <t>جيد</t>
        </is>
      </c>
      <c r="C19" s="47" t="inlineStr">
        <is>
          <t>70% – 79%</t>
        </is>
      </c>
      <c r="D19" s="24" t="inlineStr">
        <is>
          <t>حقق معظم المستهدفات</t>
        </is>
      </c>
    </row>
    <row r="20">
      <c r="B20" s="26" t="inlineStr">
        <is>
          <t>مقبول</t>
        </is>
      </c>
      <c r="C20" s="47" t="inlineStr">
        <is>
          <t>60% – 69%</t>
        </is>
      </c>
      <c r="D20" s="24" t="inlineStr">
        <is>
          <t>يحتاج تحسين</t>
        </is>
      </c>
    </row>
    <row r="21">
      <c r="B21" s="26" t="inlineStr">
        <is>
          <t>ضعيف</t>
        </is>
      </c>
      <c r="C21" s="47" t="inlineStr">
        <is>
          <t>أقل من 60%</t>
        </is>
      </c>
      <c r="D21" s="24"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8">
    <mergeCell ref="A1:G1"/>
    <mergeCell ref="D18"/>
    <mergeCell ref="A4"/>
    <mergeCell ref="D17"/>
    <mergeCell ref="A3"/>
    <mergeCell ref="B3:C3"/>
    <mergeCell ref="B5:C5"/>
    <mergeCell ref="E5:G5"/>
    <mergeCell ref="D20"/>
    <mergeCell ref="D21"/>
    <mergeCell ref="B16:D16"/>
    <mergeCell ref="D19"/>
    <mergeCell ref="C14:D14"/>
    <mergeCell ref="A2:G2"/>
    <mergeCell ref="E4:G4"/>
    <mergeCell ref="E3:G3"/>
    <mergeCell ref="B4:C4"/>
    <mergeCell ref="A5"/>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48" t="inlineStr">
        <is>
          <t>إدارة الامتياز التجاري · نموذج تقييم الأداء — المراقب الميداني</t>
        </is>
      </c>
    </row>
    <row r="2">
      <c r="A2" s="30" t="inlineStr">
        <is>
          <t>الكود: FM-03   ·   فترة القياس: ربع سنوي   ·   🟩 أدخل «نسبة التحقيق» فقط — الدرجة تُحسب تلقائياً</t>
        </is>
      </c>
    </row>
    <row r="3">
      <c r="A3" s="49" t="inlineStr">
        <is>
          <t>اسم الموظف:</t>
        </is>
      </c>
      <c r="B3" s="50" t="inlineStr"/>
      <c r="C3" s="51" t="n"/>
      <c r="D3" s="49" t="inlineStr">
        <is>
          <t>القسم: الامتياز التجاري</t>
        </is>
      </c>
      <c r="E3" s="50" t="inlineStr"/>
      <c r="F3" s="52" t="n"/>
      <c r="G3" s="51" t="n"/>
    </row>
    <row r="4">
      <c r="A4" s="49" t="inlineStr">
        <is>
          <t>المدير المباشر:</t>
        </is>
      </c>
      <c r="B4" s="50" t="inlineStr"/>
      <c r="C4" s="51" t="n"/>
      <c r="D4" s="49" t="inlineStr">
        <is>
          <t>الربع / السنة:</t>
        </is>
      </c>
      <c r="E4" s="50" t="inlineStr"/>
      <c r="F4" s="52" t="n"/>
      <c r="G4" s="51" t="n"/>
    </row>
    <row r="5">
      <c r="A5" s="49" t="inlineStr">
        <is>
          <t>تاريخ التقييم:</t>
        </is>
      </c>
      <c r="B5" s="50" t="inlineStr"/>
      <c r="C5" s="51" t="n"/>
      <c r="D5" s="49" t="inlineStr">
        <is>
          <t>حالة التقييم:</t>
        </is>
      </c>
      <c r="E5" s="50" t="inlineStr"/>
      <c r="F5" s="52" t="n"/>
      <c r="G5" s="51" t="n"/>
    </row>
    <row r="6" ht="30" customHeight="1">
      <c r="A6" s="31" t="inlineStr">
        <is>
          <t>#</t>
        </is>
      </c>
      <c r="B6" s="31" t="inlineStr">
        <is>
          <t>مؤشر الأداء</t>
        </is>
      </c>
      <c r="C6" s="31" t="inlineStr">
        <is>
          <t>الوزن %</t>
        </is>
      </c>
      <c r="D6" s="31" t="inlineStr">
        <is>
          <t>المستهدف</t>
        </is>
      </c>
      <c r="E6" s="31" t="inlineStr">
        <is>
          <t>نسبة التحقيق</t>
        </is>
      </c>
      <c r="F6" s="31" t="inlineStr">
        <is>
          <t>الدرجة المحققة</t>
        </is>
      </c>
      <c r="G6" s="31" t="inlineStr">
        <is>
          <t>ملاحظات</t>
        </is>
      </c>
    </row>
    <row r="7" ht="28" customHeight="1">
      <c r="A7" s="26" t="n">
        <v>1</v>
      </c>
      <c r="B7" s="24" t="inlineStr">
        <is>
          <t>عدد الزيارات الميدانية المنفذة</t>
        </is>
      </c>
      <c r="C7" s="36" t="n">
        <v>0.3</v>
      </c>
      <c r="D7" s="53" t="inlineStr">
        <is>
          <t>100% من الزيارات المجدولة</t>
        </is>
      </c>
      <c r="E7" s="54" t="n"/>
      <c r="F7" s="25">
        <f>C7*MIN(E7,1)</f>
        <v/>
      </c>
      <c r="G7" s="50" t="inlineStr"/>
    </row>
    <row r="8" ht="28" customHeight="1">
      <c r="A8" s="26" t="n">
        <v>2</v>
      </c>
      <c r="B8" s="24" t="inlineStr">
        <is>
          <t>متابعة تطبيق الهوية المؤسسية</t>
        </is>
      </c>
      <c r="C8" s="36" t="n">
        <v>0.2</v>
      </c>
      <c r="D8" s="53" t="inlineStr">
        <is>
          <t>100% دون ملاحظات متكررة</t>
        </is>
      </c>
      <c r="E8" s="54" t="n"/>
      <c r="F8" s="25">
        <f>C8*MIN(E8,1)</f>
        <v/>
      </c>
      <c r="G8" s="50" t="inlineStr"/>
    </row>
    <row r="9" ht="28" customHeight="1">
      <c r="A9" s="26" t="n">
        <v>3</v>
      </c>
      <c r="B9" s="24" t="inlineStr">
        <is>
          <t>تقارير الجودة الميدانية والـChecklist</t>
        </is>
      </c>
      <c r="C9" s="36" t="n">
        <v>0.2</v>
      </c>
      <c r="D9" s="53" t="inlineStr">
        <is>
          <t>100% رفع التقارير</t>
        </is>
      </c>
      <c r="E9" s="54" t="n"/>
      <c r="F9" s="25">
        <f>C9*MIN(E9,1)</f>
        <v/>
      </c>
      <c r="G9" s="50" t="inlineStr"/>
    </row>
    <row r="10" ht="28" customHeight="1">
      <c r="A10" s="26" t="n">
        <v>4</v>
      </c>
      <c r="B10" s="24" t="inlineStr">
        <is>
          <t>متابعة العلامات التجارية</t>
        </is>
      </c>
      <c r="C10" s="36" t="n">
        <v>0.1</v>
      </c>
      <c r="D10" s="53" t="inlineStr">
        <is>
          <t>100% حسب الجدول</t>
        </is>
      </c>
      <c r="E10" s="54" t="n"/>
      <c r="F10" s="25">
        <f>C10*MIN(E10,1)</f>
        <v/>
      </c>
      <c r="G10" s="50" t="inlineStr"/>
    </row>
    <row r="11" ht="28" customHeight="1">
      <c r="A11" s="26" t="n">
        <v>5</v>
      </c>
      <c r="B11" s="24" t="inlineStr">
        <is>
          <t>تطبيق معايير السلامة الميدانية</t>
        </is>
      </c>
      <c r="C11" s="36" t="n">
        <v>0.1</v>
      </c>
      <c r="D11" s="53" t="inlineStr">
        <is>
          <t>100%</t>
        </is>
      </c>
      <c r="E11" s="54" t="n"/>
      <c r="F11" s="25">
        <f>C11*MIN(E11,1)</f>
        <v/>
      </c>
      <c r="G11" s="50" t="inlineStr"/>
    </row>
    <row r="12" ht="28" customHeight="1">
      <c r="A12" s="26" t="n">
        <v>6</v>
      </c>
      <c r="B12" s="24" t="inlineStr">
        <is>
          <t>متابعة الشكاوى وإغلاقها</t>
        </is>
      </c>
      <c r="C12" s="36" t="n">
        <v>0.1</v>
      </c>
      <c r="D12" s="53" t="inlineStr">
        <is>
          <t>الاستجابة خلال 24 ساعة</t>
        </is>
      </c>
      <c r="E12" s="54" t="n"/>
      <c r="F12" s="25">
        <f>C12*MIN(E12,1)</f>
        <v/>
      </c>
      <c r="G12" s="50" t="inlineStr"/>
    </row>
    <row r="13">
      <c r="A13" s="10" t="inlineStr"/>
      <c r="B13" s="55" t="inlineStr">
        <is>
          <t>المجموع الكلي</t>
        </is>
      </c>
      <c r="C13" s="56">
        <f>SUM(C7:C12)</f>
        <v/>
      </c>
      <c r="D13" s="57" t="inlineStr"/>
      <c r="E13" s="55" t="inlineStr">
        <is>
          <t>الدرجة:</t>
        </is>
      </c>
      <c r="F13" s="58">
        <f>SUM(F7:F12)</f>
        <v/>
      </c>
      <c r="G13" s="57" t="inlineStr"/>
    </row>
    <row r="14">
      <c r="B14" s="5" t="inlineStr">
        <is>
          <t>التقدير</t>
        </is>
      </c>
      <c r="C14" s="59">
        <f>IF(F13&gt;=0.9,"ممتاز",IF(F13&gt;=0.8,"جيد جداً",IF(F13&gt;=0.7,"جيد",IF(F13&gt;=0.6,"مقبول","ضعيف"))))</f>
        <v/>
      </c>
      <c r="D14" s="22" t="n"/>
    </row>
    <row r="16">
      <c r="B16" s="5" t="inlineStr">
        <is>
          <t>سلّم التقييم</t>
        </is>
      </c>
      <c r="C16" s="21" t="n"/>
      <c r="D16" s="22" t="n"/>
    </row>
    <row r="17">
      <c r="B17" s="26" t="inlineStr">
        <is>
          <t>ممتاز</t>
        </is>
      </c>
      <c r="C17" s="47" t="inlineStr">
        <is>
          <t>90% – 100%</t>
        </is>
      </c>
      <c r="D17" s="24" t="inlineStr">
        <is>
          <t>تجاوز المستهدف</t>
        </is>
      </c>
    </row>
    <row r="18">
      <c r="B18" s="26" t="inlineStr">
        <is>
          <t>جيد جداً</t>
        </is>
      </c>
      <c r="C18" s="47" t="inlineStr">
        <is>
          <t>80% – 89%</t>
        </is>
      </c>
      <c r="D18" s="24" t="inlineStr">
        <is>
          <t>حقق المستهدف تقريباً</t>
        </is>
      </c>
    </row>
    <row r="19">
      <c r="B19" s="26" t="inlineStr">
        <is>
          <t>جيد</t>
        </is>
      </c>
      <c r="C19" s="47" t="inlineStr">
        <is>
          <t>70% – 79%</t>
        </is>
      </c>
      <c r="D19" s="24" t="inlineStr">
        <is>
          <t>حقق معظم المستهدفات</t>
        </is>
      </c>
    </row>
    <row r="20">
      <c r="B20" s="26" t="inlineStr">
        <is>
          <t>مقبول</t>
        </is>
      </c>
      <c r="C20" s="47" t="inlineStr">
        <is>
          <t>60% – 69%</t>
        </is>
      </c>
      <c r="D20" s="24" t="inlineStr">
        <is>
          <t>يحتاج تحسين</t>
        </is>
      </c>
    </row>
    <row r="21">
      <c r="B21" s="26" t="inlineStr">
        <is>
          <t>ضعيف</t>
        </is>
      </c>
      <c r="C21" s="47" t="inlineStr">
        <is>
          <t>أقل من 60%</t>
        </is>
      </c>
      <c r="D21" s="24"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8">
    <mergeCell ref="A1:G1"/>
    <mergeCell ref="D18"/>
    <mergeCell ref="A4"/>
    <mergeCell ref="D17"/>
    <mergeCell ref="A3"/>
    <mergeCell ref="B3:C3"/>
    <mergeCell ref="B5:C5"/>
    <mergeCell ref="E5:G5"/>
    <mergeCell ref="D20"/>
    <mergeCell ref="D21"/>
    <mergeCell ref="B16:D16"/>
    <mergeCell ref="D19"/>
    <mergeCell ref="C14:D14"/>
    <mergeCell ref="A2:G2"/>
    <mergeCell ref="E4:G4"/>
    <mergeCell ref="E3:G3"/>
    <mergeCell ref="B4:C4"/>
    <mergeCell ref="A5"/>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48" t="inlineStr">
        <is>
          <t>إدارة الامتياز التجاري · نموذج تقييم الأداء — مسؤول التعاقدات</t>
        </is>
      </c>
    </row>
    <row r="2">
      <c r="A2" s="30" t="inlineStr">
        <is>
          <t>الكود: FM-04   ·   فترة القياس: ربع سنوي   ·   🟩 أدخل «نسبة التحقيق» فقط — الدرجة تُحسب تلقائياً</t>
        </is>
      </c>
    </row>
    <row r="3">
      <c r="A3" s="49" t="inlineStr">
        <is>
          <t>اسم الموظف:</t>
        </is>
      </c>
      <c r="B3" s="50" t="inlineStr"/>
      <c r="C3" s="51" t="n"/>
      <c r="D3" s="49" t="inlineStr">
        <is>
          <t>القسم: الامتياز التجاري</t>
        </is>
      </c>
      <c r="E3" s="50" t="inlineStr"/>
      <c r="F3" s="52" t="n"/>
      <c r="G3" s="51" t="n"/>
    </row>
    <row r="4">
      <c r="A4" s="49" t="inlineStr">
        <is>
          <t>المدير المباشر:</t>
        </is>
      </c>
      <c r="B4" s="50" t="inlineStr"/>
      <c r="C4" s="51" t="n"/>
      <c r="D4" s="49" t="inlineStr">
        <is>
          <t>الربع / السنة:</t>
        </is>
      </c>
      <c r="E4" s="50" t="inlineStr"/>
      <c r="F4" s="52" t="n"/>
      <c r="G4" s="51" t="n"/>
    </row>
    <row r="5">
      <c r="A5" s="49" t="inlineStr">
        <is>
          <t>تاريخ التقييم:</t>
        </is>
      </c>
      <c r="B5" s="50" t="inlineStr"/>
      <c r="C5" s="51" t="n"/>
      <c r="D5" s="49" t="inlineStr">
        <is>
          <t>حالة التقييم:</t>
        </is>
      </c>
      <c r="E5" s="50" t="inlineStr"/>
      <c r="F5" s="52" t="n"/>
      <c r="G5" s="51" t="n"/>
    </row>
    <row r="6" ht="30" customHeight="1">
      <c r="A6" s="31" t="inlineStr">
        <is>
          <t>#</t>
        </is>
      </c>
      <c r="B6" s="31" t="inlineStr">
        <is>
          <t>مؤشر الأداء</t>
        </is>
      </c>
      <c r="C6" s="31" t="inlineStr">
        <is>
          <t>الوزن %</t>
        </is>
      </c>
      <c r="D6" s="31" t="inlineStr">
        <is>
          <t>المستهدف</t>
        </is>
      </c>
      <c r="E6" s="31" t="inlineStr">
        <is>
          <t>نسبة التحقيق</t>
        </is>
      </c>
      <c r="F6" s="31" t="inlineStr">
        <is>
          <t>الدرجة المحققة</t>
        </is>
      </c>
      <c r="G6" s="31" t="inlineStr">
        <is>
          <t>ملاحظات</t>
        </is>
      </c>
    </row>
    <row r="7" ht="28" customHeight="1">
      <c r="A7" s="26" t="n">
        <v>1</v>
      </c>
      <c r="B7" s="24" t="inlineStr">
        <is>
          <t>جودة التفاوض مع العملاء</t>
        </is>
      </c>
      <c r="C7" s="36" t="n">
        <v>0.2</v>
      </c>
      <c r="D7" s="53" t="inlineStr">
        <is>
          <t>98% توافق مع المستهدفات</t>
        </is>
      </c>
      <c r="E7" s="54" t="n"/>
      <c r="F7" s="25">
        <f>C7*MIN(E7,1)</f>
        <v/>
      </c>
      <c r="G7" s="50" t="inlineStr"/>
    </row>
    <row r="8" ht="28" customHeight="1">
      <c r="A8" s="26" t="n">
        <v>2</v>
      </c>
      <c r="B8" s="24" t="inlineStr">
        <is>
          <t>اكتمال المستندات النظامية قبل التوقيع</t>
        </is>
      </c>
      <c r="C8" s="36" t="n">
        <v>0.15</v>
      </c>
      <c r="D8" s="53" t="inlineStr">
        <is>
          <t>100%</t>
        </is>
      </c>
      <c r="E8" s="54" t="n"/>
      <c r="F8" s="25">
        <f>C8*MIN(E8,1)</f>
        <v/>
      </c>
      <c r="G8" s="50" t="inlineStr"/>
    </row>
    <row r="9" ht="28" customHeight="1">
      <c r="A9" s="26" t="n">
        <v>3</v>
      </c>
      <c r="B9" s="24" t="inlineStr">
        <is>
          <t>سرعة إنجاز إجراءات العقد</t>
        </is>
      </c>
      <c r="C9" s="36" t="n">
        <v>0.3</v>
      </c>
      <c r="D9" s="53" t="inlineStr">
        <is>
          <t>خلال يومي عمل 100%</t>
        </is>
      </c>
      <c r="E9" s="54" t="n"/>
      <c r="F9" s="25">
        <f>C9*MIN(E9,1)</f>
        <v/>
      </c>
      <c r="G9" s="50" t="inlineStr"/>
    </row>
    <row r="10" ht="28" customHeight="1">
      <c r="A10" s="26" t="n">
        <v>4</v>
      </c>
      <c r="B10" s="24" t="inlineStr">
        <is>
          <t>أرشفة العقود الإلكترونية</t>
        </is>
      </c>
      <c r="C10" s="36" t="n">
        <v>0.1</v>
      </c>
      <c r="D10" s="53" t="inlineStr">
        <is>
          <t>خلال 48 ساعة 100%</t>
        </is>
      </c>
      <c r="E10" s="54" t="n"/>
      <c r="F10" s="25">
        <f>C10*MIN(E10,1)</f>
        <v/>
      </c>
      <c r="G10" s="50" t="inlineStr"/>
    </row>
    <row r="11" ht="28" customHeight="1">
      <c r="A11" s="26" t="n">
        <v>5</v>
      </c>
      <c r="B11" s="24" t="inlineStr">
        <is>
          <t>متابعة تنفيذ بنود العقد</t>
        </is>
      </c>
      <c r="C11" s="36" t="n">
        <v>0.1</v>
      </c>
      <c r="D11" s="53" t="inlineStr">
        <is>
          <t>100%</t>
        </is>
      </c>
      <c r="E11" s="54" t="n"/>
      <c r="F11" s="25">
        <f>C11*MIN(E11,1)</f>
        <v/>
      </c>
      <c r="G11" s="50" t="inlineStr"/>
    </row>
    <row r="12" ht="28" customHeight="1">
      <c r="A12" s="26" t="n">
        <v>6</v>
      </c>
      <c r="B12" s="24" t="inlineStr">
        <is>
          <t>مدى رضا العملاء</t>
        </is>
      </c>
      <c r="C12" s="36" t="n">
        <v>0.1</v>
      </c>
      <c r="D12" s="53" t="inlineStr">
        <is>
          <t>95% رضا</t>
        </is>
      </c>
      <c r="E12" s="54" t="n"/>
      <c r="F12" s="25">
        <f>C12*MIN(E12,1)</f>
        <v/>
      </c>
      <c r="G12" s="50" t="inlineStr"/>
    </row>
    <row r="13" ht="28" customHeight="1">
      <c r="A13" s="26" t="n">
        <v>7</v>
      </c>
      <c r="B13" s="24" t="inlineStr">
        <is>
          <t>تحديث قاعدة بيانات العملاء</t>
        </is>
      </c>
      <c r="C13" s="36" t="n">
        <v>0.05</v>
      </c>
      <c r="D13" s="53" t="inlineStr">
        <is>
          <t>100% دوري</t>
        </is>
      </c>
      <c r="E13" s="54" t="n"/>
      <c r="F13" s="25">
        <f>C13*MIN(E13,1)</f>
        <v/>
      </c>
      <c r="G13" s="50" t="inlineStr"/>
    </row>
    <row r="14">
      <c r="A14" s="10" t="inlineStr"/>
      <c r="B14" s="55" t="inlineStr">
        <is>
          <t>المجموع الكلي</t>
        </is>
      </c>
      <c r="C14" s="56">
        <f>SUM(C7:C13)</f>
        <v/>
      </c>
      <c r="D14" s="57" t="inlineStr"/>
      <c r="E14" s="55" t="inlineStr">
        <is>
          <t>الدرجة:</t>
        </is>
      </c>
      <c r="F14" s="58">
        <f>SUM(F7:F13)</f>
        <v/>
      </c>
      <c r="G14" s="57" t="inlineStr"/>
    </row>
    <row r="15">
      <c r="B15" s="5" t="inlineStr">
        <is>
          <t>التقدير</t>
        </is>
      </c>
      <c r="C15" s="59">
        <f>IF(F14&gt;=0.9,"ممتاز",IF(F14&gt;=0.8,"جيد جداً",IF(F14&gt;=0.7,"جيد",IF(F14&gt;=0.6,"مقبول","ضعيف"))))</f>
        <v/>
      </c>
      <c r="D15" s="22" t="n"/>
    </row>
    <row r="17">
      <c r="B17" s="5" t="inlineStr">
        <is>
          <t>سلّم التقييم</t>
        </is>
      </c>
      <c r="C17" s="21" t="n"/>
      <c r="D17" s="22" t="n"/>
    </row>
    <row r="18">
      <c r="B18" s="26" t="inlineStr">
        <is>
          <t>ممتاز</t>
        </is>
      </c>
      <c r="C18" s="47" t="inlineStr">
        <is>
          <t>90% – 100%</t>
        </is>
      </c>
      <c r="D18" s="24" t="inlineStr">
        <is>
          <t>تجاوز المستهدف</t>
        </is>
      </c>
    </row>
    <row r="19">
      <c r="B19" s="26" t="inlineStr">
        <is>
          <t>جيد جداً</t>
        </is>
      </c>
      <c r="C19" s="47" t="inlineStr">
        <is>
          <t>80% – 89%</t>
        </is>
      </c>
      <c r="D19" s="24" t="inlineStr">
        <is>
          <t>حقق المستهدف تقريباً</t>
        </is>
      </c>
    </row>
    <row r="20">
      <c r="B20" s="26" t="inlineStr">
        <is>
          <t>جيد</t>
        </is>
      </c>
      <c r="C20" s="47" t="inlineStr">
        <is>
          <t>70% – 79%</t>
        </is>
      </c>
      <c r="D20" s="24" t="inlineStr">
        <is>
          <t>حقق معظم المستهدفات</t>
        </is>
      </c>
    </row>
    <row r="21">
      <c r="B21" s="26" t="inlineStr">
        <is>
          <t>مقبول</t>
        </is>
      </c>
      <c r="C21" s="47" t="inlineStr">
        <is>
          <t>60% – 69%</t>
        </is>
      </c>
      <c r="D21" s="24" t="inlineStr">
        <is>
          <t>يحتاج تحسين</t>
        </is>
      </c>
    </row>
    <row r="22">
      <c r="B22" s="26" t="inlineStr">
        <is>
          <t>ضعيف</t>
        </is>
      </c>
      <c r="C22" s="47" t="inlineStr">
        <is>
          <t>أقل من 60%</t>
        </is>
      </c>
      <c r="D22" s="24"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8">
    <mergeCell ref="D22"/>
    <mergeCell ref="A1:G1"/>
    <mergeCell ref="D18"/>
    <mergeCell ref="A4"/>
    <mergeCell ref="D20"/>
    <mergeCell ref="A3"/>
    <mergeCell ref="B3:C3"/>
    <mergeCell ref="B5:C5"/>
    <mergeCell ref="E5:G5"/>
    <mergeCell ref="C15:D15"/>
    <mergeCell ref="D21"/>
    <mergeCell ref="B17:D17"/>
    <mergeCell ref="D19"/>
    <mergeCell ref="A2:G2"/>
    <mergeCell ref="E4:G4"/>
    <mergeCell ref="E3:G3"/>
    <mergeCell ref="B4:C4"/>
    <mergeCell ref="A5"/>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48" t="inlineStr">
        <is>
          <t>إدارة الامتياز التجاري · نموذج تقييم الأداء — الموظف الإداري</t>
        </is>
      </c>
    </row>
    <row r="2">
      <c r="A2" s="30" t="inlineStr">
        <is>
          <t>الكود: FM-05   ·   فترة القياس: ربع سنوي   ·   🟩 أدخل «نسبة التحقيق» فقط — الدرجة تُحسب تلقائياً</t>
        </is>
      </c>
    </row>
    <row r="3">
      <c r="A3" s="49" t="inlineStr">
        <is>
          <t>اسم الموظف:</t>
        </is>
      </c>
      <c r="B3" s="50" t="inlineStr"/>
      <c r="C3" s="51" t="n"/>
      <c r="D3" s="49" t="inlineStr">
        <is>
          <t>القسم: الامتياز التجاري</t>
        </is>
      </c>
      <c r="E3" s="50" t="inlineStr"/>
      <c r="F3" s="52" t="n"/>
      <c r="G3" s="51" t="n"/>
    </row>
    <row r="4">
      <c r="A4" s="49" t="inlineStr">
        <is>
          <t>المدير المباشر:</t>
        </is>
      </c>
      <c r="B4" s="50" t="inlineStr"/>
      <c r="C4" s="51" t="n"/>
      <c r="D4" s="49" t="inlineStr">
        <is>
          <t>الربع / السنة:</t>
        </is>
      </c>
      <c r="E4" s="50" t="inlineStr"/>
      <c r="F4" s="52" t="n"/>
      <c r="G4" s="51" t="n"/>
    </row>
    <row r="5">
      <c r="A5" s="49" t="inlineStr">
        <is>
          <t>تاريخ التقييم:</t>
        </is>
      </c>
      <c r="B5" s="50" t="inlineStr"/>
      <c r="C5" s="51" t="n"/>
      <c r="D5" s="49" t="inlineStr">
        <is>
          <t>حالة التقييم:</t>
        </is>
      </c>
      <c r="E5" s="50" t="inlineStr"/>
      <c r="F5" s="52" t="n"/>
      <c r="G5" s="51" t="n"/>
    </row>
    <row r="6" ht="30" customHeight="1">
      <c r="A6" s="31" t="inlineStr">
        <is>
          <t>#</t>
        </is>
      </c>
      <c r="B6" s="31" t="inlineStr">
        <is>
          <t>مؤشر الأداء</t>
        </is>
      </c>
      <c r="C6" s="31" t="inlineStr">
        <is>
          <t>الوزن %</t>
        </is>
      </c>
      <c r="D6" s="31" t="inlineStr">
        <is>
          <t>المستهدف</t>
        </is>
      </c>
      <c r="E6" s="31" t="inlineStr">
        <is>
          <t>نسبة التحقيق</t>
        </is>
      </c>
      <c r="F6" s="31" t="inlineStr">
        <is>
          <t>الدرجة المحققة</t>
        </is>
      </c>
      <c r="G6" s="31" t="inlineStr">
        <is>
          <t>ملاحظات</t>
        </is>
      </c>
    </row>
    <row r="7" ht="28" customHeight="1">
      <c r="A7" s="26" t="n">
        <v>1</v>
      </c>
      <c r="B7" s="24" t="inlineStr">
        <is>
          <t>دقة وسرعة إعداد التقارير الدورية</t>
        </is>
      </c>
      <c r="C7" s="36" t="n">
        <v>0.3</v>
      </c>
      <c r="D7" s="53" t="inlineStr">
        <is>
          <t>100% في الوقت المحدد</t>
        </is>
      </c>
      <c r="E7" s="54" t="n"/>
      <c r="F7" s="25">
        <f>C7*MIN(E7,1)</f>
        <v/>
      </c>
      <c r="G7" s="50" t="inlineStr"/>
    </row>
    <row r="8" ht="28" customHeight="1">
      <c r="A8" s="26" t="n">
        <v>2</v>
      </c>
      <c r="B8" s="24" t="inlineStr">
        <is>
          <t>متابعة الشكاوى وحالات العملاء</t>
        </is>
      </c>
      <c r="C8" s="36" t="n">
        <v>0.3</v>
      </c>
      <c r="D8" s="53" t="inlineStr">
        <is>
          <t>100% حتى الإغلاق</t>
        </is>
      </c>
      <c r="E8" s="54" t="n"/>
      <c r="F8" s="25">
        <f>C8*MIN(E8,1)</f>
        <v/>
      </c>
      <c r="G8" s="50" t="inlineStr"/>
    </row>
    <row r="9" ht="28" customHeight="1">
      <c r="A9" s="26" t="n">
        <v>3</v>
      </c>
      <c r="B9" s="24" t="inlineStr">
        <is>
          <t>متابعة عمولات تأجير الوحدات</t>
        </is>
      </c>
      <c r="C9" s="36" t="n">
        <v>0.2</v>
      </c>
      <c r="D9" s="53" t="inlineStr">
        <is>
          <t>100%</t>
        </is>
      </c>
      <c r="E9" s="54" t="n"/>
      <c r="F9" s="25">
        <f>C9*MIN(E9,1)</f>
        <v/>
      </c>
      <c r="G9" s="50" t="inlineStr"/>
    </row>
    <row r="10" ht="28" customHeight="1">
      <c r="A10" s="26" t="n">
        <v>4</v>
      </c>
      <c r="B10" s="24" t="inlineStr">
        <is>
          <t>تحديث بيانات العملاء والمحطات</t>
        </is>
      </c>
      <c r="C10" s="36" t="n">
        <v>0.1</v>
      </c>
      <c r="D10" s="53" t="inlineStr">
        <is>
          <t>100% دقة</t>
        </is>
      </c>
      <c r="E10" s="54" t="n"/>
      <c r="F10" s="25">
        <f>C10*MIN(E10,1)</f>
        <v/>
      </c>
      <c r="G10" s="50" t="inlineStr"/>
    </row>
    <row r="11" ht="28" customHeight="1">
      <c r="A11" s="26" t="n">
        <v>5</v>
      </c>
      <c r="B11" s="24" t="inlineStr">
        <is>
          <t>إعداد المراسلات الرسمية</t>
        </is>
      </c>
      <c r="C11" s="36" t="n">
        <v>0.1</v>
      </c>
      <c r="D11" s="53" t="inlineStr">
        <is>
          <t>100% في الوقت المحدد</t>
        </is>
      </c>
      <c r="E11" s="54" t="n"/>
      <c r="F11" s="25">
        <f>C11*MIN(E11,1)</f>
        <v/>
      </c>
      <c r="G11" s="50" t="inlineStr"/>
    </row>
    <row r="12">
      <c r="A12" s="10" t="inlineStr"/>
      <c r="B12" s="55" t="inlineStr">
        <is>
          <t>المجموع الكلي</t>
        </is>
      </c>
      <c r="C12" s="56">
        <f>SUM(C7:C11)</f>
        <v/>
      </c>
      <c r="D12" s="57" t="inlineStr"/>
      <c r="E12" s="55" t="inlineStr">
        <is>
          <t>الدرجة:</t>
        </is>
      </c>
      <c r="F12" s="58">
        <f>SUM(F7:F11)</f>
        <v/>
      </c>
      <c r="G12" s="57" t="inlineStr"/>
    </row>
    <row r="13">
      <c r="B13" s="5" t="inlineStr">
        <is>
          <t>التقدير</t>
        </is>
      </c>
      <c r="C13" s="59">
        <f>IF(F12&gt;=0.9,"ممتاز",IF(F12&gt;=0.8,"جيد جداً",IF(F12&gt;=0.7,"جيد",IF(F12&gt;=0.6,"مقبول","ضعيف"))))</f>
        <v/>
      </c>
      <c r="D13" s="22" t="n"/>
    </row>
    <row r="15">
      <c r="B15" s="5" t="inlineStr">
        <is>
          <t>سلّم التقييم</t>
        </is>
      </c>
      <c r="C15" s="21" t="n"/>
      <c r="D15" s="22" t="n"/>
    </row>
    <row r="16">
      <c r="B16" s="26" t="inlineStr">
        <is>
          <t>ممتاز</t>
        </is>
      </c>
      <c r="C16" s="47" t="inlineStr">
        <is>
          <t>90% – 100%</t>
        </is>
      </c>
      <c r="D16" s="24" t="inlineStr">
        <is>
          <t>تجاوز المستهدف</t>
        </is>
      </c>
    </row>
    <row r="17">
      <c r="B17" s="26" t="inlineStr">
        <is>
          <t>جيد جداً</t>
        </is>
      </c>
      <c r="C17" s="47" t="inlineStr">
        <is>
          <t>80% – 89%</t>
        </is>
      </c>
      <c r="D17" s="24" t="inlineStr">
        <is>
          <t>حقق المستهدف تقريباً</t>
        </is>
      </c>
    </row>
    <row r="18">
      <c r="B18" s="26" t="inlineStr">
        <is>
          <t>جيد</t>
        </is>
      </c>
      <c r="C18" s="47" t="inlineStr">
        <is>
          <t>70% – 79%</t>
        </is>
      </c>
      <c r="D18" s="24" t="inlineStr">
        <is>
          <t>حقق معظم المستهدفات</t>
        </is>
      </c>
    </row>
    <row r="19">
      <c r="B19" s="26" t="inlineStr">
        <is>
          <t>مقبول</t>
        </is>
      </c>
      <c r="C19" s="47" t="inlineStr">
        <is>
          <t>60% – 69%</t>
        </is>
      </c>
      <c r="D19" s="24" t="inlineStr">
        <is>
          <t>يحتاج تحسين</t>
        </is>
      </c>
    </row>
    <row r="20">
      <c r="B20" s="26" t="inlineStr">
        <is>
          <t>ضعيف</t>
        </is>
      </c>
      <c r="C20" s="47" t="inlineStr">
        <is>
          <t>أقل من 60%</t>
        </is>
      </c>
      <c r="D20" s="24"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8">
    <mergeCell ref="A1:G1"/>
    <mergeCell ref="D18"/>
    <mergeCell ref="A4"/>
    <mergeCell ref="D17"/>
    <mergeCell ref="A3"/>
    <mergeCell ref="B3:C3"/>
    <mergeCell ref="B5:C5"/>
    <mergeCell ref="E5:G5"/>
    <mergeCell ref="D20"/>
    <mergeCell ref="D16"/>
    <mergeCell ref="D19"/>
    <mergeCell ref="A2:G2"/>
    <mergeCell ref="E4:G4"/>
    <mergeCell ref="C13:D13"/>
    <mergeCell ref="E3:G3"/>
    <mergeCell ref="B15:D15"/>
    <mergeCell ref="B4:C4"/>
    <mergeCell ref="A5"/>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2026-06-09T14:21:10Z</dcterms:created>
  <dcterms:modified xsi:type="dcterms:W3CDTF">2026-06-09T14:21:11Z</dcterms:modified>
</cp:coreProperties>
</file>