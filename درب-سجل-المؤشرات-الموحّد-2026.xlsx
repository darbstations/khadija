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استراتيجية" sheetId="1" state="visible" r:id="rId1"/>
    <sheet xmlns:r="http://schemas.openxmlformats.org/officeDocument/2006/relationships" name="اللوحة الموجزة" sheetId="2" state="visible" r:id="rId2"/>
    <sheet xmlns:r="http://schemas.openxmlformats.org/officeDocument/2006/relationships" name="سجل المؤشرات" sheetId="3" state="visible" r:id="rId3"/>
  </sheets>
  <definedNames>
    <definedName name="_xlnm._FilterDatabase" localSheetId="2" hidden="1">'سجل المؤشرات'!$A$3:$AC$146</definedName>
  </definedNames>
  <calcPr calcId="124519" fullCalcOnLoad="1"/>
</workbook>
</file>

<file path=xl/styles.xml><?xml version="1.0" encoding="utf-8"?>
<styleSheet xmlns="http://schemas.openxmlformats.org/spreadsheetml/2006/main">
  <numFmts count="2">
    <numFmt numFmtId="164" formatCode="#,##0 &quot;ر.س&quot;"/>
    <numFmt numFmtId="165" formatCode="0.0"/>
  </numFmts>
  <fonts count="20">
    <font>
      <name val="Calibri"/>
      <family val="2"/>
      <color theme="1"/>
      <sz val="11"/>
      <scheme val="minor"/>
    </font>
    <font>
      <name val="Tajawal"/>
      <b val="1"/>
      <color rgb="00FFFFFF"/>
      <sz val="14"/>
    </font>
    <font>
      <name val="Tajawal"/>
      <color rgb="0058595B"/>
      <sz val="9"/>
    </font>
    <font>
      <name val="Tajawal"/>
      <b val="1"/>
      <color rgb="00FFFFFF"/>
      <sz val="9"/>
    </font>
    <font>
      <name val="Tajawal"/>
      <b val="1"/>
      <color rgb="00222222"/>
      <sz val="9"/>
    </font>
    <font>
      <name val="Tajawal"/>
      <color rgb="00222222"/>
      <sz val="9"/>
    </font>
    <font>
      <name val="Tajawal"/>
      <color rgb="00222222"/>
      <sz val="10"/>
    </font>
    <font>
      <name val="Tajawal"/>
      <color rgb="00222222"/>
      <sz val="8"/>
    </font>
    <font>
      <name val="Tajawal"/>
      <color rgb="00666666"/>
      <sz val="8"/>
    </font>
    <font>
      <name val="Tajawal"/>
      <color rgb="00F47A21"/>
      <sz val="9"/>
    </font>
    <font>
      <name val="Tajawal"/>
      <b val="1"/>
      <color rgb="0058595B"/>
      <sz val="9"/>
    </font>
    <font>
      <name val="Tajawal"/>
      <b val="1"/>
      <color rgb="00FFFFFF"/>
      <sz val="15"/>
    </font>
    <font>
      <name val="Tajawal"/>
      <b val="1"/>
      <color rgb="00FFFFFF"/>
      <sz val="10"/>
    </font>
    <font>
      <name val="Tajawal"/>
      <b val="1"/>
      <color rgb="00FFFFFF"/>
      <sz val="11"/>
    </font>
    <font>
      <name val="Tajawal"/>
      <color rgb="00FFFFFF"/>
      <sz val="9"/>
    </font>
    <font>
      <name val="Tajawal"/>
      <b val="1"/>
      <color rgb="0058595B"/>
      <sz val="11"/>
    </font>
    <font>
      <name val="Tajawal"/>
      <b val="1"/>
      <color rgb="00F47A21"/>
      <sz val="9"/>
    </font>
    <font>
      <name val="Tajawal"/>
      <b val="1"/>
      <color rgb="00FFFFFF"/>
      <sz val="12"/>
    </font>
    <font>
      <name val="Tajawal"/>
      <b val="1"/>
      <color rgb="00F47A21"/>
      <sz val="22"/>
    </font>
    <font>
      <name val="Tajawal"/>
      <b val="1"/>
      <color rgb="0058595B"/>
      <sz val="18"/>
    </font>
  </fonts>
  <fills count="8">
    <fill>
      <patternFill/>
    </fill>
    <fill>
      <patternFill patternType="gray125"/>
    </fill>
    <fill>
      <patternFill patternType="solid">
        <fgColor rgb="0058595B"/>
      </patternFill>
    </fill>
    <fill>
      <patternFill patternType="solid">
        <fgColor rgb="00FDE3D1"/>
      </patternFill>
    </fill>
    <fill>
      <patternFill patternType="solid">
        <fgColor rgb="00808285"/>
      </patternFill>
    </fill>
    <fill>
      <patternFill patternType="solid">
        <fgColor rgb="00C6EFCE"/>
      </patternFill>
    </fill>
    <fill>
      <patternFill patternType="solid">
        <fgColor rgb="00F47A21"/>
      </patternFill>
    </fill>
    <fill>
      <patternFill patternType="solid">
        <fgColor rgb="00A7A9AC"/>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41">
    <xf numFmtId="0" fontId="0" fillId="0" borderId="0" pivotButton="0" quotePrefix="0" xfId="0"/>
    <xf numFmtId="0" fontId="11" fillId="2" borderId="0" applyAlignment="1" pivotButton="0" quotePrefix="0" xfId="0">
      <alignment horizontal="center" vertical="center"/>
    </xf>
    <xf numFmtId="0" fontId="12" fillId="4" borderId="1" applyAlignment="1" pivotButton="0" quotePrefix="0" xfId="0">
      <alignment horizontal="center" vertical="center"/>
    </xf>
    <xf numFmtId="0" fontId="6" fillId="4" borderId="1" applyAlignment="1" pivotButton="0" quotePrefix="0" xfId="0">
      <alignment horizontal="right" vertical="center"/>
    </xf>
    <xf numFmtId="0" fontId="13" fillId="4" borderId="1" applyAlignment="1" pivotButton="0" quotePrefix="0" xfId="0">
      <alignment horizontal="right" vertical="center" wrapText="1"/>
    </xf>
    <xf numFmtId="0" fontId="14" fillId="4" borderId="1" applyAlignment="1" pivotButton="0" quotePrefix="0" xfId="0">
      <alignment horizontal="right" vertical="center" wrapText="1"/>
    </xf>
    <xf numFmtId="0" fontId="3" fillId="4" borderId="1" applyAlignment="1" pivotButton="0" quotePrefix="0" xfId="0">
      <alignment horizontal="right" vertical="center" wrapText="1"/>
    </xf>
    <xf numFmtId="0" fontId="6" fillId="0" borderId="1" applyAlignment="1" pivotButton="0" quotePrefix="0" xfId="0">
      <alignment horizontal="right" vertical="center"/>
    </xf>
    <xf numFmtId="0" fontId="15" fillId="0" borderId="1" applyAlignment="1" pivotButton="0" quotePrefix="0" xfId="0">
      <alignment horizontal="right" vertical="center" wrapText="1"/>
    </xf>
    <xf numFmtId="0" fontId="5" fillId="0" borderId="1" applyAlignment="1" pivotButton="0" quotePrefix="0" xfId="0">
      <alignment horizontal="right" vertical="center" wrapText="1"/>
    </xf>
    <xf numFmtId="0" fontId="16" fillId="0" borderId="1" applyAlignment="1" pivotButton="0" quotePrefix="0" xfId="0">
      <alignment horizontal="right" vertical="center" wrapText="1"/>
    </xf>
    <xf numFmtId="0" fontId="17" fillId="6" borderId="1" applyAlignment="1" pivotButton="0" quotePrefix="0" xfId="0">
      <alignment horizontal="center" vertical="center"/>
    </xf>
    <xf numFmtId="0" fontId="0" fillId="0" borderId="4" pivotButton="0" quotePrefix="0" xfId="0"/>
    <xf numFmtId="0" fontId="0" fillId="0" borderId="5" pivotButton="0" quotePrefix="0" xfId="0"/>
    <xf numFmtId="0" fontId="5" fillId="0" borderId="1" applyAlignment="1" pivotButton="0" quotePrefix="0" xfId="0">
      <alignment horizontal="center" vertical="center"/>
    </xf>
    <xf numFmtId="0" fontId="4" fillId="0" borderId="1" applyAlignment="1" pivotButton="0" quotePrefix="0" xfId="0">
      <alignment horizontal="center" vertical="center"/>
    </xf>
    <xf numFmtId="9" fontId="10" fillId="0" borderId="1" applyAlignment="1" pivotButton="0" quotePrefix="0" xfId="0">
      <alignment horizontal="center" vertical="center"/>
    </xf>
    <xf numFmtId="0" fontId="13" fillId="4" borderId="1" applyAlignment="1" pivotButton="0" quotePrefix="0" xfId="0">
      <alignment horizontal="center" vertical="center"/>
    </xf>
    <xf numFmtId="0" fontId="12" fillId="7" borderId="1" applyAlignment="1" pivotButton="0" quotePrefix="0" xfId="0">
      <alignment horizontal="center" vertical="center"/>
    </xf>
    <xf numFmtId="9" fontId="18" fillId="0" borderId="1" applyAlignment="1" pivotButton="0" quotePrefix="0" xfId="0">
      <alignment horizontal="center" vertical="center"/>
    </xf>
    <xf numFmtId="0" fontId="19" fillId="0" borderId="1" applyAlignment="1" pivotButton="0" quotePrefix="0" xfId="0">
      <alignment horizontal="center" vertical="center"/>
    </xf>
    <xf numFmtId="0" fontId="5" fillId="0" borderId="1" applyAlignment="1" pivotButton="0" quotePrefix="0" xfId="0">
      <alignment horizontal="right" vertical="center"/>
    </xf>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6" fillId="0" borderId="1" applyAlignment="1" pivotButton="0" quotePrefix="0" xfId="0">
      <alignment horizontal="center" vertical="center"/>
    </xf>
    <xf numFmtId="0" fontId="7" fillId="0" borderId="1" applyAlignment="1" pivotButton="0" quotePrefix="0" xfId="0">
      <alignment horizontal="center" vertical="center"/>
    </xf>
    <xf numFmtId="9" fontId="6" fillId="0" borderId="1" applyAlignment="1" pivotButton="0" quotePrefix="0" xfId="0">
      <alignment horizontal="center" vertical="center"/>
    </xf>
    <xf numFmtId="3" fontId="6" fillId="0" borderId="1" applyAlignment="1" pivotButton="0" quotePrefix="0" xfId="0">
      <alignment horizontal="center" vertical="center"/>
    </xf>
    <xf numFmtId="0" fontId="8" fillId="0" borderId="1" applyAlignment="1" pivotButton="0" quotePrefix="0" xfId="0">
      <alignment horizontal="center" vertical="center" wrapText="1"/>
    </xf>
    <xf numFmtId="0" fontId="9" fillId="0" borderId="1" applyAlignment="1" pivotButton="0" quotePrefix="0" xfId="0">
      <alignment horizontal="center" vertical="center"/>
    </xf>
    <xf numFmtId="0" fontId="7" fillId="0" borderId="1" applyAlignment="1" pivotButton="0" quotePrefix="0" xfId="0">
      <alignment horizontal="right" vertical="center" wrapText="1"/>
    </xf>
    <xf numFmtId="3" fontId="6" fillId="5" borderId="1" applyAlignment="1" applyProtection="1" pivotButton="0" quotePrefix="0" xfId="0">
      <alignment horizontal="center" vertical="center"/>
      <protection locked="0" hidden="0"/>
    </xf>
    <xf numFmtId="3" fontId="4" fillId="0" borderId="1" applyAlignment="1" pivotButton="0" quotePrefix="0" xfId="0">
      <alignment horizontal="center" vertical="center"/>
    </xf>
    <xf numFmtId="164" fontId="6" fillId="5" borderId="1" applyAlignment="1" applyProtection="1" pivotButton="0" quotePrefix="0" xfId="0">
      <alignment horizontal="center" vertical="center"/>
      <protection locked="0" hidden="0"/>
    </xf>
    <xf numFmtId="164" fontId="4" fillId="0" borderId="1" applyAlignment="1" pivotButton="0" quotePrefix="0" xfId="0">
      <alignment horizontal="center" vertical="center"/>
    </xf>
    <xf numFmtId="9" fontId="6" fillId="5" borderId="1" applyAlignment="1" applyProtection="1" pivotButton="0" quotePrefix="0" xfId="0">
      <alignment horizontal="center" vertical="center"/>
      <protection locked="0" hidden="0"/>
    </xf>
    <xf numFmtId="9" fontId="4" fillId="0" borderId="1" applyAlignment="1" pivotButton="0" quotePrefix="0" xfId="0">
      <alignment horizontal="center" vertical="center"/>
    </xf>
    <xf numFmtId="165" fontId="6" fillId="0" borderId="1" applyAlignment="1" pivotButton="0" quotePrefix="0" xfId="0">
      <alignment horizontal="center" vertical="center"/>
    </xf>
    <xf numFmtId="165" fontId="6" fillId="5" borderId="1" applyAlignment="1" applyProtection="1" pivotButton="0" quotePrefix="0" xfId="0">
      <alignment horizontal="center" vertical="center"/>
      <protection locked="0" hidden="0"/>
    </xf>
    <xf numFmtId="165"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0</row>
      <rowOff>0</rowOff>
    </from>
    <ext cx="1428750" cy="3714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2:E28"/>
  <sheetViews>
    <sheetView showGridLines="0" rightToLeft="1" workbookViewId="0">
      <selection activeCell="A1" sqref="A1"/>
    </sheetView>
  </sheetViews>
  <sheetFormatPr baseColWidth="8" defaultRowHeight="15"/>
  <cols>
    <col width="3" customWidth="1" min="1" max="1"/>
    <col width="26" customWidth="1" min="2" max="2"/>
    <col width="40" customWidth="1" min="3" max="3"/>
    <col width="30" customWidth="1" min="4" max="4"/>
    <col width="14" customWidth="1" min="5" max="5"/>
  </cols>
  <sheetData>
    <row r="1" ht="46" customHeight="1"/>
    <row r="2" ht="26" customHeight="1">
      <c r="B2" s="1" t="inlineStr">
        <is>
          <t>درب · الاستراتيجية والركائز 2026 — قطاع المحطات والعقار</t>
        </is>
      </c>
    </row>
    <row r="4">
      <c r="A4" s="2" t="inlineStr"/>
      <c r="B4" s="2" t="inlineStr">
        <is>
          <t>الركيزة (5 سنوات)</t>
        </is>
      </c>
      <c r="C4" s="2" t="inlineStr">
        <is>
          <t>الوصف</t>
        </is>
      </c>
      <c r="D4" s="2" t="inlineStr">
        <is>
          <t>مستهدف 2026</t>
        </is>
      </c>
    </row>
    <row r="5" ht="24" customHeight="1">
      <c r="A5" s="3" t="inlineStr"/>
      <c r="B5" s="4" t="inlineStr">
        <is>
          <t>النمو</t>
        </is>
      </c>
      <c r="C5" s="5" t="inlineStr">
        <is>
          <t>التوسع في المواقع وزيادة الوصول وتنمية الإيراد.</t>
        </is>
      </c>
      <c r="D5" s="6" t="inlineStr"/>
    </row>
    <row r="6" ht="24" customHeight="1">
      <c r="A6" s="7" t="inlineStr"/>
      <c r="B6" s="8" t="inlineStr">
        <is>
          <t>التوسع في المواقع</t>
        </is>
      </c>
      <c r="C6" s="9" t="inlineStr">
        <is>
          <t>افتتاح وتشغيل محطات جديدة.</t>
        </is>
      </c>
      <c r="D6" s="10" t="inlineStr">
        <is>
          <t>التشغيل 85 · الامتياز 150 محطة</t>
        </is>
      </c>
    </row>
    <row r="7" ht="24" customHeight="1">
      <c r="A7" s="7" t="inlineStr"/>
      <c r="B7" s="8" t="inlineStr">
        <is>
          <t>الامتياز والعقود</t>
        </is>
      </c>
      <c r="C7" s="9" t="inlineStr">
        <is>
          <t>تنمية الإيراد عبر الامتياز والاستثمار.</t>
        </is>
      </c>
      <c r="D7" s="10" t="inlineStr">
        <is>
          <t>الامتياز 167 · الاستثمار 190 عقد</t>
        </is>
      </c>
    </row>
    <row r="8" ht="24" customHeight="1">
      <c r="A8" s="7" t="inlineStr"/>
      <c r="B8" s="8" t="inlineStr">
        <is>
          <t>زيادة وصول العملاء</t>
        </is>
      </c>
      <c r="C8" s="9" t="inlineStr">
        <is>
          <t>رفع المبيعات والتغطية.</t>
        </is>
      </c>
      <c r="D8" s="10" t="inlineStr">
        <is>
          <t>718.8M لتر · 13 منطقة</t>
        </is>
      </c>
    </row>
    <row r="9" ht="24" customHeight="1">
      <c r="A9" s="3" t="inlineStr"/>
      <c r="B9" s="4" t="inlineStr">
        <is>
          <t>الابتكار</t>
        </is>
      </c>
      <c r="C9" s="5" t="inlineStr">
        <is>
          <t>مشاريع جديدة وتحول تقني وهوية وتانكي.</t>
        </is>
      </c>
      <c r="D9" s="6" t="inlineStr"/>
    </row>
    <row r="10" ht="24" customHeight="1">
      <c r="A10" s="7" t="inlineStr"/>
      <c r="B10" s="8" t="inlineStr">
        <is>
          <t>التحول التقني وتانكي</t>
        </is>
      </c>
      <c r="C10" s="9" t="inlineStr">
        <is>
          <t>أتمتة 164 محطة · D365 · تطبيق تانكي (التسويق).</t>
        </is>
      </c>
      <c r="D10" s="10" t="inlineStr">
        <is>
          <t>أتمتة 90% · تانكي تصاعدي</t>
        </is>
      </c>
    </row>
    <row r="11" ht="24" customHeight="1">
      <c r="A11" s="3" t="inlineStr"/>
      <c r="B11" s="4" t="inlineStr">
        <is>
          <t>الاستدامة</t>
        </is>
      </c>
      <c r="C11" s="5" t="inlineStr">
        <is>
          <t>جودة التشغيل وتجربة العميل والموظفين.</t>
        </is>
      </c>
      <c r="D11" s="6" t="inlineStr"/>
    </row>
    <row r="12" ht="24" customHeight="1">
      <c r="A12" s="7" t="inlineStr"/>
      <c r="B12" s="8" t="inlineStr">
        <is>
          <t>جودة التشغيل وتجربة العميل</t>
        </is>
      </c>
      <c r="C12" s="9" t="inlineStr">
        <is>
          <t>جاهزية وأمن سيبراني ورضا.</t>
        </is>
      </c>
      <c r="D12" s="10" t="inlineStr">
        <is>
          <t>جاهزية 99% · CSAT 90%</t>
        </is>
      </c>
    </row>
    <row r="13" ht="24" customHeight="1">
      <c r="A13" s="7" t="inlineStr"/>
      <c r="B13" s="8" t="inlineStr">
        <is>
          <t>الاستثمار في الموظفين</t>
        </is>
      </c>
      <c r="C13" s="9" t="inlineStr">
        <is>
          <t>التوطين والتدريب والاستبقاء.</t>
        </is>
      </c>
      <c r="D13" s="10" t="inlineStr">
        <is>
          <t>6 دورات · استبقاء 90%</t>
        </is>
      </c>
    </row>
    <row r="15">
      <c r="B15" s="11" t="inlineStr">
        <is>
          <t>الخارطة التنفيذية — المشاريع</t>
        </is>
      </c>
      <c r="C15" s="12" t="n"/>
      <c r="D15" s="12" t="n"/>
      <c r="E15" s="13" t="n"/>
    </row>
    <row r="16">
      <c r="B16" s="2" t="inlineStr">
        <is>
          <t>المشروع</t>
        </is>
      </c>
      <c r="C16" s="2" t="inlineStr">
        <is>
          <t>الركيزة</t>
        </is>
      </c>
      <c r="D16" s="2" t="inlineStr">
        <is>
          <t>عدد المؤشرات</t>
        </is>
      </c>
      <c r="E16" s="2" t="inlineStr">
        <is>
          <t>الأداء (حي)</t>
        </is>
      </c>
    </row>
    <row r="17">
      <c r="B17" s="9" t="inlineStr">
        <is>
          <t>التوسع في المواقع</t>
        </is>
      </c>
      <c r="C17" s="14" t="inlineStr">
        <is>
          <t>النمو</t>
        </is>
      </c>
      <c r="D17" s="15">
        <f>COUNTIF('سجل المؤشرات'!$M$4:$M$146,"التوسع في المواقع")</f>
        <v/>
      </c>
      <c r="E17" s="16">
        <f>IFERROR(AVERAGEIFS('سجل المؤشرات'!$AB$4:$AB$146,'سجل المؤشرات'!$M$4:$M$146,"التوسع في المواقع"),"—")</f>
        <v/>
      </c>
    </row>
    <row r="18">
      <c r="B18" s="9" t="inlineStr">
        <is>
          <t>الامتياز التجاري</t>
        </is>
      </c>
      <c r="C18" s="14" t="inlineStr">
        <is>
          <t>النمو</t>
        </is>
      </c>
      <c r="D18" s="15">
        <f>COUNTIF('سجل المؤشرات'!$M$4:$M$146,"الامتياز التجاري")</f>
        <v/>
      </c>
      <c r="E18" s="16">
        <f>IFERROR(AVERAGEIFS('سجل المؤشرات'!$AB$4:$AB$146,'سجل المؤشرات'!$M$4:$M$146,"الامتياز التجاري"),"—")</f>
        <v/>
      </c>
    </row>
    <row r="19">
      <c r="B19" s="9" t="inlineStr">
        <is>
          <t>زيادة وصول العملاء</t>
        </is>
      </c>
      <c r="C19" s="14" t="inlineStr">
        <is>
          <t>النمو</t>
        </is>
      </c>
      <c r="D19" s="15">
        <f>COUNTIF('سجل المؤشرات'!$M$4:$M$146,"زيادة وصول العملاء")</f>
        <v/>
      </c>
      <c r="E19" s="16">
        <f>IFERROR(AVERAGEIFS('سجل المؤشرات'!$AB$4:$AB$146,'سجل المؤشرات'!$M$4:$M$146,"زيادة وصول العملاء"),"—")</f>
        <v/>
      </c>
    </row>
    <row r="20">
      <c r="B20" s="9" t="inlineStr">
        <is>
          <t>إطلاق مشاريع جديدة</t>
        </is>
      </c>
      <c r="C20" s="14" t="inlineStr">
        <is>
          <t>الابتكار</t>
        </is>
      </c>
      <c r="D20" s="15">
        <f>COUNTIF('سجل المؤشرات'!$M$4:$M$146,"إطلاق مشاريع جديدة")</f>
        <v/>
      </c>
      <c r="E20" s="16">
        <f>IFERROR(AVERAGEIFS('سجل المؤشرات'!$AB$4:$AB$146,'سجل المؤشرات'!$M$4:$M$146,"إطلاق مشاريع جديدة"),"—")</f>
        <v/>
      </c>
    </row>
    <row r="21">
      <c r="B21" s="9" t="inlineStr">
        <is>
          <t>تطوير التصاميم والهوية</t>
        </is>
      </c>
      <c r="C21" s="14" t="inlineStr">
        <is>
          <t>الابتكار</t>
        </is>
      </c>
      <c r="D21" s="15">
        <f>COUNTIF('سجل المؤشرات'!$M$4:$M$146,"تطوير التصاميم والهوية")</f>
        <v/>
      </c>
      <c r="E21" s="16">
        <f>IFERROR(AVERAGEIFS('سجل المؤشرات'!$AB$4:$AB$146,'سجل المؤشرات'!$M$4:$M$146,"تطوير التصاميم والهوية"),"—")</f>
        <v/>
      </c>
    </row>
    <row r="22">
      <c r="B22" s="9" t="inlineStr">
        <is>
          <t>التحول التقني</t>
        </is>
      </c>
      <c r="C22" s="14" t="inlineStr">
        <is>
          <t>الابتكار</t>
        </is>
      </c>
      <c r="D22" s="15">
        <f>COUNTIF('سجل المؤشرات'!$M$4:$M$146,"التحول التقني")</f>
        <v/>
      </c>
      <c r="E22" s="16">
        <f>IFERROR(AVERAGEIFS('سجل المؤشرات'!$AB$4:$AB$146,'سجل المؤشرات'!$M$4:$M$146,"التحول التقني"),"—")</f>
        <v/>
      </c>
    </row>
    <row r="23">
      <c r="B23" s="9" t="inlineStr">
        <is>
          <t>ساحات درب</t>
        </is>
      </c>
      <c r="C23" s="14" t="inlineStr">
        <is>
          <t>الابتكار</t>
        </is>
      </c>
      <c r="D23" s="15">
        <f>COUNTIF('سجل المؤشرات'!$M$4:$M$146,"ساحات درب")</f>
        <v/>
      </c>
      <c r="E23" s="16">
        <f>IFERROR(AVERAGEIFS('سجل المؤشرات'!$AB$4:$AB$146,'سجل المؤشرات'!$M$4:$M$146,"ساحات درب"),"—")</f>
        <v/>
      </c>
    </row>
    <row r="24">
      <c r="B24" s="9" t="inlineStr">
        <is>
          <t>تطبيق «تانكي»</t>
        </is>
      </c>
      <c r="C24" s="14" t="inlineStr">
        <is>
          <t>الابتكار</t>
        </is>
      </c>
      <c r="D24" s="15">
        <f>COUNTIF('سجل المؤشرات'!$M$4:$M$146,"تطبيق «تانكي»")</f>
        <v/>
      </c>
      <c r="E24" s="16">
        <f>IFERROR(AVERAGEIFS('سجل المؤشرات'!$AB$4:$AB$146,'سجل المؤشرات'!$M$4:$M$146,"تطبيق «تانكي»"),"—")</f>
        <v/>
      </c>
    </row>
    <row r="25">
      <c r="B25" s="9" t="inlineStr">
        <is>
          <t>تعزيز تجربة العملاء</t>
        </is>
      </c>
      <c r="C25" s="14" t="inlineStr">
        <is>
          <t>الاستدامة</t>
        </is>
      </c>
      <c r="D25" s="15">
        <f>COUNTIF('سجل المؤشرات'!$M$4:$M$146,"تعزيز تجربة العملاء")</f>
        <v/>
      </c>
      <c r="E25" s="16">
        <f>IFERROR(AVERAGEIFS('سجل المؤشرات'!$AB$4:$AB$146,'سجل المؤشرات'!$M$4:$M$146,"تعزيز تجربة العملاء"),"—")</f>
        <v/>
      </c>
    </row>
    <row r="26">
      <c r="B26" s="9" t="inlineStr">
        <is>
          <t>جودة التشغيل</t>
        </is>
      </c>
      <c r="C26" s="14" t="inlineStr">
        <is>
          <t>الاستدامة</t>
        </is>
      </c>
      <c r="D26" s="15">
        <f>COUNTIF('سجل المؤشرات'!$M$4:$M$146,"جودة التشغيل")</f>
        <v/>
      </c>
      <c r="E26" s="16">
        <f>IFERROR(AVERAGEIFS('سجل المؤشرات'!$AB$4:$AB$146,'سجل المؤشرات'!$M$4:$M$146,"جودة التشغيل"),"—")</f>
        <v/>
      </c>
    </row>
    <row r="27">
      <c r="B27" s="9" t="inlineStr">
        <is>
          <t>منظومة التأجير</t>
        </is>
      </c>
      <c r="C27" s="14" t="inlineStr">
        <is>
          <t>الاستدامة</t>
        </is>
      </c>
      <c r="D27" s="15">
        <f>COUNTIF('سجل المؤشرات'!$M$4:$M$146,"منظومة التأجير")</f>
        <v/>
      </c>
      <c r="E27" s="16">
        <f>IFERROR(AVERAGEIFS('سجل المؤشرات'!$AB$4:$AB$146,'سجل المؤشرات'!$M$4:$M$146,"منظومة التأجير"),"—")</f>
        <v/>
      </c>
    </row>
    <row r="28">
      <c r="B28" s="9" t="inlineStr">
        <is>
          <t>الاستثمار في الموظفين</t>
        </is>
      </c>
      <c r="C28" s="14" t="inlineStr">
        <is>
          <t>الاستدامة</t>
        </is>
      </c>
      <c r="D28" s="15">
        <f>COUNTIF('سجل المؤشرات'!$M$4:$M$146,"الاستثمار في الموظفين")</f>
        <v/>
      </c>
      <c r="E28" s="16">
        <f>IFERROR(AVERAGEIFS('سجل المؤشرات'!$AB$4:$AB$146,'سجل المؤشرات'!$M$4:$M$146,"الاستثمار في الموظفين"),"—")</f>
        <v/>
      </c>
    </row>
  </sheetData>
  <mergeCells count="2">
    <mergeCell ref="B15:E15"/>
    <mergeCell ref="B2:E2"/>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G17"/>
  <sheetViews>
    <sheetView showGridLines="0" rightToLeft="1" workbookViewId="0">
      <selection activeCell="A1" sqref="A1"/>
    </sheetView>
  </sheetViews>
  <sheetFormatPr baseColWidth="8" defaultRowHeight="15"/>
  <cols>
    <col width="3" customWidth="1" min="1" max="1"/>
    <col width="28" customWidth="1" min="2" max="2"/>
    <col width="16" customWidth="1" min="3" max="3"/>
    <col width="16" customWidth="1" min="4" max="4"/>
    <col width="16" customWidth="1" min="5" max="5"/>
    <col width="16" customWidth="1" min="6" max="6"/>
    <col width="14" customWidth="1" min="7" max="7"/>
  </cols>
  <sheetData>
    <row r="2" ht="28" customHeight="1">
      <c r="B2" s="1" t="inlineStr">
        <is>
          <t>اللوحة الموجزة — تجميع حي من سجل المؤشرات</t>
        </is>
      </c>
    </row>
    <row r="4">
      <c r="B4" s="17" t="inlineStr">
        <is>
          <t>الإنجاز العام</t>
        </is>
      </c>
      <c r="C4" s="18" t="inlineStr">
        <is>
          <t>✅ محقق</t>
        </is>
      </c>
      <c r="D4" s="18" t="inlineStr">
        <is>
          <t>🟡 قريب</t>
        </is>
      </c>
      <c r="E4" s="18" t="inlineStr">
        <is>
          <t>🔴 تحت الهدف</t>
        </is>
      </c>
    </row>
    <row r="5">
      <c r="B5" s="19">
        <f>IFERROR(AVERAGE('سجل المؤشرات'!$AB$4:$AB$146),0)</f>
        <v/>
      </c>
      <c r="C5" s="20">
        <f>COUNTIF('سجل المؤشرات'!$AC$4:$AC$146,"✅ محقق")</f>
        <v/>
      </c>
      <c r="D5" s="20">
        <f>COUNTIF('سجل المؤشرات'!$AC$4:$AC$146,"🟡 قريب")</f>
        <v/>
      </c>
      <c r="E5" s="20">
        <f>COUNTIF('سجل المؤشرات'!$AC$4:$AC$146,"🔴 تحت الهدف")</f>
        <v/>
      </c>
    </row>
    <row r="7">
      <c r="B7" s="11" t="inlineStr">
        <is>
          <t>الأداء حسب الإدارة</t>
        </is>
      </c>
      <c r="C7" s="12" t="n"/>
      <c r="D7" s="13" t="n"/>
      <c r="F7" s="11" t="inlineStr">
        <is>
          <t>الأداء حسب الركيزة</t>
        </is>
      </c>
      <c r="G7" s="13" t="n"/>
    </row>
    <row r="8">
      <c r="B8" s="18" t="inlineStr">
        <is>
          <t>الإدارة</t>
        </is>
      </c>
      <c r="C8" s="18" t="inlineStr">
        <is>
          <t>الأداء</t>
        </is>
      </c>
      <c r="D8" s="18" t="inlineStr">
        <is>
          <t>عدد المؤشرات</t>
        </is>
      </c>
      <c r="F8" s="18" t="inlineStr">
        <is>
          <t>الركيزة</t>
        </is>
      </c>
      <c r="G8" s="18" t="inlineStr">
        <is>
          <t>الأداء</t>
        </is>
      </c>
    </row>
    <row r="9">
      <c r="B9" s="21" t="inlineStr">
        <is>
          <t>الإدارة التنفيذية</t>
        </is>
      </c>
      <c r="C9" s="16">
        <f>IFERROR(AVERAGEIFS('سجل المؤشرات'!$AB$4:$AB$146,'سجل المؤشرات'!$B$4:$B$146,"الإدارة التنفيذية"),"—")</f>
        <v/>
      </c>
      <c r="D9" s="14">
        <f>COUNTIF('سجل المؤشرات'!$B$4:$B$146,"الإدارة التنفيذية")</f>
        <v/>
      </c>
      <c r="F9" s="21" t="inlineStr">
        <is>
          <t>النمو</t>
        </is>
      </c>
      <c r="G9" s="16">
        <f>IFERROR(AVERAGEIFS('سجل المؤشرات'!$AB$4:$AB$146,'سجل المؤشرات'!$L$4:$L$146,"النمو"),"—")</f>
        <v/>
      </c>
    </row>
    <row r="10">
      <c r="B10" s="21" t="inlineStr">
        <is>
          <t>الامتياز التجاري</t>
        </is>
      </c>
      <c r="C10" s="16">
        <f>IFERROR(AVERAGEIFS('سجل المؤشرات'!$AB$4:$AB$146,'سجل المؤشرات'!$B$4:$B$146,"الامتياز التجاري"),"—")</f>
        <v/>
      </c>
      <c r="D10" s="14">
        <f>COUNTIF('سجل المؤشرات'!$B$4:$B$146,"الامتياز التجاري")</f>
        <v/>
      </c>
      <c r="F10" s="21" t="inlineStr">
        <is>
          <t>الابتكار</t>
        </is>
      </c>
      <c r="G10" s="16">
        <f>IFERROR(AVERAGEIFS('سجل المؤشرات'!$AB$4:$AB$146,'سجل المؤشرات'!$L$4:$L$146,"الابتكار"),"—")</f>
        <v/>
      </c>
    </row>
    <row r="11">
      <c r="B11" s="21" t="inlineStr">
        <is>
          <t>التشغيل والمحطات</t>
        </is>
      </c>
      <c r="C11" s="16">
        <f>IFERROR(AVERAGEIFS('سجل المؤشرات'!$AB$4:$AB$146,'سجل المؤشرات'!$B$4:$B$146,"التشغيل والمحطات"),"—")</f>
        <v/>
      </c>
      <c r="D11" s="14">
        <f>COUNTIF('سجل المؤشرات'!$B$4:$B$146,"التشغيل والمحطات")</f>
        <v/>
      </c>
      <c r="F11" s="21" t="inlineStr">
        <is>
          <t>الاستدامة</t>
        </is>
      </c>
      <c r="G11" s="16">
        <f>IFERROR(AVERAGEIFS('سجل المؤشرات'!$AB$4:$AB$146,'سجل المؤشرات'!$L$4:$L$146,"الاستدامة"),"—")</f>
        <v/>
      </c>
    </row>
    <row r="12">
      <c r="B12" s="21" t="inlineStr">
        <is>
          <t>الاستثمار</t>
        </is>
      </c>
      <c r="C12" s="16">
        <f>IFERROR(AVERAGEIFS('سجل المؤشرات'!$AB$4:$AB$146,'سجل المؤشرات'!$B$4:$B$146,"الاستثمار"),"—")</f>
        <v/>
      </c>
      <c r="D12" s="14">
        <f>COUNTIF('سجل المؤشرات'!$B$4:$B$146,"الاستثمار")</f>
        <v/>
      </c>
    </row>
    <row r="13">
      <c r="B13" s="21" t="inlineStr">
        <is>
          <t>العقار</t>
        </is>
      </c>
      <c r="C13" s="16">
        <f>IFERROR(AVERAGEIFS('سجل المؤشرات'!$AB$4:$AB$146,'سجل المؤشرات'!$B$4:$B$146,"العقار"),"—")</f>
        <v/>
      </c>
      <c r="D13" s="14">
        <f>COUNTIF('سجل المؤشرات'!$B$4:$B$146,"العقار")</f>
        <v/>
      </c>
      <c r="F13" s="17" t="inlineStr">
        <is>
          <t>الأداء حسب منظور BSC</t>
        </is>
      </c>
      <c r="G13" s="13" t="n"/>
    </row>
    <row r="14">
      <c r="B14" s="21" t="inlineStr">
        <is>
          <t>التقنية الرقمية</t>
        </is>
      </c>
      <c r="C14" s="16">
        <f>IFERROR(AVERAGEIFS('سجل المؤشرات'!$AB$4:$AB$146,'سجل المؤشرات'!$B$4:$B$146,"التقنية الرقمية"),"—")</f>
        <v/>
      </c>
      <c r="D14" s="14">
        <f>COUNTIF('سجل المؤشرات'!$B$4:$B$146,"التقنية الرقمية")</f>
        <v/>
      </c>
      <c r="F14" s="21" t="inlineStr">
        <is>
          <t>مالي</t>
        </is>
      </c>
      <c r="G14" s="16">
        <f>IFERROR(AVERAGEIFS('سجل المؤشرات'!$AB$4:$AB$146,'سجل المؤشرات'!$N$4:$N$146,"مالي"),"—")</f>
        <v/>
      </c>
    </row>
    <row r="15">
      <c r="B15" s="21" t="inlineStr">
        <is>
          <t>الموارد البشرية</t>
        </is>
      </c>
      <c r="C15" s="16">
        <f>IFERROR(AVERAGEIFS('سجل المؤشرات'!$AB$4:$AB$146,'سجل المؤشرات'!$B$4:$B$146,"الموارد البشرية"),"—")</f>
        <v/>
      </c>
      <c r="D15" s="14">
        <f>COUNTIF('سجل المؤشرات'!$B$4:$B$146,"الموارد البشرية")</f>
        <v/>
      </c>
      <c r="F15" s="21" t="inlineStr">
        <is>
          <t>العملاء</t>
        </is>
      </c>
      <c r="G15" s="16">
        <f>IFERROR(AVERAGEIFS('سجل المؤشرات'!$AB$4:$AB$146,'سجل المؤشرات'!$N$4:$N$146,"العملاء"),"—")</f>
        <v/>
      </c>
    </row>
    <row r="16">
      <c r="B16" s="21" t="inlineStr">
        <is>
          <t>التسويق</t>
        </is>
      </c>
      <c r="C16" s="16">
        <f>IFERROR(AVERAGEIFS('سجل المؤشرات'!$AB$4:$AB$146,'سجل المؤشرات'!$B$4:$B$146,"التسويق"),"—")</f>
        <v/>
      </c>
      <c r="D16" s="14">
        <f>COUNTIF('سجل المؤشرات'!$B$4:$B$146,"التسويق")</f>
        <v/>
      </c>
      <c r="F16" s="21" t="inlineStr">
        <is>
          <t>العمليات الداخلية</t>
        </is>
      </c>
      <c r="G16" s="16">
        <f>IFERROR(AVERAGEIFS('سجل المؤشرات'!$AB$4:$AB$146,'سجل المؤشرات'!$N$4:$N$146,"العمليات الداخلية"),"—")</f>
        <v/>
      </c>
    </row>
    <row r="17">
      <c r="F17" s="21" t="inlineStr">
        <is>
          <t>التعلّم والنمو</t>
        </is>
      </c>
      <c r="G17" s="16">
        <f>IFERROR(AVERAGEIFS('سجل المؤشرات'!$AB$4:$AB$146,'سجل المؤشرات'!$N$4:$N$146,"التعلّم والنمو"),"—")</f>
        <v/>
      </c>
    </row>
  </sheetData>
  <mergeCells count="4">
    <mergeCell ref="F13:G13"/>
    <mergeCell ref="B7:D7"/>
    <mergeCell ref="B2:E2"/>
    <mergeCell ref="F7:G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46"/>
  <sheetViews>
    <sheetView showGridLines="0" rightToLeft="1" workbookViewId="0">
      <pane xSplit="14" ySplit="3" topLeftCell="O4"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8" customWidth="1" min="3" max="3"/>
    <col width="40" customWidth="1" min="4" max="4"/>
    <col width="9" customWidth="1" min="5" max="5"/>
    <col width="8" customWidth="1" min="6" max="6"/>
    <col width="8" customWidth="1" min="7" max="7"/>
    <col width="12" customWidth="1" min="8" max="8"/>
    <col width="8" customWidth="1" min="9" max="9"/>
    <col width="12" customWidth="1" min="10" max="10"/>
    <col width="16" customWidth="1" min="11" max="11"/>
    <col width="12" customWidth="1" min="12" max="12"/>
    <col width="22" customWidth="1" min="13" max="13"/>
    <col width="16"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12" customWidth="1" min="27" max="27"/>
    <col width="12" customWidth="1" min="28" max="28"/>
    <col width="14" customWidth="1" min="29" max="29"/>
  </cols>
  <sheetData>
    <row r="1" ht="28" customHeight="1">
      <c r="A1" s="22" t="inlineStr">
        <is>
          <t>درب · سجل مؤشرات الأداء الموحّد 2026 — كل المؤشرات والمستهدفات والمشاريع والاستراتيجية</t>
        </is>
      </c>
    </row>
    <row r="2">
      <c r="A2" s="23" t="inlineStr">
        <is>
          <t>🟩 الأشهر = إدخال  ·  YTD ونسبة التحقيق والحالة دلّات حقيقية تُحسب تلقائياً  ·  قيم التقنية والتسويق مُعبّأة فعلياً</t>
        </is>
      </c>
    </row>
    <row r="3" ht="30" customHeight="1">
      <c r="A3" s="24" t="inlineStr">
        <is>
          <t>#</t>
        </is>
      </c>
      <c r="B3" s="24" t="inlineStr">
        <is>
          <t>الإدارة</t>
        </is>
      </c>
      <c r="C3" s="24" t="inlineStr">
        <is>
          <t>المحور</t>
        </is>
      </c>
      <c r="D3" s="24" t="inlineStr">
        <is>
          <t>المؤشر</t>
        </is>
      </c>
      <c r="E3" s="24" t="inlineStr">
        <is>
          <t>الوحدة</t>
        </is>
      </c>
      <c r="F3" s="24" t="inlineStr">
        <is>
          <t>القطبية</t>
        </is>
      </c>
      <c r="G3" s="24" t="inlineStr">
        <is>
          <t>التجميع</t>
        </is>
      </c>
      <c r="H3" s="24" t="inlineStr">
        <is>
          <t>الأولوية</t>
        </is>
      </c>
      <c r="I3" s="24" t="inlineStr">
        <is>
          <t>الوزن %</t>
        </is>
      </c>
      <c r="J3" s="24" t="inlineStr">
        <is>
          <t>المستهدف</t>
        </is>
      </c>
      <c r="K3" s="24" t="inlineStr">
        <is>
          <t>نص المستهدف</t>
        </is>
      </c>
      <c r="L3" s="24" t="inlineStr">
        <is>
          <t>الركيزة</t>
        </is>
      </c>
      <c r="M3" s="24" t="inlineStr">
        <is>
          <t>المشروع</t>
        </is>
      </c>
      <c r="N3" s="24" t="inlineStr">
        <is>
          <t>منظور BSC</t>
        </is>
      </c>
      <c r="O3" s="24" t="inlineStr">
        <is>
          <t>يناير</t>
        </is>
      </c>
      <c r="P3" s="24" t="inlineStr">
        <is>
          <t>فبراير</t>
        </is>
      </c>
      <c r="Q3" s="24" t="inlineStr">
        <is>
          <t>مارس</t>
        </is>
      </c>
      <c r="R3" s="24" t="inlineStr">
        <is>
          <t>أبريل</t>
        </is>
      </c>
      <c r="S3" s="24" t="inlineStr">
        <is>
          <t>مايو</t>
        </is>
      </c>
      <c r="T3" s="24" t="inlineStr">
        <is>
          <t>يونيو</t>
        </is>
      </c>
      <c r="U3" s="24" t="inlineStr">
        <is>
          <t>يوليو</t>
        </is>
      </c>
      <c r="V3" s="24" t="inlineStr">
        <is>
          <t>أغسطس</t>
        </is>
      </c>
      <c r="W3" s="24" t="inlineStr">
        <is>
          <t>سبتمبر</t>
        </is>
      </c>
      <c r="X3" s="24" t="inlineStr">
        <is>
          <t>أكتوبر</t>
        </is>
      </c>
      <c r="Y3" s="24" t="inlineStr">
        <is>
          <t>نوفمبر</t>
        </is>
      </c>
      <c r="Z3" s="24" t="inlineStr">
        <is>
          <t>ديسمبر</t>
        </is>
      </c>
      <c r="AA3" s="24" t="inlineStr">
        <is>
          <t>YTD</t>
        </is>
      </c>
      <c r="AB3" s="24" t="inlineStr">
        <is>
          <t>نسبة التحقيق</t>
        </is>
      </c>
      <c r="AC3" s="24" t="inlineStr">
        <is>
          <t>الحالة</t>
        </is>
      </c>
    </row>
    <row r="4" ht="24" customHeight="1">
      <c r="A4" s="15" t="n">
        <v>1</v>
      </c>
      <c r="B4" s="21" t="inlineStr">
        <is>
          <t>الإدارة التنفيذية</t>
        </is>
      </c>
      <c r="C4" s="9" t="inlineStr">
        <is>
          <t>النمو</t>
        </is>
      </c>
      <c r="D4" s="9" t="inlineStr">
        <is>
          <t>إجمالي المحطات المشغّلة — الشركة (تراكمي)</t>
        </is>
      </c>
      <c r="E4" s="25" t="inlineStr">
        <is>
          <t>محطة</t>
        </is>
      </c>
      <c r="F4" s="25" t="inlineStr">
        <is>
          <t>↑</t>
        </is>
      </c>
      <c r="G4" s="25" t="inlineStr">
        <is>
          <t>LAST</t>
        </is>
      </c>
      <c r="H4" s="26" t="inlineStr">
        <is>
          <t>🔴 رئيسي</t>
        </is>
      </c>
      <c r="I4" s="27" t="n">
        <v>0.11538</v>
      </c>
      <c r="J4" s="28" t="n">
        <v>235</v>
      </c>
      <c r="K4" s="29" t="inlineStr">
        <is>
          <t>≥ 235 محطة</t>
        </is>
      </c>
      <c r="L4" s="30" t="inlineStr">
        <is>
          <t>النمو</t>
        </is>
      </c>
      <c r="M4" s="31" t="inlineStr">
        <is>
          <t>التوسع في المواقع</t>
        </is>
      </c>
      <c r="N4" s="26" t="inlineStr">
        <is>
          <t>العمليات الداخلية</t>
        </is>
      </c>
      <c r="O4" s="32" t="n"/>
      <c r="P4" s="32" t="n"/>
      <c r="Q4" s="32" t="n"/>
      <c r="R4" s="32" t="n"/>
      <c r="S4" s="32" t="n"/>
      <c r="T4" s="32" t="n"/>
      <c r="U4" s="32" t="n"/>
      <c r="V4" s="32" t="n"/>
      <c r="W4" s="32" t="n"/>
      <c r="X4" s="32" t="n"/>
      <c r="Y4" s="32" t="n"/>
      <c r="Z4" s="32" t="n"/>
      <c r="AA4" s="33">
        <f>IF($G4="SUM",IF(COUNT($O4:$Z4)=0,"",SUM($O4:$Z4)),IF($G4="AVG",IFERROR(AVERAGE($O4:$Z4),""),IF($G4="LAST",IFERROR(LOOKUP(2,1/($O4:$Z4&lt;&gt;""),$O4:$Z4),""),"")))</f>
        <v/>
      </c>
      <c r="AB4" s="16">
        <f>IF($J4="","",IF($AA4="","",IF($J4=0,IF($AA4&lt;=0,1,0),IF($F4="↓",IFERROR($J4/$AA4,0),IFERROR($AA4/$J4,0)))))</f>
        <v/>
      </c>
      <c r="AC4" s="15">
        <f>IF($AB4="","—",IF($AB4&gt;=1,"✅ محقق",IF($AB4&gt;=0.85,"🟡 قريب","🔴 تحت الهدف")))</f>
        <v/>
      </c>
    </row>
    <row r="5" ht="24" customHeight="1">
      <c r="A5" s="15" t="n">
        <v>2</v>
      </c>
      <c r="B5" s="21" t="inlineStr">
        <is>
          <t>الإدارة التنفيذية</t>
        </is>
      </c>
      <c r="C5" s="9" t="inlineStr">
        <is>
          <t>النمو</t>
        </is>
      </c>
      <c r="D5" s="9" t="inlineStr">
        <is>
          <t>إجمالي العقود الجديدة — الشركة</t>
        </is>
      </c>
      <c r="E5" s="25" t="inlineStr">
        <is>
          <t>عقد</t>
        </is>
      </c>
      <c r="F5" s="25" t="inlineStr">
        <is>
          <t>↑</t>
        </is>
      </c>
      <c r="G5" s="25" t="inlineStr">
        <is>
          <t>SUM</t>
        </is>
      </c>
      <c r="H5" s="26" t="inlineStr">
        <is>
          <t>🔴 رئيسي</t>
        </is>
      </c>
      <c r="I5" s="27" t="n">
        <v>0.11538</v>
      </c>
      <c r="J5" s="28" t="n">
        <v>357</v>
      </c>
      <c r="K5" s="29" t="inlineStr">
        <is>
          <t>357 عقد</t>
        </is>
      </c>
      <c r="L5" s="30" t="inlineStr">
        <is>
          <t>النمو</t>
        </is>
      </c>
      <c r="M5" s="31" t="inlineStr">
        <is>
          <t>الامتياز التجاري</t>
        </is>
      </c>
      <c r="N5" s="26" t="inlineStr">
        <is>
          <t>العمليات الداخلية</t>
        </is>
      </c>
      <c r="O5" s="32" t="n"/>
      <c r="P5" s="32" t="n"/>
      <c r="Q5" s="32" t="n"/>
      <c r="R5" s="32" t="n"/>
      <c r="S5" s="32" t="n"/>
      <c r="T5" s="32" t="n"/>
      <c r="U5" s="32" t="n"/>
      <c r="V5" s="32" t="n"/>
      <c r="W5" s="32" t="n"/>
      <c r="X5" s="32" t="n"/>
      <c r="Y5" s="32" t="n"/>
      <c r="Z5" s="32" t="n"/>
      <c r="AA5" s="33">
        <f>IF($G5="SUM",IF(COUNT($O5:$Z5)=0,"",SUM($O5:$Z5)),IF($G5="AVG",IFERROR(AVERAGE($O5:$Z5),""),IF($G5="LAST",IFERROR(LOOKUP(2,1/($O5:$Z5&lt;&gt;""),$O5:$Z5),""),"")))</f>
        <v/>
      </c>
      <c r="AB5" s="16">
        <f>IF($J5="","",IF($AA5="","",IF($J5=0,IF($AA5&lt;=0,1,0),IF($F5="↓",IFERROR($J5/$AA5,0),IFERROR($AA5/$J5,0)))))</f>
        <v/>
      </c>
      <c r="AC5" s="15">
        <f>IF($AB5="","—",IF($AB5&gt;=1,"✅ محقق",IF($AB5&gt;=0.85,"🟡 قريب","🔴 تحت الهدف")))</f>
        <v/>
      </c>
    </row>
    <row r="6" ht="24" customHeight="1">
      <c r="A6" s="15" t="n">
        <v>3</v>
      </c>
      <c r="B6" s="21" t="inlineStr">
        <is>
          <t>الإدارة التنفيذية</t>
        </is>
      </c>
      <c r="C6" s="9" t="inlineStr">
        <is>
          <t>النمو</t>
        </is>
      </c>
      <c r="D6" s="9" t="inlineStr">
        <is>
          <t>إجمالي إيرادات الشركة السنوية</t>
        </is>
      </c>
      <c r="E6" s="25" t="inlineStr">
        <is>
          <t>ر.س</t>
        </is>
      </c>
      <c r="F6" s="25" t="inlineStr">
        <is>
          <t>↑</t>
        </is>
      </c>
      <c r="G6" s="25" t="inlineStr">
        <is>
          <t>SUM</t>
        </is>
      </c>
      <c r="H6" s="26" t="inlineStr">
        <is>
          <t>🔴 رئيسي</t>
        </is>
      </c>
      <c r="I6" s="27" t="n">
        <v>0.11538</v>
      </c>
      <c r="J6" s="25" t="inlineStr"/>
      <c r="K6" s="29" t="inlineStr">
        <is>
          <t>تصاعدي مستمر</t>
        </is>
      </c>
      <c r="L6" s="30" t="inlineStr">
        <is>
          <t>النمو</t>
        </is>
      </c>
      <c r="M6" s="31" t="inlineStr">
        <is>
          <t>زيادة وصول العملاء</t>
        </is>
      </c>
      <c r="N6" s="26" t="inlineStr">
        <is>
          <t>مالي</t>
        </is>
      </c>
      <c r="O6" s="34" t="n"/>
      <c r="P6" s="34" t="n"/>
      <c r="Q6" s="34" t="n"/>
      <c r="R6" s="34" t="n"/>
      <c r="S6" s="34" t="n"/>
      <c r="T6" s="34" t="n"/>
      <c r="U6" s="34" t="n"/>
      <c r="V6" s="34" t="n"/>
      <c r="W6" s="34" t="n"/>
      <c r="X6" s="34" t="n"/>
      <c r="Y6" s="34" t="n"/>
      <c r="Z6" s="34" t="n"/>
      <c r="AA6" s="35">
        <f>IF($G6="SUM",IF(COUNT($O6:$Z6)=0,"",SUM($O6:$Z6)),IF($G6="AVG",IFERROR(AVERAGE($O6:$Z6),""),IF($G6="LAST",IFERROR(LOOKUP(2,1/($O6:$Z6&lt;&gt;""),$O6:$Z6),""),"")))</f>
        <v/>
      </c>
      <c r="AB6" s="16">
        <f>IF($J6="","",IF($AA6="","",IF($J6=0,IF($AA6&lt;=0,1,0),IF($F6="↓",IFERROR($J6/$AA6,0),IFERROR($AA6/$J6,0)))))</f>
        <v/>
      </c>
      <c r="AC6" s="15">
        <f>IF($AB6="","—",IF($AB6&gt;=1,"✅ محقق",IF($AB6&gt;=0.85,"🟡 قريب","🔴 تحت الهدف")))</f>
        <v/>
      </c>
    </row>
    <row r="7" ht="24" customHeight="1">
      <c r="A7" s="15" t="n">
        <v>4</v>
      </c>
      <c r="B7" s="21" t="inlineStr">
        <is>
          <t>الإدارة التنفيذية</t>
        </is>
      </c>
      <c r="C7" s="9" t="inlineStr">
        <is>
          <t>النمو</t>
        </is>
      </c>
      <c r="D7" s="9" t="inlineStr">
        <is>
          <t>نسبة نمو إيرادات الشركة (سنوي)</t>
        </is>
      </c>
      <c r="E7" s="25" t="inlineStr">
        <is>
          <t>%</t>
        </is>
      </c>
      <c r="F7" s="25" t="inlineStr">
        <is>
          <t>↑</t>
        </is>
      </c>
      <c r="G7" s="25" t="inlineStr">
        <is>
          <t>AVG</t>
        </is>
      </c>
      <c r="H7" s="26" t="inlineStr">
        <is>
          <t>🔴 رئيسي</t>
        </is>
      </c>
      <c r="I7" s="27" t="n">
        <v>0.11538</v>
      </c>
      <c r="J7" s="25" t="inlineStr"/>
      <c r="K7" s="29" t="inlineStr">
        <is>
          <t>مستهدف تنفيذي</t>
        </is>
      </c>
      <c r="L7" s="30" t="inlineStr">
        <is>
          <t>النمو</t>
        </is>
      </c>
      <c r="M7" s="31" t="inlineStr">
        <is>
          <t>زيادة وصول العملاء</t>
        </is>
      </c>
      <c r="N7" s="26" t="inlineStr">
        <is>
          <t>مالي</t>
        </is>
      </c>
      <c r="O7" s="36" t="n"/>
      <c r="P7" s="36" t="n"/>
      <c r="Q7" s="36" t="n"/>
      <c r="R7" s="36" t="n"/>
      <c r="S7" s="36" t="n"/>
      <c r="T7" s="36" t="n"/>
      <c r="U7" s="36" t="n"/>
      <c r="V7" s="36" t="n"/>
      <c r="W7" s="36" t="n"/>
      <c r="X7" s="36" t="n"/>
      <c r="Y7" s="36" t="n"/>
      <c r="Z7" s="36" t="n"/>
      <c r="AA7" s="37">
        <f>IF($G7="SUM",IF(COUNT($O7:$Z7)=0,"",SUM($O7:$Z7)),IF($G7="AVG",IFERROR(AVERAGE($O7:$Z7),""),IF($G7="LAST",IFERROR(LOOKUP(2,1/($O7:$Z7&lt;&gt;""),$O7:$Z7),""),"")))</f>
        <v/>
      </c>
      <c r="AB7" s="16">
        <f>IF($J7="","",IF($AA7="","",IF($J7=0,IF($AA7&lt;=0,1,0),IF($F7="↓",IFERROR($J7/$AA7,0),IFERROR($AA7/$J7,0)))))</f>
        <v/>
      </c>
      <c r="AC7" s="15">
        <f>IF($AB7="","—",IF($AB7&gt;=1,"✅ محقق",IF($AB7&gt;=0.85,"🟡 قريب","🔴 تحت الهدف")))</f>
        <v/>
      </c>
    </row>
    <row r="8" ht="24" customHeight="1">
      <c r="A8" s="15" t="n">
        <v>5</v>
      </c>
      <c r="B8" s="21" t="inlineStr">
        <is>
          <t>الإدارة التنفيذية</t>
        </is>
      </c>
      <c r="C8" s="9" t="inlineStr">
        <is>
          <t>الابتكار</t>
        </is>
      </c>
      <c r="D8" s="9" t="inlineStr">
        <is>
          <t>نسبة إنجاز مشاريع الخارطة التنفيذية</t>
        </is>
      </c>
      <c r="E8" s="25" t="inlineStr">
        <is>
          <t>%</t>
        </is>
      </c>
      <c r="F8" s="25" t="inlineStr">
        <is>
          <t>↑</t>
        </is>
      </c>
      <c r="G8" s="25" t="inlineStr">
        <is>
          <t>LAST</t>
        </is>
      </c>
      <c r="H8" s="26" t="inlineStr">
        <is>
          <t>🟠 مهم</t>
        </is>
      </c>
      <c r="I8" s="27" t="n">
        <v>0.07692</v>
      </c>
      <c r="J8" s="27" t="n">
        <v>1</v>
      </c>
      <c r="K8" s="29" t="inlineStr">
        <is>
          <t>100%</t>
        </is>
      </c>
      <c r="L8" s="30" t="inlineStr">
        <is>
          <t>الابتكار</t>
        </is>
      </c>
      <c r="M8" s="31" t="inlineStr">
        <is>
          <t>إطلاق مشاريع جديدة</t>
        </is>
      </c>
      <c r="N8" s="26" t="inlineStr">
        <is>
          <t>العمليات الداخلية</t>
        </is>
      </c>
      <c r="O8" s="36" t="n"/>
      <c r="P8" s="36" t="n"/>
      <c r="Q8" s="36" t="n"/>
      <c r="R8" s="36" t="n"/>
      <c r="S8" s="36" t="n"/>
      <c r="T8" s="36" t="n"/>
      <c r="U8" s="36" t="n"/>
      <c r="V8" s="36" t="n"/>
      <c r="W8" s="36" t="n"/>
      <c r="X8" s="36" t="n"/>
      <c r="Y8" s="36" t="n"/>
      <c r="Z8" s="36" t="n"/>
      <c r="AA8" s="37">
        <f>IF($G8="SUM",IF(COUNT($O8:$Z8)=0,"",SUM($O8:$Z8)),IF($G8="AVG",IFERROR(AVERAGE($O8:$Z8),""),IF($G8="LAST",IFERROR(LOOKUP(2,1/($O8:$Z8&lt;&gt;""),$O8:$Z8),""),"")))</f>
        <v/>
      </c>
      <c r="AB8" s="16">
        <f>IF($J8="","",IF($AA8="","",IF($J8=0,IF($AA8&lt;=0,1,0),IF($F8="↓",IFERROR($J8/$AA8,0),IFERROR($AA8/$J8,0)))))</f>
        <v/>
      </c>
      <c r="AC8" s="15">
        <f>IF($AB8="","—",IF($AB8&gt;=1,"✅ محقق",IF($AB8&gt;=0.85,"🟡 قريب","🔴 تحت الهدف")))</f>
        <v/>
      </c>
    </row>
    <row r="9" ht="24" customHeight="1">
      <c r="A9" s="15" t="n">
        <v>6</v>
      </c>
      <c r="B9" s="21" t="inlineStr">
        <is>
          <t>الإدارة التنفيذية</t>
        </is>
      </c>
      <c r="C9" s="9" t="inlineStr">
        <is>
          <t>الابتكار</t>
        </is>
      </c>
      <c r="D9" s="9" t="inlineStr">
        <is>
          <t>نسبة التحول الرقمي على مستوى الشركة</t>
        </is>
      </c>
      <c r="E9" s="25" t="inlineStr">
        <is>
          <t>%</t>
        </is>
      </c>
      <c r="F9" s="25" t="inlineStr">
        <is>
          <t>↑</t>
        </is>
      </c>
      <c r="G9" s="25" t="inlineStr">
        <is>
          <t>LAST</t>
        </is>
      </c>
      <c r="H9" s="26" t="inlineStr">
        <is>
          <t>🟠 مهم</t>
        </is>
      </c>
      <c r="I9" s="27" t="n">
        <v>0.07692</v>
      </c>
      <c r="J9" s="27" t="n">
        <v>0.9</v>
      </c>
      <c r="K9" s="29" t="inlineStr">
        <is>
          <t>≥ 90%</t>
        </is>
      </c>
      <c r="L9" s="30" t="inlineStr">
        <is>
          <t>الابتكار</t>
        </is>
      </c>
      <c r="M9" s="31" t="inlineStr">
        <is>
          <t>التحول التقني</t>
        </is>
      </c>
      <c r="N9" s="26" t="inlineStr">
        <is>
          <t>التعلّم والنمو</t>
        </is>
      </c>
      <c r="O9" s="36" t="n"/>
      <c r="P9" s="36" t="n"/>
      <c r="Q9" s="36" t="n"/>
      <c r="R9" s="36" t="n"/>
      <c r="S9" s="36" t="n"/>
      <c r="T9" s="36" t="n"/>
      <c r="U9" s="36" t="n"/>
      <c r="V9" s="36" t="n"/>
      <c r="W9" s="36" t="n"/>
      <c r="X9" s="36" t="n"/>
      <c r="Y9" s="36" t="n"/>
      <c r="Z9" s="36" t="n"/>
      <c r="AA9" s="37">
        <f>IF($G9="SUM",IF(COUNT($O9:$Z9)=0,"",SUM($O9:$Z9)),IF($G9="AVG",IFERROR(AVERAGE($O9:$Z9),""),IF($G9="LAST",IFERROR(LOOKUP(2,1/($O9:$Z9&lt;&gt;""),$O9:$Z9),""),"")))</f>
        <v/>
      </c>
      <c r="AB9" s="16">
        <f>IF($J9="","",IF($AA9="","",IF($J9=0,IF($AA9&lt;=0,1,0),IF($F9="↓",IFERROR($J9/$AA9,0),IFERROR($AA9/$J9,0)))))</f>
        <v/>
      </c>
      <c r="AC9" s="15">
        <f>IF($AB9="","—",IF($AB9&gt;=1,"✅ محقق",IF($AB9&gt;=0.85,"🟡 قريب","🔴 تحت الهدف")))</f>
        <v/>
      </c>
    </row>
    <row r="10" ht="24" customHeight="1">
      <c r="A10" s="15" t="n">
        <v>7</v>
      </c>
      <c r="B10" s="21" t="inlineStr">
        <is>
          <t>الإدارة التنفيذية</t>
        </is>
      </c>
      <c r="C10" s="9" t="inlineStr">
        <is>
          <t>الاستدامة</t>
        </is>
      </c>
      <c r="D10" s="9" t="inlineStr">
        <is>
          <t>مؤشر رضا العملاء العام (الشركة)</t>
        </is>
      </c>
      <c r="E10" s="25" t="inlineStr">
        <is>
          <t>%</t>
        </is>
      </c>
      <c r="F10" s="25" t="inlineStr">
        <is>
          <t>↑</t>
        </is>
      </c>
      <c r="G10" s="25" t="inlineStr">
        <is>
          <t>AVG</t>
        </is>
      </c>
      <c r="H10" s="26" t="inlineStr">
        <is>
          <t>🔴 رئيسي</t>
        </is>
      </c>
      <c r="I10" s="27" t="n">
        <v>0.11538</v>
      </c>
      <c r="J10" s="27" t="n">
        <v>0.9</v>
      </c>
      <c r="K10" s="29" t="inlineStr">
        <is>
          <t>≥ 90%</t>
        </is>
      </c>
      <c r="L10" s="30" t="inlineStr">
        <is>
          <t>الاستدامة</t>
        </is>
      </c>
      <c r="M10" s="31" t="inlineStr">
        <is>
          <t>تعزيز تجربة العملاء</t>
        </is>
      </c>
      <c r="N10" s="26" t="inlineStr">
        <is>
          <t>العملاء</t>
        </is>
      </c>
      <c r="O10" s="36" t="n"/>
      <c r="P10" s="36" t="n"/>
      <c r="Q10" s="36" t="n"/>
      <c r="R10" s="36" t="n"/>
      <c r="S10" s="36" t="n"/>
      <c r="T10" s="36" t="n"/>
      <c r="U10" s="36" t="n"/>
      <c r="V10" s="36" t="n"/>
      <c r="W10" s="36" t="n"/>
      <c r="X10" s="36" t="n"/>
      <c r="Y10" s="36" t="n"/>
      <c r="Z10" s="36" t="n"/>
      <c r="AA10" s="37">
        <f>IF($G10="SUM",IF(COUNT($O10:$Z10)=0,"",SUM($O10:$Z10)),IF($G10="AVG",IFERROR(AVERAGE($O10:$Z10),""),IF($G10="LAST",IFERROR(LOOKUP(2,1/($O10:$Z10&lt;&gt;""),$O10:$Z10),""),"")))</f>
        <v/>
      </c>
      <c r="AB10" s="16">
        <f>IF($J10="","",IF($AA10="","",IF($J10=0,IF($AA10&lt;=0,1,0),IF($F10="↓",IFERROR($J10/$AA10,0),IFERROR($AA10/$J10,0)))))</f>
        <v/>
      </c>
      <c r="AC10" s="15">
        <f>IF($AB10="","—",IF($AB10&gt;=1,"✅ محقق",IF($AB10&gt;=0.85,"🟡 قريب","🔴 تحت الهدف")))</f>
        <v/>
      </c>
    </row>
    <row r="11" ht="24" customHeight="1">
      <c r="A11" s="15" t="n">
        <v>8</v>
      </c>
      <c r="B11" s="21" t="inlineStr">
        <is>
          <t>الإدارة التنفيذية</t>
        </is>
      </c>
      <c r="C11" s="9" t="inlineStr">
        <is>
          <t>الاستدامة</t>
        </is>
      </c>
      <c r="D11" s="9" t="inlineStr">
        <is>
          <t>مؤشر رضا الموظفين العام (eNPS)</t>
        </is>
      </c>
      <c r="E11" s="25" t="inlineStr">
        <is>
          <t>نقطة</t>
        </is>
      </c>
      <c r="F11" s="25" t="inlineStr">
        <is>
          <t>↑</t>
        </is>
      </c>
      <c r="G11" s="25" t="inlineStr">
        <is>
          <t>AVG</t>
        </is>
      </c>
      <c r="H11" s="26" t="inlineStr">
        <is>
          <t>🔴 رئيسي</t>
        </is>
      </c>
      <c r="I11" s="27" t="n">
        <v>0.11538</v>
      </c>
      <c r="J11" s="38" t="n">
        <v>30</v>
      </c>
      <c r="K11" s="29" t="inlineStr">
        <is>
          <t>≥ 30</t>
        </is>
      </c>
      <c r="L11" s="30" t="inlineStr">
        <is>
          <t>الاستدامة</t>
        </is>
      </c>
      <c r="M11" s="31" t="inlineStr">
        <is>
          <t>الاستثمار في الموظفين</t>
        </is>
      </c>
      <c r="N11" s="26" t="inlineStr">
        <is>
          <t>التعلّم والنمو</t>
        </is>
      </c>
      <c r="O11" s="39" t="n"/>
      <c r="P11" s="39" t="n"/>
      <c r="Q11" s="39" t="n"/>
      <c r="R11" s="39" t="n"/>
      <c r="S11" s="39" t="n"/>
      <c r="T11" s="39" t="n"/>
      <c r="U11" s="39" t="n"/>
      <c r="V11" s="39" t="n"/>
      <c r="W11" s="39" t="n"/>
      <c r="X11" s="39" t="n"/>
      <c r="Y11" s="39" t="n"/>
      <c r="Z11" s="39" t="n"/>
      <c r="AA11" s="40">
        <f>IF($G11="SUM",IF(COUNT($O11:$Z11)=0,"",SUM($O11:$Z11)),IF($G11="AVG",IFERROR(AVERAGE($O11:$Z11),""),IF($G11="LAST",IFERROR(LOOKUP(2,1/($O11:$Z11&lt;&gt;""),$O11:$Z11),""),"")))</f>
        <v/>
      </c>
      <c r="AB11" s="16">
        <f>IF($J11="","",IF($AA11="","",IF($J11=0,IF($AA11&lt;=0,1,0),IF($F11="↓",IFERROR($J11/$AA11,0),IFERROR($AA11/$J11,0)))))</f>
        <v/>
      </c>
      <c r="AC11" s="15">
        <f>IF($AB11="","—",IF($AB11&gt;=1,"✅ محقق",IF($AB11&gt;=0.85,"🟡 قريب","🔴 تحت الهدف")))</f>
        <v/>
      </c>
    </row>
    <row r="12" ht="24" customHeight="1">
      <c r="A12" s="15" t="n">
        <v>9</v>
      </c>
      <c r="B12" s="21" t="inlineStr">
        <is>
          <t>الإدارة التنفيذية</t>
        </is>
      </c>
      <c r="C12" s="9" t="inlineStr">
        <is>
          <t>الاستدامة</t>
        </is>
      </c>
      <c r="D12" s="9" t="inlineStr">
        <is>
          <t>نسبة تحقيق المستهدفات الاستراتيجية العامة</t>
        </is>
      </c>
      <c r="E12" s="25" t="inlineStr">
        <is>
          <t>%</t>
        </is>
      </c>
      <c r="F12" s="25" t="inlineStr">
        <is>
          <t>↑</t>
        </is>
      </c>
      <c r="G12" s="25" t="inlineStr">
        <is>
          <t>AVG</t>
        </is>
      </c>
      <c r="H12" s="26" t="inlineStr">
        <is>
          <t>🟠 مهم</t>
        </is>
      </c>
      <c r="I12" s="27" t="n">
        <v>0.07692</v>
      </c>
      <c r="J12" s="27" t="n">
        <v>1</v>
      </c>
      <c r="K12" s="29" t="inlineStr">
        <is>
          <t>100%</t>
        </is>
      </c>
      <c r="L12" s="30" t="inlineStr">
        <is>
          <t>الاستدامة</t>
        </is>
      </c>
      <c r="M12" s="31" t="inlineStr">
        <is>
          <t>جودة التشغيل</t>
        </is>
      </c>
      <c r="N12" s="26" t="inlineStr">
        <is>
          <t>العمليات الداخلية</t>
        </is>
      </c>
      <c r="O12" s="36" t="n"/>
      <c r="P12" s="36" t="n"/>
      <c r="Q12" s="36" t="n"/>
      <c r="R12" s="36" t="n"/>
      <c r="S12" s="36" t="n"/>
      <c r="T12" s="36" t="n"/>
      <c r="U12" s="36" t="n"/>
      <c r="V12" s="36" t="n"/>
      <c r="W12" s="36" t="n"/>
      <c r="X12" s="36" t="n"/>
      <c r="Y12" s="36" t="n"/>
      <c r="Z12" s="36" t="n"/>
      <c r="AA12" s="37">
        <f>IF($G12="SUM",IF(COUNT($O12:$Z12)=0,"",SUM($O12:$Z12)),IF($G12="AVG",IFERROR(AVERAGE($O12:$Z12),""),IF($G12="LAST",IFERROR(LOOKUP(2,1/($O12:$Z12&lt;&gt;""),$O12:$Z12),""),"")))</f>
        <v/>
      </c>
      <c r="AB12" s="16">
        <f>IF($J12="","",IF($AA12="","",IF($J12=0,IF($AA12&lt;=0,1,0),IF($F12="↓",IFERROR($J12/$AA12,0),IFERROR($AA12/$J12,0)))))</f>
        <v/>
      </c>
      <c r="AC12" s="15">
        <f>IF($AB12="","—",IF($AB12&gt;=1,"✅ محقق",IF($AB12&gt;=0.85,"🟡 قريب","🔴 تحت الهدف")))</f>
        <v/>
      </c>
    </row>
    <row r="13" ht="24" customHeight="1">
      <c r="A13" s="15" t="n">
        <v>10</v>
      </c>
      <c r="B13" s="21" t="inlineStr">
        <is>
          <t>الإدارة التنفيذية</t>
        </is>
      </c>
      <c r="C13" s="9" t="inlineStr">
        <is>
          <t>النمو</t>
        </is>
      </c>
      <c r="D13" s="9" t="inlineStr">
        <is>
          <t>الالتزام بمعايير وزارة الطاقة (تغطية 13 منطقة)</t>
        </is>
      </c>
      <c r="E13" s="25" t="inlineStr">
        <is>
          <t>%</t>
        </is>
      </c>
      <c r="F13" s="25" t="inlineStr">
        <is>
          <t>↑</t>
        </is>
      </c>
      <c r="G13" s="25" t="inlineStr">
        <is>
          <t>LAST</t>
        </is>
      </c>
      <c r="H13" s="26" t="inlineStr">
        <is>
          <t>🟠 مهم</t>
        </is>
      </c>
      <c r="I13" s="27" t="n">
        <v>0.07692</v>
      </c>
      <c r="J13" s="27" t="n">
        <v>1</v>
      </c>
      <c r="K13" s="29" t="inlineStr">
        <is>
          <t>100%</t>
        </is>
      </c>
      <c r="L13" s="30" t="inlineStr">
        <is>
          <t>النمو</t>
        </is>
      </c>
      <c r="M13" s="31" t="inlineStr">
        <is>
          <t>التوسع في المواقع</t>
        </is>
      </c>
      <c r="N13" s="26" t="inlineStr">
        <is>
          <t>العمليات الداخلية</t>
        </is>
      </c>
      <c r="O13" s="36" t="n"/>
      <c r="P13" s="36" t="n"/>
      <c r="Q13" s="36" t="n"/>
      <c r="R13" s="36" t="n"/>
      <c r="S13" s="36" t="n"/>
      <c r="T13" s="36" t="n"/>
      <c r="U13" s="36" t="n"/>
      <c r="V13" s="36" t="n"/>
      <c r="W13" s="36" t="n"/>
      <c r="X13" s="36" t="n"/>
      <c r="Y13" s="36" t="n"/>
      <c r="Z13" s="36" t="n"/>
      <c r="AA13" s="37">
        <f>IF($G13="SUM",IF(COUNT($O13:$Z13)=0,"",SUM($O13:$Z13)),IF($G13="AVG",IFERROR(AVERAGE($O13:$Z13),""),IF($G13="LAST",IFERROR(LOOKUP(2,1/($O13:$Z13&lt;&gt;""),$O13:$Z13),""),"")))</f>
        <v/>
      </c>
      <c r="AB13" s="16">
        <f>IF($J13="","",IF($AA13="","",IF($J13=0,IF($AA13&lt;=0,1,0),IF($F13="↓",IFERROR($J13/$AA13,0),IFERROR($AA13/$J13,0)))))</f>
        <v/>
      </c>
      <c r="AC13" s="15">
        <f>IF($AB13="","—",IF($AB13&gt;=1,"✅ محقق",IF($AB13&gt;=0.85,"🟡 قريب","🔴 تحت الهدف")))</f>
        <v/>
      </c>
    </row>
    <row r="14" ht="24" customHeight="1">
      <c r="A14" s="15" t="n">
        <v>11</v>
      </c>
      <c r="B14" s="21" t="inlineStr">
        <is>
          <t>الامتياز التجاري</t>
        </is>
      </c>
      <c r="C14" s="9" t="inlineStr">
        <is>
          <t>النمو والتوسع</t>
        </is>
      </c>
      <c r="D14" s="9" t="inlineStr">
        <is>
          <t>عدد محطات الامتياز المشغّلة (تراكمي)</t>
        </is>
      </c>
      <c r="E14" s="25" t="inlineStr">
        <is>
          <t>محطة</t>
        </is>
      </c>
      <c r="F14" s="25" t="inlineStr">
        <is>
          <t>↑</t>
        </is>
      </c>
      <c r="G14" s="25" t="inlineStr">
        <is>
          <t>LAST</t>
        </is>
      </c>
      <c r="H14" s="26" t="inlineStr">
        <is>
          <t>🔴 رئيسي</t>
        </is>
      </c>
      <c r="I14" s="27" t="n">
        <v>0.03371</v>
      </c>
      <c r="J14" s="28" t="n">
        <v>150</v>
      </c>
      <c r="K14" s="29" t="inlineStr">
        <is>
          <t>150 محطة</t>
        </is>
      </c>
      <c r="L14" s="30" t="inlineStr">
        <is>
          <t>النمو</t>
        </is>
      </c>
      <c r="M14" s="31" t="inlineStr">
        <is>
          <t>التوسع في المواقع</t>
        </is>
      </c>
      <c r="N14" s="26" t="inlineStr">
        <is>
          <t>العمليات الداخلية</t>
        </is>
      </c>
      <c r="O14" s="32" t="n"/>
      <c r="P14" s="32" t="n"/>
      <c r="Q14" s="32" t="n"/>
      <c r="R14" s="32" t="n"/>
      <c r="S14" s="32" t="n"/>
      <c r="T14" s="32" t="n"/>
      <c r="U14" s="32" t="n"/>
      <c r="V14" s="32" t="n"/>
      <c r="W14" s="32" t="n"/>
      <c r="X14" s="32" t="n"/>
      <c r="Y14" s="32" t="n"/>
      <c r="Z14" s="32" t="n"/>
      <c r="AA14" s="33">
        <f>IF($G14="SUM",IF(COUNT($O14:$Z14)=0,"",SUM($O14:$Z14)),IF($G14="AVG",IFERROR(AVERAGE($O14:$Z14),""),IF($G14="LAST",IFERROR(LOOKUP(2,1/($O14:$Z14&lt;&gt;""),$O14:$Z14),""),"")))</f>
        <v/>
      </c>
      <c r="AB14" s="16">
        <f>IF($J14="","",IF($AA14="","",IF($J14=0,IF($AA14&lt;=0,1,0),IF($F14="↓",IFERROR($J14/$AA14,0),IFERROR($AA14/$J14,0)))))</f>
        <v/>
      </c>
      <c r="AC14" s="15">
        <f>IF($AB14="","—",IF($AB14&gt;=1,"✅ محقق",IF($AB14&gt;=0.85,"🟡 قريب","🔴 تحت الهدف")))</f>
        <v/>
      </c>
    </row>
    <row r="15" ht="24" customHeight="1">
      <c r="A15" s="15" t="n">
        <v>12</v>
      </c>
      <c r="B15" s="21" t="inlineStr">
        <is>
          <t>الامتياز التجاري</t>
        </is>
      </c>
      <c r="C15" s="9" t="inlineStr">
        <is>
          <t>النمو والتوسع</t>
        </is>
      </c>
      <c r="D15" s="9" t="inlineStr">
        <is>
          <t>عدد عقود الامتياز الجديدة الموقّعة</t>
        </is>
      </c>
      <c r="E15" s="25" t="inlineStr">
        <is>
          <t>عقد</t>
        </is>
      </c>
      <c r="F15" s="25" t="inlineStr">
        <is>
          <t>↑</t>
        </is>
      </c>
      <c r="G15" s="25" t="inlineStr">
        <is>
          <t>SUM</t>
        </is>
      </c>
      <c r="H15" s="26" t="inlineStr">
        <is>
          <t>🔴 رئيسي</t>
        </is>
      </c>
      <c r="I15" s="27" t="n">
        <v>0.03371</v>
      </c>
      <c r="J15" s="28" t="n">
        <v>167</v>
      </c>
      <c r="K15" s="29" t="inlineStr">
        <is>
          <t>167 عقد</t>
        </is>
      </c>
      <c r="L15" s="30" t="inlineStr">
        <is>
          <t>النمو</t>
        </is>
      </c>
      <c r="M15" s="31" t="inlineStr">
        <is>
          <t>الامتياز التجاري</t>
        </is>
      </c>
      <c r="N15" s="26" t="inlineStr">
        <is>
          <t>العمليات الداخلية</t>
        </is>
      </c>
      <c r="O15" s="32" t="n"/>
      <c r="P15" s="32" t="n"/>
      <c r="Q15" s="32" t="n"/>
      <c r="R15" s="32" t="n"/>
      <c r="S15" s="32" t="n"/>
      <c r="T15" s="32" t="n"/>
      <c r="U15" s="32" t="n"/>
      <c r="V15" s="32" t="n"/>
      <c r="W15" s="32" t="n"/>
      <c r="X15" s="32" t="n"/>
      <c r="Y15" s="32" t="n"/>
      <c r="Z15" s="32" t="n"/>
      <c r="AA15" s="33">
        <f>IF($G15="SUM",IF(COUNT($O15:$Z15)=0,"",SUM($O15:$Z15)),IF($G15="AVG",IFERROR(AVERAGE($O15:$Z15),""),IF($G15="LAST",IFERROR(LOOKUP(2,1/($O15:$Z15&lt;&gt;""),$O15:$Z15),""),"")))</f>
        <v/>
      </c>
      <c r="AB15" s="16">
        <f>IF($J15="","",IF($AA15="","",IF($J15=0,IF($AA15&lt;=0,1,0),IF($F15="↓",IFERROR($J15/$AA15,0),IFERROR($AA15/$J15,0)))))</f>
        <v/>
      </c>
      <c r="AC15" s="15">
        <f>IF($AB15="","—",IF($AB15&gt;=1,"✅ محقق",IF($AB15&gt;=0.85,"🟡 قريب","🔴 تحت الهدف")))</f>
        <v/>
      </c>
    </row>
    <row r="16" ht="24" customHeight="1">
      <c r="A16" s="15" t="n">
        <v>13</v>
      </c>
      <c r="B16" s="21" t="inlineStr">
        <is>
          <t>الامتياز التجاري</t>
        </is>
      </c>
      <c r="C16" s="9" t="inlineStr">
        <is>
          <t>المبيعات والأداء التجاري</t>
        </is>
      </c>
      <c r="D16" s="9" t="inlineStr">
        <is>
          <t>إجمالي مبيعات وقود محطات الامتياز</t>
        </is>
      </c>
      <c r="E16" s="25" t="inlineStr">
        <is>
          <t>لتر</t>
        </is>
      </c>
      <c r="F16" s="25" t="inlineStr">
        <is>
          <t>↑</t>
        </is>
      </c>
      <c r="G16" s="25" t="inlineStr">
        <is>
          <t>SUM</t>
        </is>
      </c>
      <c r="H16" s="26" t="inlineStr">
        <is>
          <t>🔴 رئيسي</t>
        </is>
      </c>
      <c r="I16" s="27" t="n">
        <v>0.03371</v>
      </c>
      <c r="J16" s="28" t="n">
        <v>718838077</v>
      </c>
      <c r="K16" s="29" t="inlineStr">
        <is>
          <t>718.8M لتر</t>
        </is>
      </c>
      <c r="L16" s="30" t="inlineStr">
        <is>
          <t>النمو</t>
        </is>
      </c>
      <c r="M16" s="31" t="inlineStr">
        <is>
          <t>زيادة وصول العملاء</t>
        </is>
      </c>
      <c r="N16" s="26" t="inlineStr">
        <is>
          <t>مالي</t>
        </is>
      </c>
      <c r="O16" s="32" t="n"/>
      <c r="P16" s="32" t="n"/>
      <c r="Q16" s="32" t="n"/>
      <c r="R16" s="32" t="n"/>
      <c r="S16" s="32" t="n"/>
      <c r="T16" s="32" t="n"/>
      <c r="U16" s="32" t="n"/>
      <c r="V16" s="32" t="n"/>
      <c r="W16" s="32" t="n"/>
      <c r="X16" s="32" t="n"/>
      <c r="Y16" s="32" t="n"/>
      <c r="Z16" s="32" t="n"/>
      <c r="AA16" s="33">
        <f>IF($G16="SUM",IF(COUNT($O16:$Z16)=0,"",SUM($O16:$Z16)),IF($G16="AVG",IFERROR(AVERAGE($O16:$Z16),""),IF($G16="LAST",IFERROR(LOOKUP(2,1/($O16:$Z16&lt;&gt;""),$O16:$Z16),""),"")))</f>
        <v/>
      </c>
      <c r="AB16" s="16">
        <f>IF($J16="","",IF($AA16="","",IF($J16=0,IF($AA16&lt;=0,1,0),IF($F16="↓",IFERROR($J16/$AA16,0),IFERROR($AA16/$J16,0)))))</f>
        <v/>
      </c>
      <c r="AC16" s="15">
        <f>IF($AB16="","—",IF($AB16&gt;=1,"✅ محقق",IF($AB16&gt;=0.85,"🟡 قريب","🔴 تحت الهدف")))</f>
        <v/>
      </c>
    </row>
    <row r="17" ht="24" customHeight="1">
      <c r="A17" s="15" t="n">
        <v>14</v>
      </c>
      <c r="B17" s="21" t="inlineStr">
        <is>
          <t>الامتياز التجاري</t>
        </is>
      </c>
      <c r="C17" s="9" t="inlineStr">
        <is>
          <t>المبيعات والأداء التجاري</t>
        </is>
      </c>
      <c r="D17" s="9" t="inlineStr">
        <is>
          <t>نسبة المحطات التي حققت مستهدف المبيعات</t>
        </is>
      </c>
      <c r="E17" s="25" t="inlineStr">
        <is>
          <t>%</t>
        </is>
      </c>
      <c r="F17" s="25" t="inlineStr">
        <is>
          <t>↑</t>
        </is>
      </c>
      <c r="G17" s="25" t="inlineStr">
        <is>
          <t>AVG</t>
        </is>
      </c>
      <c r="H17" s="26" t="inlineStr">
        <is>
          <t>🔴 رئيسي</t>
        </is>
      </c>
      <c r="I17" s="27" t="n">
        <v>0.03371</v>
      </c>
      <c r="J17" s="27" t="n">
        <v>0.9</v>
      </c>
      <c r="K17" s="29" t="inlineStr">
        <is>
          <t>90%+</t>
        </is>
      </c>
      <c r="L17" s="30" t="inlineStr">
        <is>
          <t>النمو</t>
        </is>
      </c>
      <c r="M17" s="31" t="inlineStr">
        <is>
          <t>زيادة وصول العملاء</t>
        </is>
      </c>
      <c r="N17" s="26" t="inlineStr">
        <is>
          <t>مالي</t>
        </is>
      </c>
      <c r="O17" s="36" t="n"/>
      <c r="P17" s="36" t="n"/>
      <c r="Q17" s="36" t="n"/>
      <c r="R17" s="36" t="n"/>
      <c r="S17" s="36" t="n"/>
      <c r="T17" s="36" t="n"/>
      <c r="U17" s="36" t="n"/>
      <c r="V17" s="36" t="n"/>
      <c r="W17" s="36" t="n"/>
      <c r="X17" s="36" t="n"/>
      <c r="Y17" s="36" t="n"/>
      <c r="Z17" s="36" t="n"/>
      <c r="AA17" s="37">
        <f>IF($G17="SUM",IF(COUNT($O17:$Z17)=0,"",SUM($O17:$Z17)),IF($G17="AVG",IFERROR(AVERAGE($O17:$Z17),""),IF($G17="LAST",IFERROR(LOOKUP(2,1/($O17:$Z17&lt;&gt;""),$O17:$Z17),""),"")))</f>
        <v/>
      </c>
      <c r="AB17" s="16">
        <f>IF($J17="","",IF($AA17="","",IF($J17=0,IF($AA17&lt;=0,1,0),IF($F17="↓",IFERROR($J17/$AA17,0),IFERROR($AA17/$J17,0)))))</f>
        <v/>
      </c>
      <c r="AC17" s="15">
        <f>IF($AB17="","—",IF($AB17&gt;=1,"✅ محقق",IF($AB17&gt;=0.85,"🟡 قريب","🔴 تحت الهدف")))</f>
        <v/>
      </c>
    </row>
    <row r="18" ht="24" customHeight="1">
      <c r="A18" s="15" t="n">
        <v>15</v>
      </c>
      <c r="B18" s="21" t="inlineStr">
        <is>
          <t>الامتياز التجاري</t>
        </is>
      </c>
      <c r="C18" s="9" t="inlineStr">
        <is>
          <t>المبيعات والأداء التجاري</t>
        </is>
      </c>
      <c r="D18" s="9" t="inlineStr">
        <is>
          <t>متوسط مبيعات المحطة الواحدة شهرياً</t>
        </is>
      </c>
      <c r="E18" s="25" t="inlineStr">
        <is>
          <t>لتر/محطة</t>
        </is>
      </c>
      <c r="F18" s="25" t="inlineStr">
        <is>
          <t>↑</t>
        </is>
      </c>
      <c r="G18" s="25" t="inlineStr">
        <is>
          <t>AVG</t>
        </is>
      </c>
      <c r="H18" s="26" t="inlineStr">
        <is>
          <t>🔴 رئيسي</t>
        </is>
      </c>
      <c r="I18" s="27" t="n">
        <v>0.03371</v>
      </c>
      <c r="J18" s="25" t="inlineStr"/>
      <c r="K18" s="29" t="inlineStr">
        <is>
          <t>+10% نمو شهري</t>
        </is>
      </c>
      <c r="L18" s="30" t="inlineStr">
        <is>
          <t>النمو</t>
        </is>
      </c>
      <c r="M18" s="31" t="inlineStr">
        <is>
          <t>زيادة وصول العملاء</t>
        </is>
      </c>
      <c r="N18" s="26" t="inlineStr">
        <is>
          <t>مالي</t>
        </is>
      </c>
      <c r="O18" s="32" t="n"/>
      <c r="P18" s="32" t="n"/>
      <c r="Q18" s="32" t="n"/>
      <c r="R18" s="32" t="n"/>
      <c r="S18" s="32" t="n"/>
      <c r="T18" s="32" t="n"/>
      <c r="U18" s="32" t="n"/>
      <c r="V18" s="32" t="n"/>
      <c r="W18" s="32" t="n"/>
      <c r="X18" s="32" t="n"/>
      <c r="Y18" s="32" t="n"/>
      <c r="Z18" s="32" t="n"/>
      <c r="AA18" s="33">
        <f>IF($G18="SUM",IF(COUNT($O18:$Z18)=0,"",SUM($O18:$Z18)),IF($G18="AVG",IFERROR(AVERAGE($O18:$Z18),""),IF($G18="LAST",IFERROR(LOOKUP(2,1/($O18:$Z18&lt;&gt;""),$O18:$Z18),""),"")))</f>
        <v/>
      </c>
      <c r="AB18" s="16">
        <f>IF($J18="","",IF($AA18="","",IF($J18=0,IF($AA18&lt;=0,1,0),IF($F18="↓",IFERROR($J18/$AA18,0),IFERROR($AA18/$J18,0)))))</f>
        <v/>
      </c>
      <c r="AC18" s="15">
        <f>IF($AB18="","—",IF($AB18&gt;=1,"✅ محقق",IF($AB18&gt;=0.85,"🟡 قريب","🔴 تحت الهدف")))</f>
        <v/>
      </c>
    </row>
    <row r="19" ht="24" customHeight="1">
      <c r="A19" s="15" t="n">
        <v>16</v>
      </c>
      <c r="B19" s="21" t="inlineStr">
        <is>
          <t>الامتياز التجاري</t>
        </is>
      </c>
      <c r="C19" s="9" t="inlineStr">
        <is>
          <t>المبيعات والأداء التجاري</t>
        </is>
      </c>
      <c r="D19" s="9" t="inlineStr">
        <is>
          <t>نسبة تأجير وحدات الامتياز</t>
        </is>
      </c>
      <c r="E19" s="25" t="inlineStr">
        <is>
          <t>%</t>
        </is>
      </c>
      <c r="F19" s="25" t="inlineStr">
        <is>
          <t>↑</t>
        </is>
      </c>
      <c r="G19" s="25" t="inlineStr">
        <is>
          <t>AVG</t>
        </is>
      </c>
      <c r="H19" s="26" t="inlineStr">
        <is>
          <t>🟠 مهم</t>
        </is>
      </c>
      <c r="I19" s="27" t="n">
        <v>0.02247</v>
      </c>
      <c r="J19" s="27" t="n">
        <v>0.7</v>
      </c>
      <c r="K19" s="29" t="inlineStr">
        <is>
          <t>70%</t>
        </is>
      </c>
      <c r="L19" s="30" t="inlineStr">
        <is>
          <t>الاستدامة</t>
        </is>
      </c>
      <c r="M19" s="31" t="inlineStr">
        <is>
          <t>منظومة التأجير</t>
        </is>
      </c>
      <c r="N19" s="26" t="inlineStr">
        <is>
          <t>العمليات الداخلية</t>
        </is>
      </c>
      <c r="O19" s="36" t="n"/>
      <c r="P19" s="36" t="n"/>
      <c r="Q19" s="36" t="n"/>
      <c r="R19" s="36" t="n"/>
      <c r="S19" s="36" t="n"/>
      <c r="T19" s="36" t="n"/>
      <c r="U19" s="36" t="n"/>
      <c r="V19" s="36" t="n"/>
      <c r="W19" s="36" t="n"/>
      <c r="X19" s="36" t="n"/>
      <c r="Y19" s="36" t="n"/>
      <c r="Z19" s="36" t="n"/>
      <c r="AA19" s="37">
        <f>IF($G19="SUM",IF(COUNT($O19:$Z19)=0,"",SUM($O19:$Z19)),IF($G19="AVG",IFERROR(AVERAGE($O19:$Z19),""),IF($G19="LAST",IFERROR(LOOKUP(2,1/($O19:$Z19&lt;&gt;""),$O19:$Z19),""),"")))</f>
        <v/>
      </c>
      <c r="AB19" s="16">
        <f>IF($J19="","",IF($AA19="","",IF($J19=0,IF($AA19&lt;=0,1,0),IF($F19="↓",IFERROR($J19/$AA19,0),IFERROR($AA19/$J19,0)))))</f>
        <v/>
      </c>
      <c r="AC19" s="15">
        <f>IF($AB19="","—",IF($AB19&gt;=1,"✅ محقق",IF($AB19&gt;=0.85,"🟡 قريب","🔴 تحت الهدف")))</f>
        <v/>
      </c>
    </row>
    <row r="20" ht="24" customHeight="1">
      <c r="A20" s="15" t="n">
        <v>17</v>
      </c>
      <c r="B20" s="21" t="inlineStr">
        <is>
          <t>الامتياز التجاري</t>
        </is>
      </c>
      <c r="C20" s="9" t="inlineStr">
        <is>
          <t>الأداء المالي</t>
        </is>
      </c>
      <c r="D20" s="9" t="inlineStr">
        <is>
          <t>إجمالي إيرادات إدارة الامتياز</t>
        </is>
      </c>
      <c r="E20" s="25" t="inlineStr">
        <is>
          <t>ر.س</t>
        </is>
      </c>
      <c r="F20" s="25" t="inlineStr">
        <is>
          <t>↑</t>
        </is>
      </c>
      <c r="G20" s="25" t="inlineStr">
        <is>
          <t>SUM</t>
        </is>
      </c>
      <c r="H20" s="26" t="inlineStr">
        <is>
          <t>🔴 رئيسي</t>
        </is>
      </c>
      <c r="I20" s="27" t="n">
        <v>0.03371</v>
      </c>
      <c r="J20" s="25" t="inlineStr"/>
      <c r="K20" s="29" t="inlineStr">
        <is>
          <t>تصاعدي مستمر</t>
        </is>
      </c>
      <c r="L20" s="30" t="inlineStr">
        <is>
          <t>النمو</t>
        </is>
      </c>
      <c r="M20" s="31" t="inlineStr">
        <is>
          <t>الامتياز التجاري</t>
        </is>
      </c>
      <c r="N20" s="26" t="inlineStr">
        <is>
          <t>مالي</t>
        </is>
      </c>
      <c r="O20" s="34" t="n"/>
      <c r="P20" s="34" t="n"/>
      <c r="Q20" s="34" t="n"/>
      <c r="R20" s="34" t="n"/>
      <c r="S20" s="34" t="n"/>
      <c r="T20" s="34" t="n"/>
      <c r="U20" s="34" t="n"/>
      <c r="V20" s="34" t="n"/>
      <c r="W20" s="34" t="n"/>
      <c r="X20" s="34" t="n"/>
      <c r="Y20" s="34" t="n"/>
      <c r="Z20" s="34" t="n"/>
      <c r="AA20" s="35">
        <f>IF($G20="SUM",IF(COUNT($O20:$Z20)=0,"",SUM($O20:$Z20)),IF($G20="AVG",IFERROR(AVERAGE($O20:$Z20),""),IF($G20="LAST",IFERROR(LOOKUP(2,1/($O20:$Z20&lt;&gt;""),$O20:$Z20),""),"")))</f>
        <v/>
      </c>
      <c r="AB20" s="16">
        <f>IF($J20="","",IF($AA20="","",IF($J20=0,IF($AA20&lt;=0,1,0),IF($F20="↓",IFERROR($J20/$AA20,0),IFERROR($AA20/$J20,0)))))</f>
        <v/>
      </c>
      <c r="AC20" s="15">
        <f>IF($AB20="","—",IF($AB20&gt;=1,"✅ محقق",IF($AB20&gt;=0.85,"🟡 قريب","🔴 تحت الهدف")))</f>
        <v/>
      </c>
    </row>
    <row r="21" ht="24" customHeight="1">
      <c r="A21" s="15" t="n">
        <v>18</v>
      </c>
      <c r="B21" s="21" t="inlineStr">
        <is>
          <t>الامتياز التجاري</t>
        </is>
      </c>
      <c r="C21" s="9" t="inlineStr">
        <is>
          <t>الأداء المالي</t>
        </is>
      </c>
      <c r="D21" s="9" t="inlineStr">
        <is>
          <t>رفع هامش الربحية للامتياز</t>
        </is>
      </c>
      <c r="E21" s="25" t="inlineStr">
        <is>
          <t>هللة/لتر</t>
        </is>
      </c>
      <c r="F21" s="25" t="inlineStr">
        <is>
          <t>↑</t>
        </is>
      </c>
      <c r="G21" s="25" t="inlineStr">
        <is>
          <t>AVG</t>
        </is>
      </c>
      <c r="H21" s="26" t="inlineStr">
        <is>
          <t>🟠 مهم</t>
        </is>
      </c>
      <c r="I21" s="27" t="n">
        <v>0.02247</v>
      </c>
      <c r="J21" s="38" t="n">
        <v>1.8</v>
      </c>
      <c r="K21" s="29" t="inlineStr">
        <is>
          <t>+1.8 هللة/لتر</t>
        </is>
      </c>
      <c r="L21" s="30" t="inlineStr">
        <is>
          <t>النمو</t>
        </is>
      </c>
      <c r="M21" s="31" t="inlineStr">
        <is>
          <t>الامتياز التجاري</t>
        </is>
      </c>
      <c r="N21" s="26" t="inlineStr">
        <is>
          <t>مالي</t>
        </is>
      </c>
      <c r="O21" s="39" t="n"/>
      <c r="P21" s="39" t="n"/>
      <c r="Q21" s="39" t="n"/>
      <c r="R21" s="39" t="n"/>
      <c r="S21" s="39" t="n"/>
      <c r="T21" s="39" t="n"/>
      <c r="U21" s="39" t="n"/>
      <c r="V21" s="39" t="n"/>
      <c r="W21" s="39" t="n"/>
      <c r="X21" s="39" t="n"/>
      <c r="Y21" s="39" t="n"/>
      <c r="Z21" s="39" t="n"/>
      <c r="AA21" s="40">
        <f>IF($G21="SUM",IF(COUNT($O21:$Z21)=0,"",SUM($O21:$Z21)),IF($G21="AVG",IFERROR(AVERAGE($O21:$Z21),""),IF($G21="LAST",IFERROR(LOOKUP(2,1/($O21:$Z21&lt;&gt;""),$O21:$Z21),""),"")))</f>
        <v/>
      </c>
      <c r="AB21" s="16">
        <f>IF($J21="","",IF($AA21="","",IF($J21=0,IF($AA21&lt;=0,1,0),IF($F21="↓",IFERROR($J21/$AA21,0),IFERROR($AA21/$J21,0)))))</f>
        <v/>
      </c>
      <c r="AC21" s="15">
        <f>IF($AB21="","—",IF($AB21&gt;=1,"✅ محقق",IF($AB21&gt;=0.85,"🟡 قريب","🔴 تحت الهدف")))</f>
        <v/>
      </c>
    </row>
    <row r="22" ht="24" customHeight="1">
      <c r="A22" s="15" t="n">
        <v>19</v>
      </c>
      <c r="B22" s="21" t="inlineStr">
        <is>
          <t>الامتياز التجاري</t>
        </is>
      </c>
      <c r="C22" s="9" t="inlineStr">
        <is>
          <t>الأداء المالي</t>
        </is>
      </c>
      <c r="D22" s="9" t="inlineStr">
        <is>
          <t>نسبة التحصيل المالي من شركاء الامتياز</t>
        </is>
      </c>
      <c r="E22" s="25" t="inlineStr">
        <is>
          <t>%</t>
        </is>
      </c>
      <c r="F22" s="25" t="inlineStr">
        <is>
          <t>↑</t>
        </is>
      </c>
      <c r="G22" s="25" t="inlineStr">
        <is>
          <t>AVG</t>
        </is>
      </c>
      <c r="H22" s="26" t="inlineStr">
        <is>
          <t>🔴 رئيسي</t>
        </is>
      </c>
      <c r="I22" s="27" t="n">
        <v>0.03371</v>
      </c>
      <c r="J22" s="27" t="n">
        <v>0.95</v>
      </c>
      <c r="K22" s="29" t="inlineStr">
        <is>
          <t>95%+</t>
        </is>
      </c>
      <c r="L22" s="30" t="inlineStr">
        <is>
          <t>الاستدامة</t>
        </is>
      </c>
      <c r="M22" s="31" t="inlineStr">
        <is>
          <t>جودة التشغيل</t>
        </is>
      </c>
      <c r="N22" s="26" t="inlineStr">
        <is>
          <t>مالي</t>
        </is>
      </c>
      <c r="O22" s="36" t="n"/>
      <c r="P22" s="36" t="n"/>
      <c r="Q22" s="36" t="n"/>
      <c r="R22" s="36" t="n"/>
      <c r="S22" s="36" t="n"/>
      <c r="T22" s="36" t="n"/>
      <c r="U22" s="36" t="n"/>
      <c r="V22" s="36" t="n"/>
      <c r="W22" s="36" t="n"/>
      <c r="X22" s="36" t="n"/>
      <c r="Y22" s="36" t="n"/>
      <c r="Z22" s="36" t="n"/>
      <c r="AA22" s="37">
        <f>IF($G22="SUM",IF(COUNT($O22:$Z22)=0,"",SUM($O22:$Z22)),IF($G22="AVG",IFERROR(AVERAGE($O22:$Z22),""),IF($G22="LAST",IFERROR(LOOKUP(2,1/($O22:$Z22&lt;&gt;""),$O22:$Z22),""),"")))</f>
        <v/>
      </c>
      <c r="AB22" s="16">
        <f>IF($J22="","",IF($AA22="","",IF($J22=0,IF($AA22&lt;=0,1,0),IF($F22="↓",IFERROR($J22/$AA22,0),IFERROR($AA22/$J22,0)))))</f>
        <v/>
      </c>
      <c r="AC22" s="15">
        <f>IF($AB22="","—",IF($AB22&gt;=1,"✅ محقق",IF($AB22&gt;=0.85,"🟡 قريب","🔴 تحت الهدف")))</f>
        <v/>
      </c>
    </row>
    <row r="23" ht="24" customHeight="1">
      <c r="A23" s="15" t="n">
        <v>20</v>
      </c>
      <c r="B23" s="21" t="inlineStr">
        <is>
          <t>الامتياز التجاري</t>
        </is>
      </c>
      <c r="C23" s="9" t="inlineStr">
        <is>
          <t>الأداء المالي</t>
        </is>
      </c>
      <c r="D23" s="9" t="inlineStr">
        <is>
          <t>متوسط أيام التحصيل (DSO)</t>
        </is>
      </c>
      <c r="E23" s="25" t="inlineStr">
        <is>
          <t>يوم</t>
        </is>
      </c>
      <c r="F23" s="25" t="inlineStr">
        <is>
          <t>↓</t>
        </is>
      </c>
      <c r="G23" s="25" t="inlineStr">
        <is>
          <t>AVG</t>
        </is>
      </c>
      <c r="H23" s="26" t="inlineStr">
        <is>
          <t>🔴 رئيسي</t>
        </is>
      </c>
      <c r="I23" s="27" t="n">
        <v>0.03371</v>
      </c>
      <c r="J23" s="38" t="n">
        <v>30</v>
      </c>
      <c r="K23" s="29" t="inlineStr">
        <is>
          <t>≤ 30 يوم</t>
        </is>
      </c>
      <c r="L23" s="30" t="inlineStr">
        <is>
          <t>الاستدامة</t>
        </is>
      </c>
      <c r="M23" s="31" t="inlineStr">
        <is>
          <t>جودة التشغيل</t>
        </is>
      </c>
      <c r="N23" s="26" t="inlineStr">
        <is>
          <t>مالي</t>
        </is>
      </c>
      <c r="O23" s="39" t="n"/>
      <c r="P23" s="39" t="n"/>
      <c r="Q23" s="39" t="n"/>
      <c r="R23" s="39" t="n"/>
      <c r="S23" s="39" t="n"/>
      <c r="T23" s="39" t="n"/>
      <c r="U23" s="39" t="n"/>
      <c r="V23" s="39" t="n"/>
      <c r="W23" s="39" t="n"/>
      <c r="X23" s="39" t="n"/>
      <c r="Y23" s="39" t="n"/>
      <c r="Z23" s="39" t="n"/>
      <c r="AA23" s="40">
        <f>IF($G23="SUM",IF(COUNT($O23:$Z23)=0,"",SUM($O23:$Z23)),IF($G23="AVG",IFERROR(AVERAGE($O23:$Z23),""),IF($G23="LAST",IFERROR(LOOKUP(2,1/($O23:$Z23&lt;&gt;""),$O23:$Z23),""),"")))</f>
        <v/>
      </c>
      <c r="AB23" s="16">
        <f>IF($J23="","",IF($AA23="","",IF($J23=0,IF($AA23&lt;=0,1,0),IF($F23="↓",IFERROR($J23/$AA23,0),IFERROR($AA23/$J23,0)))))</f>
        <v/>
      </c>
      <c r="AC23" s="15">
        <f>IF($AB23="","—",IF($AB23&gt;=1,"✅ محقق",IF($AB23&gt;=0.85,"🟡 قريب","🔴 تحت الهدف")))</f>
        <v/>
      </c>
    </row>
    <row r="24" ht="24" customHeight="1">
      <c r="A24" s="15" t="n">
        <v>21</v>
      </c>
      <c r="B24" s="21" t="inlineStr">
        <is>
          <t>الامتياز التجاري</t>
        </is>
      </c>
      <c r="C24" s="9" t="inlineStr">
        <is>
          <t>الأداء المالي</t>
        </is>
      </c>
      <c r="D24" s="9" t="inlineStr">
        <is>
          <t>إجمالي المستحقات المتأخرة (+30 يوم)</t>
        </is>
      </c>
      <c r="E24" s="25" t="inlineStr">
        <is>
          <t>ر.س</t>
        </is>
      </c>
      <c r="F24" s="25" t="inlineStr">
        <is>
          <t>↓</t>
        </is>
      </c>
      <c r="G24" s="25" t="inlineStr">
        <is>
          <t>LAST</t>
        </is>
      </c>
      <c r="H24" s="26" t="inlineStr">
        <is>
          <t>🟠 مهم</t>
        </is>
      </c>
      <c r="I24" s="27" t="n">
        <v>0.02247</v>
      </c>
      <c r="J24" s="25" t="inlineStr"/>
      <c r="K24" s="29" t="inlineStr">
        <is>
          <t>تراجع مستمر</t>
        </is>
      </c>
      <c r="L24" s="30" t="inlineStr">
        <is>
          <t>الاستدامة</t>
        </is>
      </c>
      <c r="M24" s="31" t="inlineStr">
        <is>
          <t>جودة التشغيل</t>
        </is>
      </c>
      <c r="N24" s="26" t="inlineStr">
        <is>
          <t>مالي</t>
        </is>
      </c>
      <c r="O24" s="34" t="n"/>
      <c r="P24" s="34" t="n"/>
      <c r="Q24" s="34" t="n"/>
      <c r="R24" s="34" t="n"/>
      <c r="S24" s="34" t="n"/>
      <c r="T24" s="34" t="n"/>
      <c r="U24" s="34" t="n"/>
      <c r="V24" s="34" t="n"/>
      <c r="W24" s="34" t="n"/>
      <c r="X24" s="34" t="n"/>
      <c r="Y24" s="34" t="n"/>
      <c r="Z24" s="34" t="n"/>
      <c r="AA24" s="35">
        <f>IF($G24="SUM",IF(COUNT($O24:$Z24)=0,"",SUM($O24:$Z24)),IF($G24="AVG",IFERROR(AVERAGE($O24:$Z24),""),IF($G24="LAST",IFERROR(LOOKUP(2,1/($O24:$Z24&lt;&gt;""),$O24:$Z24),""),"")))</f>
        <v/>
      </c>
      <c r="AB24" s="16">
        <f>IF($J24="","",IF($AA24="","",IF($J24=0,IF($AA24&lt;=0,1,0),IF($F24="↓",IFERROR($J24/$AA24,0),IFERROR($AA24/$J24,0)))))</f>
        <v/>
      </c>
      <c r="AC24" s="15">
        <f>IF($AB24="","—",IF($AB24&gt;=1,"✅ محقق",IF($AB24&gt;=0.85,"🟡 قريب","🔴 تحت الهدف")))</f>
        <v/>
      </c>
    </row>
    <row r="25" ht="24" customHeight="1">
      <c r="A25" s="15" t="n">
        <v>22</v>
      </c>
      <c r="B25" s="21" t="inlineStr">
        <is>
          <t>الامتياز التجاري</t>
        </is>
      </c>
      <c r="C25" s="9" t="inlineStr">
        <is>
          <t>الأداء المالي</t>
        </is>
      </c>
      <c r="D25" s="9" t="inlineStr">
        <is>
          <t>نسبة الشركاء الملتزمين بمواعيد السداد</t>
        </is>
      </c>
      <c r="E25" s="25" t="inlineStr">
        <is>
          <t>%</t>
        </is>
      </c>
      <c r="F25" s="25" t="inlineStr">
        <is>
          <t>↑</t>
        </is>
      </c>
      <c r="G25" s="25" t="inlineStr">
        <is>
          <t>AVG</t>
        </is>
      </c>
      <c r="H25" s="26" t="inlineStr">
        <is>
          <t>🟠 مهم</t>
        </is>
      </c>
      <c r="I25" s="27" t="n">
        <v>0.02247</v>
      </c>
      <c r="J25" s="27" t="n">
        <v>0.9</v>
      </c>
      <c r="K25" s="29" t="inlineStr">
        <is>
          <t>90%+</t>
        </is>
      </c>
      <c r="L25" s="30" t="inlineStr">
        <is>
          <t>الاستدامة</t>
        </is>
      </c>
      <c r="M25" s="31" t="inlineStr">
        <is>
          <t>جودة التشغيل</t>
        </is>
      </c>
      <c r="N25" s="26" t="inlineStr">
        <is>
          <t>مالي</t>
        </is>
      </c>
      <c r="O25" s="36" t="n"/>
      <c r="P25" s="36" t="n"/>
      <c r="Q25" s="36" t="n"/>
      <c r="R25" s="36" t="n"/>
      <c r="S25" s="36" t="n"/>
      <c r="T25" s="36" t="n"/>
      <c r="U25" s="36" t="n"/>
      <c r="V25" s="36" t="n"/>
      <c r="W25" s="36" t="n"/>
      <c r="X25" s="36" t="n"/>
      <c r="Y25" s="36" t="n"/>
      <c r="Z25" s="36" t="n"/>
      <c r="AA25" s="37">
        <f>IF($G25="SUM",IF(COUNT($O25:$Z25)=0,"",SUM($O25:$Z25)),IF($G25="AVG",IFERROR(AVERAGE($O25:$Z25),""),IF($G25="LAST",IFERROR(LOOKUP(2,1/($O25:$Z25&lt;&gt;""),$O25:$Z25),""),"")))</f>
        <v/>
      </c>
      <c r="AB25" s="16">
        <f>IF($J25="","",IF($AA25="","",IF($J25=0,IF($AA25&lt;=0,1,0),IF($F25="↓",IFERROR($J25/$AA25,0),IFERROR($AA25/$J25,0)))))</f>
        <v/>
      </c>
      <c r="AC25" s="15">
        <f>IF($AB25="","—",IF($AB25&gt;=1,"✅ محقق",IF($AB25&gt;=0.85,"🟡 قريب","🔴 تحت الهدف")))</f>
        <v/>
      </c>
    </row>
    <row r="26" ht="24" customHeight="1">
      <c r="A26" s="15" t="n">
        <v>23</v>
      </c>
      <c r="B26" s="21" t="inlineStr">
        <is>
          <t>الامتياز التجاري</t>
        </is>
      </c>
      <c r="C26" s="9" t="inlineStr">
        <is>
          <t>الأداء المالي</t>
        </is>
      </c>
      <c r="D26" s="9" t="inlineStr">
        <is>
          <t>معدل دوران رأس المال (أيام الدورة)</t>
        </is>
      </c>
      <c r="E26" s="25" t="inlineStr">
        <is>
          <t>يوم</t>
        </is>
      </c>
      <c r="F26" s="25" t="inlineStr">
        <is>
          <t>↓</t>
        </is>
      </c>
      <c r="G26" s="25" t="inlineStr">
        <is>
          <t>AVG</t>
        </is>
      </c>
      <c r="H26" s="26" t="inlineStr">
        <is>
          <t>🟠 مهم</t>
        </is>
      </c>
      <c r="I26" s="27" t="n">
        <v>0.02247</v>
      </c>
      <c r="J26" s="38" t="n">
        <v>5</v>
      </c>
      <c r="K26" s="29" t="inlineStr">
        <is>
          <t>≤ 5 أيام</t>
        </is>
      </c>
      <c r="L26" s="30" t="inlineStr">
        <is>
          <t>الاستدامة</t>
        </is>
      </c>
      <c r="M26" s="31" t="inlineStr">
        <is>
          <t>جودة التشغيل</t>
        </is>
      </c>
      <c r="N26" s="26" t="inlineStr">
        <is>
          <t>مالي</t>
        </is>
      </c>
      <c r="O26" s="39" t="n"/>
      <c r="P26" s="39" t="n"/>
      <c r="Q26" s="39" t="n"/>
      <c r="R26" s="39" t="n"/>
      <c r="S26" s="39" t="n"/>
      <c r="T26" s="39" t="n"/>
      <c r="U26" s="39" t="n"/>
      <c r="V26" s="39" t="n"/>
      <c r="W26" s="39" t="n"/>
      <c r="X26" s="39" t="n"/>
      <c r="Y26" s="39" t="n"/>
      <c r="Z26" s="39" t="n"/>
      <c r="AA26" s="40">
        <f>IF($G26="SUM",IF(COUNT($O26:$Z26)=0,"",SUM($O26:$Z26)),IF($G26="AVG",IFERROR(AVERAGE($O26:$Z26),""),IF($G26="LAST",IFERROR(LOOKUP(2,1/($O26:$Z26&lt;&gt;""),$O26:$Z26),""),"")))</f>
        <v/>
      </c>
      <c r="AB26" s="16">
        <f>IF($J26="","",IF($AA26="","",IF($J26=0,IF($AA26&lt;=0,1,0),IF($F26="↓",IFERROR($J26/$AA26,0),IFERROR($AA26/$J26,0)))))</f>
        <v/>
      </c>
      <c r="AC26" s="15">
        <f>IF($AB26="","—",IF($AB26&gt;=1,"✅ محقق",IF($AB26&gt;=0.85,"🟡 قريب","🔴 تحت الهدف")))</f>
        <v/>
      </c>
    </row>
    <row r="27" ht="24" customHeight="1">
      <c r="A27" s="15" t="n">
        <v>24</v>
      </c>
      <c r="B27" s="21" t="inlineStr">
        <is>
          <t>الامتياز التجاري</t>
        </is>
      </c>
      <c r="C27" s="9" t="inlineStr">
        <is>
          <t>التشغيل والجودة</t>
        </is>
      </c>
      <c r="D27" s="9" t="inlineStr">
        <is>
          <t>نسبة جاهزية محطات الامتياز (صفر انقطاع)</t>
        </is>
      </c>
      <c r="E27" s="25" t="inlineStr">
        <is>
          <t>%</t>
        </is>
      </c>
      <c r="F27" s="25" t="inlineStr">
        <is>
          <t>↑</t>
        </is>
      </c>
      <c r="G27" s="25" t="inlineStr">
        <is>
          <t>AVG</t>
        </is>
      </c>
      <c r="H27" s="26" t="inlineStr">
        <is>
          <t>🔴 رئيسي</t>
        </is>
      </c>
      <c r="I27" s="27" t="n">
        <v>0.03371</v>
      </c>
      <c r="J27" s="27" t="n">
        <v>0.99</v>
      </c>
      <c r="K27" s="29" t="inlineStr">
        <is>
          <t>99%+</t>
        </is>
      </c>
      <c r="L27" s="30" t="inlineStr">
        <is>
          <t>الاستدامة</t>
        </is>
      </c>
      <c r="M27" s="31" t="inlineStr">
        <is>
          <t>جودة التشغيل</t>
        </is>
      </c>
      <c r="N27" s="26" t="inlineStr">
        <is>
          <t>العمليات الداخلية</t>
        </is>
      </c>
      <c r="O27" s="36" t="n"/>
      <c r="P27" s="36" t="n"/>
      <c r="Q27" s="36" t="n"/>
      <c r="R27" s="36" t="n"/>
      <c r="S27" s="36" t="n"/>
      <c r="T27" s="36" t="n"/>
      <c r="U27" s="36" t="n"/>
      <c r="V27" s="36" t="n"/>
      <c r="W27" s="36" t="n"/>
      <c r="X27" s="36" t="n"/>
      <c r="Y27" s="36" t="n"/>
      <c r="Z27" s="36" t="n"/>
      <c r="AA27" s="37">
        <f>IF($G27="SUM",IF(COUNT($O27:$Z27)=0,"",SUM($O27:$Z27)),IF($G27="AVG",IFERROR(AVERAGE($O27:$Z27),""),IF($G27="LAST",IFERROR(LOOKUP(2,1/($O27:$Z27&lt;&gt;""),$O27:$Z27),""),"")))</f>
        <v/>
      </c>
      <c r="AB27" s="16">
        <f>IF($J27="","",IF($AA27="","",IF($J27=0,IF($AA27&lt;=0,1,0),IF($F27="↓",IFERROR($J27/$AA27,0),IFERROR($AA27/$J27,0)))))</f>
        <v/>
      </c>
      <c r="AC27" s="15">
        <f>IF($AB27="","—",IF($AB27&gt;=1,"✅ محقق",IF($AB27&gt;=0.85,"🟡 قريب","🔴 تحت الهدف")))</f>
        <v/>
      </c>
    </row>
    <row r="28" ht="24" customHeight="1">
      <c r="A28" s="15" t="n">
        <v>25</v>
      </c>
      <c r="B28" s="21" t="inlineStr">
        <is>
          <t>الامتياز التجاري</t>
        </is>
      </c>
      <c r="C28" s="9" t="inlineStr">
        <is>
          <t>التشغيل والجودة</t>
        </is>
      </c>
      <c r="D28" s="9" t="inlineStr">
        <is>
          <t>عدد حالات انقطاع الوقود الموثّقة</t>
        </is>
      </c>
      <c r="E28" s="25" t="inlineStr">
        <is>
          <t>حالة</t>
        </is>
      </c>
      <c r="F28" s="25" t="inlineStr">
        <is>
          <t>↓</t>
        </is>
      </c>
      <c r="G28" s="25" t="inlineStr">
        <is>
          <t>SUM</t>
        </is>
      </c>
      <c r="H28" s="26" t="inlineStr">
        <is>
          <t>🟠 مهم</t>
        </is>
      </c>
      <c r="I28" s="27" t="n">
        <v>0.02247</v>
      </c>
      <c r="J28" s="28" t="n">
        <v>0</v>
      </c>
      <c r="K28" s="29" t="inlineStr">
        <is>
          <t>0 حالة</t>
        </is>
      </c>
      <c r="L28" s="30" t="inlineStr">
        <is>
          <t>الاستدامة</t>
        </is>
      </c>
      <c r="M28" s="31" t="inlineStr">
        <is>
          <t>جودة التشغيل</t>
        </is>
      </c>
      <c r="N28" s="26" t="inlineStr">
        <is>
          <t>العمليات الداخلية</t>
        </is>
      </c>
      <c r="O28" s="32" t="n"/>
      <c r="P28" s="32" t="n"/>
      <c r="Q28" s="32" t="n"/>
      <c r="R28" s="32" t="n"/>
      <c r="S28" s="32" t="n"/>
      <c r="T28" s="32" t="n"/>
      <c r="U28" s="32" t="n"/>
      <c r="V28" s="32" t="n"/>
      <c r="W28" s="32" t="n"/>
      <c r="X28" s="32" t="n"/>
      <c r="Y28" s="32" t="n"/>
      <c r="Z28" s="32" t="n"/>
      <c r="AA28" s="33">
        <f>IF($G28="SUM",IF(COUNT($O28:$Z28)=0,"",SUM($O28:$Z28)),IF($G28="AVG",IFERROR(AVERAGE($O28:$Z28),""),IF($G28="LAST",IFERROR(LOOKUP(2,1/($O28:$Z28&lt;&gt;""),$O28:$Z28),""),"")))</f>
        <v/>
      </c>
      <c r="AB28" s="16">
        <f>IF($J28="","",IF($AA28="","",IF($J28=0,IF($AA28&lt;=0,1,0),IF($F28="↓",IFERROR($J28/$AA28,0),IFERROR($AA28/$J28,0)))))</f>
        <v/>
      </c>
      <c r="AC28" s="15">
        <f>IF($AB28="","—",IF($AB28&gt;=1,"✅ محقق",IF($AB28&gt;=0.85,"🟡 قريب","🔴 تحت الهدف")))</f>
        <v/>
      </c>
    </row>
    <row r="29" ht="24" customHeight="1">
      <c r="A29" s="15" t="n">
        <v>26</v>
      </c>
      <c r="B29" s="21" t="inlineStr">
        <is>
          <t>الامتياز التجاري</t>
        </is>
      </c>
      <c r="C29" s="9" t="inlineStr">
        <is>
          <t>التشغيل والجودة</t>
        </is>
      </c>
      <c r="D29" s="9" t="inlineStr">
        <is>
          <t>نسبة إغلاق ملاحظات الجودة الميدانية</t>
        </is>
      </c>
      <c r="E29" s="25" t="inlineStr">
        <is>
          <t>%</t>
        </is>
      </c>
      <c r="F29" s="25" t="inlineStr">
        <is>
          <t>↑</t>
        </is>
      </c>
      <c r="G29" s="25" t="inlineStr">
        <is>
          <t>AVG</t>
        </is>
      </c>
      <c r="H29" s="26" t="inlineStr">
        <is>
          <t>🟠 مهم</t>
        </is>
      </c>
      <c r="I29" s="27" t="n">
        <v>0.02247</v>
      </c>
      <c r="J29" s="27" t="n">
        <v>0.95</v>
      </c>
      <c r="K29" s="29" t="inlineStr">
        <is>
          <t>95%+</t>
        </is>
      </c>
      <c r="L29" s="30" t="inlineStr">
        <is>
          <t>الاستدامة</t>
        </is>
      </c>
      <c r="M29" s="31" t="inlineStr">
        <is>
          <t>جودة التشغيل</t>
        </is>
      </c>
      <c r="N29" s="26" t="inlineStr">
        <is>
          <t>العمليات الداخلية</t>
        </is>
      </c>
      <c r="O29" s="36" t="n"/>
      <c r="P29" s="36" t="n"/>
      <c r="Q29" s="36" t="n"/>
      <c r="R29" s="36" t="n"/>
      <c r="S29" s="36" t="n"/>
      <c r="T29" s="36" t="n"/>
      <c r="U29" s="36" t="n"/>
      <c r="V29" s="36" t="n"/>
      <c r="W29" s="36" t="n"/>
      <c r="X29" s="36" t="n"/>
      <c r="Y29" s="36" t="n"/>
      <c r="Z29" s="36" t="n"/>
      <c r="AA29" s="37">
        <f>IF($G29="SUM",IF(COUNT($O29:$Z29)=0,"",SUM($O29:$Z29)),IF($G29="AVG",IFERROR(AVERAGE($O29:$Z29),""),IF($G29="LAST",IFERROR(LOOKUP(2,1/($O29:$Z29&lt;&gt;""),$O29:$Z29),""),"")))</f>
        <v/>
      </c>
      <c r="AB29" s="16">
        <f>IF($J29="","",IF($AA29="","",IF($J29=0,IF($AA29&lt;=0,1,0),IF($F29="↓",IFERROR($J29/$AA29,0),IFERROR($AA29/$J29,0)))))</f>
        <v/>
      </c>
      <c r="AC29" s="15">
        <f>IF($AB29="","—",IF($AB29&gt;=1,"✅ محقق",IF($AB29&gt;=0.85,"🟡 قريب","🔴 تحت الهدف")))</f>
        <v/>
      </c>
    </row>
    <row r="30" ht="24" customHeight="1">
      <c r="A30" s="15" t="n">
        <v>27</v>
      </c>
      <c r="B30" s="21" t="inlineStr">
        <is>
          <t>الامتياز التجاري</t>
        </is>
      </c>
      <c r="C30" s="9" t="inlineStr">
        <is>
          <t>التشغيل والجودة</t>
        </is>
      </c>
      <c r="D30" s="9" t="inlineStr">
        <is>
          <t>متوسط درجة تقييم جودة المحطة (قائمة التحقق)</t>
        </is>
      </c>
      <c r="E30" s="25" t="inlineStr">
        <is>
          <t>درجة/100</t>
        </is>
      </c>
      <c r="F30" s="25" t="inlineStr">
        <is>
          <t>↑</t>
        </is>
      </c>
      <c r="G30" s="25" t="inlineStr">
        <is>
          <t>AVG</t>
        </is>
      </c>
      <c r="H30" s="26" t="inlineStr">
        <is>
          <t>🔴 رئيسي</t>
        </is>
      </c>
      <c r="I30" s="27" t="n">
        <v>0.03371</v>
      </c>
      <c r="J30" s="38" t="n">
        <v>85</v>
      </c>
      <c r="K30" s="29" t="inlineStr">
        <is>
          <t>85+</t>
        </is>
      </c>
      <c r="L30" s="30" t="inlineStr">
        <is>
          <t>الاستدامة</t>
        </is>
      </c>
      <c r="M30" s="31" t="inlineStr">
        <is>
          <t>جودة التشغيل</t>
        </is>
      </c>
      <c r="N30" s="26" t="inlineStr">
        <is>
          <t>العمليات الداخلية</t>
        </is>
      </c>
      <c r="O30" s="39" t="n"/>
      <c r="P30" s="39" t="n"/>
      <c r="Q30" s="39" t="n"/>
      <c r="R30" s="39" t="n"/>
      <c r="S30" s="39" t="n"/>
      <c r="T30" s="39" t="n"/>
      <c r="U30" s="39" t="n"/>
      <c r="V30" s="39" t="n"/>
      <c r="W30" s="39" t="n"/>
      <c r="X30" s="39" t="n"/>
      <c r="Y30" s="39" t="n"/>
      <c r="Z30" s="39" t="n"/>
      <c r="AA30" s="40">
        <f>IF($G30="SUM",IF(COUNT($O30:$Z30)=0,"",SUM($O30:$Z30)),IF($G30="AVG",IFERROR(AVERAGE($O30:$Z30),""),IF($G30="LAST",IFERROR(LOOKUP(2,1/($O30:$Z30&lt;&gt;""),$O30:$Z30),""),"")))</f>
        <v/>
      </c>
      <c r="AB30" s="16">
        <f>IF($J30="","",IF($AA30="","",IF($J30=0,IF($AA30&lt;=0,1,0),IF($F30="↓",IFERROR($J30/$AA30,0),IFERROR($AA30/$J30,0)))))</f>
        <v/>
      </c>
      <c r="AC30" s="15">
        <f>IF($AB30="","—",IF($AB30&gt;=1,"✅ محقق",IF($AB30&gt;=0.85,"🟡 قريب","🔴 تحت الهدف")))</f>
        <v/>
      </c>
    </row>
    <row r="31" ht="24" customHeight="1">
      <c r="A31" s="15" t="n">
        <v>28</v>
      </c>
      <c r="B31" s="21" t="inlineStr">
        <is>
          <t>الامتياز التجاري</t>
        </is>
      </c>
      <c r="C31" s="9" t="inlineStr">
        <is>
          <t>التشغيل والجودة</t>
        </is>
      </c>
      <c r="D31" s="9" t="inlineStr">
        <is>
          <t>نسبة تنفيذ الزيارات الميدانية المجدولة</t>
        </is>
      </c>
      <c r="E31" s="25" t="inlineStr">
        <is>
          <t>%</t>
        </is>
      </c>
      <c r="F31" s="25" t="inlineStr">
        <is>
          <t>↑</t>
        </is>
      </c>
      <c r="G31" s="25" t="inlineStr">
        <is>
          <t>AVG</t>
        </is>
      </c>
      <c r="H31" s="26" t="inlineStr">
        <is>
          <t>🟠 مهم</t>
        </is>
      </c>
      <c r="I31" s="27" t="n">
        <v>0.02247</v>
      </c>
      <c r="J31" s="27" t="n">
        <v>1</v>
      </c>
      <c r="K31" s="29" t="inlineStr">
        <is>
          <t>100%</t>
        </is>
      </c>
      <c r="L31" s="30" t="inlineStr">
        <is>
          <t>الاستدامة</t>
        </is>
      </c>
      <c r="M31" s="31" t="inlineStr">
        <is>
          <t>جودة التشغيل</t>
        </is>
      </c>
      <c r="N31" s="26" t="inlineStr">
        <is>
          <t>العمليات الداخلية</t>
        </is>
      </c>
      <c r="O31" s="36" t="n"/>
      <c r="P31" s="36" t="n"/>
      <c r="Q31" s="36" t="n"/>
      <c r="R31" s="36" t="n"/>
      <c r="S31" s="36" t="n"/>
      <c r="T31" s="36" t="n"/>
      <c r="U31" s="36" t="n"/>
      <c r="V31" s="36" t="n"/>
      <c r="W31" s="36" t="n"/>
      <c r="X31" s="36" t="n"/>
      <c r="Y31" s="36" t="n"/>
      <c r="Z31" s="36" t="n"/>
      <c r="AA31" s="37">
        <f>IF($G31="SUM",IF(COUNT($O31:$Z31)=0,"",SUM($O31:$Z31)),IF($G31="AVG",IFERROR(AVERAGE($O31:$Z31),""),IF($G31="LAST",IFERROR(LOOKUP(2,1/($O31:$Z31&lt;&gt;""),$O31:$Z31),""),"")))</f>
        <v/>
      </c>
      <c r="AB31" s="16">
        <f>IF($J31="","",IF($AA31="","",IF($J31=0,IF($AA31&lt;=0,1,0),IF($F31="↓",IFERROR($J31/$AA31,0),IFERROR($AA31/$J31,0)))))</f>
        <v/>
      </c>
      <c r="AC31" s="15">
        <f>IF($AB31="","—",IF($AB31&gt;=1,"✅ محقق",IF($AB31&gt;=0.85,"🟡 قريب","🔴 تحت الهدف")))</f>
        <v/>
      </c>
    </row>
    <row r="32" ht="24" customHeight="1">
      <c r="A32" s="15" t="n">
        <v>29</v>
      </c>
      <c r="B32" s="21" t="inlineStr">
        <is>
          <t>الامتياز التجاري</t>
        </is>
      </c>
      <c r="C32" s="9" t="inlineStr">
        <is>
          <t>التشغيل والجودة</t>
        </is>
      </c>
      <c r="D32" s="9" t="inlineStr">
        <is>
          <t>نسبة المحطات المستوفية لمعايير السلامة</t>
        </is>
      </c>
      <c r="E32" s="25" t="inlineStr">
        <is>
          <t>%</t>
        </is>
      </c>
      <c r="F32" s="25" t="inlineStr">
        <is>
          <t>↑</t>
        </is>
      </c>
      <c r="G32" s="25" t="inlineStr">
        <is>
          <t>AVG</t>
        </is>
      </c>
      <c r="H32" s="26" t="inlineStr">
        <is>
          <t>🔴 رئيسي</t>
        </is>
      </c>
      <c r="I32" s="27" t="n">
        <v>0.03371</v>
      </c>
      <c r="J32" s="27" t="n">
        <v>1</v>
      </c>
      <c r="K32" s="29" t="inlineStr">
        <is>
          <t>100%</t>
        </is>
      </c>
      <c r="L32" s="30" t="inlineStr">
        <is>
          <t>الاستدامة</t>
        </is>
      </c>
      <c r="M32" s="31" t="inlineStr">
        <is>
          <t>جودة التشغيل</t>
        </is>
      </c>
      <c r="N32" s="26" t="inlineStr">
        <is>
          <t>العمليات الداخلية</t>
        </is>
      </c>
      <c r="O32" s="36" t="n"/>
      <c r="P32" s="36" t="n"/>
      <c r="Q32" s="36" t="n"/>
      <c r="R32" s="36" t="n"/>
      <c r="S32" s="36" t="n"/>
      <c r="T32" s="36" t="n"/>
      <c r="U32" s="36" t="n"/>
      <c r="V32" s="36" t="n"/>
      <c r="W32" s="36" t="n"/>
      <c r="X32" s="36" t="n"/>
      <c r="Y32" s="36" t="n"/>
      <c r="Z32" s="36" t="n"/>
      <c r="AA32" s="37">
        <f>IF($G32="SUM",IF(COUNT($O32:$Z32)=0,"",SUM($O32:$Z32)),IF($G32="AVG",IFERROR(AVERAGE($O32:$Z32),""),IF($G32="LAST",IFERROR(LOOKUP(2,1/($O32:$Z32&lt;&gt;""),$O32:$Z32),""),"")))</f>
        <v/>
      </c>
      <c r="AB32" s="16">
        <f>IF($J32="","",IF($AA32="","",IF($J32=0,IF($AA32&lt;=0,1,0),IF($F32="↓",IFERROR($J32/$AA32,0),IFERROR($AA32/$J32,0)))))</f>
        <v/>
      </c>
      <c r="AC32" s="15">
        <f>IF($AB32="","—",IF($AB32&gt;=1,"✅ محقق",IF($AB32&gt;=0.85,"🟡 قريب","🔴 تحت الهدف")))</f>
        <v/>
      </c>
    </row>
    <row r="33" ht="24" customHeight="1">
      <c r="A33" s="15" t="n">
        <v>30</v>
      </c>
      <c r="B33" s="21" t="inlineStr">
        <is>
          <t>الامتياز التجاري</t>
        </is>
      </c>
      <c r="C33" s="9" t="inlineStr">
        <is>
          <t>التشغيل والجودة</t>
        </is>
      </c>
      <c r="D33" s="9" t="inlineStr">
        <is>
          <t>متوسط وقت معالجة البلاغات التشغيلية</t>
        </is>
      </c>
      <c r="E33" s="25" t="inlineStr">
        <is>
          <t>ساعة</t>
        </is>
      </c>
      <c r="F33" s="25" t="inlineStr">
        <is>
          <t>↓</t>
        </is>
      </c>
      <c r="G33" s="25" t="inlineStr">
        <is>
          <t>AVG</t>
        </is>
      </c>
      <c r="H33" s="26" t="inlineStr">
        <is>
          <t>🟠 مهم</t>
        </is>
      </c>
      <c r="I33" s="27" t="n">
        <v>0.02247</v>
      </c>
      <c r="J33" s="38" t="n">
        <v>24</v>
      </c>
      <c r="K33" s="29" t="inlineStr">
        <is>
          <t>≤ 24 ساعة</t>
        </is>
      </c>
      <c r="L33" s="30" t="inlineStr">
        <is>
          <t>الاستدامة</t>
        </is>
      </c>
      <c r="M33" s="31" t="inlineStr">
        <is>
          <t>جودة التشغيل</t>
        </is>
      </c>
      <c r="N33" s="26" t="inlineStr">
        <is>
          <t>العمليات الداخلية</t>
        </is>
      </c>
      <c r="O33" s="39" t="n"/>
      <c r="P33" s="39" t="n"/>
      <c r="Q33" s="39" t="n"/>
      <c r="R33" s="39" t="n"/>
      <c r="S33" s="39" t="n"/>
      <c r="T33" s="39" t="n"/>
      <c r="U33" s="39" t="n"/>
      <c r="V33" s="39" t="n"/>
      <c r="W33" s="39" t="n"/>
      <c r="X33" s="39" t="n"/>
      <c r="Y33" s="39" t="n"/>
      <c r="Z33" s="39" t="n"/>
      <c r="AA33" s="40">
        <f>IF($G33="SUM",IF(COUNT($O33:$Z33)=0,"",SUM($O33:$Z33)),IF($G33="AVG",IFERROR(AVERAGE($O33:$Z33),""),IF($G33="LAST",IFERROR(LOOKUP(2,1/($O33:$Z33&lt;&gt;""),$O33:$Z33),""),"")))</f>
        <v/>
      </c>
      <c r="AB33" s="16">
        <f>IF($J33="","",IF($AA33="","",IF($J33=0,IF($AA33&lt;=0,1,0),IF($F33="↓",IFERROR($J33/$AA33,0),IFERROR($AA33/$J33,0)))))</f>
        <v/>
      </c>
      <c r="AC33" s="15">
        <f>IF($AB33="","—",IF($AB33&gt;=1,"✅ محقق",IF($AB33&gt;=0.85,"🟡 قريب","🔴 تحت الهدف")))</f>
        <v/>
      </c>
    </row>
    <row r="34" ht="24" customHeight="1">
      <c r="A34" s="15" t="n">
        <v>31</v>
      </c>
      <c r="B34" s="21" t="inlineStr">
        <is>
          <t>الامتياز التجاري</t>
        </is>
      </c>
      <c r="C34" s="9" t="inlineStr">
        <is>
          <t>التشغيل والجودة</t>
        </is>
      </c>
      <c r="D34" s="9" t="inlineStr">
        <is>
          <t>نسبة أتمتة محطات الامتياز</t>
        </is>
      </c>
      <c r="E34" s="25" t="inlineStr">
        <is>
          <t>%</t>
        </is>
      </c>
      <c r="F34" s="25" t="inlineStr">
        <is>
          <t>↑</t>
        </is>
      </c>
      <c r="G34" s="25" t="inlineStr">
        <is>
          <t>LAST</t>
        </is>
      </c>
      <c r="H34" s="26" t="inlineStr">
        <is>
          <t>🔴 رئيسي</t>
        </is>
      </c>
      <c r="I34" s="27" t="n">
        <v>0.03371</v>
      </c>
      <c r="J34" s="27" t="n">
        <v>0.9</v>
      </c>
      <c r="K34" s="29" t="inlineStr">
        <is>
          <t>90%</t>
        </is>
      </c>
      <c r="L34" s="30" t="inlineStr">
        <is>
          <t>الابتكار</t>
        </is>
      </c>
      <c r="M34" s="31" t="inlineStr">
        <is>
          <t>التحول التقني</t>
        </is>
      </c>
      <c r="N34" s="26" t="inlineStr">
        <is>
          <t>التعلّم والنمو</t>
        </is>
      </c>
      <c r="O34" s="36" t="n"/>
      <c r="P34" s="36" t="n"/>
      <c r="Q34" s="36" t="n"/>
      <c r="R34" s="36" t="n"/>
      <c r="S34" s="36" t="n"/>
      <c r="T34" s="36" t="n"/>
      <c r="U34" s="36" t="n"/>
      <c r="V34" s="36" t="n"/>
      <c r="W34" s="36" t="n"/>
      <c r="X34" s="36" t="n"/>
      <c r="Y34" s="36" t="n"/>
      <c r="Z34" s="36" t="n"/>
      <c r="AA34" s="37">
        <f>IF($G34="SUM",IF(COUNT($O34:$Z34)=0,"",SUM($O34:$Z34)),IF($G34="AVG",IFERROR(AVERAGE($O34:$Z34),""),IF($G34="LAST",IFERROR(LOOKUP(2,1/($O34:$Z34&lt;&gt;""),$O34:$Z34),""),"")))</f>
        <v/>
      </c>
      <c r="AB34" s="16">
        <f>IF($J34="","",IF($AA34="","",IF($J34=0,IF($AA34&lt;=0,1,0),IF($F34="↓",IFERROR($J34/$AA34,0),IFERROR($AA34/$J34,0)))))</f>
        <v/>
      </c>
      <c r="AC34" s="15">
        <f>IF($AB34="","—",IF($AB34&gt;=1,"✅ محقق",IF($AB34&gt;=0.85,"🟡 قريب","🔴 تحت الهدف")))</f>
        <v/>
      </c>
    </row>
    <row r="35" ht="24" customHeight="1">
      <c r="A35" s="15" t="n">
        <v>32</v>
      </c>
      <c r="B35" s="21" t="inlineStr">
        <is>
          <t>الامتياز التجاري</t>
        </is>
      </c>
      <c r="C35" s="9" t="inlineStr">
        <is>
          <t>التشغيل والجودة</t>
        </is>
      </c>
      <c r="D35" s="9" t="inlineStr">
        <is>
          <t>نسبة تطبيق المعيار الشامل داخل المحطات</t>
        </is>
      </c>
      <c r="E35" s="25" t="inlineStr">
        <is>
          <t>%</t>
        </is>
      </c>
      <c r="F35" s="25" t="inlineStr">
        <is>
          <t>↑</t>
        </is>
      </c>
      <c r="G35" s="25" t="inlineStr">
        <is>
          <t>LAST</t>
        </is>
      </c>
      <c r="H35" s="26" t="inlineStr">
        <is>
          <t>🟡 متابعة</t>
        </is>
      </c>
      <c r="I35" s="27" t="n">
        <v>0.01124</v>
      </c>
      <c r="J35" s="27" t="n">
        <v>0.3</v>
      </c>
      <c r="K35" s="29" t="inlineStr">
        <is>
          <t>30%</t>
        </is>
      </c>
      <c r="L35" s="30" t="inlineStr">
        <is>
          <t>الابتكار</t>
        </is>
      </c>
      <c r="M35" s="31" t="inlineStr">
        <is>
          <t>التحول التقني</t>
        </is>
      </c>
      <c r="N35" s="26" t="inlineStr">
        <is>
          <t>العمليات الداخلية</t>
        </is>
      </c>
      <c r="O35" s="36" t="n"/>
      <c r="P35" s="36" t="n"/>
      <c r="Q35" s="36" t="n"/>
      <c r="R35" s="36" t="n"/>
      <c r="S35" s="36" t="n"/>
      <c r="T35" s="36" t="n"/>
      <c r="U35" s="36" t="n"/>
      <c r="V35" s="36" t="n"/>
      <c r="W35" s="36" t="n"/>
      <c r="X35" s="36" t="n"/>
      <c r="Y35" s="36" t="n"/>
      <c r="Z35" s="36" t="n"/>
      <c r="AA35" s="37">
        <f>IF($G35="SUM",IF(COUNT($O35:$Z35)=0,"",SUM($O35:$Z35)),IF($G35="AVG",IFERROR(AVERAGE($O35:$Z35),""),IF($G35="LAST",IFERROR(LOOKUP(2,1/($O35:$Z35&lt;&gt;""),$O35:$Z35),""),"")))</f>
        <v/>
      </c>
      <c r="AB35" s="16">
        <f>IF($J35="","",IF($AA35="","",IF($J35=0,IF($AA35&lt;=0,1,0),IF($F35="↓",IFERROR($J35/$AA35,0),IFERROR($AA35/$J35,0)))))</f>
        <v/>
      </c>
      <c r="AC35" s="15">
        <f>IF($AB35="","—",IF($AB35&gt;=1,"✅ محقق",IF($AB35&gt;=0.85,"🟡 قريب","🔴 تحت الهدف")))</f>
        <v/>
      </c>
    </row>
    <row r="36" ht="24" customHeight="1">
      <c r="A36" s="15" t="n">
        <v>33</v>
      </c>
      <c r="B36" s="21" t="inlineStr">
        <is>
          <t>الامتياز التجاري</t>
        </is>
      </c>
      <c r="C36" s="9" t="inlineStr">
        <is>
          <t>الهوية والتسويق</t>
        </is>
      </c>
      <c r="D36" s="9" t="inlineStr">
        <is>
          <t>نسبة التزام المحطات بالهوية المؤسسية</t>
        </is>
      </c>
      <c r="E36" s="25" t="inlineStr">
        <is>
          <t>%</t>
        </is>
      </c>
      <c r="F36" s="25" t="inlineStr">
        <is>
          <t>↑</t>
        </is>
      </c>
      <c r="G36" s="25" t="inlineStr">
        <is>
          <t>LAST</t>
        </is>
      </c>
      <c r="H36" s="26" t="inlineStr">
        <is>
          <t>🔴 رئيسي</t>
        </is>
      </c>
      <c r="I36" s="27" t="n">
        <v>0.03371</v>
      </c>
      <c r="J36" s="27" t="n">
        <v>0.55</v>
      </c>
      <c r="K36" s="29" t="inlineStr">
        <is>
          <t>55%</t>
        </is>
      </c>
      <c r="L36" s="30" t="inlineStr">
        <is>
          <t>الابتكار</t>
        </is>
      </c>
      <c r="M36" s="31" t="inlineStr">
        <is>
          <t>تطوير التصاميم والهوية</t>
        </is>
      </c>
      <c r="N36" s="26" t="inlineStr">
        <is>
          <t>التعلّم والنمو</t>
        </is>
      </c>
      <c r="O36" s="36" t="n"/>
      <c r="P36" s="36" t="n"/>
      <c r="Q36" s="36" t="n"/>
      <c r="R36" s="36" t="n"/>
      <c r="S36" s="36" t="n"/>
      <c r="T36" s="36" t="n"/>
      <c r="U36" s="36" t="n"/>
      <c r="V36" s="36" t="n"/>
      <c r="W36" s="36" t="n"/>
      <c r="X36" s="36" t="n"/>
      <c r="Y36" s="36" t="n"/>
      <c r="Z36" s="36" t="n"/>
      <c r="AA36" s="37">
        <f>IF($G36="SUM",IF(COUNT($O36:$Z36)=0,"",SUM($O36:$Z36)),IF($G36="AVG",IFERROR(AVERAGE($O36:$Z36),""),IF($G36="LAST",IFERROR(LOOKUP(2,1/($O36:$Z36&lt;&gt;""),$O36:$Z36),""),"")))</f>
        <v/>
      </c>
      <c r="AB36" s="16">
        <f>IF($J36="","",IF($AA36="","",IF($J36=0,IF($AA36&lt;=0,1,0),IF($F36="↓",IFERROR($J36/$AA36,0),IFERROR($AA36/$J36,0)))))</f>
        <v/>
      </c>
      <c r="AC36" s="15">
        <f>IF($AB36="","—",IF($AB36&gt;=1,"✅ محقق",IF($AB36&gt;=0.85,"🟡 قريب","🔴 تحت الهدف")))</f>
        <v/>
      </c>
    </row>
    <row r="37" ht="24" customHeight="1">
      <c r="A37" s="15" t="n">
        <v>34</v>
      </c>
      <c r="B37" s="21" t="inlineStr">
        <is>
          <t>الامتياز التجاري</t>
        </is>
      </c>
      <c r="C37" s="9" t="inlineStr">
        <is>
          <t>التوسع الإقليمي</t>
        </is>
      </c>
      <c r="D37" s="9" t="inlineStr">
        <is>
          <t>نسبة العقود التي تغطي المناطق الـ13</t>
        </is>
      </c>
      <c r="E37" s="25" t="inlineStr">
        <is>
          <t>%</t>
        </is>
      </c>
      <c r="F37" s="25" t="inlineStr">
        <is>
          <t>↑</t>
        </is>
      </c>
      <c r="G37" s="25" t="inlineStr">
        <is>
          <t>LAST</t>
        </is>
      </c>
      <c r="H37" s="26" t="inlineStr">
        <is>
          <t>🔴 رئيسي</t>
        </is>
      </c>
      <c r="I37" s="27" t="n">
        <v>0.03371</v>
      </c>
      <c r="J37" s="27" t="n">
        <v>1</v>
      </c>
      <c r="K37" s="29" t="inlineStr">
        <is>
          <t>100%</t>
        </is>
      </c>
      <c r="L37" s="30" t="inlineStr">
        <is>
          <t>النمو</t>
        </is>
      </c>
      <c r="M37" s="31" t="inlineStr">
        <is>
          <t>التوسع في المواقع</t>
        </is>
      </c>
      <c r="N37" s="26" t="inlineStr">
        <is>
          <t>العمليات الداخلية</t>
        </is>
      </c>
      <c r="O37" s="36" t="n"/>
      <c r="P37" s="36" t="n"/>
      <c r="Q37" s="36" t="n"/>
      <c r="R37" s="36" t="n"/>
      <c r="S37" s="36" t="n"/>
      <c r="T37" s="36" t="n"/>
      <c r="U37" s="36" t="n"/>
      <c r="V37" s="36" t="n"/>
      <c r="W37" s="36" t="n"/>
      <c r="X37" s="36" t="n"/>
      <c r="Y37" s="36" t="n"/>
      <c r="Z37" s="36" t="n"/>
      <c r="AA37" s="37">
        <f>IF($G37="SUM",IF(COUNT($O37:$Z37)=0,"",SUM($O37:$Z37)),IF($G37="AVG",IFERROR(AVERAGE($O37:$Z37),""),IF($G37="LAST",IFERROR(LOOKUP(2,1/($O37:$Z37&lt;&gt;""),$O37:$Z37),""),"")))</f>
        <v/>
      </c>
      <c r="AB37" s="16">
        <f>IF($J37="","",IF($AA37="","",IF($J37=0,IF($AA37&lt;=0,1,0),IF($F37="↓",IFERROR($J37/$AA37,0),IFERROR($AA37/$J37,0)))))</f>
        <v/>
      </c>
      <c r="AC37" s="15">
        <f>IF($AB37="","—",IF($AB37&gt;=1,"✅ محقق",IF($AB37&gt;=0.85,"🟡 قريب","🔴 تحت الهدف")))</f>
        <v/>
      </c>
    </row>
    <row r="38" ht="24" customHeight="1">
      <c r="A38" s="15" t="n">
        <v>35</v>
      </c>
      <c r="B38" s="21" t="inlineStr">
        <is>
          <t>الامتياز التجاري</t>
        </is>
      </c>
      <c r="C38" s="9" t="inlineStr">
        <is>
          <t>التوسع الإقليمي</t>
        </is>
      </c>
      <c r="D38" s="9" t="inlineStr">
        <is>
          <t>نسبة العقود في الـ12 مدينة الرئيسية</t>
        </is>
      </c>
      <c r="E38" s="25" t="inlineStr">
        <is>
          <t>%</t>
        </is>
      </c>
      <c r="F38" s="25" t="inlineStr">
        <is>
          <t>↓</t>
        </is>
      </c>
      <c r="G38" s="25" t="inlineStr">
        <is>
          <t>LAST</t>
        </is>
      </c>
      <c r="H38" s="26" t="inlineStr">
        <is>
          <t>🔴 رئيسي</t>
        </is>
      </c>
      <c r="I38" s="27" t="n">
        <v>0.03371</v>
      </c>
      <c r="J38" s="27" t="n">
        <v>0.4</v>
      </c>
      <c r="K38" s="29" t="inlineStr">
        <is>
          <t>&lt; 40%</t>
        </is>
      </c>
      <c r="L38" s="30" t="inlineStr">
        <is>
          <t>النمو</t>
        </is>
      </c>
      <c r="M38" s="31" t="inlineStr">
        <is>
          <t>التوسع في المواقع</t>
        </is>
      </c>
      <c r="N38" s="26" t="inlineStr">
        <is>
          <t>العمليات الداخلية</t>
        </is>
      </c>
      <c r="O38" s="36" t="n"/>
      <c r="P38" s="36" t="n"/>
      <c r="Q38" s="36" t="n"/>
      <c r="R38" s="36" t="n"/>
      <c r="S38" s="36" t="n"/>
      <c r="T38" s="36" t="n"/>
      <c r="U38" s="36" t="n"/>
      <c r="V38" s="36" t="n"/>
      <c r="W38" s="36" t="n"/>
      <c r="X38" s="36" t="n"/>
      <c r="Y38" s="36" t="n"/>
      <c r="Z38" s="36" t="n"/>
      <c r="AA38" s="37">
        <f>IF($G38="SUM",IF(COUNT($O38:$Z38)=0,"",SUM($O38:$Z38)),IF($G38="AVG",IFERROR(AVERAGE($O38:$Z38),""),IF($G38="LAST",IFERROR(LOOKUP(2,1/($O38:$Z38&lt;&gt;""),$O38:$Z38),""),"")))</f>
        <v/>
      </c>
      <c r="AB38" s="16">
        <f>IF($J38="","",IF($AA38="","",IF($J38=0,IF($AA38&lt;=0,1,0),IF($F38="↓",IFERROR($J38/$AA38,0),IFERROR($AA38/$J38,0)))))</f>
        <v/>
      </c>
      <c r="AC38" s="15">
        <f>IF($AB38="","—",IF($AB38&gt;=1,"✅ محقق",IF($AB38&gt;=0.85,"🟡 قريب","🔴 تحت الهدف")))</f>
        <v/>
      </c>
    </row>
    <row r="39" ht="24" customHeight="1">
      <c r="A39" s="15" t="n">
        <v>36</v>
      </c>
      <c r="B39" s="21" t="inlineStr">
        <is>
          <t>الامتياز التجاري</t>
        </is>
      </c>
      <c r="C39" s="9" t="inlineStr">
        <is>
          <t>التوسع الإقليمي</t>
        </is>
      </c>
      <c r="D39" s="9" t="inlineStr">
        <is>
          <t>نسبة العقود خارج المدن الرئيسية</t>
        </is>
      </c>
      <c r="E39" s="25" t="inlineStr">
        <is>
          <t>%</t>
        </is>
      </c>
      <c r="F39" s="25" t="inlineStr">
        <is>
          <t>↑</t>
        </is>
      </c>
      <c r="G39" s="25" t="inlineStr">
        <is>
          <t>LAST</t>
        </is>
      </c>
      <c r="H39" s="26" t="inlineStr">
        <is>
          <t>🔴 رئيسي</t>
        </is>
      </c>
      <c r="I39" s="27" t="n">
        <v>0.03371</v>
      </c>
      <c r="J39" s="27" t="n">
        <v>0.6</v>
      </c>
      <c r="K39" s="29" t="inlineStr">
        <is>
          <t>&gt; 60%</t>
        </is>
      </c>
      <c r="L39" s="30" t="inlineStr">
        <is>
          <t>النمو</t>
        </is>
      </c>
      <c r="M39" s="31" t="inlineStr">
        <is>
          <t>التوسع في المواقع</t>
        </is>
      </c>
      <c r="N39" s="26" t="inlineStr">
        <is>
          <t>العمليات الداخلية</t>
        </is>
      </c>
      <c r="O39" s="36" t="n"/>
      <c r="P39" s="36" t="n"/>
      <c r="Q39" s="36" t="n"/>
      <c r="R39" s="36" t="n"/>
      <c r="S39" s="36" t="n"/>
      <c r="T39" s="36" t="n"/>
      <c r="U39" s="36" t="n"/>
      <c r="V39" s="36" t="n"/>
      <c r="W39" s="36" t="n"/>
      <c r="X39" s="36" t="n"/>
      <c r="Y39" s="36" t="n"/>
      <c r="Z39" s="36" t="n"/>
      <c r="AA39" s="37">
        <f>IF($G39="SUM",IF(COUNT($O39:$Z39)=0,"",SUM($O39:$Z39)),IF($G39="AVG",IFERROR(AVERAGE($O39:$Z39),""),IF($G39="LAST",IFERROR(LOOKUP(2,1/($O39:$Z39&lt;&gt;""),$O39:$Z39),""),"")))</f>
        <v/>
      </c>
      <c r="AB39" s="16">
        <f>IF($J39="","",IF($AA39="","",IF($J39=0,IF($AA39&lt;=0,1,0),IF($F39="↓",IFERROR($J39/$AA39,0),IFERROR($AA39/$J39,0)))))</f>
        <v/>
      </c>
      <c r="AC39" s="15">
        <f>IF($AB39="","—",IF($AB39&gt;=1,"✅ محقق",IF($AB39&gt;=0.85,"🟡 قريب","🔴 تحت الهدف")))</f>
        <v/>
      </c>
    </row>
    <row r="40" ht="24" customHeight="1">
      <c r="A40" s="15" t="n">
        <v>37</v>
      </c>
      <c r="B40" s="21" t="inlineStr">
        <is>
          <t>الامتياز التجاري</t>
        </is>
      </c>
      <c r="C40" s="9" t="inlineStr">
        <is>
          <t>التوسع الإقليمي</t>
        </is>
      </c>
      <c r="D40" s="9" t="inlineStr">
        <is>
          <t>نسبة العقود على الطرق الإقليمية</t>
        </is>
      </c>
      <c r="E40" s="25" t="inlineStr">
        <is>
          <t>%</t>
        </is>
      </c>
      <c r="F40" s="25" t="inlineStr">
        <is>
          <t>↑</t>
        </is>
      </c>
      <c r="G40" s="25" t="inlineStr">
        <is>
          <t>LAST</t>
        </is>
      </c>
      <c r="H40" s="26" t="inlineStr">
        <is>
          <t>🔴 رئيسي</t>
        </is>
      </c>
      <c r="I40" s="27" t="n">
        <v>0.03371</v>
      </c>
      <c r="J40" s="27" t="n">
        <v>0.25</v>
      </c>
      <c r="K40" s="29" t="inlineStr">
        <is>
          <t>&gt; 25%</t>
        </is>
      </c>
      <c r="L40" s="30" t="inlineStr">
        <is>
          <t>النمو</t>
        </is>
      </c>
      <c r="M40" s="31" t="inlineStr">
        <is>
          <t>التوسع في المواقع</t>
        </is>
      </c>
      <c r="N40" s="26" t="inlineStr">
        <is>
          <t>العمليات الداخلية</t>
        </is>
      </c>
      <c r="O40" s="36" t="n"/>
      <c r="P40" s="36" t="n"/>
      <c r="Q40" s="36" t="n"/>
      <c r="R40" s="36" t="n"/>
      <c r="S40" s="36" t="n"/>
      <c r="T40" s="36" t="n"/>
      <c r="U40" s="36" t="n"/>
      <c r="V40" s="36" t="n"/>
      <c r="W40" s="36" t="n"/>
      <c r="X40" s="36" t="n"/>
      <c r="Y40" s="36" t="n"/>
      <c r="Z40" s="36" t="n"/>
      <c r="AA40" s="37">
        <f>IF($G40="SUM",IF(COUNT($O40:$Z40)=0,"",SUM($O40:$Z40)),IF($G40="AVG",IFERROR(AVERAGE($O40:$Z40),""),IF($G40="LAST",IFERROR(LOOKUP(2,1/($O40:$Z40&lt;&gt;""),$O40:$Z40),""),"")))</f>
        <v/>
      </c>
      <c r="AB40" s="16">
        <f>IF($J40="","",IF($AA40="","",IF($J40=0,IF($AA40&lt;=0,1,0),IF($F40="↓",IFERROR($J40/$AA40,0),IFERROR($AA40/$J40,0)))))</f>
        <v/>
      </c>
      <c r="AC40" s="15">
        <f>IF($AB40="","—",IF($AB40&gt;=1,"✅ محقق",IF($AB40&gt;=0.85,"🟡 قريب","🔴 تحت الهدف")))</f>
        <v/>
      </c>
    </row>
    <row r="41" ht="24" customHeight="1">
      <c r="A41" s="15" t="n">
        <v>38</v>
      </c>
      <c r="B41" s="21" t="inlineStr">
        <is>
          <t>الامتياز التجاري</t>
        </is>
      </c>
      <c r="C41" s="9" t="inlineStr">
        <is>
          <t>تجربة العملاء والشركاء</t>
        </is>
      </c>
      <c r="D41" s="9" t="inlineStr">
        <is>
          <t>متوسط تقييم المحطات على خرائط قوقل</t>
        </is>
      </c>
      <c r="E41" s="25" t="inlineStr">
        <is>
          <t>نجمة/5</t>
        </is>
      </c>
      <c r="F41" s="25" t="inlineStr">
        <is>
          <t>↑</t>
        </is>
      </c>
      <c r="G41" s="25" t="inlineStr">
        <is>
          <t>AVG</t>
        </is>
      </c>
      <c r="H41" s="26" t="inlineStr">
        <is>
          <t>🔴 رئيسي</t>
        </is>
      </c>
      <c r="I41" s="27" t="n">
        <v>0.03371</v>
      </c>
      <c r="J41" s="38" t="n">
        <v>4.7</v>
      </c>
      <c r="K41" s="29" t="inlineStr">
        <is>
          <t>≥ 4.7 نجمة</t>
        </is>
      </c>
      <c r="L41" s="30" t="inlineStr">
        <is>
          <t>الاستدامة</t>
        </is>
      </c>
      <c r="M41" s="31" t="inlineStr">
        <is>
          <t>تعزيز تجربة العملاء</t>
        </is>
      </c>
      <c r="N41" s="26" t="inlineStr">
        <is>
          <t>العملاء</t>
        </is>
      </c>
      <c r="O41" s="39" t="n"/>
      <c r="P41" s="39" t="n"/>
      <c r="Q41" s="39" t="n"/>
      <c r="R41" s="39" t="n"/>
      <c r="S41" s="39" t="n"/>
      <c r="T41" s="39" t="n"/>
      <c r="U41" s="39" t="n"/>
      <c r="V41" s="39" t="n"/>
      <c r="W41" s="39" t="n"/>
      <c r="X41" s="39" t="n"/>
      <c r="Y41" s="39" t="n"/>
      <c r="Z41" s="39" t="n"/>
      <c r="AA41" s="40">
        <f>IF($G41="SUM",IF(COUNT($O41:$Z41)=0,"",SUM($O41:$Z41)),IF($G41="AVG",IFERROR(AVERAGE($O41:$Z41),""),IF($G41="LAST",IFERROR(LOOKUP(2,1/($O41:$Z41&lt;&gt;""),$O41:$Z41),""),"")))</f>
        <v/>
      </c>
      <c r="AB41" s="16">
        <f>IF($J41="","",IF($AA41="","",IF($J41=0,IF($AA41&lt;=0,1,0),IF($F41="↓",IFERROR($J41/$AA41,0),IFERROR($AA41/$J41,0)))))</f>
        <v/>
      </c>
      <c r="AC41" s="15">
        <f>IF($AB41="","—",IF($AB41&gt;=1,"✅ محقق",IF($AB41&gt;=0.85,"🟡 قريب","🔴 تحت الهدف")))</f>
        <v/>
      </c>
    </row>
    <row r="42" ht="24" customHeight="1">
      <c r="A42" s="15" t="n">
        <v>39</v>
      </c>
      <c r="B42" s="21" t="inlineStr">
        <is>
          <t>الامتياز التجاري</t>
        </is>
      </c>
      <c r="C42" s="9" t="inlineStr">
        <is>
          <t>تجربة العملاء والشركاء</t>
        </is>
      </c>
      <c r="D42" s="9" t="inlineStr">
        <is>
          <t>معدل رضا شركاء الامتياز (CSAT)</t>
        </is>
      </c>
      <c r="E42" s="25" t="inlineStr">
        <is>
          <t>%</t>
        </is>
      </c>
      <c r="F42" s="25" t="inlineStr">
        <is>
          <t>↑</t>
        </is>
      </c>
      <c r="G42" s="25" t="inlineStr">
        <is>
          <t>AVG</t>
        </is>
      </c>
      <c r="H42" s="26" t="inlineStr">
        <is>
          <t>🔴 رئيسي</t>
        </is>
      </c>
      <c r="I42" s="27" t="n">
        <v>0.03371</v>
      </c>
      <c r="J42" s="27" t="n">
        <v>0.9</v>
      </c>
      <c r="K42" s="29" t="inlineStr">
        <is>
          <t>90%+</t>
        </is>
      </c>
      <c r="L42" s="30" t="inlineStr">
        <is>
          <t>الاستدامة</t>
        </is>
      </c>
      <c r="M42" s="31" t="inlineStr">
        <is>
          <t>تعزيز تجربة العملاء</t>
        </is>
      </c>
      <c r="N42" s="26" t="inlineStr">
        <is>
          <t>العملاء</t>
        </is>
      </c>
      <c r="O42" s="36" t="n"/>
      <c r="P42" s="36" t="n"/>
      <c r="Q42" s="36" t="n"/>
      <c r="R42" s="36" t="n"/>
      <c r="S42" s="36" t="n"/>
      <c r="T42" s="36" t="n"/>
      <c r="U42" s="36" t="n"/>
      <c r="V42" s="36" t="n"/>
      <c r="W42" s="36" t="n"/>
      <c r="X42" s="36" t="n"/>
      <c r="Y42" s="36" t="n"/>
      <c r="Z42" s="36" t="n"/>
      <c r="AA42" s="37">
        <f>IF($G42="SUM",IF(COUNT($O42:$Z42)=0,"",SUM($O42:$Z42)),IF($G42="AVG",IFERROR(AVERAGE($O42:$Z42),""),IF($G42="LAST",IFERROR(LOOKUP(2,1/($O42:$Z42&lt;&gt;""),$O42:$Z42),""),"")))</f>
        <v/>
      </c>
      <c r="AB42" s="16">
        <f>IF($J42="","",IF($AA42="","",IF($J42=0,IF($AA42&lt;=0,1,0),IF($F42="↓",IFERROR($J42/$AA42,0),IFERROR($AA42/$J42,0)))))</f>
        <v/>
      </c>
      <c r="AC42" s="15">
        <f>IF($AB42="","—",IF($AB42&gt;=1,"✅ محقق",IF($AB42&gt;=0.85,"🟡 قريب","🔴 تحت الهدف")))</f>
        <v/>
      </c>
    </row>
    <row r="43" ht="24" customHeight="1">
      <c r="A43" s="15" t="n">
        <v>40</v>
      </c>
      <c r="B43" s="21" t="inlineStr">
        <is>
          <t>الامتياز التجاري</t>
        </is>
      </c>
      <c r="C43" s="9" t="inlineStr">
        <is>
          <t>تجربة العملاء والشركاء</t>
        </is>
      </c>
      <c r="D43" s="9" t="inlineStr">
        <is>
          <t>نسبة حل الشكاوى خلال المدة المحددة</t>
        </is>
      </c>
      <c r="E43" s="25" t="inlineStr">
        <is>
          <t>%</t>
        </is>
      </c>
      <c r="F43" s="25" t="inlineStr">
        <is>
          <t>↑</t>
        </is>
      </c>
      <c r="G43" s="25" t="inlineStr">
        <is>
          <t>AVG</t>
        </is>
      </c>
      <c r="H43" s="26" t="inlineStr">
        <is>
          <t>🟠 مهم</t>
        </is>
      </c>
      <c r="I43" s="27" t="n">
        <v>0.02247</v>
      </c>
      <c r="J43" s="27" t="n">
        <v>0.95</v>
      </c>
      <c r="K43" s="29" t="inlineStr">
        <is>
          <t>95%+</t>
        </is>
      </c>
      <c r="L43" s="30" t="inlineStr">
        <is>
          <t>الاستدامة</t>
        </is>
      </c>
      <c r="M43" s="31" t="inlineStr">
        <is>
          <t>تعزيز تجربة العملاء</t>
        </is>
      </c>
      <c r="N43" s="26" t="inlineStr">
        <is>
          <t>العملاء</t>
        </is>
      </c>
      <c r="O43" s="36" t="n"/>
      <c r="P43" s="36" t="n"/>
      <c r="Q43" s="36" t="n"/>
      <c r="R43" s="36" t="n"/>
      <c r="S43" s="36" t="n"/>
      <c r="T43" s="36" t="n"/>
      <c r="U43" s="36" t="n"/>
      <c r="V43" s="36" t="n"/>
      <c r="W43" s="36" t="n"/>
      <c r="X43" s="36" t="n"/>
      <c r="Y43" s="36" t="n"/>
      <c r="Z43" s="36" t="n"/>
      <c r="AA43" s="37">
        <f>IF($G43="SUM",IF(COUNT($O43:$Z43)=0,"",SUM($O43:$Z43)),IF($G43="AVG",IFERROR(AVERAGE($O43:$Z43),""),IF($G43="LAST",IFERROR(LOOKUP(2,1/($O43:$Z43&lt;&gt;""),$O43:$Z43),""),"")))</f>
        <v/>
      </c>
      <c r="AB43" s="16">
        <f>IF($J43="","",IF($AA43="","",IF($J43=0,IF($AA43&lt;=0,1,0),IF($F43="↓",IFERROR($J43/$AA43,0),IFERROR($AA43/$J43,0)))))</f>
        <v/>
      </c>
      <c r="AC43" s="15">
        <f>IF($AB43="","—",IF($AB43&gt;=1,"✅ محقق",IF($AB43&gt;=0.85,"🟡 قريب","🔴 تحت الهدف")))</f>
        <v/>
      </c>
    </row>
    <row r="44" ht="24" customHeight="1">
      <c r="A44" s="15" t="n">
        <v>41</v>
      </c>
      <c r="B44" s="21" t="inlineStr">
        <is>
          <t>الامتياز التجاري</t>
        </is>
      </c>
      <c r="C44" s="9" t="inlineStr">
        <is>
          <t>تجربة العملاء والشركاء</t>
        </is>
      </c>
      <c r="D44" s="9" t="inlineStr">
        <is>
          <t>نسبة انخفاض الشكاوى التشغيلية والإدارية</t>
        </is>
      </c>
      <c r="E44" s="25" t="inlineStr">
        <is>
          <t>%</t>
        </is>
      </c>
      <c r="F44" s="25" t="inlineStr">
        <is>
          <t>↑</t>
        </is>
      </c>
      <c r="G44" s="25" t="inlineStr">
        <is>
          <t>AVG</t>
        </is>
      </c>
      <c r="H44" s="26" t="inlineStr">
        <is>
          <t>🟠 مهم</t>
        </is>
      </c>
      <c r="I44" s="27" t="n">
        <v>0.02247</v>
      </c>
      <c r="J44" s="25" t="inlineStr"/>
      <c r="K44" s="29" t="inlineStr">
        <is>
          <t>-30%</t>
        </is>
      </c>
      <c r="L44" s="30" t="inlineStr">
        <is>
          <t>الاستدامة</t>
        </is>
      </c>
      <c r="M44" s="31" t="inlineStr">
        <is>
          <t>تعزيز تجربة العملاء</t>
        </is>
      </c>
      <c r="N44" s="26" t="inlineStr">
        <is>
          <t>العملاء</t>
        </is>
      </c>
      <c r="O44" s="36" t="n"/>
      <c r="P44" s="36" t="n"/>
      <c r="Q44" s="36" t="n"/>
      <c r="R44" s="36" t="n"/>
      <c r="S44" s="36" t="n"/>
      <c r="T44" s="36" t="n"/>
      <c r="U44" s="36" t="n"/>
      <c r="V44" s="36" t="n"/>
      <c r="W44" s="36" t="n"/>
      <c r="X44" s="36" t="n"/>
      <c r="Y44" s="36" t="n"/>
      <c r="Z44" s="36" t="n"/>
      <c r="AA44" s="37">
        <f>IF($G44="SUM",IF(COUNT($O44:$Z44)=0,"",SUM($O44:$Z44)),IF($G44="AVG",IFERROR(AVERAGE($O44:$Z44),""),IF($G44="LAST",IFERROR(LOOKUP(2,1/($O44:$Z44&lt;&gt;""),$O44:$Z44),""),"")))</f>
        <v/>
      </c>
      <c r="AB44" s="16">
        <f>IF($J44="","",IF($AA44="","",IF($J44=0,IF($AA44&lt;=0,1,0),IF($F44="↓",IFERROR($J44/$AA44,0),IFERROR($AA44/$J44,0)))))</f>
        <v/>
      </c>
      <c r="AC44" s="15">
        <f>IF($AB44="","—",IF($AB44&gt;=1,"✅ محقق",IF($AB44&gt;=0.85,"🟡 قريب","🔴 تحت الهدف")))</f>
        <v/>
      </c>
    </row>
    <row r="45" ht="24" customHeight="1">
      <c r="A45" s="15" t="n">
        <v>42</v>
      </c>
      <c r="B45" s="21" t="inlineStr">
        <is>
          <t>الامتياز التجاري</t>
        </is>
      </c>
      <c r="C45" s="9" t="inlineStr">
        <is>
          <t>استدامة الشراكة والامتثال</t>
        </is>
      </c>
      <c r="D45" s="9" t="inlineStr">
        <is>
          <t>نسبة استدامة أصحاب الامتياز (Retention)</t>
        </is>
      </c>
      <c r="E45" s="25" t="inlineStr">
        <is>
          <t>%</t>
        </is>
      </c>
      <c r="F45" s="25" t="inlineStr">
        <is>
          <t>↑</t>
        </is>
      </c>
      <c r="G45" s="25" t="inlineStr">
        <is>
          <t>LAST</t>
        </is>
      </c>
      <c r="H45" s="26" t="inlineStr">
        <is>
          <t>🟠 مهم</t>
        </is>
      </c>
      <c r="I45" s="27" t="n">
        <v>0.02247</v>
      </c>
      <c r="J45" s="27" t="n">
        <v>0.9</v>
      </c>
      <c r="K45" s="29" t="inlineStr">
        <is>
          <t>90%</t>
        </is>
      </c>
      <c r="L45" s="30" t="inlineStr">
        <is>
          <t>الاستدامة</t>
        </is>
      </c>
      <c r="M45" s="31" t="inlineStr">
        <is>
          <t>تعزيز تجربة العملاء</t>
        </is>
      </c>
      <c r="N45" s="26" t="inlineStr">
        <is>
          <t>العمليات الداخلية</t>
        </is>
      </c>
      <c r="O45" s="36" t="n"/>
      <c r="P45" s="36" t="n"/>
      <c r="Q45" s="36" t="n"/>
      <c r="R45" s="36" t="n"/>
      <c r="S45" s="36" t="n"/>
      <c r="T45" s="36" t="n"/>
      <c r="U45" s="36" t="n"/>
      <c r="V45" s="36" t="n"/>
      <c r="W45" s="36" t="n"/>
      <c r="X45" s="36" t="n"/>
      <c r="Y45" s="36" t="n"/>
      <c r="Z45" s="36" t="n"/>
      <c r="AA45" s="37">
        <f>IF($G45="SUM",IF(COUNT($O45:$Z45)=0,"",SUM($O45:$Z45)),IF($G45="AVG",IFERROR(AVERAGE($O45:$Z45),""),IF($G45="LAST",IFERROR(LOOKUP(2,1/($O45:$Z45&lt;&gt;""),$O45:$Z45),""),"")))</f>
        <v/>
      </c>
      <c r="AB45" s="16">
        <f>IF($J45="","",IF($AA45="","",IF($J45=0,IF($AA45&lt;=0,1,0),IF($F45="↓",IFERROR($J45/$AA45,0),IFERROR($AA45/$J45,0)))))</f>
        <v/>
      </c>
      <c r="AC45" s="15">
        <f>IF($AB45="","—",IF($AB45&gt;=1,"✅ محقق",IF($AB45&gt;=0.85,"🟡 قريب","🔴 تحت الهدف")))</f>
        <v/>
      </c>
    </row>
    <row r="46" ht="24" customHeight="1">
      <c r="A46" s="15" t="n">
        <v>43</v>
      </c>
      <c r="B46" s="21" t="inlineStr">
        <is>
          <t>الامتياز التجاري</t>
        </is>
      </c>
      <c r="C46" s="9" t="inlineStr">
        <is>
          <t>استدامة الشراكة والامتثال</t>
        </is>
      </c>
      <c r="D46" s="9" t="inlineStr">
        <is>
          <t>نسبة زيادة عدد أصحاب الامتياز</t>
        </is>
      </c>
      <c r="E46" s="25" t="inlineStr">
        <is>
          <t>%</t>
        </is>
      </c>
      <c r="F46" s="25" t="inlineStr">
        <is>
          <t>↑</t>
        </is>
      </c>
      <c r="G46" s="25" t="inlineStr">
        <is>
          <t>LAST</t>
        </is>
      </c>
      <c r="H46" s="26" t="inlineStr">
        <is>
          <t>🟠 مهم</t>
        </is>
      </c>
      <c r="I46" s="27" t="n">
        <v>0.02247</v>
      </c>
      <c r="J46" s="27" t="n">
        <v>1</v>
      </c>
      <c r="K46" s="29" t="inlineStr">
        <is>
          <t>100% نمو</t>
        </is>
      </c>
      <c r="L46" s="30" t="inlineStr">
        <is>
          <t>الاستدامة</t>
        </is>
      </c>
      <c r="M46" s="31" t="inlineStr">
        <is>
          <t>تعزيز تجربة العملاء</t>
        </is>
      </c>
      <c r="N46" s="26" t="inlineStr">
        <is>
          <t>العمليات الداخلية</t>
        </is>
      </c>
      <c r="O46" s="36" t="n"/>
      <c r="P46" s="36" t="n"/>
      <c r="Q46" s="36" t="n"/>
      <c r="R46" s="36" t="n"/>
      <c r="S46" s="36" t="n"/>
      <c r="T46" s="36" t="n"/>
      <c r="U46" s="36" t="n"/>
      <c r="V46" s="36" t="n"/>
      <c r="W46" s="36" t="n"/>
      <c r="X46" s="36" t="n"/>
      <c r="Y46" s="36" t="n"/>
      <c r="Z46" s="36" t="n"/>
      <c r="AA46" s="37">
        <f>IF($G46="SUM",IF(COUNT($O46:$Z46)=0,"",SUM($O46:$Z46)),IF($G46="AVG",IFERROR(AVERAGE($O46:$Z46),""),IF($G46="LAST",IFERROR(LOOKUP(2,1/($O46:$Z46&lt;&gt;""),$O46:$Z46),""),"")))</f>
        <v/>
      </c>
      <c r="AB46" s="16">
        <f>IF($J46="","",IF($AA46="","",IF($J46=0,IF($AA46&lt;=0,1,0),IF($F46="↓",IFERROR($J46/$AA46,0),IFERROR($AA46/$J46,0)))))</f>
        <v/>
      </c>
      <c r="AC46" s="15">
        <f>IF($AB46="","—",IF($AB46&gt;=1,"✅ محقق",IF($AB46&gt;=0.85,"🟡 قريب","🔴 تحت الهدف")))</f>
        <v/>
      </c>
    </row>
    <row r="47" ht="24" customHeight="1">
      <c r="A47" s="15" t="n">
        <v>44</v>
      </c>
      <c r="B47" s="21" t="inlineStr">
        <is>
          <t>الامتياز التجاري</t>
        </is>
      </c>
      <c r="C47" s="9" t="inlineStr">
        <is>
          <t>استدامة الشراكة والامتثال</t>
        </is>
      </c>
      <c r="D47" s="9" t="inlineStr">
        <is>
          <t>نسبة اكتمال المستندات النظامية قبل التوقيع</t>
        </is>
      </c>
      <c r="E47" s="25" t="inlineStr">
        <is>
          <t>%</t>
        </is>
      </c>
      <c r="F47" s="25" t="inlineStr">
        <is>
          <t>↑</t>
        </is>
      </c>
      <c r="G47" s="25" t="inlineStr">
        <is>
          <t>AVG</t>
        </is>
      </c>
      <c r="H47" s="26" t="inlineStr">
        <is>
          <t>🟡 متابعة</t>
        </is>
      </c>
      <c r="I47" s="27" t="n">
        <v>0.01124</v>
      </c>
      <c r="J47" s="27" t="n">
        <v>1</v>
      </c>
      <c r="K47" s="29" t="inlineStr">
        <is>
          <t>100%</t>
        </is>
      </c>
      <c r="L47" s="30" t="inlineStr">
        <is>
          <t>الاستدامة</t>
        </is>
      </c>
      <c r="M47" s="31" t="inlineStr">
        <is>
          <t>جودة التشغيل</t>
        </is>
      </c>
      <c r="N47" s="26" t="inlineStr">
        <is>
          <t>العمليات الداخلية</t>
        </is>
      </c>
      <c r="O47" s="36" t="n"/>
      <c r="P47" s="36" t="n"/>
      <c r="Q47" s="36" t="n"/>
      <c r="R47" s="36" t="n"/>
      <c r="S47" s="36" t="n"/>
      <c r="T47" s="36" t="n"/>
      <c r="U47" s="36" t="n"/>
      <c r="V47" s="36" t="n"/>
      <c r="W47" s="36" t="n"/>
      <c r="X47" s="36" t="n"/>
      <c r="Y47" s="36" t="n"/>
      <c r="Z47" s="36" t="n"/>
      <c r="AA47" s="37">
        <f>IF($G47="SUM",IF(COUNT($O47:$Z47)=0,"",SUM($O47:$Z47)),IF($G47="AVG",IFERROR(AVERAGE($O47:$Z47),""),IF($G47="LAST",IFERROR(LOOKUP(2,1/($O47:$Z47&lt;&gt;""),$O47:$Z47),""),"")))</f>
        <v/>
      </c>
      <c r="AB47" s="16">
        <f>IF($J47="","",IF($AA47="","",IF($J47=0,IF($AA47&lt;=0,1,0),IF($F47="↓",IFERROR($J47/$AA47,0),IFERROR($AA47/$J47,0)))))</f>
        <v/>
      </c>
      <c r="AC47" s="15">
        <f>IF($AB47="","—",IF($AB47&gt;=1,"✅ محقق",IF($AB47&gt;=0.85,"🟡 قريب","🔴 تحت الهدف")))</f>
        <v/>
      </c>
    </row>
    <row r="48" ht="24" customHeight="1">
      <c r="A48" s="15" t="n">
        <v>45</v>
      </c>
      <c r="B48" s="21" t="inlineStr">
        <is>
          <t>الامتياز التجاري</t>
        </is>
      </c>
      <c r="C48" s="9" t="inlineStr">
        <is>
          <t>استدامة الشراكة والامتثال</t>
        </is>
      </c>
      <c r="D48" s="9" t="inlineStr">
        <is>
          <t>متوسط مدة إغلاق عقد الامتياز</t>
        </is>
      </c>
      <c r="E48" s="25" t="inlineStr">
        <is>
          <t>أسبوع</t>
        </is>
      </c>
      <c r="F48" s="25" t="inlineStr">
        <is>
          <t>↓</t>
        </is>
      </c>
      <c r="G48" s="25" t="inlineStr">
        <is>
          <t>AVG</t>
        </is>
      </c>
      <c r="H48" s="26" t="inlineStr">
        <is>
          <t>🔴 رئيسي</t>
        </is>
      </c>
      <c r="I48" s="27" t="n">
        <v>0.03371</v>
      </c>
      <c r="J48" s="38" t="n">
        <v>1</v>
      </c>
      <c r="K48" s="29" t="inlineStr">
        <is>
          <t>≤ أسبوع</t>
        </is>
      </c>
      <c r="L48" s="30" t="inlineStr">
        <is>
          <t>النمو</t>
        </is>
      </c>
      <c r="M48" s="31" t="inlineStr">
        <is>
          <t>الامتياز التجاري</t>
        </is>
      </c>
      <c r="N48" s="26" t="inlineStr">
        <is>
          <t>العمليات الداخلية</t>
        </is>
      </c>
      <c r="O48" s="39" t="n"/>
      <c r="P48" s="39" t="n"/>
      <c r="Q48" s="39" t="n"/>
      <c r="R48" s="39" t="n"/>
      <c r="S48" s="39" t="n"/>
      <c r="T48" s="39" t="n"/>
      <c r="U48" s="39" t="n"/>
      <c r="V48" s="39" t="n"/>
      <c r="W48" s="39" t="n"/>
      <c r="X48" s="39" t="n"/>
      <c r="Y48" s="39" t="n"/>
      <c r="Z48" s="39" t="n"/>
      <c r="AA48" s="40">
        <f>IF($G48="SUM",IF(COUNT($O48:$Z48)=0,"",SUM($O48:$Z48)),IF($G48="AVG",IFERROR(AVERAGE($O48:$Z48),""),IF($G48="LAST",IFERROR(LOOKUP(2,1/($O48:$Z48&lt;&gt;""),$O48:$Z48),""),"")))</f>
        <v/>
      </c>
      <c r="AB48" s="16">
        <f>IF($J48="","",IF($AA48="","",IF($J48=0,IF($AA48&lt;=0,1,0),IF($F48="↓",IFERROR($J48/$AA48,0),IFERROR($AA48/$J48,0)))))</f>
        <v/>
      </c>
      <c r="AC48" s="15">
        <f>IF($AB48="","—",IF($AB48&gt;=1,"✅ محقق",IF($AB48&gt;=0.85,"🟡 قريب","🔴 تحت الهدف")))</f>
        <v/>
      </c>
    </row>
    <row r="49" ht="24" customHeight="1">
      <c r="A49" s="15" t="n">
        <v>46</v>
      </c>
      <c r="B49" s="21" t="inlineStr">
        <is>
          <t>الامتياز التجاري</t>
        </is>
      </c>
      <c r="C49" s="9" t="inlineStr">
        <is>
          <t>استدامة الشراكة والامتثال</t>
        </is>
      </c>
      <c r="D49" s="9" t="inlineStr">
        <is>
          <t>نسبة إنجاز التقارير الدورية في موعدها</t>
        </is>
      </c>
      <c r="E49" s="25" t="inlineStr">
        <is>
          <t>%</t>
        </is>
      </c>
      <c r="F49" s="25" t="inlineStr">
        <is>
          <t>↑</t>
        </is>
      </c>
      <c r="G49" s="25" t="inlineStr">
        <is>
          <t>AVG</t>
        </is>
      </c>
      <c r="H49" s="26" t="inlineStr">
        <is>
          <t>🟡 متابعة</t>
        </is>
      </c>
      <c r="I49" s="27" t="n">
        <v>0.01124</v>
      </c>
      <c r="J49" s="27" t="n">
        <v>1</v>
      </c>
      <c r="K49" s="29" t="inlineStr">
        <is>
          <t>100%</t>
        </is>
      </c>
      <c r="L49" s="30" t="inlineStr">
        <is>
          <t>الاستدامة</t>
        </is>
      </c>
      <c r="M49" s="31" t="inlineStr">
        <is>
          <t>جودة التشغيل</t>
        </is>
      </c>
      <c r="N49" s="26" t="inlineStr">
        <is>
          <t>العمليات الداخلية</t>
        </is>
      </c>
      <c r="O49" s="36" t="n"/>
      <c r="P49" s="36" t="n"/>
      <c r="Q49" s="36" t="n"/>
      <c r="R49" s="36" t="n"/>
      <c r="S49" s="36" t="n"/>
      <c r="T49" s="36" t="n"/>
      <c r="U49" s="36" t="n"/>
      <c r="V49" s="36" t="n"/>
      <c r="W49" s="36" t="n"/>
      <c r="X49" s="36" t="n"/>
      <c r="Y49" s="36" t="n"/>
      <c r="Z49" s="36" t="n"/>
      <c r="AA49" s="37">
        <f>IF($G49="SUM",IF(COUNT($O49:$Z49)=0,"",SUM($O49:$Z49)),IF($G49="AVG",IFERROR(AVERAGE($O49:$Z49),""),IF($G49="LAST",IFERROR(LOOKUP(2,1/($O49:$Z49&lt;&gt;""),$O49:$Z49),""),"")))</f>
        <v/>
      </c>
      <c r="AB49" s="16">
        <f>IF($J49="","",IF($AA49="","",IF($J49=0,IF($AA49&lt;=0,1,0),IF($F49="↓",IFERROR($J49/$AA49,0),IFERROR($AA49/$J49,0)))))</f>
        <v/>
      </c>
      <c r="AC49" s="15">
        <f>IF($AB49="","—",IF($AB49&gt;=1,"✅ محقق",IF($AB49&gt;=0.85,"🟡 قريب","🔴 تحت الهدف")))</f>
        <v/>
      </c>
    </row>
    <row r="50" ht="24" customHeight="1">
      <c r="A50" s="15" t="n">
        <v>47</v>
      </c>
      <c r="B50" s="21" t="inlineStr">
        <is>
          <t>التشغيل والمحطات</t>
        </is>
      </c>
      <c r="C50" s="9" t="inlineStr">
        <is>
          <t>النمو</t>
        </is>
      </c>
      <c r="D50" s="9" t="inlineStr">
        <is>
          <t>عدد المحطات المشغّلة (تراكمي)</t>
        </is>
      </c>
      <c r="E50" s="25" t="inlineStr">
        <is>
          <t>محطة</t>
        </is>
      </c>
      <c r="F50" s="25" t="inlineStr">
        <is>
          <t>↑</t>
        </is>
      </c>
      <c r="G50" s="25" t="inlineStr">
        <is>
          <t>LAST</t>
        </is>
      </c>
      <c r="H50" s="26" t="inlineStr">
        <is>
          <t>🔴 رئيسي</t>
        </is>
      </c>
      <c r="I50" s="27" t="n">
        <v>0.075</v>
      </c>
      <c r="J50" s="28" t="n">
        <v>85</v>
      </c>
      <c r="K50" s="29" t="inlineStr">
        <is>
          <t>85 محطة</t>
        </is>
      </c>
      <c r="L50" s="30" t="inlineStr">
        <is>
          <t>النمو</t>
        </is>
      </c>
      <c r="M50" s="31" t="inlineStr">
        <is>
          <t>التوسع في المواقع</t>
        </is>
      </c>
      <c r="N50" s="26" t="inlineStr">
        <is>
          <t>العمليات الداخلية</t>
        </is>
      </c>
      <c r="O50" s="32" t="n"/>
      <c r="P50" s="32" t="n"/>
      <c r="Q50" s="32" t="n"/>
      <c r="R50" s="32" t="n"/>
      <c r="S50" s="32" t="n"/>
      <c r="T50" s="32" t="n"/>
      <c r="U50" s="32" t="n"/>
      <c r="V50" s="32" t="n"/>
      <c r="W50" s="32" t="n"/>
      <c r="X50" s="32" t="n"/>
      <c r="Y50" s="32" t="n"/>
      <c r="Z50" s="32" t="n"/>
      <c r="AA50" s="33">
        <f>IF($G50="SUM",IF(COUNT($O50:$Z50)=0,"",SUM($O50:$Z50)),IF($G50="AVG",IFERROR(AVERAGE($O50:$Z50),""),IF($G50="LAST",IFERROR(LOOKUP(2,1/($O50:$Z50&lt;&gt;""),$O50:$Z50),""),"")))</f>
        <v/>
      </c>
      <c r="AB50" s="16">
        <f>IF($J50="","",IF($AA50="","",IF($J50=0,IF($AA50&lt;=0,1,0),IF($F50="↓",IFERROR($J50/$AA50,0),IFERROR($AA50/$J50,0)))))</f>
        <v/>
      </c>
      <c r="AC50" s="15">
        <f>IF($AB50="","—",IF($AB50&gt;=1,"✅ محقق",IF($AB50&gt;=0.85,"🟡 قريب","🔴 تحت الهدف")))</f>
        <v/>
      </c>
    </row>
    <row r="51" ht="24" customHeight="1">
      <c r="A51" s="15" t="n">
        <v>48</v>
      </c>
      <c r="B51" s="21" t="inlineStr">
        <is>
          <t>التشغيل والمحطات</t>
        </is>
      </c>
      <c r="C51" s="9" t="inlineStr">
        <is>
          <t>الربحية</t>
        </is>
      </c>
      <c r="D51" s="9" t="inlineStr">
        <is>
          <t>نمو مبيعات بنزين 91 مقارنة بالعام السابق</t>
        </is>
      </c>
      <c r="E51" s="25" t="inlineStr">
        <is>
          <t>%</t>
        </is>
      </c>
      <c r="F51" s="25" t="inlineStr">
        <is>
          <t>↑</t>
        </is>
      </c>
      <c r="G51" s="25" t="inlineStr">
        <is>
          <t>AVG</t>
        </is>
      </c>
      <c r="H51" s="26" t="inlineStr">
        <is>
          <t>🔴 رئيسي</t>
        </is>
      </c>
      <c r="I51" s="27" t="n">
        <v>0.075</v>
      </c>
      <c r="J51" s="25" t="inlineStr"/>
      <c r="K51" s="29" t="inlineStr">
        <is>
          <t>يُحدد لاحقاً</t>
        </is>
      </c>
      <c r="L51" s="30" t="inlineStr">
        <is>
          <t>النمو</t>
        </is>
      </c>
      <c r="M51" s="31" t="inlineStr">
        <is>
          <t>زيادة وصول العملاء</t>
        </is>
      </c>
      <c r="N51" s="26" t="inlineStr">
        <is>
          <t>مالي</t>
        </is>
      </c>
      <c r="O51" s="36" t="n"/>
      <c r="P51" s="36" t="n"/>
      <c r="Q51" s="36" t="n"/>
      <c r="R51" s="36" t="n"/>
      <c r="S51" s="36" t="n"/>
      <c r="T51" s="36" t="n"/>
      <c r="U51" s="36" t="n"/>
      <c r="V51" s="36" t="n"/>
      <c r="W51" s="36" t="n"/>
      <c r="X51" s="36" t="n"/>
      <c r="Y51" s="36" t="n"/>
      <c r="Z51" s="36" t="n"/>
      <c r="AA51" s="37">
        <f>IF($G51="SUM",IF(COUNT($O51:$Z51)=0,"",SUM($O51:$Z51)),IF($G51="AVG",IFERROR(AVERAGE($O51:$Z51),""),IF($G51="LAST",IFERROR(LOOKUP(2,1/($O51:$Z51&lt;&gt;""),$O51:$Z51),""),"")))</f>
        <v/>
      </c>
      <c r="AB51" s="16">
        <f>IF($J51="","",IF($AA51="","",IF($J51=0,IF($AA51&lt;=0,1,0),IF($F51="↓",IFERROR($J51/$AA51,0),IFERROR($AA51/$J51,0)))))</f>
        <v/>
      </c>
      <c r="AC51" s="15">
        <f>IF($AB51="","—",IF($AB51&gt;=1,"✅ محقق",IF($AB51&gt;=0.85,"🟡 قريب","🔴 تحت الهدف")))</f>
        <v/>
      </c>
    </row>
    <row r="52" ht="24" customHeight="1">
      <c r="A52" s="15" t="n">
        <v>49</v>
      </c>
      <c r="B52" s="21" t="inlineStr">
        <is>
          <t>التشغيل والمحطات</t>
        </is>
      </c>
      <c r="C52" s="9" t="inlineStr">
        <is>
          <t>الربحية</t>
        </is>
      </c>
      <c r="D52" s="9" t="inlineStr">
        <is>
          <t>نمو مبيعات بنزين 95 مقارنة بالعام السابق</t>
        </is>
      </c>
      <c r="E52" s="25" t="inlineStr">
        <is>
          <t>%</t>
        </is>
      </c>
      <c r="F52" s="25" t="inlineStr">
        <is>
          <t>↑</t>
        </is>
      </c>
      <c r="G52" s="25" t="inlineStr">
        <is>
          <t>AVG</t>
        </is>
      </c>
      <c r="H52" s="26" t="inlineStr">
        <is>
          <t>🔴 رئيسي</t>
        </is>
      </c>
      <c r="I52" s="27" t="n">
        <v>0.075</v>
      </c>
      <c r="J52" s="25" t="inlineStr"/>
      <c r="K52" s="29" t="inlineStr">
        <is>
          <t>يُحدد لاحقاً</t>
        </is>
      </c>
      <c r="L52" s="30" t="inlineStr">
        <is>
          <t>النمو</t>
        </is>
      </c>
      <c r="M52" s="31" t="inlineStr">
        <is>
          <t>زيادة وصول العملاء</t>
        </is>
      </c>
      <c r="N52" s="26" t="inlineStr">
        <is>
          <t>مالي</t>
        </is>
      </c>
      <c r="O52" s="36" t="n"/>
      <c r="P52" s="36" t="n"/>
      <c r="Q52" s="36" t="n"/>
      <c r="R52" s="36" t="n"/>
      <c r="S52" s="36" t="n"/>
      <c r="T52" s="36" t="n"/>
      <c r="U52" s="36" t="n"/>
      <c r="V52" s="36" t="n"/>
      <c r="W52" s="36" t="n"/>
      <c r="X52" s="36" t="n"/>
      <c r="Y52" s="36" t="n"/>
      <c r="Z52" s="36" t="n"/>
      <c r="AA52" s="37">
        <f>IF($G52="SUM",IF(COUNT($O52:$Z52)=0,"",SUM($O52:$Z52)),IF($G52="AVG",IFERROR(AVERAGE($O52:$Z52),""),IF($G52="LAST",IFERROR(LOOKUP(2,1/($O52:$Z52&lt;&gt;""),$O52:$Z52),""),"")))</f>
        <v/>
      </c>
      <c r="AB52" s="16">
        <f>IF($J52="","",IF($AA52="","",IF($J52=0,IF($AA52&lt;=0,1,0),IF($F52="↓",IFERROR($J52/$AA52,0),IFERROR($AA52/$J52,0)))))</f>
        <v/>
      </c>
      <c r="AC52" s="15">
        <f>IF($AB52="","—",IF($AB52&gt;=1,"✅ محقق",IF($AB52&gt;=0.85,"🟡 قريب","🔴 تحت الهدف")))</f>
        <v/>
      </c>
    </row>
    <row r="53" ht="24" customHeight="1">
      <c r="A53" s="15" t="n">
        <v>50</v>
      </c>
      <c r="B53" s="21" t="inlineStr">
        <is>
          <t>التشغيل والمحطات</t>
        </is>
      </c>
      <c r="C53" s="9" t="inlineStr">
        <is>
          <t>الربحية</t>
        </is>
      </c>
      <c r="D53" s="9" t="inlineStr">
        <is>
          <t>نمو مبيعات بنزين 98 مقارنة بالعام السابق</t>
        </is>
      </c>
      <c r="E53" s="25" t="inlineStr">
        <is>
          <t>%</t>
        </is>
      </c>
      <c r="F53" s="25" t="inlineStr">
        <is>
          <t>↑</t>
        </is>
      </c>
      <c r="G53" s="25" t="inlineStr">
        <is>
          <t>AVG</t>
        </is>
      </c>
      <c r="H53" s="26" t="inlineStr">
        <is>
          <t>🔴 رئيسي</t>
        </is>
      </c>
      <c r="I53" s="27" t="n">
        <v>0.075</v>
      </c>
      <c r="J53" s="25" t="inlineStr"/>
      <c r="K53" s="29" t="inlineStr">
        <is>
          <t>يُحدد لاحقاً</t>
        </is>
      </c>
      <c r="L53" s="30" t="inlineStr">
        <is>
          <t>النمو</t>
        </is>
      </c>
      <c r="M53" s="31" t="inlineStr">
        <is>
          <t>زيادة وصول العملاء</t>
        </is>
      </c>
      <c r="N53" s="26" t="inlineStr">
        <is>
          <t>مالي</t>
        </is>
      </c>
      <c r="O53" s="36" t="n"/>
      <c r="P53" s="36" t="n"/>
      <c r="Q53" s="36" t="n"/>
      <c r="R53" s="36" t="n"/>
      <c r="S53" s="36" t="n"/>
      <c r="T53" s="36" t="n"/>
      <c r="U53" s="36" t="n"/>
      <c r="V53" s="36" t="n"/>
      <c r="W53" s="36" t="n"/>
      <c r="X53" s="36" t="n"/>
      <c r="Y53" s="36" t="n"/>
      <c r="Z53" s="36" t="n"/>
      <c r="AA53" s="37">
        <f>IF($G53="SUM",IF(COUNT($O53:$Z53)=0,"",SUM($O53:$Z53)),IF($G53="AVG",IFERROR(AVERAGE($O53:$Z53),""),IF($G53="LAST",IFERROR(LOOKUP(2,1/($O53:$Z53&lt;&gt;""),$O53:$Z53),""),"")))</f>
        <v/>
      </c>
      <c r="AB53" s="16">
        <f>IF($J53="","",IF($AA53="","",IF($J53=0,IF($AA53&lt;=0,1,0),IF($F53="↓",IFERROR($J53/$AA53,0),IFERROR($AA53/$J53,0)))))</f>
        <v/>
      </c>
      <c r="AC53" s="15">
        <f>IF($AB53="","—",IF($AB53&gt;=1,"✅ محقق",IF($AB53&gt;=0.85,"🟡 قريب","🔴 تحت الهدف")))</f>
        <v/>
      </c>
    </row>
    <row r="54" ht="24" customHeight="1">
      <c r="A54" s="15" t="n">
        <v>51</v>
      </c>
      <c r="B54" s="21" t="inlineStr">
        <is>
          <t>التشغيل والمحطات</t>
        </is>
      </c>
      <c r="C54" s="9" t="inlineStr">
        <is>
          <t>الربحية</t>
        </is>
      </c>
      <c r="D54" s="9" t="inlineStr">
        <is>
          <t>نمو مبيعات الديزل مقارنة بالعام السابق</t>
        </is>
      </c>
      <c r="E54" s="25" t="inlineStr">
        <is>
          <t>%</t>
        </is>
      </c>
      <c r="F54" s="25" t="inlineStr">
        <is>
          <t>↑</t>
        </is>
      </c>
      <c r="G54" s="25" t="inlineStr">
        <is>
          <t>AVG</t>
        </is>
      </c>
      <c r="H54" s="26" t="inlineStr">
        <is>
          <t>🔴 رئيسي</t>
        </is>
      </c>
      <c r="I54" s="27" t="n">
        <v>0.075</v>
      </c>
      <c r="J54" s="25" t="inlineStr"/>
      <c r="K54" s="29" t="inlineStr">
        <is>
          <t>يُحدد لاحقاً</t>
        </is>
      </c>
      <c r="L54" s="30" t="inlineStr">
        <is>
          <t>النمو</t>
        </is>
      </c>
      <c r="M54" s="31" t="inlineStr">
        <is>
          <t>زيادة وصول العملاء</t>
        </is>
      </c>
      <c r="N54" s="26" t="inlineStr">
        <is>
          <t>مالي</t>
        </is>
      </c>
      <c r="O54" s="36" t="n"/>
      <c r="P54" s="36" t="n"/>
      <c r="Q54" s="36" t="n"/>
      <c r="R54" s="36" t="n"/>
      <c r="S54" s="36" t="n"/>
      <c r="T54" s="36" t="n"/>
      <c r="U54" s="36" t="n"/>
      <c r="V54" s="36" t="n"/>
      <c r="W54" s="36" t="n"/>
      <c r="X54" s="36" t="n"/>
      <c r="Y54" s="36" t="n"/>
      <c r="Z54" s="36" t="n"/>
      <c r="AA54" s="37">
        <f>IF($G54="SUM",IF(COUNT($O54:$Z54)=0,"",SUM($O54:$Z54)),IF($G54="AVG",IFERROR(AVERAGE($O54:$Z54),""),IF($G54="LAST",IFERROR(LOOKUP(2,1/($O54:$Z54&lt;&gt;""),$O54:$Z54),""),"")))</f>
        <v/>
      </c>
      <c r="AB54" s="16">
        <f>IF($J54="","",IF($AA54="","",IF($J54=0,IF($AA54&lt;=0,1,0),IF($F54="↓",IFERROR($J54/$AA54,0),IFERROR($AA54/$J54,0)))))</f>
        <v/>
      </c>
      <c r="AC54" s="15">
        <f>IF($AB54="","—",IF($AB54&gt;=1,"✅ محقق",IF($AB54&gt;=0.85,"🟡 قريب","🔴 تحت الهدف")))</f>
        <v/>
      </c>
    </row>
    <row r="55" ht="24" customHeight="1">
      <c r="A55" s="15" t="n">
        <v>52</v>
      </c>
      <c r="B55" s="21" t="inlineStr">
        <is>
          <t>التشغيل والمحطات</t>
        </is>
      </c>
      <c r="C55" s="9" t="inlineStr">
        <is>
          <t>حماية الإيراد</t>
        </is>
      </c>
      <c r="D55" s="9" t="inlineStr">
        <is>
          <t>نسبة جاهزية المحطة الشاملة (Uptime)</t>
        </is>
      </c>
      <c r="E55" s="25" t="inlineStr">
        <is>
          <t>%</t>
        </is>
      </c>
      <c r="F55" s="25" t="inlineStr">
        <is>
          <t>↑</t>
        </is>
      </c>
      <c r="G55" s="25" t="inlineStr">
        <is>
          <t>AVG</t>
        </is>
      </c>
      <c r="H55" s="26" t="inlineStr">
        <is>
          <t>🔴 رئيسي</t>
        </is>
      </c>
      <c r="I55" s="27" t="n">
        <v>0.075</v>
      </c>
      <c r="J55" s="27" t="n">
        <v>0.99</v>
      </c>
      <c r="K55" s="29" t="inlineStr">
        <is>
          <t>99%+</t>
        </is>
      </c>
      <c r="L55" s="30" t="inlineStr">
        <is>
          <t>الاستدامة</t>
        </is>
      </c>
      <c r="M55" s="31" t="inlineStr">
        <is>
          <t>جودة التشغيل</t>
        </is>
      </c>
      <c r="N55" s="26" t="inlineStr">
        <is>
          <t>العمليات الداخلية</t>
        </is>
      </c>
      <c r="O55" s="36" t="n"/>
      <c r="P55" s="36" t="n"/>
      <c r="Q55" s="36" t="n"/>
      <c r="R55" s="36" t="n"/>
      <c r="S55" s="36" t="n"/>
      <c r="T55" s="36" t="n"/>
      <c r="U55" s="36" t="n"/>
      <c r="V55" s="36" t="n"/>
      <c r="W55" s="36" t="n"/>
      <c r="X55" s="36" t="n"/>
      <c r="Y55" s="36" t="n"/>
      <c r="Z55" s="36" t="n"/>
      <c r="AA55" s="37">
        <f>IF($G55="SUM",IF(COUNT($O55:$Z55)=0,"",SUM($O55:$Z55)),IF($G55="AVG",IFERROR(AVERAGE($O55:$Z55),""),IF($G55="LAST",IFERROR(LOOKUP(2,1/($O55:$Z55&lt;&gt;""),$O55:$Z55),""),"")))</f>
        <v/>
      </c>
      <c r="AB55" s="16">
        <f>IF($J55="","",IF($AA55="","",IF($J55=0,IF($AA55&lt;=0,1,0),IF($F55="↓",IFERROR($J55/$AA55,0),IFERROR($AA55/$J55,0)))))</f>
        <v/>
      </c>
      <c r="AC55" s="15">
        <f>IF($AB55="","—",IF($AB55&gt;=1,"✅ محقق",IF($AB55&gt;=0.85,"🟡 قريب","🔴 تحت الهدف")))</f>
        <v/>
      </c>
    </row>
    <row r="56" ht="24" customHeight="1">
      <c r="A56" s="15" t="n">
        <v>53</v>
      </c>
      <c r="B56" s="21" t="inlineStr">
        <is>
          <t>التشغيل والمحطات</t>
        </is>
      </c>
      <c r="C56" s="9" t="inlineStr">
        <is>
          <t>حماية الإيراد</t>
        </is>
      </c>
      <c r="D56" s="9" t="inlineStr">
        <is>
          <t>نسبة المضخات العاملة</t>
        </is>
      </c>
      <c r="E56" s="25" t="inlineStr">
        <is>
          <t>%</t>
        </is>
      </c>
      <c r="F56" s="25" t="inlineStr">
        <is>
          <t>↑</t>
        </is>
      </c>
      <c r="G56" s="25" t="inlineStr">
        <is>
          <t>AVG</t>
        </is>
      </c>
      <c r="H56" s="26" t="inlineStr">
        <is>
          <t>🟠 مهم</t>
        </is>
      </c>
      <c r="I56" s="27" t="n">
        <v>0.05</v>
      </c>
      <c r="J56" s="27" t="n">
        <v>0.97</v>
      </c>
      <c r="K56" s="29" t="inlineStr">
        <is>
          <t>≥ 97%</t>
        </is>
      </c>
      <c r="L56" s="30" t="inlineStr">
        <is>
          <t>الاستدامة</t>
        </is>
      </c>
      <c r="M56" s="31" t="inlineStr">
        <is>
          <t>جودة التشغيل</t>
        </is>
      </c>
      <c r="N56" s="26" t="inlineStr">
        <is>
          <t>العمليات الداخلية</t>
        </is>
      </c>
      <c r="O56" s="36" t="n"/>
      <c r="P56" s="36" t="n"/>
      <c r="Q56" s="36" t="n"/>
      <c r="R56" s="36" t="n"/>
      <c r="S56" s="36" t="n"/>
      <c r="T56" s="36" t="n"/>
      <c r="U56" s="36" t="n"/>
      <c r="V56" s="36" t="n"/>
      <c r="W56" s="36" t="n"/>
      <c r="X56" s="36" t="n"/>
      <c r="Y56" s="36" t="n"/>
      <c r="Z56" s="36" t="n"/>
      <c r="AA56" s="37">
        <f>IF($G56="SUM",IF(COUNT($O56:$Z56)=0,"",SUM($O56:$Z56)),IF($G56="AVG",IFERROR(AVERAGE($O56:$Z56),""),IF($G56="LAST",IFERROR(LOOKUP(2,1/($O56:$Z56&lt;&gt;""),$O56:$Z56),""),"")))</f>
        <v/>
      </c>
      <c r="AB56" s="16">
        <f>IF($J56="","",IF($AA56="","",IF($J56=0,IF($AA56&lt;=0,1,0),IF($F56="↓",IFERROR($J56/$AA56,0),IFERROR($AA56/$J56,0)))))</f>
        <v/>
      </c>
      <c r="AC56" s="15">
        <f>IF($AB56="","—",IF($AB56&gt;=1,"✅ محقق",IF($AB56&gt;=0.85,"🟡 قريب","🔴 تحت الهدف")))</f>
        <v/>
      </c>
    </row>
    <row r="57" ht="24" customHeight="1">
      <c r="A57" s="15" t="n">
        <v>54</v>
      </c>
      <c r="B57" s="21" t="inlineStr">
        <is>
          <t>التشغيل والمحطات</t>
        </is>
      </c>
      <c r="C57" s="9" t="inlineStr">
        <is>
          <t>ضغط التكلفة</t>
        </is>
      </c>
      <c r="D57" s="9" t="inlineStr">
        <is>
          <t>تكلفة التشغيل لكل لتر مباع</t>
        </is>
      </c>
      <c r="E57" s="25" t="inlineStr">
        <is>
          <t>هللة/لتر</t>
        </is>
      </c>
      <c r="F57" s="25" t="inlineStr">
        <is>
          <t>↓</t>
        </is>
      </c>
      <c r="G57" s="25" t="inlineStr">
        <is>
          <t>AVG</t>
        </is>
      </c>
      <c r="H57" s="26" t="inlineStr">
        <is>
          <t>🟠 مهم</t>
        </is>
      </c>
      <c r="I57" s="27" t="n">
        <v>0.05</v>
      </c>
      <c r="J57" s="25" t="inlineStr"/>
      <c r="K57" s="29" t="inlineStr">
        <is>
          <t>خفض ≥5% سنوياً</t>
        </is>
      </c>
      <c r="L57" s="30" t="inlineStr">
        <is>
          <t>الاستدامة</t>
        </is>
      </c>
      <c r="M57" s="31" t="inlineStr">
        <is>
          <t>جودة التشغيل</t>
        </is>
      </c>
      <c r="N57" s="26" t="inlineStr">
        <is>
          <t>مالي</t>
        </is>
      </c>
      <c r="O57" s="39" t="n"/>
      <c r="P57" s="39" t="n"/>
      <c r="Q57" s="39" t="n"/>
      <c r="R57" s="39" t="n"/>
      <c r="S57" s="39" t="n"/>
      <c r="T57" s="39" t="n"/>
      <c r="U57" s="39" t="n"/>
      <c r="V57" s="39" t="n"/>
      <c r="W57" s="39" t="n"/>
      <c r="X57" s="39" t="n"/>
      <c r="Y57" s="39" t="n"/>
      <c r="Z57" s="39" t="n"/>
      <c r="AA57" s="40">
        <f>IF($G57="SUM",IF(COUNT($O57:$Z57)=0,"",SUM($O57:$Z57)),IF($G57="AVG",IFERROR(AVERAGE($O57:$Z57),""),IF($G57="LAST",IFERROR(LOOKUP(2,1/($O57:$Z57&lt;&gt;""),$O57:$Z57),""),"")))</f>
        <v/>
      </c>
      <c r="AB57" s="16">
        <f>IF($J57="","",IF($AA57="","",IF($J57=0,IF($AA57&lt;=0,1,0),IF($F57="↓",IFERROR($J57/$AA57,0),IFERROR($AA57/$J57,0)))))</f>
        <v/>
      </c>
      <c r="AC57" s="15">
        <f>IF($AB57="","—",IF($AB57&gt;=1,"✅ محقق",IF($AB57&gt;=0.85,"🟡 قريب","🔴 تحت الهدف")))</f>
        <v/>
      </c>
    </row>
    <row r="58" ht="24" customHeight="1">
      <c r="A58" s="15" t="n">
        <v>55</v>
      </c>
      <c r="B58" s="21" t="inlineStr">
        <is>
          <t>التشغيل والمحطات</t>
        </is>
      </c>
      <c r="C58" s="9" t="inlineStr">
        <is>
          <t>حماية الأصول</t>
        </is>
      </c>
      <c r="D58" s="9" t="inlineStr">
        <is>
          <t>نسبة الصيانة الوقائية المنفذة في موعدها</t>
        </is>
      </c>
      <c r="E58" s="25" t="inlineStr">
        <is>
          <t>%</t>
        </is>
      </c>
      <c r="F58" s="25" t="inlineStr">
        <is>
          <t>↑</t>
        </is>
      </c>
      <c r="G58" s="25" t="inlineStr">
        <is>
          <t>AVG</t>
        </is>
      </c>
      <c r="H58" s="26" t="inlineStr">
        <is>
          <t>🟠 مهم</t>
        </is>
      </c>
      <c r="I58" s="27" t="n">
        <v>0.05</v>
      </c>
      <c r="J58" s="27" t="n">
        <v>0.95</v>
      </c>
      <c r="K58" s="29" t="inlineStr">
        <is>
          <t>≥ 95%</t>
        </is>
      </c>
      <c r="L58" s="30" t="inlineStr">
        <is>
          <t>الاستدامة</t>
        </is>
      </c>
      <c r="M58" s="31" t="inlineStr">
        <is>
          <t>جودة التشغيل</t>
        </is>
      </c>
      <c r="N58" s="26" t="inlineStr">
        <is>
          <t>العمليات الداخلية</t>
        </is>
      </c>
      <c r="O58" s="36" t="n"/>
      <c r="P58" s="36" t="n"/>
      <c r="Q58" s="36" t="n"/>
      <c r="R58" s="36" t="n"/>
      <c r="S58" s="36" t="n"/>
      <c r="T58" s="36" t="n"/>
      <c r="U58" s="36" t="n"/>
      <c r="V58" s="36" t="n"/>
      <c r="W58" s="36" t="n"/>
      <c r="X58" s="36" t="n"/>
      <c r="Y58" s="36" t="n"/>
      <c r="Z58" s="36" t="n"/>
      <c r="AA58" s="37">
        <f>IF($G58="SUM",IF(COUNT($O58:$Z58)=0,"",SUM($O58:$Z58)),IF($G58="AVG",IFERROR(AVERAGE($O58:$Z58),""),IF($G58="LAST",IFERROR(LOOKUP(2,1/($O58:$Z58&lt;&gt;""),$O58:$Z58),""),"")))</f>
        <v/>
      </c>
      <c r="AB58" s="16">
        <f>IF($J58="","",IF($AA58="","",IF($J58=0,IF($AA58&lt;=0,1,0),IF($F58="↓",IFERROR($J58/$AA58,0),IFERROR($AA58/$J58,0)))))</f>
        <v/>
      </c>
      <c r="AC58" s="15">
        <f>IF($AB58="","—",IF($AB58&gt;=1,"✅ محقق",IF($AB58&gt;=0.85,"🟡 قريب","🔴 تحت الهدف")))</f>
        <v/>
      </c>
    </row>
    <row r="59" ht="24" customHeight="1">
      <c r="A59" s="15" t="n">
        <v>56</v>
      </c>
      <c r="B59" s="21" t="inlineStr">
        <is>
          <t>التشغيل والمحطات</t>
        </is>
      </c>
      <c r="C59" s="9" t="inlineStr">
        <is>
          <t>تجربة العميل</t>
        </is>
      </c>
      <c r="D59" s="9" t="inlineStr">
        <is>
          <t>نسبة انخفاض الشكاوى مقارنة بالشهر السابق</t>
        </is>
      </c>
      <c r="E59" s="25" t="inlineStr">
        <is>
          <t>%</t>
        </is>
      </c>
      <c r="F59" s="25" t="inlineStr">
        <is>
          <t>↑</t>
        </is>
      </c>
      <c r="G59" s="25" t="inlineStr">
        <is>
          <t>AVG</t>
        </is>
      </c>
      <c r="H59" s="26" t="inlineStr">
        <is>
          <t>🟠 مهم</t>
        </is>
      </c>
      <c r="I59" s="27" t="n">
        <v>0.05</v>
      </c>
      <c r="J59" s="25" t="inlineStr"/>
      <c r="K59" s="29" t="inlineStr">
        <is>
          <t>−30%</t>
        </is>
      </c>
      <c r="L59" s="30" t="inlineStr">
        <is>
          <t>الاستدامة</t>
        </is>
      </c>
      <c r="M59" s="31" t="inlineStr">
        <is>
          <t>تعزيز تجربة العملاء</t>
        </is>
      </c>
      <c r="N59" s="26" t="inlineStr">
        <is>
          <t>العملاء</t>
        </is>
      </c>
      <c r="O59" s="36" t="n"/>
      <c r="P59" s="36" t="n"/>
      <c r="Q59" s="36" t="n"/>
      <c r="R59" s="36" t="n"/>
      <c r="S59" s="36" t="n"/>
      <c r="T59" s="36" t="n"/>
      <c r="U59" s="36" t="n"/>
      <c r="V59" s="36" t="n"/>
      <c r="W59" s="36" t="n"/>
      <c r="X59" s="36" t="n"/>
      <c r="Y59" s="36" t="n"/>
      <c r="Z59" s="36" t="n"/>
      <c r="AA59" s="37">
        <f>IF($G59="SUM",IF(COUNT($O59:$Z59)=0,"",SUM($O59:$Z59)),IF($G59="AVG",IFERROR(AVERAGE($O59:$Z59),""),IF($G59="LAST",IFERROR(LOOKUP(2,1/($O59:$Z59&lt;&gt;""),$O59:$Z59),""),"")))</f>
        <v/>
      </c>
      <c r="AB59" s="16">
        <f>IF($J59="","",IF($AA59="","",IF($J59=0,IF($AA59&lt;=0,1,0),IF($F59="↓",IFERROR($J59/$AA59,0),IFERROR($AA59/$J59,0)))))</f>
        <v/>
      </c>
      <c r="AC59" s="15">
        <f>IF($AB59="","—",IF($AB59&gt;=1,"✅ محقق",IF($AB59&gt;=0.85,"🟡 قريب","🔴 تحت الهدف")))</f>
        <v/>
      </c>
    </row>
    <row r="60" ht="24" customHeight="1">
      <c r="A60" s="15" t="n">
        <v>57</v>
      </c>
      <c r="B60" s="21" t="inlineStr">
        <is>
          <t>التشغيل والمحطات</t>
        </is>
      </c>
      <c r="C60" s="9" t="inlineStr">
        <is>
          <t>تجربة العميل</t>
        </is>
      </c>
      <c r="D60" s="9" t="inlineStr">
        <is>
          <t>تقييم Google Maps للمحطات</t>
        </is>
      </c>
      <c r="E60" s="25" t="inlineStr">
        <is>
          <t>نجمة/5</t>
        </is>
      </c>
      <c r="F60" s="25" t="inlineStr">
        <is>
          <t>↑</t>
        </is>
      </c>
      <c r="G60" s="25" t="inlineStr">
        <is>
          <t>AVG</t>
        </is>
      </c>
      <c r="H60" s="26" t="inlineStr">
        <is>
          <t>🔴 رئيسي</t>
        </is>
      </c>
      <c r="I60" s="27" t="n">
        <v>0.075</v>
      </c>
      <c r="J60" s="38" t="n">
        <v>4.5</v>
      </c>
      <c r="K60" s="29" t="inlineStr">
        <is>
          <t>≥ 4.5</t>
        </is>
      </c>
      <c r="L60" s="30" t="inlineStr">
        <is>
          <t>الاستدامة</t>
        </is>
      </c>
      <c r="M60" s="31" t="inlineStr">
        <is>
          <t>تعزيز تجربة العملاء</t>
        </is>
      </c>
      <c r="N60" s="26" t="inlineStr">
        <is>
          <t>العمليات الداخلية</t>
        </is>
      </c>
      <c r="O60" s="39" t="n"/>
      <c r="P60" s="39" t="n"/>
      <c r="Q60" s="39" t="n"/>
      <c r="R60" s="39" t="n"/>
      <c r="S60" s="39" t="n"/>
      <c r="T60" s="39" t="n"/>
      <c r="U60" s="39" t="n"/>
      <c r="V60" s="39" t="n"/>
      <c r="W60" s="39" t="n"/>
      <c r="X60" s="39" t="n"/>
      <c r="Y60" s="39" t="n"/>
      <c r="Z60" s="39" t="n"/>
      <c r="AA60" s="40">
        <f>IF($G60="SUM",IF(COUNT($O60:$Z60)=0,"",SUM($O60:$Z60)),IF($G60="AVG",IFERROR(AVERAGE($O60:$Z60),""),IF($G60="LAST",IFERROR(LOOKUP(2,1/($O60:$Z60&lt;&gt;""),$O60:$Z60),""),"")))</f>
        <v/>
      </c>
      <c r="AB60" s="16">
        <f>IF($J60="","",IF($AA60="","",IF($J60=0,IF($AA60&lt;=0,1,0),IF($F60="↓",IFERROR($J60/$AA60,0),IFERROR($AA60/$J60,0)))))</f>
        <v/>
      </c>
      <c r="AC60" s="15">
        <f>IF($AB60="","—",IF($AB60&gt;=1,"✅ محقق",IF($AB60&gt;=0.85,"🟡 قريب","🔴 تحت الهدف")))</f>
        <v/>
      </c>
    </row>
    <row r="61" ht="24" customHeight="1">
      <c r="A61" s="15" t="n">
        <v>58</v>
      </c>
      <c r="B61" s="21" t="inlineStr">
        <is>
          <t>التشغيل والمحطات</t>
        </is>
      </c>
      <c r="C61" s="9" t="inlineStr">
        <is>
          <t>تجربة العميل</t>
        </is>
      </c>
      <c r="D61" s="9" t="inlineStr">
        <is>
          <t>سرعة تعبئة الوقود</t>
        </is>
      </c>
      <c r="E61" s="25" t="inlineStr">
        <is>
          <t>دقيقة</t>
        </is>
      </c>
      <c r="F61" s="25" t="inlineStr">
        <is>
          <t>↓</t>
        </is>
      </c>
      <c r="G61" s="25" t="inlineStr">
        <is>
          <t>AVG</t>
        </is>
      </c>
      <c r="H61" s="26" t="inlineStr">
        <is>
          <t>🟠 مهم</t>
        </is>
      </c>
      <c r="I61" s="27" t="n">
        <v>0.05</v>
      </c>
      <c r="J61" s="38" t="n">
        <v>3</v>
      </c>
      <c r="K61" s="29" t="inlineStr">
        <is>
          <t>≤ 3 دقائق</t>
        </is>
      </c>
      <c r="L61" s="30" t="inlineStr">
        <is>
          <t>الاستدامة</t>
        </is>
      </c>
      <c r="M61" s="31" t="inlineStr">
        <is>
          <t>تعزيز تجربة العملاء</t>
        </is>
      </c>
      <c r="N61" s="26" t="inlineStr">
        <is>
          <t>العمليات الداخلية</t>
        </is>
      </c>
      <c r="O61" s="39" t="n"/>
      <c r="P61" s="39" t="n"/>
      <c r="Q61" s="39" t="n"/>
      <c r="R61" s="39" t="n"/>
      <c r="S61" s="39" t="n"/>
      <c r="T61" s="39" t="n"/>
      <c r="U61" s="39" t="n"/>
      <c r="V61" s="39" t="n"/>
      <c r="W61" s="39" t="n"/>
      <c r="X61" s="39" t="n"/>
      <c r="Y61" s="39" t="n"/>
      <c r="Z61" s="39" t="n"/>
      <c r="AA61" s="40">
        <f>IF($G61="SUM",IF(COUNT($O61:$Z61)=0,"",SUM($O61:$Z61)),IF($G61="AVG",IFERROR(AVERAGE($O61:$Z61),""),IF($G61="LAST",IFERROR(LOOKUP(2,1/($O61:$Z61&lt;&gt;""),$O61:$Z61),""),"")))</f>
        <v/>
      </c>
      <c r="AB61" s="16">
        <f>IF($J61="","",IF($AA61="","",IF($J61=0,IF($AA61&lt;=0,1,0),IF($F61="↓",IFERROR($J61/$AA61,0),IFERROR($AA61/$J61,0)))))</f>
        <v/>
      </c>
      <c r="AC61" s="15">
        <f>IF($AB61="","—",IF($AB61&gt;=1,"✅ محقق",IF($AB61&gt;=0.85,"🟡 قريب","🔴 تحت الهدف")))</f>
        <v/>
      </c>
    </row>
    <row r="62" ht="24" customHeight="1">
      <c r="A62" s="15" t="n">
        <v>59</v>
      </c>
      <c r="B62" s="21" t="inlineStr">
        <is>
          <t>التشغيل والمحطات</t>
        </is>
      </c>
      <c r="C62" s="9" t="inlineStr">
        <is>
          <t>تجربة العميل</t>
        </is>
      </c>
      <c r="D62" s="9" t="inlineStr">
        <is>
          <t>دقة التعبئة بدون أخطاء</t>
        </is>
      </c>
      <c r="E62" s="25" t="inlineStr">
        <is>
          <t>%</t>
        </is>
      </c>
      <c r="F62" s="25" t="inlineStr">
        <is>
          <t>↑</t>
        </is>
      </c>
      <c r="G62" s="25" t="inlineStr">
        <is>
          <t>AVG</t>
        </is>
      </c>
      <c r="H62" s="26" t="inlineStr">
        <is>
          <t>🟠 مهم</t>
        </is>
      </c>
      <c r="I62" s="27" t="n">
        <v>0.05</v>
      </c>
      <c r="J62" s="27" t="n">
        <v>0.99</v>
      </c>
      <c r="K62" s="29" t="inlineStr">
        <is>
          <t>≥ 99%</t>
        </is>
      </c>
      <c r="L62" s="30" t="inlineStr">
        <is>
          <t>الاستدامة</t>
        </is>
      </c>
      <c r="M62" s="31" t="inlineStr">
        <is>
          <t>جودة التشغيل</t>
        </is>
      </c>
      <c r="N62" s="26" t="inlineStr">
        <is>
          <t>العمليات الداخلية</t>
        </is>
      </c>
      <c r="O62" s="36" t="n"/>
      <c r="P62" s="36" t="n"/>
      <c r="Q62" s="36" t="n"/>
      <c r="R62" s="36" t="n"/>
      <c r="S62" s="36" t="n"/>
      <c r="T62" s="36" t="n"/>
      <c r="U62" s="36" t="n"/>
      <c r="V62" s="36" t="n"/>
      <c r="W62" s="36" t="n"/>
      <c r="X62" s="36" t="n"/>
      <c r="Y62" s="36" t="n"/>
      <c r="Z62" s="36" t="n"/>
      <c r="AA62" s="37">
        <f>IF($G62="SUM",IF(COUNT($O62:$Z62)=0,"",SUM($O62:$Z62)),IF($G62="AVG",IFERROR(AVERAGE($O62:$Z62),""),IF($G62="LAST",IFERROR(LOOKUP(2,1/($O62:$Z62&lt;&gt;""),$O62:$Z62),""),"")))</f>
        <v/>
      </c>
      <c r="AB62" s="16">
        <f>IF($J62="","",IF($AA62="","",IF($J62=0,IF($AA62&lt;=0,1,0),IF($F62="↓",IFERROR($J62/$AA62,0),IFERROR($AA62/$J62,0)))))</f>
        <v/>
      </c>
      <c r="AC62" s="15">
        <f>IF($AB62="","—",IF($AB62&gt;=1,"✅ محقق",IF($AB62&gt;=0.85,"🟡 قريب","🔴 تحت الهدف")))</f>
        <v/>
      </c>
    </row>
    <row r="63" ht="24" customHeight="1">
      <c r="A63" s="15" t="n">
        <v>60</v>
      </c>
      <c r="B63" s="21" t="inlineStr">
        <is>
          <t>التشغيل والمحطات</t>
        </is>
      </c>
      <c r="C63" s="9" t="inlineStr">
        <is>
          <t>تجربة العميل</t>
        </is>
      </c>
      <c r="D63" s="9" t="inlineStr">
        <is>
          <t>تطبيق المعيار الشامل في المحطات</t>
        </is>
      </c>
      <c r="E63" s="25" t="inlineStr">
        <is>
          <t>%</t>
        </is>
      </c>
      <c r="F63" s="25" t="inlineStr">
        <is>
          <t>↑</t>
        </is>
      </c>
      <c r="G63" s="25" t="inlineStr">
        <is>
          <t>LAST</t>
        </is>
      </c>
      <c r="H63" s="26" t="inlineStr">
        <is>
          <t>🟡 متابعة</t>
        </is>
      </c>
      <c r="I63" s="27" t="n">
        <v>0.025</v>
      </c>
      <c r="J63" s="27" t="n">
        <v>0.8</v>
      </c>
      <c r="K63" s="29" t="inlineStr">
        <is>
          <t>≥ 80%</t>
        </is>
      </c>
      <c r="L63" s="30" t="inlineStr">
        <is>
          <t>الابتكار</t>
        </is>
      </c>
      <c r="M63" s="31" t="inlineStr">
        <is>
          <t>التحول التقني</t>
        </is>
      </c>
      <c r="N63" s="26" t="inlineStr">
        <is>
          <t>العمليات الداخلية</t>
        </is>
      </c>
      <c r="O63" s="36" t="n"/>
      <c r="P63" s="36" t="n"/>
      <c r="Q63" s="36" t="n"/>
      <c r="R63" s="36" t="n"/>
      <c r="S63" s="36" t="n"/>
      <c r="T63" s="36" t="n"/>
      <c r="U63" s="36" t="n"/>
      <c r="V63" s="36" t="n"/>
      <c r="W63" s="36" t="n"/>
      <c r="X63" s="36" t="n"/>
      <c r="Y63" s="36" t="n"/>
      <c r="Z63" s="36" t="n"/>
      <c r="AA63" s="37">
        <f>IF($G63="SUM",IF(COUNT($O63:$Z63)=0,"",SUM($O63:$Z63)),IF($G63="AVG",IFERROR(AVERAGE($O63:$Z63),""),IF($G63="LAST",IFERROR(LOOKUP(2,1/($O63:$Z63&lt;&gt;""),$O63:$Z63),""),"")))</f>
        <v/>
      </c>
      <c r="AB63" s="16">
        <f>IF($J63="","",IF($AA63="","",IF($J63=0,IF($AA63&lt;=0,1,0),IF($F63="↓",IFERROR($J63/$AA63,0),IFERROR($AA63/$J63,0)))))</f>
        <v/>
      </c>
      <c r="AC63" s="15">
        <f>IF($AB63="","—",IF($AB63&gt;=1,"✅ محقق",IF($AB63&gt;=0.85,"🟡 قريب","🔴 تحت الهدف")))</f>
        <v/>
      </c>
    </row>
    <row r="64" ht="24" customHeight="1">
      <c r="A64" s="15" t="n">
        <v>61</v>
      </c>
      <c r="B64" s="21" t="inlineStr">
        <is>
          <t>التشغيل والمحطات</t>
        </is>
      </c>
      <c r="C64" s="9" t="inlineStr">
        <is>
          <t>السلامة</t>
        </is>
      </c>
      <c r="D64" s="9" t="inlineStr">
        <is>
          <t>الالتزام بمعايير السلامة داخل المحطة</t>
        </is>
      </c>
      <c r="E64" s="25" t="inlineStr">
        <is>
          <t>%</t>
        </is>
      </c>
      <c r="F64" s="25" t="inlineStr">
        <is>
          <t>↑</t>
        </is>
      </c>
      <c r="G64" s="25" t="inlineStr">
        <is>
          <t>AVG</t>
        </is>
      </c>
      <c r="H64" s="26" t="inlineStr">
        <is>
          <t>🔴 رئيسي</t>
        </is>
      </c>
      <c r="I64" s="27" t="n">
        <v>0.075</v>
      </c>
      <c r="J64" s="27" t="n">
        <v>1</v>
      </c>
      <c r="K64" s="29" t="inlineStr">
        <is>
          <t>100%</t>
        </is>
      </c>
      <c r="L64" s="30" t="inlineStr">
        <is>
          <t>الاستدامة</t>
        </is>
      </c>
      <c r="M64" s="31" t="inlineStr">
        <is>
          <t>جودة التشغيل</t>
        </is>
      </c>
      <c r="N64" s="26" t="inlineStr">
        <is>
          <t>العمليات الداخلية</t>
        </is>
      </c>
      <c r="O64" s="36" t="n"/>
      <c r="P64" s="36" t="n"/>
      <c r="Q64" s="36" t="n"/>
      <c r="R64" s="36" t="n"/>
      <c r="S64" s="36" t="n"/>
      <c r="T64" s="36" t="n"/>
      <c r="U64" s="36" t="n"/>
      <c r="V64" s="36" t="n"/>
      <c r="W64" s="36" t="n"/>
      <c r="X64" s="36" t="n"/>
      <c r="Y64" s="36" t="n"/>
      <c r="Z64" s="36" t="n"/>
      <c r="AA64" s="37">
        <f>IF($G64="SUM",IF(COUNT($O64:$Z64)=0,"",SUM($O64:$Z64)),IF($G64="AVG",IFERROR(AVERAGE($O64:$Z64),""),IF($G64="LAST",IFERROR(LOOKUP(2,1/($O64:$Z64&lt;&gt;""),$O64:$Z64),""),"")))</f>
        <v/>
      </c>
      <c r="AB64" s="16">
        <f>IF($J64="","",IF($AA64="","",IF($J64=0,IF($AA64&lt;=0,1,0),IF($F64="↓",IFERROR($J64/$AA64,0),IFERROR($AA64/$J64,0)))))</f>
        <v/>
      </c>
      <c r="AC64" s="15">
        <f>IF($AB64="","—",IF($AB64&gt;=1,"✅ محقق",IF($AB64&gt;=0.85,"🟡 قريب","🔴 تحت الهدف")))</f>
        <v/>
      </c>
    </row>
    <row r="65" ht="24" customHeight="1">
      <c r="A65" s="15" t="n">
        <v>62</v>
      </c>
      <c r="B65" s="21" t="inlineStr">
        <is>
          <t>التشغيل والمحطات</t>
        </is>
      </c>
      <c r="C65" s="9" t="inlineStr">
        <is>
          <t>البيئة</t>
        </is>
      </c>
      <c r="D65" s="9" t="inlineStr">
        <is>
          <t>التشجير داخل المحطة (معيار الوزارة)</t>
        </is>
      </c>
      <c r="E65" s="25" t="inlineStr">
        <is>
          <t>%</t>
        </is>
      </c>
      <c r="F65" s="25" t="inlineStr">
        <is>
          <t>↑</t>
        </is>
      </c>
      <c r="G65" s="25" t="inlineStr">
        <is>
          <t>LAST</t>
        </is>
      </c>
      <c r="H65" s="26" t="inlineStr">
        <is>
          <t>🔴 رئيسي</t>
        </is>
      </c>
      <c r="I65" s="27" t="n">
        <v>0.075</v>
      </c>
      <c r="J65" s="27" t="n">
        <v>1</v>
      </c>
      <c r="K65" s="29" t="inlineStr">
        <is>
          <t>100%</t>
        </is>
      </c>
      <c r="L65" s="30" t="inlineStr">
        <is>
          <t>الاستدامة</t>
        </is>
      </c>
      <c r="M65" s="31" t="inlineStr">
        <is>
          <t>جودة التشغيل</t>
        </is>
      </c>
      <c r="N65" s="26" t="inlineStr">
        <is>
          <t>العمليات الداخلية</t>
        </is>
      </c>
      <c r="O65" s="36" t="n"/>
      <c r="P65" s="36" t="n"/>
      <c r="Q65" s="36" t="n"/>
      <c r="R65" s="36" t="n"/>
      <c r="S65" s="36" t="n"/>
      <c r="T65" s="36" t="n"/>
      <c r="U65" s="36" t="n"/>
      <c r="V65" s="36" t="n"/>
      <c r="W65" s="36" t="n"/>
      <c r="X65" s="36" t="n"/>
      <c r="Y65" s="36" t="n"/>
      <c r="Z65" s="36" t="n"/>
      <c r="AA65" s="37">
        <f>IF($G65="SUM",IF(COUNT($O65:$Z65)=0,"",SUM($O65:$Z65)),IF($G65="AVG",IFERROR(AVERAGE($O65:$Z65),""),IF($G65="LAST",IFERROR(LOOKUP(2,1/($O65:$Z65&lt;&gt;""),$O65:$Z65),""),"")))</f>
        <v/>
      </c>
      <c r="AB65" s="16">
        <f>IF($J65="","",IF($AA65="","",IF($J65=0,IF($AA65&lt;=0,1,0),IF($F65="↓",IFERROR($J65/$AA65,0),IFERROR($AA65/$J65,0)))))</f>
        <v/>
      </c>
      <c r="AC65" s="15">
        <f>IF($AB65="","—",IF($AB65&gt;=1,"✅ محقق",IF($AB65&gt;=0.85,"🟡 قريب","🔴 تحت الهدف")))</f>
        <v/>
      </c>
    </row>
    <row r="66" ht="24" customHeight="1">
      <c r="A66" s="15" t="n">
        <v>63</v>
      </c>
      <c r="B66" s="21" t="inlineStr">
        <is>
          <t>الاستثمار</t>
        </is>
      </c>
      <c r="C66" s="9" t="inlineStr">
        <is>
          <t>نمو المحفظة</t>
        </is>
      </c>
      <c r="D66" s="9" t="inlineStr">
        <is>
          <t>إجمالي عقود الاستثمار الجديدة (جميع النماذج)</t>
        </is>
      </c>
      <c r="E66" s="25" t="inlineStr">
        <is>
          <t>عقد</t>
        </is>
      </c>
      <c r="F66" s="25" t="inlineStr">
        <is>
          <t>↑</t>
        </is>
      </c>
      <c r="G66" s="25" t="inlineStr">
        <is>
          <t>SUM</t>
        </is>
      </c>
      <c r="H66" s="26" t="inlineStr">
        <is>
          <t>🔴 رئيسي</t>
        </is>
      </c>
      <c r="I66" s="27" t="n">
        <v>0.04839</v>
      </c>
      <c r="J66" s="28" t="n">
        <v>190</v>
      </c>
      <c r="K66" s="29" t="inlineStr">
        <is>
          <t>190 عقد</t>
        </is>
      </c>
      <c r="L66" s="30" t="inlineStr">
        <is>
          <t>النمو</t>
        </is>
      </c>
      <c r="M66" s="31" t="inlineStr">
        <is>
          <t>التوسع في المواقع</t>
        </is>
      </c>
      <c r="N66" s="26" t="inlineStr">
        <is>
          <t>العمليات الداخلية</t>
        </is>
      </c>
      <c r="O66" s="32" t="n"/>
      <c r="P66" s="32" t="n"/>
      <c r="Q66" s="32" t="n"/>
      <c r="R66" s="32" t="n"/>
      <c r="S66" s="32" t="n"/>
      <c r="T66" s="32" t="n"/>
      <c r="U66" s="32" t="n"/>
      <c r="V66" s="32" t="n"/>
      <c r="W66" s="32" t="n"/>
      <c r="X66" s="32" t="n"/>
      <c r="Y66" s="32" t="n"/>
      <c r="Z66" s="32" t="n"/>
      <c r="AA66" s="33">
        <f>IF($G66="SUM",IF(COUNT($O66:$Z66)=0,"",SUM($O66:$Z66)),IF($G66="AVG",IFERROR(AVERAGE($O66:$Z66),""),IF($G66="LAST",IFERROR(LOOKUP(2,1/($O66:$Z66&lt;&gt;""),$O66:$Z66),""),"")))</f>
        <v/>
      </c>
      <c r="AB66" s="16">
        <f>IF($J66="","",IF($AA66="","",IF($J66=0,IF($AA66&lt;=0,1,0),IF($F66="↓",IFERROR($J66/$AA66,0),IFERROR($AA66/$J66,0)))))</f>
        <v/>
      </c>
      <c r="AC66" s="15">
        <f>IF($AB66="","—",IF($AB66&gt;=1,"✅ محقق",IF($AB66&gt;=0.85,"🟡 قريب","🔴 تحت الهدف")))</f>
        <v/>
      </c>
    </row>
    <row r="67" ht="24" customHeight="1">
      <c r="A67" s="15" t="n">
        <v>64</v>
      </c>
      <c r="B67" s="21" t="inlineStr">
        <is>
          <t>الاستثمار</t>
        </is>
      </c>
      <c r="C67" s="9" t="inlineStr">
        <is>
          <t>نمو المحفظة</t>
        </is>
      </c>
      <c r="D67" s="9" t="inlineStr">
        <is>
          <t>عقود الاستثمار العادي الجديدة</t>
        </is>
      </c>
      <c r="E67" s="25" t="inlineStr">
        <is>
          <t>عقد</t>
        </is>
      </c>
      <c r="F67" s="25" t="inlineStr">
        <is>
          <t>↑</t>
        </is>
      </c>
      <c r="G67" s="25" t="inlineStr">
        <is>
          <t>SUM</t>
        </is>
      </c>
      <c r="H67" s="26" t="inlineStr">
        <is>
          <t>🔴 رئيسي</t>
        </is>
      </c>
      <c r="I67" s="27" t="n">
        <v>0.04839</v>
      </c>
      <c r="J67" s="28" t="n">
        <v>90</v>
      </c>
      <c r="K67" s="29" t="inlineStr">
        <is>
          <t>90 عقد</t>
        </is>
      </c>
      <c r="L67" s="30" t="inlineStr">
        <is>
          <t>النمو</t>
        </is>
      </c>
      <c r="M67" s="31" t="inlineStr">
        <is>
          <t>التوسع في المواقع</t>
        </is>
      </c>
      <c r="N67" s="26" t="inlineStr">
        <is>
          <t>العمليات الداخلية</t>
        </is>
      </c>
      <c r="O67" s="32" t="n"/>
      <c r="P67" s="32" t="n"/>
      <c r="Q67" s="32" t="n"/>
      <c r="R67" s="32" t="n"/>
      <c r="S67" s="32" t="n"/>
      <c r="T67" s="32" t="n"/>
      <c r="U67" s="32" t="n"/>
      <c r="V67" s="32" t="n"/>
      <c r="W67" s="32" t="n"/>
      <c r="X67" s="32" t="n"/>
      <c r="Y67" s="32" t="n"/>
      <c r="Z67" s="32" t="n"/>
      <c r="AA67" s="33">
        <f>IF($G67="SUM",IF(COUNT($O67:$Z67)=0,"",SUM($O67:$Z67)),IF($G67="AVG",IFERROR(AVERAGE($O67:$Z67),""),IF($G67="LAST",IFERROR(LOOKUP(2,1/($O67:$Z67&lt;&gt;""),$O67:$Z67),""),"")))</f>
        <v/>
      </c>
      <c r="AB67" s="16">
        <f>IF($J67="","",IF($AA67="","",IF($J67=0,IF($AA67&lt;=0,1,0),IF($F67="↓",IFERROR($J67/$AA67,0),IFERROR($AA67/$J67,0)))))</f>
        <v/>
      </c>
      <c r="AC67" s="15">
        <f>IF($AB67="","—",IF($AB67&gt;=1,"✅ محقق",IF($AB67&gt;=0.85,"🟡 قريب","🔴 تحت الهدف")))</f>
        <v/>
      </c>
    </row>
    <row r="68" ht="24" customHeight="1">
      <c r="A68" s="15" t="n">
        <v>65</v>
      </c>
      <c r="B68" s="21" t="inlineStr">
        <is>
          <t>الاستثمار</t>
        </is>
      </c>
      <c r="C68" s="9" t="inlineStr">
        <is>
          <t>نمو المحفظة</t>
        </is>
      </c>
      <c r="D68" s="9" t="inlineStr">
        <is>
          <t>عقود الاستحواذ الجديدة</t>
        </is>
      </c>
      <c r="E68" s="25" t="inlineStr">
        <is>
          <t>عقد</t>
        </is>
      </c>
      <c r="F68" s="25" t="inlineStr">
        <is>
          <t>↑</t>
        </is>
      </c>
      <c r="G68" s="25" t="inlineStr">
        <is>
          <t>SUM</t>
        </is>
      </c>
      <c r="H68" s="26" t="inlineStr">
        <is>
          <t>🔴 رئيسي</t>
        </is>
      </c>
      <c r="I68" s="27" t="n">
        <v>0.04839</v>
      </c>
      <c r="J68" s="28" t="n">
        <v>100</v>
      </c>
      <c r="K68" s="29" t="inlineStr">
        <is>
          <t>100 عقد</t>
        </is>
      </c>
      <c r="L68" s="30" t="inlineStr">
        <is>
          <t>النمو</t>
        </is>
      </c>
      <c r="M68" s="31" t="inlineStr">
        <is>
          <t>التوسع في المواقع</t>
        </is>
      </c>
      <c r="N68" s="26" t="inlineStr">
        <is>
          <t>العمليات الداخلية</t>
        </is>
      </c>
      <c r="O68" s="32" t="n"/>
      <c r="P68" s="32" t="n"/>
      <c r="Q68" s="32" t="n"/>
      <c r="R68" s="32" t="n"/>
      <c r="S68" s="32" t="n"/>
      <c r="T68" s="32" t="n"/>
      <c r="U68" s="32" t="n"/>
      <c r="V68" s="32" t="n"/>
      <c r="W68" s="32" t="n"/>
      <c r="X68" s="32" t="n"/>
      <c r="Y68" s="32" t="n"/>
      <c r="Z68" s="32" t="n"/>
      <c r="AA68" s="33">
        <f>IF($G68="SUM",IF(COUNT($O68:$Z68)=0,"",SUM($O68:$Z68)),IF($G68="AVG",IFERROR(AVERAGE($O68:$Z68),""),IF($G68="LAST",IFERROR(LOOKUP(2,1/($O68:$Z68&lt;&gt;""),$O68:$Z68),""),"")))</f>
        <v/>
      </c>
      <c r="AB68" s="16">
        <f>IF($J68="","",IF($AA68="","",IF($J68=0,IF($AA68&lt;=0,1,0),IF($F68="↓",IFERROR($J68/$AA68,0),IFERROR($AA68/$J68,0)))))</f>
        <v/>
      </c>
      <c r="AC68" s="15">
        <f>IF($AB68="","—",IF($AB68&gt;=1,"✅ محقق",IF($AB68&gt;=0.85,"🟡 قريب","🔴 تحت الهدف")))</f>
        <v/>
      </c>
    </row>
    <row r="69" ht="24" customHeight="1">
      <c r="A69" s="15" t="n">
        <v>66</v>
      </c>
      <c r="B69" s="21" t="inlineStr">
        <is>
          <t>الاستثمار</t>
        </is>
      </c>
      <c r="C69" s="9" t="inlineStr">
        <is>
          <t>نمو المحفظة</t>
        </is>
      </c>
      <c r="D69" s="9" t="inlineStr">
        <is>
          <t>المحطات المستحوَذ عليها المشغّلة (تراكمي)</t>
        </is>
      </c>
      <c r="E69" s="25" t="inlineStr">
        <is>
          <t>محطة</t>
        </is>
      </c>
      <c r="F69" s="25" t="inlineStr">
        <is>
          <t>↑</t>
        </is>
      </c>
      <c r="G69" s="25" t="inlineStr">
        <is>
          <t>LAST</t>
        </is>
      </c>
      <c r="H69" s="26" t="inlineStr">
        <is>
          <t>🔴 رئيسي</t>
        </is>
      </c>
      <c r="I69" s="27" t="n">
        <v>0.04839</v>
      </c>
      <c r="J69" s="28" t="n">
        <v>120</v>
      </c>
      <c r="K69" s="29" t="inlineStr">
        <is>
          <t>120 محطة</t>
        </is>
      </c>
      <c r="L69" s="30" t="inlineStr">
        <is>
          <t>النمو</t>
        </is>
      </c>
      <c r="M69" s="31" t="inlineStr">
        <is>
          <t>التوسع في المواقع</t>
        </is>
      </c>
      <c r="N69" s="26" t="inlineStr">
        <is>
          <t>العمليات الداخلية</t>
        </is>
      </c>
      <c r="O69" s="32" t="n"/>
      <c r="P69" s="32" t="n"/>
      <c r="Q69" s="32" t="n"/>
      <c r="R69" s="32" t="n"/>
      <c r="S69" s="32" t="n"/>
      <c r="T69" s="32" t="n"/>
      <c r="U69" s="32" t="n"/>
      <c r="V69" s="32" t="n"/>
      <c r="W69" s="32" t="n"/>
      <c r="X69" s="32" t="n"/>
      <c r="Y69" s="32" t="n"/>
      <c r="Z69" s="32" t="n"/>
      <c r="AA69" s="33">
        <f>IF($G69="SUM",IF(COUNT($O69:$Z69)=0,"",SUM($O69:$Z69)),IF($G69="AVG",IFERROR(AVERAGE($O69:$Z69),""),IF($G69="LAST",IFERROR(LOOKUP(2,1/($O69:$Z69&lt;&gt;""),$O69:$Z69),""),"")))</f>
        <v/>
      </c>
      <c r="AB69" s="16">
        <f>IF($J69="","",IF($AA69="","",IF($J69=0,IF($AA69&lt;=0,1,0),IF($F69="↓",IFERROR($J69/$AA69,0),IFERROR($AA69/$J69,0)))))</f>
        <v/>
      </c>
      <c r="AC69" s="15">
        <f>IF($AB69="","—",IF($AB69&gt;=1,"✅ محقق",IF($AB69&gt;=0.85,"🟡 قريب","🔴 تحت الهدف")))</f>
        <v/>
      </c>
    </row>
    <row r="70" ht="24" customHeight="1">
      <c r="A70" s="15" t="n">
        <v>67</v>
      </c>
      <c r="B70" s="21" t="inlineStr">
        <is>
          <t>الاستثمار</t>
        </is>
      </c>
      <c r="C70" s="9" t="inlineStr">
        <is>
          <t>نمو المحفظة</t>
        </is>
      </c>
      <c r="D70" s="9" t="inlineStr">
        <is>
          <t>عقود تأجير الأرض الجديدة</t>
        </is>
      </c>
      <c r="E70" s="25" t="inlineStr">
        <is>
          <t>عقد</t>
        </is>
      </c>
      <c r="F70" s="25" t="inlineStr">
        <is>
          <t>↑</t>
        </is>
      </c>
      <c r="G70" s="25" t="inlineStr">
        <is>
          <t>SUM</t>
        </is>
      </c>
      <c r="H70" s="26" t="inlineStr">
        <is>
          <t>🔴 رئيسي</t>
        </is>
      </c>
      <c r="I70" s="27" t="n">
        <v>0.04839</v>
      </c>
      <c r="J70" s="28" t="n">
        <v>11</v>
      </c>
      <c r="K70" s="29" t="inlineStr">
        <is>
          <t>11 عقد</t>
        </is>
      </c>
      <c r="L70" s="30" t="inlineStr">
        <is>
          <t>النمو</t>
        </is>
      </c>
      <c r="M70" s="31" t="inlineStr">
        <is>
          <t>التوسع في المواقع</t>
        </is>
      </c>
      <c r="N70" s="26" t="inlineStr">
        <is>
          <t>العمليات الداخلية</t>
        </is>
      </c>
      <c r="O70" s="32" t="n"/>
      <c r="P70" s="32" t="n"/>
      <c r="Q70" s="32" t="n"/>
      <c r="R70" s="32" t="n"/>
      <c r="S70" s="32" t="n"/>
      <c r="T70" s="32" t="n"/>
      <c r="U70" s="32" t="n"/>
      <c r="V70" s="32" t="n"/>
      <c r="W70" s="32" t="n"/>
      <c r="X70" s="32" t="n"/>
      <c r="Y70" s="32" t="n"/>
      <c r="Z70" s="32" t="n"/>
      <c r="AA70" s="33">
        <f>IF($G70="SUM",IF(COUNT($O70:$Z70)=0,"",SUM($O70:$Z70)),IF($G70="AVG",IFERROR(AVERAGE($O70:$Z70),""),IF($G70="LAST",IFERROR(LOOKUP(2,1/($O70:$Z70&lt;&gt;""),$O70:$Z70),""),"")))</f>
        <v/>
      </c>
      <c r="AB70" s="16">
        <f>IF($J70="","",IF($AA70="","",IF($J70=0,IF($AA70&lt;=0,1,0),IF($F70="↓",IFERROR($J70/$AA70,0),IFERROR($AA70/$J70,0)))))</f>
        <v/>
      </c>
      <c r="AC70" s="15">
        <f>IF($AB70="","—",IF($AB70&gt;=1,"✅ محقق",IF($AB70&gt;=0.85,"🟡 قريب","🔴 تحت الهدف")))</f>
        <v/>
      </c>
    </row>
    <row r="71" ht="24" customHeight="1">
      <c r="A71" s="15" t="n">
        <v>68</v>
      </c>
      <c r="B71" s="21" t="inlineStr">
        <is>
          <t>الاستثمار</t>
        </is>
      </c>
      <c r="C71" s="9" t="inlineStr">
        <is>
          <t>نمو المحفظة</t>
        </is>
      </c>
      <c r="D71" s="9" t="inlineStr">
        <is>
          <t>عقود إيجار المحطة الجديدة</t>
        </is>
      </c>
      <c r="E71" s="25" t="inlineStr">
        <is>
          <t>عقد</t>
        </is>
      </c>
      <c r="F71" s="25" t="inlineStr">
        <is>
          <t>↑</t>
        </is>
      </c>
      <c r="G71" s="25" t="inlineStr">
        <is>
          <t>SUM</t>
        </is>
      </c>
      <c r="H71" s="26" t="inlineStr">
        <is>
          <t>🔴 رئيسي</t>
        </is>
      </c>
      <c r="I71" s="27" t="n">
        <v>0.04839</v>
      </c>
      <c r="J71" s="28" t="n">
        <v>12</v>
      </c>
      <c r="K71" s="29" t="inlineStr">
        <is>
          <t>12 عقد</t>
        </is>
      </c>
      <c r="L71" s="30" t="inlineStr">
        <is>
          <t>النمو</t>
        </is>
      </c>
      <c r="M71" s="31" t="inlineStr">
        <is>
          <t>التوسع في المواقع</t>
        </is>
      </c>
      <c r="N71" s="26" t="inlineStr">
        <is>
          <t>العمليات الداخلية</t>
        </is>
      </c>
      <c r="O71" s="32" t="n"/>
      <c r="P71" s="32" t="n"/>
      <c r="Q71" s="32" t="n"/>
      <c r="R71" s="32" t="n"/>
      <c r="S71" s="32" t="n"/>
      <c r="T71" s="32" t="n"/>
      <c r="U71" s="32" t="n"/>
      <c r="V71" s="32" t="n"/>
      <c r="W71" s="32" t="n"/>
      <c r="X71" s="32" t="n"/>
      <c r="Y71" s="32" t="n"/>
      <c r="Z71" s="32" t="n"/>
      <c r="AA71" s="33">
        <f>IF($G71="SUM",IF(COUNT($O71:$Z71)=0,"",SUM($O71:$Z71)),IF($G71="AVG",IFERROR(AVERAGE($O71:$Z71),""),IF($G71="LAST",IFERROR(LOOKUP(2,1/($O71:$Z71&lt;&gt;""),$O71:$Z71),""),"")))</f>
        <v/>
      </c>
      <c r="AB71" s="16">
        <f>IF($J71="","",IF($AA71="","",IF($J71=0,IF($AA71&lt;=0,1,0),IF($F71="↓",IFERROR($J71/$AA71,0),IFERROR($AA71/$J71,0)))))</f>
        <v/>
      </c>
      <c r="AC71" s="15">
        <f>IF($AB71="","—",IF($AB71&gt;=1,"✅ محقق",IF($AB71&gt;=0.85,"🟡 قريب","🔴 تحت الهدف")))</f>
        <v/>
      </c>
    </row>
    <row r="72" ht="24" customHeight="1">
      <c r="A72" s="15" t="n">
        <v>69</v>
      </c>
      <c r="B72" s="21" t="inlineStr">
        <is>
          <t>الاستثمار</t>
        </is>
      </c>
      <c r="C72" s="9" t="inlineStr">
        <is>
          <t>نمو المحفظة</t>
        </is>
      </c>
      <c r="D72" s="9" t="inlineStr">
        <is>
          <t>عقود تشغيل المحطة الجديدة</t>
        </is>
      </c>
      <c r="E72" s="25" t="inlineStr">
        <is>
          <t>عقد</t>
        </is>
      </c>
      <c r="F72" s="25" t="inlineStr">
        <is>
          <t>↑</t>
        </is>
      </c>
      <c r="G72" s="25" t="inlineStr">
        <is>
          <t>SUM</t>
        </is>
      </c>
      <c r="H72" s="26" t="inlineStr">
        <is>
          <t>🔴 رئيسي</t>
        </is>
      </c>
      <c r="I72" s="27" t="n">
        <v>0.04839</v>
      </c>
      <c r="J72" s="28" t="n">
        <v>68</v>
      </c>
      <c r="K72" s="29" t="inlineStr">
        <is>
          <t>68 عقد</t>
        </is>
      </c>
      <c r="L72" s="30" t="inlineStr">
        <is>
          <t>النمو</t>
        </is>
      </c>
      <c r="M72" s="31" t="inlineStr">
        <is>
          <t>التوسع في المواقع</t>
        </is>
      </c>
      <c r="N72" s="26" t="inlineStr">
        <is>
          <t>العمليات الداخلية</t>
        </is>
      </c>
      <c r="O72" s="32" t="n"/>
      <c r="P72" s="32" t="n"/>
      <c r="Q72" s="32" t="n"/>
      <c r="R72" s="32" t="n"/>
      <c r="S72" s="32" t="n"/>
      <c r="T72" s="32" t="n"/>
      <c r="U72" s="32" t="n"/>
      <c r="V72" s="32" t="n"/>
      <c r="W72" s="32" t="n"/>
      <c r="X72" s="32" t="n"/>
      <c r="Y72" s="32" t="n"/>
      <c r="Z72" s="32" t="n"/>
      <c r="AA72" s="33">
        <f>IF($G72="SUM",IF(COUNT($O72:$Z72)=0,"",SUM($O72:$Z72)),IF($G72="AVG",IFERROR(AVERAGE($O72:$Z72),""),IF($G72="LAST",IFERROR(LOOKUP(2,1/($O72:$Z72&lt;&gt;""),$O72:$Z72),""),"")))</f>
        <v/>
      </c>
      <c r="AB72" s="16">
        <f>IF($J72="","",IF($AA72="","",IF($J72=0,IF($AA72&lt;=0,1,0),IF($F72="↓",IFERROR($J72/$AA72,0),IFERROR($AA72/$J72,0)))))</f>
        <v/>
      </c>
      <c r="AC72" s="15">
        <f>IF($AB72="","—",IF($AB72&gt;=1,"✅ محقق",IF($AB72&gt;=0.85,"🟡 قريب","🔴 تحت الهدف")))</f>
        <v/>
      </c>
    </row>
    <row r="73" ht="24" customHeight="1">
      <c r="A73" s="15" t="n">
        <v>70</v>
      </c>
      <c r="B73" s="21" t="inlineStr">
        <is>
          <t>الاستثمار</t>
        </is>
      </c>
      <c r="C73" s="9" t="inlineStr">
        <is>
          <t>الربحية وجودة الموقع</t>
        </is>
      </c>
      <c r="D73" s="9" t="inlineStr">
        <is>
          <t>نسبة المواقع المعتمدة ذات العائد المجدي</t>
        </is>
      </c>
      <c r="E73" s="25" t="inlineStr">
        <is>
          <t>%</t>
        </is>
      </c>
      <c r="F73" s="25" t="inlineStr">
        <is>
          <t>↑</t>
        </is>
      </c>
      <c r="G73" s="25" t="inlineStr">
        <is>
          <t>AVG</t>
        </is>
      </c>
      <c r="H73" s="26" t="inlineStr">
        <is>
          <t>🔴 رئيسي</t>
        </is>
      </c>
      <c r="I73" s="27" t="n">
        <v>0.04839</v>
      </c>
      <c r="J73" s="27" t="n">
        <v>0.8</v>
      </c>
      <c r="K73" s="29" t="inlineStr">
        <is>
          <t>80%+</t>
        </is>
      </c>
      <c r="L73" s="30" t="inlineStr">
        <is>
          <t>الاستدامة</t>
        </is>
      </c>
      <c r="M73" s="31" t="inlineStr">
        <is>
          <t>جودة التشغيل</t>
        </is>
      </c>
      <c r="N73" s="26" t="inlineStr">
        <is>
          <t>مالي</t>
        </is>
      </c>
      <c r="O73" s="36" t="n"/>
      <c r="P73" s="36" t="n"/>
      <c r="Q73" s="36" t="n"/>
      <c r="R73" s="36" t="n"/>
      <c r="S73" s="36" t="n"/>
      <c r="T73" s="36" t="n"/>
      <c r="U73" s="36" t="n"/>
      <c r="V73" s="36" t="n"/>
      <c r="W73" s="36" t="n"/>
      <c r="X73" s="36" t="n"/>
      <c r="Y73" s="36" t="n"/>
      <c r="Z73" s="36" t="n"/>
      <c r="AA73" s="37">
        <f>IF($G73="SUM",IF(COUNT($O73:$Z73)=0,"",SUM($O73:$Z73)),IF($G73="AVG",IFERROR(AVERAGE($O73:$Z73),""),IF($G73="LAST",IFERROR(LOOKUP(2,1/($O73:$Z73&lt;&gt;""),$O73:$Z73),""),"")))</f>
        <v/>
      </c>
      <c r="AB73" s="16">
        <f>IF($J73="","",IF($AA73="","",IF($J73=0,IF($AA73&lt;=0,1,0),IF($F73="↓",IFERROR($J73/$AA73,0),IFERROR($AA73/$J73,0)))))</f>
        <v/>
      </c>
      <c r="AC73" s="15">
        <f>IF($AB73="","—",IF($AB73&gt;=1,"✅ محقق",IF($AB73&gt;=0.85,"🟡 قريب","🔴 تحت الهدف")))</f>
        <v/>
      </c>
    </row>
    <row r="74" ht="24" customHeight="1">
      <c r="A74" s="15" t="n">
        <v>71</v>
      </c>
      <c r="B74" s="21" t="inlineStr">
        <is>
          <t>الاستثمار</t>
        </is>
      </c>
      <c r="C74" s="9" t="inlineStr">
        <is>
          <t>الربحية وجودة الموقع</t>
        </is>
      </c>
      <c r="D74" s="9" t="inlineStr">
        <is>
          <t>متوسط فترة استرداد رأس المال</t>
        </is>
      </c>
      <c r="E74" s="25" t="inlineStr">
        <is>
          <t>سنة</t>
        </is>
      </c>
      <c r="F74" s="25" t="inlineStr">
        <is>
          <t>↓</t>
        </is>
      </c>
      <c r="G74" s="25" t="inlineStr">
        <is>
          <t>AVG</t>
        </is>
      </c>
      <c r="H74" s="26" t="inlineStr">
        <is>
          <t>🟠 مهم</t>
        </is>
      </c>
      <c r="I74" s="27" t="n">
        <v>0.03226</v>
      </c>
      <c r="J74" s="38" t="n">
        <v>5</v>
      </c>
      <c r="K74" s="29" t="inlineStr">
        <is>
          <t>≤ 5 سنوات</t>
        </is>
      </c>
      <c r="L74" s="30" t="inlineStr">
        <is>
          <t>الاستدامة</t>
        </is>
      </c>
      <c r="M74" s="31" t="inlineStr">
        <is>
          <t>جودة التشغيل</t>
        </is>
      </c>
      <c r="N74" s="26" t="inlineStr">
        <is>
          <t>مالي</t>
        </is>
      </c>
      <c r="O74" s="39" t="n"/>
      <c r="P74" s="39" t="n"/>
      <c r="Q74" s="39" t="n"/>
      <c r="R74" s="39" t="n"/>
      <c r="S74" s="39" t="n"/>
      <c r="T74" s="39" t="n"/>
      <c r="U74" s="39" t="n"/>
      <c r="V74" s="39" t="n"/>
      <c r="W74" s="39" t="n"/>
      <c r="X74" s="39" t="n"/>
      <c r="Y74" s="39" t="n"/>
      <c r="Z74" s="39" t="n"/>
      <c r="AA74" s="40">
        <f>IF($G74="SUM",IF(COUNT($O74:$Z74)=0,"",SUM($O74:$Z74)),IF($G74="AVG",IFERROR(AVERAGE($O74:$Z74),""),IF($G74="LAST",IFERROR(LOOKUP(2,1/($O74:$Z74&lt;&gt;""),$O74:$Z74),""),"")))</f>
        <v/>
      </c>
      <c r="AB74" s="16">
        <f>IF($J74="","",IF($AA74="","",IF($J74=0,IF($AA74&lt;=0,1,0),IF($F74="↓",IFERROR($J74/$AA74,0),IFERROR($AA74/$J74,0)))))</f>
        <v/>
      </c>
      <c r="AC74" s="15">
        <f>IF($AB74="","—",IF($AB74&gt;=1,"✅ محقق",IF($AB74&gt;=0.85,"🟡 قريب","🔴 تحت الهدف")))</f>
        <v/>
      </c>
    </row>
    <row r="75" ht="24" customHeight="1">
      <c r="A75" s="15" t="n">
        <v>72</v>
      </c>
      <c r="B75" s="21" t="inlineStr">
        <is>
          <t>الاستثمار</t>
        </is>
      </c>
      <c r="C75" s="9" t="inlineStr">
        <is>
          <t>الربحية وجودة الموقع</t>
        </is>
      </c>
      <c r="D75" s="9" t="inlineStr">
        <is>
          <t>متوسط قيمة عقد الإيجار السنوي (أرض)</t>
        </is>
      </c>
      <c r="E75" s="25" t="inlineStr">
        <is>
          <t>ر.س</t>
        </is>
      </c>
      <c r="F75" s="25" t="inlineStr">
        <is>
          <t>↑</t>
        </is>
      </c>
      <c r="G75" s="25" t="inlineStr">
        <is>
          <t>AVG</t>
        </is>
      </c>
      <c r="H75" s="26" t="inlineStr">
        <is>
          <t>🔴 رئيسي</t>
        </is>
      </c>
      <c r="I75" s="27" t="n">
        <v>0.04839</v>
      </c>
      <c r="J75" s="25" t="inlineStr"/>
      <c r="K75" s="29" t="inlineStr">
        <is>
          <t>يُحدد لاحقاً</t>
        </is>
      </c>
      <c r="L75" s="30" t="inlineStr">
        <is>
          <t>النمو</t>
        </is>
      </c>
      <c r="M75" s="31" t="inlineStr">
        <is>
          <t>التوسع في المواقع</t>
        </is>
      </c>
      <c r="N75" s="26" t="inlineStr">
        <is>
          <t>مالي</t>
        </is>
      </c>
      <c r="O75" s="34" t="n"/>
      <c r="P75" s="34" t="n"/>
      <c r="Q75" s="34" t="n"/>
      <c r="R75" s="34" t="n"/>
      <c r="S75" s="34" t="n"/>
      <c r="T75" s="34" t="n"/>
      <c r="U75" s="34" t="n"/>
      <c r="V75" s="34" t="n"/>
      <c r="W75" s="34" t="n"/>
      <c r="X75" s="34" t="n"/>
      <c r="Y75" s="34" t="n"/>
      <c r="Z75" s="34" t="n"/>
      <c r="AA75" s="35">
        <f>IF($G75="SUM",IF(COUNT($O75:$Z75)=0,"",SUM($O75:$Z75)),IF($G75="AVG",IFERROR(AVERAGE($O75:$Z75),""),IF($G75="LAST",IFERROR(LOOKUP(2,1/($O75:$Z75&lt;&gt;""),$O75:$Z75),""),"")))</f>
        <v/>
      </c>
      <c r="AB75" s="16">
        <f>IF($J75="","",IF($AA75="","",IF($J75=0,IF($AA75&lt;=0,1,0),IF($F75="↓",IFERROR($J75/$AA75,0),IFERROR($AA75/$J75,0)))))</f>
        <v/>
      </c>
      <c r="AC75" s="15">
        <f>IF($AB75="","—",IF($AB75&gt;=1,"✅ محقق",IF($AB75&gt;=0.85,"🟡 قريب","🔴 تحت الهدف")))</f>
        <v/>
      </c>
    </row>
    <row r="76" ht="24" customHeight="1">
      <c r="A76" s="15" t="n">
        <v>73</v>
      </c>
      <c r="B76" s="21" t="inlineStr">
        <is>
          <t>الاستثمار</t>
        </is>
      </c>
      <c r="C76" s="9" t="inlineStr">
        <is>
          <t>التوسع الإقليمي</t>
        </is>
      </c>
      <c r="D76" s="9" t="inlineStr">
        <is>
          <t>نسبة العقود التي تغطي المناطق الـ13</t>
        </is>
      </c>
      <c r="E76" s="25" t="inlineStr">
        <is>
          <t>%</t>
        </is>
      </c>
      <c r="F76" s="25" t="inlineStr">
        <is>
          <t>↑</t>
        </is>
      </c>
      <c r="G76" s="25" t="inlineStr">
        <is>
          <t>LAST</t>
        </is>
      </c>
      <c r="H76" s="26" t="inlineStr">
        <is>
          <t>🔴 رئيسي</t>
        </is>
      </c>
      <c r="I76" s="27" t="n">
        <v>0.04839</v>
      </c>
      <c r="J76" s="27" t="n">
        <v>1</v>
      </c>
      <c r="K76" s="29" t="inlineStr">
        <is>
          <t>100%</t>
        </is>
      </c>
      <c r="L76" s="30" t="inlineStr">
        <is>
          <t>النمو</t>
        </is>
      </c>
      <c r="M76" s="31" t="inlineStr">
        <is>
          <t>التوسع في المواقع</t>
        </is>
      </c>
      <c r="N76" s="26" t="inlineStr">
        <is>
          <t>العمليات الداخلية</t>
        </is>
      </c>
      <c r="O76" s="36" t="n"/>
      <c r="P76" s="36" t="n"/>
      <c r="Q76" s="36" t="n"/>
      <c r="R76" s="36" t="n"/>
      <c r="S76" s="36" t="n"/>
      <c r="T76" s="36" t="n"/>
      <c r="U76" s="36" t="n"/>
      <c r="V76" s="36" t="n"/>
      <c r="W76" s="36" t="n"/>
      <c r="X76" s="36" t="n"/>
      <c r="Y76" s="36" t="n"/>
      <c r="Z76" s="36" t="n"/>
      <c r="AA76" s="37">
        <f>IF($G76="SUM",IF(COUNT($O76:$Z76)=0,"",SUM($O76:$Z76)),IF($G76="AVG",IFERROR(AVERAGE($O76:$Z76),""),IF($G76="LAST",IFERROR(LOOKUP(2,1/($O76:$Z76&lt;&gt;""),$O76:$Z76),""),"")))</f>
        <v/>
      </c>
      <c r="AB76" s="16">
        <f>IF($J76="","",IF($AA76="","",IF($J76=0,IF($AA76&lt;=0,1,0),IF($F76="↓",IFERROR($J76/$AA76,0),IFERROR($AA76/$J76,0)))))</f>
        <v/>
      </c>
      <c r="AC76" s="15">
        <f>IF($AB76="","—",IF($AB76&gt;=1,"✅ محقق",IF($AB76&gt;=0.85,"🟡 قريب","🔴 تحت الهدف")))</f>
        <v/>
      </c>
    </row>
    <row r="77" ht="24" customHeight="1">
      <c r="A77" s="15" t="n">
        <v>74</v>
      </c>
      <c r="B77" s="21" t="inlineStr">
        <is>
          <t>الاستثمار</t>
        </is>
      </c>
      <c r="C77" s="9" t="inlineStr">
        <is>
          <t>التوسع الإقليمي</t>
        </is>
      </c>
      <c r="D77" s="9" t="inlineStr">
        <is>
          <t>نسبة العقود خارج المدن الرئيسية</t>
        </is>
      </c>
      <c r="E77" s="25" t="inlineStr">
        <is>
          <t>%</t>
        </is>
      </c>
      <c r="F77" s="25" t="inlineStr">
        <is>
          <t>↑</t>
        </is>
      </c>
      <c r="G77" s="25" t="inlineStr">
        <is>
          <t>LAST</t>
        </is>
      </c>
      <c r="H77" s="26" t="inlineStr">
        <is>
          <t>🔴 رئيسي</t>
        </is>
      </c>
      <c r="I77" s="27" t="n">
        <v>0.04839</v>
      </c>
      <c r="J77" s="27" t="n">
        <v>0.6</v>
      </c>
      <c r="K77" s="29" t="inlineStr">
        <is>
          <t>&gt; 60%</t>
        </is>
      </c>
      <c r="L77" s="30" t="inlineStr">
        <is>
          <t>النمو</t>
        </is>
      </c>
      <c r="M77" s="31" t="inlineStr">
        <is>
          <t>التوسع في المواقع</t>
        </is>
      </c>
      <c r="N77" s="26" t="inlineStr">
        <is>
          <t>العمليات الداخلية</t>
        </is>
      </c>
      <c r="O77" s="36" t="n"/>
      <c r="P77" s="36" t="n"/>
      <c r="Q77" s="36" t="n"/>
      <c r="R77" s="36" t="n"/>
      <c r="S77" s="36" t="n"/>
      <c r="T77" s="36" t="n"/>
      <c r="U77" s="36" t="n"/>
      <c r="V77" s="36" t="n"/>
      <c r="W77" s="36" t="n"/>
      <c r="X77" s="36" t="n"/>
      <c r="Y77" s="36" t="n"/>
      <c r="Z77" s="36" t="n"/>
      <c r="AA77" s="37">
        <f>IF($G77="SUM",IF(COUNT($O77:$Z77)=0,"",SUM($O77:$Z77)),IF($G77="AVG",IFERROR(AVERAGE($O77:$Z77),""),IF($G77="LAST",IFERROR(LOOKUP(2,1/($O77:$Z77&lt;&gt;""),$O77:$Z77),""),"")))</f>
        <v/>
      </c>
      <c r="AB77" s="16">
        <f>IF($J77="","",IF($AA77="","",IF($J77=0,IF($AA77&lt;=0,1,0),IF($F77="↓",IFERROR($J77/$AA77,0),IFERROR($AA77/$J77,0)))))</f>
        <v/>
      </c>
      <c r="AC77" s="15">
        <f>IF($AB77="","—",IF($AB77&gt;=1,"✅ محقق",IF($AB77&gt;=0.85,"🟡 قريب","🔴 تحت الهدف")))</f>
        <v/>
      </c>
    </row>
    <row r="78" ht="24" customHeight="1">
      <c r="A78" s="15" t="n">
        <v>75</v>
      </c>
      <c r="B78" s="21" t="inlineStr">
        <is>
          <t>الاستثمار</t>
        </is>
      </c>
      <c r="C78" s="9" t="inlineStr">
        <is>
          <t>التوسع الإقليمي</t>
        </is>
      </c>
      <c r="D78" s="9" t="inlineStr">
        <is>
          <t>نسبة العقود في الـ12 مدينة الرئيسية</t>
        </is>
      </c>
      <c r="E78" s="25" t="inlineStr">
        <is>
          <t>%</t>
        </is>
      </c>
      <c r="F78" s="25" t="inlineStr">
        <is>
          <t>↓</t>
        </is>
      </c>
      <c r="G78" s="25" t="inlineStr">
        <is>
          <t>LAST</t>
        </is>
      </c>
      <c r="H78" s="26" t="inlineStr">
        <is>
          <t>🔴 رئيسي</t>
        </is>
      </c>
      <c r="I78" s="27" t="n">
        <v>0.04839</v>
      </c>
      <c r="J78" s="27" t="n">
        <v>0.4</v>
      </c>
      <c r="K78" s="29" t="inlineStr">
        <is>
          <t>&lt; 40%</t>
        </is>
      </c>
      <c r="L78" s="30" t="inlineStr">
        <is>
          <t>النمو</t>
        </is>
      </c>
      <c r="M78" s="31" t="inlineStr">
        <is>
          <t>التوسع في المواقع</t>
        </is>
      </c>
      <c r="N78" s="26" t="inlineStr">
        <is>
          <t>العمليات الداخلية</t>
        </is>
      </c>
      <c r="O78" s="36" t="n"/>
      <c r="P78" s="36" t="n"/>
      <c r="Q78" s="36" t="n"/>
      <c r="R78" s="36" t="n"/>
      <c r="S78" s="36" t="n"/>
      <c r="T78" s="36" t="n"/>
      <c r="U78" s="36" t="n"/>
      <c r="V78" s="36" t="n"/>
      <c r="W78" s="36" t="n"/>
      <c r="X78" s="36" t="n"/>
      <c r="Y78" s="36" t="n"/>
      <c r="Z78" s="36" t="n"/>
      <c r="AA78" s="37">
        <f>IF($G78="SUM",IF(COUNT($O78:$Z78)=0,"",SUM($O78:$Z78)),IF($G78="AVG",IFERROR(AVERAGE($O78:$Z78),""),IF($G78="LAST",IFERROR(LOOKUP(2,1/($O78:$Z78&lt;&gt;""),$O78:$Z78),""),"")))</f>
        <v/>
      </c>
      <c r="AB78" s="16">
        <f>IF($J78="","",IF($AA78="","",IF($J78=0,IF($AA78&lt;=0,1,0),IF($F78="↓",IFERROR($J78/$AA78,0),IFERROR($AA78/$J78,0)))))</f>
        <v/>
      </c>
      <c r="AC78" s="15">
        <f>IF($AB78="","—",IF($AB78&gt;=1,"✅ محقق",IF($AB78&gt;=0.85,"🟡 قريب","🔴 تحت الهدف")))</f>
        <v/>
      </c>
    </row>
    <row r="79" ht="24" customHeight="1">
      <c r="A79" s="15" t="n">
        <v>76</v>
      </c>
      <c r="B79" s="21" t="inlineStr">
        <is>
          <t>الاستثمار</t>
        </is>
      </c>
      <c r="C79" s="9" t="inlineStr">
        <is>
          <t>التوسع الإقليمي</t>
        </is>
      </c>
      <c r="D79" s="9" t="inlineStr">
        <is>
          <t>نسبة العقود على الطرق الإقليمية</t>
        </is>
      </c>
      <c r="E79" s="25" t="inlineStr">
        <is>
          <t>%</t>
        </is>
      </c>
      <c r="F79" s="25" t="inlineStr">
        <is>
          <t>↑</t>
        </is>
      </c>
      <c r="G79" s="25" t="inlineStr">
        <is>
          <t>LAST</t>
        </is>
      </c>
      <c r="H79" s="26" t="inlineStr">
        <is>
          <t>🔴 رئيسي</t>
        </is>
      </c>
      <c r="I79" s="27" t="n">
        <v>0.04839</v>
      </c>
      <c r="J79" s="27" t="n">
        <v>0.25</v>
      </c>
      <c r="K79" s="29" t="inlineStr">
        <is>
          <t>&gt; 25%</t>
        </is>
      </c>
      <c r="L79" s="30" t="inlineStr">
        <is>
          <t>النمو</t>
        </is>
      </c>
      <c r="M79" s="31" t="inlineStr">
        <is>
          <t>التوسع في المواقع</t>
        </is>
      </c>
      <c r="N79" s="26" t="inlineStr">
        <is>
          <t>العمليات الداخلية</t>
        </is>
      </c>
      <c r="O79" s="36" t="n"/>
      <c r="P79" s="36" t="n"/>
      <c r="Q79" s="36" t="n"/>
      <c r="R79" s="36" t="n"/>
      <c r="S79" s="36" t="n"/>
      <c r="T79" s="36" t="n"/>
      <c r="U79" s="36" t="n"/>
      <c r="V79" s="36" t="n"/>
      <c r="W79" s="36" t="n"/>
      <c r="X79" s="36" t="n"/>
      <c r="Y79" s="36" t="n"/>
      <c r="Z79" s="36" t="n"/>
      <c r="AA79" s="37">
        <f>IF($G79="SUM",IF(COUNT($O79:$Z79)=0,"",SUM($O79:$Z79)),IF($G79="AVG",IFERROR(AVERAGE($O79:$Z79),""),IF($G79="LAST",IFERROR(LOOKUP(2,1/($O79:$Z79&lt;&gt;""),$O79:$Z79),""),"")))</f>
        <v/>
      </c>
      <c r="AB79" s="16">
        <f>IF($J79="","",IF($AA79="","",IF($J79=0,IF($AA79&lt;=0,1,0),IF($F79="↓",IFERROR($J79/$AA79,0),IFERROR($AA79/$J79,0)))))</f>
        <v/>
      </c>
      <c r="AC79" s="15">
        <f>IF($AB79="","—",IF($AB79&gt;=1,"✅ محقق",IF($AB79&gt;=0.85,"🟡 قريب","🔴 تحت الهدف")))</f>
        <v/>
      </c>
    </row>
    <row r="80" ht="24" customHeight="1">
      <c r="A80" s="15" t="n">
        <v>77</v>
      </c>
      <c r="B80" s="21" t="inlineStr">
        <is>
          <t>الاستثمار</t>
        </is>
      </c>
      <c r="C80" s="9" t="inlineStr">
        <is>
          <t>كفاءة الدورة</t>
        </is>
      </c>
      <c r="D80" s="9" t="inlineStr">
        <is>
          <t>متوسط مدة إغلاق عقد الاستثمار</t>
        </is>
      </c>
      <c r="E80" s="25" t="inlineStr">
        <is>
          <t>أسبوع</t>
        </is>
      </c>
      <c r="F80" s="25" t="inlineStr">
        <is>
          <t>↓</t>
        </is>
      </c>
      <c r="G80" s="25" t="inlineStr">
        <is>
          <t>AVG</t>
        </is>
      </c>
      <c r="H80" s="26" t="inlineStr">
        <is>
          <t>🔴 رئيسي</t>
        </is>
      </c>
      <c r="I80" s="27" t="n">
        <v>0.04839</v>
      </c>
      <c r="J80" s="38" t="n">
        <v>1</v>
      </c>
      <c r="K80" s="29" t="inlineStr">
        <is>
          <t>≤ أسبوع</t>
        </is>
      </c>
      <c r="L80" s="30" t="inlineStr">
        <is>
          <t>النمو</t>
        </is>
      </c>
      <c r="M80" s="31" t="inlineStr">
        <is>
          <t>التوسع في المواقع</t>
        </is>
      </c>
      <c r="N80" s="26" t="inlineStr">
        <is>
          <t>العمليات الداخلية</t>
        </is>
      </c>
      <c r="O80" s="39" t="n"/>
      <c r="P80" s="39" t="n"/>
      <c r="Q80" s="39" t="n"/>
      <c r="R80" s="39" t="n"/>
      <c r="S80" s="39" t="n"/>
      <c r="T80" s="39" t="n"/>
      <c r="U80" s="39" t="n"/>
      <c r="V80" s="39" t="n"/>
      <c r="W80" s="39" t="n"/>
      <c r="X80" s="39" t="n"/>
      <c r="Y80" s="39" t="n"/>
      <c r="Z80" s="39" t="n"/>
      <c r="AA80" s="40">
        <f>IF($G80="SUM",IF(COUNT($O80:$Z80)=0,"",SUM($O80:$Z80)),IF($G80="AVG",IFERROR(AVERAGE($O80:$Z80),""),IF($G80="LAST",IFERROR(LOOKUP(2,1/($O80:$Z80&lt;&gt;""),$O80:$Z80),""),"")))</f>
        <v/>
      </c>
      <c r="AB80" s="16">
        <f>IF($J80="","",IF($AA80="","",IF($J80=0,IF($AA80&lt;=0,1,0),IF($F80="↓",IFERROR($J80/$AA80,0),IFERROR($AA80/$J80,0)))))</f>
        <v/>
      </c>
      <c r="AC80" s="15">
        <f>IF($AB80="","—",IF($AB80&gt;=1,"✅ محقق",IF($AB80&gt;=0.85,"🟡 قريب","🔴 تحت الهدف")))</f>
        <v/>
      </c>
    </row>
    <row r="81" ht="24" customHeight="1">
      <c r="A81" s="15" t="n">
        <v>78</v>
      </c>
      <c r="B81" s="21" t="inlineStr">
        <is>
          <t>الاستثمار</t>
        </is>
      </c>
      <c r="C81" s="9" t="inlineStr">
        <is>
          <t>كفاءة الدورة</t>
        </is>
      </c>
      <c r="D81" s="9" t="inlineStr">
        <is>
          <t>نسبة العقود المتحوّلة لمحطات مشغّلة</t>
        </is>
      </c>
      <c r="E81" s="25" t="inlineStr">
        <is>
          <t>%</t>
        </is>
      </c>
      <c r="F81" s="25" t="inlineStr">
        <is>
          <t>↑</t>
        </is>
      </c>
      <c r="G81" s="25" t="inlineStr">
        <is>
          <t>AVG</t>
        </is>
      </c>
      <c r="H81" s="26" t="inlineStr">
        <is>
          <t>🔴 رئيسي</t>
        </is>
      </c>
      <c r="I81" s="27" t="n">
        <v>0.04839</v>
      </c>
      <c r="J81" s="27" t="n">
        <v>0.3</v>
      </c>
      <c r="K81" s="29" t="inlineStr">
        <is>
          <t>≥ 30%</t>
        </is>
      </c>
      <c r="L81" s="30" t="inlineStr">
        <is>
          <t>النمو</t>
        </is>
      </c>
      <c r="M81" s="31" t="inlineStr">
        <is>
          <t>التوسع في المواقع</t>
        </is>
      </c>
      <c r="N81" s="26" t="inlineStr">
        <is>
          <t>العمليات الداخلية</t>
        </is>
      </c>
      <c r="O81" s="36" t="n"/>
      <c r="P81" s="36" t="n"/>
      <c r="Q81" s="36" t="n"/>
      <c r="R81" s="36" t="n"/>
      <c r="S81" s="36" t="n"/>
      <c r="T81" s="36" t="n"/>
      <c r="U81" s="36" t="n"/>
      <c r="V81" s="36" t="n"/>
      <c r="W81" s="36" t="n"/>
      <c r="X81" s="36" t="n"/>
      <c r="Y81" s="36" t="n"/>
      <c r="Z81" s="36" t="n"/>
      <c r="AA81" s="37">
        <f>IF($G81="SUM",IF(COUNT($O81:$Z81)=0,"",SUM($O81:$Z81)),IF($G81="AVG",IFERROR(AVERAGE($O81:$Z81),""),IF($G81="LAST",IFERROR(LOOKUP(2,1/($O81:$Z81&lt;&gt;""),$O81:$Z81),""),"")))</f>
        <v/>
      </c>
      <c r="AB81" s="16">
        <f>IF($J81="","",IF($AA81="","",IF($J81=0,IF($AA81&lt;=0,1,0),IF($F81="↓",IFERROR($J81/$AA81,0),IFERROR($AA81/$J81,0)))))</f>
        <v/>
      </c>
      <c r="AC81" s="15">
        <f>IF($AB81="","—",IF($AB81&gt;=1,"✅ محقق",IF($AB81&gt;=0.85,"🟡 قريب","🔴 تحت الهدف")))</f>
        <v/>
      </c>
    </row>
    <row r="82" ht="24" customHeight="1">
      <c r="A82" s="15" t="n">
        <v>79</v>
      </c>
      <c r="B82" s="21" t="inlineStr">
        <is>
          <t>الاستثمار</t>
        </is>
      </c>
      <c r="C82" s="9" t="inlineStr">
        <is>
          <t>كفاءة الدورة</t>
        </is>
      </c>
      <c r="D82" s="9" t="inlineStr">
        <is>
          <t>نسبة تخفيض إيجار المواقع عالية التكاليف</t>
        </is>
      </c>
      <c r="E82" s="25" t="inlineStr">
        <is>
          <t>%</t>
        </is>
      </c>
      <c r="F82" s="25" t="inlineStr">
        <is>
          <t>↑</t>
        </is>
      </c>
      <c r="G82" s="25" t="inlineStr">
        <is>
          <t>AVG</t>
        </is>
      </c>
      <c r="H82" s="26" t="inlineStr">
        <is>
          <t>🟠 مهم</t>
        </is>
      </c>
      <c r="I82" s="27" t="n">
        <v>0.03226</v>
      </c>
      <c r="J82" s="27" t="n">
        <v>0.3</v>
      </c>
      <c r="K82" s="29" t="inlineStr">
        <is>
          <t>≥ 30%</t>
        </is>
      </c>
      <c r="L82" s="30" t="inlineStr">
        <is>
          <t>الاستدامة</t>
        </is>
      </c>
      <c r="M82" s="31" t="inlineStr">
        <is>
          <t>جودة التشغيل</t>
        </is>
      </c>
      <c r="N82" s="26" t="inlineStr">
        <is>
          <t>العمليات الداخلية</t>
        </is>
      </c>
      <c r="O82" s="36" t="n"/>
      <c r="P82" s="36" t="n"/>
      <c r="Q82" s="36" t="n"/>
      <c r="R82" s="36" t="n"/>
      <c r="S82" s="36" t="n"/>
      <c r="T82" s="36" t="n"/>
      <c r="U82" s="36" t="n"/>
      <c r="V82" s="36" t="n"/>
      <c r="W82" s="36" t="n"/>
      <c r="X82" s="36" t="n"/>
      <c r="Y82" s="36" t="n"/>
      <c r="Z82" s="36" t="n"/>
      <c r="AA82" s="37">
        <f>IF($G82="SUM",IF(COUNT($O82:$Z82)=0,"",SUM($O82:$Z82)),IF($G82="AVG",IFERROR(AVERAGE($O82:$Z82),""),IF($G82="LAST",IFERROR(LOOKUP(2,1/($O82:$Z82&lt;&gt;""),$O82:$Z82),""),"")))</f>
        <v/>
      </c>
      <c r="AB82" s="16">
        <f>IF($J82="","",IF($AA82="","",IF($J82=0,IF($AA82&lt;=0,1,0),IF($F82="↓",IFERROR($J82/$AA82,0),IFERROR($AA82/$J82,0)))))</f>
        <v/>
      </c>
      <c r="AC82" s="15">
        <f>IF($AB82="","—",IF($AB82&gt;=1,"✅ محقق",IF($AB82&gt;=0.85,"🟡 قريب","🔴 تحت الهدف")))</f>
        <v/>
      </c>
    </row>
    <row r="83" ht="24" customHeight="1">
      <c r="A83" s="15" t="n">
        <v>80</v>
      </c>
      <c r="B83" s="21" t="inlineStr">
        <is>
          <t>الاستثمار</t>
        </is>
      </c>
      <c r="C83" s="9" t="inlineStr">
        <is>
          <t>الامتثال</t>
        </is>
      </c>
      <c r="D83" s="9" t="inlineStr">
        <is>
          <t>نسبة اكتمال المستندات النظامية قبل التوقيع</t>
        </is>
      </c>
      <c r="E83" s="25" t="inlineStr">
        <is>
          <t>%</t>
        </is>
      </c>
      <c r="F83" s="25" t="inlineStr">
        <is>
          <t>↑</t>
        </is>
      </c>
      <c r="G83" s="25" t="inlineStr">
        <is>
          <t>AVG</t>
        </is>
      </c>
      <c r="H83" s="26" t="inlineStr">
        <is>
          <t>🟡 متابعة</t>
        </is>
      </c>
      <c r="I83" s="27" t="n">
        <v>0.01613</v>
      </c>
      <c r="J83" s="27" t="n">
        <v>1</v>
      </c>
      <c r="K83" s="29" t="inlineStr">
        <is>
          <t>100%</t>
        </is>
      </c>
      <c r="L83" s="30" t="inlineStr">
        <is>
          <t>الاستدامة</t>
        </is>
      </c>
      <c r="M83" s="31" t="inlineStr">
        <is>
          <t>جودة التشغيل</t>
        </is>
      </c>
      <c r="N83" s="26" t="inlineStr">
        <is>
          <t>العمليات الداخلية</t>
        </is>
      </c>
      <c r="O83" s="36" t="n"/>
      <c r="P83" s="36" t="n"/>
      <c r="Q83" s="36" t="n"/>
      <c r="R83" s="36" t="n"/>
      <c r="S83" s="36" t="n"/>
      <c r="T83" s="36" t="n"/>
      <c r="U83" s="36" t="n"/>
      <c r="V83" s="36" t="n"/>
      <c r="W83" s="36" t="n"/>
      <c r="X83" s="36" t="n"/>
      <c r="Y83" s="36" t="n"/>
      <c r="Z83" s="36" t="n"/>
      <c r="AA83" s="37">
        <f>IF($G83="SUM",IF(COUNT($O83:$Z83)=0,"",SUM($O83:$Z83)),IF($G83="AVG",IFERROR(AVERAGE($O83:$Z83),""),IF($G83="LAST",IFERROR(LOOKUP(2,1/($O83:$Z83&lt;&gt;""),$O83:$Z83),""),"")))</f>
        <v/>
      </c>
      <c r="AB83" s="16">
        <f>IF($J83="","",IF($AA83="","",IF($J83=0,IF($AA83&lt;=0,1,0),IF($F83="↓",IFERROR($J83/$AA83,0),IFERROR($AA83/$J83,0)))))</f>
        <v/>
      </c>
      <c r="AC83" s="15">
        <f>IF($AB83="","—",IF($AB83&gt;=1,"✅ محقق",IF($AB83&gt;=0.85,"🟡 قريب","🔴 تحت الهدف")))</f>
        <v/>
      </c>
    </row>
    <row r="84" ht="24" customHeight="1">
      <c r="A84" s="15" t="n">
        <v>81</v>
      </c>
      <c r="B84" s="21" t="inlineStr">
        <is>
          <t>الاستثمار</t>
        </is>
      </c>
      <c r="C84" s="9" t="inlineStr">
        <is>
          <t>الامتثال</t>
        </is>
      </c>
      <c r="D84" s="9" t="inlineStr">
        <is>
          <t>نسبة العقود المؤرشفة إلكترونياً خلال 48 ساعة</t>
        </is>
      </c>
      <c r="E84" s="25" t="inlineStr">
        <is>
          <t>%</t>
        </is>
      </c>
      <c r="F84" s="25" t="inlineStr">
        <is>
          <t>↑</t>
        </is>
      </c>
      <c r="G84" s="25" t="inlineStr">
        <is>
          <t>AVG</t>
        </is>
      </c>
      <c r="H84" s="26" t="inlineStr">
        <is>
          <t>🔴 رئيسي</t>
        </is>
      </c>
      <c r="I84" s="27" t="n">
        <v>0.04839</v>
      </c>
      <c r="J84" s="27" t="n">
        <v>0.95</v>
      </c>
      <c r="K84" s="29" t="inlineStr">
        <is>
          <t>95%+</t>
        </is>
      </c>
      <c r="L84" s="30" t="inlineStr">
        <is>
          <t>الاستدامة</t>
        </is>
      </c>
      <c r="M84" s="31" t="inlineStr">
        <is>
          <t>جودة التشغيل</t>
        </is>
      </c>
      <c r="N84" s="26" t="inlineStr">
        <is>
          <t>العمليات الداخلية</t>
        </is>
      </c>
      <c r="O84" s="36" t="n"/>
      <c r="P84" s="36" t="n"/>
      <c r="Q84" s="36" t="n"/>
      <c r="R84" s="36" t="n"/>
      <c r="S84" s="36" t="n"/>
      <c r="T84" s="36" t="n"/>
      <c r="U84" s="36" t="n"/>
      <c r="V84" s="36" t="n"/>
      <c r="W84" s="36" t="n"/>
      <c r="X84" s="36" t="n"/>
      <c r="Y84" s="36" t="n"/>
      <c r="Z84" s="36" t="n"/>
      <c r="AA84" s="37">
        <f>IF($G84="SUM",IF(COUNT($O84:$Z84)=0,"",SUM($O84:$Z84)),IF($G84="AVG",IFERROR(AVERAGE($O84:$Z84),""),IF($G84="LAST",IFERROR(LOOKUP(2,1/($O84:$Z84&lt;&gt;""),$O84:$Z84),""),"")))</f>
        <v/>
      </c>
      <c r="AB84" s="16">
        <f>IF($J84="","",IF($AA84="","",IF($J84=0,IF($AA84&lt;=0,1,0),IF($F84="↓",IFERROR($J84/$AA84,0),IFERROR($AA84/$J84,0)))))</f>
        <v/>
      </c>
      <c r="AC84" s="15">
        <f>IF($AB84="","—",IF($AB84&gt;=1,"✅ محقق",IF($AB84&gt;=0.85,"🟡 قريب","🔴 تحت الهدف")))</f>
        <v/>
      </c>
    </row>
    <row r="85" ht="24" customHeight="1">
      <c r="A85" s="15" t="n">
        <v>82</v>
      </c>
      <c r="B85" s="21" t="inlineStr">
        <is>
          <t>الاستثمار</t>
        </is>
      </c>
      <c r="C85" s="9" t="inlineStr">
        <is>
          <t>جودة التعاقد</t>
        </is>
      </c>
      <c r="D85" s="9" t="inlineStr">
        <is>
          <t>جودة التفاوض مع المستثمرين</t>
        </is>
      </c>
      <c r="E85" s="25" t="inlineStr">
        <is>
          <t>%</t>
        </is>
      </c>
      <c r="F85" s="25" t="inlineStr">
        <is>
          <t>↑</t>
        </is>
      </c>
      <c r="G85" s="25" t="inlineStr">
        <is>
          <t>AVG</t>
        </is>
      </c>
      <c r="H85" s="26" t="inlineStr">
        <is>
          <t>🟠 مهم</t>
        </is>
      </c>
      <c r="I85" s="27" t="n">
        <v>0.03226</v>
      </c>
      <c r="J85" s="27" t="n">
        <v>0.98</v>
      </c>
      <c r="K85" s="29" t="inlineStr">
        <is>
          <t>98%</t>
        </is>
      </c>
      <c r="L85" s="30" t="inlineStr">
        <is>
          <t>النمو</t>
        </is>
      </c>
      <c r="M85" s="31" t="inlineStr">
        <is>
          <t>التوسع في المواقع</t>
        </is>
      </c>
      <c r="N85" s="26" t="inlineStr">
        <is>
          <t>العمليات الداخلية</t>
        </is>
      </c>
      <c r="O85" s="36" t="n"/>
      <c r="P85" s="36" t="n"/>
      <c r="Q85" s="36" t="n"/>
      <c r="R85" s="36" t="n"/>
      <c r="S85" s="36" t="n"/>
      <c r="T85" s="36" t="n"/>
      <c r="U85" s="36" t="n"/>
      <c r="V85" s="36" t="n"/>
      <c r="W85" s="36" t="n"/>
      <c r="X85" s="36" t="n"/>
      <c r="Y85" s="36" t="n"/>
      <c r="Z85" s="36" t="n"/>
      <c r="AA85" s="37">
        <f>IF($G85="SUM",IF(COUNT($O85:$Z85)=0,"",SUM($O85:$Z85)),IF($G85="AVG",IFERROR(AVERAGE($O85:$Z85),""),IF($G85="LAST",IFERROR(LOOKUP(2,1/($O85:$Z85&lt;&gt;""),$O85:$Z85),""),"")))</f>
        <v/>
      </c>
      <c r="AB85" s="16">
        <f>IF($J85="","",IF($AA85="","",IF($J85=0,IF($AA85&lt;=0,1,0),IF($F85="↓",IFERROR($J85/$AA85,0),IFERROR($AA85/$J85,0)))))</f>
        <v/>
      </c>
      <c r="AC85" s="15">
        <f>IF($AB85="","—",IF($AB85&gt;=1,"✅ محقق",IF($AB85&gt;=0.85,"🟡 قريب","🔴 تحت الهدف")))</f>
        <v/>
      </c>
    </row>
    <row r="86" ht="24" customHeight="1">
      <c r="A86" s="15" t="n">
        <v>83</v>
      </c>
      <c r="B86" s="21" t="inlineStr">
        <is>
          <t>الاستثمار</t>
        </is>
      </c>
      <c r="C86" s="9" t="inlineStr">
        <is>
          <t>جودة التعاقد</t>
        </is>
      </c>
      <c r="D86" s="9" t="inlineStr">
        <is>
          <t>سرعة إنجاز إجراءات التعاقد</t>
        </is>
      </c>
      <c r="E86" s="25" t="inlineStr">
        <is>
          <t>أسبوع</t>
        </is>
      </c>
      <c r="F86" s="25" t="inlineStr">
        <is>
          <t>↓</t>
        </is>
      </c>
      <c r="G86" s="25" t="inlineStr">
        <is>
          <t>AVG</t>
        </is>
      </c>
      <c r="H86" s="26" t="inlineStr">
        <is>
          <t>🟠 مهم</t>
        </is>
      </c>
      <c r="I86" s="27" t="n">
        <v>0.03226</v>
      </c>
      <c r="J86" s="38" t="n">
        <v>1</v>
      </c>
      <c r="K86" s="29" t="inlineStr">
        <is>
          <t>≤ أسبوع</t>
        </is>
      </c>
      <c r="L86" s="30" t="inlineStr">
        <is>
          <t>النمو</t>
        </is>
      </c>
      <c r="M86" s="31" t="inlineStr">
        <is>
          <t>التوسع في المواقع</t>
        </is>
      </c>
      <c r="N86" s="26" t="inlineStr">
        <is>
          <t>العمليات الداخلية</t>
        </is>
      </c>
      <c r="O86" s="39" t="n"/>
      <c r="P86" s="39" t="n"/>
      <c r="Q86" s="39" t="n"/>
      <c r="R86" s="39" t="n"/>
      <c r="S86" s="39" t="n"/>
      <c r="T86" s="39" t="n"/>
      <c r="U86" s="39" t="n"/>
      <c r="V86" s="39" t="n"/>
      <c r="W86" s="39" t="n"/>
      <c r="X86" s="39" t="n"/>
      <c r="Y86" s="39" t="n"/>
      <c r="Z86" s="39" t="n"/>
      <c r="AA86" s="40">
        <f>IF($G86="SUM",IF(COUNT($O86:$Z86)=0,"",SUM($O86:$Z86)),IF($G86="AVG",IFERROR(AVERAGE($O86:$Z86),""),IF($G86="LAST",IFERROR(LOOKUP(2,1/($O86:$Z86&lt;&gt;""),$O86:$Z86),""),"")))</f>
        <v/>
      </c>
      <c r="AB86" s="16">
        <f>IF($J86="","",IF($AA86="","",IF($J86=0,IF($AA86&lt;=0,1,0),IF($F86="↓",IFERROR($J86/$AA86,0),IFERROR($AA86/$J86,0)))))</f>
        <v/>
      </c>
      <c r="AC86" s="15">
        <f>IF($AB86="","—",IF($AB86&gt;=1,"✅ محقق",IF($AB86&gt;=0.85,"🟡 قريب","🔴 تحت الهدف")))</f>
        <v/>
      </c>
    </row>
    <row r="87" ht="24" customHeight="1">
      <c r="A87" s="15" t="n">
        <v>84</v>
      </c>
      <c r="B87" s="21" t="inlineStr">
        <is>
          <t>الاستثمار</t>
        </is>
      </c>
      <c r="C87" s="9" t="inlineStr">
        <is>
          <t>جودة التعاقد</t>
        </is>
      </c>
      <c r="D87" s="9" t="inlineStr">
        <is>
          <t>مدى رضا المستثمرين وشركاء الاستثمار</t>
        </is>
      </c>
      <c r="E87" s="25" t="inlineStr">
        <is>
          <t>%</t>
        </is>
      </c>
      <c r="F87" s="25" t="inlineStr">
        <is>
          <t>↑</t>
        </is>
      </c>
      <c r="G87" s="25" t="inlineStr">
        <is>
          <t>AVG</t>
        </is>
      </c>
      <c r="H87" s="26" t="inlineStr">
        <is>
          <t>🔴 رئيسي</t>
        </is>
      </c>
      <c r="I87" s="27" t="n">
        <v>0.04839</v>
      </c>
      <c r="J87" s="27" t="n">
        <v>0.8</v>
      </c>
      <c r="K87" s="29" t="inlineStr">
        <is>
          <t>80%+</t>
        </is>
      </c>
      <c r="L87" s="30" t="inlineStr">
        <is>
          <t>الاستدامة</t>
        </is>
      </c>
      <c r="M87" s="31" t="inlineStr">
        <is>
          <t>تعزيز تجربة العملاء</t>
        </is>
      </c>
      <c r="N87" s="26" t="inlineStr">
        <is>
          <t>العملاء</t>
        </is>
      </c>
      <c r="O87" s="36" t="n"/>
      <c r="P87" s="36" t="n"/>
      <c r="Q87" s="36" t="n"/>
      <c r="R87" s="36" t="n"/>
      <c r="S87" s="36" t="n"/>
      <c r="T87" s="36" t="n"/>
      <c r="U87" s="36" t="n"/>
      <c r="V87" s="36" t="n"/>
      <c r="W87" s="36" t="n"/>
      <c r="X87" s="36" t="n"/>
      <c r="Y87" s="36" t="n"/>
      <c r="Z87" s="36" t="n"/>
      <c r="AA87" s="37">
        <f>IF($G87="SUM",IF(COUNT($O87:$Z87)=0,"",SUM($O87:$Z87)),IF($G87="AVG",IFERROR(AVERAGE($O87:$Z87),""),IF($G87="LAST",IFERROR(LOOKUP(2,1/($O87:$Z87&lt;&gt;""),$O87:$Z87),""),"")))</f>
        <v/>
      </c>
      <c r="AB87" s="16">
        <f>IF($J87="","",IF($AA87="","",IF($J87=0,IF($AA87&lt;=0,1,0),IF($F87="↓",IFERROR($J87/$AA87,0),IFERROR($AA87/$J87,0)))))</f>
        <v/>
      </c>
      <c r="AC87" s="15">
        <f>IF($AB87="","—",IF($AB87&gt;=1,"✅ محقق",IF($AB87&gt;=0.85,"🟡 قريب","🔴 تحت الهدف")))</f>
        <v/>
      </c>
    </row>
    <row r="88" ht="24" customHeight="1">
      <c r="A88" s="15" t="n">
        <v>85</v>
      </c>
      <c r="B88" s="21" t="inlineStr">
        <is>
          <t>الاستثمار</t>
        </is>
      </c>
      <c r="C88" s="9" t="inlineStr">
        <is>
          <t>جودة التعاقد</t>
        </is>
      </c>
      <c r="D88" s="9" t="inlineStr">
        <is>
          <t>نسبة اكتمال أرشفة ملفات العملاء</t>
        </is>
      </c>
      <c r="E88" s="25" t="inlineStr">
        <is>
          <t>%</t>
        </is>
      </c>
      <c r="F88" s="25" t="inlineStr">
        <is>
          <t>↑</t>
        </is>
      </c>
      <c r="G88" s="25" t="inlineStr">
        <is>
          <t>AVG</t>
        </is>
      </c>
      <c r="H88" s="26" t="inlineStr">
        <is>
          <t>🟡 متابعة</t>
        </is>
      </c>
      <c r="I88" s="27" t="n">
        <v>0.01613</v>
      </c>
      <c r="J88" s="27" t="n">
        <v>1</v>
      </c>
      <c r="K88" s="29" t="inlineStr">
        <is>
          <t>100%</t>
        </is>
      </c>
      <c r="L88" s="30" t="inlineStr">
        <is>
          <t>الاستدامة</t>
        </is>
      </c>
      <c r="M88" s="31" t="inlineStr">
        <is>
          <t>جودة التشغيل</t>
        </is>
      </c>
      <c r="N88" s="26" t="inlineStr">
        <is>
          <t>العملاء</t>
        </is>
      </c>
      <c r="O88" s="36" t="n"/>
      <c r="P88" s="36" t="n"/>
      <c r="Q88" s="36" t="n"/>
      <c r="R88" s="36" t="n"/>
      <c r="S88" s="36" t="n"/>
      <c r="T88" s="36" t="n"/>
      <c r="U88" s="36" t="n"/>
      <c r="V88" s="36" t="n"/>
      <c r="W88" s="36" t="n"/>
      <c r="X88" s="36" t="n"/>
      <c r="Y88" s="36" t="n"/>
      <c r="Z88" s="36" t="n"/>
      <c r="AA88" s="37">
        <f>IF($G88="SUM",IF(COUNT($O88:$Z88)=0,"",SUM($O88:$Z88)),IF($G88="AVG",IFERROR(AVERAGE($O88:$Z88),""),IF($G88="LAST",IFERROR(LOOKUP(2,1/($O88:$Z88&lt;&gt;""),$O88:$Z88),""),"")))</f>
        <v/>
      </c>
      <c r="AB88" s="16">
        <f>IF($J88="","",IF($AA88="","",IF($J88=0,IF($AA88&lt;=0,1,0),IF($F88="↓",IFERROR($J88/$AA88,0),IFERROR($AA88/$J88,0)))))</f>
        <v/>
      </c>
      <c r="AC88" s="15">
        <f>IF($AB88="","—",IF($AB88&gt;=1,"✅ محقق",IF($AB88&gt;=0.85,"🟡 قريب","🔴 تحت الهدف")))</f>
        <v/>
      </c>
    </row>
    <row r="89" ht="24" customHeight="1">
      <c r="A89" s="15" t="n">
        <v>86</v>
      </c>
      <c r="B89" s="21" t="inlineStr">
        <is>
          <t>الاستثمار</t>
        </is>
      </c>
      <c r="C89" s="9" t="inlineStr">
        <is>
          <t>جودة التعاقد</t>
        </is>
      </c>
      <c r="D89" s="9" t="inlineStr">
        <is>
          <t>نسبة إنجاز التقارير الدورية في موعدها</t>
        </is>
      </c>
      <c r="E89" s="25" t="inlineStr">
        <is>
          <t>%</t>
        </is>
      </c>
      <c r="F89" s="25" t="inlineStr">
        <is>
          <t>↑</t>
        </is>
      </c>
      <c r="G89" s="25" t="inlineStr">
        <is>
          <t>AVG</t>
        </is>
      </c>
      <c r="H89" s="26" t="inlineStr">
        <is>
          <t>🟡 متابعة</t>
        </is>
      </c>
      <c r="I89" s="27" t="n">
        <v>0.01613</v>
      </c>
      <c r="J89" s="27" t="n">
        <v>1</v>
      </c>
      <c r="K89" s="29" t="inlineStr">
        <is>
          <t>100%</t>
        </is>
      </c>
      <c r="L89" s="30" t="inlineStr">
        <is>
          <t>الاستدامة</t>
        </is>
      </c>
      <c r="M89" s="31" t="inlineStr">
        <is>
          <t>جودة التشغيل</t>
        </is>
      </c>
      <c r="N89" s="26" t="inlineStr">
        <is>
          <t>العمليات الداخلية</t>
        </is>
      </c>
      <c r="O89" s="36" t="n"/>
      <c r="P89" s="36" t="n"/>
      <c r="Q89" s="36" t="n"/>
      <c r="R89" s="36" t="n"/>
      <c r="S89" s="36" t="n"/>
      <c r="T89" s="36" t="n"/>
      <c r="U89" s="36" t="n"/>
      <c r="V89" s="36" t="n"/>
      <c r="W89" s="36" t="n"/>
      <c r="X89" s="36" t="n"/>
      <c r="Y89" s="36" t="n"/>
      <c r="Z89" s="36" t="n"/>
      <c r="AA89" s="37">
        <f>IF($G89="SUM",IF(COUNT($O89:$Z89)=0,"",SUM($O89:$Z89)),IF($G89="AVG",IFERROR(AVERAGE($O89:$Z89),""),IF($G89="LAST",IFERROR(LOOKUP(2,1/($O89:$Z89&lt;&gt;""),$O89:$Z89),""),"")))</f>
        <v/>
      </c>
      <c r="AB89" s="16">
        <f>IF($J89="","",IF($AA89="","",IF($J89=0,IF($AA89&lt;=0,1,0),IF($F89="↓",IFERROR($J89/$AA89,0),IFERROR($AA89/$J89,0)))))</f>
        <v/>
      </c>
      <c r="AC89" s="15">
        <f>IF($AB89="","—",IF($AB89&gt;=1,"✅ محقق",IF($AB89&gt;=0.85,"🟡 قريب","🔴 تحت الهدف")))</f>
        <v/>
      </c>
    </row>
    <row r="90" ht="24" customHeight="1">
      <c r="A90" s="15" t="n">
        <v>87</v>
      </c>
      <c r="B90" s="21" t="inlineStr">
        <is>
          <t>العقار</t>
        </is>
      </c>
      <c r="C90" s="9" t="inlineStr">
        <is>
          <t>الإدارة</t>
        </is>
      </c>
      <c r="D90" s="9" t="inlineStr">
        <is>
          <t>نمو الإيرادات الإيجارية</t>
        </is>
      </c>
      <c r="E90" s="25" t="inlineStr">
        <is>
          <t>%</t>
        </is>
      </c>
      <c r="F90" s="25" t="inlineStr">
        <is>
          <t>↑</t>
        </is>
      </c>
      <c r="G90" s="25" t="inlineStr">
        <is>
          <t>AVG</t>
        </is>
      </c>
      <c r="H90" s="26" t="inlineStr">
        <is>
          <t>🔴 رئيسي</t>
        </is>
      </c>
      <c r="I90" s="27" t="n">
        <v>0.07692</v>
      </c>
      <c r="J90" s="27" t="n">
        <v>0.08</v>
      </c>
      <c r="K90" s="29" t="inlineStr">
        <is>
          <t>&gt; 8% سنوياً</t>
        </is>
      </c>
      <c r="L90" s="30" t="inlineStr">
        <is>
          <t>الاستدامة</t>
        </is>
      </c>
      <c r="M90" s="31" t="inlineStr">
        <is>
          <t>منظومة التأجير</t>
        </is>
      </c>
      <c r="N90" s="26" t="inlineStr">
        <is>
          <t>مالي</t>
        </is>
      </c>
      <c r="O90" s="36" t="n"/>
      <c r="P90" s="36" t="n"/>
      <c r="Q90" s="36" t="n"/>
      <c r="R90" s="36" t="n"/>
      <c r="S90" s="36" t="n"/>
      <c r="T90" s="36" t="n"/>
      <c r="U90" s="36" t="n"/>
      <c r="V90" s="36" t="n"/>
      <c r="W90" s="36" t="n"/>
      <c r="X90" s="36" t="n"/>
      <c r="Y90" s="36" t="n"/>
      <c r="Z90" s="36" t="n"/>
      <c r="AA90" s="37">
        <f>IF($G90="SUM",IF(COUNT($O90:$Z90)=0,"",SUM($O90:$Z90)),IF($G90="AVG",IFERROR(AVERAGE($O90:$Z90),""),IF($G90="LAST",IFERROR(LOOKUP(2,1/($O90:$Z90&lt;&gt;""),$O90:$Z90),""),"")))</f>
        <v/>
      </c>
      <c r="AB90" s="16">
        <f>IF($J90="","",IF($AA90="","",IF($J90=0,IF($AA90&lt;=0,1,0),IF($F90="↓",IFERROR($J90/$AA90,0),IFERROR($AA90/$J90,0)))))</f>
        <v/>
      </c>
      <c r="AC90" s="15">
        <f>IF($AB90="","—",IF($AB90&gt;=1,"✅ محقق",IF($AB90&gt;=0.85,"🟡 قريب","🔴 تحت الهدف")))</f>
        <v/>
      </c>
    </row>
    <row r="91" ht="24" customHeight="1">
      <c r="A91" s="15" t="n">
        <v>88</v>
      </c>
      <c r="B91" s="21" t="inlineStr">
        <is>
          <t>العقار</t>
        </is>
      </c>
      <c r="C91" s="9" t="inlineStr">
        <is>
          <t>الإدارة</t>
        </is>
      </c>
      <c r="D91" s="9" t="inlineStr">
        <is>
          <t>نسبة الالتزام بالعقود</t>
        </is>
      </c>
      <c r="E91" s="25" t="inlineStr">
        <is>
          <t>%</t>
        </is>
      </c>
      <c r="F91" s="25" t="inlineStr">
        <is>
          <t>↑</t>
        </is>
      </c>
      <c r="G91" s="25" t="inlineStr">
        <is>
          <t>AVG</t>
        </is>
      </c>
      <c r="H91" s="26" t="inlineStr">
        <is>
          <t>🔴 رئيسي</t>
        </is>
      </c>
      <c r="I91" s="27" t="n">
        <v>0.07692</v>
      </c>
      <c r="J91" s="27" t="n">
        <v>1</v>
      </c>
      <c r="K91" s="29" t="inlineStr">
        <is>
          <t>100%</t>
        </is>
      </c>
      <c r="L91" s="30" t="inlineStr">
        <is>
          <t>الاستدامة</t>
        </is>
      </c>
      <c r="M91" s="31" t="inlineStr">
        <is>
          <t>منظومة التأجير</t>
        </is>
      </c>
      <c r="N91" s="26" t="inlineStr">
        <is>
          <t>العمليات الداخلية</t>
        </is>
      </c>
      <c r="O91" s="36" t="n"/>
      <c r="P91" s="36" t="n"/>
      <c r="Q91" s="36" t="n"/>
      <c r="R91" s="36" t="n"/>
      <c r="S91" s="36" t="n"/>
      <c r="T91" s="36" t="n"/>
      <c r="U91" s="36" t="n"/>
      <c r="V91" s="36" t="n"/>
      <c r="W91" s="36" t="n"/>
      <c r="X91" s="36" t="n"/>
      <c r="Y91" s="36" t="n"/>
      <c r="Z91" s="36" t="n"/>
      <c r="AA91" s="37">
        <f>IF($G91="SUM",IF(COUNT($O91:$Z91)=0,"",SUM($O91:$Z91)),IF($G91="AVG",IFERROR(AVERAGE($O91:$Z91),""),IF($G91="LAST",IFERROR(LOOKUP(2,1/($O91:$Z91&lt;&gt;""),$O91:$Z91),""),"")))</f>
        <v/>
      </c>
      <c r="AB91" s="16">
        <f>IF($J91="","",IF($AA91="","",IF($J91=0,IF($AA91&lt;=0,1,0),IF($F91="↓",IFERROR($J91/$AA91,0),IFERROR($AA91/$J91,0)))))</f>
        <v/>
      </c>
      <c r="AC91" s="15">
        <f>IF($AB91="","—",IF($AB91&gt;=1,"✅ محقق",IF($AB91&gt;=0.85,"🟡 قريب","🔴 تحت الهدف")))</f>
        <v/>
      </c>
    </row>
    <row r="92" ht="24" customHeight="1">
      <c r="A92" s="15" t="n">
        <v>89</v>
      </c>
      <c r="B92" s="21" t="inlineStr">
        <is>
          <t>العقار</t>
        </is>
      </c>
      <c r="C92" s="9" t="inlineStr">
        <is>
          <t>الإدارة</t>
        </is>
      </c>
      <c r="D92" s="9" t="inlineStr">
        <is>
          <t>نسبة التحصيل</t>
        </is>
      </c>
      <c r="E92" s="25" t="inlineStr">
        <is>
          <t>%</t>
        </is>
      </c>
      <c r="F92" s="25" t="inlineStr">
        <is>
          <t>↑</t>
        </is>
      </c>
      <c r="G92" s="25" t="inlineStr">
        <is>
          <t>AVG</t>
        </is>
      </c>
      <c r="H92" s="26" t="inlineStr">
        <is>
          <t>🔴 رئيسي</t>
        </is>
      </c>
      <c r="I92" s="27" t="n">
        <v>0.07692</v>
      </c>
      <c r="J92" s="27" t="n">
        <v>0.95</v>
      </c>
      <c r="K92" s="29" t="inlineStr">
        <is>
          <t>&gt; 95%</t>
        </is>
      </c>
      <c r="L92" s="30" t="inlineStr">
        <is>
          <t>الاستدامة</t>
        </is>
      </c>
      <c r="M92" s="31" t="inlineStr">
        <is>
          <t>منظومة التأجير</t>
        </is>
      </c>
      <c r="N92" s="26" t="inlineStr">
        <is>
          <t>مالي</t>
        </is>
      </c>
      <c r="O92" s="36" t="n"/>
      <c r="P92" s="36" t="n"/>
      <c r="Q92" s="36" t="n"/>
      <c r="R92" s="36" t="n"/>
      <c r="S92" s="36" t="n"/>
      <c r="T92" s="36" t="n"/>
      <c r="U92" s="36" t="n"/>
      <c r="V92" s="36" t="n"/>
      <c r="W92" s="36" t="n"/>
      <c r="X92" s="36" t="n"/>
      <c r="Y92" s="36" t="n"/>
      <c r="Z92" s="36" t="n"/>
      <c r="AA92" s="37">
        <f>IF($G92="SUM",IF(COUNT($O92:$Z92)=0,"",SUM($O92:$Z92)),IF($G92="AVG",IFERROR(AVERAGE($O92:$Z92),""),IF($G92="LAST",IFERROR(LOOKUP(2,1/($O92:$Z92&lt;&gt;""),$O92:$Z92),""),"")))</f>
        <v/>
      </c>
      <c r="AB92" s="16">
        <f>IF($J92="","",IF($AA92="","",IF($J92=0,IF($AA92&lt;=0,1,0),IF($F92="↓",IFERROR($J92/$AA92,0),IFERROR($AA92/$J92,0)))))</f>
        <v/>
      </c>
      <c r="AC92" s="15">
        <f>IF($AB92="","—",IF($AB92&gt;=1,"✅ محقق",IF($AB92&gt;=0.85,"🟡 قريب","🔴 تحت الهدف")))</f>
        <v/>
      </c>
    </row>
    <row r="93" ht="24" customHeight="1">
      <c r="A93" s="15" t="n">
        <v>90</v>
      </c>
      <c r="B93" s="21" t="inlineStr">
        <is>
          <t>العقار</t>
        </is>
      </c>
      <c r="C93" s="9" t="inlineStr">
        <is>
          <t>التأجير</t>
        </is>
      </c>
      <c r="D93" s="9" t="inlineStr">
        <is>
          <t>نسبة الإشغال</t>
        </is>
      </c>
      <c r="E93" s="25" t="inlineStr">
        <is>
          <t>%</t>
        </is>
      </c>
      <c r="F93" s="25" t="inlineStr">
        <is>
          <t>↑</t>
        </is>
      </c>
      <c r="G93" s="25" t="inlineStr">
        <is>
          <t>AVG</t>
        </is>
      </c>
      <c r="H93" s="26" t="inlineStr">
        <is>
          <t>🔴 رئيسي</t>
        </is>
      </c>
      <c r="I93" s="27" t="n">
        <v>0.07692</v>
      </c>
      <c r="J93" s="27" t="n">
        <v>0.6</v>
      </c>
      <c r="K93" s="29" t="inlineStr">
        <is>
          <t>≥ 60%</t>
        </is>
      </c>
      <c r="L93" s="30" t="inlineStr">
        <is>
          <t>الاستدامة</t>
        </is>
      </c>
      <c r="M93" s="31" t="inlineStr">
        <is>
          <t>منظومة التأجير</t>
        </is>
      </c>
      <c r="N93" s="26" t="inlineStr">
        <is>
          <t>العمليات الداخلية</t>
        </is>
      </c>
      <c r="O93" s="36" t="n"/>
      <c r="P93" s="36" t="n"/>
      <c r="Q93" s="36" t="n"/>
      <c r="R93" s="36" t="n"/>
      <c r="S93" s="36" t="n"/>
      <c r="T93" s="36" t="n"/>
      <c r="U93" s="36" t="n"/>
      <c r="V93" s="36" t="n"/>
      <c r="W93" s="36" t="n"/>
      <c r="X93" s="36" t="n"/>
      <c r="Y93" s="36" t="n"/>
      <c r="Z93" s="36" t="n"/>
      <c r="AA93" s="37">
        <f>IF($G93="SUM",IF(COUNT($O93:$Z93)=0,"",SUM($O93:$Z93)),IF($G93="AVG",IFERROR(AVERAGE($O93:$Z93),""),IF($G93="LAST",IFERROR(LOOKUP(2,1/($O93:$Z93&lt;&gt;""),$O93:$Z93),""),"")))</f>
        <v/>
      </c>
      <c r="AB93" s="16">
        <f>IF($J93="","",IF($AA93="","",IF($J93=0,IF($AA93&lt;=0,1,0),IF($F93="↓",IFERROR($J93/$AA93,0),IFERROR($AA93/$J93,0)))))</f>
        <v/>
      </c>
      <c r="AC93" s="15">
        <f>IF($AB93="","—",IF($AB93&gt;=1,"✅ محقق",IF($AB93&gt;=0.85,"🟡 قريب","🔴 تحت الهدف")))</f>
        <v/>
      </c>
    </row>
    <row r="94" ht="24" customHeight="1">
      <c r="A94" s="15" t="n">
        <v>91</v>
      </c>
      <c r="B94" s="21" t="inlineStr">
        <is>
          <t>العقار</t>
        </is>
      </c>
      <c r="C94" s="9" t="inlineStr">
        <is>
          <t>التأجير</t>
        </is>
      </c>
      <c r="D94" s="9" t="inlineStr">
        <is>
          <t>الوحدات المؤجَّرة شهرياً</t>
        </is>
      </c>
      <c r="E94" s="25" t="inlineStr">
        <is>
          <t>وحدة</t>
        </is>
      </c>
      <c r="F94" s="25" t="inlineStr">
        <is>
          <t>↑</t>
        </is>
      </c>
      <c r="G94" s="25" t="inlineStr">
        <is>
          <t>AVG</t>
        </is>
      </c>
      <c r="H94" s="26" t="inlineStr">
        <is>
          <t>🟠 مهم</t>
        </is>
      </c>
      <c r="I94" s="27" t="n">
        <v>0.05128</v>
      </c>
      <c r="J94" s="28" t="n">
        <v>68</v>
      </c>
      <c r="K94" s="29" t="inlineStr">
        <is>
          <t>68 شهرياً</t>
        </is>
      </c>
      <c r="L94" s="30" t="inlineStr">
        <is>
          <t>الاستدامة</t>
        </is>
      </c>
      <c r="M94" s="31" t="inlineStr">
        <is>
          <t>منظومة التأجير</t>
        </is>
      </c>
      <c r="N94" s="26" t="inlineStr">
        <is>
          <t>العمليات الداخلية</t>
        </is>
      </c>
      <c r="O94" s="32" t="n"/>
      <c r="P94" s="32" t="n"/>
      <c r="Q94" s="32" t="n"/>
      <c r="R94" s="32" t="n"/>
      <c r="S94" s="32" t="n"/>
      <c r="T94" s="32" t="n"/>
      <c r="U94" s="32" t="n"/>
      <c r="V94" s="32" t="n"/>
      <c r="W94" s="32" t="n"/>
      <c r="X94" s="32" t="n"/>
      <c r="Y94" s="32" t="n"/>
      <c r="Z94" s="32" t="n"/>
      <c r="AA94" s="33">
        <f>IF($G94="SUM",IF(COUNT($O94:$Z94)=0,"",SUM($O94:$Z94)),IF($G94="AVG",IFERROR(AVERAGE($O94:$Z94),""),IF($G94="LAST",IFERROR(LOOKUP(2,1/($O94:$Z94&lt;&gt;""),$O94:$Z94),""),"")))</f>
        <v/>
      </c>
      <c r="AB94" s="16">
        <f>IF($J94="","",IF($AA94="","",IF($J94=0,IF($AA94&lt;=0,1,0),IF($F94="↓",IFERROR($J94/$AA94,0),IFERROR($AA94/$J94,0)))))</f>
        <v/>
      </c>
      <c r="AC94" s="15">
        <f>IF($AB94="","—",IF($AB94&gt;=1,"✅ محقق",IF($AB94&gt;=0.85,"🟡 قريب","🔴 تحت الهدف")))</f>
        <v/>
      </c>
    </row>
    <row r="95" ht="24" customHeight="1">
      <c r="A95" s="15" t="n">
        <v>92</v>
      </c>
      <c r="B95" s="21" t="inlineStr">
        <is>
          <t>العقار</t>
        </is>
      </c>
      <c r="C95" s="9" t="inlineStr">
        <is>
          <t>التأجير</t>
        </is>
      </c>
      <c r="D95" s="9" t="inlineStr">
        <is>
          <t>العملاء المحتملون (LEADS)</t>
        </is>
      </c>
      <c r="E95" s="25" t="inlineStr">
        <is>
          <t>عميل</t>
        </is>
      </c>
      <c r="F95" s="25" t="inlineStr">
        <is>
          <t>↑</t>
        </is>
      </c>
      <c r="G95" s="25" t="inlineStr">
        <is>
          <t>AVG</t>
        </is>
      </c>
      <c r="H95" s="26" t="inlineStr">
        <is>
          <t>🟠 مهم</t>
        </is>
      </c>
      <c r="I95" s="27" t="n">
        <v>0.05128</v>
      </c>
      <c r="J95" s="28" t="n">
        <v>680</v>
      </c>
      <c r="K95" s="29" t="inlineStr">
        <is>
          <t>544–680</t>
        </is>
      </c>
      <c r="L95" s="30" t="inlineStr">
        <is>
          <t>النمو</t>
        </is>
      </c>
      <c r="M95" s="31" t="inlineStr">
        <is>
          <t>زيادة وصول العملاء</t>
        </is>
      </c>
      <c r="N95" s="26" t="inlineStr">
        <is>
          <t>العملاء</t>
        </is>
      </c>
      <c r="O95" s="32" t="n"/>
      <c r="P95" s="32" t="n"/>
      <c r="Q95" s="32" t="n"/>
      <c r="R95" s="32" t="n"/>
      <c r="S95" s="32" t="n"/>
      <c r="T95" s="32" t="n"/>
      <c r="U95" s="32" t="n"/>
      <c r="V95" s="32" t="n"/>
      <c r="W95" s="32" t="n"/>
      <c r="X95" s="32" t="n"/>
      <c r="Y95" s="32" t="n"/>
      <c r="Z95" s="32" t="n"/>
      <c r="AA95" s="33">
        <f>IF($G95="SUM",IF(COUNT($O95:$Z95)=0,"",SUM($O95:$Z95)),IF($G95="AVG",IFERROR(AVERAGE($O95:$Z95),""),IF($G95="LAST",IFERROR(LOOKUP(2,1/($O95:$Z95&lt;&gt;""),$O95:$Z95),""),"")))</f>
        <v/>
      </c>
      <c r="AB95" s="16">
        <f>IF($J95="","",IF($AA95="","",IF($J95=0,IF($AA95&lt;=0,1,0),IF($F95="↓",IFERROR($J95/$AA95,0),IFERROR($AA95/$J95,0)))))</f>
        <v/>
      </c>
      <c r="AC95" s="15">
        <f>IF($AB95="","—",IF($AB95&gt;=1,"✅ محقق",IF($AB95&gt;=0.85,"🟡 قريب","🔴 تحت الهدف")))</f>
        <v/>
      </c>
    </row>
    <row r="96" ht="24" customHeight="1">
      <c r="A96" s="15" t="n">
        <v>93</v>
      </c>
      <c r="B96" s="21" t="inlineStr">
        <is>
          <t>العقار</t>
        </is>
      </c>
      <c r="C96" s="9" t="inlineStr">
        <is>
          <t>التأجير</t>
        </is>
      </c>
      <c r="D96" s="9" t="inlineStr">
        <is>
          <t>معدل التحويل</t>
        </is>
      </c>
      <c r="E96" s="25" t="inlineStr">
        <is>
          <t>%</t>
        </is>
      </c>
      <c r="F96" s="25" t="inlineStr">
        <is>
          <t>↑</t>
        </is>
      </c>
      <c r="G96" s="25" t="inlineStr">
        <is>
          <t>AVG</t>
        </is>
      </c>
      <c r="H96" s="26" t="inlineStr">
        <is>
          <t>🔴 رئيسي</t>
        </is>
      </c>
      <c r="I96" s="27" t="n">
        <v>0.07692</v>
      </c>
      <c r="J96" s="27" t="n">
        <v>0.2</v>
      </c>
      <c r="K96" s="29" t="inlineStr">
        <is>
          <t>15–25%</t>
        </is>
      </c>
      <c r="L96" s="30" t="inlineStr">
        <is>
          <t>النمو</t>
        </is>
      </c>
      <c r="M96" s="31" t="inlineStr">
        <is>
          <t>زيادة وصول العملاء</t>
        </is>
      </c>
      <c r="N96" s="26" t="inlineStr">
        <is>
          <t>العمليات الداخلية</t>
        </is>
      </c>
      <c r="O96" s="36" t="n"/>
      <c r="P96" s="36" t="n"/>
      <c r="Q96" s="36" t="n"/>
      <c r="R96" s="36" t="n"/>
      <c r="S96" s="36" t="n"/>
      <c r="T96" s="36" t="n"/>
      <c r="U96" s="36" t="n"/>
      <c r="V96" s="36" t="n"/>
      <c r="W96" s="36" t="n"/>
      <c r="X96" s="36" t="n"/>
      <c r="Y96" s="36" t="n"/>
      <c r="Z96" s="36" t="n"/>
      <c r="AA96" s="37">
        <f>IF($G96="SUM",IF(COUNT($O96:$Z96)=0,"",SUM($O96:$Z96)),IF($G96="AVG",IFERROR(AVERAGE($O96:$Z96),""),IF($G96="LAST",IFERROR(LOOKUP(2,1/($O96:$Z96&lt;&gt;""),$O96:$Z96),""),"")))</f>
        <v/>
      </c>
      <c r="AB96" s="16">
        <f>IF($J96="","",IF($AA96="","",IF($J96=0,IF($AA96&lt;=0,1,0),IF($F96="↓",IFERROR($J96/$AA96,0),IFERROR($AA96/$J96,0)))))</f>
        <v/>
      </c>
      <c r="AC96" s="15">
        <f>IF($AB96="","—",IF($AB96&gt;=1,"✅ محقق",IF($AB96&gt;=0.85,"🟡 قريب","🔴 تحت الهدف")))</f>
        <v/>
      </c>
    </row>
    <row r="97" ht="24" customHeight="1">
      <c r="A97" s="15" t="n">
        <v>94</v>
      </c>
      <c r="B97" s="21" t="inlineStr">
        <is>
          <t>العقار</t>
        </is>
      </c>
      <c r="C97" s="9" t="inlineStr">
        <is>
          <t>التأجير</t>
        </is>
      </c>
      <c r="D97" s="9" t="inlineStr">
        <is>
          <t>زيادة عدد العلامات التجارية</t>
        </is>
      </c>
      <c r="E97" s="25" t="inlineStr">
        <is>
          <t>علامة</t>
        </is>
      </c>
      <c r="F97" s="25" t="inlineStr">
        <is>
          <t>↑</t>
        </is>
      </c>
      <c r="G97" s="25" t="inlineStr">
        <is>
          <t>LAST</t>
        </is>
      </c>
      <c r="H97" s="26" t="inlineStr">
        <is>
          <t>🟠 مهم</t>
        </is>
      </c>
      <c r="I97" s="27" t="n">
        <v>0.05128</v>
      </c>
      <c r="J97" s="28" t="n">
        <v>246</v>
      </c>
      <c r="K97" s="29" t="inlineStr">
        <is>
          <t>246 علامة</t>
        </is>
      </c>
      <c r="L97" s="30" t="inlineStr">
        <is>
          <t>الاستدامة</t>
        </is>
      </c>
      <c r="M97" s="31" t="inlineStr">
        <is>
          <t>منظومة التأجير</t>
        </is>
      </c>
      <c r="N97" s="26" t="inlineStr">
        <is>
          <t>العمليات الداخلية</t>
        </is>
      </c>
      <c r="O97" s="32" t="n"/>
      <c r="P97" s="32" t="n"/>
      <c r="Q97" s="32" t="n"/>
      <c r="R97" s="32" t="n"/>
      <c r="S97" s="32" t="n"/>
      <c r="T97" s="32" t="n"/>
      <c r="U97" s="32" t="n"/>
      <c r="V97" s="32" t="n"/>
      <c r="W97" s="32" t="n"/>
      <c r="X97" s="32" t="n"/>
      <c r="Y97" s="32" t="n"/>
      <c r="Z97" s="32" t="n"/>
      <c r="AA97" s="33">
        <f>IF($G97="SUM",IF(COUNT($O97:$Z97)=0,"",SUM($O97:$Z97)),IF($G97="AVG",IFERROR(AVERAGE($O97:$Z97),""),IF($G97="LAST",IFERROR(LOOKUP(2,1/($O97:$Z97&lt;&gt;""),$O97:$Z97),""),"")))</f>
        <v/>
      </c>
      <c r="AB97" s="16">
        <f>IF($J97="","",IF($AA97="","",IF($J97=0,IF($AA97&lt;=0,1,0),IF($F97="↓",IFERROR($J97/$AA97,0),IFERROR($AA97/$J97,0)))))</f>
        <v/>
      </c>
      <c r="AC97" s="15">
        <f>IF($AB97="","—",IF($AB97&gt;=1,"✅ محقق",IF($AB97&gt;=0.85,"🟡 قريب","🔴 تحت الهدف")))</f>
        <v/>
      </c>
    </row>
    <row r="98" ht="24" customHeight="1">
      <c r="A98" s="15" t="n">
        <v>95</v>
      </c>
      <c r="B98" s="21" t="inlineStr">
        <is>
          <t>العقار</t>
        </is>
      </c>
      <c r="C98" s="9" t="inlineStr">
        <is>
          <t>الإبداع والتكامل</t>
        </is>
      </c>
      <c r="D98" s="9" t="inlineStr">
        <is>
          <t>نسبة تأجير ساحة درب</t>
        </is>
      </c>
      <c r="E98" s="25" t="inlineStr">
        <is>
          <t>%</t>
        </is>
      </c>
      <c r="F98" s="25" t="inlineStr">
        <is>
          <t>↑</t>
        </is>
      </c>
      <c r="G98" s="25" t="inlineStr">
        <is>
          <t>LAST</t>
        </is>
      </c>
      <c r="H98" s="26" t="inlineStr">
        <is>
          <t>🟠 مهم</t>
        </is>
      </c>
      <c r="I98" s="27" t="n">
        <v>0.05128</v>
      </c>
      <c r="J98" s="27" t="n">
        <v>0.8</v>
      </c>
      <c r="K98" s="29" t="inlineStr">
        <is>
          <t>≥ 80%</t>
        </is>
      </c>
      <c r="L98" s="30" t="inlineStr">
        <is>
          <t>الابتكار</t>
        </is>
      </c>
      <c r="M98" s="31" t="inlineStr">
        <is>
          <t>ساحات درب</t>
        </is>
      </c>
      <c r="N98" s="26" t="inlineStr">
        <is>
          <t>العمليات الداخلية</t>
        </is>
      </c>
      <c r="O98" s="36" t="n"/>
      <c r="P98" s="36" t="n"/>
      <c r="Q98" s="36" t="n"/>
      <c r="R98" s="36" t="n"/>
      <c r="S98" s="36" t="n"/>
      <c r="T98" s="36" t="n"/>
      <c r="U98" s="36" t="n"/>
      <c r="V98" s="36" t="n"/>
      <c r="W98" s="36" t="n"/>
      <c r="X98" s="36" t="n"/>
      <c r="Y98" s="36" t="n"/>
      <c r="Z98" s="36" t="n"/>
      <c r="AA98" s="37">
        <f>IF($G98="SUM",IF(COUNT($O98:$Z98)=0,"",SUM($O98:$Z98)),IF($G98="AVG",IFERROR(AVERAGE($O98:$Z98),""),IF($G98="LAST",IFERROR(LOOKUP(2,1/($O98:$Z98&lt;&gt;""),$O98:$Z98),""),"")))</f>
        <v/>
      </c>
      <c r="AB98" s="16">
        <f>IF($J98="","",IF($AA98="","",IF($J98=0,IF($AA98&lt;=0,1,0),IF($F98="↓",IFERROR($J98/$AA98,0),IFERROR($AA98/$J98,0)))))</f>
        <v/>
      </c>
      <c r="AC98" s="15">
        <f>IF($AB98="","—",IF($AB98&gt;=1,"✅ محقق",IF($AB98&gt;=0.85,"🟡 قريب","🔴 تحت الهدف")))</f>
        <v/>
      </c>
    </row>
    <row r="99" ht="24" customHeight="1">
      <c r="A99" s="15" t="n">
        <v>96</v>
      </c>
      <c r="B99" s="21" t="inlineStr">
        <is>
          <t>العقار</t>
        </is>
      </c>
      <c r="C99" s="9" t="inlineStr">
        <is>
          <t>الإبداع والتكامل</t>
        </is>
      </c>
      <c r="D99" s="9" t="inlineStr">
        <is>
          <t>علامات تجارية جديدة (ساحة درب)</t>
        </is>
      </c>
      <c r="E99" s="25" t="inlineStr">
        <is>
          <t>علامة</t>
        </is>
      </c>
      <c r="F99" s="25" t="inlineStr">
        <is>
          <t>↑</t>
        </is>
      </c>
      <c r="G99" s="25" t="inlineStr">
        <is>
          <t>SUM</t>
        </is>
      </c>
      <c r="H99" s="26" t="inlineStr">
        <is>
          <t>🟠 مهم</t>
        </is>
      </c>
      <c r="I99" s="27" t="n">
        <v>0.05128</v>
      </c>
      <c r="J99" s="28" t="n">
        <v>6</v>
      </c>
      <c r="K99" s="29" t="inlineStr">
        <is>
          <t>6 علامات</t>
        </is>
      </c>
      <c r="L99" s="30" t="inlineStr">
        <is>
          <t>الابتكار</t>
        </is>
      </c>
      <c r="M99" s="31" t="inlineStr">
        <is>
          <t>ساحات درب</t>
        </is>
      </c>
      <c r="N99" s="26" t="inlineStr">
        <is>
          <t>العمليات الداخلية</t>
        </is>
      </c>
      <c r="O99" s="32" t="n"/>
      <c r="P99" s="32" t="n"/>
      <c r="Q99" s="32" t="n"/>
      <c r="R99" s="32" t="n"/>
      <c r="S99" s="32" t="n"/>
      <c r="T99" s="32" t="n"/>
      <c r="U99" s="32" t="n"/>
      <c r="V99" s="32" t="n"/>
      <c r="W99" s="32" t="n"/>
      <c r="X99" s="32" t="n"/>
      <c r="Y99" s="32" t="n"/>
      <c r="Z99" s="32" t="n"/>
      <c r="AA99" s="33">
        <f>IF($G99="SUM",IF(COUNT($O99:$Z99)=0,"",SUM($O99:$Z99)),IF($G99="AVG",IFERROR(AVERAGE($O99:$Z99),""),IF($G99="LAST",IFERROR(LOOKUP(2,1/($O99:$Z99&lt;&gt;""),$O99:$Z99),""),"")))</f>
        <v/>
      </c>
      <c r="AB99" s="16">
        <f>IF($J99="","",IF($AA99="","",IF($J99=0,IF($AA99&lt;=0,1,0),IF($F99="↓",IFERROR($J99/$AA99,0),IFERROR($AA99/$J99,0)))))</f>
        <v/>
      </c>
      <c r="AC99" s="15">
        <f>IF($AB99="","—",IF($AB99&gt;=1,"✅ محقق",IF($AB99&gt;=0.85,"🟡 قريب","🔴 تحت الهدف")))</f>
        <v/>
      </c>
    </row>
    <row r="100" ht="24" customHeight="1">
      <c r="A100" s="15" t="n">
        <v>97</v>
      </c>
      <c r="B100" s="21" t="inlineStr">
        <is>
          <t>العقار</t>
        </is>
      </c>
      <c r="C100" s="9" t="inlineStr">
        <is>
          <t>الإبداع والتكامل</t>
        </is>
      </c>
      <c r="D100" s="9" t="inlineStr">
        <is>
          <t>الشراكات الاستراتيجية</t>
        </is>
      </c>
      <c r="E100" s="25" t="inlineStr">
        <is>
          <t>شراكة</t>
        </is>
      </c>
      <c r="F100" s="25" t="inlineStr">
        <is>
          <t>↑</t>
        </is>
      </c>
      <c r="G100" s="25" t="inlineStr">
        <is>
          <t>SUM</t>
        </is>
      </c>
      <c r="H100" s="26" t="inlineStr">
        <is>
          <t>🟠 مهم</t>
        </is>
      </c>
      <c r="I100" s="27" t="n">
        <v>0.05128</v>
      </c>
      <c r="J100" s="28" t="n">
        <v>5</v>
      </c>
      <c r="K100" s="29" t="inlineStr">
        <is>
          <t>5 شراكات</t>
        </is>
      </c>
      <c r="L100" s="30" t="inlineStr">
        <is>
          <t>الابتكار</t>
        </is>
      </c>
      <c r="M100" s="31" t="inlineStr">
        <is>
          <t>إطلاق مشاريع جديدة</t>
        </is>
      </c>
      <c r="N100" s="26" t="inlineStr">
        <is>
          <t>التعلّم والنمو</t>
        </is>
      </c>
      <c r="O100" s="32" t="n"/>
      <c r="P100" s="32" t="n"/>
      <c r="Q100" s="32" t="n"/>
      <c r="R100" s="32" t="n"/>
      <c r="S100" s="32" t="n"/>
      <c r="T100" s="32" t="n"/>
      <c r="U100" s="32" t="n"/>
      <c r="V100" s="32" t="n"/>
      <c r="W100" s="32" t="n"/>
      <c r="X100" s="32" t="n"/>
      <c r="Y100" s="32" t="n"/>
      <c r="Z100" s="32" t="n"/>
      <c r="AA100" s="33">
        <f>IF($G100="SUM",IF(COUNT($O100:$Z100)=0,"",SUM($O100:$Z100)),IF($G100="AVG",IFERROR(AVERAGE($O100:$Z100),""),IF($G100="LAST",IFERROR(LOOKUP(2,1/($O100:$Z100&lt;&gt;""),$O100:$Z100),""),"")))</f>
        <v/>
      </c>
      <c r="AB100" s="16">
        <f>IF($J100="","",IF($AA100="","",IF($J100=0,IF($AA100&lt;=0,1,0),IF($F100="↓",IFERROR($J100/$AA100,0),IFERROR($AA100/$J100,0)))))</f>
        <v/>
      </c>
      <c r="AC100" s="15">
        <f>IF($AB100="","—",IF($AB100&gt;=1,"✅ محقق",IF($AB100&gt;=0.85,"🟡 قريب","🔴 تحت الهدف")))</f>
        <v/>
      </c>
    </row>
    <row r="101" ht="24" customHeight="1">
      <c r="A101" s="15" t="n">
        <v>98</v>
      </c>
      <c r="B101" s="21" t="inlineStr">
        <is>
          <t>العقار</t>
        </is>
      </c>
      <c r="C101" s="9" t="inlineStr">
        <is>
          <t>إدارة الأملاك</t>
        </is>
      </c>
      <c r="D101" s="9" t="inlineStr">
        <is>
          <t>نسبة تجديد العقود</t>
        </is>
      </c>
      <c r="E101" s="25" t="inlineStr">
        <is>
          <t>%</t>
        </is>
      </c>
      <c r="F101" s="25" t="inlineStr">
        <is>
          <t>↑</t>
        </is>
      </c>
      <c r="G101" s="25" t="inlineStr">
        <is>
          <t>AVG</t>
        </is>
      </c>
      <c r="H101" s="26" t="inlineStr">
        <is>
          <t>🔴 رئيسي</t>
        </is>
      </c>
      <c r="I101" s="27" t="n">
        <v>0.07692</v>
      </c>
      <c r="J101" s="27" t="n">
        <v>1</v>
      </c>
      <c r="K101" s="29" t="inlineStr">
        <is>
          <t>100%</t>
        </is>
      </c>
      <c r="L101" s="30" t="inlineStr">
        <is>
          <t>الاستدامة</t>
        </is>
      </c>
      <c r="M101" s="31" t="inlineStr">
        <is>
          <t>منظومة التأجير</t>
        </is>
      </c>
      <c r="N101" s="26" t="inlineStr">
        <is>
          <t>العمليات الداخلية</t>
        </is>
      </c>
      <c r="O101" s="36" t="n"/>
      <c r="P101" s="36" t="n"/>
      <c r="Q101" s="36" t="n"/>
      <c r="R101" s="36" t="n"/>
      <c r="S101" s="36" t="n"/>
      <c r="T101" s="36" t="n"/>
      <c r="U101" s="36" t="n"/>
      <c r="V101" s="36" t="n"/>
      <c r="W101" s="36" t="n"/>
      <c r="X101" s="36" t="n"/>
      <c r="Y101" s="36" t="n"/>
      <c r="Z101" s="36" t="n"/>
      <c r="AA101" s="37">
        <f>IF($G101="SUM",IF(COUNT($O101:$Z101)=0,"",SUM($O101:$Z101)),IF($G101="AVG",IFERROR(AVERAGE($O101:$Z101),""),IF($G101="LAST",IFERROR(LOOKUP(2,1/($O101:$Z101&lt;&gt;""),$O101:$Z101),""),"")))</f>
        <v/>
      </c>
      <c r="AB101" s="16">
        <f>IF($J101="","",IF($AA101="","",IF($J101=0,IF($AA101&lt;=0,1,0),IF($F101="↓",IFERROR($J101/$AA101,0),IFERROR($AA101/$J101,0)))))</f>
        <v/>
      </c>
      <c r="AC101" s="15">
        <f>IF($AB101="","—",IF($AB101&gt;=1,"✅ محقق",IF($AB101&gt;=0.85,"🟡 قريب","🔴 تحت الهدف")))</f>
        <v/>
      </c>
    </row>
    <row r="102" ht="24" customHeight="1">
      <c r="A102" s="15" t="n">
        <v>99</v>
      </c>
      <c r="B102" s="21" t="inlineStr">
        <is>
          <t>العقار</t>
        </is>
      </c>
      <c r="C102" s="9" t="inlineStr">
        <is>
          <t>تنسيق المشاريع</t>
        </is>
      </c>
      <c r="D102" s="9" t="inlineStr">
        <is>
          <t>متوسط زمن تسليم الوحدة</t>
        </is>
      </c>
      <c r="E102" s="25" t="inlineStr">
        <is>
          <t>يوم</t>
        </is>
      </c>
      <c r="F102" s="25" t="inlineStr">
        <is>
          <t>↓</t>
        </is>
      </c>
      <c r="G102" s="25" t="inlineStr">
        <is>
          <t>AVG</t>
        </is>
      </c>
      <c r="H102" s="26" t="inlineStr">
        <is>
          <t>🟠 مهم</t>
        </is>
      </c>
      <c r="I102" s="27" t="n">
        <v>0.05128</v>
      </c>
      <c r="J102" s="38" t="n">
        <v>7</v>
      </c>
      <c r="K102" s="29" t="inlineStr">
        <is>
          <t>≤ 7 أيام</t>
        </is>
      </c>
      <c r="L102" s="30" t="inlineStr">
        <is>
          <t>الاستدامة</t>
        </is>
      </c>
      <c r="M102" s="31" t="inlineStr">
        <is>
          <t>جودة التشغيل</t>
        </is>
      </c>
      <c r="N102" s="26" t="inlineStr">
        <is>
          <t>العمليات الداخلية</t>
        </is>
      </c>
      <c r="O102" s="39" t="n"/>
      <c r="P102" s="39" t="n"/>
      <c r="Q102" s="39" t="n"/>
      <c r="R102" s="39" t="n"/>
      <c r="S102" s="39" t="n"/>
      <c r="T102" s="39" t="n"/>
      <c r="U102" s="39" t="n"/>
      <c r="V102" s="39" t="n"/>
      <c r="W102" s="39" t="n"/>
      <c r="X102" s="39" t="n"/>
      <c r="Y102" s="39" t="n"/>
      <c r="Z102" s="39" t="n"/>
      <c r="AA102" s="40">
        <f>IF($G102="SUM",IF(COUNT($O102:$Z102)=0,"",SUM($O102:$Z102)),IF($G102="AVG",IFERROR(AVERAGE($O102:$Z102),""),IF($G102="LAST",IFERROR(LOOKUP(2,1/($O102:$Z102&lt;&gt;""),$O102:$Z102),""),"")))</f>
        <v/>
      </c>
      <c r="AB102" s="16">
        <f>IF($J102="","",IF($AA102="","",IF($J102=0,IF($AA102&lt;=0,1,0),IF($F102="↓",IFERROR($J102/$AA102,0),IFERROR($AA102/$J102,0)))))</f>
        <v/>
      </c>
      <c r="AC102" s="15">
        <f>IF($AB102="","—",IF($AB102&gt;=1,"✅ محقق",IF($AB102&gt;=0.85,"🟡 قريب","🔴 تحت الهدف")))</f>
        <v/>
      </c>
    </row>
    <row r="103" ht="24" customHeight="1">
      <c r="A103" s="15" t="n">
        <v>100</v>
      </c>
      <c r="B103" s="21" t="inlineStr">
        <is>
          <t>العقار</t>
        </is>
      </c>
      <c r="C103" s="9" t="inlineStr">
        <is>
          <t>تنسيق المشاريع</t>
        </is>
      </c>
      <c r="D103" s="9" t="inlineStr">
        <is>
          <t>نسبة إغلاق الطلبات خلال 3 أسابيع</t>
        </is>
      </c>
      <c r="E103" s="25" t="inlineStr">
        <is>
          <t>%</t>
        </is>
      </c>
      <c r="F103" s="25" t="inlineStr">
        <is>
          <t>↑</t>
        </is>
      </c>
      <c r="G103" s="25" t="inlineStr">
        <is>
          <t>AVG</t>
        </is>
      </c>
      <c r="H103" s="26" t="inlineStr">
        <is>
          <t>🟠 مهم</t>
        </is>
      </c>
      <c r="I103" s="27" t="n">
        <v>0.05128</v>
      </c>
      <c r="J103" s="27" t="n">
        <v>0.9</v>
      </c>
      <c r="K103" s="29" t="inlineStr">
        <is>
          <t>&gt; 90%</t>
        </is>
      </c>
      <c r="L103" s="30" t="inlineStr">
        <is>
          <t>الاستدامة</t>
        </is>
      </c>
      <c r="M103" s="31" t="inlineStr">
        <is>
          <t>جودة التشغيل</t>
        </is>
      </c>
      <c r="N103" s="26" t="inlineStr">
        <is>
          <t>العمليات الداخلية</t>
        </is>
      </c>
      <c r="O103" s="36" t="n"/>
      <c r="P103" s="36" t="n"/>
      <c r="Q103" s="36" t="n"/>
      <c r="R103" s="36" t="n"/>
      <c r="S103" s="36" t="n"/>
      <c r="T103" s="36" t="n"/>
      <c r="U103" s="36" t="n"/>
      <c r="V103" s="36" t="n"/>
      <c r="W103" s="36" t="n"/>
      <c r="X103" s="36" t="n"/>
      <c r="Y103" s="36" t="n"/>
      <c r="Z103" s="36" t="n"/>
      <c r="AA103" s="37">
        <f>IF($G103="SUM",IF(COUNT($O103:$Z103)=0,"",SUM($O103:$Z103)),IF($G103="AVG",IFERROR(AVERAGE($O103:$Z103),""),IF($G103="LAST",IFERROR(LOOKUP(2,1/($O103:$Z103&lt;&gt;""),$O103:$Z103),""),"")))</f>
        <v/>
      </c>
      <c r="AB103" s="16">
        <f>IF($J103="","",IF($AA103="","",IF($J103=0,IF($AA103&lt;=0,1,0),IF($F103="↓",IFERROR($J103/$AA103,0),IFERROR($AA103/$J103,0)))))</f>
        <v/>
      </c>
      <c r="AC103" s="15">
        <f>IF($AB103="","—",IF($AB103&gt;=1,"✅ محقق",IF($AB103&gt;=0.85,"🟡 قريب","🔴 تحت الهدف")))</f>
        <v/>
      </c>
    </row>
    <row r="104" ht="24" customHeight="1">
      <c r="A104" s="15" t="n">
        <v>101</v>
      </c>
      <c r="B104" s="21" t="inlineStr">
        <is>
          <t>العقار</t>
        </is>
      </c>
      <c r="C104" s="9" t="inlineStr">
        <is>
          <t>الجودة والاستدامة</t>
        </is>
      </c>
      <c r="D104" s="9" t="inlineStr">
        <is>
          <t>استدامة المستأجرين (لم يُنهَ مبكراً)</t>
        </is>
      </c>
      <c r="E104" s="25" t="inlineStr">
        <is>
          <t>%</t>
        </is>
      </c>
      <c r="F104" s="25" t="inlineStr">
        <is>
          <t>↑</t>
        </is>
      </c>
      <c r="G104" s="25" t="inlineStr">
        <is>
          <t>AVG</t>
        </is>
      </c>
      <c r="H104" s="26" t="inlineStr">
        <is>
          <t>🟠 مهم</t>
        </is>
      </c>
      <c r="I104" s="27" t="n">
        <v>0.05128</v>
      </c>
      <c r="J104" s="27" t="n">
        <v>0.8</v>
      </c>
      <c r="K104" s="29" t="inlineStr">
        <is>
          <t>≥ 80%</t>
        </is>
      </c>
      <c r="L104" s="30" t="inlineStr">
        <is>
          <t>الاستدامة</t>
        </is>
      </c>
      <c r="M104" s="31" t="inlineStr">
        <is>
          <t>تعزيز تجربة العملاء</t>
        </is>
      </c>
      <c r="N104" s="26" t="inlineStr">
        <is>
          <t>العملاء</t>
        </is>
      </c>
      <c r="O104" s="36" t="n"/>
      <c r="P104" s="36" t="n"/>
      <c r="Q104" s="36" t="n"/>
      <c r="R104" s="36" t="n"/>
      <c r="S104" s="36" t="n"/>
      <c r="T104" s="36" t="n"/>
      <c r="U104" s="36" t="n"/>
      <c r="V104" s="36" t="n"/>
      <c r="W104" s="36" t="n"/>
      <c r="X104" s="36" t="n"/>
      <c r="Y104" s="36" t="n"/>
      <c r="Z104" s="36" t="n"/>
      <c r="AA104" s="37">
        <f>IF($G104="SUM",IF(COUNT($O104:$Z104)=0,"",SUM($O104:$Z104)),IF($G104="AVG",IFERROR(AVERAGE($O104:$Z104),""),IF($G104="LAST",IFERROR(LOOKUP(2,1/($O104:$Z104&lt;&gt;""),$O104:$Z104),""),"")))</f>
        <v/>
      </c>
      <c r="AB104" s="16">
        <f>IF($J104="","",IF($AA104="","",IF($J104=0,IF($AA104&lt;=0,1,0),IF($F104="↓",IFERROR($J104/$AA104,0),IFERROR($AA104/$J104,0)))))</f>
        <v/>
      </c>
      <c r="AC104" s="15">
        <f>IF($AB104="","—",IF($AB104&gt;=1,"✅ محقق",IF($AB104&gt;=0.85,"🟡 قريب","🔴 تحت الهدف")))</f>
        <v/>
      </c>
    </row>
    <row r="105" ht="24" customHeight="1">
      <c r="A105" s="15" t="n">
        <v>102</v>
      </c>
      <c r="B105" s="21" t="inlineStr">
        <is>
          <t>العقار</t>
        </is>
      </c>
      <c r="C105" s="9" t="inlineStr">
        <is>
          <t>الجودة والاستدامة</t>
        </is>
      </c>
      <c r="D105" s="9" t="inlineStr">
        <is>
          <t>معدل رضا المستأجرين (استبيان ربعي)</t>
        </is>
      </c>
      <c r="E105" s="25" t="inlineStr">
        <is>
          <t>%</t>
        </is>
      </c>
      <c r="F105" s="25" t="inlineStr">
        <is>
          <t>↑</t>
        </is>
      </c>
      <c r="G105" s="25" t="inlineStr">
        <is>
          <t>AVG</t>
        </is>
      </c>
      <c r="H105" s="26" t="inlineStr">
        <is>
          <t>🔴 رئيسي</t>
        </is>
      </c>
      <c r="I105" s="27" t="n">
        <v>0.07692</v>
      </c>
      <c r="J105" s="27" t="n">
        <v>0.9</v>
      </c>
      <c r="K105" s="29" t="inlineStr">
        <is>
          <t>≥ 90%</t>
        </is>
      </c>
      <c r="L105" s="30" t="inlineStr">
        <is>
          <t>الاستدامة</t>
        </is>
      </c>
      <c r="M105" s="31" t="inlineStr">
        <is>
          <t>تعزيز تجربة العملاء</t>
        </is>
      </c>
      <c r="N105" s="26" t="inlineStr">
        <is>
          <t>العملاء</t>
        </is>
      </c>
      <c r="O105" s="36" t="n"/>
      <c r="P105" s="36" t="n"/>
      <c r="Q105" s="36" t="n"/>
      <c r="R105" s="36" t="n"/>
      <c r="S105" s="36" t="n"/>
      <c r="T105" s="36" t="n"/>
      <c r="U105" s="36" t="n"/>
      <c r="V105" s="36" t="n"/>
      <c r="W105" s="36" t="n"/>
      <c r="X105" s="36" t="n"/>
      <c r="Y105" s="36" t="n"/>
      <c r="Z105" s="36" t="n"/>
      <c r="AA105" s="37">
        <f>IF($G105="SUM",IF(COUNT($O105:$Z105)=0,"",SUM($O105:$Z105)),IF($G105="AVG",IFERROR(AVERAGE($O105:$Z105),""),IF($G105="LAST",IFERROR(LOOKUP(2,1/($O105:$Z105&lt;&gt;""),$O105:$Z105),""),"")))</f>
        <v/>
      </c>
      <c r="AB105" s="16">
        <f>IF($J105="","",IF($AA105="","",IF($J105=0,IF($AA105&lt;=0,1,0),IF($F105="↓",IFERROR($J105/$AA105,0),IFERROR($AA105/$J105,0)))))</f>
        <v/>
      </c>
      <c r="AC105" s="15">
        <f>IF($AB105="","—",IF($AB105&gt;=1,"✅ محقق",IF($AB105&gt;=0.85,"🟡 قريب","🔴 تحت الهدف")))</f>
        <v/>
      </c>
    </row>
    <row r="106" ht="24" customHeight="1">
      <c r="A106" s="15" t="n">
        <v>103</v>
      </c>
      <c r="B106" s="21" t="inlineStr">
        <is>
          <t>التقنية الرقمية</t>
        </is>
      </c>
      <c r="C106" s="9" t="inlineStr">
        <is>
          <t>أداء المشاريع</t>
        </is>
      </c>
      <c r="D106" s="9" t="inlineStr">
        <is>
          <t>نسبة إنجاز محفظة مشاريع التحول الرقمي</t>
        </is>
      </c>
      <c r="E106" s="25" t="inlineStr">
        <is>
          <t>%</t>
        </is>
      </c>
      <c r="F106" s="25" t="inlineStr">
        <is>
          <t>↑</t>
        </is>
      </c>
      <c r="G106" s="25" t="inlineStr">
        <is>
          <t>LAST</t>
        </is>
      </c>
      <c r="H106" s="26" t="inlineStr">
        <is>
          <t>🟠 مهم</t>
        </is>
      </c>
      <c r="I106" s="27" t="n">
        <v>0.1</v>
      </c>
      <c r="J106" s="27" t="n">
        <v>1</v>
      </c>
      <c r="K106" s="29" t="inlineStr">
        <is>
          <t>100%</t>
        </is>
      </c>
      <c r="L106" s="30" t="inlineStr">
        <is>
          <t>الابتكار</t>
        </is>
      </c>
      <c r="M106" s="31" t="inlineStr">
        <is>
          <t>التحول التقني</t>
        </is>
      </c>
      <c r="N106" s="26" t="inlineStr">
        <is>
          <t>التعلّم والنمو</t>
        </is>
      </c>
      <c r="O106" s="36" t="n"/>
      <c r="P106" s="36" t="n"/>
      <c r="Q106" s="36" t="n"/>
      <c r="R106" s="36" t="n"/>
      <c r="S106" s="36" t="n"/>
      <c r="T106" s="36" t="n">
        <v>0.06</v>
      </c>
      <c r="U106" s="36" t="n"/>
      <c r="V106" s="36" t="n"/>
      <c r="W106" s="36" t="n"/>
      <c r="X106" s="36" t="n"/>
      <c r="Y106" s="36" t="n"/>
      <c r="Z106" s="36" t="n"/>
      <c r="AA106" s="37">
        <f>IF($G106="SUM",IF(COUNT($O106:$Z106)=0,"",SUM($O106:$Z106)),IF($G106="AVG",IFERROR(AVERAGE($O106:$Z106),""),IF($G106="LAST",IFERROR(LOOKUP(2,1/($O106:$Z106&lt;&gt;""),$O106:$Z106),""),"")))</f>
        <v/>
      </c>
      <c r="AB106" s="16">
        <f>IF($J106="","",IF($AA106="","",IF($J106=0,IF($AA106&lt;=0,1,0),IF($F106="↓",IFERROR($J106/$AA106,0),IFERROR($AA106/$J106,0)))))</f>
        <v/>
      </c>
      <c r="AC106" s="15">
        <f>IF($AB106="","—",IF($AB106&gt;=1,"✅ محقق",IF($AB106&gt;=0.85,"🟡 قريب","🔴 تحت الهدف")))</f>
        <v/>
      </c>
    </row>
    <row r="107" ht="24" customHeight="1">
      <c r="A107" s="15" t="n">
        <v>104</v>
      </c>
      <c r="B107" s="21" t="inlineStr">
        <is>
          <t>التقنية الرقمية</t>
        </is>
      </c>
      <c r="C107" s="9" t="inlineStr">
        <is>
          <t>أداء المشاريع</t>
        </is>
      </c>
      <c r="D107" s="9" t="inlineStr">
        <is>
          <t>معدل تسليم المشاريع في الموعد المحدد</t>
        </is>
      </c>
      <c r="E107" s="25" t="inlineStr">
        <is>
          <t>%</t>
        </is>
      </c>
      <c r="F107" s="25" t="inlineStr">
        <is>
          <t>↑</t>
        </is>
      </c>
      <c r="G107" s="25" t="inlineStr">
        <is>
          <t>AVG</t>
        </is>
      </c>
      <c r="H107" s="26" t="inlineStr">
        <is>
          <t>🟠 مهم</t>
        </is>
      </c>
      <c r="I107" s="27" t="n">
        <v>0.1</v>
      </c>
      <c r="J107" s="27" t="n">
        <v>0.9</v>
      </c>
      <c r="K107" s="29" t="inlineStr">
        <is>
          <t>≥ 90%</t>
        </is>
      </c>
      <c r="L107" s="30" t="inlineStr">
        <is>
          <t>الابتكار</t>
        </is>
      </c>
      <c r="M107" s="31" t="inlineStr">
        <is>
          <t>التحول التقني</t>
        </is>
      </c>
      <c r="N107" s="26" t="inlineStr">
        <is>
          <t>العمليات الداخلية</t>
        </is>
      </c>
      <c r="O107" s="36" t="n"/>
      <c r="P107" s="36" t="n"/>
      <c r="Q107" s="36" t="n"/>
      <c r="R107" s="36" t="n"/>
      <c r="S107" s="36" t="n"/>
      <c r="T107" s="36" t="n"/>
      <c r="U107" s="36" t="n"/>
      <c r="V107" s="36" t="n"/>
      <c r="W107" s="36" t="n"/>
      <c r="X107" s="36" t="n"/>
      <c r="Y107" s="36" t="n"/>
      <c r="Z107" s="36" t="n"/>
      <c r="AA107" s="37">
        <f>IF($G107="SUM",IF(COUNT($O107:$Z107)=0,"",SUM($O107:$Z107)),IF($G107="AVG",IFERROR(AVERAGE($O107:$Z107),""),IF($G107="LAST",IFERROR(LOOKUP(2,1/($O107:$Z107&lt;&gt;""),$O107:$Z107),""),"")))</f>
        <v/>
      </c>
      <c r="AB107" s="16">
        <f>IF($J107="","",IF($AA107="","",IF($J107=0,IF($AA107&lt;=0,1,0),IF($F107="↓",IFERROR($J107/$AA107,0),IFERROR($AA107/$J107,0)))))</f>
        <v/>
      </c>
      <c r="AC107" s="15">
        <f>IF($AB107="","—",IF($AB107&gt;=1,"✅ محقق",IF($AB107&gt;=0.85,"🟡 قريب","🔴 تحت الهدف")))</f>
        <v/>
      </c>
    </row>
    <row r="108" ht="24" customHeight="1">
      <c r="A108" s="15" t="n">
        <v>105</v>
      </c>
      <c r="B108" s="21" t="inlineStr">
        <is>
          <t>التقنية الرقمية</t>
        </is>
      </c>
      <c r="C108" s="9" t="inlineStr">
        <is>
          <t>أداء المشاريع</t>
        </is>
      </c>
      <c r="D108" s="9" t="inlineStr">
        <is>
          <t>نسبة الالتزام بميزانية المشاريع</t>
        </is>
      </c>
      <c r="E108" s="25" t="inlineStr">
        <is>
          <t>%</t>
        </is>
      </c>
      <c r="F108" s="25" t="inlineStr">
        <is>
          <t>↑</t>
        </is>
      </c>
      <c r="G108" s="25" t="inlineStr">
        <is>
          <t>AVG</t>
        </is>
      </c>
      <c r="H108" s="26" t="inlineStr">
        <is>
          <t>🟠 مهم</t>
        </is>
      </c>
      <c r="I108" s="27" t="n">
        <v>0.1</v>
      </c>
      <c r="J108" s="27" t="n">
        <v>0.95</v>
      </c>
      <c r="K108" s="29" t="inlineStr">
        <is>
          <t>≥ 95%</t>
        </is>
      </c>
      <c r="L108" s="30" t="inlineStr">
        <is>
          <t>الابتكار</t>
        </is>
      </c>
      <c r="M108" s="31" t="inlineStr">
        <is>
          <t>التحول التقني</t>
        </is>
      </c>
      <c r="N108" s="26" t="inlineStr">
        <is>
          <t>العمليات الداخلية</t>
        </is>
      </c>
      <c r="O108" s="36" t="n"/>
      <c r="P108" s="36" t="n"/>
      <c r="Q108" s="36" t="n"/>
      <c r="R108" s="36" t="n"/>
      <c r="S108" s="36" t="n"/>
      <c r="T108" s="36" t="n"/>
      <c r="U108" s="36" t="n"/>
      <c r="V108" s="36" t="n"/>
      <c r="W108" s="36" t="n"/>
      <c r="X108" s="36" t="n"/>
      <c r="Y108" s="36" t="n"/>
      <c r="Z108" s="36" t="n"/>
      <c r="AA108" s="37">
        <f>IF($G108="SUM",IF(COUNT($O108:$Z108)=0,"",SUM($O108:$Z108)),IF($G108="AVG",IFERROR(AVERAGE($O108:$Z108),""),IF($G108="LAST",IFERROR(LOOKUP(2,1/($O108:$Z108&lt;&gt;""),$O108:$Z108),""),"")))</f>
        <v/>
      </c>
      <c r="AB108" s="16">
        <f>IF($J108="","",IF($AA108="","",IF($J108=0,IF($AA108&lt;=0,1,0),IF($F108="↓",IFERROR($J108/$AA108,0),IFERROR($AA108/$J108,0)))))</f>
        <v/>
      </c>
      <c r="AC108" s="15">
        <f>IF($AB108="","—",IF($AB108&gt;=1,"✅ محقق",IF($AB108&gt;=0.85,"🟡 قريب","🔴 تحت الهدف")))</f>
        <v/>
      </c>
    </row>
    <row r="109" ht="24" customHeight="1">
      <c r="A109" s="15" t="n">
        <v>106</v>
      </c>
      <c r="B109" s="21" t="inlineStr">
        <is>
          <t>التقنية الرقمية</t>
        </is>
      </c>
      <c r="C109" s="9" t="inlineStr">
        <is>
          <t>أداء المشاريع</t>
        </is>
      </c>
      <c r="D109" s="9" t="inlineStr">
        <is>
          <t>نسبة الالتزام بنطاق العمل</t>
        </is>
      </c>
      <c r="E109" s="25" t="inlineStr">
        <is>
          <t>%</t>
        </is>
      </c>
      <c r="F109" s="25" t="inlineStr">
        <is>
          <t>↑</t>
        </is>
      </c>
      <c r="G109" s="25" t="inlineStr">
        <is>
          <t>LAST</t>
        </is>
      </c>
      <c r="H109" s="26" t="inlineStr">
        <is>
          <t>🟠 مهم</t>
        </is>
      </c>
      <c r="I109" s="27" t="n">
        <v>0.1</v>
      </c>
      <c r="J109" s="27" t="n">
        <v>0.95</v>
      </c>
      <c r="K109" s="29" t="inlineStr">
        <is>
          <t>≥ 95%</t>
        </is>
      </c>
      <c r="L109" s="30" t="inlineStr">
        <is>
          <t>الابتكار</t>
        </is>
      </c>
      <c r="M109" s="31" t="inlineStr">
        <is>
          <t>التحول التقني</t>
        </is>
      </c>
      <c r="N109" s="26" t="inlineStr">
        <is>
          <t>العمليات الداخلية</t>
        </is>
      </c>
      <c r="O109" s="36" t="n"/>
      <c r="P109" s="36" t="n"/>
      <c r="Q109" s="36" t="n"/>
      <c r="R109" s="36" t="n"/>
      <c r="S109" s="36" t="n"/>
      <c r="T109" s="36" t="n"/>
      <c r="U109" s="36" t="n"/>
      <c r="V109" s="36" t="n"/>
      <c r="W109" s="36" t="n"/>
      <c r="X109" s="36" t="n"/>
      <c r="Y109" s="36" t="n"/>
      <c r="Z109" s="36" t="n"/>
      <c r="AA109" s="37">
        <f>IF($G109="SUM",IF(COUNT($O109:$Z109)=0,"",SUM($O109:$Z109)),IF($G109="AVG",IFERROR(AVERAGE($O109:$Z109),""),IF($G109="LAST",IFERROR(LOOKUP(2,1/($O109:$Z109&lt;&gt;""),$O109:$Z109),""),"")))</f>
        <v/>
      </c>
      <c r="AB109" s="16">
        <f>IF($J109="","",IF($AA109="","",IF($J109=0,IF($AA109&lt;=0,1,0),IF($F109="↓",IFERROR($J109/$AA109,0),IFERROR($AA109/$J109,0)))))</f>
        <v/>
      </c>
      <c r="AC109" s="15">
        <f>IF($AB109="","—",IF($AB109&gt;=1,"✅ محقق",IF($AB109&gt;=0.85,"🟡 قريب","🔴 تحت الهدف")))</f>
        <v/>
      </c>
    </row>
    <row r="110" ht="24" customHeight="1">
      <c r="A110" s="15" t="n">
        <v>107</v>
      </c>
      <c r="B110" s="21" t="inlineStr">
        <is>
          <t>التقنية الرقمية</t>
        </is>
      </c>
      <c r="C110" s="9" t="inlineStr">
        <is>
          <t>الكفاءة التشغيلية</t>
        </is>
      </c>
      <c r="D110" s="9" t="inlineStr">
        <is>
          <t>نسبة تفعيل الأنظمة الأساسية بالمحطات</t>
        </is>
      </c>
      <c r="E110" s="25" t="inlineStr">
        <is>
          <t>%</t>
        </is>
      </c>
      <c r="F110" s="25" t="inlineStr">
        <is>
          <t>↑</t>
        </is>
      </c>
      <c r="G110" s="25" t="inlineStr">
        <is>
          <t>LAST</t>
        </is>
      </c>
      <c r="H110" s="26" t="inlineStr">
        <is>
          <t>🔴 رئيسي</t>
        </is>
      </c>
      <c r="I110" s="27" t="n">
        <v>0.15</v>
      </c>
      <c r="J110" s="27" t="n">
        <v>1</v>
      </c>
      <c r="K110" s="29" t="inlineStr">
        <is>
          <t>100%</t>
        </is>
      </c>
      <c r="L110" s="30" t="inlineStr">
        <is>
          <t>الاستدامة</t>
        </is>
      </c>
      <c r="M110" s="31" t="inlineStr">
        <is>
          <t>جودة التشغيل</t>
        </is>
      </c>
      <c r="N110" s="26" t="inlineStr">
        <is>
          <t>العمليات الداخلية</t>
        </is>
      </c>
      <c r="O110" s="36" t="n"/>
      <c r="P110" s="36" t="n"/>
      <c r="Q110" s="36" t="n"/>
      <c r="R110" s="36" t="n"/>
      <c r="S110" s="36" t="n"/>
      <c r="T110" s="36" t="n">
        <v>0.33</v>
      </c>
      <c r="U110" s="36" t="n"/>
      <c r="V110" s="36" t="n"/>
      <c r="W110" s="36" t="n"/>
      <c r="X110" s="36" t="n"/>
      <c r="Y110" s="36" t="n"/>
      <c r="Z110" s="36" t="n"/>
      <c r="AA110" s="37">
        <f>IF($G110="SUM",IF(COUNT($O110:$Z110)=0,"",SUM($O110:$Z110)),IF($G110="AVG",IFERROR(AVERAGE($O110:$Z110),""),IF($G110="LAST",IFERROR(LOOKUP(2,1/($O110:$Z110&lt;&gt;""),$O110:$Z110),""),"")))</f>
        <v/>
      </c>
      <c r="AB110" s="16">
        <f>IF($J110="","",IF($AA110="","",IF($J110=0,IF($AA110&lt;=0,1,0),IF($F110="↓",IFERROR($J110/$AA110,0),IFERROR($AA110/$J110,0)))))</f>
        <v/>
      </c>
      <c r="AC110" s="15">
        <f>IF($AB110="","—",IF($AB110&gt;=1,"✅ محقق",IF($AB110&gt;=0.85,"🟡 قريب","🔴 تحت الهدف")))</f>
        <v/>
      </c>
    </row>
    <row r="111" ht="24" customHeight="1">
      <c r="A111" s="15" t="n">
        <v>108</v>
      </c>
      <c r="B111" s="21" t="inlineStr">
        <is>
          <t>التقنية الرقمية</t>
        </is>
      </c>
      <c r="C111" s="9" t="inlineStr">
        <is>
          <t>الكفاءة التشغيلية</t>
        </is>
      </c>
      <c r="D111" s="9" t="inlineStr">
        <is>
          <t>متوسط جاهزية أنظمة المركز الرئيسي (Uptime)</t>
        </is>
      </c>
      <c r="E111" s="25" t="inlineStr">
        <is>
          <t>%</t>
        </is>
      </c>
      <c r="F111" s="25" t="inlineStr">
        <is>
          <t>↑</t>
        </is>
      </c>
      <c r="G111" s="25" t="inlineStr">
        <is>
          <t>AVG</t>
        </is>
      </c>
      <c r="H111" s="26" t="inlineStr">
        <is>
          <t>🔴 رئيسي</t>
        </is>
      </c>
      <c r="I111" s="27" t="n">
        <v>0.15</v>
      </c>
      <c r="J111" s="27" t="n">
        <v>0.99</v>
      </c>
      <c r="K111" s="29" t="inlineStr">
        <is>
          <t>≥ 99%</t>
        </is>
      </c>
      <c r="L111" s="30" t="inlineStr">
        <is>
          <t>الاستدامة</t>
        </is>
      </c>
      <c r="M111" s="31" t="inlineStr">
        <is>
          <t>جودة التشغيل</t>
        </is>
      </c>
      <c r="N111" s="26" t="inlineStr">
        <is>
          <t>العمليات الداخلية</t>
        </is>
      </c>
      <c r="O111" s="36" t="n"/>
      <c r="P111" s="36" t="n"/>
      <c r="Q111" s="36" t="n"/>
      <c r="R111" s="36" t="n"/>
      <c r="S111" s="36" t="n"/>
      <c r="T111" s="36" t="n">
        <v>0.9</v>
      </c>
      <c r="U111" s="36" t="n"/>
      <c r="V111" s="36" t="n"/>
      <c r="W111" s="36" t="n"/>
      <c r="X111" s="36" t="n"/>
      <c r="Y111" s="36" t="n"/>
      <c r="Z111" s="36" t="n"/>
      <c r="AA111" s="37">
        <f>IF($G111="SUM",IF(COUNT($O111:$Z111)=0,"",SUM($O111:$Z111)),IF($G111="AVG",IFERROR(AVERAGE($O111:$Z111),""),IF($G111="LAST",IFERROR(LOOKUP(2,1/($O111:$Z111&lt;&gt;""),$O111:$Z111),""),"")))</f>
        <v/>
      </c>
      <c r="AB111" s="16">
        <f>IF($J111="","",IF($AA111="","",IF($J111=0,IF($AA111&lt;=0,1,0),IF($F111="↓",IFERROR($J111/$AA111,0),IFERROR($AA111/$J111,0)))))</f>
        <v/>
      </c>
      <c r="AC111" s="15">
        <f>IF($AB111="","—",IF($AB111&gt;=1,"✅ محقق",IF($AB111&gt;=0.85,"🟡 قريب","🔴 تحت الهدف")))</f>
        <v/>
      </c>
    </row>
    <row r="112" ht="24" customHeight="1">
      <c r="A112" s="15" t="n">
        <v>109</v>
      </c>
      <c r="B112" s="21" t="inlineStr">
        <is>
          <t>التقنية الرقمية</t>
        </is>
      </c>
      <c r="C112" s="9" t="inlineStr">
        <is>
          <t>الكفاءة التشغيلية</t>
        </is>
      </c>
      <c r="D112" s="9" t="inlineStr">
        <is>
          <t>نسبة الامتثال للأمن السيبراني</t>
        </is>
      </c>
      <c r="E112" s="25" t="inlineStr">
        <is>
          <t>%</t>
        </is>
      </c>
      <c r="F112" s="25" t="inlineStr">
        <is>
          <t>↑</t>
        </is>
      </c>
      <c r="G112" s="25" t="inlineStr">
        <is>
          <t>LAST</t>
        </is>
      </c>
      <c r="H112" s="26" t="inlineStr">
        <is>
          <t>🟠 مهم</t>
        </is>
      </c>
      <c r="I112" s="27" t="n">
        <v>0.1</v>
      </c>
      <c r="J112" s="27" t="n">
        <v>1</v>
      </c>
      <c r="K112" s="29" t="inlineStr">
        <is>
          <t>100%</t>
        </is>
      </c>
      <c r="L112" s="30" t="inlineStr">
        <is>
          <t>الاستدامة</t>
        </is>
      </c>
      <c r="M112" s="31" t="inlineStr">
        <is>
          <t>جودة التشغيل</t>
        </is>
      </c>
      <c r="N112" s="26" t="inlineStr">
        <is>
          <t>العمليات الداخلية</t>
        </is>
      </c>
      <c r="O112" s="36" t="n"/>
      <c r="P112" s="36" t="n"/>
      <c r="Q112" s="36" t="n"/>
      <c r="R112" s="36" t="n"/>
      <c r="S112" s="36" t="n"/>
      <c r="T112" s="36" t="n">
        <v>0.3</v>
      </c>
      <c r="U112" s="36" t="n"/>
      <c r="V112" s="36" t="n"/>
      <c r="W112" s="36" t="n"/>
      <c r="X112" s="36" t="n"/>
      <c r="Y112" s="36" t="n"/>
      <c r="Z112" s="36" t="n"/>
      <c r="AA112" s="37">
        <f>IF($G112="SUM",IF(COUNT($O112:$Z112)=0,"",SUM($O112:$Z112)),IF($G112="AVG",IFERROR(AVERAGE($O112:$Z112),""),IF($G112="LAST",IFERROR(LOOKUP(2,1/($O112:$Z112&lt;&gt;""),$O112:$Z112),""),"")))</f>
        <v/>
      </c>
      <c r="AB112" s="16">
        <f>IF($J112="","",IF($AA112="","",IF($J112=0,IF($AA112&lt;=0,1,0),IF($F112="↓",IFERROR($J112/$AA112,0),IFERROR($AA112/$J112,0)))))</f>
        <v/>
      </c>
      <c r="AC112" s="15">
        <f>IF($AB112="","—",IF($AB112&gt;=1,"✅ محقق",IF($AB112&gt;=0.85,"🟡 قريب","🔴 تحت الهدف")))</f>
        <v/>
      </c>
    </row>
    <row r="113" ht="24" customHeight="1">
      <c r="A113" s="15" t="n">
        <v>110</v>
      </c>
      <c r="B113" s="21" t="inlineStr">
        <is>
          <t>التقنية الرقمية</t>
        </is>
      </c>
      <c r="C113" s="9" t="inlineStr">
        <is>
          <t>الكفاءة التشغيلية</t>
        </is>
      </c>
      <c r="D113" s="9" t="inlineStr">
        <is>
          <t>متوسط زمن استجابة الدعم الفني</t>
        </is>
      </c>
      <c r="E113" s="25" t="inlineStr">
        <is>
          <t>ساعة</t>
        </is>
      </c>
      <c r="F113" s="25" t="inlineStr">
        <is>
          <t>↓</t>
        </is>
      </c>
      <c r="G113" s="25" t="inlineStr">
        <is>
          <t>AVG</t>
        </is>
      </c>
      <c r="H113" s="26" t="inlineStr">
        <is>
          <t>🟠 مهم</t>
        </is>
      </c>
      <c r="I113" s="27" t="n">
        <v>0.1</v>
      </c>
      <c r="J113" s="38" t="n">
        <v>1</v>
      </c>
      <c r="K113" s="29" t="inlineStr">
        <is>
          <t>≤ ساعة</t>
        </is>
      </c>
      <c r="L113" s="30" t="inlineStr">
        <is>
          <t>الاستدامة</t>
        </is>
      </c>
      <c r="M113" s="31" t="inlineStr">
        <is>
          <t>جودة التشغيل</t>
        </is>
      </c>
      <c r="N113" s="26" t="inlineStr">
        <is>
          <t>العمليات الداخلية</t>
        </is>
      </c>
      <c r="O113" s="39" t="n"/>
      <c r="P113" s="39" t="n"/>
      <c r="Q113" s="39" t="n"/>
      <c r="R113" s="39" t="n"/>
      <c r="S113" s="39" t="n"/>
      <c r="T113" s="39" t="n">
        <v>0.8</v>
      </c>
      <c r="U113" s="39" t="n"/>
      <c r="V113" s="39" t="n"/>
      <c r="W113" s="39" t="n"/>
      <c r="X113" s="39" t="n"/>
      <c r="Y113" s="39" t="n"/>
      <c r="Z113" s="39" t="n"/>
      <c r="AA113" s="40">
        <f>IF($G113="SUM",IF(COUNT($O113:$Z113)=0,"",SUM($O113:$Z113)),IF($G113="AVG",IFERROR(AVERAGE($O113:$Z113),""),IF($G113="LAST",IFERROR(LOOKUP(2,1/($O113:$Z113&lt;&gt;""),$O113:$Z113),""),"")))</f>
        <v/>
      </c>
      <c r="AB113" s="16">
        <f>IF($J113="","",IF($AA113="","",IF($J113=0,IF($AA113&lt;=0,1,0),IF($F113="↓",IFERROR($J113/$AA113,0),IFERROR($AA113/$J113,0)))))</f>
        <v/>
      </c>
      <c r="AC113" s="15">
        <f>IF($AB113="","—",IF($AB113&gt;=1,"✅ محقق",IF($AB113&gt;=0.85,"🟡 قريب","🔴 تحت الهدف")))</f>
        <v/>
      </c>
    </row>
    <row r="114" ht="24" customHeight="1">
      <c r="A114" s="15" t="n">
        <v>111</v>
      </c>
      <c r="B114" s="21" t="inlineStr">
        <is>
          <t>التقنية الرقمية</t>
        </is>
      </c>
      <c r="C114" s="9" t="inlineStr">
        <is>
          <t>الكفاءة التشغيلية</t>
        </is>
      </c>
      <c r="D114" s="9" t="inlineStr">
        <is>
          <t>نسبة التكامل الرقمي (ERP/واثق/الولاء)</t>
        </is>
      </c>
      <c r="E114" s="25" t="inlineStr">
        <is>
          <t>%</t>
        </is>
      </c>
      <c r="F114" s="25" t="inlineStr">
        <is>
          <t>↑</t>
        </is>
      </c>
      <c r="G114" s="25" t="inlineStr">
        <is>
          <t>LAST</t>
        </is>
      </c>
      <c r="H114" s="26" t="inlineStr">
        <is>
          <t>🟠 مهم</t>
        </is>
      </c>
      <c r="I114" s="27" t="n">
        <v>0.1</v>
      </c>
      <c r="J114" s="27" t="n">
        <v>1</v>
      </c>
      <c r="K114" s="29" t="inlineStr">
        <is>
          <t>100%</t>
        </is>
      </c>
      <c r="L114" s="30" t="inlineStr">
        <is>
          <t>الاستدامة</t>
        </is>
      </c>
      <c r="M114" s="31" t="inlineStr">
        <is>
          <t>جودة التشغيل</t>
        </is>
      </c>
      <c r="N114" s="26" t="inlineStr">
        <is>
          <t>التعلّم والنمو</t>
        </is>
      </c>
      <c r="O114" s="36" t="n"/>
      <c r="P114" s="36" t="n"/>
      <c r="Q114" s="36" t="n"/>
      <c r="R114" s="36" t="n"/>
      <c r="S114" s="36" t="n"/>
      <c r="T114" s="36" t="n">
        <v>0.2</v>
      </c>
      <c r="U114" s="36" t="n"/>
      <c r="V114" s="36" t="n"/>
      <c r="W114" s="36" t="n"/>
      <c r="X114" s="36" t="n"/>
      <c r="Y114" s="36" t="n"/>
      <c r="Z114" s="36" t="n"/>
      <c r="AA114" s="37">
        <f>IF($G114="SUM",IF(COUNT($O114:$Z114)=0,"",SUM($O114:$Z114)),IF($G114="AVG",IFERROR(AVERAGE($O114:$Z114),""),IF($G114="LAST",IFERROR(LOOKUP(2,1/($O114:$Z114&lt;&gt;""),$O114:$Z114),""),"")))</f>
        <v/>
      </c>
      <c r="AB114" s="16">
        <f>IF($J114="","",IF($AA114="","",IF($J114=0,IF($AA114&lt;=0,1,0),IF($F114="↓",IFERROR($J114/$AA114,0),IFERROR($AA114/$J114,0)))))</f>
        <v/>
      </c>
      <c r="AC114" s="15">
        <f>IF($AB114="","—",IF($AB114&gt;=1,"✅ محقق",IF($AB114&gt;=0.85,"🟡 قريب","🔴 تحت الهدف")))</f>
        <v/>
      </c>
    </row>
    <row r="115" ht="24" customHeight="1">
      <c r="A115" s="15" t="n">
        <v>112</v>
      </c>
      <c r="B115" s="21" t="inlineStr">
        <is>
          <t>الموارد البشرية</t>
        </is>
      </c>
      <c r="C115" s="9" t="inlineStr">
        <is>
          <t>التوظيف والتوطين</t>
        </is>
      </c>
      <c r="D115" s="9" t="inlineStr">
        <is>
          <t>نسبة السعودة / التوطين</t>
        </is>
      </c>
      <c r="E115" s="25" t="inlineStr">
        <is>
          <t>%</t>
        </is>
      </c>
      <c r="F115" s="25" t="inlineStr">
        <is>
          <t>↑</t>
        </is>
      </c>
      <c r="G115" s="25" t="inlineStr">
        <is>
          <t>LAST</t>
        </is>
      </c>
      <c r="H115" s="26" t="inlineStr">
        <is>
          <t>🟠 مهم</t>
        </is>
      </c>
      <c r="I115" s="27" t="n">
        <v>0.05405</v>
      </c>
      <c r="J115" s="25" t="inlineStr"/>
      <c r="K115" s="29" t="inlineStr">
        <is>
          <t>أخضر مرتفع (حسب الوزارة)</t>
        </is>
      </c>
      <c r="L115" s="30" t="inlineStr">
        <is>
          <t>الاستدامة</t>
        </is>
      </c>
      <c r="M115" s="31" t="inlineStr">
        <is>
          <t>الاستثمار في الموظفين</t>
        </is>
      </c>
      <c r="N115" s="26" t="inlineStr">
        <is>
          <t>التعلّم والنمو</t>
        </is>
      </c>
      <c r="O115" s="36" t="n"/>
      <c r="P115" s="36" t="n"/>
      <c r="Q115" s="36" t="n"/>
      <c r="R115" s="36" t="n"/>
      <c r="S115" s="36" t="n"/>
      <c r="T115" s="36" t="n"/>
      <c r="U115" s="36" t="n"/>
      <c r="V115" s="36" t="n"/>
      <c r="W115" s="36" t="n"/>
      <c r="X115" s="36" t="n"/>
      <c r="Y115" s="36" t="n"/>
      <c r="Z115" s="36" t="n"/>
      <c r="AA115" s="37">
        <f>IF($G115="SUM",IF(COUNT($O115:$Z115)=0,"",SUM($O115:$Z115)),IF($G115="AVG",IFERROR(AVERAGE($O115:$Z115),""),IF($G115="LAST",IFERROR(LOOKUP(2,1/($O115:$Z115&lt;&gt;""),$O115:$Z115),""),"")))</f>
        <v/>
      </c>
      <c r="AB115" s="16">
        <f>IF($J115="","",IF($AA115="","",IF($J115=0,IF($AA115&lt;=0,1,0),IF($F115="↓",IFERROR($J115/$AA115,0),IFERROR($AA115/$J115,0)))))</f>
        <v/>
      </c>
      <c r="AC115" s="15">
        <f>IF($AB115="","—",IF($AB115&gt;=1,"✅ محقق",IF($AB115&gt;=0.85,"🟡 قريب","🔴 تحت الهدف")))</f>
        <v/>
      </c>
    </row>
    <row r="116" ht="24" customHeight="1">
      <c r="A116" s="15" t="n">
        <v>113</v>
      </c>
      <c r="B116" s="21" t="inlineStr">
        <is>
          <t>الموارد البشرية</t>
        </is>
      </c>
      <c r="C116" s="9" t="inlineStr">
        <is>
          <t>التوظيف والتوطين</t>
        </is>
      </c>
      <c r="D116" s="9" t="inlineStr">
        <is>
          <t>الارتقاء بآليات اختيار المرشحين</t>
        </is>
      </c>
      <c r="E116" s="25" t="inlineStr">
        <is>
          <t>%</t>
        </is>
      </c>
      <c r="F116" s="25" t="inlineStr">
        <is>
          <t>↑</t>
        </is>
      </c>
      <c r="G116" s="25" t="inlineStr">
        <is>
          <t>LAST</t>
        </is>
      </c>
      <c r="H116" s="26" t="inlineStr">
        <is>
          <t>🟠 مهم</t>
        </is>
      </c>
      <c r="I116" s="27" t="n">
        <v>0.05405</v>
      </c>
      <c r="J116" s="27" t="n">
        <v>1</v>
      </c>
      <c r="K116" s="29" t="inlineStr">
        <is>
          <t>100%</t>
        </is>
      </c>
      <c r="L116" s="30" t="inlineStr">
        <is>
          <t>الاستدامة</t>
        </is>
      </c>
      <c r="M116" s="31" t="inlineStr">
        <is>
          <t>الاستثمار في الموظفين</t>
        </is>
      </c>
      <c r="N116" s="26" t="inlineStr">
        <is>
          <t>العمليات الداخلية</t>
        </is>
      </c>
      <c r="O116" s="36" t="n"/>
      <c r="P116" s="36" t="n"/>
      <c r="Q116" s="36" t="n"/>
      <c r="R116" s="36" t="n"/>
      <c r="S116" s="36" t="n"/>
      <c r="T116" s="36" t="n"/>
      <c r="U116" s="36" t="n"/>
      <c r="V116" s="36" t="n"/>
      <c r="W116" s="36" t="n"/>
      <c r="X116" s="36" t="n"/>
      <c r="Y116" s="36" t="n"/>
      <c r="Z116" s="36" t="n"/>
      <c r="AA116" s="37">
        <f>IF($G116="SUM",IF(COUNT($O116:$Z116)=0,"",SUM($O116:$Z116)),IF($G116="AVG",IFERROR(AVERAGE($O116:$Z116),""),IF($G116="LAST",IFERROR(LOOKUP(2,1/($O116:$Z116&lt;&gt;""),$O116:$Z116),""),"")))</f>
        <v/>
      </c>
      <c r="AB116" s="16">
        <f>IF($J116="","",IF($AA116="","",IF($J116=0,IF($AA116&lt;=0,1,0),IF($F116="↓",IFERROR($J116/$AA116,0),IFERROR($AA116/$J116,0)))))</f>
        <v/>
      </c>
      <c r="AC116" s="15">
        <f>IF($AB116="","—",IF($AB116&gt;=1,"✅ محقق",IF($AB116&gt;=0.85,"🟡 قريب","🔴 تحت الهدف")))</f>
        <v/>
      </c>
    </row>
    <row r="117" ht="24" customHeight="1">
      <c r="A117" s="15" t="n">
        <v>114</v>
      </c>
      <c r="B117" s="21" t="inlineStr">
        <is>
          <t>الموارد البشرية</t>
        </is>
      </c>
      <c r="C117" s="9" t="inlineStr">
        <is>
          <t>التوظيف والتوطين</t>
        </is>
      </c>
      <c r="D117" s="9" t="inlineStr">
        <is>
          <t>نسبة شغل الشواغر خلال 30 يوم</t>
        </is>
      </c>
      <c r="E117" s="25" t="inlineStr">
        <is>
          <t>%</t>
        </is>
      </c>
      <c r="F117" s="25" t="inlineStr">
        <is>
          <t>↑</t>
        </is>
      </c>
      <c r="G117" s="25" t="inlineStr">
        <is>
          <t>AVG</t>
        </is>
      </c>
      <c r="H117" s="26" t="inlineStr">
        <is>
          <t>🟠 مهم</t>
        </is>
      </c>
      <c r="I117" s="27" t="n">
        <v>0.05405</v>
      </c>
      <c r="J117" s="27" t="n">
        <v>0.85</v>
      </c>
      <c r="K117" s="29" t="inlineStr">
        <is>
          <t>≥ 85%</t>
        </is>
      </c>
      <c r="L117" s="30" t="inlineStr">
        <is>
          <t>الاستدامة</t>
        </is>
      </c>
      <c r="M117" s="31" t="inlineStr">
        <is>
          <t>الاستثمار في الموظفين</t>
        </is>
      </c>
      <c r="N117" s="26" t="inlineStr">
        <is>
          <t>العمليات الداخلية</t>
        </is>
      </c>
      <c r="O117" s="36" t="n"/>
      <c r="P117" s="36" t="n"/>
      <c r="Q117" s="36" t="n"/>
      <c r="R117" s="36" t="n"/>
      <c r="S117" s="36" t="n"/>
      <c r="T117" s="36" t="n"/>
      <c r="U117" s="36" t="n"/>
      <c r="V117" s="36" t="n"/>
      <c r="W117" s="36" t="n"/>
      <c r="X117" s="36" t="n"/>
      <c r="Y117" s="36" t="n"/>
      <c r="Z117" s="36" t="n"/>
      <c r="AA117" s="37">
        <f>IF($G117="SUM",IF(COUNT($O117:$Z117)=0,"",SUM($O117:$Z117)),IF($G117="AVG",IFERROR(AVERAGE($O117:$Z117),""),IF($G117="LAST",IFERROR(LOOKUP(2,1/($O117:$Z117&lt;&gt;""),$O117:$Z117),""),"")))</f>
        <v/>
      </c>
      <c r="AB117" s="16">
        <f>IF($J117="","",IF($AA117="","",IF($J117=0,IF($AA117&lt;=0,1,0),IF($F117="↓",IFERROR($J117/$AA117,0),IFERROR($AA117/$J117,0)))))</f>
        <v/>
      </c>
      <c r="AC117" s="15">
        <f>IF($AB117="","—",IF($AB117&gt;=1,"✅ محقق",IF($AB117&gt;=0.85,"🟡 قريب","🔴 تحت الهدف")))</f>
        <v/>
      </c>
    </row>
    <row r="118" ht="24" customHeight="1">
      <c r="A118" s="15" t="n">
        <v>115</v>
      </c>
      <c r="B118" s="21" t="inlineStr">
        <is>
          <t>الموارد البشرية</t>
        </is>
      </c>
      <c r="C118" s="9" t="inlineStr">
        <is>
          <t>الاستبقاء</t>
        </is>
      </c>
      <c r="D118" s="9" t="inlineStr">
        <is>
          <t>معدل استبقاء الموظفين (Retention)</t>
        </is>
      </c>
      <c r="E118" s="25" t="inlineStr">
        <is>
          <t>%</t>
        </is>
      </c>
      <c r="F118" s="25" t="inlineStr">
        <is>
          <t>↑</t>
        </is>
      </c>
      <c r="G118" s="25" t="inlineStr">
        <is>
          <t>LAST</t>
        </is>
      </c>
      <c r="H118" s="26" t="inlineStr">
        <is>
          <t>🔴 رئيسي</t>
        </is>
      </c>
      <c r="I118" s="27" t="n">
        <v>0.08108</v>
      </c>
      <c r="J118" s="27" t="n">
        <v>0.9</v>
      </c>
      <c r="K118" s="29" t="inlineStr">
        <is>
          <t>≥ 90%</t>
        </is>
      </c>
      <c r="L118" s="30" t="inlineStr">
        <is>
          <t>الاستدامة</t>
        </is>
      </c>
      <c r="M118" s="31" t="inlineStr">
        <is>
          <t>الاستثمار في الموظفين</t>
        </is>
      </c>
      <c r="N118" s="26" t="inlineStr">
        <is>
          <t>التعلّم والنمو</t>
        </is>
      </c>
      <c r="O118" s="36" t="n"/>
      <c r="P118" s="36" t="n"/>
      <c r="Q118" s="36" t="n"/>
      <c r="R118" s="36" t="n"/>
      <c r="S118" s="36" t="n"/>
      <c r="T118" s="36" t="n"/>
      <c r="U118" s="36" t="n"/>
      <c r="V118" s="36" t="n"/>
      <c r="W118" s="36" t="n"/>
      <c r="X118" s="36" t="n"/>
      <c r="Y118" s="36" t="n"/>
      <c r="Z118" s="36" t="n"/>
      <c r="AA118" s="37">
        <f>IF($G118="SUM",IF(COUNT($O118:$Z118)=0,"",SUM($O118:$Z118)),IF($G118="AVG",IFERROR(AVERAGE($O118:$Z118),""),IF($G118="LAST",IFERROR(LOOKUP(2,1/($O118:$Z118&lt;&gt;""),$O118:$Z118),""),"")))</f>
        <v/>
      </c>
      <c r="AB118" s="16">
        <f>IF($J118="","",IF($AA118="","",IF($J118=0,IF($AA118&lt;=0,1,0),IF($F118="↓",IFERROR($J118/$AA118,0),IFERROR($AA118/$J118,0)))))</f>
        <v/>
      </c>
      <c r="AC118" s="15">
        <f>IF($AB118="","—",IF($AB118&gt;=1,"✅ محقق",IF($AB118&gt;=0.85,"🟡 قريب","🔴 تحت الهدف")))</f>
        <v/>
      </c>
    </row>
    <row r="119" ht="24" customHeight="1">
      <c r="A119" s="15" t="n">
        <v>116</v>
      </c>
      <c r="B119" s="21" t="inlineStr">
        <is>
          <t>الموارد البشرية</t>
        </is>
      </c>
      <c r="C119" s="9" t="inlineStr">
        <is>
          <t>الاستبقاء</t>
        </is>
      </c>
      <c r="D119" s="9" t="inlineStr">
        <is>
          <t>معدل دوران الموظفين (Turnover)</t>
        </is>
      </c>
      <c r="E119" s="25" t="inlineStr">
        <is>
          <t>%</t>
        </is>
      </c>
      <c r="F119" s="25" t="inlineStr">
        <is>
          <t>↓</t>
        </is>
      </c>
      <c r="G119" s="25" t="inlineStr">
        <is>
          <t>AVG</t>
        </is>
      </c>
      <c r="H119" s="26" t="inlineStr">
        <is>
          <t>🟠 مهم</t>
        </is>
      </c>
      <c r="I119" s="27" t="n">
        <v>0.05405</v>
      </c>
      <c r="J119" s="27" t="n">
        <v>0.1</v>
      </c>
      <c r="K119" s="29" t="inlineStr">
        <is>
          <t>≤ 10%</t>
        </is>
      </c>
      <c r="L119" s="30" t="inlineStr">
        <is>
          <t>الاستدامة</t>
        </is>
      </c>
      <c r="M119" s="31" t="inlineStr">
        <is>
          <t>الاستثمار في الموظفين</t>
        </is>
      </c>
      <c r="N119" s="26" t="inlineStr">
        <is>
          <t>التعلّم والنمو</t>
        </is>
      </c>
      <c r="O119" s="36" t="n"/>
      <c r="P119" s="36" t="n"/>
      <c r="Q119" s="36" t="n"/>
      <c r="R119" s="36" t="n"/>
      <c r="S119" s="36" t="n"/>
      <c r="T119" s="36" t="n"/>
      <c r="U119" s="36" t="n"/>
      <c r="V119" s="36" t="n"/>
      <c r="W119" s="36" t="n"/>
      <c r="X119" s="36" t="n"/>
      <c r="Y119" s="36" t="n"/>
      <c r="Z119" s="36" t="n"/>
      <c r="AA119" s="37">
        <f>IF($G119="SUM",IF(COUNT($O119:$Z119)=0,"",SUM($O119:$Z119)),IF($G119="AVG",IFERROR(AVERAGE($O119:$Z119),""),IF($G119="LAST",IFERROR(LOOKUP(2,1/($O119:$Z119&lt;&gt;""),$O119:$Z119),""),"")))</f>
        <v/>
      </c>
      <c r="AB119" s="16">
        <f>IF($J119="","",IF($AA119="","",IF($J119=0,IF($AA119&lt;=0,1,0),IF($F119="↓",IFERROR($J119/$AA119,0),IFERROR($AA119/$J119,0)))))</f>
        <v/>
      </c>
      <c r="AC119" s="15">
        <f>IF($AB119="","—",IF($AB119&gt;=1,"✅ محقق",IF($AB119&gt;=0.85,"🟡 قريب","🔴 تحت الهدف")))</f>
        <v/>
      </c>
    </row>
    <row r="120" ht="24" customHeight="1">
      <c r="A120" s="15" t="n">
        <v>117</v>
      </c>
      <c r="B120" s="21" t="inlineStr">
        <is>
          <t>الموارد البشرية</t>
        </is>
      </c>
      <c r="C120" s="9" t="inlineStr">
        <is>
          <t>التدريب والتطوير</t>
        </is>
      </c>
      <c r="D120" s="9" t="inlineStr">
        <is>
          <t>عدد الدورات الإدارية المنعقدة</t>
        </is>
      </c>
      <c r="E120" s="25" t="inlineStr">
        <is>
          <t>دورة</t>
        </is>
      </c>
      <c r="F120" s="25" t="inlineStr">
        <is>
          <t>↑</t>
        </is>
      </c>
      <c r="G120" s="25" t="inlineStr">
        <is>
          <t>SUM</t>
        </is>
      </c>
      <c r="H120" s="26" t="inlineStr">
        <is>
          <t>🔴 رئيسي</t>
        </is>
      </c>
      <c r="I120" s="27" t="n">
        <v>0.08108</v>
      </c>
      <c r="J120" s="28" t="n">
        <v>6</v>
      </c>
      <c r="K120" s="29" t="inlineStr">
        <is>
          <t>6 دورات</t>
        </is>
      </c>
      <c r="L120" s="30" t="inlineStr">
        <is>
          <t>الاستدامة</t>
        </is>
      </c>
      <c r="M120" s="31" t="inlineStr">
        <is>
          <t>الاستثمار في الموظفين</t>
        </is>
      </c>
      <c r="N120" s="26" t="inlineStr">
        <is>
          <t>العمليات الداخلية</t>
        </is>
      </c>
      <c r="O120" s="32" t="n"/>
      <c r="P120" s="32" t="n"/>
      <c r="Q120" s="32" t="n"/>
      <c r="R120" s="32" t="n"/>
      <c r="S120" s="32" t="n"/>
      <c r="T120" s="32" t="n"/>
      <c r="U120" s="32" t="n"/>
      <c r="V120" s="32" t="n"/>
      <c r="W120" s="32" t="n"/>
      <c r="X120" s="32" t="n"/>
      <c r="Y120" s="32" t="n"/>
      <c r="Z120" s="32" t="n"/>
      <c r="AA120" s="33">
        <f>IF($G120="SUM",IF(COUNT($O120:$Z120)=0,"",SUM($O120:$Z120)),IF($G120="AVG",IFERROR(AVERAGE($O120:$Z120),""),IF($G120="LAST",IFERROR(LOOKUP(2,1/($O120:$Z120&lt;&gt;""),$O120:$Z120),""),"")))</f>
        <v/>
      </c>
      <c r="AB120" s="16">
        <f>IF($J120="","",IF($AA120="","",IF($J120=0,IF($AA120&lt;=0,1,0),IF($F120="↓",IFERROR($J120/$AA120,0),IFERROR($AA120/$J120,0)))))</f>
        <v/>
      </c>
      <c r="AC120" s="15">
        <f>IF($AB120="","—",IF($AB120&gt;=1,"✅ محقق",IF($AB120&gt;=0.85,"🟡 قريب","🔴 تحت الهدف")))</f>
        <v/>
      </c>
    </row>
    <row r="121" ht="24" customHeight="1">
      <c r="A121" s="15" t="n">
        <v>118</v>
      </c>
      <c r="B121" s="21" t="inlineStr">
        <is>
          <t>الموارد البشرية</t>
        </is>
      </c>
      <c r="C121" s="9" t="inlineStr">
        <is>
          <t>التدريب والتطوير</t>
        </is>
      </c>
      <c r="D121" s="9" t="inlineStr">
        <is>
          <t>متوسط ساعات التدريب لكل موظف</t>
        </is>
      </c>
      <c r="E121" s="25" t="inlineStr">
        <is>
          <t>ساعة</t>
        </is>
      </c>
      <c r="F121" s="25" t="inlineStr">
        <is>
          <t>↑</t>
        </is>
      </c>
      <c r="G121" s="25" t="inlineStr">
        <is>
          <t>SUM</t>
        </is>
      </c>
      <c r="H121" s="26" t="inlineStr">
        <is>
          <t>🟠 مهم</t>
        </is>
      </c>
      <c r="I121" s="27" t="n">
        <v>0.05405</v>
      </c>
      <c r="J121" s="38" t="n">
        <v>40</v>
      </c>
      <c r="K121" s="29" t="inlineStr">
        <is>
          <t>≥ 40 ساعة</t>
        </is>
      </c>
      <c r="L121" s="30" t="inlineStr">
        <is>
          <t>الاستدامة</t>
        </is>
      </c>
      <c r="M121" s="31" t="inlineStr">
        <is>
          <t>الاستثمار في الموظفين</t>
        </is>
      </c>
      <c r="N121" s="26" t="inlineStr">
        <is>
          <t>التعلّم والنمو</t>
        </is>
      </c>
      <c r="O121" s="39" t="n"/>
      <c r="P121" s="39" t="n"/>
      <c r="Q121" s="39" t="n"/>
      <c r="R121" s="39" t="n"/>
      <c r="S121" s="39" t="n"/>
      <c r="T121" s="39" t="n"/>
      <c r="U121" s="39" t="n"/>
      <c r="V121" s="39" t="n"/>
      <c r="W121" s="39" t="n"/>
      <c r="X121" s="39" t="n"/>
      <c r="Y121" s="39" t="n"/>
      <c r="Z121" s="39" t="n"/>
      <c r="AA121" s="40">
        <f>IF($G121="SUM",IF(COUNT($O121:$Z121)=0,"",SUM($O121:$Z121)),IF($G121="AVG",IFERROR(AVERAGE($O121:$Z121),""),IF($G121="LAST",IFERROR(LOOKUP(2,1/($O121:$Z121&lt;&gt;""),$O121:$Z121),""),"")))</f>
        <v/>
      </c>
      <c r="AB121" s="16">
        <f>IF($J121="","",IF($AA121="","",IF($J121=0,IF($AA121&lt;=0,1,0),IF($F121="↓",IFERROR($J121/$AA121,0),IFERROR($AA121/$J121,0)))))</f>
        <v/>
      </c>
      <c r="AC121" s="15">
        <f>IF($AB121="","—",IF($AB121&gt;=1,"✅ محقق",IF($AB121&gt;=0.85,"🟡 قريب","🔴 تحت الهدف")))</f>
        <v/>
      </c>
    </row>
    <row r="122" ht="24" customHeight="1">
      <c r="A122" s="15" t="n">
        <v>119</v>
      </c>
      <c r="B122" s="21" t="inlineStr">
        <is>
          <t>الموارد البشرية</t>
        </is>
      </c>
      <c r="C122" s="9" t="inlineStr">
        <is>
          <t>التدريب والتطوير</t>
        </is>
      </c>
      <c r="D122" s="9" t="inlineStr">
        <is>
          <t>نسبة الموظفين المشمولين بخطة تطوير</t>
        </is>
      </c>
      <c r="E122" s="25" t="inlineStr">
        <is>
          <t>%</t>
        </is>
      </c>
      <c r="F122" s="25" t="inlineStr">
        <is>
          <t>↑</t>
        </is>
      </c>
      <c r="G122" s="25" t="inlineStr">
        <is>
          <t>LAST</t>
        </is>
      </c>
      <c r="H122" s="26" t="inlineStr">
        <is>
          <t>🟠 مهم</t>
        </is>
      </c>
      <c r="I122" s="27" t="n">
        <v>0.05405</v>
      </c>
      <c r="J122" s="27" t="n">
        <v>0.8</v>
      </c>
      <c r="K122" s="29" t="inlineStr">
        <is>
          <t>≥ 80%</t>
        </is>
      </c>
      <c r="L122" s="30" t="inlineStr">
        <is>
          <t>الاستدامة</t>
        </is>
      </c>
      <c r="M122" s="31" t="inlineStr">
        <is>
          <t>الاستثمار في الموظفين</t>
        </is>
      </c>
      <c r="N122" s="26" t="inlineStr">
        <is>
          <t>التعلّم والنمو</t>
        </is>
      </c>
      <c r="O122" s="36" t="n"/>
      <c r="P122" s="36" t="n"/>
      <c r="Q122" s="36" t="n"/>
      <c r="R122" s="36" t="n"/>
      <c r="S122" s="36" t="n"/>
      <c r="T122" s="36" t="n"/>
      <c r="U122" s="36" t="n"/>
      <c r="V122" s="36" t="n"/>
      <c r="W122" s="36" t="n"/>
      <c r="X122" s="36" t="n"/>
      <c r="Y122" s="36" t="n"/>
      <c r="Z122" s="36" t="n"/>
      <c r="AA122" s="37">
        <f>IF($G122="SUM",IF(COUNT($O122:$Z122)=0,"",SUM($O122:$Z122)),IF($G122="AVG",IFERROR(AVERAGE($O122:$Z122),""),IF($G122="LAST",IFERROR(LOOKUP(2,1/($O122:$Z122&lt;&gt;""),$O122:$Z122),""),"")))</f>
        <v/>
      </c>
      <c r="AB122" s="16">
        <f>IF($J122="","",IF($AA122="","",IF($J122=0,IF($AA122&lt;=0,1,0),IF($F122="↓",IFERROR($J122/$AA122,0),IFERROR($AA122/$J122,0)))))</f>
        <v/>
      </c>
      <c r="AC122" s="15">
        <f>IF($AB122="","—",IF($AB122&gt;=1,"✅ محقق",IF($AB122&gt;=0.85,"🟡 قريب","🔴 تحت الهدف")))</f>
        <v/>
      </c>
    </row>
    <row r="123" ht="24" customHeight="1">
      <c r="A123" s="15" t="n">
        <v>120</v>
      </c>
      <c r="B123" s="21" t="inlineStr">
        <is>
          <t>الموارد البشرية</t>
        </is>
      </c>
      <c r="C123" s="9" t="inlineStr">
        <is>
          <t>الرضا والثقافة</t>
        </is>
      </c>
      <c r="D123" s="9" t="inlineStr">
        <is>
          <t>مؤشر رضا الموظفين (eNPS)</t>
        </is>
      </c>
      <c r="E123" s="25" t="inlineStr">
        <is>
          <t>نقطة</t>
        </is>
      </c>
      <c r="F123" s="25" t="inlineStr">
        <is>
          <t>↑</t>
        </is>
      </c>
      <c r="G123" s="25" t="inlineStr">
        <is>
          <t>AVG</t>
        </is>
      </c>
      <c r="H123" s="26" t="inlineStr">
        <is>
          <t>🔴 رئيسي</t>
        </is>
      </c>
      <c r="I123" s="27" t="n">
        <v>0.08108</v>
      </c>
      <c r="J123" s="38" t="n">
        <v>30</v>
      </c>
      <c r="K123" s="29" t="inlineStr">
        <is>
          <t>≥ 30</t>
        </is>
      </c>
      <c r="L123" s="30" t="inlineStr">
        <is>
          <t>الاستدامة</t>
        </is>
      </c>
      <c r="M123" s="31" t="inlineStr">
        <is>
          <t>الاستثمار في الموظفين</t>
        </is>
      </c>
      <c r="N123" s="26" t="inlineStr">
        <is>
          <t>التعلّم والنمو</t>
        </is>
      </c>
      <c r="O123" s="39" t="n"/>
      <c r="P123" s="39" t="n"/>
      <c r="Q123" s="39" t="n"/>
      <c r="R123" s="39" t="n"/>
      <c r="S123" s="39" t="n"/>
      <c r="T123" s="39" t="n"/>
      <c r="U123" s="39" t="n"/>
      <c r="V123" s="39" t="n"/>
      <c r="W123" s="39" t="n"/>
      <c r="X123" s="39" t="n"/>
      <c r="Y123" s="39" t="n"/>
      <c r="Z123" s="39" t="n"/>
      <c r="AA123" s="40">
        <f>IF($G123="SUM",IF(COUNT($O123:$Z123)=0,"",SUM($O123:$Z123)),IF($G123="AVG",IFERROR(AVERAGE($O123:$Z123),""),IF($G123="LAST",IFERROR(LOOKUP(2,1/($O123:$Z123&lt;&gt;""),$O123:$Z123),""),"")))</f>
        <v/>
      </c>
      <c r="AB123" s="16">
        <f>IF($J123="","",IF($AA123="","",IF($J123=0,IF($AA123&lt;=0,1,0),IF($F123="↓",IFERROR($J123/$AA123,0),IFERROR($AA123/$J123,0)))))</f>
        <v/>
      </c>
      <c r="AC123" s="15">
        <f>IF($AB123="","—",IF($AB123&gt;=1,"✅ محقق",IF($AB123&gt;=0.85,"🟡 قريب","🔴 تحت الهدف")))</f>
        <v/>
      </c>
    </row>
    <row r="124" ht="24" customHeight="1">
      <c r="A124" s="15" t="n">
        <v>121</v>
      </c>
      <c r="B124" s="21" t="inlineStr">
        <is>
          <t>الموارد البشرية</t>
        </is>
      </c>
      <c r="C124" s="9" t="inlineStr">
        <is>
          <t>الرضا والثقافة</t>
        </is>
      </c>
      <c r="D124" s="9" t="inlineStr">
        <is>
          <t>تحسين مستوى الرضا الوظيفي</t>
        </is>
      </c>
      <c r="E124" s="25" t="inlineStr">
        <is>
          <t>%</t>
        </is>
      </c>
      <c r="F124" s="25" t="inlineStr">
        <is>
          <t>↑</t>
        </is>
      </c>
      <c r="G124" s="25" t="inlineStr">
        <is>
          <t>AVG</t>
        </is>
      </c>
      <c r="H124" s="26" t="inlineStr">
        <is>
          <t>🔴 رئيسي</t>
        </is>
      </c>
      <c r="I124" s="27" t="n">
        <v>0.08108</v>
      </c>
      <c r="J124" s="25" t="inlineStr"/>
      <c r="K124" s="29" t="inlineStr">
        <is>
          <t>مستهدف سنوي</t>
        </is>
      </c>
      <c r="L124" s="30" t="inlineStr">
        <is>
          <t>الاستدامة</t>
        </is>
      </c>
      <c r="M124" s="31" t="inlineStr">
        <is>
          <t>الاستثمار في الموظفين</t>
        </is>
      </c>
      <c r="N124" s="26" t="inlineStr">
        <is>
          <t>العملاء</t>
        </is>
      </c>
      <c r="O124" s="36" t="n"/>
      <c r="P124" s="36" t="n"/>
      <c r="Q124" s="36" t="n"/>
      <c r="R124" s="36" t="n"/>
      <c r="S124" s="36" t="n"/>
      <c r="T124" s="36" t="n"/>
      <c r="U124" s="36" t="n"/>
      <c r="V124" s="36" t="n"/>
      <c r="W124" s="36" t="n"/>
      <c r="X124" s="36" t="n"/>
      <c r="Y124" s="36" t="n"/>
      <c r="Z124" s="36" t="n"/>
      <c r="AA124" s="37">
        <f>IF($G124="SUM",IF(COUNT($O124:$Z124)=0,"",SUM($O124:$Z124)),IF($G124="AVG",IFERROR(AVERAGE($O124:$Z124),""),IF($G124="LAST",IFERROR(LOOKUP(2,1/($O124:$Z124&lt;&gt;""),$O124:$Z124),""),"")))</f>
        <v/>
      </c>
      <c r="AB124" s="16">
        <f>IF($J124="","",IF($AA124="","",IF($J124=0,IF($AA124&lt;=0,1,0),IF($F124="↓",IFERROR($J124/$AA124,0),IFERROR($AA124/$J124,0)))))</f>
        <v/>
      </c>
      <c r="AC124" s="15">
        <f>IF($AB124="","—",IF($AB124&gt;=1,"✅ محقق",IF($AB124&gt;=0.85,"🟡 قريب","🔴 تحت الهدف")))</f>
        <v/>
      </c>
    </row>
    <row r="125" ht="24" customHeight="1">
      <c r="A125" s="15" t="n">
        <v>122</v>
      </c>
      <c r="B125" s="21" t="inlineStr">
        <is>
          <t>الموارد البشرية</t>
        </is>
      </c>
      <c r="C125" s="9" t="inlineStr">
        <is>
          <t>الرضا والثقافة</t>
        </is>
      </c>
      <c r="D125" s="9" t="inlineStr">
        <is>
          <t>ترسيخ القيم والثقافة المؤسسية</t>
        </is>
      </c>
      <c r="E125" s="25" t="inlineStr">
        <is>
          <t>%</t>
        </is>
      </c>
      <c r="F125" s="25" t="inlineStr">
        <is>
          <t>↑</t>
        </is>
      </c>
      <c r="G125" s="25" t="inlineStr">
        <is>
          <t>LAST</t>
        </is>
      </c>
      <c r="H125" s="26" t="inlineStr">
        <is>
          <t>🟠 مهم</t>
        </is>
      </c>
      <c r="I125" s="27" t="n">
        <v>0.05405</v>
      </c>
      <c r="J125" s="27" t="n">
        <v>1</v>
      </c>
      <c r="K125" s="29" t="inlineStr">
        <is>
          <t>100%</t>
        </is>
      </c>
      <c r="L125" s="30" t="inlineStr">
        <is>
          <t>الاستدامة</t>
        </is>
      </c>
      <c r="M125" s="31" t="inlineStr">
        <is>
          <t>الاستثمار في الموظفين</t>
        </is>
      </c>
      <c r="N125" s="26" t="inlineStr">
        <is>
          <t>العمليات الداخلية</t>
        </is>
      </c>
      <c r="O125" s="36" t="n"/>
      <c r="P125" s="36" t="n"/>
      <c r="Q125" s="36" t="n"/>
      <c r="R125" s="36" t="n"/>
      <c r="S125" s="36" t="n"/>
      <c r="T125" s="36" t="n"/>
      <c r="U125" s="36" t="n"/>
      <c r="V125" s="36" t="n"/>
      <c r="W125" s="36" t="n"/>
      <c r="X125" s="36" t="n"/>
      <c r="Y125" s="36" t="n"/>
      <c r="Z125" s="36" t="n"/>
      <c r="AA125" s="37">
        <f>IF($G125="SUM",IF(COUNT($O125:$Z125)=0,"",SUM($O125:$Z125)),IF($G125="AVG",IFERROR(AVERAGE($O125:$Z125),""),IF($G125="LAST",IFERROR(LOOKUP(2,1/($O125:$Z125&lt;&gt;""),$O125:$Z125),""),"")))</f>
        <v/>
      </c>
      <c r="AB125" s="16">
        <f>IF($J125="","",IF($AA125="","",IF($J125=0,IF($AA125&lt;=0,1,0),IF($F125="↓",IFERROR($J125/$AA125,0),IFERROR($AA125/$J125,0)))))</f>
        <v/>
      </c>
      <c r="AC125" s="15">
        <f>IF($AB125="","—",IF($AB125&gt;=1,"✅ محقق",IF($AB125&gt;=0.85,"🟡 قريب","🔴 تحت الهدف")))</f>
        <v/>
      </c>
    </row>
    <row r="126" ht="24" customHeight="1">
      <c r="A126" s="15" t="n">
        <v>123</v>
      </c>
      <c r="B126" s="21" t="inlineStr">
        <is>
          <t>الموارد البشرية</t>
        </is>
      </c>
      <c r="C126" s="9" t="inlineStr">
        <is>
          <t>الأتمتة والتوثيق</t>
        </is>
      </c>
      <c r="D126" s="9" t="inlineStr">
        <is>
          <t>نسبة أتمتة عمليات الموارد البشرية</t>
        </is>
      </c>
      <c r="E126" s="25" t="inlineStr">
        <is>
          <t>%</t>
        </is>
      </c>
      <c r="F126" s="25" t="inlineStr">
        <is>
          <t>↑</t>
        </is>
      </c>
      <c r="G126" s="25" t="inlineStr">
        <is>
          <t>LAST</t>
        </is>
      </c>
      <c r="H126" s="26" t="inlineStr">
        <is>
          <t>🟠 مهم</t>
        </is>
      </c>
      <c r="I126" s="27" t="n">
        <v>0.05405</v>
      </c>
      <c r="J126" s="27" t="n">
        <v>1</v>
      </c>
      <c r="K126" s="29" t="inlineStr">
        <is>
          <t>100%</t>
        </is>
      </c>
      <c r="L126" s="30" t="inlineStr">
        <is>
          <t>الابتكار</t>
        </is>
      </c>
      <c r="M126" s="31" t="inlineStr">
        <is>
          <t>التحول التقني</t>
        </is>
      </c>
      <c r="N126" s="26" t="inlineStr">
        <is>
          <t>التعلّم والنمو</t>
        </is>
      </c>
      <c r="O126" s="36" t="n"/>
      <c r="P126" s="36" t="n"/>
      <c r="Q126" s="36" t="n"/>
      <c r="R126" s="36" t="n"/>
      <c r="S126" s="36" t="n"/>
      <c r="T126" s="36" t="n"/>
      <c r="U126" s="36" t="n"/>
      <c r="V126" s="36" t="n"/>
      <c r="W126" s="36" t="n"/>
      <c r="X126" s="36" t="n"/>
      <c r="Y126" s="36" t="n"/>
      <c r="Z126" s="36" t="n"/>
      <c r="AA126" s="37">
        <f>IF($G126="SUM",IF(COUNT($O126:$Z126)=0,"",SUM($O126:$Z126)),IF($G126="AVG",IFERROR(AVERAGE($O126:$Z126),""),IF($G126="LAST",IFERROR(LOOKUP(2,1/($O126:$Z126&lt;&gt;""),$O126:$Z126),""),"")))</f>
        <v/>
      </c>
      <c r="AB126" s="16">
        <f>IF($J126="","",IF($AA126="","",IF($J126=0,IF($AA126&lt;=0,1,0),IF($F126="↓",IFERROR($J126/$AA126,0),IFERROR($AA126/$J126,0)))))</f>
        <v/>
      </c>
      <c r="AC126" s="15">
        <f>IF($AB126="","—",IF($AB126&gt;=1,"✅ محقق",IF($AB126&gt;=0.85,"🟡 قريب","🔴 تحت الهدف")))</f>
        <v/>
      </c>
    </row>
    <row r="127" ht="24" customHeight="1">
      <c r="A127" s="15" t="n">
        <v>124</v>
      </c>
      <c r="B127" s="21" t="inlineStr">
        <is>
          <t>الموارد البشرية</t>
        </is>
      </c>
      <c r="C127" s="9" t="inlineStr">
        <is>
          <t>الأتمتة والتوثيق</t>
        </is>
      </c>
      <c r="D127" s="9" t="inlineStr">
        <is>
          <t>نسبة توثيق أنظمة العمل</t>
        </is>
      </c>
      <c r="E127" s="25" t="inlineStr">
        <is>
          <t>%</t>
        </is>
      </c>
      <c r="F127" s="25" t="inlineStr">
        <is>
          <t>↑</t>
        </is>
      </c>
      <c r="G127" s="25" t="inlineStr">
        <is>
          <t>LAST</t>
        </is>
      </c>
      <c r="H127" s="26" t="inlineStr">
        <is>
          <t>🟡 متابعة</t>
        </is>
      </c>
      <c r="I127" s="27" t="n">
        <v>0.02703</v>
      </c>
      <c r="J127" s="27" t="n">
        <v>0.8</v>
      </c>
      <c r="K127" s="29" t="inlineStr">
        <is>
          <t>≥ 80%</t>
        </is>
      </c>
      <c r="L127" s="30" t="inlineStr">
        <is>
          <t>الاستدامة</t>
        </is>
      </c>
      <c r="M127" s="31" t="inlineStr">
        <is>
          <t>جودة التشغيل</t>
        </is>
      </c>
      <c r="N127" s="26" t="inlineStr">
        <is>
          <t>العمليات الداخلية</t>
        </is>
      </c>
      <c r="O127" s="36" t="n"/>
      <c r="P127" s="36" t="n"/>
      <c r="Q127" s="36" t="n"/>
      <c r="R127" s="36" t="n"/>
      <c r="S127" s="36" t="n"/>
      <c r="T127" s="36" t="n"/>
      <c r="U127" s="36" t="n"/>
      <c r="V127" s="36" t="n"/>
      <c r="W127" s="36" t="n"/>
      <c r="X127" s="36" t="n"/>
      <c r="Y127" s="36" t="n"/>
      <c r="Z127" s="36" t="n"/>
      <c r="AA127" s="37">
        <f>IF($G127="SUM",IF(COUNT($O127:$Z127)=0,"",SUM($O127:$Z127)),IF($G127="AVG",IFERROR(AVERAGE($O127:$Z127),""),IF($G127="LAST",IFERROR(LOOKUP(2,1/($O127:$Z127&lt;&gt;""),$O127:$Z127),""),"")))</f>
        <v/>
      </c>
      <c r="AB127" s="16">
        <f>IF($J127="","",IF($AA127="","",IF($J127=0,IF($AA127&lt;=0,1,0),IF($F127="↓",IFERROR($J127/$AA127,0),IFERROR($AA127/$J127,0)))))</f>
        <v/>
      </c>
      <c r="AC127" s="15">
        <f>IF($AB127="","—",IF($AB127&gt;=1,"✅ محقق",IF($AB127&gt;=0.85,"🟡 قريب","🔴 تحت الهدف")))</f>
        <v/>
      </c>
    </row>
    <row r="128" ht="24" customHeight="1">
      <c r="A128" s="15" t="n">
        <v>125</v>
      </c>
      <c r="B128" s="21" t="inlineStr">
        <is>
          <t>الموارد البشرية</t>
        </is>
      </c>
      <c r="C128" s="9" t="inlineStr">
        <is>
          <t>الأتمتة والتوثيق</t>
        </is>
      </c>
      <c r="D128" s="9" t="inlineStr">
        <is>
          <t>ترسيخ الأنظمة الإدارية</t>
        </is>
      </c>
      <c r="E128" s="25" t="inlineStr">
        <is>
          <t>%</t>
        </is>
      </c>
      <c r="F128" s="25" t="inlineStr">
        <is>
          <t>↑</t>
        </is>
      </c>
      <c r="G128" s="25" t="inlineStr">
        <is>
          <t>LAST</t>
        </is>
      </c>
      <c r="H128" s="26" t="inlineStr">
        <is>
          <t>🟠 مهم</t>
        </is>
      </c>
      <c r="I128" s="27" t="n">
        <v>0.05405</v>
      </c>
      <c r="J128" s="27" t="n">
        <v>0.8</v>
      </c>
      <c r="K128" s="29" t="inlineStr">
        <is>
          <t>≥ 80%</t>
        </is>
      </c>
      <c r="L128" s="30" t="inlineStr">
        <is>
          <t>الاستدامة</t>
        </is>
      </c>
      <c r="M128" s="31" t="inlineStr">
        <is>
          <t>جودة التشغيل</t>
        </is>
      </c>
      <c r="N128" s="26" t="inlineStr">
        <is>
          <t>العمليات الداخلية</t>
        </is>
      </c>
      <c r="O128" s="36" t="n"/>
      <c r="P128" s="36" t="n"/>
      <c r="Q128" s="36" t="n"/>
      <c r="R128" s="36" t="n"/>
      <c r="S128" s="36" t="n"/>
      <c r="T128" s="36" t="n"/>
      <c r="U128" s="36" t="n"/>
      <c r="V128" s="36" t="n"/>
      <c r="W128" s="36" t="n"/>
      <c r="X128" s="36" t="n"/>
      <c r="Y128" s="36" t="n"/>
      <c r="Z128" s="36" t="n"/>
      <c r="AA128" s="37">
        <f>IF($G128="SUM",IF(COUNT($O128:$Z128)=0,"",SUM($O128:$Z128)),IF($G128="AVG",IFERROR(AVERAGE($O128:$Z128),""),IF($G128="LAST",IFERROR(LOOKUP(2,1/($O128:$Z128&lt;&gt;""),$O128:$Z128),""),"")))</f>
        <v/>
      </c>
      <c r="AB128" s="16">
        <f>IF($J128="","",IF($AA128="","",IF($J128=0,IF($AA128&lt;=0,1,0),IF($F128="↓",IFERROR($J128/$AA128,0),IFERROR($AA128/$J128,0)))))</f>
        <v/>
      </c>
      <c r="AC128" s="15">
        <f>IF($AB128="","—",IF($AB128&gt;=1,"✅ محقق",IF($AB128&gt;=0.85,"🟡 قريب","🔴 تحت الهدف")))</f>
        <v/>
      </c>
    </row>
    <row r="129" ht="24" customHeight="1">
      <c r="A129" s="15" t="n">
        <v>126</v>
      </c>
      <c r="B129" s="21" t="inlineStr">
        <is>
          <t>الموارد البشرية</t>
        </is>
      </c>
      <c r="C129" s="9" t="inlineStr">
        <is>
          <t>الهيكلة</t>
        </is>
      </c>
      <c r="D129" s="9" t="inlineStr">
        <is>
          <t>اعتماد الهيكل التنظيمي</t>
        </is>
      </c>
      <c r="E129" s="25" t="inlineStr">
        <is>
          <t>%</t>
        </is>
      </c>
      <c r="F129" s="25" t="inlineStr">
        <is>
          <t>↑</t>
        </is>
      </c>
      <c r="G129" s="25" t="inlineStr">
        <is>
          <t>LAST</t>
        </is>
      </c>
      <c r="H129" s="26" t="inlineStr">
        <is>
          <t>🟠 مهم</t>
        </is>
      </c>
      <c r="I129" s="27" t="n">
        <v>0.05405</v>
      </c>
      <c r="J129" s="27" t="n">
        <v>1</v>
      </c>
      <c r="K129" s="29" t="inlineStr">
        <is>
          <t>100%</t>
        </is>
      </c>
      <c r="L129" s="30" t="inlineStr">
        <is>
          <t>الاستدامة</t>
        </is>
      </c>
      <c r="M129" s="31" t="inlineStr">
        <is>
          <t>جودة التشغيل</t>
        </is>
      </c>
      <c r="N129" s="26" t="inlineStr">
        <is>
          <t>العمليات الداخلية</t>
        </is>
      </c>
      <c r="O129" s="36" t="n"/>
      <c r="P129" s="36" t="n"/>
      <c r="Q129" s="36" t="n"/>
      <c r="R129" s="36" t="n"/>
      <c r="S129" s="36" t="n"/>
      <c r="T129" s="36" t="n"/>
      <c r="U129" s="36" t="n"/>
      <c r="V129" s="36" t="n"/>
      <c r="W129" s="36" t="n"/>
      <c r="X129" s="36" t="n"/>
      <c r="Y129" s="36" t="n"/>
      <c r="Z129" s="36" t="n"/>
      <c r="AA129" s="37">
        <f>IF($G129="SUM",IF(COUNT($O129:$Z129)=0,"",SUM($O129:$Z129)),IF($G129="AVG",IFERROR(AVERAGE($O129:$Z129),""),IF($G129="LAST",IFERROR(LOOKUP(2,1/($O129:$Z129&lt;&gt;""),$O129:$Z129),""),"")))</f>
        <v/>
      </c>
      <c r="AB129" s="16">
        <f>IF($J129="","",IF($AA129="","",IF($J129=0,IF($AA129&lt;=0,1,0),IF($F129="↓",IFERROR($J129/$AA129,0),IFERROR($AA129/$J129,0)))))</f>
        <v/>
      </c>
      <c r="AC129" s="15">
        <f>IF($AB129="","—",IF($AB129&gt;=1,"✅ محقق",IF($AB129&gt;=0.85,"🟡 قريب","🔴 تحت الهدف")))</f>
        <v/>
      </c>
    </row>
    <row r="130" ht="24" customHeight="1">
      <c r="A130" s="15" t="n">
        <v>127</v>
      </c>
      <c r="B130" s="21" t="inlineStr">
        <is>
          <t>الموارد البشرية</t>
        </is>
      </c>
      <c r="C130" s="9" t="inlineStr">
        <is>
          <t>الهيكلة</t>
        </is>
      </c>
      <c r="D130" s="9" t="inlineStr">
        <is>
          <t>اكتمال الأوصاف الوظيفية (+KPI)</t>
        </is>
      </c>
      <c r="E130" s="25" t="inlineStr">
        <is>
          <t>%</t>
        </is>
      </c>
      <c r="F130" s="25" t="inlineStr">
        <is>
          <t>↑</t>
        </is>
      </c>
      <c r="G130" s="25" t="inlineStr">
        <is>
          <t>LAST</t>
        </is>
      </c>
      <c r="H130" s="26" t="inlineStr">
        <is>
          <t>🟠 مهم</t>
        </is>
      </c>
      <c r="I130" s="27" t="n">
        <v>0.05405</v>
      </c>
      <c r="J130" s="27" t="n">
        <v>1</v>
      </c>
      <c r="K130" s="29" t="inlineStr">
        <is>
          <t>100%</t>
        </is>
      </c>
      <c r="L130" s="30" t="inlineStr">
        <is>
          <t>الاستدامة</t>
        </is>
      </c>
      <c r="M130" s="31" t="inlineStr">
        <is>
          <t>جودة التشغيل</t>
        </is>
      </c>
      <c r="N130" s="26" t="inlineStr">
        <is>
          <t>العمليات الداخلية</t>
        </is>
      </c>
      <c r="O130" s="36" t="n"/>
      <c r="P130" s="36" t="n"/>
      <c r="Q130" s="36" t="n"/>
      <c r="R130" s="36" t="n"/>
      <c r="S130" s="36" t="n"/>
      <c r="T130" s="36" t="n"/>
      <c r="U130" s="36" t="n"/>
      <c r="V130" s="36" t="n"/>
      <c r="W130" s="36" t="n"/>
      <c r="X130" s="36" t="n"/>
      <c r="Y130" s="36" t="n"/>
      <c r="Z130" s="36" t="n"/>
      <c r="AA130" s="37">
        <f>IF($G130="SUM",IF(COUNT($O130:$Z130)=0,"",SUM($O130:$Z130)),IF($G130="AVG",IFERROR(AVERAGE($O130:$Z130),""),IF($G130="LAST",IFERROR(LOOKUP(2,1/($O130:$Z130&lt;&gt;""),$O130:$Z130),""),"")))</f>
        <v/>
      </c>
      <c r="AB130" s="16">
        <f>IF($J130="","",IF($AA130="","",IF($J130=0,IF($AA130&lt;=0,1,0),IF($F130="↓",IFERROR($J130/$AA130,0),IFERROR($AA130/$J130,0)))))</f>
        <v/>
      </c>
      <c r="AC130" s="15">
        <f>IF($AB130="","—",IF($AB130&gt;=1,"✅ محقق",IF($AB130&gt;=0.85,"🟡 قريب","🔴 تحت الهدف")))</f>
        <v/>
      </c>
    </row>
    <row r="131" ht="24" customHeight="1">
      <c r="A131" s="15" t="n">
        <v>128</v>
      </c>
      <c r="B131" s="21" t="inlineStr">
        <is>
          <t>الموارد البشرية</t>
        </is>
      </c>
      <c r="C131" s="9" t="inlineStr">
        <is>
          <t>الأداء</t>
        </is>
      </c>
      <c r="D131" s="9" t="inlineStr">
        <is>
          <t>نسبة إنجاز تقييمات الأداء في موعدها</t>
        </is>
      </c>
      <c r="E131" s="25" t="inlineStr">
        <is>
          <t>%</t>
        </is>
      </c>
      <c r="F131" s="25" t="inlineStr">
        <is>
          <t>↑</t>
        </is>
      </c>
      <c r="G131" s="25" t="inlineStr">
        <is>
          <t>AVG</t>
        </is>
      </c>
      <c r="H131" s="26" t="inlineStr">
        <is>
          <t>🟠 مهم</t>
        </is>
      </c>
      <c r="I131" s="27" t="n">
        <v>0.05405</v>
      </c>
      <c r="J131" s="27" t="n">
        <v>1</v>
      </c>
      <c r="K131" s="29" t="inlineStr">
        <is>
          <t>100%</t>
        </is>
      </c>
      <c r="L131" s="30" t="inlineStr">
        <is>
          <t>الاستدامة</t>
        </is>
      </c>
      <c r="M131" s="31" t="inlineStr">
        <is>
          <t>الاستثمار في الموظفين</t>
        </is>
      </c>
      <c r="N131" s="26" t="inlineStr">
        <is>
          <t>العمليات الداخلية</t>
        </is>
      </c>
      <c r="O131" s="36" t="n"/>
      <c r="P131" s="36" t="n"/>
      <c r="Q131" s="36" t="n"/>
      <c r="R131" s="36" t="n"/>
      <c r="S131" s="36" t="n"/>
      <c r="T131" s="36" t="n"/>
      <c r="U131" s="36" t="n"/>
      <c r="V131" s="36" t="n"/>
      <c r="W131" s="36" t="n"/>
      <c r="X131" s="36" t="n"/>
      <c r="Y131" s="36" t="n"/>
      <c r="Z131" s="36" t="n"/>
      <c r="AA131" s="37">
        <f>IF($G131="SUM",IF(COUNT($O131:$Z131)=0,"",SUM($O131:$Z131)),IF($G131="AVG",IFERROR(AVERAGE($O131:$Z131),""),IF($G131="LAST",IFERROR(LOOKUP(2,1/($O131:$Z131&lt;&gt;""),$O131:$Z131),""),"")))</f>
        <v/>
      </c>
      <c r="AB131" s="16">
        <f>IF($J131="","",IF($AA131="","",IF($J131=0,IF($AA131&lt;=0,1,0),IF($F131="↓",IFERROR($J131/$AA131,0),IFERROR($AA131/$J131,0)))))</f>
        <v/>
      </c>
      <c r="AC131" s="15">
        <f>IF($AB131="","—",IF($AB131&gt;=1,"✅ محقق",IF($AB131&gt;=0.85,"🟡 قريب","🔴 تحت الهدف")))</f>
        <v/>
      </c>
    </row>
    <row r="132" ht="24" customHeight="1">
      <c r="A132" s="15" t="n">
        <v>129</v>
      </c>
      <c r="B132" s="21" t="inlineStr">
        <is>
          <t>التسويق</t>
        </is>
      </c>
      <c r="C132" s="9" t="inlineStr">
        <is>
          <t>الإدارة العامة</t>
        </is>
      </c>
      <c r="D132" s="9" t="inlineStr">
        <is>
          <t>الوصول الكلي (Total Reach)</t>
        </is>
      </c>
      <c r="E132" s="25" t="inlineStr">
        <is>
          <t>وصول</t>
        </is>
      </c>
      <c r="F132" s="25" t="inlineStr">
        <is>
          <t>↑</t>
        </is>
      </c>
      <c r="G132" s="25" t="inlineStr">
        <is>
          <t>LAST</t>
        </is>
      </c>
      <c r="H132" s="26" t="inlineStr">
        <is>
          <t>🔴 رئيسي</t>
        </is>
      </c>
      <c r="I132" s="27" t="n">
        <v>0.08333</v>
      </c>
      <c r="J132" s="28" t="n">
        <v>50000000</v>
      </c>
      <c r="K132" s="29" t="inlineStr">
        <is>
          <t>50م وصول</t>
        </is>
      </c>
      <c r="L132" s="30" t="inlineStr">
        <is>
          <t>النمو</t>
        </is>
      </c>
      <c r="M132" s="31" t="inlineStr">
        <is>
          <t>زيادة وصول العملاء</t>
        </is>
      </c>
      <c r="N132" s="26" t="inlineStr">
        <is>
          <t>العملاء</t>
        </is>
      </c>
      <c r="O132" s="32" t="n"/>
      <c r="P132" s="32" t="n"/>
      <c r="Q132" s="32" t="n"/>
      <c r="R132" s="32" t="n"/>
      <c r="S132" s="32" t="n"/>
      <c r="T132" s="32" t="n">
        <v>5000000</v>
      </c>
      <c r="U132" s="32" t="n"/>
      <c r="V132" s="32" t="n"/>
      <c r="W132" s="32" t="n"/>
      <c r="X132" s="32" t="n"/>
      <c r="Y132" s="32" t="n"/>
      <c r="Z132" s="32" t="n"/>
      <c r="AA132" s="33">
        <f>IF($G132="SUM",IF(COUNT($O132:$Z132)=0,"",SUM($O132:$Z132)),IF($G132="AVG",IFERROR(AVERAGE($O132:$Z132),""),IF($G132="LAST",IFERROR(LOOKUP(2,1/($O132:$Z132&lt;&gt;""),$O132:$Z132),""),"")))</f>
        <v/>
      </c>
      <c r="AB132" s="16">
        <f>IF($J132="","",IF($AA132="","",IF($J132=0,IF($AA132&lt;=0,1,0),IF($F132="↓",IFERROR($J132/$AA132,0),IFERROR($AA132/$J132,0)))))</f>
        <v/>
      </c>
      <c r="AC132" s="15">
        <f>IF($AB132="","—",IF($AB132&gt;=1,"✅ محقق",IF($AB132&gt;=0.85,"🟡 قريب","🔴 تحت الهدف")))</f>
        <v/>
      </c>
    </row>
    <row r="133" ht="24" customHeight="1">
      <c r="A133" s="15" t="n">
        <v>130</v>
      </c>
      <c r="B133" s="21" t="inlineStr">
        <is>
          <t>التسويق</t>
        </is>
      </c>
      <c r="C133" s="9" t="inlineStr">
        <is>
          <t>الإدارة العامة</t>
        </is>
      </c>
      <c r="D133" s="9" t="inlineStr">
        <is>
          <t>عملاء تجاريون جدد</t>
        </is>
      </c>
      <c r="E133" s="25" t="inlineStr">
        <is>
          <t>عميل</t>
        </is>
      </c>
      <c r="F133" s="25" t="inlineStr">
        <is>
          <t>↑</t>
        </is>
      </c>
      <c r="G133" s="25" t="inlineStr">
        <is>
          <t>SUM</t>
        </is>
      </c>
      <c r="H133" s="26" t="inlineStr">
        <is>
          <t>🟠 مهم</t>
        </is>
      </c>
      <c r="I133" s="27" t="n">
        <v>0.05556</v>
      </c>
      <c r="J133" s="28" t="n">
        <v>200</v>
      </c>
      <c r="K133" s="29" t="inlineStr">
        <is>
          <t>200 عميل</t>
        </is>
      </c>
      <c r="L133" s="30" t="inlineStr">
        <is>
          <t>النمو</t>
        </is>
      </c>
      <c r="M133" s="31" t="inlineStr">
        <is>
          <t>زيادة وصول العملاء</t>
        </is>
      </c>
      <c r="N133" s="26" t="inlineStr">
        <is>
          <t>العملاء</t>
        </is>
      </c>
      <c r="O133" s="32" t="n"/>
      <c r="P133" s="32" t="n"/>
      <c r="Q133" s="32" t="n"/>
      <c r="R133" s="32" t="n"/>
      <c r="S133" s="32" t="n"/>
      <c r="T133" s="32" t="n">
        <v>1</v>
      </c>
      <c r="U133" s="32" t="n"/>
      <c r="V133" s="32" t="n"/>
      <c r="W133" s="32" t="n"/>
      <c r="X133" s="32" t="n"/>
      <c r="Y133" s="32" t="n"/>
      <c r="Z133" s="32" t="n"/>
      <c r="AA133" s="33">
        <f>IF($G133="SUM",IF(COUNT($O133:$Z133)=0,"",SUM($O133:$Z133)),IF($G133="AVG",IFERROR(AVERAGE($O133:$Z133),""),IF($G133="LAST",IFERROR(LOOKUP(2,1/($O133:$Z133&lt;&gt;""),$O133:$Z133),""),"")))</f>
        <v/>
      </c>
      <c r="AB133" s="16">
        <f>IF($J133="","",IF($AA133="","",IF($J133=0,IF($AA133&lt;=0,1,0),IF($F133="↓",IFERROR($J133/$AA133,0),IFERROR($AA133/$J133,0)))))</f>
        <v/>
      </c>
      <c r="AC133" s="15">
        <f>IF($AB133="","—",IF($AB133&gt;=1,"✅ محقق",IF($AB133&gt;=0.85,"🟡 قريب","🔴 تحت الهدف")))</f>
        <v/>
      </c>
    </row>
    <row r="134" ht="24" customHeight="1">
      <c r="A134" s="15" t="n">
        <v>131</v>
      </c>
      <c r="B134" s="21" t="inlineStr">
        <is>
          <t>التسويق</t>
        </is>
      </c>
      <c r="C134" s="9" t="inlineStr">
        <is>
          <t>الفريق الإبداعي</t>
        </is>
      </c>
      <c r="D134" s="9" t="inlineStr">
        <is>
          <t>إجمالي المتابعين (كل المنصات)</t>
        </is>
      </c>
      <c r="E134" s="25" t="inlineStr">
        <is>
          <t>متابع</t>
        </is>
      </c>
      <c r="F134" s="25" t="inlineStr">
        <is>
          <t>↑</t>
        </is>
      </c>
      <c r="G134" s="25" t="inlineStr">
        <is>
          <t>LAST</t>
        </is>
      </c>
      <c r="H134" s="26" t="inlineStr">
        <is>
          <t>🔴 رئيسي</t>
        </is>
      </c>
      <c r="I134" s="27" t="n">
        <v>0.08333</v>
      </c>
      <c r="J134" s="28" t="n">
        <v>380000</v>
      </c>
      <c r="K134" s="29" t="inlineStr">
        <is>
          <t>380ك متابع</t>
        </is>
      </c>
      <c r="L134" s="30" t="inlineStr">
        <is>
          <t>النمو</t>
        </is>
      </c>
      <c r="M134" s="31" t="inlineStr">
        <is>
          <t>زيادة وصول العملاء</t>
        </is>
      </c>
      <c r="N134" s="26" t="inlineStr">
        <is>
          <t>العمليات الداخلية</t>
        </is>
      </c>
      <c r="O134" s="32" t="n"/>
      <c r="P134" s="32" t="n"/>
      <c r="Q134" s="32" t="n"/>
      <c r="R134" s="32" t="n"/>
      <c r="S134" s="32" t="n"/>
      <c r="T134" s="32" t="n">
        <v>253000</v>
      </c>
      <c r="U134" s="32" t="n"/>
      <c r="V134" s="32" t="n"/>
      <c r="W134" s="32" t="n"/>
      <c r="X134" s="32" t="n"/>
      <c r="Y134" s="32" t="n"/>
      <c r="Z134" s="32" t="n"/>
      <c r="AA134" s="33">
        <f>IF($G134="SUM",IF(COUNT($O134:$Z134)=0,"",SUM($O134:$Z134)),IF($G134="AVG",IFERROR(AVERAGE($O134:$Z134),""),IF($G134="LAST",IFERROR(LOOKUP(2,1/($O134:$Z134&lt;&gt;""),$O134:$Z134),""),"")))</f>
        <v/>
      </c>
      <c r="AB134" s="16">
        <f>IF($J134="","",IF($AA134="","",IF($J134=0,IF($AA134&lt;=0,1,0),IF($F134="↓",IFERROR($J134/$AA134,0),IFERROR($AA134/$J134,0)))))</f>
        <v/>
      </c>
      <c r="AC134" s="15">
        <f>IF($AB134="","—",IF($AB134&gt;=1,"✅ محقق",IF($AB134&gt;=0.85,"🟡 قريب","🔴 تحت الهدف")))</f>
        <v/>
      </c>
    </row>
    <row r="135" ht="24" customHeight="1">
      <c r="A135" s="15" t="n">
        <v>132</v>
      </c>
      <c r="B135" s="21" t="inlineStr">
        <is>
          <t>التسويق</t>
        </is>
      </c>
      <c r="C135" s="9" t="inlineStr">
        <is>
          <t>الفريق الإبداعي</t>
        </is>
      </c>
      <c r="D135" s="9" t="inlineStr">
        <is>
          <t>معدل التفاعل (Engagement)</t>
        </is>
      </c>
      <c r="E135" s="25" t="inlineStr">
        <is>
          <t>%</t>
        </is>
      </c>
      <c r="F135" s="25" t="inlineStr">
        <is>
          <t>↑</t>
        </is>
      </c>
      <c r="G135" s="25" t="inlineStr">
        <is>
          <t>AVG</t>
        </is>
      </c>
      <c r="H135" s="26" t="inlineStr">
        <is>
          <t>🔴 رئيسي</t>
        </is>
      </c>
      <c r="I135" s="27" t="n">
        <v>0.08333</v>
      </c>
      <c r="J135" s="27" t="n">
        <v>0.5</v>
      </c>
      <c r="K135" s="29" t="inlineStr">
        <is>
          <t>50%</t>
        </is>
      </c>
      <c r="L135" s="30" t="inlineStr">
        <is>
          <t>النمو</t>
        </is>
      </c>
      <c r="M135" s="31" t="inlineStr">
        <is>
          <t>زيادة وصول العملاء</t>
        </is>
      </c>
      <c r="N135" s="26" t="inlineStr">
        <is>
          <t>العمليات الداخلية</t>
        </is>
      </c>
      <c r="O135" s="36" t="n"/>
      <c r="P135" s="36" t="n"/>
      <c r="Q135" s="36" t="n"/>
      <c r="R135" s="36" t="n"/>
      <c r="S135" s="36" t="n"/>
      <c r="T135" s="36" t="n">
        <v>0</v>
      </c>
      <c r="U135" s="36" t="n"/>
      <c r="V135" s="36" t="n"/>
      <c r="W135" s="36" t="n"/>
      <c r="X135" s="36" t="n"/>
      <c r="Y135" s="36" t="n"/>
      <c r="Z135" s="36" t="n"/>
      <c r="AA135" s="37">
        <f>IF($G135="SUM",IF(COUNT($O135:$Z135)=0,"",SUM($O135:$Z135)),IF($G135="AVG",IFERROR(AVERAGE($O135:$Z135),""),IF($G135="LAST",IFERROR(LOOKUP(2,1/($O135:$Z135&lt;&gt;""),$O135:$Z135),""),"")))</f>
        <v/>
      </c>
      <c r="AB135" s="16">
        <f>IF($J135="","",IF($AA135="","",IF($J135=0,IF($AA135&lt;=0,1,0),IF($F135="↓",IFERROR($J135/$AA135,0),IFERROR($AA135/$J135,0)))))</f>
        <v/>
      </c>
      <c r="AC135" s="15">
        <f>IF($AB135="","—",IF($AB135&gt;=1,"✅ محقق",IF($AB135&gt;=0.85,"🟡 قريب","🔴 تحت الهدف")))</f>
        <v/>
      </c>
    </row>
    <row r="136" ht="24" customHeight="1">
      <c r="A136" s="15" t="n">
        <v>133</v>
      </c>
      <c r="B136" s="21" t="inlineStr">
        <is>
          <t>التسويق</t>
        </is>
      </c>
      <c r="C136" s="9" t="inlineStr">
        <is>
          <t>الحملات التسويقية</t>
        </is>
      </c>
      <c r="D136" s="9" t="inlineStr">
        <is>
          <t>حملات تسويقية منجزة</t>
        </is>
      </c>
      <c r="E136" s="25" t="inlineStr">
        <is>
          <t>حملة</t>
        </is>
      </c>
      <c r="F136" s="25" t="inlineStr">
        <is>
          <t>↑</t>
        </is>
      </c>
      <c r="G136" s="25" t="inlineStr">
        <is>
          <t>SUM</t>
        </is>
      </c>
      <c r="H136" s="26" t="inlineStr">
        <is>
          <t>🟠 مهم</t>
        </is>
      </c>
      <c r="I136" s="27" t="n">
        <v>0.05556</v>
      </c>
      <c r="J136" s="28" t="n">
        <v>48</v>
      </c>
      <c r="K136" s="29" t="inlineStr">
        <is>
          <t>48 حملة</t>
        </is>
      </c>
      <c r="L136" s="30" t="inlineStr">
        <is>
          <t>النمو</t>
        </is>
      </c>
      <c r="M136" s="31" t="inlineStr">
        <is>
          <t>زيادة وصول العملاء</t>
        </is>
      </c>
      <c r="N136" s="26" t="inlineStr">
        <is>
          <t>العمليات الداخلية</t>
        </is>
      </c>
      <c r="O136" s="32" t="n"/>
      <c r="P136" s="32" t="n"/>
      <c r="Q136" s="32" t="n"/>
      <c r="R136" s="32" t="n"/>
      <c r="S136" s="32" t="n"/>
      <c r="T136" s="32" t="n">
        <v>11</v>
      </c>
      <c r="U136" s="32" t="n"/>
      <c r="V136" s="32" t="n"/>
      <c r="W136" s="32" t="n"/>
      <c r="X136" s="32" t="n"/>
      <c r="Y136" s="32" t="n"/>
      <c r="Z136" s="32" t="n"/>
      <c r="AA136" s="33">
        <f>IF($G136="SUM",IF(COUNT($O136:$Z136)=0,"",SUM($O136:$Z136)),IF($G136="AVG",IFERROR(AVERAGE($O136:$Z136),""),IF($G136="LAST",IFERROR(LOOKUP(2,1/($O136:$Z136&lt;&gt;""),$O136:$Z136),""),"")))</f>
        <v/>
      </c>
      <c r="AB136" s="16">
        <f>IF($J136="","",IF($AA136="","",IF($J136=0,IF($AA136&lt;=0,1,0),IF($F136="↓",IFERROR($J136/$AA136,0),IFERROR($AA136/$J136,0)))))</f>
        <v/>
      </c>
      <c r="AC136" s="15">
        <f>IF($AB136="","—",IF($AB136&gt;=1,"✅ محقق",IF($AB136&gt;=0.85,"🟡 قريب","🔴 تحت الهدف")))</f>
        <v/>
      </c>
    </row>
    <row r="137" ht="24" customHeight="1">
      <c r="A137" s="15" t="n">
        <v>134</v>
      </c>
      <c r="B137" s="21" t="inlineStr">
        <is>
          <t>التسويق</t>
        </is>
      </c>
      <c r="C137" s="9" t="inlineStr">
        <is>
          <t>الحملات التسويقية</t>
        </is>
      </c>
      <c r="D137" s="9" t="inlineStr">
        <is>
          <t>تحويل الفرص إلى عقود</t>
        </is>
      </c>
      <c r="E137" s="25" t="inlineStr">
        <is>
          <t>%</t>
        </is>
      </c>
      <c r="F137" s="25" t="inlineStr">
        <is>
          <t>↑</t>
        </is>
      </c>
      <c r="G137" s="25" t="inlineStr">
        <is>
          <t>AVG</t>
        </is>
      </c>
      <c r="H137" s="26" t="inlineStr">
        <is>
          <t>🔴 رئيسي</t>
        </is>
      </c>
      <c r="I137" s="27" t="n">
        <v>0.08333</v>
      </c>
      <c r="J137" s="27" t="n">
        <v>0.25</v>
      </c>
      <c r="K137" s="29" t="inlineStr">
        <is>
          <t>25%</t>
        </is>
      </c>
      <c r="L137" s="30" t="inlineStr">
        <is>
          <t>النمو</t>
        </is>
      </c>
      <c r="M137" s="31" t="inlineStr">
        <is>
          <t>زيادة وصول العملاء</t>
        </is>
      </c>
      <c r="N137" s="26" t="inlineStr">
        <is>
          <t>العمليات الداخلية</t>
        </is>
      </c>
      <c r="O137" s="36" t="n"/>
      <c r="P137" s="36" t="n"/>
      <c r="Q137" s="36" t="n"/>
      <c r="R137" s="36" t="n"/>
      <c r="S137" s="36" t="n"/>
      <c r="T137" s="36" t="n">
        <v>0.17</v>
      </c>
      <c r="U137" s="36" t="n"/>
      <c r="V137" s="36" t="n"/>
      <c r="W137" s="36" t="n"/>
      <c r="X137" s="36" t="n"/>
      <c r="Y137" s="36" t="n"/>
      <c r="Z137" s="36" t="n"/>
      <c r="AA137" s="37">
        <f>IF($G137="SUM",IF(COUNT($O137:$Z137)=0,"",SUM($O137:$Z137)),IF($G137="AVG",IFERROR(AVERAGE($O137:$Z137),""),IF($G137="LAST",IFERROR(LOOKUP(2,1/($O137:$Z137&lt;&gt;""),$O137:$Z137),""),"")))</f>
        <v/>
      </c>
      <c r="AB137" s="16">
        <f>IF($J137="","",IF($AA137="","",IF($J137=0,IF($AA137&lt;=0,1,0),IF($F137="↓",IFERROR($J137/$AA137,0),IFERROR($AA137/$J137,0)))))</f>
        <v/>
      </c>
      <c r="AC137" s="15">
        <f>IF($AB137="","—",IF($AB137&gt;=1,"✅ محقق",IF($AB137&gt;=0.85,"🟡 قريب","🔴 تحت الهدف")))</f>
        <v/>
      </c>
    </row>
    <row r="138" ht="24" customHeight="1">
      <c r="A138" s="15" t="n">
        <v>135</v>
      </c>
      <c r="B138" s="21" t="inlineStr">
        <is>
          <t>التسويق</t>
        </is>
      </c>
      <c r="C138" s="9" t="inlineStr">
        <is>
          <t>الحملات التسويقية</t>
        </is>
      </c>
      <c r="D138" s="9" t="inlineStr">
        <is>
          <t>نسبة المبيعات لكل حملة</t>
        </is>
      </c>
      <c r="E138" s="25" t="inlineStr">
        <is>
          <t>%</t>
        </is>
      </c>
      <c r="F138" s="25" t="inlineStr">
        <is>
          <t>↑</t>
        </is>
      </c>
      <c r="G138" s="25" t="inlineStr">
        <is>
          <t>AVG</t>
        </is>
      </c>
      <c r="H138" s="26" t="inlineStr">
        <is>
          <t>🔴 رئيسي</t>
        </is>
      </c>
      <c r="I138" s="27" t="n">
        <v>0.08333</v>
      </c>
      <c r="J138" s="27" t="n">
        <v>1</v>
      </c>
      <c r="K138" s="29" t="inlineStr">
        <is>
          <t>100%</t>
        </is>
      </c>
      <c r="L138" s="30" t="inlineStr">
        <is>
          <t>النمو</t>
        </is>
      </c>
      <c r="M138" s="31" t="inlineStr">
        <is>
          <t>زيادة وصول العملاء</t>
        </is>
      </c>
      <c r="N138" s="26" t="inlineStr">
        <is>
          <t>مالي</t>
        </is>
      </c>
      <c r="O138" s="36" t="n"/>
      <c r="P138" s="36" t="n"/>
      <c r="Q138" s="36" t="n"/>
      <c r="R138" s="36" t="n"/>
      <c r="S138" s="36" t="n"/>
      <c r="T138" s="36" t="n">
        <v>0.16</v>
      </c>
      <c r="U138" s="36" t="n"/>
      <c r="V138" s="36" t="n"/>
      <c r="W138" s="36" t="n"/>
      <c r="X138" s="36" t="n"/>
      <c r="Y138" s="36" t="n"/>
      <c r="Z138" s="36" t="n"/>
      <c r="AA138" s="37">
        <f>IF($G138="SUM",IF(COUNT($O138:$Z138)=0,"",SUM($O138:$Z138)),IF($G138="AVG",IFERROR(AVERAGE($O138:$Z138),""),IF($G138="LAST",IFERROR(LOOKUP(2,1/($O138:$Z138&lt;&gt;""),$O138:$Z138),""),"")))</f>
        <v/>
      </c>
      <c r="AB138" s="16">
        <f>IF($J138="","",IF($AA138="","",IF($J138=0,IF($AA138&lt;=0,1,0),IF($F138="↓",IFERROR($J138/$AA138,0),IFERROR($AA138/$J138,0)))))</f>
        <v/>
      </c>
      <c r="AC138" s="15">
        <f>IF($AB138="","—",IF($AB138&gt;=1,"✅ محقق",IF($AB138&gt;=0.85,"🟡 قريب","🔴 تحت الهدف")))</f>
        <v/>
      </c>
    </row>
    <row r="139" ht="24" customHeight="1">
      <c r="A139" s="15" t="n">
        <v>136</v>
      </c>
      <c r="B139" s="21" t="inlineStr">
        <is>
          <t>التسويق</t>
        </is>
      </c>
      <c r="C139" s="9" t="inlineStr">
        <is>
          <t>الدعاية والإعلان</t>
        </is>
      </c>
      <c r="D139" s="9" t="inlineStr">
        <is>
          <t>نسبة التزام الهوية البصرية</t>
        </is>
      </c>
      <c r="E139" s="25" t="inlineStr">
        <is>
          <t>%</t>
        </is>
      </c>
      <c r="F139" s="25" t="inlineStr">
        <is>
          <t>↑</t>
        </is>
      </c>
      <c r="G139" s="25" t="inlineStr">
        <is>
          <t>LAST</t>
        </is>
      </c>
      <c r="H139" s="26" t="inlineStr">
        <is>
          <t>🔴 رئيسي</t>
        </is>
      </c>
      <c r="I139" s="27" t="n">
        <v>0.08333</v>
      </c>
      <c r="J139" s="27" t="n">
        <v>1</v>
      </c>
      <c r="K139" s="29" t="inlineStr">
        <is>
          <t>100%</t>
        </is>
      </c>
      <c r="L139" s="30" t="inlineStr">
        <is>
          <t>الابتكار</t>
        </is>
      </c>
      <c r="M139" s="31" t="inlineStr">
        <is>
          <t>تطوير التصاميم والهوية</t>
        </is>
      </c>
      <c r="N139" s="26" t="inlineStr">
        <is>
          <t>التعلّم والنمو</t>
        </is>
      </c>
      <c r="O139" s="36" t="n"/>
      <c r="P139" s="36" t="n"/>
      <c r="Q139" s="36" t="n"/>
      <c r="R139" s="36" t="n"/>
      <c r="S139" s="36" t="n"/>
      <c r="T139" s="36" t="n">
        <v>0.1</v>
      </c>
      <c r="U139" s="36" t="n"/>
      <c r="V139" s="36" t="n"/>
      <c r="W139" s="36" t="n"/>
      <c r="X139" s="36" t="n"/>
      <c r="Y139" s="36" t="n"/>
      <c r="Z139" s="36" t="n"/>
      <c r="AA139" s="37">
        <f>IF($G139="SUM",IF(COUNT($O139:$Z139)=0,"",SUM($O139:$Z139)),IF($G139="AVG",IFERROR(AVERAGE($O139:$Z139),""),IF($G139="LAST",IFERROR(LOOKUP(2,1/($O139:$Z139&lt;&gt;""),$O139:$Z139),""),"")))</f>
        <v/>
      </c>
      <c r="AB139" s="16">
        <f>IF($J139="","",IF($AA139="","",IF($J139=0,IF($AA139&lt;=0,1,0),IF($F139="↓",IFERROR($J139/$AA139,0),IFERROR($AA139/$J139,0)))))</f>
        <v/>
      </c>
      <c r="AC139" s="15">
        <f>IF($AB139="","—",IF($AB139&gt;=1,"✅ محقق",IF($AB139&gt;=0.85,"🟡 قريب","🔴 تحت الهدف")))</f>
        <v/>
      </c>
    </row>
    <row r="140" ht="24" customHeight="1">
      <c r="A140" s="15" t="n">
        <v>137</v>
      </c>
      <c r="B140" s="21" t="inlineStr">
        <is>
          <t>التسويق</t>
        </is>
      </c>
      <c r="C140" s="9" t="inlineStr">
        <is>
          <t>العلاقات والشراكات</t>
        </is>
      </c>
      <c r="D140" s="9" t="inlineStr">
        <is>
          <t>وصول العلاقات العامة (PR)</t>
        </is>
      </c>
      <c r="E140" s="25" t="inlineStr">
        <is>
          <t>وصول</t>
        </is>
      </c>
      <c r="F140" s="25" t="inlineStr">
        <is>
          <t>↑</t>
        </is>
      </c>
      <c r="G140" s="25" t="inlineStr">
        <is>
          <t>LAST</t>
        </is>
      </c>
      <c r="H140" s="26" t="inlineStr">
        <is>
          <t>🟠 مهم</t>
        </is>
      </c>
      <c r="I140" s="27" t="n">
        <v>0.05556</v>
      </c>
      <c r="J140" s="28" t="n">
        <v>7000000</v>
      </c>
      <c r="K140" s="29" t="inlineStr">
        <is>
          <t>7م وصول</t>
        </is>
      </c>
      <c r="L140" s="30" t="inlineStr">
        <is>
          <t>النمو</t>
        </is>
      </c>
      <c r="M140" s="31" t="inlineStr">
        <is>
          <t>زيادة وصول العملاء</t>
        </is>
      </c>
      <c r="N140" s="26" t="inlineStr">
        <is>
          <t>العملاء</t>
        </is>
      </c>
      <c r="O140" s="32" t="n"/>
      <c r="P140" s="32" t="n"/>
      <c r="Q140" s="32" t="n"/>
      <c r="R140" s="32" t="n"/>
      <c r="S140" s="32" t="n"/>
      <c r="T140" s="32" t="n">
        <v>1500000</v>
      </c>
      <c r="U140" s="32" t="n"/>
      <c r="V140" s="32" t="n"/>
      <c r="W140" s="32" t="n"/>
      <c r="X140" s="32" t="n"/>
      <c r="Y140" s="32" t="n"/>
      <c r="Z140" s="32" t="n"/>
      <c r="AA140" s="33">
        <f>IF($G140="SUM",IF(COUNT($O140:$Z140)=0,"",SUM($O140:$Z140)),IF($G140="AVG",IFERROR(AVERAGE($O140:$Z140),""),IF($G140="LAST",IFERROR(LOOKUP(2,1/($O140:$Z140&lt;&gt;""),$O140:$Z140),""),"")))</f>
        <v/>
      </c>
      <c r="AB140" s="16">
        <f>IF($J140="","",IF($AA140="","",IF($J140=0,IF($AA140&lt;=0,1,0),IF($F140="↓",IFERROR($J140/$AA140,0),IFERROR($AA140/$J140,0)))))</f>
        <v/>
      </c>
      <c r="AC140" s="15">
        <f>IF($AB140="","—",IF($AB140&gt;=1,"✅ محقق",IF($AB140&gt;=0.85,"🟡 قريب","🔴 تحت الهدف")))</f>
        <v/>
      </c>
    </row>
    <row r="141" ht="24" customHeight="1">
      <c r="A141" s="15" t="n">
        <v>138</v>
      </c>
      <c r="B141" s="21" t="inlineStr">
        <is>
          <t>التسويق</t>
        </is>
      </c>
      <c r="C141" s="9" t="inlineStr">
        <is>
          <t>العلاقات والشراكات</t>
        </is>
      </c>
      <c r="D141" s="9" t="inlineStr">
        <is>
          <t>عدد المعارض بالسنة</t>
        </is>
      </c>
      <c r="E141" s="25" t="inlineStr">
        <is>
          <t>معرض</t>
        </is>
      </c>
      <c r="F141" s="25" t="inlineStr">
        <is>
          <t>↑</t>
        </is>
      </c>
      <c r="G141" s="25" t="inlineStr">
        <is>
          <t>SUM</t>
        </is>
      </c>
      <c r="H141" s="26" t="inlineStr">
        <is>
          <t>🟠 مهم</t>
        </is>
      </c>
      <c r="I141" s="27" t="n">
        <v>0.05556</v>
      </c>
      <c r="J141" s="28" t="n">
        <v>3</v>
      </c>
      <c r="K141" s="29" t="inlineStr">
        <is>
          <t>3 معارض</t>
        </is>
      </c>
      <c r="L141" s="30" t="inlineStr">
        <is>
          <t>الابتكار</t>
        </is>
      </c>
      <c r="M141" s="31" t="inlineStr">
        <is>
          <t>إطلاق مشاريع جديدة</t>
        </is>
      </c>
      <c r="N141" s="26" t="inlineStr">
        <is>
          <t>العمليات الداخلية</t>
        </is>
      </c>
      <c r="O141" s="32" t="n"/>
      <c r="P141" s="32" t="n"/>
      <c r="Q141" s="32" t="n"/>
      <c r="R141" s="32" t="n"/>
      <c r="S141" s="32" t="n"/>
      <c r="T141" s="32" t="n">
        <v>0</v>
      </c>
      <c r="U141" s="32" t="n"/>
      <c r="V141" s="32" t="n"/>
      <c r="W141" s="32" t="n"/>
      <c r="X141" s="32" t="n"/>
      <c r="Y141" s="32" t="n"/>
      <c r="Z141" s="32" t="n"/>
      <c r="AA141" s="33">
        <f>IF($G141="SUM",IF(COUNT($O141:$Z141)=0,"",SUM($O141:$Z141)),IF($G141="AVG",IFERROR(AVERAGE($O141:$Z141),""),IF($G141="LAST",IFERROR(LOOKUP(2,1/($O141:$Z141&lt;&gt;""),$O141:$Z141),""),"")))</f>
        <v/>
      </c>
      <c r="AB141" s="16">
        <f>IF($J141="","",IF($AA141="","",IF($J141=0,IF($AA141&lt;=0,1,0),IF($F141="↓",IFERROR($J141/$AA141,0),IFERROR($AA141/$J141,0)))))</f>
        <v/>
      </c>
      <c r="AC141" s="15">
        <f>IF($AB141="","—",IF($AB141&gt;=1,"✅ محقق",IF($AB141&gt;=0.85,"🟡 قريب","🔴 تحت الهدف")))</f>
        <v/>
      </c>
    </row>
    <row r="142" ht="24" customHeight="1">
      <c r="A142" s="15" t="n">
        <v>139</v>
      </c>
      <c r="B142" s="21" t="inlineStr">
        <is>
          <t>التسويق</t>
        </is>
      </c>
      <c r="C142" s="9" t="inlineStr">
        <is>
          <t>العلاقات والشراكات</t>
        </is>
      </c>
      <c r="D142" s="9" t="inlineStr">
        <is>
          <t>اتفاقيات استراتيجية</t>
        </is>
      </c>
      <c r="E142" s="25" t="inlineStr">
        <is>
          <t>اتفاقية</t>
        </is>
      </c>
      <c r="F142" s="25" t="inlineStr">
        <is>
          <t>↑</t>
        </is>
      </c>
      <c r="G142" s="25" t="inlineStr">
        <is>
          <t>SUM</t>
        </is>
      </c>
      <c r="H142" s="26" t="inlineStr">
        <is>
          <t>🟠 مهم</t>
        </is>
      </c>
      <c r="I142" s="27" t="n">
        <v>0.05556</v>
      </c>
      <c r="J142" s="28" t="n">
        <v>3</v>
      </c>
      <c r="K142" s="29" t="inlineStr">
        <is>
          <t>3 اتفاقيات</t>
        </is>
      </c>
      <c r="L142" s="30" t="inlineStr">
        <is>
          <t>الابتكار</t>
        </is>
      </c>
      <c r="M142" s="31" t="inlineStr">
        <is>
          <t>إطلاق مشاريع جديدة</t>
        </is>
      </c>
      <c r="N142" s="26" t="inlineStr">
        <is>
          <t>العمليات الداخلية</t>
        </is>
      </c>
      <c r="O142" s="32" t="n"/>
      <c r="P142" s="32" t="n"/>
      <c r="Q142" s="32" t="n"/>
      <c r="R142" s="32" t="n"/>
      <c r="S142" s="32" t="n"/>
      <c r="T142" s="32" t="n">
        <v>0</v>
      </c>
      <c r="U142" s="32" t="n"/>
      <c r="V142" s="32" t="n"/>
      <c r="W142" s="32" t="n"/>
      <c r="X142" s="32" t="n"/>
      <c r="Y142" s="32" t="n"/>
      <c r="Z142" s="32" t="n"/>
      <c r="AA142" s="33">
        <f>IF($G142="SUM",IF(COUNT($O142:$Z142)=0,"",SUM($O142:$Z142)),IF($G142="AVG",IFERROR(AVERAGE($O142:$Z142),""),IF($G142="LAST",IFERROR(LOOKUP(2,1/($O142:$Z142&lt;&gt;""),$O142:$Z142),""),"")))</f>
        <v/>
      </c>
      <c r="AB142" s="16">
        <f>IF($J142="","",IF($AA142="","",IF($J142=0,IF($AA142&lt;=0,1,0),IF($F142="↓",IFERROR($J142/$AA142,0),IFERROR($AA142/$J142,0)))))</f>
        <v/>
      </c>
      <c r="AC142" s="15">
        <f>IF($AB142="","—",IF($AB142&gt;=1,"✅ محقق",IF($AB142&gt;=0.85,"🟡 قريب","🔴 تحت الهدف")))</f>
        <v/>
      </c>
    </row>
    <row r="143" ht="24" customHeight="1">
      <c r="A143" s="15" t="n">
        <v>140</v>
      </c>
      <c r="B143" s="21" t="inlineStr">
        <is>
          <t>التسويق</t>
        </is>
      </c>
      <c r="C143" s="9" t="inlineStr">
        <is>
          <t>خدمة العملاء والدعم</t>
        </is>
      </c>
      <c r="D143" s="9" t="inlineStr">
        <is>
          <t>تقييم خرائط قوقل</t>
        </is>
      </c>
      <c r="E143" s="25" t="inlineStr">
        <is>
          <t>نجمة/5</t>
        </is>
      </c>
      <c r="F143" s="25" t="inlineStr">
        <is>
          <t>↑</t>
        </is>
      </c>
      <c r="G143" s="25" t="inlineStr">
        <is>
          <t>AVG</t>
        </is>
      </c>
      <c r="H143" s="26" t="inlineStr">
        <is>
          <t>🟠 مهم</t>
        </is>
      </c>
      <c r="I143" s="27" t="n">
        <v>0.05556</v>
      </c>
      <c r="J143" s="38" t="n">
        <v>4.7</v>
      </c>
      <c r="K143" s="29" t="inlineStr">
        <is>
          <t>4.7 ⭐</t>
        </is>
      </c>
      <c r="L143" s="30" t="inlineStr">
        <is>
          <t>الاستدامة</t>
        </is>
      </c>
      <c r="M143" s="31" t="inlineStr">
        <is>
          <t>تعزيز تجربة العملاء</t>
        </is>
      </c>
      <c r="N143" s="26" t="inlineStr">
        <is>
          <t>العملاء</t>
        </is>
      </c>
      <c r="O143" s="39" t="n"/>
      <c r="P143" s="39" t="n"/>
      <c r="Q143" s="39" t="n"/>
      <c r="R143" s="39" t="n"/>
      <c r="S143" s="39" t="n"/>
      <c r="T143" s="39" t="n">
        <v>4</v>
      </c>
      <c r="U143" s="39" t="n"/>
      <c r="V143" s="39" t="n"/>
      <c r="W143" s="39" t="n"/>
      <c r="X143" s="39" t="n"/>
      <c r="Y143" s="39" t="n"/>
      <c r="Z143" s="39" t="n"/>
      <c r="AA143" s="40">
        <f>IF($G143="SUM",IF(COUNT($O143:$Z143)=0,"",SUM($O143:$Z143)),IF($G143="AVG",IFERROR(AVERAGE($O143:$Z143),""),IF($G143="LAST",IFERROR(LOOKUP(2,1/($O143:$Z143&lt;&gt;""),$O143:$Z143),""),"")))</f>
        <v/>
      </c>
      <c r="AB143" s="16">
        <f>IF($J143="","",IF($AA143="","",IF($J143=0,IF($AA143&lt;=0,1,0),IF($F143="↓",IFERROR($J143/$AA143,0),IFERROR($AA143/$J143,0)))))</f>
        <v/>
      </c>
      <c r="AC143" s="15">
        <f>IF($AB143="","—",IF($AB143&gt;=1,"✅ محقق",IF($AB143&gt;=0.85,"🟡 قريب","🔴 تحت الهدف")))</f>
        <v/>
      </c>
    </row>
    <row r="144" ht="24" customHeight="1">
      <c r="A144" s="15" t="n">
        <v>141</v>
      </c>
      <c r="B144" s="21" t="inlineStr">
        <is>
          <t>التسويق</t>
        </is>
      </c>
      <c r="C144" s="9" t="inlineStr">
        <is>
          <t>خدمة العملاء والدعم</t>
        </is>
      </c>
      <c r="D144" s="9" t="inlineStr">
        <is>
          <t>معدل خفض الشكاوى</t>
        </is>
      </c>
      <c r="E144" s="25" t="inlineStr">
        <is>
          <t>%</t>
        </is>
      </c>
      <c r="F144" s="25" t="inlineStr">
        <is>
          <t>↑</t>
        </is>
      </c>
      <c r="G144" s="25" t="inlineStr">
        <is>
          <t>AVG</t>
        </is>
      </c>
      <c r="H144" s="26" t="inlineStr">
        <is>
          <t>🟠 مهم</t>
        </is>
      </c>
      <c r="I144" s="27" t="n">
        <v>0.05556</v>
      </c>
      <c r="J144" s="27" t="n">
        <v>0.3</v>
      </c>
      <c r="K144" s="29" t="inlineStr">
        <is>
          <t>30%</t>
        </is>
      </c>
      <c r="L144" s="30" t="inlineStr">
        <is>
          <t>الاستدامة</t>
        </is>
      </c>
      <c r="M144" s="31" t="inlineStr">
        <is>
          <t>تعزيز تجربة العملاء</t>
        </is>
      </c>
      <c r="N144" s="26" t="inlineStr">
        <is>
          <t>العملاء</t>
        </is>
      </c>
      <c r="O144" s="36" t="n"/>
      <c r="P144" s="36" t="n"/>
      <c r="Q144" s="36" t="n"/>
      <c r="R144" s="36" t="n"/>
      <c r="S144" s="36" t="n"/>
      <c r="T144" s="36" t="n">
        <v>0.21</v>
      </c>
      <c r="U144" s="36" t="n"/>
      <c r="V144" s="36" t="n"/>
      <c r="W144" s="36" t="n"/>
      <c r="X144" s="36" t="n"/>
      <c r="Y144" s="36" t="n"/>
      <c r="Z144" s="36" t="n"/>
      <c r="AA144" s="37">
        <f>IF($G144="SUM",IF(COUNT($O144:$Z144)=0,"",SUM($O144:$Z144)),IF($G144="AVG",IFERROR(AVERAGE($O144:$Z144),""),IF($G144="LAST",IFERROR(LOOKUP(2,1/($O144:$Z144&lt;&gt;""),$O144:$Z144),""),"")))</f>
        <v/>
      </c>
      <c r="AB144" s="16">
        <f>IF($J144="","",IF($AA144="","",IF($J144=0,IF($AA144&lt;=0,1,0),IF($F144="↓",IFERROR($J144/$AA144,0),IFERROR($AA144/$J144,0)))))</f>
        <v/>
      </c>
      <c r="AC144" s="15">
        <f>IF($AB144="","—",IF($AB144&gt;=1,"✅ محقق",IF($AB144&gt;=0.85,"🟡 قريب","🔴 تحت الهدف")))</f>
        <v/>
      </c>
    </row>
    <row r="145" ht="24" customHeight="1">
      <c r="A145" s="15" t="n">
        <v>142</v>
      </c>
      <c r="B145" s="21" t="inlineStr">
        <is>
          <t>التسويق</t>
        </is>
      </c>
      <c r="C145" s="9" t="inlineStr">
        <is>
          <t>تطبيق تانكي</t>
        </is>
      </c>
      <c r="D145" s="9" t="inlineStr">
        <is>
          <t>وصول محتوى تطبيق تانكي</t>
        </is>
      </c>
      <c r="E145" s="25" t="inlineStr">
        <is>
          <t>وصول</t>
        </is>
      </c>
      <c r="F145" s="25" t="inlineStr">
        <is>
          <t>↑</t>
        </is>
      </c>
      <c r="G145" s="25" t="inlineStr">
        <is>
          <t>LAST</t>
        </is>
      </c>
      <c r="H145" s="26" t="inlineStr">
        <is>
          <t>🟠 مهم</t>
        </is>
      </c>
      <c r="I145" s="27" t="n">
        <v>0.05556</v>
      </c>
      <c r="J145" s="28" t="n">
        <v>1000000</v>
      </c>
      <c r="K145" s="29" t="inlineStr">
        <is>
          <t>1م وصول</t>
        </is>
      </c>
      <c r="L145" s="30" t="inlineStr">
        <is>
          <t>الابتكار</t>
        </is>
      </c>
      <c r="M145" s="31" t="inlineStr">
        <is>
          <t>تطبيق «تانكي»</t>
        </is>
      </c>
      <c r="N145" s="26" t="inlineStr">
        <is>
          <t>العملاء</t>
        </is>
      </c>
      <c r="O145" s="32" t="n"/>
      <c r="P145" s="32" t="n"/>
      <c r="Q145" s="32" t="n"/>
      <c r="R145" s="32" t="n"/>
      <c r="S145" s="32" t="n"/>
      <c r="T145" s="32" t="n"/>
      <c r="U145" s="32" t="n"/>
      <c r="V145" s="32" t="n"/>
      <c r="W145" s="32" t="n"/>
      <c r="X145" s="32" t="n"/>
      <c r="Y145" s="32" t="n"/>
      <c r="Z145" s="32" t="n"/>
      <c r="AA145" s="33">
        <f>IF($G145="SUM",IF(COUNT($O145:$Z145)=0,"",SUM($O145:$Z145)),IF($G145="AVG",IFERROR(AVERAGE($O145:$Z145),""),IF($G145="LAST",IFERROR(LOOKUP(2,1/($O145:$Z145&lt;&gt;""),$O145:$Z145),""),"")))</f>
        <v/>
      </c>
      <c r="AB145" s="16">
        <f>IF($J145="","",IF($AA145="","",IF($J145=0,IF($AA145&lt;=0,1,0),IF($F145="↓",IFERROR($J145/$AA145,0),IFERROR($AA145/$J145,0)))))</f>
        <v/>
      </c>
      <c r="AC145" s="15">
        <f>IF($AB145="","—",IF($AB145&gt;=1,"✅ محقق",IF($AB145&gt;=0.85,"🟡 قريب","🔴 تحت الهدف")))</f>
        <v/>
      </c>
    </row>
    <row r="146" ht="24" customHeight="1">
      <c r="A146" s="15" t="n">
        <v>143</v>
      </c>
      <c r="B146" s="21" t="inlineStr">
        <is>
          <t>التسويق</t>
        </is>
      </c>
      <c r="C146" s="9" t="inlineStr">
        <is>
          <t>تطبيق تانكي</t>
        </is>
      </c>
      <c r="D146" s="9" t="inlineStr">
        <is>
          <t>مشاركات تطبيق تانكي</t>
        </is>
      </c>
      <c r="E146" s="25" t="inlineStr">
        <is>
          <t>مشاركة</t>
        </is>
      </c>
      <c r="F146" s="25" t="inlineStr">
        <is>
          <t>↑</t>
        </is>
      </c>
      <c r="G146" s="25" t="inlineStr">
        <is>
          <t>SUM</t>
        </is>
      </c>
      <c r="H146" s="26" t="inlineStr">
        <is>
          <t>🟠 مهم</t>
        </is>
      </c>
      <c r="I146" s="27" t="n">
        <v>0.05556</v>
      </c>
      <c r="J146" s="28" t="n">
        <v>250</v>
      </c>
      <c r="K146" s="29" t="inlineStr">
        <is>
          <t>250 مشاركة</t>
        </is>
      </c>
      <c r="L146" s="30" t="inlineStr">
        <is>
          <t>الابتكار</t>
        </is>
      </c>
      <c r="M146" s="31" t="inlineStr">
        <is>
          <t>تطبيق «تانكي»</t>
        </is>
      </c>
      <c r="N146" s="26" t="inlineStr">
        <is>
          <t>العمليات الداخلية</t>
        </is>
      </c>
      <c r="O146" s="32" t="n"/>
      <c r="P146" s="32" t="n"/>
      <c r="Q146" s="32" t="n"/>
      <c r="R146" s="32" t="n"/>
      <c r="S146" s="32" t="n"/>
      <c r="T146" s="32" t="n"/>
      <c r="U146" s="32" t="n"/>
      <c r="V146" s="32" t="n"/>
      <c r="W146" s="32" t="n"/>
      <c r="X146" s="32" t="n"/>
      <c r="Y146" s="32" t="n"/>
      <c r="Z146" s="32" t="n"/>
      <c r="AA146" s="33">
        <f>IF($G146="SUM",IF(COUNT($O146:$Z146)=0,"",SUM($O146:$Z146)),IF($G146="AVG",IFERROR(AVERAGE($O146:$Z146),""),IF($G146="LAST",IFERROR(LOOKUP(2,1/($O146:$Z146&lt;&gt;""),$O146:$Z146),""),"")))</f>
        <v/>
      </c>
      <c r="AB146" s="16">
        <f>IF($J146="","",IF($AA146="","",IF($J146=0,IF($AA146&lt;=0,1,0),IF($F146="↓",IFERROR($J146/$AA146,0),IFERROR($AA146/$J146,0)))))</f>
        <v/>
      </c>
      <c r="AC146" s="15">
        <f>IF($AB146="","—",IF($AB146&gt;=1,"✅ محقق",IF($AB146&gt;=0.85,"🟡 قريب","🔴 تحت الهدف")))</f>
        <v/>
      </c>
    </row>
  </sheetData>
  <autoFilter ref="A3:AC146"/>
  <mergeCells count="2">
    <mergeCell ref="A2:AC2"/>
    <mergeCell ref="A1:AC1"/>
  </mergeCells>
  <dataValidations count="1">
    <dataValidation sqref="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R102 R103 R104 R105 R106 R107 R108 R109 R110 R111 R112 R113 R114 R115 R116 R117 R118 R119 R120 R121 R122 R123 R124 R125 R126 R127 R128 R129 R130 R131 R132 R133 R134 R135 R136 R137 R138 R139 R140 R141 R142 R143 R144 R145 R146 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101 S102 S103 S104 S105 S106 S107 S108 S109 S110 S111 S112 S113 S114 S115 S116 S117 S118 S119 S120 S121 S122 S123 S124 S125 S126 S127 S128 S129 S130 S131 S132 S133 S134 S135 S136 S137 S138 S139 S140 S141 S142 S143 S144 S145 S146 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T101 T102 T103 T104 T105 T106 T107 T108 T109 T110 T111 T112 T113 T114 T115 T116 T117 T118 T119 T120 T121 T122 T123 T124 T125 T126 T127 T128 T129 T130 T131 T132 T133 T134 T135 T136 T137 T138 T139 T140 T141 T142 T143 T144 T145 T146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5 V116 V117 V118 V119 V120 V121 V122 V123 V124 V125 V126 V127 V128 V129 V130 V131 V132 V133 V134 V135 V136 V137 V138 V139 V140 V141 V142 V143 V144 V145 V146 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W101 W102 W103 W104 W105 W106 W107 W108 W109 W110 W111 W112 W113 W114 W115 W116 W117 W118 W119 W120 W121 W122 W123 W124 W125 W126 W127 W128 W129 W130 W131 W132 W133 W134 W135 W136 W137 W138 W139 W140 W141 W142 W143 W144 W145 W146 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8 X139 X140 X141 X142 X143 X144 X145 X146 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Y101 Y102 Y103 Y104 Y105 Y106 Y107 Y108 Y109 Y110 Y111 Y112 Y113 Y114 Y115 Y116 Y117 Y118 Y119 Y120 Y121 Y122 Y123 Y124 Y125 Y126 Y127 Y128 Y129 Y130 Y131 Y132 Y133 Y134 Y135 Y136 Y137 Y138 Y139 Y140 Y141 Y142 Y143 Y144 Y145 Y146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showDropDown="0" showInputMessage="0" showErrorMessage="0" allowBlank="1"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2026-06-22T05:57:40Z</dcterms:created>
  <dcterms:modified xmlns:dcterms="http://purl.org/dc/terms/" xmlns:xsi="http://www.w3.org/2001/XMLSchema-instance" xsi:type="dcterms:W3CDTF">2026-06-22T05:57:41Z</dcterms:modified>
</cp:coreProperties>
</file>