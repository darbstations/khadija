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استراتيجية والمستهدفات" sheetId="3" state="visible" r:id="rId3"/>
    <sheet xmlns:r="http://schemas.openxmlformats.org/officeDocument/2006/relationships" name="الخريطة الاستراتيجية" sheetId="4" state="visible" r:id="rId4"/>
    <sheet xmlns:r="http://schemas.openxmlformats.org/officeDocument/2006/relationships" name="اللوحة الموجزة" sheetId="5" state="visible" r:id="rId5"/>
    <sheet xmlns:r="http://schemas.openxmlformats.org/officeDocument/2006/relationships" name="تحليل الانحراف" sheetId="6" state="visible" r:id="rId6"/>
    <sheet xmlns:r="http://schemas.openxmlformats.org/officeDocument/2006/relationships" name="التتبّع الشهري" sheetId="7" state="visible" r:id="rId7"/>
    <sheet xmlns:r="http://schemas.openxmlformats.org/officeDocument/2006/relationships" name="سجل المخاطر" sheetId="8" state="visible" r:id="rId8"/>
    <sheet xmlns:r="http://schemas.openxmlformats.org/officeDocument/2006/relationships" name="ESG والاستدامة" sheetId="9" state="visible" r:id="rId9"/>
    <sheet xmlns:r="http://schemas.openxmlformats.org/officeDocument/2006/relationships" name="مراجعة وحوكمة المؤشرات" sheetId="10" state="visible" r:id="rId10"/>
    <sheet xmlns:r="http://schemas.openxmlformats.org/officeDocument/2006/relationships" name="بطاقة تعريف المؤشرات" sheetId="11" state="visible" r:id="rId11"/>
    <sheet xmlns:r="http://schemas.openxmlformats.org/officeDocument/2006/relationships" name="الإدارة التنفيذية" sheetId="12" state="visible" r:id="rId12"/>
    <sheet xmlns:r="http://schemas.openxmlformats.org/officeDocument/2006/relationships" name="الامتياز التجاري" sheetId="13" state="visible" r:id="rId13"/>
    <sheet xmlns:r="http://schemas.openxmlformats.org/officeDocument/2006/relationships" name="التشغيل والمحطات" sheetId="14" state="visible" r:id="rId14"/>
    <sheet xmlns:r="http://schemas.openxmlformats.org/officeDocument/2006/relationships" name="الاستثمار" sheetId="15" state="visible" r:id="rId15"/>
    <sheet xmlns:r="http://schemas.openxmlformats.org/officeDocument/2006/relationships" name="العقار" sheetId="16" state="visible" r:id="rId16"/>
    <sheet xmlns:r="http://schemas.openxmlformats.org/officeDocument/2006/relationships" name="إدارة المشاريع" sheetId="17" state="visible" r:id="rId17"/>
    <sheet xmlns:r="http://schemas.openxmlformats.org/officeDocument/2006/relationships" name="سلاسل الإمداد" sheetId="18" state="visible" r:id="rId18"/>
    <sheet xmlns:r="http://schemas.openxmlformats.org/officeDocument/2006/relationships" name="الصيانة والأتمتة" sheetId="19" state="visible" r:id="rId19"/>
    <sheet xmlns:r="http://schemas.openxmlformats.org/officeDocument/2006/relationships" name="التقنية الرقمية" sheetId="20" state="visible" r:id="rId20"/>
    <sheet xmlns:r="http://schemas.openxmlformats.org/officeDocument/2006/relationships" name="الموارد البشرية" sheetId="21" state="visible" r:id="rId21"/>
    <sheet xmlns:r="http://schemas.openxmlformats.org/officeDocument/2006/relationships" name="التسويق" sheetId="22" state="visible" r:id="rId22"/>
    <sheet xmlns:r="http://schemas.openxmlformats.org/officeDocument/2006/relationships" name="الجودة" sheetId="23" state="visible" r:id="rId23"/>
    <sheet xmlns:r="http://schemas.openxmlformats.org/officeDocument/2006/relationships" name="الإدارة القانونية" sheetId="24" state="visible" r:id="rId24"/>
    <sheet xmlns:r="http://schemas.openxmlformats.org/officeDocument/2006/relationships" name="الإدارة المالية" sheetId="25" state="visible" r:id="rId25"/>
    <sheet xmlns:r="http://schemas.openxmlformats.org/officeDocument/2006/relationships" name="سجل المشاريع" sheetId="26" state="visible" r:id="rId26"/>
    <sheet xmlns:r="http://schemas.openxmlformats.org/officeDocument/2006/relationships" name="قاعدة المؤشرات" sheetId="27" state="hidden" r:id="rId27"/>
  </sheets>
  <definedNames>
    <definedName name="_xlnm._FilterDatabase" localSheetId="5" hidden="1">'تحليل الانحراف'!$A$2:$M$71</definedName>
    <definedName name="_xlnm._FilterDatabase" localSheetId="6" hidden="1">'التتبّع الشهري'!$A$3:$X$118</definedName>
    <definedName name="_xlnm._FilterDatabase" localSheetId="7" hidden="1">'سجل المخاطر'!$A$2:$K$14</definedName>
    <definedName name="_xlnm._FilterDatabase" localSheetId="8" hidden="1">'ESG والاستدامة'!$A$2:$J$16</definedName>
    <definedName name="_xlnm._FilterDatabase" localSheetId="10" hidden="1">'بطاقة تعريف المؤشرات'!$A$2:$N$117</definedName>
    <definedName name="_xlnm._FilterDatabase" localSheetId="11" hidden="1">'الإدارة التنفيذية'!$A$3:$R$13</definedName>
    <definedName name="_xlnm._FilterDatabase" localSheetId="12" hidden="1">'الامتياز التجاري'!$A$3:$R$32</definedName>
    <definedName name="_xlnm._FilterDatabase" localSheetId="13" hidden="1">'التشغيل والمحطات'!$A$3:$R$7</definedName>
    <definedName name="_xlnm._FilterDatabase" localSheetId="14" hidden="1">'الاستثمار'!$A$3:$R$8</definedName>
    <definedName name="_xlnm._FilterDatabase" localSheetId="15" hidden="1">'العقار'!$A$3:$R$7</definedName>
    <definedName name="_xlnm._FilterDatabase" localSheetId="16" hidden="1">'إدارة المشاريع'!$A$3:$R$6</definedName>
    <definedName name="_xlnm._FilterDatabase" localSheetId="17" hidden="1">'سلاسل الإمداد'!$A$3:$R$7</definedName>
    <definedName name="_xlnm._FilterDatabase" localSheetId="18" hidden="1">'الصيانة والأتمتة'!$A$3:$R$5</definedName>
    <definedName name="_xlnm._FilterDatabase" localSheetId="19" hidden="1">'التقنية الرقمية'!$A$3:$R$5</definedName>
    <definedName name="_xlnm._FilterDatabase" localSheetId="20" hidden="1">'الموارد البشرية'!$A$3:$R$8</definedName>
    <definedName name="_xlnm._FilterDatabase" localSheetId="21" hidden="1">'التسويق'!$A$3:$R$8</definedName>
    <definedName name="_xlnm._FilterDatabase" localSheetId="22" hidden="1">'الجودة'!$A$3:$R$18</definedName>
    <definedName name="_xlnm._FilterDatabase" localSheetId="23" hidden="1">'الإدارة القانونية'!$A$3:$R$6</definedName>
    <definedName name="_xlnm._FilterDatabase" localSheetId="24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 &quot;ر.س&quot;"/>
  </numFmts>
  <fonts count="38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FFFFFF"/>
      <sz val="10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3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8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right" vertical="center" wrapText="1"/>
    </xf>
    <xf numFmtId="0" fontId="16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right" vertical="center" wrapText="1"/>
    </xf>
    <xf numFmtId="0" fontId="18" fillId="0" borderId="1" applyAlignment="1" pivotButton="0" quotePrefix="0" xfId="0">
      <alignment horizontal="right" vertical="center" wrapText="1"/>
    </xf>
    <xf numFmtId="0" fontId="19" fillId="6" borderId="1" applyAlignment="1" pivotButton="0" quotePrefix="0" xfId="0">
      <alignment horizontal="center" vertical="center"/>
    </xf>
    <xf numFmtId="0" fontId="22" fillId="2" borderId="0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 wrapText="1"/>
    </xf>
    <xf numFmtId="9" fontId="19" fillId="6" borderId="1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5" fillId="8" borderId="1" applyAlignment="1" pivotButton="0" quotePrefix="0" xfId="0">
      <alignment horizontal="center" vertical="center" wrapText="1"/>
    </xf>
    <xf numFmtId="9" fontId="19" fillId="8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 wrapText="1"/>
    </xf>
    <xf numFmtId="9" fontId="19" fillId="4" borderId="1" applyAlignment="1" pivotButton="0" quotePrefix="0" xfId="0">
      <alignment horizontal="center" vertical="center"/>
    </xf>
    <xf numFmtId="0" fontId="35" fillId="9" borderId="1" applyAlignment="1" pivotButton="0" quotePrefix="0" xfId="0">
      <alignment horizontal="center" vertical="center" wrapText="1"/>
    </xf>
    <xf numFmtId="9" fontId="19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9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7" fillId="3" borderId="0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3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3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3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30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6" fillId="5" borderId="1" applyAlignment="1" applyProtection="1" pivotButton="0" quotePrefix="0" xfId="0">
      <alignment horizontal="right" vertical="center" wrapText="1"/>
      <protection locked="0" hidden="0"/>
    </xf>
    <xf numFmtId="0" fontId="8" fillId="0" borderId="1" applyAlignment="1" pivotButton="0" quotePrefix="0" xfId="0">
      <alignment horizontal="right" vertical="center" wrapText="1"/>
    </xf>
    <xf numFmtId="0" fontId="12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المؤشرات'!$G$2:$G$116,'قاعدة المؤشرات'!$D$2:$D$116,"النمو"),"—")</f>
        <v/>
      </c>
      <c r="D8" s="11" t="inlineStr">
        <is>
          <t>الوصول الكلي (Total Reach)</t>
        </is>
      </c>
      <c r="E8" s="7" t="n"/>
      <c r="F8" s="12" t="n">
        <v>0.1</v>
      </c>
    </row>
    <row r="9">
      <c r="B9" s="9" t="inlineStr">
        <is>
          <t>الابتكار</t>
        </is>
      </c>
      <c r="C9" s="10">
        <f>IFERROR(AVERAGEIFS('قاعدة المؤشرات'!$G$2:$G$116,'قاعدة المؤشرات'!$D$2:$D$116,"الابتكار"),"—")</f>
        <v/>
      </c>
      <c r="D9" s="11" t="inlineStr">
        <is>
          <t>نسبة التزام الهوية البصرية</t>
        </is>
      </c>
      <c r="E9" s="7" t="n"/>
      <c r="F9" s="12" t="n">
        <v>0.1</v>
      </c>
    </row>
    <row r="10">
      <c r="B10" s="9" t="inlineStr">
        <is>
          <t>الاستدامة</t>
        </is>
      </c>
      <c r="C10" s="10">
        <f>IFERROR(AVERAGEIFS('قاعدة المؤشرات'!$G$2:$G$116,'قاعدة المؤشرات'!$D$2:$D$116,"الاستدامة"),"—")</f>
        <v/>
      </c>
      <c r="D10" s="11" t="inlineStr">
        <is>
          <t>معدل خفض الشكاوى</t>
        </is>
      </c>
      <c r="E10" s="7" t="n"/>
      <c r="F10" s="12" t="n">
        <v>0.7</v>
      </c>
    </row>
    <row r="11">
      <c r="D11" s="11" t="inlineStr">
        <is>
          <t>نسبة التحصيل خلال 5 أيام عمل</t>
        </is>
      </c>
      <c r="E11" s="7" t="n"/>
      <c r="F11" s="12" t="n">
        <v>0.7244444444444444</v>
      </c>
    </row>
    <row r="12">
      <c r="D12" s="11" t="inlineStr">
        <is>
          <t>عدد محطات الامتياز المشغّلة (تراكمي)</t>
        </is>
      </c>
      <c r="E12" s="7" t="n"/>
      <c r="F12" s="12" t="n">
        <v>0.7333333333333333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التنفيذية'!C4</f>
        <v/>
      </c>
      <c r="C4" s="22">
        <f>'الإدارة التنفيذية'!I4</f>
        <v/>
      </c>
      <c r="D4" s="23">
        <f>'الإدارة التنفيذية'!M4</f>
        <v/>
      </c>
      <c r="E4" s="10">
        <f>'الإدارة التنفيذية'!N4</f>
        <v/>
      </c>
      <c r="F4" s="20">
        <f>'الإدارة التنفيذية'!O4</f>
        <v/>
      </c>
      <c r="G4" s="24">
        <f>'الإدارة التنفيذية'!G4</f>
        <v/>
      </c>
    </row>
    <row r="5" ht="22" customHeight="1">
      <c r="A5" s="20" t="n">
        <v>2</v>
      </c>
      <c r="B5" s="21">
        <f>'الإدارة التنفيذية'!C5</f>
        <v/>
      </c>
      <c r="C5" s="22">
        <f>'الإدارة التنفيذية'!I5</f>
        <v/>
      </c>
      <c r="D5" s="23">
        <f>'الإدارة التنفيذية'!M5</f>
        <v/>
      </c>
      <c r="E5" s="10">
        <f>'الإدارة التنفيذية'!N5</f>
        <v/>
      </c>
      <c r="F5" s="20">
        <f>'الإدارة التنفيذية'!O5</f>
        <v/>
      </c>
      <c r="G5" s="24">
        <f>'الإدارة التنفيذية'!G5</f>
        <v/>
      </c>
    </row>
    <row r="6" ht="22" customHeight="1">
      <c r="A6" s="20" t="n">
        <v>3</v>
      </c>
      <c r="B6" s="21">
        <f>'الإدارة التنفيذية'!C6</f>
        <v/>
      </c>
      <c r="C6" s="22">
        <f>'الإدارة التنفيذية'!I6</f>
        <v/>
      </c>
      <c r="D6" s="23">
        <f>'الإدارة التنفيذية'!M6</f>
        <v/>
      </c>
      <c r="E6" s="10">
        <f>'الإدارة التنفيذية'!N6</f>
        <v/>
      </c>
      <c r="F6" s="20">
        <f>'الإدارة التنفيذية'!O6</f>
        <v/>
      </c>
      <c r="G6" s="24">
        <f>'الإدارة التنفيذية'!G6</f>
        <v/>
      </c>
    </row>
    <row r="7" ht="22" customHeight="1">
      <c r="A7" s="20" t="n">
        <v>4</v>
      </c>
      <c r="B7" s="21">
        <f>'الإدارة التنفيذية'!C9</f>
        <v/>
      </c>
      <c r="C7" s="22">
        <f>'الإدارة التنفيذية'!I9</f>
        <v/>
      </c>
      <c r="D7" s="23">
        <f>'الإدارة التنفيذية'!M9</f>
        <v/>
      </c>
      <c r="E7" s="10">
        <f>'الإدارة التنفيذية'!N9</f>
        <v/>
      </c>
      <c r="F7" s="20">
        <f>'الإدارة التنفيذية'!O9</f>
        <v/>
      </c>
      <c r="G7" s="24">
        <f>'الإدارة التنفيذية'!G9</f>
        <v/>
      </c>
    </row>
    <row r="8" ht="22" customHeight="1">
      <c r="A8" s="20" t="n">
        <v>5</v>
      </c>
      <c r="B8" s="21">
        <f>'الإدارة التنفيذية'!C10</f>
        <v/>
      </c>
      <c r="C8" s="22">
        <f>'الإدارة التنفيذية'!I10</f>
        <v/>
      </c>
      <c r="D8" s="23">
        <f>'الإدارة التنفيذية'!M10</f>
        <v/>
      </c>
      <c r="E8" s="10">
        <f>'الإدارة التنفيذية'!N10</f>
        <v/>
      </c>
      <c r="F8" s="20">
        <f>'الإدارة التنفيذية'!O10</f>
        <v/>
      </c>
      <c r="G8" s="24">
        <f>'الإدارة التنفيذية'!G10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التجاري'!C4</f>
        <v/>
      </c>
      <c r="C10" s="22">
        <f>'الامتياز التجاري'!I4</f>
        <v/>
      </c>
      <c r="D10" s="23">
        <f>'الامتياز التجاري'!M4</f>
        <v/>
      </c>
      <c r="E10" s="10">
        <f>'الامتياز التجاري'!N4</f>
        <v/>
      </c>
      <c r="F10" s="20">
        <f>'الامتياز التجاري'!O4</f>
        <v/>
      </c>
      <c r="G10" s="24">
        <f>'الامتياز التجاري'!G4</f>
        <v/>
      </c>
    </row>
    <row r="11" ht="22" customHeight="1">
      <c r="A11" s="20" t="n">
        <v>2</v>
      </c>
      <c r="B11" s="21">
        <f>'الامتياز التجاري'!C5</f>
        <v/>
      </c>
      <c r="C11" s="22">
        <f>'الامتياز التجاري'!I5</f>
        <v/>
      </c>
      <c r="D11" s="23">
        <f>'الامتياز التجاري'!M5</f>
        <v/>
      </c>
      <c r="E11" s="10">
        <f>'الامتياز التجاري'!N5</f>
        <v/>
      </c>
      <c r="F11" s="20">
        <f>'الامتياز التجاري'!O5</f>
        <v/>
      </c>
      <c r="G11" s="24">
        <f>'الامتياز التجاري'!G5</f>
        <v/>
      </c>
    </row>
    <row r="12" ht="22" customHeight="1">
      <c r="A12" s="20" t="n">
        <v>3</v>
      </c>
      <c r="B12" s="21">
        <f>'الامتياز التجاري'!C6</f>
        <v/>
      </c>
      <c r="C12" s="22">
        <f>'الامتياز التجاري'!I6</f>
        <v/>
      </c>
      <c r="D12" s="23">
        <f>'الامتياز التجاري'!M6</f>
        <v/>
      </c>
      <c r="E12" s="10">
        <f>'الامتياز التجاري'!N6</f>
        <v/>
      </c>
      <c r="F12" s="20">
        <f>'الامتياز التجاري'!O6</f>
        <v/>
      </c>
      <c r="G12" s="24">
        <f>'الامتياز التجاري'!G6</f>
        <v/>
      </c>
    </row>
    <row r="13" ht="22" customHeight="1">
      <c r="A13" s="20" t="n">
        <v>4</v>
      </c>
      <c r="B13" s="21">
        <f>'الامتياز التجاري'!C8</f>
        <v/>
      </c>
      <c r="C13" s="22">
        <f>'الامتياز التجاري'!I8</f>
        <v/>
      </c>
      <c r="D13" s="23">
        <f>'الامتياز التجاري'!M8</f>
        <v/>
      </c>
      <c r="E13" s="10">
        <f>'الامتياز التجاري'!N8</f>
        <v/>
      </c>
      <c r="F13" s="20">
        <f>'الامتياز التجاري'!O8</f>
        <v/>
      </c>
      <c r="G13" s="24">
        <f>'الامتياز التجاري'!G8</f>
        <v/>
      </c>
    </row>
    <row r="14" ht="22" customHeight="1">
      <c r="A14" s="20" t="n">
        <v>5</v>
      </c>
      <c r="B14" s="21">
        <f>'الامتياز التجاري'!C10</f>
        <v/>
      </c>
      <c r="C14" s="22">
        <f>'الامتياز التجاري'!I10</f>
        <v/>
      </c>
      <c r="D14" s="23">
        <f>'الامتياز التجاري'!M10</f>
        <v/>
      </c>
      <c r="E14" s="10">
        <f>'الامتياز التجاري'!N10</f>
        <v/>
      </c>
      <c r="F14" s="20">
        <f>'الامتياز التجاري'!O10</f>
        <v/>
      </c>
      <c r="G14" s="24">
        <f>'الامتياز التجاري'!G10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والمحطات'!C4</f>
        <v/>
      </c>
      <c r="C16" s="22">
        <f>'التشغيل والمحطات'!I4</f>
        <v/>
      </c>
      <c r="D16" s="23">
        <f>'التشغيل والمحطات'!M4</f>
        <v/>
      </c>
      <c r="E16" s="10">
        <f>'التشغيل والمحطات'!N4</f>
        <v/>
      </c>
      <c r="F16" s="20">
        <f>'التشغيل والمحطات'!O4</f>
        <v/>
      </c>
      <c r="G16" s="24">
        <f>'التشغيل والمحطات'!G4</f>
        <v/>
      </c>
    </row>
    <row r="17" ht="22" customHeight="1">
      <c r="A17" s="20" t="n">
        <v>2</v>
      </c>
      <c r="B17" s="21">
        <f>'التشغيل والمحطات'!C5</f>
        <v/>
      </c>
      <c r="C17" s="22">
        <f>'التشغيل والمحطات'!I5</f>
        <v/>
      </c>
      <c r="D17" s="23">
        <f>'التشغيل والمحطات'!M5</f>
        <v/>
      </c>
      <c r="E17" s="10">
        <f>'التشغيل والمحطات'!N5</f>
        <v/>
      </c>
      <c r="F17" s="20">
        <f>'التشغيل والمحطات'!O5</f>
        <v/>
      </c>
      <c r="G17" s="24">
        <f>'التشغيل والمحطات'!G5</f>
        <v/>
      </c>
    </row>
    <row r="18" ht="22" customHeight="1">
      <c r="A18" s="20" t="n">
        <v>3</v>
      </c>
      <c r="B18" s="21">
        <f>'التشغيل والمحطات'!C6</f>
        <v/>
      </c>
      <c r="C18" s="22">
        <f>'التشغيل والمحطات'!I6</f>
        <v/>
      </c>
      <c r="D18" s="23">
        <f>'التشغيل والمحطات'!M6</f>
        <v/>
      </c>
      <c r="E18" s="10">
        <f>'التشغيل والمحطات'!N6</f>
        <v/>
      </c>
      <c r="F18" s="20">
        <f>'التشغيل والمحطات'!O6</f>
        <v/>
      </c>
      <c r="G18" s="24">
        <f>'التشغيل والمحطات'!G6</f>
        <v/>
      </c>
    </row>
    <row r="19" ht="22" customHeight="1">
      <c r="A19" s="20" t="n">
        <v>4</v>
      </c>
      <c r="B19" s="21">
        <f>'التشغيل والمحطات'!C7</f>
        <v/>
      </c>
      <c r="C19" s="22">
        <f>'التشغيل والمحطات'!I7</f>
        <v/>
      </c>
      <c r="D19" s="23">
        <f>'التشغيل والمحطات'!M7</f>
        <v/>
      </c>
      <c r="E19" s="10">
        <f>'التشغيل والمحطات'!N7</f>
        <v/>
      </c>
      <c r="F19" s="20">
        <f>'التشغيل والمحطات'!O7</f>
        <v/>
      </c>
      <c r="G19" s="24">
        <f>'التشغيل والمحطات'!G7</f>
        <v/>
      </c>
    </row>
    <row r="20" ht="22" customHeight="1">
      <c r="A20" s="19" t="inlineStr">
        <is>
          <t>▾ الاستثمار · وزن الإدارة 11%</t>
        </is>
      </c>
    </row>
    <row r="21" ht="22" customHeight="1">
      <c r="A21" s="20" t="n">
        <v>1</v>
      </c>
      <c r="B21" s="21">
        <f>'الاستثمار'!C5</f>
        <v/>
      </c>
      <c r="C21" s="22">
        <f>'الاستثمار'!I5</f>
        <v/>
      </c>
      <c r="D21" s="23">
        <f>'الاستثمار'!M5</f>
        <v/>
      </c>
      <c r="E21" s="10">
        <f>'الاستثمار'!N5</f>
        <v/>
      </c>
      <c r="F21" s="20">
        <f>'الاستثمار'!O5</f>
        <v/>
      </c>
      <c r="G21" s="24">
        <f>'الاستثمار'!G5</f>
        <v/>
      </c>
    </row>
    <row r="22" ht="22" customHeight="1">
      <c r="A22" s="20" t="n">
        <v>2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3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4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5</v>
      </c>
      <c r="B25" s="21">
        <f>'الاستثمار'!C4</f>
        <v/>
      </c>
      <c r="C25" s="22">
        <f>'الاستثمار'!I4</f>
        <v/>
      </c>
      <c r="D25" s="23">
        <f>'الاستثمار'!M4</f>
        <v/>
      </c>
      <c r="E25" s="10">
        <f>'الاستثمار'!N4</f>
        <v/>
      </c>
      <c r="F25" s="20">
        <f>'الاستثمار'!O4</f>
        <v/>
      </c>
      <c r="G25" s="24">
        <f>'الاستثمار'!G4</f>
        <v/>
      </c>
    </row>
    <row r="26" ht="22" customHeight="1">
      <c r="A26" s="19" t="inlineStr">
        <is>
          <t>▾ العقار · وزن الإدارة 9%</t>
        </is>
      </c>
    </row>
    <row r="27" ht="22" customHeight="1">
      <c r="A27" s="20" t="n">
        <v>1</v>
      </c>
      <c r="B27" s="21">
        <f>'العقار'!C6</f>
        <v/>
      </c>
      <c r="C27" s="22">
        <f>'العقار'!I6</f>
        <v/>
      </c>
      <c r="D27" s="23">
        <f>'العقار'!M6</f>
        <v/>
      </c>
      <c r="E27" s="10">
        <f>'العقار'!N6</f>
        <v/>
      </c>
      <c r="F27" s="20">
        <f>'العقار'!O6</f>
        <v/>
      </c>
      <c r="G27" s="24">
        <f>'العقار'!G6</f>
        <v/>
      </c>
    </row>
    <row r="28" ht="22" customHeight="1">
      <c r="A28" s="20" t="n">
        <v>2</v>
      </c>
      <c r="B28" s="21">
        <f>'العقار'!C7</f>
        <v/>
      </c>
      <c r="C28" s="22">
        <f>'العقار'!I7</f>
        <v/>
      </c>
      <c r="D28" s="23">
        <f>'العقار'!M7</f>
        <v/>
      </c>
      <c r="E28" s="10">
        <f>'العقار'!N7</f>
        <v/>
      </c>
      <c r="F28" s="20">
        <f>'العقار'!O7</f>
        <v/>
      </c>
      <c r="G28" s="24">
        <f>'العقار'!G7</f>
        <v/>
      </c>
    </row>
    <row r="29" ht="22" customHeight="1">
      <c r="A29" s="20" t="n">
        <v>3</v>
      </c>
      <c r="B29" s="21">
        <f>'العقار'!C4</f>
        <v/>
      </c>
      <c r="C29" s="22">
        <f>'العقار'!I4</f>
        <v/>
      </c>
      <c r="D29" s="23">
        <f>'العقار'!M4</f>
        <v/>
      </c>
      <c r="E29" s="10">
        <f>'العقار'!N4</f>
        <v/>
      </c>
      <c r="F29" s="20">
        <f>'العقار'!O4</f>
        <v/>
      </c>
      <c r="G29" s="24">
        <f>'العقار'!G4</f>
        <v/>
      </c>
    </row>
    <row r="30" ht="22" customHeight="1">
      <c r="A30" s="20" t="n">
        <v>4</v>
      </c>
      <c r="B30" s="21">
        <f>'العقار'!C5</f>
        <v/>
      </c>
      <c r="C30" s="22">
        <f>'العقار'!I5</f>
        <v/>
      </c>
      <c r="D30" s="23">
        <f>'العقار'!M5</f>
        <v/>
      </c>
      <c r="E30" s="10">
        <f>'العقار'!N5</f>
        <v/>
      </c>
      <c r="F30" s="20">
        <f>'العقار'!O5</f>
        <v/>
      </c>
      <c r="G30" s="24">
        <f>'العقار'!G5</f>
        <v/>
      </c>
    </row>
    <row r="31" ht="22" customHeight="1">
      <c r="A31" s="19" t="inlineStr">
        <is>
          <t>▾ إدارة المشاريع · وزن الإدارة 8%</t>
        </is>
      </c>
    </row>
    <row r="32" ht="22" customHeight="1">
      <c r="A32" s="20" t="n">
        <v>1</v>
      </c>
      <c r="B32" s="21">
        <f>'إدارة المشاريع'!C4</f>
        <v/>
      </c>
      <c r="C32" s="22">
        <f>'إدارة المشاريع'!I4</f>
        <v/>
      </c>
      <c r="D32" s="23">
        <f>'إدارة المشاريع'!M4</f>
        <v/>
      </c>
      <c r="E32" s="10">
        <f>'إدارة المشاريع'!N4</f>
        <v/>
      </c>
      <c r="F32" s="20">
        <f>'إدارة المشاريع'!O4</f>
        <v/>
      </c>
      <c r="G32" s="24">
        <f>'إدارة المشاريع'!G4</f>
        <v/>
      </c>
    </row>
    <row r="33" ht="22" customHeight="1">
      <c r="A33" s="20" t="n">
        <v>2</v>
      </c>
      <c r="B33" s="21">
        <f>'إدارة المشاريع'!C5</f>
        <v/>
      </c>
      <c r="C33" s="22">
        <f>'إدارة المشاريع'!I5</f>
        <v/>
      </c>
      <c r="D33" s="23">
        <f>'إدارة المشاريع'!M5</f>
        <v/>
      </c>
      <c r="E33" s="10">
        <f>'إدارة المشاريع'!N5</f>
        <v/>
      </c>
      <c r="F33" s="20">
        <f>'إدارة المشاريع'!O5</f>
        <v/>
      </c>
      <c r="G33" s="24">
        <f>'إدارة المشاريع'!G5</f>
        <v/>
      </c>
    </row>
    <row r="34" ht="22" customHeight="1">
      <c r="A34" s="20" t="n">
        <v>3</v>
      </c>
      <c r="B34" s="21">
        <f>'إدارة المشاريع'!C6</f>
        <v/>
      </c>
      <c r="C34" s="22">
        <f>'إدارة المشاريع'!I6</f>
        <v/>
      </c>
      <c r="D34" s="23">
        <f>'إدارة المشاريع'!M6</f>
        <v/>
      </c>
      <c r="E34" s="10">
        <f>'إدارة المشاريع'!N6</f>
        <v/>
      </c>
      <c r="F34" s="20">
        <f>'إدارة المشاريع'!O6</f>
        <v/>
      </c>
      <c r="G34" s="24">
        <f>'إدارة المشاريع'!G6</f>
        <v/>
      </c>
    </row>
    <row r="35" ht="22" customHeight="1">
      <c r="A35" s="19" t="inlineStr">
        <is>
          <t>▾ سلاسل الإمداد · وزن الإدارة 10%</t>
        </is>
      </c>
    </row>
    <row r="36" ht="22" customHeight="1">
      <c r="A36" s="20" t="n">
        <v>1</v>
      </c>
      <c r="B36" s="21">
        <f>'سلاسل الإمداد'!C4</f>
        <v/>
      </c>
      <c r="C36" s="22">
        <f>'سلاسل الإمداد'!I4</f>
        <v/>
      </c>
      <c r="D36" s="23">
        <f>'سلاسل الإمداد'!M4</f>
        <v/>
      </c>
      <c r="E36" s="10">
        <f>'سلاسل الإمداد'!N4</f>
        <v/>
      </c>
      <c r="F36" s="20">
        <f>'سلاسل الإمداد'!O4</f>
        <v/>
      </c>
      <c r="G36" s="24">
        <f>'سلاسل الإمداد'!G4</f>
        <v/>
      </c>
    </row>
    <row r="37" ht="22" customHeight="1">
      <c r="A37" s="20" t="n">
        <v>2</v>
      </c>
      <c r="B37" s="21">
        <f>'سلاسل الإمداد'!C6</f>
        <v/>
      </c>
      <c r="C37" s="22">
        <f>'سلاسل الإمداد'!I6</f>
        <v/>
      </c>
      <c r="D37" s="23">
        <f>'سلاسل الإمداد'!M6</f>
        <v/>
      </c>
      <c r="E37" s="10">
        <f>'سلاسل الإمداد'!N6</f>
        <v/>
      </c>
      <c r="F37" s="20">
        <f>'سلاسل الإمداد'!O6</f>
        <v/>
      </c>
      <c r="G37" s="24">
        <f>'سلاسل الإمداد'!G6</f>
        <v/>
      </c>
    </row>
    <row r="38" ht="22" customHeight="1">
      <c r="A38" s="20" t="n">
        <v>3</v>
      </c>
      <c r="B38" s="21">
        <f>'سلاسل الإمداد'!C5</f>
        <v/>
      </c>
      <c r="C38" s="22">
        <f>'سلاسل الإمداد'!I5</f>
        <v/>
      </c>
      <c r="D38" s="23">
        <f>'سلاسل الإمداد'!M5</f>
        <v/>
      </c>
      <c r="E38" s="10">
        <f>'سلاسل الإمداد'!N5</f>
        <v/>
      </c>
      <c r="F38" s="20">
        <f>'سلاسل الإمداد'!O5</f>
        <v/>
      </c>
      <c r="G38" s="24">
        <f>'سلاسل الإمداد'!G5</f>
        <v/>
      </c>
    </row>
    <row r="39" ht="22" customHeight="1">
      <c r="A39" s="20" t="n">
        <v>4</v>
      </c>
      <c r="B39" s="21">
        <f>'سلاسل الإمداد'!C7</f>
        <v/>
      </c>
      <c r="C39" s="22">
        <f>'سلاسل الإمداد'!I7</f>
        <v/>
      </c>
      <c r="D39" s="23">
        <f>'سلاسل الإمداد'!M7</f>
        <v/>
      </c>
      <c r="E39" s="10">
        <f>'سلاسل الإمداد'!N7</f>
        <v/>
      </c>
      <c r="F39" s="20">
        <f>'سلاسل الإمداد'!O7</f>
        <v/>
      </c>
      <c r="G39" s="24">
        <f>'سلاسل الإمداد'!G7</f>
        <v/>
      </c>
    </row>
    <row r="40" ht="22" customHeight="1">
      <c r="A40" s="19" t="inlineStr">
        <is>
          <t>▾ الصيانة والأتمتة · وزن الإدارة 7%</t>
        </is>
      </c>
    </row>
    <row r="41" ht="22" customHeight="1">
      <c r="A41" s="20" t="n">
        <v>1</v>
      </c>
      <c r="B41" s="21">
        <f>'الصيانة والأتمتة'!C4</f>
        <v/>
      </c>
      <c r="C41" s="22">
        <f>'الصيانة والأتمتة'!I4</f>
        <v/>
      </c>
      <c r="D41" s="23">
        <f>'الصيانة والأتمتة'!M4</f>
        <v/>
      </c>
      <c r="E41" s="10">
        <f>'الصيانة والأتمتة'!N4</f>
        <v/>
      </c>
      <c r="F41" s="20">
        <f>'الصيانة والأتمتة'!O4</f>
        <v/>
      </c>
      <c r="G41" s="24">
        <f>'الصيانة والأتمتة'!G4</f>
        <v/>
      </c>
    </row>
    <row r="42" ht="22" customHeight="1">
      <c r="A42" s="20" t="n">
        <v>2</v>
      </c>
      <c r="B42" s="21">
        <f>'الصيانة والأتمتة'!C5</f>
        <v/>
      </c>
      <c r="C42" s="22">
        <f>'الصيانة والأتمتة'!I5</f>
        <v/>
      </c>
      <c r="D42" s="23">
        <f>'الصيانة والأتمتة'!M5</f>
        <v/>
      </c>
      <c r="E42" s="10">
        <f>'الصيانة والأتمتة'!N5</f>
        <v/>
      </c>
      <c r="F42" s="20">
        <f>'الصيانة والأتمتة'!O5</f>
        <v/>
      </c>
      <c r="G42" s="24">
        <f>'الصيانة والأتمتة'!G5</f>
        <v/>
      </c>
    </row>
    <row r="43" ht="22" customHeight="1">
      <c r="A43" s="19" t="inlineStr">
        <is>
          <t>▾ التقنية الرقمية · وزن الإدارة 4%</t>
        </is>
      </c>
    </row>
    <row r="44" ht="22" customHeight="1">
      <c r="A44" s="20" t="n">
        <v>1</v>
      </c>
      <c r="B44" s="21">
        <f>'التقنية الرقمية'!C4</f>
        <v/>
      </c>
      <c r="C44" s="22">
        <f>'التقنية الرقمية'!I4</f>
        <v/>
      </c>
      <c r="D44" s="23">
        <f>'التقنية الرقمية'!M4</f>
        <v/>
      </c>
      <c r="E44" s="10">
        <f>'التقنية الرقمية'!N4</f>
        <v/>
      </c>
      <c r="F44" s="20">
        <f>'التقنية الرقمية'!O4</f>
        <v/>
      </c>
      <c r="G44" s="24">
        <f>'التقنية الرقمية'!G4</f>
        <v/>
      </c>
    </row>
    <row r="45" ht="22" customHeight="1">
      <c r="A45" s="20" t="n">
        <v>2</v>
      </c>
      <c r="B45" s="21">
        <f>'التقنية الرقمية'!C5</f>
        <v/>
      </c>
      <c r="C45" s="22">
        <f>'التقنية الرقمية'!I5</f>
        <v/>
      </c>
      <c r="D45" s="23">
        <f>'التقنية الرقمية'!M5</f>
        <v/>
      </c>
      <c r="E45" s="10">
        <f>'التقنية الرقمية'!N5</f>
        <v/>
      </c>
      <c r="F45" s="20">
        <f>'التقنية الرقمية'!O5</f>
        <v/>
      </c>
      <c r="G45" s="24">
        <f>'التقنية الرقمية'!G5</f>
        <v/>
      </c>
    </row>
    <row r="46" ht="22" customHeight="1">
      <c r="A46" s="19" t="inlineStr">
        <is>
          <t>▾ الموارد البشرية · وزن الإدارة 4%</t>
        </is>
      </c>
    </row>
    <row r="47" ht="22" customHeight="1">
      <c r="A47" s="20" t="n">
        <v>1</v>
      </c>
      <c r="B47" s="21">
        <f>'الموارد البشرية'!C4</f>
        <v/>
      </c>
      <c r="C47" s="22">
        <f>'الموارد البشرية'!I4</f>
        <v/>
      </c>
      <c r="D47" s="23">
        <f>'الموارد البشرية'!M4</f>
        <v/>
      </c>
      <c r="E47" s="10">
        <f>'الموارد البشرية'!N4</f>
        <v/>
      </c>
      <c r="F47" s="20">
        <f>'الموارد البشرية'!O4</f>
        <v/>
      </c>
      <c r="G47" s="24">
        <f>'الموارد البشرية'!G4</f>
        <v/>
      </c>
    </row>
    <row r="48" ht="22" customHeight="1">
      <c r="A48" s="20" t="n">
        <v>2</v>
      </c>
      <c r="B48" s="21">
        <f>'الموارد البشرية'!C7</f>
        <v/>
      </c>
      <c r="C48" s="22">
        <f>'الموارد البشرية'!I7</f>
        <v/>
      </c>
      <c r="D48" s="23">
        <f>'الموارد البشرية'!M7</f>
        <v/>
      </c>
      <c r="E48" s="10">
        <f>'الموارد البشرية'!N7</f>
        <v/>
      </c>
      <c r="F48" s="20">
        <f>'الموارد البشرية'!O7</f>
        <v/>
      </c>
      <c r="G48" s="24">
        <f>'الموارد البشرية'!G7</f>
        <v/>
      </c>
    </row>
    <row r="49" ht="22" customHeight="1">
      <c r="A49" s="20" t="n">
        <v>3</v>
      </c>
      <c r="B49" s="21">
        <f>'الموارد البشرية'!C8</f>
        <v/>
      </c>
      <c r="C49" s="22">
        <f>'الموارد البشرية'!I8</f>
        <v/>
      </c>
      <c r="D49" s="23">
        <f>'الموارد البشرية'!M8</f>
        <v/>
      </c>
      <c r="E49" s="10">
        <f>'الموارد البشرية'!N8</f>
        <v/>
      </c>
      <c r="F49" s="20">
        <f>'الموارد البشرية'!O8</f>
        <v/>
      </c>
      <c r="G49" s="24">
        <f>'الموارد البشرية'!G8</f>
        <v/>
      </c>
    </row>
    <row r="50" ht="22" customHeight="1">
      <c r="A50" s="20" t="n">
        <v>4</v>
      </c>
      <c r="B50" s="21">
        <f>'الموارد البشرية'!C5</f>
        <v/>
      </c>
      <c r="C50" s="22">
        <f>'الموارد البشرية'!I5</f>
        <v/>
      </c>
      <c r="D50" s="23">
        <f>'الموارد البشرية'!M5</f>
        <v/>
      </c>
      <c r="E50" s="10">
        <f>'الموارد البشرية'!N5</f>
        <v/>
      </c>
      <c r="F50" s="20">
        <f>'الموارد البشرية'!O5</f>
        <v/>
      </c>
      <c r="G50" s="24">
        <f>'الموارد البشرية'!G5</f>
        <v/>
      </c>
    </row>
    <row r="51" ht="22" customHeight="1">
      <c r="A51" s="20" t="n">
        <v>5</v>
      </c>
      <c r="B51" s="21">
        <f>'الموارد البشرية'!C6</f>
        <v/>
      </c>
      <c r="C51" s="22">
        <f>'الموارد البشرية'!I6</f>
        <v/>
      </c>
      <c r="D51" s="23">
        <f>'الموارد البشرية'!M6</f>
        <v/>
      </c>
      <c r="E51" s="10">
        <f>'الموارد البشرية'!N6</f>
        <v/>
      </c>
      <c r="F51" s="20">
        <f>'الموارد البشرية'!O6</f>
        <v/>
      </c>
      <c r="G51" s="24">
        <f>'الموارد البشرية'!G6</f>
        <v/>
      </c>
    </row>
    <row r="52" ht="22" customHeight="1">
      <c r="A52" s="19" t="inlineStr">
        <is>
          <t>▾ التسويق · وزن الإدارة 5%</t>
        </is>
      </c>
    </row>
    <row r="53" ht="22" customHeight="1">
      <c r="A53" s="20" t="n">
        <v>1</v>
      </c>
      <c r="B53" s="21">
        <f>'التسويق'!C4</f>
        <v/>
      </c>
      <c r="C53" s="22">
        <f>'التسويق'!I4</f>
        <v/>
      </c>
      <c r="D53" s="23">
        <f>'التسويق'!M4</f>
        <v/>
      </c>
      <c r="E53" s="10">
        <f>'التسويق'!N4</f>
        <v/>
      </c>
      <c r="F53" s="20">
        <f>'التسويق'!O4</f>
        <v/>
      </c>
      <c r="G53" s="24">
        <f>'التسويق'!G4</f>
        <v/>
      </c>
    </row>
    <row r="54" ht="22" customHeight="1">
      <c r="A54" s="20" t="n">
        <v>2</v>
      </c>
      <c r="B54" s="21">
        <f>'التسويق'!C6</f>
        <v/>
      </c>
      <c r="C54" s="22">
        <f>'التسويق'!I6</f>
        <v/>
      </c>
      <c r="D54" s="23">
        <f>'التسويق'!M6</f>
        <v/>
      </c>
      <c r="E54" s="10">
        <f>'التسويق'!N6</f>
        <v/>
      </c>
      <c r="F54" s="20">
        <f>'التسويق'!O6</f>
        <v/>
      </c>
      <c r="G54" s="24">
        <f>'التسويق'!G6</f>
        <v/>
      </c>
    </row>
    <row r="55" ht="22" customHeight="1">
      <c r="A55" s="20" t="n">
        <v>3</v>
      </c>
      <c r="B55" s="21">
        <f>'التسويق'!C5</f>
        <v/>
      </c>
      <c r="C55" s="22">
        <f>'التسويق'!I5</f>
        <v/>
      </c>
      <c r="D55" s="23">
        <f>'التسويق'!M5</f>
        <v/>
      </c>
      <c r="E55" s="10">
        <f>'التسويق'!N5</f>
        <v/>
      </c>
      <c r="F55" s="20">
        <f>'التسويق'!O5</f>
        <v/>
      </c>
      <c r="G55" s="24">
        <f>'التسويق'!G5</f>
        <v/>
      </c>
    </row>
    <row r="56" ht="22" customHeight="1">
      <c r="A56" s="20" t="n">
        <v>4</v>
      </c>
      <c r="B56" s="21">
        <f>'التسويق'!C7</f>
        <v/>
      </c>
      <c r="C56" s="22">
        <f>'التسويق'!I7</f>
        <v/>
      </c>
      <c r="D56" s="23">
        <f>'التسويق'!M7</f>
        <v/>
      </c>
      <c r="E56" s="10">
        <f>'التسويق'!N7</f>
        <v/>
      </c>
      <c r="F56" s="20">
        <f>'التسويق'!O7</f>
        <v/>
      </c>
      <c r="G56" s="24">
        <f>'التسويق'!G7</f>
        <v/>
      </c>
    </row>
    <row r="57" ht="22" customHeight="1">
      <c r="A57" s="20" t="n">
        <v>5</v>
      </c>
      <c r="B57" s="21">
        <f>'التسويق'!C8</f>
        <v/>
      </c>
      <c r="C57" s="22">
        <f>'التسويق'!I8</f>
        <v/>
      </c>
      <c r="D57" s="23">
        <f>'التسويق'!M8</f>
        <v/>
      </c>
      <c r="E57" s="10">
        <f>'التسويق'!N8</f>
        <v/>
      </c>
      <c r="F57" s="20">
        <f>'التسويق'!O8</f>
        <v/>
      </c>
      <c r="G57" s="24">
        <f>'التسويق'!G8</f>
        <v/>
      </c>
    </row>
    <row r="58" ht="22" customHeight="1">
      <c r="A58" s="19" t="inlineStr">
        <is>
          <t>▾ الجودة · وزن الإدارة 5%</t>
        </is>
      </c>
    </row>
    <row r="59" ht="22" customHeight="1">
      <c r="A59" s="20" t="n">
        <v>1</v>
      </c>
      <c r="B59" s="21">
        <f>'الجودة'!C4</f>
        <v/>
      </c>
      <c r="C59" s="22">
        <f>'الجودة'!I4</f>
        <v/>
      </c>
      <c r="D59" s="23">
        <f>'الجودة'!M4</f>
        <v/>
      </c>
      <c r="E59" s="10">
        <f>'الجودة'!N4</f>
        <v/>
      </c>
      <c r="F59" s="20">
        <f>'الجودة'!O4</f>
        <v/>
      </c>
      <c r="G59" s="24">
        <f>'الجودة'!G4</f>
        <v/>
      </c>
    </row>
    <row r="60" ht="22" customHeight="1">
      <c r="A60" s="20" t="n">
        <v>2</v>
      </c>
      <c r="B60" s="21">
        <f>'الجودة'!C5</f>
        <v/>
      </c>
      <c r="C60" s="22">
        <f>'الجودة'!I5</f>
        <v/>
      </c>
      <c r="D60" s="23">
        <f>'الجودة'!M5</f>
        <v/>
      </c>
      <c r="E60" s="10">
        <f>'الجودة'!N5</f>
        <v/>
      </c>
      <c r="F60" s="20">
        <f>'الجودة'!O5</f>
        <v/>
      </c>
      <c r="G60" s="24">
        <f>'الجودة'!G5</f>
        <v/>
      </c>
    </row>
    <row r="61" ht="22" customHeight="1">
      <c r="A61" s="20" t="n">
        <v>3</v>
      </c>
      <c r="B61" s="21">
        <f>'الجودة'!C6</f>
        <v/>
      </c>
      <c r="C61" s="22">
        <f>'الجودة'!I6</f>
        <v/>
      </c>
      <c r="D61" s="23">
        <f>'الجودة'!M6</f>
        <v/>
      </c>
      <c r="E61" s="10">
        <f>'الجودة'!N6</f>
        <v/>
      </c>
      <c r="F61" s="20">
        <f>'الجودة'!O6</f>
        <v/>
      </c>
      <c r="G61" s="24">
        <f>'الجودة'!G6</f>
        <v/>
      </c>
    </row>
    <row r="62" ht="22" customHeight="1">
      <c r="A62" s="20" t="n">
        <v>4</v>
      </c>
      <c r="B62" s="21">
        <f>'الجودة'!C7</f>
        <v/>
      </c>
      <c r="C62" s="22">
        <f>'الجودة'!I7</f>
        <v/>
      </c>
      <c r="D62" s="23">
        <f>'الجودة'!M7</f>
        <v/>
      </c>
      <c r="E62" s="10">
        <f>'الجودة'!N7</f>
        <v/>
      </c>
      <c r="F62" s="20">
        <f>'الجودة'!O7</f>
        <v/>
      </c>
      <c r="G62" s="24">
        <f>'الجودة'!G7</f>
        <v/>
      </c>
    </row>
    <row r="63" ht="22" customHeight="1">
      <c r="A63" s="20" t="n">
        <v>5</v>
      </c>
      <c r="B63" s="21">
        <f>'الجودة'!C8</f>
        <v/>
      </c>
      <c r="C63" s="22">
        <f>'الجودة'!I8</f>
        <v/>
      </c>
      <c r="D63" s="23">
        <f>'الجودة'!M8</f>
        <v/>
      </c>
      <c r="E63" s="10">
        <f>'الجودة'!N8</f>
        <v/>
      </c>
      <c r="F63" s="20">
        <f>'الجودة'!O8</f>
        <v/>
      </c>
      <c r="G63" s="24">
        <f>'الجودة'!G8</f>
        <v/>
      </c>
    </row>
    <row r="64" ht="22" customHeight="1">
      <c r="A64" s="19" t="inlineStr">
        <is>
          <t>▾ الإدارة القانونية · وزن الإدارة 3%</t>
        </is>
      </c>
    </row>
    <row r="65" ht="22" customHeight="1">
      <c r="A65" s="20" t="n">
        <v>1</v>
      </c>
      <c r="B65" s="21">
        <f>'الإدارة القانونية'!C4</f>
        <v/>
      </c>
      <c r="C65" s="22">
        <f>'الإدارة القانونية'!I4</f>
        <v/>
      </c>
      <c r="D65" s="23">
        <f>'الإدارة القانونية'!M4</f>
        <v/>
      </c>
      <c r="E65" s="10">
        <f>'الإدارة القانونية'!N4</f>
        <v/>
      </c>
      <c r="F65" s="20">
        <f>'الإدارة القانونية'!O4</f>
        <v/>
      </c>
      <c r="G65" s="24">
        <f>'الإدارة القانونية'!G4</f>
        <v/>
      </c>
    </row>
    <row r="66" ht="22" customHeight="1">
      <c r="A66" s="20" t="n">
        <v>2</v>
      </c>
      <c r="B66" s="21">
        <f>'الإدارة القانونية'!C6</f>
        <v/>
      </c>
      <c r="C66" s="22">
        <f>'الإدارة القانونية'!I6</f>
        <v/>
      </c>
      <c r="D66" s="23">
        <f>'الإدارة القانونية'!M6</f>
        <v/>
      </c>
      <c r="E66" s="10">
        <f>'الإدارة القانونية'!N6</f>
        <v/>
      </c>
      <c r="F66" s="20">
        <f>'الإدارة القانونية'!O6</f>
        <v/>
      </c>
      <c r="G66" s="24">
        <f>'الإدارة القانونية'!G6</f>
        <v/>
      </c>
    </row>
    <row r="67" ht="22" customHeight="1">
      <c r="A67" s="20" t="n">
        <v>3</v>
      </c>
      <c r="B67" s="21">
        <f>'الإدارة القانونية'!C5</f>
        <v/>
      </c>
      <c r="C67" s="22">
        <f>'الإدارة القانونية'!I5</f>
        <v/>
      </c>
      <c r="D67" s="23">
        <f>'الإدارة القانونية'!M5</f>
        <v/>
      </c>
      <c r="E67" s="10">
        <f>'الإدارة القانونية'!N5</f>
        <v/>
      </c>
      <c r="F67" s="20">
        <f>'الإدارة القانونية'!O5</f>
        <v/>
      </c>
      <c r="G67" s="24">
        <f>'الإدارة القانونية'!G5</f>
        <v/>
      </c>
    </row>
    <row r="68" ht="22" customHeight="1">
      <c r="A68" s="19" t="inlineStr">
        <is>
          <t>▾ الإدارة المالية · وزن الإدارة 8%</t>
        </is>
      </c>
    </row>
    <row r="69" ht="22" customHeight="1">
      <c r="A69" s="20" t="n">
        <v>1</v>
      </c>
      <c r="B69" s="21">
        <f>'الإدارة المالية'!C4</f>
        <v/>
      </c>
      <c r="C69" s="22">
        <f>'الإدارة المالية'!I4</f>
        <v/>
      </c>
      <c r="D69" s="23">
        <f>'الإدارة المالية'!M4</f>
        <v/>
      </c>
      <c r="E69" s="10">
        <f>'الإدارة المالية'!N4</f>
        <v/>
      </c>
      <c r="F69" s="20">
        <f>'الإدارة المالية'!O4</f>
        <v/>
      </c>
      <c r="G69" s="24">
        <f>'الإدارة المالية'!G4</f>
        <v/>
      </c>
    </row>
    <row r="70" ht="22" customHeight="1">
      <c r="A70" s="20" t="n">
        <v>2</v>
      </c>
      <c r="B70" s="21">
        <f>'الإدارة المالية'!C7</f>
        <v/>
      </c>
      <c r="C70" s="22">
        <f>'الإدارة المالية'!I7</f>
        <v/>
      </c>
      <c r="D70" s="23">
        <f>'الإدارة المالية'!M7</f>
        <v/>
      </c>
      <c r="E70" s="10">
        <f>'الإدارة المالية'!N7</f>
        <v/>
      </c>
      <c r="F70" s="20">
        <f>'الإدارة المالية'!O7</f>
        <v/>
      </c>
      <c r="G70" s="24">
        <f>'الإدارة المالية'!G7</f>
        <v/>
      </c>
    </row>
    <row r="71" ht="22" customHeight="1">
      <c r="A71" s="20" t="n">
        <v>3</v>
      </c>
      <c r="B71" s="21">
        <f>'الإدارة المالية'!C10</f>
        <v/>
      </c>
      <c r="C71" s="22">
        <f>'الإدارة المالية'!I10</f>
        <v/>
      </c>
      <c r="D71" s="23">
        <f>'الإدارة المالية'!M10</f>
        <v/>
      </c>
      <c r="E71" s="10">
        <f>'الإدارة المالية'!N10</f>
        <v/>
      </c>
      <c r="F71" s="20">
        <f>'الإدارة المالية'!O10</f>
        <v/>
      </c>
      <c r="G71" s="24">
        <f>'الإدارة المالية'!G10</f>
        <v/>
      </c>
    </row>
    <row r="72" ht="22" customHeight="1">
      <c r="A72" s="20" t="n">
        <v>4</v>
      </c>
      <c r="B72" s="21">
        <f>'الإدارة المالية'!C11</f>
        <v/>
      </c>
      <c r="C72" s="22">
        <f>'الإدارة المالية'!I11</f>
        <v/>
      </c>
      <c r="D72" s="23">
        <f>'الإدارة المالية'!M11</f>
        <v/>
      </c>
      <c r="E72" s="10">
        <f>'الإدارة المالية'!N11</f>
        <v/>
      </c>
      <c r="F72" s="20">
        <f>'الإدارة المالية'!O11</f>
        <v/>
      </c>
      <c r="G72" s="24">
        <f>'الإدارة المالية'!G11</f>
        <v/>
      </c>
    </row>
    <row r="73" ht="22" customHeight="1">
      <c r="A73" s="20" t="n">
        <v>5</v>
      </c>
      <c r="B73" s="21">
        <f>'الإدارة المالية'!C12</f>
        <v/>
      </c>
      <c r="C73" s="22">
        <f>'الإدارة المالية'!I12</f>
        <v/>
      </c>
      <c r="D73" s="23">
        <f>'الإدارة المالية'!M12</f>
        <v/>
      </c>
      <c r="E73" s="10">
        <f>'الإدارة المالية'!N12</f>
        <v/>
      </c>
      <c r="F73" s="20">
        <f>'الإدارة المالية'!O12</f>
        <v/>
      </c>
      <c r="G73" s="24">
        <f>'الإدارة المالية'!G12</f>
        <v/>
      </c>
    </row>
  </sheetData>
  <mergeCells count="15">
    <mergeCell ref="A58:G58"/>
    <mergeCell ref="A1:G1"/>
    <mergeCell ref="A40:G40"/>
    <mergeCell ref="A9:G9"/>
    <mergeCell ref="A31:G31"/>
    <mergeCell ref="A3:G3"/>
    <mergeCell ref="A35:G35"/>
    <mergeCell ref="A20:G20"/>
    <mergeCell ref="A26:G26"/>
    <mergeCell ref="A15:G15"/>
    <mergeCell ref="A52:G52"/>
    <mergeCell ref="A64:G64"/>
    <mergeCell ref="A43:G43"/>
    <mergeCell ref="A68:G68"/>
    <mergeCell ref="A46:G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25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26" t="inlineStr"/>
      <c r="B5" s="27" t="inlineStr">
        <is>
          <t>النمو</t>
        </is>
      </c>
      <c r="C5" s="28" t="inlineStr">
        <is>
          <t>التوسع في المواقع وزيادة الوصول وتنمية الإيراد.</t>
        </is>
      </c>
      <c r="D5" s="29" t="inlineStr"/>
    </row>
    <row r="6" ht="24" customHeight="1">
      <c r="A6" s="30" t="inlineStr"/>
      <c r="B6" s="31" t="inlineStr">
        <is>
          <t>التوسع في المواقع</t>
        </is>
      </c>
      <c r="C6" s="21" t="inlineStr">
        <is>
          <t>افتتاح وتشغيل محطات جديدة.</t>
        </is>
      </c>
      <c r="D6" s="32" t="inlineStr">
        <is>
          <t>التشغيل 85 · الامتياز 150 محطة</t>
        </is>
      </c>
    </row>
    <row r="7" ht="24" customHeight="1">
      <c r="A7" s="30" t="inlineStr"/>
      <c r="B7" s="31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2" t="inlineStr">
        <is>
          <t>الامتياز 167 · الاستثمار 190 عقد</t>
        </is>
      </c>
    </row>
    <row r="8" ht="24" customHeight="1">
      <c r="A8" s="30" t="inlineStr"/>
      <c r="B8" s="31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2" t="inlineStr">
        <is>
          <t>718.8M لتر · 13 منطقة · 59 مدينة</t>
        </is>
      </c>
    </row>
    <row r="9" ht="24" customHeight="1">
      <c r="A9" s="26" t="inlineStr"/>
      <c r="B9" s="27" t="inlineStr">
        <is>
          <t>الابتكار</t>
        </is>
      </c>
      <c r="C9" s="28" t="inlineStr">
        <is>
          <t>مشاريع جديدة وتحول تقني وهوية وتانكي.</t>
        </is>
      </c>
      <c r="D9" s="29" t="inlineStr"/>
    </row>
    <row r="10" ht="24" customHeight="1">
      <c r="A10" s="30" t="inlineStr"/>
      <c r="B10" s="31" t="inlineStr">
        <is>
          <t>التحول التقني</t>
        </is>
      </c>
      <c r="C10" s="21" t="inlineStr">
        <is>
          <t>أتمتة 164 محطة · D365 · جاهزية الأنظمة.</t>
        </is>
      </c>
      <c r="D10" s="32" t="inlineStr">
        <is>
          <t>أتمتة 90% · جاهزية 99%</t>
        </is>
      </c>
    </row>
    <row r="11" ht="24" customHeight="1">
      <c r="A11" s="30" t="inlineStr"/>
      <c r="B11" s="31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2" t="inlineStr">
        <is>
          <t>تأجير ساحة ≥80% · تانكي تصاعدي</t>
        </is>
      </c>
    </row>
    <row r="12" ht="24" customHeight="1">
      <c r="A12" s="26" t="inlineStr"/>
      <c r="B12" s="27" t="inlineStr">
        <is>
          <t>الاستدامة</t>
        </is>
      </c>
      <c r="C12" s="28" t="inlineStr">
        <is>
          <t>جودة التشغيل وتجربة العميل والموظفين.</t>
        </is>
      </c>
      <c r="D12" s="29" t="inlineStr"/>
    </row>
    <row r="13" ht="24" customHeight="1">
      <c r="A13" s="30" t="inlineStr"/>
      <c r="B13" s="31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2" t="inlineStr">
        <is>
          <t>CSAT 90% · جاهزية 99%</t>
        </is>
      </c>
    </row>
    <row r="14" ht="24" customHeight="1">
      <c r="A14" s="30" t="inlineStr"/>
      <c r="B14" s="31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2" t="inlineStr">
        <is>
          <t>إشغال ≥60% · 246 علامة</t>
        </is>
      </c>
    </row>
    <row r="15" ht="24" customHeight="1">
      <c r="A15" s="30" t="inlineStr"/>
      <c r="B15" s="31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2" t="inlineStr">
        <is>
          <t>6 دورات · استبقاء 90% · سعودة</t>
        </is>
      </c>
    </row>
    <row r="17">
      <c r="B17" s="33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المؤشرات'!$E$2:$E$116,"التوسع في المواقع")</f>
        <v/>
      </c>
      <c r="E19" s="10">
        <f>IFERROR(AVERAGEIFS('قاعدة المؤشرات'!$G$2:$G$116,'قاعدة المؤشرات'!$E$2:$E$116,"التوسع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المؤشرات'!$E$2:$E$116,"الامتياز التجاري")</f>
        <v/>
      </c>
      <c r="E20" s="10">
        <f>IFERROR(AVERAGEIFS('قاعدة المؤشرات'!$G$2:$G$116,'قاعدة المؤشرات'!$E$2:$E$116,"الامتياز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المؤشرات'!$E$2:$E$116,"زيادة وصول العملاء")</f>
        <v/>
      </c>
      <c r="E21" s="10">
        <f>IFERROR(AVERAGEIFS('قاعدة المؤشرات'!$G$2:$G$116,'قاعدة المؤشرات'!$E$2:$E$116,"زيادة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المؤشرات'!$E$2:$E$116,"إطلاق مشاريع جديدة")</f>
        <v/>
      </c>
      <c r="E22" s="10">
        <f>IFERROR(AVERAGEIFS('قاعدة المؤشرات'!$G$2:$G$116,'قاعدة المؤشرات'!$E$2:$E$116,"إطلاق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المؤشرات'!$E$2:$E$116,"تطوير التصاميم والهوية")</f>
        <v/>
      </c>
      <c r="E23" s="10">
        <f>IFERROR(AVERAGEIFS('قاعدة المؤشرات'!$G$2:$G$116,'قاعدة المؤشرات'!$E$2:$E$116,"تطوير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المؤشرات'!$E$2:$E$116,"التحول التقني")</f>
        <v/>
      </c>
      <c r="E24" s="10">
        <f>IFERROR(AVERAGEIFS('قاعدة المؤشرات'!$G$2:$G$116,'قاعدة المؤشرات'!$E$2:$E$116,"التحول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المؤشرات'!$E$2:$E$116,"ساحات درب")</f>
        <v/>
      </c>
      <c r="E25" s="10">
        <f>IFERROR(AVERAGEIFS('قاعدة المؤشرات'!$G$2:$G$116,'قاعدة المؤشرات'!$E$2:$E$116,"ساحات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المؤشرات'!$E$2:$E$116,"تطبيق «تانكي»")</f>
        <v/>
      </c>
      <c r="E26" s="10">
        <f>IFERROR(AVERAGEIFS('قاعدة المؤشرات'!$G$2:$G$116,'قاعدة المؤشرات'!$E$2:$E$116,"تطبيق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المؤشرات'!$E$2:$E$116,"تعزيز تجربة العملاء")</f>
        <v/>
      </c>
      <c r="E27" s="10">
        <f>IFERROR(AVERAGEIFS('قاعدة المؤشرات'!$G$2:$G$116,'قاعدة المؤشرات'!$E$2:$E$116,"تعزيز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المؤشرات'!$E$2:$E$116,"جودة التشغيل")</f>
        <v/>
      </c>
      <c r="E28" s="10">
        <f>IFERROR(AVERAGEIFS('قاعدة المؤشرات'!$G$2:$G$116,'قاعدة المؤشرات'!$E$2:$E$116,"جودة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المؤشرات'!$E$2:$E$116,"منظومة التأجير")</f>
        <v/>
      </c>
      <c r="E29" s="10">
        <f>IFERROR(AVERAGEIFS('قاعدة المؤشرات'!$G$2:$G$116,'قاعدة المؤشرات'!$E$2:$E$116,"منظومة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المؤشرات'!$E$2:$E$116,"الاستثمار في الموظفين")</f>
        <v/>
      </c>
      <c r="E30" s="10">
        <f>IFERROR(AVERAGEIFS('قاعدة المؤشرات'!$G$2:$G$116,'قاعدة المؤشرات'!$E$2:$E$116,"الاستثمار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34" t="inlineStr">
        <is>
          <t>الخريطة الاستراتيجية — علاقات السبب والأثر (Balanced Scorecard) · الأداء حي</t>
        </is>
      </c>
    </row>
    <row r="4">
      <c r="B4" s="35" t="inlineStr">
        <is>
          <t>⬆ المنظور المالي — القيمة للمساهمين</t>
        </is>
      </c>
    </row>
    <row r="5">
      <c r="B5" s="36" t="inlineStr">
        <is>
          <t>النمو · الربحية · التدفّق النقدي والتحصيل</t>
        </is>
      </c>
    </row>
    <row r="6">
      <c r="B6" s="37">
        <f>IFERROR(AVERAGEIFS('قاعدة المؤشرات'!$G$2:$G$116,'قاعدة المؤشرات'!$F$2:$F$116,"مالي"),"—")</f>
        <v/>
      </c>
    </row>
    <row r="7">
      <c r="C7" s="38" t="inlineStr">
        <is>
          <t>⬆</t>
        </is>
      </c>
      <c r="E7" s="38" t="inlineStr">
        <is>
          <t>⬆</t>
        </is>
      </c>
      <c r="G7" s="38" t="inlineStr">
        <is>
          <t>⬆</t>
        </is>
      </c>
      <c r="I7" s="38" t="inlineStr">
        <is>
          <t>⬆</t>
        </is>
      </c>
      <c r="K7" s="38" t="inlineStr">
        <is>
          <t>⬆</t>
        </is>
      </c>
    </row>
    <row r="8">
      <c r="B8" s="35" t="inlineStr">
        <is>
          <t>المنظور — العملاء</t>
        </is>
      </c>
    </row>
    <row r="9">
      <c r="B9" s="39" t="inlineStr">
        <is>
          <t>زيادة وصول العملاء</t>
        </is>
      </c>
      <c r="E9" s="39" t="inlineStr">
        <is>
          <t>تعزيز تجربة العملاء</t>
        </is>
      </c>
      <c r="H9" s="39" t="inlineStr">
        <is>
          <t>تطبيق تانكي والولاء</t>
        </is>
      </c>
    </row>
    <row r="10">
      <c r="B10" s="40">
        <f>IFERROR(AVERAGEIFS('قاعدة المؤشرات'!$G$2:$G$116,'قاعدة المؤشرات'!$E$2:$E$116,"زيادة وصول العملاء"),"—")</f>
        <v/>
      </c>
      <c r="E10" s="40">
        <f>IFERROR(AVERAGEIFS('قاعدة المؤشرات'!$G$2:$G$116,'قاعدة المؤشرات'!$E$2:$E$116,"تعزيز تجربة العملاء"),"—")</f>
        <v/>
      </c>
      <c r="H10" s="40">
        <f>IFERROR(AVERAGEIFS('قاعدة المؤشرات'!$G$2:$G$116,'قاعدة المؤشرات'!$E$2:$E$116,"تطبيق «تانكي»"),"—")</f>
        <v/>
      </c>
    </row>
    <row r="11">
      <c r="C11" s="38" t="inlineStr">
        <is>
          <t>⬆</t>
        </is>
      </c>
      <c r="E11" s="38" t="inlineStr">
        <is>
          <t>⬆</t>
        </is>
      </c>
      <c r="G11" s="38" t="inlineStr">
        <is>
          <t>⬆</t>
        </is>
      </c>
      <c r="I11" s="38" t="inlineStr">
        <is>
          <t>⬆</t>
        </is>
      </c>
      <c r="K11" s="38" t="inlineStr">
        <is>
          <t>⬆</t>
        </is>
      </c>
    </row>
    <row r="12">
      <c r="B12" s="35" t="inlineStr">
        <is>
          <t>المنظور — العمليات الداخلية</t>
        </is>
      </c>
    </row>
    <row r="13">
      <c r="B13" s="41" t="inlineStr">
        <is>
          <t>التوسع في المواقع</t>
        </is>
      </c>
      <c r="D13" s="41" t="inlineStr">
        <is>
          <t>الامتياز التجاري</t>
        </is>
      </c>
      <c r="F13" s="41" t="inlineStr">
        <is>
          <t>منظومة التأجير</t>
        </is>
      </c>
      <c r="H13" s="41" t="inlineStr">
        <is>
          <t>ساحات درب</t>
        </is>
      </c>
      <c r="J13" s="41" t="inlineStr">
        <is>
          <t>جودة التشغيل</t>
        </is>
      </c>
    </row>
    <row r="14">
      <c r="B14" s="42">
        <f>IFERROR(AVERAGEIFS('قاعدة المؤشرات'!$G$2:$G$116,'قاعدة المؤشرات'!$E$2:$E$116,"التوسع في المواقع"),"—")</f>
        <v/>
      </c>
      <c r="D14" s="42">
        <f>IFERROR(AVERAGEIFS('قاعدة المؤشرات'!$G$2:$G$116,'قاعدة المؤشرات'!$E$2:$E$116,"الامتياز التجاري"),"—")</f>
        <v/>
      </c>
      <c r="F14" s="42">
        <f>IFERROR(AVERAGEIFS('قاعدة المؤشرات'!$G$2:$G$116,'قاعدة المؤشرات'!$E$2:$E$116,"منظومة التأجير"),"—")</f>
        <v/>
      </c>
      <c r="H14" s="42">
        <f>IFERROR(AVERAGEIFS('قاعدة المؤشرات'!$G$2:$G$116,'قاعدة المؤشرات'!$E$2:$E$116,"ساحات درب"),"—")</f>
        <v/>
      </c>
      <c r="J14" s="42">
        <f>IFERROR(AVERAGEIFS('قاعدة المؤشرات'!$G$2:$G$116,'قاعدة المؤشرات'!$E$2:$E$116,"جودة التشغيل"),"—")</f>
        <v/>
      </c>
    </row>
    <row r="15">
      <c r="C15" s="38" t="inlineStr">
        <is>
          <t>⬆</t>
        </is>
      </c>
      <c r="E15" s="38" t="inlineStr">
        <is>
          <t>⬆</t>
        </is>
      </c>
      <c r="G15" s="38" t="inlineStr">
        <is>
          <t>⬆</t>
        </is>
      </c>
      <c r="I15" s="38" t="inlineStr">
        <is>
          <t>⬆</t>
        </is>
      </c>
      <c r="K15" s="38" t="inlineStr">
        <is>
          <t>⬆</t>
        </is>
      </c>
    </row>
    <row r="16">
      <c r="B16" s="35" t="inlineStr">
        <is>
          <t>المنظور — التعلّم والنمو (الأساس الممكِّن)</t>
        </is>
      </c>
    </row>
    <row r="17">
      <c r="B17" s="43" t="inlineStr">
        <is>
          <t>الاستثمار في الموظفين</t>
        </is>
      </c>
      <c r="D17" s="43" t="inlineStr">
        <is>
          <t>التحول التقني</t>
        </is>
      </c>
      <c r="F17" s="43" t="inlineStr">
        <is>
          <t>إطلاق مشاريع جديدة</t>
        </is>
      </c>
      <c r="H17" s="43" t="inlineStr">
        <is>
          <t>التصاميم والهوية</t>
        </is>
      </c>
    </row>
    <row r="18">
      <c r="B18" s="44">
        <f>IFERROR(AVERAGEIFS('قاعدة المؤشرات'!$G$2:$G$116,'قاعدة المؤشرات'!$E$2:$E$116,"الاستثمار في الموظفين"),"—")</f>
        <v/>
      </c>
      <c r="D18" s="44">
        <f>IFERROR(AVERAGEIFS('قاعدة المؤشرات'!$G$2:$G$116,'قاعدة المؤشرات'!$E$2:$E$116,"التحول التقني"),"—")</f>
        <v/>
      </c>
      <c r="F18" s="44">
        <f>IFERROR(AVERAGEIFS('قاعدة المؤشرات'!$G$2:$G$116,'قاعدة المؤشرات'!$E$2:$E$116,"إطلاق مشاريع جديدة"),"—")</f>
        <v/>
      </c>
      <c r="H18" s="44">
        <f>IFERROR(AVERAGEIFS('قاعدة المؤشرات'!$G$2:$G$116,'قاعدة المؤشرات'!$E$2:$E$116,"تطوير التصاميم والهوية"),"—")</f>
        <v/>
      </c>
    </row>
    <row r="19">
      <c r="B19" s="45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46" t="inlineStr">
        <is>
          <t>الإنجاز العام (موزون)</t>
        </is>
      </c>
      <c r="C4" s="47" t="inlineStr">
        <is>
          <t>✅ محقق</t>
        </is>
      </c>
      <c r="D4" s="47" t="inlineStr">
        <is>
          <t>🟡 قريب</t>
        </is>
      </c>
      <c r="E4" s="47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المؤشرات'!$H$2:$H$116,"✅ محقق",'قاعدة المؤشرات'!$B$2:$B$116,"&lt;&gt;الإدارة التنفيذية")</f>
        <v/>
      </c>
      <c r="D5" s="5">
        <f>COUNTIFS('قاعدة المؤشرات'!$H$2:$H$116,"🟡 قريب",'قاعدة المؤشرات'!$B$2:$B$116,"&lt;&gt;الإدارة التنفيذية")</f>
        <v/>
      </c>
      <c r="E5" s="5">
        <f>COUNTIFS('قاعدة المؤشرات'!$H$2:$H$116,"🔴 تحت الهدف",'قاعدة المؤشرات'!$B$2:$B$116,"&lt;&gt;الإدارة التنفيذية")</f>
        <v/>
      </c>
    </row>
    <row r="7">
      <c r="B7" s="33" t="inlineStr">
        <is>
          <t>الأداء حسب الإدارة (موزون)</t>
        </is>
      </c>
      <c r="C7" s="7" t="n"/>
      <c r="D7" s="33" t="inlineStr">
        <is>
          <t>حسب الركيزة</t>
        </is>
      </c>
      <c r="E7" s="7" t="n"/>
    </row>
    <row r="8">
      <c r="B8" s="47" t="inlineStr">
        <is>
          <t>الإدارة</t>
        </is>
      </c>
      <c r="C8" s="47" t="inlineStr">
        <is>
          <t>الأداء</t>
        </is>
      </c>
      <c r="D8" s="47" t="inlineStr">
        <is>
          <t>الركيزة</t>
        </is>
      </c>
      <c r="E8" s="47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المؤشرات'!$B$2:$B$116,"الإدارة التنفيذية",'قاعدة المؤشرات'!$J$2:$J$116)/SUMIF('قاعدة المؤشرات'!$B$2:$B$116,"الإدارة التنفيذية",'قاعدة المؤشرات'!$K$2:$K$116),"—")</f>
        <v/>
      </c>
      <c r="D9" s="9" t="inlineStr">
        <is>
          <t>النمو</t>
        </is>
      </c>
      <c r="E9" s="10">
        <f>IFERROR(AVERAGEIFS('قاعدة المؤشرات'!$G$2:$G$116,'قاعدة المؤشرات'!$D$2:$D$116,"النمو"),"—")</f>
        <v/>
      </c>
      <c r="H9" s="15">
        <f>IFERROR(SUMIF('قاعدة المؤشرات'!$B$2:$B$116,"الإدارة التنفيذية",'قاعدة المؤشرات'!$J$2:$J$116)/SUMIF('قاعدة المؤشرات'!$B$2:$B$116,"الإدارة التنفيذية",'قاعدة المؤشرات'!$K$2:$K$116),0)</f>
        <v/>
      </c>
      <c r="I9" s="15" t="n">
        <v>0</v>
      </c>
      <c r="J9" s="15">
        <f>IF(SUMIF('قاعدة المؤشرات'!$B$2:$B$116,"الإدارة التنفيذية",'قاعدة المؤشرات'!$K$2:$K$116)=0,0,1)</f>
        <v/>
      </c>
    </row>
    <row r="10">
      <c r="B10" s="9" t="inlineStr">
        <is>
          <t>الامتياز التجاري</t>
        </is>
      </c>
      <c r="C10" s="10">
        <f>IFERROR(SUMIF('قاعدة المؤشرات'!$B$2:$B$116,"الامتياز التجاري",'قاعدة المؤشرات'!$J$2:$J$116)/SUMIF('قاعدة المؤشرات'!$B$2:$B$116,"الامتياز التجاري",'قاعدة المؤشرات'!$K$2:$K$116),"—")</f>
        <v/>
      </c>
      <c r="D10" s="9" t="inlineStr">
        <is>
          <t>الابتكار</t>
        </is>
      </c>
      <c r="E10" s="10">
        <f>IFERROR(AVERAGEIFS('قاعدة المؤشرات'!$G$2:$G$116,'قاعدة المؤشرات'!$D$2:$D$116,"الابتكار"),"—")</f>
        <v/>
      </c>
      <c r="H10" s="15">
        <f>IFERROR(SUMIF('قاعدة المؤشرات'!$B$2:$B$116,"الامتياز التجاري",'قاعدة المؤشرات'!$J$2:$J$116)/SUMIF('قاعدة المؤشرات'!$B$2:$B$116,"الامتياز التجاري",'قاعدة المؤشرات'!$K$2:$K$116),0)</f>
        <v/>
      </c>
      <c r="I10" s="15" t="n">
        <v>0.14</v>
      </c>
      <c r="J10" s="15">
        <f>IF(SUMIF('قاعدة المؤشرات'!$B$2:$B$116,"الامتياز التجاري",'قاعدة المؤشرات'!$K$2:$K$116)=0,0,1)</f>
        <v/>
      </c>
    </row>
    <row r="11">
      <c r="B11" s="9" t="inlineStr">
        <is>
          <t>التشغيل والمحطات</t>
        </is>
      </c>
      <c r="C11" s="10">
        <f>IFERROR(SUMIF('قاعدة المؤشرات'!$B$2:$B$116,"التشغيل والمحطات",'قاعدة المؤشرات'!$J$2:$J$116)/SUMIF('قاعدة المؤشرات'!$B$2:$B$116,"التشغيل والمحطات",'قاعدة المؤشرات'!$K$2:$K$116),"—")</f>
        <v/>
      </c>
      <c r="D11" s="9" t="inlineStr">
        <is>
          <t>الاستدامة</t>
        </is>
      </c>
      <c r="E11" s="10">
        <f>IFERROR(AVERAGEIFS('قاعدة المؤشرات'!$G$2:$G$116,'قاعدة المؤشرات'!$D$2:$D$116,"الاستدامة"),"—")</f>
        <v/>
      </c>
      <c r="H11" s="15">
        <f>IFERROR(SUMIF('قاعدة المؤشرات'!$B$2:$B$116,"التشغيل والمحطات",'قاعدة المؤشرات'!$J$2:$J$116)/SUMIF('قاعدة المؤشرات'!$B$2:$B$116,"التشغيل والمحطات",'قاعدة المؤشرات'!$K$2:$K$116),0)</f>
        <v/>
      </c>
      <c r="I11" s="15" t="n">
        <v>0.12</v>
      </c>
      <c r="J11" s="15">
        <f>IF(SUMIF('قاعدة المؤشرات'!$B$2:$B$116,"التشغيل والمحطات",'قاعدة المؤشرات'!$K$2:$K$116)=0,0,1)</f>
        <v/>
      </c>
    </row>
    <row r="12">
      <c r="B12" s="9" t="inlineStr">
        <is>
          <t>الاستثمار</t>
        </is>
      </c>
      <c r="C12" s="10">
        <f>IFERROR(SUMIF('قاعدة المؤشرات'!$B$2:$B$116,"الاستثمار",'قاعدة المؤشرات'!$J$2:$J$116)/SUMIF('قاعدة المؤشرات'!$B$2:$B$116,"الاستثمار",'قاعدة المؤشرات'!$K$2:$K$116),"—")</f>
        <v/>
      </c>
      <c r="H12" s="15">
        <f>IFERROR(SUMIF('قاعدة المؤشرات'!$B$2:$B$116,"الاستثمار",'قاعدة المؤشرات'!$J$2:$J$116)/SUMIF('قاعدة المؤشرات'!$B$2:$B$116,"الاستثمار",'قاعدة المؤشرات'!$K$2:$K$116),0)</f>
        <v/>
      </c>
      <c r="I12" s="15" t="n">
        <v>0.11</v>
      </c>
      <c r="J12" s="15">
        <f>IF(SUMIF('قاعدة المؤشرات'!$B$2:$B$116,"الاستثمار",'قاعدة المؤشرات'!$K$2:$K$116)=0,0,1)</f>
        <v/>
      </c>
    </row>
    <row r="13">
      <c r="B13" s="9" t="inlineStr">
        <is>
          <t>العقار</t>
        </is>
      </c>
      <c r="C13" s="10">
        <f>IFERROR(SUMIF('قاعدة المؤشرات'!$B$2:$B$116,"العقار",'قاعدة المؤشرات'!$J$2:$J$116)/SUMIF('قاعدة المؤشرات'!$B$2:$B$116,"العقار",'قاعدة المؤشرات'!$K$2:$K$116),"—")</f>
        <v/>
      </c>
      <c r="D13" s="46" t="inlineStr">
        <is>
          <t>حسب منظور BSC</t>
        </is>
      </c>
      <c r="E13" s="7" t="n"/>
      <c r="H13" s="15">
        <f>IFERROR(SUMIF('قاعدة المؤشرات'!$B$2:$B$116,"العقار",'قاعدة المؤشرات'!$J$2:$J$116)/SUMIF('قاعدة المؤشرات'!$B$2:$B$116,"العقار",'قاعدة المؤشرات'!$K$2:$K$116),0)</f>
        <v/>
      </c>
      <c r="I13" s="15" t="n">
        <v>0.09</v>
      </c>
      <c r="J13" s="15">
        <f>IF(SUMIF('قاعدة المؤشرات'!$B$2:$B$116,"العقار",'قاعدة المؤشرات'!$K$2:$K$116)=0,0,1)</f>
        <v/>
      </c>
    </row>
    <row r="14">
      <c r="B14" s="9" t="inlineStr">
        <is>
          <t>إدارة المشاريع</t>
        </is>
      </c>
      <c r="C14" s="10">
        <f>IFERROR(SUMIF('قاعدة المؤشرات'!$B$2:$B$116,"إدارة المشاريع",'قاعدة المؤشرات'!$J$2:$J$116)/SUMIF('قاعدة المؤشرات'!$B$2:$B$116,"إدارة المشاريع",'قاعدة المؤشرات'!$K$2:$K$116),"—")</f>
        <v/>
      </c>
      <c r="D14" s="9" t="inlineStr">
        <is>
          <t>مالي</t>
        </is>
      </c>
      <c r="E14" s="10">
        <f>IFERROR(AVERAGEIFS('قاعدة المؤشرات'!$G$2:$G$116,'قاعدة المؤشرات'!$F$2:$F$116,"مالي"),"—")</f>
        <v/>
      </c>
      <c r="H14" s="15">
        <f>IFERROR(SUMIF('قاعدة المؤشرات'!$B$2:$B$116,"إدارة المشاريع",'قاعدة المؤشرات'!$J$2:$J$116)/SUMIF('قاعدة المؤشرات'!$B$2:$B$116,"إدارة المشاريع",'قاعدة المؤشرات'!$K$2:$K$116),0)</f>
        <v/>
      </c>
      <c r="I14" s="15" t="n">
        <v>0.08</v>
      </c>
      <c r="J14" s="15">
        <f>IF(SUMIF('قاعدة المؤشرات'!$B$2:$B$116,"إدارة المشاريع",'قاعدة المؤشرات'!$K$2:$K$116)=0,0,1)</f>
        <v/>
      </c>
    </row>
    <row r="15">
      <c r="B15" s="9" t="inlineStr">
        <is>
          <t>سلاسل الإمداد</t>
        </is>
      </c>
      <c r="C15" s="10">
        <f>IFERROR(SUMIF('قاعدة المؤشرات'!$B$2:$B$116,"سلاسل الإمداد",'قاعدة المؤشرات'!$J$2:$J$116)/SUMIF('قاعدة المؤشرات'!$B$2:$B$116,"سلاسل الإمداد",'قاعدة المؤشرات'!$K$2:$K$116),"—")</f>
        <v/>
      </c>
      <c r="D15" s="9" t="inlineStr">
        <is>
          <t>العملاء</t>
        </is>
      </c>
      <c r="E15" s="10">
        <f>IFERROR(AVERAGEIFS('قاعدة المؤشرات'!$G$2:$G$116,'قاعدة المؤشرات'!$F$2:$F$116,"العملاء"),"—")</f>
        <v/>
      </c>
      <c r="H15" s="15">
        <f>IFERROR(SUMIF('قاعدة المؤشرات'!$B$2:$B$116,"سلاسل الإمداد",'قاعدة المؤشرات'!$J$2:$J$116)/SUMIF('قاعدة المؤشرات'!$B$2:$B$116,"سلاسل الإمداد",'قاعدة المؤشرات'!$K$2:$K$116),0)</f>
        <v/>
      </c>
      <c r="I15" s="15" t="n">
        <v>0.1</v>
      </c>
      <c r="J15" s="15">
        <f>IF(SUMIF('قاعدة المؤشرات'!$B$2:$B$116,"سلاسل الإمداد",'قاعدة المؤشرات'!$K$2:$K$116)=0,0,1)</f>
        <v/>
      </c>
    </row>
    <row r="16">
      <c r="B16" s="9" t="inlineStr">
        <is>
          <t>الصيانة والأتمتة</t>
        </is>
      </c>
      <c r="C16" s="10">
        <f>IFERROR(SUMIF('قاعدة المؤشرات'!$B$2:$B$116,"الصيانة والأتمتة",'قاعدة المؤشرات'!$J$2:$J$116)/SUMIF('قاعدة المؤشرات'!$B$2:$B$116,"الصيانة والأتمتة",'قاعدة المؤشرات'!$K$2:$K$116),"—")</f>
        <v/>
      </c>
      <c r="D16" s="9" t="inlineStr">
        <is>
          <t>العمليات الداخلية</t>
        </is>
      </c>
      <c r="E16" s="10">
        <f>IFERROR(AVERAGEIFS('قاعدة المؤشرات'!$G$2:$G$116,'قاعدة المؤشرات'!$F$2:$F$116,"العمليات الداخلية"),"—")</f>
        <v/>
      </c>
      <c r="H16" s="15">
        <f>IFERROR(SUMIF('قاعدة المؤشرات'!$B$2:$B$116,"الصيانة والأتمتة",'قاعدة المؤشرات'!$J$2:$J$116)/SUMIF('قاعدة المؤشرات'!$B$2:$B$116,"الصيانة والأتمتة",'قاعدة المؤشرات'!$K$2:$K$116),0)</f>
        <v/>
      </c>
      <c r="I16" s="15" t="n">
        <v>0.07000000000000001</v>
      </c>
      <c r="J16" s="15">
        <f>IF(SUMIF('قاعدة المؤشرات'!$B$2:$B$116,"الصيانة والأتمتة",'قاعدة المؤشرات'!$K$2:$K$116)=0,0,1)</f>
        <v/>
      </c>
    </row>
    <row r="17">
      <c r="B17" s="9" t="inlineStr">
        <is>
          <t>التقنية الرقمية</t>
        </is>
      </c>
      <c r="C17" s="10">
        <f>IFERROR(SUMIF('قاعدة المؤشرات'!$B$2:$B$116,"التقنية الرقمية",'قاعدة المؤشرات'!$J$2:$J$116)/SUMIF('قاعدة المؤشرات'!$B$2:$B$116,"التقنية الرقمية",'قاعدة المؤشرات'!$K$2:$K$116),"—")</f>
        <v/>
      </c>
      <c r="D17" s="9" t="inlineStr">
        <is>
          <t>التعلّم والنمو</t>
        </is>
      </c>
      <c r="E17" s="10">
        <f>IFERROR(AVERAGEIFS('قاعدة المؤشرات'!$G$2:$G$116,'قاعدة المؤشرات'!$F$2:$F$116,"التعلّم والنمو"),"—")</f>
        <v/>
      </c>
      <c r="H17" s="15">
        <f>IFERROR(SUMIF('قاعدة المؤشرات'!$B$2:$B$116,"التقنية الرقمية",'قاعدة المؤشرات'!$J$2:$J$116)/SUMIF('قاعدة المؤشرات'!$B$2:$B$116,"التقنية الرقمية",'قاعدة المؤشرات'!$K$2:$K$116),0)</f>
        <v/>
      </c>
      <c r="I17" s="15" t="n">
        <v>0.04</v>
      </c>
      <c r="J17" s="15">
        <f>IF(SUMIF('قاعدة المؤشرات'!$B$2:$B$116,"التقنية الرقمية",'قاعدة المؤشرات'!$K$2:$K$116)=0,0,1)</f>
        <v/>
      </c>
    </row>
    <row r="18">
      <c r="B18" s="9" t="inlineStr">
        <is>
          <t>الموارد البشرية</t>
        </is>
      </c>
      <c r="C18" s="10">
        <f>IFERROR(SUMIF('قاعدة المؤشرات'!$B$2:$B$116,"الموارد البشرية",'قاعدة المؤشرات'!$J$2:$J$116)/SUMIF('قاعدة المؤشرات'!$B$2:$B$116,"الموارد البشرية",'قاعدة المؤشرات'!$K$2:$K$116),"—")</f>
        <v/>
      </c>
      <c r="H18" s="15">
        <f>IFERROR(SUMIF('قاعدة المؤشرات'!$B$2:$B$116,"الموارد البشرية",'قاعدة المؤشرات'!$J$2:$J$116)/SUMIF('قاعدة المؤشرات'!$B$2:$B$116,"الموارد البشرية",'قاعدة المؤشرات'!$K$2:$K$116),0)</f>
        <v/>
      </c>
      <c r="I18" s="15" t="n">
        <v>0.04</v>
      </c>
      <c r="J18" s="15">
        <f>IF(SUMIF('قاعدة المؤشرات'!$B$2:$B$116,"الموارد البشرية",'قاعدة المؤشرات'!$K$2:$K$116)=0,0,1)</f>
        <v/>
      </c>
    </row>
    <row r="19">
      <c r="B19" s="9" t="inlineStr">
        <is>
          <t>التسويق</t>
        </is>
      </c>
      <c r="C19" s="10">
        <f>IFERROR(SUMIF('قاعدة المؤشرات'!$B$2:$B$116,"التسويق",'قاعدة المؤشرات'!$J$2:$J$116)/SUMIF('قاعدة المؤشرات'!$B$2:$B$116,"التسويق",'قاعدة المؤشرات'!$K$2:$K$116),"—")</f>
        <v/>
      </c>
      <c r="H19" s="15">
        <f>IFERROR(SUMIF('قاعدة المؤشرات'!$B$2:$B$116,"التسويق",'قاعدة المؤشرات'!$J$2:$J$116)/SUMIF('قاعدة المؤشرات'!$B$2:$B$116,"التسويق",'قاعدة المؤشرات'!$K$2:$K$116),0)</f>
        <v/>
      </c>
      <c r="I19" s="15" t="n">
        <v>0.05</v>
      </c>
      <c r="J19" s="15">
        <f>IF(SUMIF('قاعدة المؤشرات'!$B$2:$B$116,"التسويق",'قاعدة المؤشرات'!$K$2:$K$116)=0,0,1)</f>
        <v/>
      </c>
    </row>
    <row r="20">
      <c r="B20" s="9" t="inlineStr">
        <is>
          <t>الجودة</t>
        </is>
      </c>
      <c r="C20" s="10">
        <f>IFERROR(SUMIF('قاعدة المؤشرات'!$B$2:$B$116,"الجودة",'قاعدة المؤشرات'!$J$2:$J$116)/SUMIF('قاعدة المؤشرات'!$B$2:$B$116,"الجودة",'قاعدة المؤشرات'!$K$2:$K$116),"—")</f>
        <v/>
      </c>
      <c r="H20" s="15">
        <f>IFERROR(SUMIF('قاعدة المؤشرات'!$B$2:$B$116,"الجودة",'قاعدة المؤشرات'!$J$2:$J$116)/SUMIF('قاعدة المؤشرات'!$B$2:$B$116,"الجودة",'قاعدة المؤشرات'!$K$2:$K$116),0)</f>
        <v/>
      </c>
      <c r="I20" s="15" t="n">
        <v>0.05</v>
      </c>
      <c r="J20" s="15">
        <f>IF(SUMIF('قاعدة المؤشرات'!$B$2:$B$116,"الجودة",'قاعدة المؤشرات'!$K$2:$K$116)=0,0,1)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المؤشرات'!$B$2:$B$116,"الإدارة القانونية",'قاعدة المؤشرات'!$J$2:$J$116)/SUMIF('قاعدة المؤشرات'!$B$2:$B$116,"الإدارة القانونية",'قاعدة المؤشرات'!$K$2:$K$116),"—")</f>
        <v/>
      </c>
      <c r="H21" s="15">
        <f>IFERROR(SUMIF('قاعدة المؤشرات'!$B$2:$B$116,"الإدارة القانونية",'قاعدة المؤشرات'!$J$2:$J$116)/SUMIF('قاعدة المؤشرات'!$B$2:$B$116,"الإدارة القانونية",'قاعدة المؤشرات'!$K$2:$K$116),0)</f>
        <v/>
      </c>
      <c r="I21" s="15" t="n">
        <v>0.03</v>
      </c>
      <c r="J21" s="15">
        <f>IF(SUMIF('قاعدة المؤشرات'!$B$2:$B$116,"الإدارة القانونية",'قاعدة المؤشرات'!$K$2:$K$116)=0,0,1)</f>
        <v/>
      </c>
    </row>
    <row r="22">
      <c r="B22" s="9" t="inlineStr">
        <is>
          <t>الإدارة المالية</t>
        </is>
      </c>
      <c r="C22" s="10">
        <f>IFERROR(SUMIF('قاعدة المؤشرات'!$B$2:$B$116,"الإدارة المالية",'قاعدة المؤشرات'!$J$2:$J$116)/SUMIF('قاعدة المؤشرات'!$B$2:$B$116,"الإدارة المالية",'قاعدة المؤشرات'!$K$2:$K$116),"—")</f>
        <v/>
      </c>
      <c r="H22" s="15">
        <f>IFERROR(SUMIF('قاعدة المؤشرات'!$B$2:$B$116,"الإدارة المالية",'قاعدة المؤشرات'!$J$2:$J$116)/SUMIF('قاعدة المؤشرات'!$B$2:$B$116,"الإدارة المالية",'قاعدة المؤشرات'!$K$2:$K$116),0)</f>
        <v/>
      </c>
      <c r="I22" s="15" t="n">
        <v>0.08</v>
      </c>
      <c r="J22" s="15">
        <f>IF(SUMIF('قاعدة المؤشرات'!$B$2:$B$116,"الإدارة المالية",'قاعدة المؤشرات'!$K$2:$K$116)=0,0,1)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8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الوصول الكلي (Total Reach)</t>
        </is>
      </c>
      <c r="D3" s="49" t="n">
        <v>5000000</v>
      </c>
      <c r="E3" s="49" t="n">
        <v>50000000</v>
      </c>
      <c r="F3" s="50" t="n">
        <v>0.1</v>
      </c>
      <c r="G3" s="12" t="n">
        <v>0.9</v>
      </c>
      <c r="H3" s="49" t="n">
        <v>5000000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1" t="n"/>
    </row>
    <row r="4">
      <c r="A4" s="15" t="n">
        <v>2</v>
      </c>
      <c r="B4" s="13" t="inlineStr">
        <is>
          <t>التسويق</t>
        </is>
      </c>
      <c r="C4" s="21" t="inlineStr">
        <is>
          <t>نسبة التزام الهوية البصرية</t>
        </is>
      </c>
      <c r="D4" s="49" t="n">
        <v>0.1</v>
      </c>
      <c r="E4" s="49" t="n">
        <v>1</v>
      </c>
      <c r="F4" s="50" t="n">
        <v>0.1</v>
      </c>
      <c r="G4" s="12" t="n">
        <v>0.9</v>
      </c>
      <c r="H4" s="49" t="n">
        <v>0.1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1" t="n"/>
    </row>
    <row r="5">
      <c r="A5" s="15" t="n">
        <v>3</v>
      </c>
      <c r="B5" s="13" t="inlineStr">
        <is>
          <t>التسويق</t>
        </is>
      </c>
      <c r="C5" s="21" t="inlineStr">
        <is>
          <t>معدل خفض الشكاوى</t>
        </is>
      </c>
      <c r="D5" s="49" t="n">
        <v>0.21</v>
      </c>
      <c r="E5" s="49" t="n">
        <v>0.3</v>
      </c>
      <c r="F5" s="50" t="n">
        <v>0.7</v>
      </c>
      <c r="G5" s="12" t="n">
        <v>0.3</v>
      </c>
      <c r="H5" s="49" t="n">
        <v>0.21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1" t="n"/>
    </row>
    <row r="6">
      <c r="A6" s="15" t="n">
        <v>4</v>
      </c>
      <c r="B6" s="13" t="inlineStr">
        <is>
          <t>الامتياز التجاري</t>
        </is>
      </c>
      <c r="C6" s="21" t="inlineStr">
        <is>
          <t>نسبة التحصيل خلال 5 أيام عمل</t>
        </is>
      </c>
      <c r="D6" s="49" t="n">
        <v>0.652</v>
      </c>
      <c r="E6" s="49" t="n">
        <v>0.9</v>
      </c>
      <c r="F6" s="50" t="n">
        <v>0.7244444444444444</v>
      </c>
      <c r="G6" s="12" t="n">
        <v>0.2755555555555556</v>
      </c>
      <c r="H6" s="49" t="n">
        <v>0.652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الامتياز</t>
        </is>
      </c>
      <c r="M6" s="51" t="n"/>
    </row>
    <row r="7">
      <c r="A7" s="15" t="n">
        <v>5</v>
      </c>
      <c r="B7" s="13" t="inlineStr">
        <is>
          <t>الامتياز التجاري</t>
        </is>
      </c>
      <c r="C7" s="21" t="inlineStr">
        <is>
          <t>عدد محطات الامتياز المشغّلة (تراكمي)</t>
        </is>
      </c>
      <c r="D7" s="49" t="n">
        <v>110</v>
      </c>
      <c r="E7" s="49" t="n">
        <v>150</v>
      </c>
      <c r="F7" s="50" t="n">
        <v>0.7333333333333333</v>
      </c>
      <c r="G7" s="12" t="n">
        <v>0.2666666666666667</v>
      </c>
      <c r="H7" s="49" t="n">
        <v>110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الامتياز</t>
        </is>
      </c>
      <c r="M7" s="51" t="n"/>
    </row>
    <row r="8">
      <c r="A8" s="15" t="n">
        <v>6</v>
      </c>
      <c r="B8" s="13" t="inlineStr">
        <is>
          <t>الإدارة المالية</t>
        </is>
      </c>
      <c r="C8" s="21" t="inlineStr">
        <is>
          <t>نسبة التحصيل العام (الشركة)</t>
        </is>
      </c>
      <c r="D8" s="49" t="n">
        <v>0.699</v>
      </c>
      <c r="E8" s="49" t="n">
        <v>0.95</v>
      </c>
      <c r="F8" s="50" t="n">
        <v>0.7357894736842105</v>
      </c>
      <c r="G8" s="12" t="n">
        <v>0.2642105263157895</v>
      </c>
      <c r="H8" s="49" t="n">
        <v>0.699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المدير المالي</t>
        </is>
      </c>
      <c r="M8" s="51" t="n"/>
    </row>
    <row r="9">
      <c r="A9" s="15" t="n">
        <v>7</v>
      </c>
      <c r="B9" s="13" t="inlineStr">
        <is>
          <t>الامتياز التجاري</t>
        </is>
      </c>
      <c r="C9" s="21" t="inlineStr">
        <is>
          <t>متوسط تقييم المحطات على خرائط قوقل</t>
        </is>
      </c>
      <c r="D9" s="49" t="n">
        <v>3.474</v>
      </c>
      <c r="E9" s="49" t="n">
        <v>4.7</v>
      </c>
      <c r="F9" s="50" t="n">
        <v>0.7391489361702128</v>
      </c>
      <c r="G9" s="12" t="n">
        <v>0.2608510638297872</v>
      </c>
      <c r="H9" s="49" t="n">
        <v>3.474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الامتياز</t>
        </is>
      </c>
      <c r="M9" s="51" t="n"/>
    </row>
    <row r="10">
      <c r="A10" s="15" t="n">
        <v>8</v>
      </c>
      <c r="B10" s="13" t="inlineStr">
        <is>
          <t>الإدارة المالية</t>
        </is>
      </c>
      <c r="C10" s="21" t="inlineStr">
        <is>
          <t>العائد على حقوق الملكية (ROE)</t>
        </is>
      </c>
      <c r="D10" s="49" t="n">
        <v>0.074</v>
      </c>
      <c r="E10" s="49" t="n">
        <v>0.1</v>
      </c>
      <c r="F10" s="50" t="n">
        <v>0.7399999999999999</v>
      </c>
      <c r="G10" s="12" t="n">
        <v>0.2600000000000001</v>
      </c>
      <c r="H10" s="49" t="n">
        <v>0.074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المدير المالي</t>
        </is>
      </c>
      <c r="M10" s="51" t="n"/>
    </row>
    <row r="11">
      <c r="A11" s="15" t="n">
        <v>9</v>
      </c>
      <c r="B11" s="13" t="inlineStr">
        <is>
          <t>الامتياز التجاري</t>
        </is>
      </c>
      <c r="C11" s="21" t="inlineStr">
        <is>
          <t>نسبة أتمتة محطات الامتياز</t>
        </is>
      </c>
      <c r="D11" s="49" t="n">
        <v>0.674</v>
      </c>
      <c r="E11" s="49" t="n">
        <v>0.9</v>
      </c>
      <c r="F11" s="50" t="n">
        <v>0.7488888888888889</v>
      </c>
      <c r="G11" s="12" t="n">
        <v>0.2511111111111111</v>
      </c>
      <c r="H11" s="49" t="n">
        <v>0.674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الامتياز</t>
        </is>
      </c>
      <c r="M11" s="51" t="n"/>
    </row>
    <row r="12">
      <c r="A12" s="15" t="n">
        <v>10</v>
      </c>
      <c r="B12" s="13" t="inlineStr">
        <is>
          <t>الإدارة التنفيذية</t>
        </is>
      </c>
      <c r="C12" s="21" t="inlineStr">
        <is>
          <t>الالتزام بمعايير وزارة الطاقة (تغطية 13 منطقة)</t>
        </is>
      </c>
      <c r="D12" s="49" t="n">
        <v>0.749</v>
      </c>
      <c r="E12" s="49" t="n">
        <v>1</v>
      </c>
      <c r="F12" s="50" t="n">
        <v>0.749</v>
      </c>
      <c r="G12" s="12" t="n">
        <v>0.251</v>
      </c>
      <c r="H12" s="49" t="n">
        <v>0.749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الرئيس التنفيذي</t>
        </is>
      </c>
      <c r="M12" s="51" t="n"/>
    </row>
    <row r="13">
      <c r="A13" s="15" t="n">
        <v>11</v>
      </c>
      <c r="B13" s="13" t="inlineStr">
        <is>
          <t>الإدارة التنفيذية</t>
        </is>
      </c>
      <c r="C13" s="21" t="inlineStr">
        <is>
          <t>مؤشر رضا الموظفين العام (eNPS)</t>
        </is>
      </c>
      <c r="D13" s="49" t="n">
        <v>22.5</v>
      </c>
      <c r="E13" s="49" t="n">
        <v>30</v>
      </c>
      <c r="F13" s="50" t="n">
        <v>0.75</v>
      </c>
      <c r="G13" s="12" t="n">
        <v>0.25</v>
      </c>
      <c r="H13" s="49" t="n">
        <v>22.5</v>
      </c>
      <c r="I13" s="15" t="inlineStr">
        <is>
          <t>🟡 قريب</t>
        </is>
      </c>
      <c r="J13" s="11" t="inlineStr">
        <is>
          <t>فجوة محدودة — متابعة.</t>
        </is>
      </c>
      <c r="K13" s="11" t="inlineStr">
        <is>
          <t>متابعة أسبوعية لإغلاق الفجوة.</t>
        </is>
      </c>
      <c r="L13" s="15" t="inlineStr">
        <is>
          <t>الرئيس التنفيذي</t>
        </is>
      </c>
      <c r="M13" s="51" t="n"/>
    </row>
    <row r="14">
      <c r="A14" s="15" t="n">
        <v>12</v>
      </c>
      <c r="B14" s="13" t="inlineStr">
        <is>
          <t>الإدارة المالية</t>
        </is>
      </c>
      <c r="C14" s="21" t="inlineStr">
        <is>
          <t>دقة تسوية أرامكو</t>
        </is>
      </c>
      <c r="D14" s="49" t="n">
        <v>0.76</v>
      </c>
      <c r="E14" s="49" t="n">
        <v>1</v>
      </c>
      <c r="F14" s="50" t="n">
        <v>0.76</v>
      </c>
      <c r="G14" s="12" t="n">
        <v>0.24</v>
      </c>
      <c r="H14" s="49" t="n">
        <v>0.76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المدير المالي</t>
        </is>
      </c>
      <c r="M14" s="51" t="n"/>
    </row>
    <row r="15">
      <c r="A15" s="15" t="n">
        <v>13</v>
      </c>
      <c r="B15" s="13" t="inlineStr">
        <is>
          <t>الموارد البشرية</t>
        </is>
      </c>
      <c r="C15" s="21" t="inlineStr">
        <is>
          <t>نسبة تنفيذ برامج التدريب والتأهيل المعتمدة</t>
        </is>
      </c>
      <c r="D15" s="49" t="n">
        <v>0.6899999999999999</v>
      </c>
      <c r="E15" s="49" t="n">
        <v>0.9</v>
      </c>
      <c r="F15" s="50" t="n">
        <v>0.7666666666666666</v>
      </c>
      <c r="G15" s="12" t="n">
        <v>0.2333333333333334</v>
      </c>
      <c r="H15" s="49" t="n">
        <v>0.6899999999999999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الموارد البشرية</t>
        </is>
      </c>
      <c r="M15" s="51" t="n"/>
    </row>
    <row r="16">
      <c r="A16" s="15" t="n">
        <v>14</v>
      </c>
      <c r="B16" s="13" t="inlineStr">
        <is>
          <t>الإدارة التنفيذية</t>
        </is>
      </c>
      <c r="C16" s="21" t="inlineStr">
        <is>
          <t>نسبة الالتزام بإطار الحوكمة المؤسسية والامتثال التنظيمي</t>
        </is>
      </c>
      <c r="D16" s="49" t="n">
        <v>0.729</v>
      </c>
      <c r="E16" s="49" t="n">
        <v>0.95</v>
      </c>
      <c r="F16" s="50" t="n">
        <v>0.7673684210526316</v>
      </c>
      <c r="G16" s="12" t="n">
        <v>0.2326315789473684</v>
      </c>
      <c r="H16" s="49" t="n">
        <v>0.729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الرئيس التنفيذي</t>
        </is>
      </c>
      <c r="M16" s="51" t="n"/>
    </row>
    <row r="17">
      <c r="A17" s="15" t="n">
        <v>15</v>
      </c>
      <c r="B17" s="13" t="inlineStr">
        <is>
          <t>الإدارة المالية</t>
        </is>
      </c>
      <c r="C17" s="21" t="inlineStr">
        <is>
          <t>سداد الموردين في الموعد</t>
        </is>
      </c>
      <c r="D17" s="49" t="n">
        <v>0.754</v>
      </c>
      <c r="E17" s="49" t="n">
        <v>0.98</v>
      </c>
      <c r="F17" s="50" t="n">
        <v>0.7693877551020408</v>
      </c>
      <c r="G17" s="12" t="n">
        <v>0.2306122448979592</v>
      </c>
      <c r="H17" s="49" t="n">
        <v>0.754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المالي</t>
        </is>
      </c>
      <c r="M17" s="51" t="n"/>
    </row>
    <row r="18">
      <c r="A18" s="15" t="n">
        <v>16</v>
      </c>
      <c r="B18" s="13" t="inlineStr">
        <is>
          <t>الإدارة المالية</t>
        </is>
      </c>
      <c r="C18" s="21" t="inlineStr">
        <is>
          <t>هامش EBITDA</t>
        </is>
      </c>
      <c r="D18" s="49" t="n">
        <v>0.062</v>
      </c>
      <c r="E18" s="49" t="n">
        <v>0.08</v>
      </c>
      <c r="F18" s="50" t="n">
        <v>0.775</v>
      </c>
      <c r="G18" s="12" t="n">
        <v>0.225</v>
      </c>
      <c r="H18" s="49" t="n">
        <v>0.062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المدير المالي</t>
        </is>
      </c>
      <c r="M18" s="51" t="n"/>
    </row>
    <row r="19">
      <c r="A19" s="15" t="n">
        <v>17</v>
      </c>
      <c r="B19" s="13" t="inlineStr">
        <is>
          <t>الإدارة المالية</t>
        </is>
      </c>
      <c r="C19" s="21" t="inlineStr">
        <is>
          <t>دقة مطابقة المخزون</t>
        </is>
      </c>
      <c r="D19" s="49" t="n">
        <v>0.776</v>
      </c>
      <c r="E19" s="49" t="n">
        <v>0.995</v>
      </c>
      <c r="F19" s="50" t="n">
        <v>0.7798994974874373</v>
      </c>
      <c r="G19" s="12" t="n">
        <v>0.2201005025125627</v>
      </c>
      <c r="H19" s="49" t="n">
        <v>0.776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المدير المالي</t>
        </is>
      </c>
      <c r="M19" s="51" t="n"/>
    </row>
    <row r="20">
      <c r="A20" s="15" t="n">
        <v>18</v>
      </c>
      <c r="B20" s="13" t="inlineStr">
        <is>
          <t>الإدارة المالية</t>
        </is>
      </c>
      <c r="C20" s="21" t="inlineStr">
        <is>
          <t>معدل تجديد عقود الإيجار</t>
        </is>
      </c>
      <c r="D20" s="49" t="n">
        <v>0.702</v>
      </c>
      <c r="E20" s="49" t="n">
        <v>0.9</v>
      </c>
      <c r="F20" s="50" t="n">
        <v>0.7799999999999999</v>
      </c>
      <c r="G20" s="12" t="n">
        <v>0.2200000000000001</v>
      </c>
      <c r="H20" s="49" t="n">
        <v>0.702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المدير المالي</t>
        </is>
      </c>
      <c r="M20" s="51" t="n"/>
    </row>
    <row r="21">
      <c r="A21" s="15" t="n">
        <v>19</v>
      </c>
      <c r="B21" s="13" t="inlineStr">
        <is>
          <t>سلاسل الإمداد</t>
        </is>
      </c>
      <c r="C21" s="21" t="inlineStr">
        <is>
          <t>مستوى رضا الموردين</t>
        </is>
      </c>
      <c r="D21" s="49" t="n">
        <v>0.663</v>
      </c>
      <c r="E21" s="49" t="n">
        <v>0.85</v>
      </c>
      <c r="F21" s="50" t="n">
        <v>0.78</v>
      </c>
      <c r="G21" s="12" t="n">
        <v>0.22</v>
      </c>
      <c r="H21" s="49" t="n">
        <v>0.663</v>
      </c>
      <c r="I21" s="15" t="inlineStr">
        <is>
          <t>🟡 قريب</t>
        </is>
      </c>
      <c r="J21" s="11" t="inlineStr">
        <is>
          <t>فجوة محدودة — متابعة.</t>
        </is>
      </c>
      <c r="K21" s="11" t="inlineStr">
        <is>
          <t>متابعة أسبوعية لإغلاق الفجوة.</t>
        </is>
      </c>
      <c r="L21" s="15" t="inlineStr">
        <is>
          <t>مدير سلاسل الإمداد</t>
        </is>
      </c>
      <c r="M21" s="51" t="n"/>
    </row>
    <row r="22">
      <c r="A22" s="15" t="n">
        <v>20</v>
      </c>
      <c r="B22" s="13" t="inlineStr">
        <is>
          <t>التسويق</t>
        </is>
      </c>
      <c r="C22" s="21" t="inlineStr">
        <is>
          <t>عدد شراكات التطبيق</t>
        </is>
      </c>
      <c r="D22" s="49" t="n">
        <v>7.8</v>
      </c>
      <c r="E22" s="49" t="n">
        <v>10</v>
      </c>
      <c r="F22" s="50" t="n">
        <v>0.78</v>
      </c>
      <c r="G22" s="12" t="n">
        <v>0.22</v>
      </c>
      <c r="H22" s="49" t="n">
        <v>15.6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التسويق</t>
        </is>
      </c>
      <c r="M22" s="51" t="n"/>
    </row>
    <row r="23">
      <c r="A23" s="15" t="n">
        <v>21</v>
      </c>
      <c r="B23" s="13" t="inlineStr">
        <is>
          <t>التسويق</t>
        </is>
      </c>
      <c r="C23" s="21" t="inlineStr">
        <is>
          <t>عدد تنزيلات التطبيق</t>
        </is>
      </c>
      <c r="D23" s="49" t="n">
        <v>78204</v>
      </c>
      <c r="E23" s="49" t="n">
        <v>100000</v>
      </c>
      <c r="F23" s="50" t="n">
        <v>0.78204</v>
      </c>
      <c r="G23" s="12" t="n">
        <v>0.21796</v>
      </c>
      <c r="H23" s="49" t="n">
        <v>156408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التسويق</t>
        </is>
      </c>
      <c r="M23" s="51" t="n"/>
    </row>
    <row r="24">
      <c r="A24" s="15" t="n">
        <v>22</v>
      </c>
      <c r="B24" s="13" t="inlineStr">
        <is>
          <t>الامتياز التجاري</t>
        </is>
      </c>
      <c r="C24" s="21" t="inlineStr">
        <is>
          <t>نسبة الشركاء الملتزمين بمواعيد السداد</t>
        </is>
      </c>
      <c r="D24" s="49" t="n">
        <v>0.705</v>
      </c>
      <c r="E24" s="49" t="n">
        <v>0.9</v>
      </c>
      <c r="F24" s="50" t="n">
        <v>0.7833333333333332</v>
      </c>
      <c r="G24" s="12" t="n">
        <v>0.2166666666666668</v>
      </c>
      <c r="H24" s="49" t="n">
        <v>0.705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الامتياز</t>
        </is>
      </c>
      <c r="M24" s="51" t="n"/>
    </row>
    <row r="25">
      <c r="A25" s="15" t="n">
        <v>23</v>
      </c>
      <c r="B25" s="13" t="inlineStr">
        <is>
          <t>الإدارة القانونية</t>
        </is>
      </c>
      <c r="C25" s="21" t="inlineStr">
        <is>
          <t>مستوى رضا الإدارات عن الدعم القانوني</t>
        </is>
      </c>
      <c r="D25" s="49" t="n">
        <v>0.674</v>
      </c>
      <c r="E25" s="49" t="n">
        <v>0.85</v>
      </c>
      <c r="F25" s="50" t="n">
        <v>0.7929411764705883</v>
      </c>
      <c r="G25" s="12" t="n">
        <v>0.2070588235294117</v>
      </c>
      <c r="H25" s="49" t="n">
        <v>0.674</v>
      </c>
      <c r="I25" s="15" t="inlineStr">
        <is>
          <t>🟡 قريب</t>
        </is>
      </c>
      <c r="J25" s="11" t="inlineStr">
        <is>
          <t>فجوة محدودة — متابعة.</t>
        </is>
      </c>
      <c r="K25" s="11" t="inlineStr">
        <is>
          <t>متابعة أسبوعية لإغلاق الفجوة.</t>
        </is>
      </c>
      <c r="L25" s="15" t="inlineStr">
        <is>
          <t>المدير القانوني</t>
        </is>
      </c>
      <c r="M25" s="51" t="n"/>
    </row>
    <row r="26">
      <c r="A26" s="15" t="n">
        <v>24</v>
      </c>
      <c r="B26" s="13" t="inlineStr">
        <is>
          <t>الامتياز التجاري</t>
        </is>
      </c>
      <c r="C26" s="21" t="inlineStr">
        <is>
          <t>نسبة التزام المحطات بالهوية المؤسسية</t>
        </is>
      </c>
      <c r="D26" s="49" t="n">
        <v>0.44</v>
      </c>
      <c r="E26" s="49" t="n">
        <v>0.55</v>
      </c>
      <c r="F26" s="50" t="n">
        <v>0.7999999999999999</v>
      </c>
      <c r="G26" s="12" t="n">
        <v>0.2000000000000001</v>
      </c>
      <c r="H26" s="49" t="n">
        <v>0.44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الامتياز</t>
        </is>
      </c>
      <c r="M26" s="51" t="n"/>
    </row>
    <row r="27">
      <c r="A27" s="15" t="n">
        <v>25</v>
      </c>
      <c r="B27" s="13" t="inlineStr">
        <is>
          <t>الإدارة المالية</t>
        </is>
      </c>
      <c r="C27" s="21" t="inlineStr">
        <is>
          <t>هامش صافي الربح</t>
        </is>
      </c>
      <c r="D27" s="49" t="n">
        <v>0.008</v>
      </c>
      <c r="E27" s="49" t="n">
        <v>0.01</v>
      </c>
      <c r="F27" s="50" t="n">
        <v>0.8</v>
      </c>
      <c r="G27" s="12" t="n">
        <v>0.2</v>
      </c>
      <c r="H27" s="49" t="n">
        <v>0.008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المدير المالي</t>
        </is>
      </c>
      <c r="M27" s="51" t="n"/>
    </row>
    <row r="28">
      <c r="A28" s="15" t="n">
        <v>26</v>
      </c>
      <c r="B28" s="13" t="inlineStr">
        <is>
          <t>الامتياز التجاري</t>
        </is>
      </c>
      <c r="C28" s="21" t="inlineStr">
        <is>
          <t>إجمالي مبيعات وقود محطات الامتياز</t>
        </is>
      </c>
      <c r="D28" s="49" t="n">
        <v>576630340</v>
      </c>
      <c r="E28" s="49" t="n">
        <v>718838077</v>
      </c>
      <c r="F28" s="50" t="n">
        <v>0.8021699996840874</v>
      </c>
      <c r="G28" s="12" t="n">
        <v>0.1978300003159126</v>
      </c>
      <c r="H28" s="49" t="n">
        <v>1153260680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مدير الامتياز</t>
        </is>
      </c>
      <c r="M28" s="51" t="n"/>
    </row>
    <row r="29">
      <c r="A29" s="15" t="n">
        <v>27</v>
      </c>
      <c r="B29" s="13" t="inlineStr">
        <is>
          <t>التقنية الرقمية</t>
        </is>
      </c>
      <c r="C29" s="21" t="inlineStr">
        <is>
          <t>نسبة استقرار التشغيل التقني للمحطات</t>
        </is>
      </c>
      <c r="D29" s="49" t="n">
        <v>0.8</v>
      </c>
      <c r="E29" s="49" t="n">
        <v>0.99</v>
      </c>
      <c r="F29" s="50" t="n">
        <v>0.8080808080808082</v>
      </c>
      <c r="G29" s="12" t="n">
        <v>0.1919191919191918</v>
      </c>
      <c r="H29" s="49" t="n">
        <v>0.8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التقنية</t>
        </is>
      </c>
      <c r="M29" s="51" t="n"/>
    </row>
    <row r="30">
      <c r="A30" s="15" t="n">
        <v>28</v>
      </c>
      <c r="B30" s="13" t="inlineStr">
        <is>
          <t>الامتياز التجاري</t>
        </is>
      </c>
      <c r="C30" s="21" t="inlineStr">
        <is>
          <t>نسبة زيادة عدد أصحاب الامتياز</t>
        </is>
      </c>
      <c r="D30" s="49" t="n">
        <v>0.8100000000000001</v>
      </c>
      <c r="E30" s="49" t="n">
        <v>1</v>
      </c>
      <c r="F30" s="50" t="n">
        <v>0.8100000000000001</v>
      </c>
      <c r="G30" s="12" t="n">
        <v>0.1899999999999999</v>
      </c>
      <c r="H30" s="49" t="n">
        <v>0.8100000000000001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الامتياز</t>
        </is>
      </c>
      <c r="M30" s="51" t="n"/>
    </row>
    <row r="31">
      <c r="A31" s="15" t="n">
        <v>29</v>
      </c>
      <c r="B31" s="13" t="inlineStr">
        <is>
          <t>الإدارة التنفيذية</t>
        </is>
      </c>
      <c r="C31" s="21" t="inlineStr">
        <is>
          <t>نسبة نمو إيرادات الشركة (سنوي)</t>
        </is>
      </c>
      <c r="D31" s="49" t="n">
        <v>0.122</v>
      </c>
      <c r="E31" s="49" t="n">
        <v>0.15</v>
      </c>
      <c r="F31" s="50" t="n">
        <v>0.8133333333333334</v>
      </c>
      <c r="G31" s="12" t="n">
        <v>0.1866666666666666</v>
      </c>
      <c r="H31" s="49" t="n">
        <v>0.122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الرئيس التنفيذي</t>
        </is>
      </c>
      <c r="M31" s="51" t="n"/>
    </row>
    <row r="32">
      <c r="A32" s="15" t="n">
        <v>30</v>
      </c>
      <c r="B32" s="13" t="inlineStr">
        <is>
          <t>التشغيل والمحطات</t>
        </is>
      </c>
      <c r="C32" s="21" t="inlineStr">
        <is>
          <t>نسبة انخفاض الشكاوى مقارنة بالعام السابق</t>
        </is>
      </c>
      <c r="D32" s="49" t="n">
        <v>0.163</v>
      </c>
      <c r="E32" s="49" t="n">
        <v>0.2</v>
      </c>
      <c r="F32" s="50" t="n">
        <v>0.8149999999999999</v>
      </c>
      <c r="G32" s="12" t="n">
        <v>0.1850000000000001</v>
      </c>
      <c r="H32" s="49" t="n">
        <v>0.163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التشغيل</t>
        </is>
      </c>
      <c r="M32" s="51" t="n"/>
    </row>
    <row r="33">
      <c r="A33" s="15" t="n">
        <v>31</v>
      </c>
      <c r="B33" s="13" t="inlineStr">
        <is>
          <t>العقار</t>
        </is>
      </c>
      <c r="C33" s="21" t="inlineStr">
        <is>
          <t>زيادة عدد العلامات التجارية</t>
        </is>
      </c>
      <c r="D33" s="49" t="n">
        <v>202.6</v>
      </c>
      <c r="E33" s="49" t="n">
        <v>246</v>
      </c>
      <c r="F33" s="50" t="n">
        <v>0.8235772357723578</v>
      </c>
      <c r="G33" s="12" t="n">
        <v>0.1764227642276422</v>
      </c>
      <c r="H33" s="49" t="n">
        <v>202.6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العقار</t>
        </is>
      </c>
      <c r="M33" s="51" t="n"/>
    </row>
    <row r="34">
      <c r="A34" s="15" t="n">
        <v>32</v>
      </c>
      <c r="B34" s="13" t="inlineStr">
        <is>
          <t>الإدارة القانونية</t>
        </is>
      </c>
      <c r="C34" s="21" t="inlineStr">
        <is>
          <t>نسبة القضايا المُغلقة لصالح الشركة</t>
        </is>
      </c>
      <c r="D34" s="49" t="n">
        <v>0.664</v>
      </c>
      <c r="E34" s="49" t="n">
        <v>0.8</v>
      </c>
      <c r="F34" s="50" t="n">
        <v>0.83</v>
      </c>
      <c r="G34" s="12" t="n">
        <v>0.17</v>
      </c>
      <c r="H34" s="49" t="n">
        <v>0.664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المدير القانوني</t>
        </is>
      </c>
      <c r="M34" s="51" t="n"/>
    </row>
    <row r="35">
      <c r="A35" s="15" t="n">
        <v>33</v>
      </c>
      <c r="B35" s="13" t="inlineStr">
        <is>
          <t>الإدارة المالية</t>
        </is>
      </c>
      <c r="C35" s="21" t="inlineStr">
        <is>
          <t>نمو الإيرادات السنوي</t>
        </is>
      </c>
      <c r="D35" s="49" t="n">
        <v>0.169</v>
      </c>
      <c r="E35" s="49" t="n">
        <v>0.2</v>
      </c>
      <c r="F35" s="50" t="n">
        <v>0.845</v>
      </c>
      <c r="G35" s="12" t="n">
        <v>0.155</v>
      </c>
      <c r="H35" s="49" t="n">
        <v>0.169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المدير المالي</t>
        </is>
      </c>
      <c r="M35" s="51" t="n"/>
    </row>
    <row r="36">
      <c r="A36" s="15" t="n">
        <v>34</v>
      </c>
      <c r="B36" s="13" t="inlineStr">
        <is>
          <t>العقار</t>
        </is>
      </c>
      <c r="C36" s="21" t="inlineStr">
        <is>
          <t>نسبة تحصيل الإيجارات</t>
        </is>
      </c>
      <c r="D36" s="49" t="n">
        <v>0.805</v>
      </c>
      <c r="E36" s="49" t="n">
        <v>0.95</v>
      </c>
      <c r="F36" s="50" t="n">
        <v>0.8473684210526317</v>
      </c>
      <c r="G36" s="12" t="n">
        <v>0.1526315789473683</v>
      </c>
      <c r="H36" s="49" t="n">
        <v>0.805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العقار</t>
        </is>
      </c>
      <c r="M36" s="51" t="n"/>
    </row>
    <row r="37">
      <c r="A37" s="15" t="n">
        <v>35</v>
      </c>
      <c r="B37" s="13" t="inlineStr">
        <is>
          <t>الإدارة التنفيذية</t>
        </is>
      </c>
      <c r="C37" s="21" t="inlineStr">
        <is>
          <t>نسبة تحقيق المستهدفات الاستراتيجية العامة</t>
        </is>
      </c>
      <c r="D37" s="49" t="n">
        <v>0.85</v>
      </c>
      <c r="E37" s="49" t="n">
        <v>1</v>
      </c>
      <c r="F37" s="50" t="n">
        <v>0.85</v>
      </c>
      <c r="G37" s="12" t="n">
        <v>0.15</v>
      </c>
      <c r="H37" s="49" t="n">
        <v>0.85</v>
      </c>
      <c r="I37" s="15" t="inlineStr">
        <is>
          <t>🟡 قريب</t>
        </is>
      </c>
      <c r="J37" s="11" t="inlineStr">
        <is>
          <t>فجوة محدودة — متابعة.</t>
        </is>
      </c>
      <c r="K37" s="11" t="inlineStr">
        <is>
          <t>متابعة أسبوعية لإغلاق الفجوة.</t>
        </is>
      </c>
      <c r="L37" s="15" t="inlineStr">
        <is>
          <t>الرئيس التنفيذي</t>
        </is>
      </c>
      <c r="M37" s="51" t="n"/>
    </row>
    <row r="38">
      <c r="A38" s="15" t="n">
        <v>36</v>
      </c>
      <c r="B38" s="13" t="inlineStr">
        <is>
          <t>الإدارة المالية</t>
        </is>
      </c>
      <c r="C38" s="21" t="inlineStr">
        <is>
          <t>أيام الإقفال الشهري</t>
        </is>
      </c>
      <c r="D38" s="49" t="n">
        <v>7.044</v>
      </c>
      <c r="E38" s="49" t="n">
        <v>6</v>
      </c>
      <c r="F38" s="50" t="n">
        <v>0.8517887563884157</v>
      </c>
      <c r="G38" s="12" t="n">
        <v>0.1482112436115843</v>
      </c>
      <c r="H38" s="49" t="n">
        <v>7.044</v>
      </c>
      <c r="I38" s="15" t="inlineStr">
        <is>
          <t>🟡 قريب</t>
        </is>
      </c>
      <c r="J38" s="11" t="inlineStr">
        <is>
          <t>فجوة محدودة — متابعة.</t>
        </is>
      </c>
      <c r="K38" s="11" t="inlineStr">
        <is>
          <t>متابعة أسبوعية لإغلاق الفجوة.</t>
        </is>
      </c>
      <c r="L38" s="15" t="inlineStr">
        <is>
          <t>المدير المالي</t>
        </is>
      </c>
      <c r="M38" s="51" t="n"/>
    </row>
    <row r="39">
      <c r="A39" s="15" t="n">
        <v>37</v>
      </c>
      <c r="B39" s="13" t="inlineStr">
        <is>
          <t>الإدارة المالية</t>
        </is>
      </c>
      <c r="C39" s="21" t="inlineStr">
        <is>
          <t>النسبة الجارية (Current Ratio)</t>
        </is>
      </c>
      <c r="D39" s="49" t="n">
        <v>0.852</v>
      </c>
      <c r="E39" s="49" t="n">
        <v>1</v>
      </c>
      <c r="F39" s="50" t="n">
        <v>0.852</v>
      </c>
      <c r="G39" s="12" t="n">
        <v>0.148</v>
      </c>
      <c r="H39" s="49" t="n">
        <v>0.852</v>
      </c>
      <c r="I39" s="15" t="inlineStr">
        <is>
          <t>🟡 قريب</t>
        </is>
      </c>
      <c r="J39" s="11" t="inlineStr">
        <is>
          <t>فجوة محدودة — متابعة.</t>
        </is>
      </c>
      <c r="K39" s="11" t="inlineStr">
        <is>
          <t>متابعة أسبوعية لإغلاق الفجوة.</t>
        </is>
      </c>
      <c r="L39" s="15" t="inlineStr">
        <is>
          <t>المدير المالي</t>
        </is>
      </c>
      <c r="M39" s="51" t="n"/>
    </row>
    <row r="40">
      <c r="A40" s="15" t="n">
        <v>38</v>
      </c>
      <c r="B40" s="13" t="inlineStr">
        <is>
          <t>سلاسل الإمداد</t>
        </is>
      </c>
      <c r="C40" s="21" t="inlineStr">
        <is>
          <t>نسبة إنجاز أوامر الشراء</t>
        </is>
      </c>
      <c r="D40" s="49" t="n">
        <v>0.8100000000000001</v>
      </c>
      <c r="E40" s="49" t="n">
        <v>0.95</v>
      </c>
      <c r="F40" s="50" t="n">
        <v>0.8526315789473685</v>
      </c>
      <c r="G40" s="12" t="n">
        <v>0.1473684210526315</v>
      </c>
      <c r="H40" s="49" t="n">
        <v>0.8100000000000001</v>
      </c>
      <c r="I40" s="15" t="inlineStr">
        <is>
          <t>🟡 قريب</t>
        </is>
      </c>
      <c r="J40" s="11" t="inlineStr">
        <is>
          <t>فجوة محدودة — متابعة.</t>
        </is>
      </c>
      <c r="K40" s="11" t="inlineStr">
        <is>
          <t>متابعة أسبوعية لإغلاق الفجوة.</t>
        </is>
      </c>
      <c r="L40" s="15" t="inlineStr">
        <is>
          <t>مدير سلاسل الإمداد</t>
        </is>
      </c>
      <c r="M40" s="51" t="n"/>
    </row>
    <row r="41">
      <c r="A41" s="15" t="n">
        <v>39</v>
      </c>
      <c r="B41" s="13" t="inlineStr">
        <is>
          <t>الامتياز التجاري</t>
        </is>
      </c>
      <c r="C41" s="21" t="inlineStr">
        <is>
          <t>نسبة التحصيل المالي من شركاء الامتياز</t>
        </is>
      </c>
      <c r="D41" s="49" t="n">
        <v>0.8120000000000001</v>
      </c>
      <c r="E41" s="49" t="n">
        <v>0.95</v>
      </c>
      <c r="F41" s="50" t="n">
        <v>0.8547368421052632</v>
      </c>
      <c r="G41" s="12" t="n">
        <v>0.1452631578947368</v>
      </c>
      <c r="H41" s="49" t="n">
        <v>0.8120000000000001</v>
      </c>
      <c r="I41" s="15" t="inlineStr">
        <is>
          <t>🟡 قريب</t>
        </is>
      </c>
      <c r="J41" s="11" t="inlineStr">
        <is>
          <t>فجوة محدودة — متابعة.</t>
        </is>
      </c>
      <c r="K41" s="11" t="inlineStr">
        <is>
          <t>متابعة أسبوعية لإغلاق الفجوة.</t>
        </is>
      </c>
      <c r="L41" s="15" t="inlineStr">
        <is>
          <t>مدير الامتياز</t>
        </is>
      </c>
      <c r="M41" s="51" t="n"/>
    </row>
    <row r="42">
      <c r="A42" s="15" t="n">
        <v>40</v>
      </c>
      <c r="B42" s="13" t="inlineStr">
        <is>
          <t>إدارة المشاريع</t>
        </is>
      </c>
      <c r="C42" s="21" t="inlineStr">
        <is>
          <t>نسبة إنجاز محفظة المشاريع</t>
        </is>
      </c>
      <c r="D42" s="49" t="n">
        <v>0.607</v>
      </c>
      <c r="E42" s="49" t="n">
        <v>0.7</v>
      </c>
      <c r="F42" s="50" t="n">
        <v>0.8671428571428572</v>
      </c>
      <c r="G42" s="12" t="n">
        <v>0.1328571428571428</v>
      </c>
      <c r="H42" s="49" t="n">
        <v>0.607</v>
      </c>
      <c r="I42" s="15" t="inlineStr">
        <is>
          <t>🟡 قريب</t>
        </is>
      </c>
      <c r="J42" s="11" t="inlineStr">
        <is>
          <t>فجوة محدودة — متابعة.</t>
        </is>
      </c>
      <c r="K42" s="11" t="inlineStr">
        <is>
          <t>متابعة أسبوعية لإغلاق الفجوة.</t>
        </is>
      </c>
      <c r="L42" s="15" t="inlineStr">
        <is>
          <t>مدير إدارة المشاريع</t>
        </is>
      </c>
      <c r="M42" s="51" t="n"/>
    </row>
    <row r="43">
      <c r="A43" s="15" t="n">
        <v>41</v>
      </c>
      <c r="B43" s="13" t="inlineStr">
        <is>
          <t>الامتياز التجاري</t>
        </is>
      </c>
      <c r="C43" s="21" t="inlineStr">
        <is>
          <t>رفع هامش الربحية للامتياز</t>
        </is>
      </c>
      <c r="D43" s="49" t="n">
        <v>1.564</v>
      </c>
      <c r="E43" s="49" t="n">
        <v>1.8</v>
      </c>
      <c r="F43" s="50" t="n">
        <v>0.8688888888888889</v>
      </c>
      <c r="G43" s="12" t="n">
        <v>0.1311111111111111</v>
      </c>
      <c r="H43" s="49" t="n">
        <v>1.564</v>
      </c>
      <c r="I43" s="15" t="inlineStr">
        <is>
          <t>🟡 قريب</t>
        </is>
      </c>
      <c r="J43" s="11" t="inlineStr">
        <is>
          <t>فجوة محدودة — متابعة.</t>
        </is>
      </c>
      <c r="K43" s="11" t="inlineStr">
        <is>
          <t>متابعة أسبوعية لإغلاق الفجوة.</t>
        </is>
      </c>
      <c r="L43" s="15" t="inlineStr">
        <is>
          <t>مدير الامتياز</t>
        </is>
      </c>
      <c r="M43" s="51" t="n"/>
    </row>
    <row r="44">
      <c r="A44" s="15" t="n">
        <v>42</v>
      </c>
      <c r="B44" s="13" t="inlineStr">
        <is>
          <t>الإدارة التنفيذية</t>
        </is>
      </c>
      <c r="C44" s="21" t="inlineStr">
        <is>
          <t>إجمالي المحطات المشغّلة — الشركة (تراكمي)</t>
        </is>
      </c>
      <c r="D44" s="49" t="n">
        <v>206.1</v>
      </c>
      <c r="E44" s="49" t="n">
        <v>235</v>
      </c>
      <c r="F44" s="50" t="n">
        <v>0.8770212765957447</v>
      </c>
      <c r="G44" s="12" t="n">
        <v>0.1229787234042553</v>
      </c>
      <c r="H44" s="49" t="n">
        <v>206.1</v>
      </c>
      <c r="I44" s="15" t="inlineStr">
        <is>
          <t>🟡 قريب</t>
        </is>
      </c>
      <c r="J44" s="11" t="inlineStr">
        <is>
          <t>فجوة محدودة — متابعة.</t>
        </is>
      </c>
      <c r="K44" s="11" t="inlineStr">
        <is>
          <t>متابعة أسبوعية لإغلاق الفجوة.</t>
        </is>
      </c>
      <c r="L44" s="15" t="inlineStr">
        <is>
          <t>الرئيس التنفيذي</t>
        </is>
      </c>
      <c r="M44" s="51" t="n"/>
    </row>
    <row r="45">
      <c r="A45" s="15" t="n">
        <v>43</v>
      </c>
      <c r="B45" s="13" t="inlineStr">
        <is>
          <t>الموارد البشرية</t>
        </is>
      </c>
      <c r="C45" s="21" t="inlineStr">
        <is>
          <t>نسبة دقة الرواتب والمستحقات الشهرية</t>
        </is>
      </c>
      <c r="D45" s="49" t="n">
        <v>0.888</v>
      </c>
      <c r="E45" s="49" t="n">
        <v>0.995</v>
      </c>
      <c r="F45" s="50" t="n">
        <v>0.892462311557789</v>
      </c>
      <c r="G45" s="12" t="n">
        <v>0.107537688442211</v>
      </c>
      <c r="H45" s="49" t="n">
        <v>0.888</v>
      </c>
      <c r="I45" s="15" t="inlineStr">
        <is>
          <t>🟡 قريب</t>
        </is>
      </c>
      <c r="J45" s="11" t="inlineStr">
        <is>
          <t>فجوة محدودة — متابعة.</t>
        </is>
      </c>
      <c r="K45" s="11" t="inlineStr">
        <is>
          <t>متابعة أسبوعية لإغلاق الفجوة.</t>
        </is>
      </c>
      <c r="L45" s="15" t="inlineStr">
        <is>
          <t>مدير الموارد البشرية</t>
        </is>
      </c>
      <c r="M45" s="51" t="n"/>
    </row>
    <row r="46">
      <c r="A46" s="15" t="n">
        <v>44</v>
      </c>
      <c r="B46" s="13" t="inlineStr">
        <is>
          <t>الموارد البشرية</t>
        </is>
      </c>
      <c r="C46" s="21" t="inlineStr">
        <is>
          <t>متوسط مدة إغلاق الشواغر المعتمدة</t>
        </is>
      </c>
      <c r="D46" s="49" t="n">
        <v>33.5</v>
      </c>
      <c r="E46" s="49" t="n">
        <v>30</v>
      </c>
      <c r="F46" s="50" t="n">
        <v>0.8955223880597015</v>
      </c>
      <c r="G46" s="12" t="n">
        <v>0.1044776119402985</v>
      </c>
      <c r="H46" s="49" t="n">
        <v>33.5</v>
      </c>
      <c r="I46" s="15" t="inlineStr">
        <is>
          <t>🟡 قريب</t>
        </is>
      </c>
      <c r="J46" s="11" t="inlineStr">
        <is>
          <t>فجوة محدودة — متابعة.</t>
        </is>
      </c>
      <c r="K46" s="11" t="inlineStr">
        <is>
          <t>متابعة أسبوعية لإغلاق الفجوة.</t>
        </is>
      </c>
      <c r="L46" s="15" t="inlineStr">
        <is>
          <t>مدير الموارد البشرية</t>
        </is>
      </c>
      <c r="M46" s="51" t="n"/>
    </row>
    <row r="47">
      <c r="A47" s="15" t="n">
        <v>45</v>
      </c>
      <c r="B47" s="13" t="inlineStr">
        <is>
          <t>التشغيل والمحطات</t>
        </is>
      </c>
      <c r="C47" s="21" t="inlineStr">
        <is>
          <t>نمو مبيعات الوقود مقارنة بالعام السابق</t>
        </is>
      </c>
      <c r="D47" s="49" t="n">
        <v>0.09</v>
      </c>
      <c r="E47" s="49" t="n">
        <v>0.1</v>
      </c>
      <c r="F47" s="50" t="n">
        <v>0.8999999999999999</v>
      </c>
      <c r="G47" s="12" t="n">
        <v>0.1000000000000001</v>
      </c>
      <c r="H47" s="49" t="n">
        <v>0.09</v>
      </c>
      <c r="I47" s="15" t="inlineStr">
        <is>
          <t>🟡 قريب</t>
        </is>
      </c>
      <c r="J47" s="11" t="inlineStr">
        <is>
          <t>فجوة محدودة — متابعة.</t>
        </is>
      </c>
      <c r="K47" s="11" t="inlineStr">
        <is>
          <t>متابعة أسبوعية لإغلاق الفجوة.</t>
        </is>
      </c>
      <c r="L47" s="15" t="inlineStr">
        <is>
          <t>مدير التشغيل</t>
        </is>
      </c>
      <c r="M47" s="51" t="n"/>
    </row>
    <row r="48">
      <c r="A48" s="15" t="n">
        <v>46</v>
      </c>
      <c r="B48" s="13" t="inlineStr">
        <is>
          <t>الإدارة المالية</t>
        </is>
      </c>
      <c r="C48" s="21" t="inlineStr">
        <is>
          <t>نسبة التدفق النقدي التشغيلي</t>
        </is>
      </c>
      <c r="D48" s="49" t="n">
        <v>0.902</v>
      </c>
      <c r="E48" s="49" t="n">
        <v>1</v>
      </c>
      <c r="F48" s="50" t="n">
        <v>0.902</v>
      </c>
      <c r="G48" s="12" t="n">
        <v>0.09799999999999998</v>
      </c>
      <c r="H48" s="49" t="n">
        <v>0.902</v>
      </c>
      <c r="I48" s="15" t="inlineStr">
        <is>
          <t>🟡 قريب</t>
        </is>
      </c>
      <c r="J48" s="11" t="inlineStr">
        <is>
          <t>فجوة محدودة — متابعة.</t>
        </is>
      </c>
      <c r="K48" s="11" t="inlineStr">
        <is>
          <t>متابعة أسبوعية لإغلاق الفجوة.</t>
        </is>
      </c>
      <c r="L48" s="15" t="inlineStr">
        <is>
          <t>المدير المالي</t>
        </is>
      </c>
      <c r="M48" s="51" t="n"/>
    </row>
    <row r="49">
      <c r="A49" s="15" t="n">
        <v>47</v>
      </c>
      <c r="B49" s="13" t="inlineStr">
        <is>
          <t>الإدارة التنفيذية</t>
        </is>
      </c>
      <c r="C49" s="21" t="inlineStr">
        <is>
          <t>نسبة إنجاز مشاريع الخارطة التنفيذية</t>
        </is>
      </c>
      <c r="D49" s="49" t="n">
        <v>0.906</v>
      </c>
      <c r="E49" s="49" t="n">
        <v>1</v>
      </c>
      <c r="F49" s="50" t="n">
        <v>0.906</v>
      </c>
      <c r="G49" s="12" t="n">
        <v>0.09399999999999997</v>
      </c>
      <c r="H49" s="49" t="n">
        <v>0.906</v>
      </c>
      <c r="I49" s="15" t="inlineStr">
        <is>
          <t>🟡 قريب</t>
        </is>
      </c>
      <c r="J49" s="11" t="inlineStr">
        <is>
          <t>فجوة محدودة — متابعة.</t>
        </is>
      </c>
      <c r="K49" s="11" t="inlineStr">
        <is>
          <t>متابعة أسبوعية لإغلاق الفجوة.</t>
        </is>
      </c>
      <c r="L49" s="15" t="inlineStr">
        <is>
          <t>الرئيس التنفيذي</t>
        </is>
      </c>
      <c r="M49" s="51" t="n"/>
    </row>
    <row r="50">
      <c r="A50" s="15" t="n">
        <v>48</v>
      </c>
      <c r="B50" s="13" t="inlineStr">
        <is>
          <t>العقار</t>
        </is>
      </c>
      <c r="C50" s="21" t="inlineStr">
        <is>
          <t>نسبة إشغال الوحدات</t>
        </is>
      </c>
      <c r="D50" s="49" t="n">
        <v>0.545</v>
      </c>
      <c r="E50" s="49" t="n">
        <v>0.6</v>
      </c>
      <c r="F50" s="50" t="n">
        <v>0.9083333333333334</v>
      </c>
      <c r="G50" s="12" t="n">
        <v>0.09166666666666656</v>
      </c>
      <c r="H50" s="49" t="n">
        <v>0.545</v>
      </c>
      <c r="I50" s="15" t="inlineStr">
        <is>
          <t>🟡 قريب</t>
        </is>
      </c>
      <c r="J50" s="11" t="inlineStr">
        <is>
          <t>فجوة محدودة — متابعة.</t>
        </is>
      </c>
      <c r="K50" s="11" t="inlineStr">
        <is>
          <t>متابعة أسبوعية لإغلاق الفجوة.</t>
        </is>
      </c>
      <c r="L50" s="15" t="inlineStr">
        <is>
          <t>مدير العقار</t>
        </is>
      </c>
      <c r="M50" s="51" t="n"/>
    </row>
    <row r="51">
      <c r="A51" s="15" t="n">
        <v>49</v>
      </c>
      <c r="B51" s="13" t="inlineStr">
        <is>
          <t>الامتياز التجاري</t>
        </is>
      </c>
      <c r="C51" s="21" t="inlineStr">
        <is>
          <t>نسبة المحطات المستوفية لمعايير السلامة</t>
        </is>
      </c>
      <c r="D51" s="49" t="n">
        <v>0.911</v>
      </c>
      <c r="E51" s="49" t="n">
        <v>1</v>
      </c>
      <c r="F51" s="50" t="n">
        <v>0.911</v>
      </c>
      <c r="G51" s="12" t="n">
        <v>0.08899999999999997</v>
      </c>
      <c r="H51" s="49" t="n">
        <v>0.911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الامتياز</t>
        </is>
      </c>
      <c r="M51" s="51" t="n"/>
    </row>
    <row r="52">
      <c r="A52" s="15" t="n">
        <v>50</v>
      </c>
      <c r="B52" s="13" t="inlineStr">
        <is>
          <t>الامتياز التجاري</t>
        </is>
      </c>
      <c r="C52" s="21" t="inlineStr">
        <is>
          <t>نسبة انخفاض الشكاوى التشغيلية والإدارية</t>
        </is>
      </c>
      <c r="D52" s="49" t="n">
        <v>0.274</v>
      </c>
      <c r="E52" s="49" t="n">
        <v>0.3</v>
      </c>
      <c r="F52" s="50" t="n">
        <v>0.9133333333333334</v>
      </c>
      <c r="G52" s="12" t="n">
        <v>0.08666666666666656</v>
      </c>
      <c r="H52" s="49" t="n">
        <v>0.274</v>
      </c>
      <c r="I52" s="15" t="inlineStr">
        <is>
          <t>🟡 قريب</t>
        </is>
      </c>
      <c r="J52" s="11" t="inlineStr">
        <is>
          <t>فجوة محدودة — متابعة.</t>
        </is>
      </c>
      <c r="K52" s="11" t="inlineStr">
        <is>
          <t>متابعة أسبوعية لإغلاق الفجوة.</t>
        </is>
      </c>
      <c r="L52" s="15" t="inlineStr">
        <is>
          <t>مدير الامتياز</t>
        </is>
      </c>
      <c r="M52" s="51" t="n"/>
    </row>
    <row r="53">
      <c r="A53" s="15" t="n">
        <v>51</v>
      </c>
      <c r="B53" s="13" t="inlineStr">
        <is>
          <t>الامتياز التجاري</t>
        </is>
      </c>
      <c r="C53" s="21" t="inlineStr">
        <is>
          <t>متوسط وقت معالجة البلاغات التشغيلية</t>
        </is>
      </c>
      <c r="D53" s="49" t="n">
        <v>26.2</v>
      </c>
      <c r="E53" s="49" t="n">
        <v>24</v>
      </c>
      <c r="F53" s="50" t="n">
        <v>0.916030534351145</v>
      </c>
      <c r="G53" s="12" t="n">
        <v>0.08396946564885499</v>
      </c>
      <c r="H53" s="49" t="n">
        <v>26.2</v>
      </c>
      <c r="I53" s="15" t="inlineStr">
        <is>
          <t>🟡 قريب</t>
        </is>
      </c>
      <c r="J53" s="11" t="inlineStr">
        <is>
          <t>فجوة محدودة — متابعة.</t>
        </is>
      </c>
      <c r="K53" s="11" t="inlineStr">
        <is>
          <t>متابعة أسبوعية لإغلاق الفجوة.</t>
        </is>
      </c>
      <c r="L53" s="15" t="inlineStr">
        <is>
          <t>مدير الامتياز</t>
        </is>
      </c>
      <c r="M53" s="51" t="n"/>
    </row>
    <row r="54">
      <c r="A54" s="15" t="n">
        <v>52</v>
      </c>
      <c r="B54" s="13" t="inlineStr">
        <is>
          <t>التشغيل والمحطات</t>
        </is>
      </c>
      <c r="C54" s="21" t="inlineStr">
        <is>
          <t>عدد المحطات المشغّلة (تراكمي)</t>
        </is>
      </c>
      <c r="D54" s="49" t="n">
        <v>78.5</v>
      </c>
      <c r="E54" s="49" t="n">
        <v>85</v>
      </c>
      <c r="F54" s="50" t="n">
        <v>0.9235294117647059</v>
      </c>
      <c r="G54" s="12" t="n">
        <v>0.07647058823529407</v>
      </c>
      <c r="H54" s="49" t="n">
        <v>78.5</v>
      </c>
      <c r="I54" s="15" t="inlineStr">
        <is>
          <t>🟡 قريب</t>
        </is>
      </c>
      <c r="J54" s="11" t="inlineStr">
        <is>
          <t>فجوة محدودة — متابعة.</t>
        </is>
      </c>
      <c r="K54" s="11" t="inlineStr">
        <is>
          <t>متابعة أسبوعية لإغلاق الفجوة.</t>
        </is>
      </c>
      <c r="L54" s="15" t="inlineStr">
        <is>
          <t>مدير التشغيل</t>
        </is>
      </c>
      <c r="M54" s="51" t="n"/>
    </row>
    <row r="55">
      <c r="A55" s="15" t="n">
        <v>53</v>
      </c>
      <c r="B55" s="13" t="inlineStr">
        <is>
          <t>الامتياز التجاري</t>
        </is>
      </c>
      <c r="C55" s="21" t="inlineStr">
        <is>
          <t>نسبة إغلاق ملاحظات الجودة الميدانية</t>
        </is>
      </c>
      <c r="D55" s="49" t="n">
        <v>0.879</v>
      </c>
      <c r="E55" s="49" t="n">
        <v>0.95</v>
      </c>
      <c r="F55" s="50" t="n">
        <v>0.9252631578947369</v>
      </c>
      <c r="G55" s="12" t="n">
        <v>0.0747368421052631</v>
      </c>
      <c r="H55" s="49" t="n">
        <v>0.879</v>
      </c>
      <c r="I55" s="15" t="inlineStr">
        <is>
          <t>🟡 قريب</t>
        </is>
      </c>
      <c r="J55" s="11" t="inlineStr">
        <is>
          <t>فجوة محدودة — متابعة.</t>
        </is>
      </c>
      <c r="K55" s="11" t="inlineStr">
        <is>
          <t>متابعة أسبوعية لإغلاق الفجوة.</t>
        </is>
      </c>
      <c r="L55" s="15" t="inlineStr">
        <is>
          <t>مدير الامتياز</t>
        </is>
      </c>
      <c r="M55" s="51" t="n"/>
    </row>
    <row r="56">
      <c r="A56" s="15" t="n">
        <v>54</v>
      </c>
      <c r="B56" s="13" t="inlineStr">
        <is>
          <t>إدارة المشاريع</t>
        </is>
      </c>
      <c r="C56" s="21" t="inlineStr">
        <is>
          <t>متوسط مدة إغلاق قائمة الملاحظات النهائية</t>
        </is>
      </c>
      <c r="D56" s="49" t="n">
        <v>32.4</v>
      </c>
      <c r="E56" s="49" t="n">
        <v>30</v>
      </c>
      <c r="F56" s="50" t="n">
        <v>0.9259259259259259</v>
      </c>
      <c r="G56" s="12" t="n">
        <v>0.07407407407407407</v>
      </c>
      <c r="H56" s="49" t="n">
        <v>32.4</v>
      </c>
      <c r="I56" s="15" t="inlineStr">
        <is>
          <t>🟡 قريب</t>
        </is>
      </c>
      <c r="J56" s="11" t="inlineStr">
        <is>
          <t>فجوة محدودة — متابعة.</t>
        </is>
      </c>
      <c r="K56" s="11" t="inlineStr">
        <is>
          <t>متابعة أسبوعية لإغلاق الفجوة.</t>
        </is>
      </c>
      <c r="L56" s="15" t="inlineStr">
        <is>
          <t>مدير إدارة المشاريع</t>
        </is>
      </c>
      <c r="M56" s="51" t="n"/>
    </row>
    <row r="57">
      <c r="A57" s="15" t="n">
        <v>55</v>
      </c>
      <c r="B57" s="13" t="inlineStr">
        <is>
          <t>الامتياز التجاري</t>
        </is>
      </c>
      <c r="C57" s="21" t="inlineStr">
        <is>
          <t>متوسط درجة تقييم جودة المحطة (قائمة التحقق)</t>
        </is>
      </c>
      <c r="D57" s="49" t="n">
        <v>78.8</v>
      </c>
      <c r="E57" s="49" t="n">
        <v>85</v>
      </c>
      <c r="F57" s="50" t="n">
        <v>0.9270588235294117</v>
      </c>
      <c r="G57" s="12" t="n">
        <v>0.07294117647058829</v>
      </c>
      <c r="H57" s="49" t="n">
        <v>78.8</v>
      </c>
      <c r="I57" s="15" t="inlineStr">
        <is>
          <t>🟡 قريب</t>
        </is>
      </c>
      <c r="J57" s="11" t="inlineStr">
        <is>
          <t>فجوة محدودة — متابعة.</t>
        </is>
      </c>
      <c r="K57" s="11" t="inlineStr">
        <is>
          <t>متابعة أسبوعية لإغلاق الفجوة.</t>
        </is>
      </c>
      <c r="L57" s="15" t="inlineStr">
        <is>
          <t>مدير الامتياز</t>
        </is>
      </c>
      <c r="M57" s="51" t="n"/>
    </row>
    <row r="58">
      <c r="A58" s="15" t="n">
        <v>56</v>
      </c>
      <c r="B58" s="13" t="inlineStr">
        <is>
          <t>الإدارة المالية</t>
        </is>
      </c>
      <c r="C58" s="21" t="inlineStr">
        <is>
          <t>نسبة تحصيل الامتياز</t>
        </is>
      </c>
      <c r="D58" s="49" t="n">
        <v>0.91</v>
      </c>
      <c r="E58" s="49" t="n">
        <v>0.98</v>
      </c>
      <c r="F58" s="50" t="n">
        <v>0.9285714285714286</v>
      </c>
      <c r="G58" s="12" t="n">
        <v>0.0714285714285714</v>
      </c>
      <c r="H58" s="49" t="n">
        <v>0.91</v>
      </c>
      <c r="I58" s="15" t="inlineStr">
        <is>
          <t>🟡 قريب</t>
        </is>
      </c>
      <c r="J58" s="11" t="inlineStr">
        <is>
          <t>فجوة محدودة — متابعة.</t>
        </is>
      </c>
      <c r="K58" s="11" t="inlineStr">
        <is>
          <t>متابعة أسبوعية لإغلاق الفجوة.</t>
        </is>
      </c>
      <c r="L58" s="15" t="inlineStr">
        <is>
          <t>المدير المالي</t>
        </is>
      </c>
      <c r="M58" s="51" t="n"/>
    </row>
    <row r="59">
      <c r="A59" s="15" t="n">
        <v>57</v>
      </c>
      <c r="B59" s="13" t="inlineStr">
        <is>
          <t>الاستثمار</t>
        </is>
      </c>
      <c r="C59" s="21" t="inlineStr">
        <is>
          <t>عدد العقود التي تغطي المناطق الـ13</t>
        </is>
      </c>
      <c r="D59" s="49" t="n">
        <v>12.1</v>
      </c>
      <c r="E59" s="49" t="n">
        <v>13</v>
      </c>
      <c r="F59" s="50" t="n">
        <v>0.9307692307692308</v>
      </c>
      <c r="G59" s="12" t="n">
        <v>0.06923076923076921</v>
      </c>
      <c r="H59" s="49" t="n">
        <v>12.1</v>
      </c>
      <c r="I59" s="15" t="inlineStr">
        <is>
          <t>🟡 قريب</t>
        </is>
      </c>
      <c r="J59" s="11" t="inlineStr">
        <is>
          <t>فجوة محدودة — متابعة.</t>
        </is>
      </c>
      <c r="K59" s="11" t="inlineStr">
        <is>
          <t>متابعة أسبوعية لإغلاق الفجوة.</t>
        </is>
      </c>
      <c r="L59" s="15" t="inlineStr">
        <is>
          <t>مدير الاستثمار</t>
        </is>
      </c>
      <c r="M59" s="51" t="n"/>
    </row>
    <row r="60">
      <c r="A60" s="15" t="n">
        <v>58</v>
      </c>
      <c r="B60" s="13" t="inlineStr">
        <is>
          <t>الاستثمار</t>
        </is>
      </c>
      <c r="C60" s="21" t="inlineStr">
        <is>
          <t>نسبة المواقع المشغّلة ذات العائد المجدي</t>
        </is>
      </c>
      <c r="D60" s="49" t="n">
        <v>0.748</v>
      </c>
      <c r="E60" s="49" t="n">
        <v>0.8</v>
      </c>
      <c r="F60" s="50" t="n">
        <v>0.9349999999999999</v>
      </c>
      <c r="G60" s="12" t="n">
        <v>0.06500000000000006</v>
      </c>
      <c r="H60" s="49" t="n">
        <v>0.748</v>
      </c>
      <c r="I60" s="15" t="inlineStr">
        <is>
          <t>🟡 قريب</t>
        </is>
      </c>
      <c r="J60" s="11" t="inlineStr">
        <is>
          <t>فجوة محدودة — متابعة.</t>
        </is>
      </c>
      <c r="K60" s="11" t="inlineStr">
        <is>
          <t>متابعة أسبوعية لإغلاق الفجوة.</t>
        </is>
      </c>
      <c r="L60" s="15" t="inlineStr">
        <is>
          <t>مدير الاستثمار</t>
        </is>
      </c>
      <c r="M60" s="51" t="n"/>
    </row>
    <row r="61">
      <c r="A61" s="15" t="n">
        <v>59</v>
      </c>
      <c r="B61" s="13" t="inlineStr">
        <is>
          <t>الامتياز التجاري</t>
        </is>
      </c>
      <c r="C61" s="21" t="inlineStr">
        <is>
          <t>نسبة استدامة أصحاب الامتياز (Retention)</t>
        </is>
      </c>
      <c r="D61" s="49" t="n">
        <v>0.853</v>
      </c>
      <c r="E61" s="49" t="n">
        <v>0.9</v>
      </c>
      <c r="F61" s="50" t="n">
        <v>0.9477777777777777</v>
      </c>
      <c r="G61" s="12" t="n">
        <v>0.05222222222222228</v>
      </c>
      <c r="H61" s="49" t="n">
        <v>0.853</v>
      </c>
      <c r="I61" s="15" t="inlineStr">
        <is>
          <t>🟡 قريب</t>
        </is>
      </c>
      <c r="J61" s="11" t="inlineStr">
        <is>
          <t>فجوة محدودة — متابعة.</t>
        </is>
      </c>
      <c r="K61" s="11" t="inlineStr">
        <is>
          <t>متابعة أسبوعية لإغلاق الفجوة.</t>
        </is>
      </c>
      <c r="L61" s="15" t="inlineStr">
        <is>
          <t>مدير الامتياز</t>
        </is>
      </c>
      <c r="M61" s="51" t="n"/>
    </row>
    <row r="62">
      <c r="A62" s="15" t="n">
        <v>60</v>
      </c>
      <c r="B62" s="13" t="inlineStr">
        <is>
          <t>الإدارة المالية</t>
        </is>
      </c>
      <c r="C62" s="21" t="inlineStr">
        <is>
          <t>أيام تحصيل رسوم الامتياز</t>
        </is>
      </c>
      <c r="D62" s="49" t="n">
        <v>15.8</v>
      </c>
      <c r="E62" s="49" t="n">
        <v>15</v>
      </c>
      <c r="F62" s="50" t="n">
        <v>0.9493670886075949</v>
      </c>
      <c r="G62" s="12" t="n">
        <v>0.05063291139240511</v>
      </c>
      <c r="H62" s="49" t="n">
        <v>15.8</v>
      </c>
      <c r="I62" s="15" t="inlineStr">
        <is>
          <t>🟡 قريب</t>
        </is>
      </c>
      <c r="J62" s="11" t="inlineStr">
        <is>
          <t>فجوة محدودة — متابعة.</t>
        </is>
      </c>
      <c r="K62" s="11" t="inlineStr">
        <is>
          <t>متابعة أسبوعية لإغلاق الفجوة.</t>
        </is>
      </c>
      <c r="L62" s="15" t="inlineStr">
        <is>
          <t>المدير المالي</t>
        </is>
      </c>
      <c r="M62" s="51" t="n"/>
    </row>
    <row r="63">
      <c r="A63" s="15" t="n">
        <v>61</v>
      </c>
      <c r="B63" s="13" t="inlineStr">
        <is>
          <t>الامتياز التجاري</t>
        </is>
      </c>
      <c r="C63" s="21" t="inlineStr">
        <is>
          <t>عدد عقود الامتياز الجديدة الموقّعة</t>
        </is>
      </c>
      <c r="D63" s="49" t="n">
        <v>159.2</v>
      </c>
      <c r="E63" s="49" t="n">
        <v>167</v>
      </c>
      <c r="F63" s="50" t="n">
        <v>0.9532934131736527</v>
      </c>
      <c r="G63" s="12" t="n">
        <v>0.04670658682634732</v>
      </c>
      <c r="H63" s="49" t="n">
        <v>318.4</v>
      </c>
      <c r="I63" s="15" t="inlineStr">
        <is>
          <t>🟡 قريب</t>
        </is>
      </c>
      <c r="J63" s="11" t="inlineStr">
        <is>
          <t>فجوة محدودة — متابعة.</t>
        </is>
      </c>
      <c r="K63" s="11" t="inlineStr">
        <is>
          <t>متابعة أسبوعية لإغلاق الفجوة.</t>
        </is>
      </c>
      <c r="L63" s="15" t="inlineStr">
        <is>
          <t>مدير الامتياز</t>
        </is>
      </c>
      <c r="M63" s="51" t="n"/>
    </row>
    <row r="64">
      <c r="A64" s="15" t="n">
        <v>62</v>
      </c>
      <c r="B64" s="13" t="inlineStr">
        <is>
          <t>الامتياز التجاري</t>
        </is>
      </c>
      <c r="C64" s="21" t="inlineStr">
        <is>
          <t>نسبة حل الشكاوى خلال المدة المحددة</t>
        </is>
      </c>
      <c r="D64" s="49" t="n">
        <v>0.922</v>
      </c>
      <c r="E64" s="49" t="n">
        <v>0.95</v>
      </c>
      <c r="F64" s="50" t="n">
        <v>0.9705263157894738</v>
      </c>
      <c r="G64" s="12" t="n">
        <v>0.02947368421052621</v>
      </c>
      <c r="H64" s="49" t="n">
        <v>0.922</v>
      </c>
      <c r="I64" s="15" t="inlineStr">
        <is>
          <t>🟡 قريب</t>
        </is>
      </c>
      <c r="J64" s="11" t="inlineStr">
        <is>
          <t>فجوة محدودة — متابعة.</t>
        </is>
      </c>
      <c r="K64" s="11" t="inlineStr">
        <is>
          <t>متابعة أسبوعية لإغلاق الفجوة.</t>
        </is>
      </c>
      <c r="L64" s="15" t="inlineStr">
        <is>
          <t>مدير الامتياز</t>
        </is>
      </c>
      <c r="M64" s="51" t="n"/>
    </row>
    <row r="65">
      <c r="A65" s="15" t="n">
        <v>63</v>
      </c>
      <c r="B65" s="13" t="inlineStr">
        <is>
          <t>الإدارة التنفيذية</t>
        </is>
      </c>
      <c r="C65" s="21" t="inlineStr">
        <is>
          <t>إجمالي العقود الجديدة — الشركة</t>
        </is>
      </c>
      <c r="D65" s="49" t="n">
        <v>346.6</v>
      </c>
      <c r="E65" s="49" t="n">
        <v>357</v>
      </c>
      <c r="F65" s="50" t="n">
        <v>0.9708683473389357</v>
      </c>
      <c r="G65" s="12" t="n">
        <v>0.02913165266106432</v>
      </c>
      <c r="H65" s="49" t="n">
        <v>693.2</v>
      </c>
      <c r="I65" s="15" t="inlineStr">
        <is>
          <t>🟡 قريب</t>
        </is>
      </c>
      <c r="J65" s="11" t="inlineStr">
        <is>
          <t>فجوة محدودة — متابعة.</t>
        </is>
      </c>
      <c r="K65" s="11" t="inlineStr">
        <is>
          <t>متابعة أسبوعية لإغلاق الفجوة.</t>
        </is>
      </c>
      <c r="L65" s="15" t="inlineStr">
        <is>
          <t>الرئيس التنفيذي</t>
        </is>
      </c>
      <c r="M65" s="51" t="n"/>
    </row>
    <row r="66">
      <c r="A66" s="15" t="n">
        <v>64</v>
      </c>
      <c r="B66" s="13" t="inlineStr">
        <is>
          <t>الإدارة المالية</t>
        </is>
      </c>
      <c r="C66" s="21" t="inlineStr">
        <is>
          <t>اكتمال مطابقة حسابات الموردين</t>
        </is>
      </c>
      <c r="D66" s="49" t="n">
        <v>0.926</v>
      </c>
      <c r="E66" s="49" t="n">
        <v>0.95</v>
      </c>
      <c r="F66" s="50" t="n">
        <v>0.9747368421052632</v>
      </c>
      <c r="G66" s="12" t="n">
        <v>0.02526315789473677</v>
      </c>
      <c r="H66" s="49" t="n">
        <v>0.926</v>
      </c>
      <c r="I66" s="15" t="inlineStr">
        <is>
          <t>🟡 قريب</t>
        </is>
      </c>
      <c r="J66" s="11" t="inlineStr">
        <is>
          <t>فجوة محدودة — متابعة.</t>
        </is>
      </c>
      <c r="K66" s="11" t="inlineStr">
        <is>
          <t>متابعة أسبوعية لإغلاق الفجوة.</t>
        </is>
      </c>
      <c r="L66" s="15" t="inlineStr">
        <is>
          <t>المدير المالي</t>
        </is>
      </c>
      <c r="M66" s="51" t="n"/>
    </row>
    <row r="67">
      <c r="A67" s="15" t="n">
        <v>65</v>
      </c>
      <c r="B67" s="13" t="inlineStr">
        <is>
          <t>سلاسل الإمداد</t>
        </is>
      </c>
      <c r="C67" s="21" t="inlineStr">
        <is>
          <t>نسبة نقليات أسطول درب</t>
        </is>
      </c>
      <c r="D67" s="49" t="n">
        <v>0.293</v>
      </c>
      <c r="E67" s="49" t="n">
        <v>0.3</v>
      </c>
      <c r="F67" s="50" t="n">
        <v>0.9766666666666667</v>
      </c>
      <c r="G67" s="12" t="n">
        <v>0.02333333333333332</v>
      </c>
      <c r="H67" s="49" t="n">
        <v>0.293</v>
      </c>
      <c r="I67" s="15" t="inlineStr">
        <is>
          <t>🟡 قريب</t>
        </is>
      </c>
      <c r="J67" s="11" t="inlineStr">
        <is>
          <t>فجوة محدودة — متابعة.</t>
        </is>
      </c>
      <c r="K67" s="11" t="inlineStr">
        <is>
          <t>متابعة أسبوعية لإغلاق الفجوة.</t>
        </is>
      </c>
      <c r="L67" s="15" t="inlineStr">
        <is>
          <t>مدير سلاسل الإمداد</t>
        </is>
      </c>
      <c r="M67" s="51" t="n"/>
    </row>
    <row r="68">
      <c r="A68" s="15" t="n">
        <v>66</v>
      </c>
      <c r="B68" s="13" t="inlineStr">
        <is>
          <t>التشغيل والمحطات</t>
        </is>
      </c>
      <c r="C68" s="21" t="inlineStr">
        <is>
          <t>تطبيق المعيار الشامل في المحطات</t>
        </is>
      </c>
      <c r="D68" s="49" t="n">
        <v>0.787</v>
      </c>
      <c r="E68" s="49" t="n">
        <v>0.8</v>
      </c>
      <c r="F68" s="50" t="n">
        <v>0.98375</v>
      </c>
      <c r="G68" s="12" t="n">
        <v>0.01624999999999999</v>
      </c>
      <c r="H68" s="49" t="n">
        <v>0.787</v>
      </c>
      <c r="I68" s="15" t="inlineStr">
        <is>
          <t>🟡 قريب</t>
        </is>
      </c>
      <c r="J68" s="11" t="inlineStr">
        <is>
          <t>فجوة محدودة — متابعة.</t>
        </is>
      </c>
      <c r="K68" s="11" t="inlineStr">
        <is>
          <t>متابعة أسبوعية لإغلاق الفجوة.</t>
        </is>
      </c>
      <c r="L68" s="15" t="inlineStr">
        <is>
          <t>مدير التشغيل</t>
        </is>
      </c>
      <c r="M68" s="51" t="n"/>
    </row>
    <row r="69">
      <c r="A69" s="15" t="n">
        <v>67</v>
      </c>
      <c r="B69" s="13" t="inlineStr">
        <is>
          <t>التقنية الرقمية</t>
        </is>
      </c>
      <c r="C69" s="21" t="inlineStr">
        <is>
          <t>نسبة إنجاز مشاريع التحول الرقمي والمشاريع التقنية حسب الخطة</t>
        </is>
      </c>
      <c r="D69" s="49" t="n">
        <v>0.89</v>
      </c>
      <c r="E69" s="49" t="n">
        <v>0.9</v>
      </c>
      <c r="F69" s="50" t="n">
        <v>0.9888888888888889</v>
      </c>
      <c r="G69" s="12" t="n">
        <v>0.01111111111111107</v>
      </c>
      <c r="H69" s="49" t="n">
        <v>0.89</v>
      </c>
      <c r="I69" s="15" t="inlineStr">
        <is>
          <t>🟡 قريب</t>
        </is>
      </c>
      <c r="J69" s="11" t="inlineStr">
        <is>
          <t>فجوة محدودة — متابعة.</t>
        </is>
      </c>
      <c r="K69" s="11" t="inlineStr">
        <is>
          <t>متابعة أسبوعية لإغلاق الفجوة.</t>
        </is>
      </c>
      <c r="L69" s="15" t="inlineStr">
        <is>
          <t>مدير التقنية</t>
        </is>
      </c>
      <c r="M69" s="51" t="n"/>
    </row>
    <row r="70">
      <c r="A70" s="15" t="n">
        <v>68</v>
      </c>
      <c r="B70" s="13" t="inlineStr">
        <is>
          <t>الإدارة المالية</t>
        </is>
      </c>
      <c r="C70" s="21" t="inlineStr">
        <is>
          <t>انحراف الموازنة</t>
        </is>
      </c>
      <c r="D70" s="49" t="n">
        <v>0.101</v>
      </c>
      <c r="E70" s="49" t="n">
        <v>0.1</v>
      </c>
      <c r="F70" s="50" t="n">
        <v>0.9900990099009901</v>
      </c>
      <c r="G70" s="12" t="n">
        <v>0.00990099009900991</v>
      </c>
      <c r="H70" s="49" t="n">
        <v>0.101</v>
      </c>
      <c r="I70" s="15" t="inlineStr">
        <is>
          <t>🟡 قريب</t>
        </is>
      </c>
      <c r="J70" s="11" t="inlineStr">
        <is>
          <t>فجوة محدودة — متابعة.</t>
        </is>
      </c>
      <c r="K70" s="11" t="inlineStr">
        <is>
          <t>متابعة أسبوعية لإغلاق الفجوة.</t>
        </is>
      </c>
      <c r="L70" s="15" t="inlineStr">
        <is>
          <t>المدير المالي</t>
        </is>
      </c>
      <c r="M70" s="51" t="n"/>
    </row>
    <row r="71">
      <c r="A71" s="15" t="n">
        <v>69</v>
      </c>
      <c r="B71" s="13" t="inlineStr">
        <is>
          <t>الامتياز التجاري</t>
        </is>
      </c>
      <c r="C71" s="21" t="inlineStr">
        <is>
          <t>نسبة تطبيق المعيار الشامل داخل المحطات</t>
        </is>
      </c>
      <c r="D71" s="49" t="n">
        <v>0.299</v>
      </c>
      <c r="E71" s="49" t="n">
        <v>0.3</v>
      </c>
      <c r="F71" s="50" t="n">
        <v>0.9966666666666667</v>
      </c>
      <c r="G71" s="12" t="n">
        <v>0.003333333333333299</v>
      </c>
      <c r="H71" s="49" t="n">
        <v>0.299</v>
      </c>
      <c r="I71" s="15" t="inlineStr">
        <is>
          <t>🟡 قريب</t>
        </is>
      </c>
      <c r="J71" s="11" t="inlineStr">
        <is>
          <t>فجوة محدودة — متابعة.</t>
        </is>
      </c>
      <c r="K71" s="11" t="inlineStr">
        <is>
          <t>متابعة أسبوعية لإغلاق الفجوة.</t>
        </is>
      </c>
      <c r="L71" s="15" t="inlineStr">
        <is>
          <t>مدير الامتياز</t>
        </is>
      </c>
      <c r="M71" s="51" t="n"/>
    </row>
  </sheetData>
  <autoFilter ref="A2:M71"/>
  <mergeCells count="1"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118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48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2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3" t="inlineStr">
        <is>
          <t>#</t>
        </is>
      </c>
      <c r="B3" s="53" t="inlineStr">
        <is>
          <t>الإدارة</t>
        </is>
      </c>
      <c r="C3" s="53" t="inlineStr">
        <is>
          <t>المؤشر</t>
        </is>
      </c>
      <c r="D3" s="53" t="inlineStr">
        <is>
          <t>الدورية</t>
        </is>
      </c>
      <c r="E3" s="53" t="inlineStr">
        <is>
          <t>التجميع</t>
        </is>
      </c>
      <c r="F3" s="53" t="inlineStr">
        <is>
          <t>القطبية</t>
        </is>
      </c>
      <c r="G3" s="53" t="inlineStr">
        <is>
          <t>المستهدف</t>
        </is>
      </c>
      <c r="H3" s="53" t="inlineStr">
        <is>
          <t>يناير</t>
        </is>
      </c>
      <c r="I3" s="53" t="inlineStr">
        <is>
          <t>فبراير</t>
        </is>
      </c>
      <c r="J3" s="53" t="inlineStr">
        <is>
          <t>مارس</t>
        </is>
      </c>
      <c r="K3" s="53" t="inlineStr">
        <is>
          <t>أبريل</t>
        </is>
      </c>
      <c r="L3" s="53" t="inlineStr">
        <is>
          <t>مايو</t>
        </is>
      </c>
      <c r="M3" s="53" t="inlineStr">
        <is>
          <t>يونيو</t>
        </is>
      </c>
      <c r="N3" s="53" t="inlineStr">
        <is>
          <t>يوليو</t>
        </is>
      </c>
      <c r="O3" s="53" t="inlineStr">
        <is>
          <t>أغسطس</t>
        </is>
      </c>
      <c r="P3" s="53" t="inlineStr">
        <is>
          <t>سبتمبر</t>
        </is>
      </c>
      <c r="Q3" s="53" t="inlineStr">
        <is>
          <t>أكتوبر</t>
        </is>
      </c>
      <c r="R3" s="53" t="inlineStr">
        <is>
          <t>نوفمبر</t>
        </is>
      </c>
      <c r="S3" s="53" t="inlineStr">
        <is>
          <t>ديسمبر</t>
        </is>
      </c>
      <c r="T3" s="53" t="inlineStr">
        <is>
          <t>المُحقَّق (تراكمي)</t>
        </is>
      </c>
      <c r="U3" s="53" t="inlineStr">
        <is>
          <t>نسبة التحقيق</t>
        </is>
      </c>
      <c r="V3" s="53" t="inlineStr">
        <is>
          <t>الحالة</t>
        </is>
      </c>
      <c r="W3" s="53" t="inlineStr">
        <is>
          <t>المتوقّع حتى الآن</t>
        </is>
      </c>
      <c r="X3" s="53" t="inlineStr">
        <is>
          <t>الوتيرة</t>
        </is>
      </c>
    </row>
    <row r="4" ht="22" customHeight="1">
      <c r="A4" s="54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49" t="inlineStr">
        <is>
          <t>↑</t>
        </is>
      </c>
      <c r="G4" s="55" t="n">
        <v>235</v>
      </c>
      <c r="H4" s="56" t="n"/>
      <c r="I4" s="56" t="n"/>
      <c r="J4" s="56" t="n"/>
      <c r="K4" s="56" t="n"/>
      <c r="L4" s="56" t="n"/>
      <c r="M4" s="56" t="n"/>
      <c r="N4" s="56" t="n"/>
      <c r="O4" s="56" t="n"/>
      <c r="P4" s="56" t="n"/>
      <c r="Q4" s="56" t="n"/>
      <c r="R4" s="56" t="n"/>
      <c r="S4" s="56" t="n"/>
      <c r="T4" s="57">
        <f>IFERROR(LOOKUP(2,1/($H4:$S4&lt;&gt;""),$H4:$S4),"")</f>
        <v/>
      </c>
      <c r="U4" s="50">
        <f>IF($G4="","",IF($T4="","",MIN(1,IF($G4=0,IF($T4&lt;=0,1,0),IF($F4="↓",IFERROR($G4/$T4,0),IFERROR($T4/$G4,0))))))</f>
        <v/>
      </c>
      <c r="V4" s="54">
        <f>IF($U4="","⏳ بانتظار هدف",IF($U4&gt;=1.0,"✅ محقق",IF($U4&gt;=0.85,"🟡 قريب","🔴 تحت الهدف")))</f>
        <v/>
      </c>
      <c r="W4" s="58">
        <f>IF($G4="","",$G4)</f>
        <v/>
      </c>
      <c r="X4" s="54">
        <f>IF($U4="","—",IF($U4&gt;=0.85,"🟢 على المسار","🟠 متأخّر"))</f>
        <v/>
      </c>
    </row>
    <row r="5" ht="22" customHeight="1">
      <c r="A5" s="54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49" t="inlineStr">
        <is>
          <t>↑</t>
        </is>
      </c>
      <c r="G5" s="55" t="n">
        <v>357</v>
      </c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7">
        <f>IF(COUNT($H5:$S5)=0,"",SUM($H5:$S5))</f>
        <v/>
      </c>
      <c r="U5" s="50">
        <f>IF($G5="","",IF($T5="","",MIN(1,IF($G5=0,IF($T5&lt;=0,1,0),IF($F5="↓",IFERROR($G5/$T5,0),IFERROR($T5/$G5,0))))))</f>
        <v/>
      </c>
      <c r="V5" s="54">
        <f>IF($U5="","⏳ بانتظار هدف",IF($U5&gt;=1.0,"✅ محقق",IF($U5&gt;=0.85,"🟡 قريب","🔴 تحت الهدف")))</f>
        <v/>
      </c>
      <c r="W5" s="58">
        <f>IF($G5="","",$G5*COUNT($H5:$S5)/12)</f>
        <v/>
      </c>
      <c r="X5" s="54">
        <f>IF($U5="","—",IF($U5&gt;=COUNT($H5:$S5)/12,"🟢 على المسار","🟠 متأخّر"))</f>
        <v/>
      </c>
    </row>
    <row r="6" ht="22" customHeight="1">
      <c r="A6" s="54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49" t="inlineStr">
        <is>
          <t>↑</t>
        </is>
      </c>
      <c r="G6" s="59" t="n">
        <v>0.15</v>
      </c>
      <c r="H6" s="60" t="n"/>
      <c r="I6" s="6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50">
        <f>IF(COUNT($H6:$S6)=0,"",SUM($H6:$S6)/COUNT($H6:$S6))</f>
        <v/>
      </c>
      <c r="U6" s="50">
        <f>IF($G6="","",IF($T6="","",MIN(1,IF($G6=0,IF($T6&lt;=0,1,0),IF($F6="↓",IFERROR($G6/$T6,0),IFERROR($T6/$G6,0))))))</f>
        <v/>
      </c>
      <c r="V6" s="54">
        <f>IF($U6="","⏳ بانتظار هدف",IF($U6&gt;=1.0,"✅ محقق",IF($U6&gt;=0.85,"🟡 قريب","🔴 تحت الهدف")))</f>
        <v/>
      </c>
      <c r="W6" s="61">
        <f>IF($G6="","",$G6)</f>
        <v/>
      </c>
      <c r="X6" s="54">
        <f>IF($U6="","—",IF($U6&gt;=0.85,"🟢 على المسار","🟠 متأخّر"))</f>
        <v/>
      </c>
    </row>
    <row r="7" ht="22" customHeight="1">
      <c r="A7" s="54" t="n">
        <v>4</v>
      </c>
      <c r="B7" s="13" t="inlineStr">
        <is>
          <t>الإدارة التنفيذية</t>
        </is>
      </c>
      <c r="C7" s="11" t="inlineStr">
        <is>
          <t>نسبة إنجاز مشاريع الخارطة التنفيذية</t>
        </is>
      </c>
      <c r="D7" s="15" t="inlineStr">
        <is>
          <t>شهري</t>
        </is>
      </c>
      <c r="E7" s="15" t="inlineStr">
        <is>
          <t>لقطة</t>
        </is>
      </c>
      <c r="F7" s="49" t="inlineStr">
        <is>
          <t>↑</t>
        </is>
      </c>
      <c r="G7" s="59" t="n">
        <v>1</v>
      </c>
      <c r="H7" s="60" t="n"/>
      <c r="I7" s="60" t="n"/>
      <c r="J7" s="60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50">
        <f>IFERROR(LOOKUP(2,1/($H7:$S7&lt;&gt;""),$H7:$S7),"")</f>
        <v/>
      </c>
      <c r="U7" s="50">
        <f>IF($G7="","",IF($T7="","",MIN(1,IF($G7=0,IF($T7&lt;=0,1,0),IF($F7="↓",IFERROR($G7/$T7,0),IFERROR($T7/$G7,0))))))</f>
        <v/>
      </c>
      <c r="V7" s="54">
        <f>IF($U7="","⏳ بانتظار هدف",IF($U7&gt;=1.0,"✅ محقق",IF($U7&gt;=0.85,"🟡 قريب","🔴 تحت الهدف")))</f>
        <v/>
      </c>
      <c r="W7" s="61">
        <f>IF($G7="","",$G7)</f>
        <v/>
      </c>
      <c r="X7" s="54">
        <f>IF($U7="","—",IF($U7&gt;=0.85,"🟢 على المسار","🟠 متأخّر"))</f>
        <v/>
      </c>
    </row>
    <row r="8" ht="22" customHeight="1">
      <c r="A8" s="54" t="n">
        <v>5</v>
      </c>
      <c r="B8" s="13" t="inlineStr">
        <is>
          <t>الإدارة التنفيذية</t>
        </is>
      </c>
      <c r="C8" s="11" t="inlineStr">
        <is>
          <t>نسبة التحول الرقمي على مستوى الشركة</t>
        </is>
      </c>
      <c r="D8" s="15" t="inlineStr">
        <is>
          <t>شهري</t>
        </is>
      </c>
      <c r="E8" s="15" t="inlineStr">
        <is>
          <t>لقطة</t>
        </is>
      </c>
      <c r="F8" s="49" t="inlineStr">
        <is>
          <t>↑</t>
        </is>
      </c>
      <c r="G8" s="59" t="n">
        <v>0.9</v>
      </c>
      <c r="H8" s="60" t="n"/>
      <c r="I8" s="60" t="n"/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  <c r="T8" s="50">
        <f>IFERROR(LOOKUP(2,1/($H8:$S8&lt;&gt;""),$H8:$S8),"")</f>
        <v/>
      </c>
      <c r="U8" s="50">
        <f>IF($G8="","",IF($T8="","",MIN(1,IF($G8=0,IF($T8&lt;=0,1,0),IF($F8="↓",IFERROR($G8/$T8,0),IFERROR($T8/$G8,0))))))</f>
        <v/>
      </c>
      <c r="V8" s="54">
        <f>IF($U8="","⏳ بانتظار هدف",IF($U8&gt;=1.0,"✅ محقق",IF($U8&gt;=0.85,"🟡 قريب","🔴 تحت الهدف")))</f>
        <v/>
      </c>
      <c r="W8" s="61">
        <f>IF($G8="","",$G8)</f>
        <v/>
      </c>
      <c r="X8" s="54">
        <f>IF($U8="","—",IF($U8&gt;=0.85,"🟢 على المسار","🟠 متأخّر"))</f>
        <v/>
      </c>
    </row>
    <row r="9" ht="22" customHeight="1">
      <c r="A9" s="54" t="n">
        <v>6</v>
      </c>
      <c r="B9" s="13" t="inlineStr">
        <is>
          <t>الإدارة التنفيذية</t>
        </is>
      </c>
      <c r="C9" s="11" t="inlineStr">
        <is>
          <t>مؤشر رضا العملاء العام (الشركة)</t>
        </is>
      </c>
      <c r="D9" s="15" t="inlineStr">
        <is>
          <t>ربعي</t>
        </is>
      </c>
      <c r="E9" s="15" t="inlineStr">
        <is>
          <t>معدل</t>
        </is>
      </c>
      <c r="F9" s="49" t="inlineStr">
        <is>
          <t>↑</t>
        </is>
      </c>
      <c r="G9" s="59" t="n">
        <v>0.9</v>
      </c>
      <c r="H9" s="60" t="n"/>
      <c r="I9" s="60" t="n"/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  <c r="T9" s="50">
        <f>IF(COUNT($H9:$S9)=0,"",SUM($H9:$S9)/COUNT($H9:$S9))</f>
        <v/>
      </c>
      <c r="U9" s="50">
        <f>IF($G9="","",IF($T9="","",MIN(1,IF($G9=0,IF($T9&lt;=0,1,0),IF($F9="↓",IFERROR($G9/$T9,0),IFERROR($T9/$G9,0))))))</f>
        <v/>
      </c>
      <c r="V9" s="54">
        <f>IF($U9="","⏳ بانتظار هدف",IF($U9&gt;=0.9,"✅ محقق",IF($U9&gt;=0.75,"🟡 قريب","🔴 تحت الهدف")))</f>
        <v/>
      </c>
      <c r="W9" s="61">
        <f>IF($G9="","",$G9)</f>
        <v/>
      </c>
      <c r="X9" s="54">
        <f>IF($U9="","—",IF($U9&gt;=0.75,"🟢 على المسار","🟠 متأخّر"))</f>
        <v/>
      </c>
    </row>
    <row r="10" ht="22" customHeight="1">
      <c r="A10" s="54" t="n">
        <v>7</v>
      </c>
      <c r="B10" s="13" t="inlineStr">
        <is>
          <t>الإدارة التنفيذية</t>
        </is>
      </c>
      <c r="C10" s="11" t="inlineStr">
        <is>
          <t>مؤشر رضا الموظفين العام (eNPS)</t>
        </is>
      </c>
      <c r="D10" s="15" t="inlineStr">
        <is>
          <t>ربعي</t>
        </is>
      </c>
      <c r="E10" s="15" t="inlineStr">
        <is>
          <t>معدل</t>
        </is>
      </c>
      <c r="F10" s="49" t="inlineStr">
        <is>
          <t>↑</t>
        </is>
      </c>
      <c r="G10" s="62" t="n">
        <v>30</v>
      </c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4">
        <f>IF(COUNT($H10:$S10)=0,"",SUM($H10:$S10)/COUNT($H10:$S10))</f>
        <v/>
      </c>
      <c r="U10" s="50">
        <f>IF($G10="","",IF($T10="","",MIN(1,IF($G10=0,IF($T10&lt;=0,1,0),IF($F10="↓",IFERROR($G10/$T10,0),IFERROR($T10/$G10,0))))))</f>
        <v/>
      </c>
      <c r="V10" s="54">
        <f>IF($U10="","⏳ بانتظار هدف",IF($U10&gt;=0.9,"✅ محقق",IF($U10&gt;=0.75,"🟡 قريب","🔴 تحت الهدف")))</f>
        <v/>
      </c>
      <c r="W10" s="65">
        <f>IF($G10="","",$G10)</f>
        <v/>
      </c>
      <c r="X10" s="54">
        <f>IF($U10="","—",IF($U10&gt;=0.75,"🟢 على المسار","🟠 متأخّر"))</f>
        <v/>
      </c>
    </row>
    <row r="11" ht="22" customHeight="1">
      <c r="A11" s="54" t="n">
        <v>8</v>
      </c>
      <c r="B11" s="13" t="inlineStr">
        <is>
          <t>الإدارة التنفيذية</t>
        </is>
      </c>
      <c r="C11" s="11" t="inlineStr">
        <is>
          <t>نسبة تحقيق المستهدفات الاستراتيجية العامة</t>
        </is>
      </c>
      <c r="D11" s="15" t="inlineStr">
        <is>
          <t>شهري</t>
        </is>
      </c>
      <c r="E11" s="15" t="inlineStr">
        <is>
          <t>معدل</t>
        </is>
      </c>
      <c r="F11" s="49" t="inlineStr">
        <is>
          <t>↑</t>
        </is>
      </c>
      <c r="G11" s="59" t="n">
        <v>1</v>
      </c>
      <c r="H11" s="60" t="n"/>
      <c r="I11" s="60" t="n"/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  <c r="T11" s="50">
        <f>IF(COUNT($H11:$S11)=0,"",SUM($H11:$S11)/COUNT($H11:$S11))</f>
        <v/>
      </c>
      <c r="U11" s="50">
        <f>IF($G11="","",IF($T11="","",MIN(1,IF($G11=0,IF($T11&lt;=0,1,0),IF($F11="↓",IFERROR($G11/$T11,0),IFERROR($T11/$G11,0))))))</f>
        <v/>
      </c>
      <c r="V11" s="54">
        <f>IF($U11="","⏳ بانتظار هدف",IF($U11&gt;=1.0,"✅ محقق",IF($U11&gt;=0.85,"🟡 قريب","🔴 تحت الهدف")))</f>
        <v/>
      </c>
      <c r="W11" s="61">
        <f>IF($G11="","",$G11)</f>
        <v/>
      </c>
      <c r="X11" s="54">
        <f>IF($U11="","—",IF($U11&gt;=0.85,"🟢 على المسار","🟠 متأخّر"))</f>
        <v/>
      </c>
    </row>
    <row r="12" ht="22" customHeight="1">
      <c r="A12" s="54" t="n">
        <v>9</v>
      </c>
      <c r="B12" s="13" t="inlineStr">
        <is>
          <t>الإدارة التنفيذية</t>
        </is>
      </c>
      <c r="C12" s="11" t="inlineStr">
        <is>
          <t>نسبة الالتزام بإطار الحوكمة المؤسسية والامتثال التنظيمي</t>
        </is>
      </c>
      <c r="D12" s="15" t="inlineStr">
        <is>
          <t>شهري</t>
        </is>
      </c>
      <c r="E12" s="15" t="inlineStr">
        <is>
          <t>معدل</t>
        </is>
      </c>
      <c r="F12" s="49" t="inlineStr">
        <is>
          <t>↑</t>
        </is>
      </c>
      <c r="G12" s="59" t="n">
        <v>0.95</v>
      </c>
      <c r="H12" s="60" t="n"/>
      <c r="I12" s="60" t="n"/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  <c r="T12" s="50">
        <f>IF(COUNT($H12:$S12)=0,"",SUM($H12:$S12)/COUNT($H12:$S12))</f>
        <v/>
      </c>
      <c r="U12" s="50">
        <f>IF($G12="","",IF($T12="","",MIN(1,IF($G12=0,IF($T12&lt;=0,1,0),IF($F12="↓",IFERROR($G12/$T12,0),IFERROR($T12/$G12,0))))))</f>
        <v/>
      </c>
      <c r="V12" s="54">
        <f>IF($U12="","⏳ بانتظار هدف",IF($U12&gt;=1.0,"✅ محقق",IF($U12&gt;=0.97,"🟡 قريب","🔴 تحت الهدف")))</f>
        <v/>
      </c>
      <c r="W12" s="61">
        <f>IF($G12="","",$G12)</f>
        <v/>
      </c>
      <c r="X12" s="54">
        <f>IF($U12="","—",IF($U12&gt;=0.97,"🟢 على المسار","🟠 متأخّر"))</f>
        <v/>
      </c>
    </row>
    <row r="13" ht="22" customHeight="1">
      <c r="A13" s="54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49" t="inlineStr">
        <is>
          <t>↑</t>
        </is>
      </c>
      <c r="G13" s="59" t="n">
        <v>1</v>
      </c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50">
        <f>IFERROR(LOOKUP(2,1/($H13:$S13&lt;&gt;""),$H13:$S13),"")</f>
        <v/>
      </c>
      <c r="U13" s="50">
        <f>IF($G13="","",IF($T13="","",MIN(1,IF($G13=0,IF($T13&lt;=0,1,0),IF($F13="↓",IFERROR($G13/$T13,0),IFERROR($T13/$G13,0))))))</f>
        <v/>
      </c>
      <c r="V13" s="54">
        <f>IF($U13="","⏳ بانتظار هدف",IF($U13&gt;=1.0,"✅ محقق",IF($U13&gt;=0.85,"🟡 قريب","🔴 تحت الهدف")))</f>
        <v/>
      </c>
      <c r="W13" s="61">
        <f>IF($G13="","",$G13)</f>
        <v/>
      </c>
      <c r="X13" s="54">
        <f>IF($U13="","—",IF($U13&gt;=0.85,"🟢 على المسار","🟠 متأخّر"))</f>
        <v/>
      </c>
    </row>
    <row r="14" ht="22" customHeight="1">
      <c r="A14" s="54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49" t="inlineStr">
        <is>
          <t>↑</t>
        </is>
      </c>
      <c r="G14" s="55" t="n">
        <v>150</v>
      </c>
      <c r="H14" s="56" t="n"/>
      <c r="I14" s="56" t="n"/>
      <c r="J14" s="56" t="n"/>
      <c r="K14" s="56" t="n"/>
      <c r="L14" s="56" t="n"/>
      <c r="M14" s="56" t="n"/>
      <c r="N14" s="56" t="n"/>
      <c r="O14" s="56" t="n"/>
      <c r="P14" s="56" t="n"/>
      <c r="Q14" s="56" t="n"/>
      <c r="R14" s="56" t="n"/>
      <c r="S14" s="56" t="n"/>
      <c r="T14" s="57">
        <f>IFERROR(LOOKUP(2,1/($H14:$S14&lt;&gt;""),$H14:$S14),"")</f>
        <v/>
      </c>
      <c r="U14" s="50">
        <f>IF($G14="","",IF($T14="","",MIN(1,IF($G14=0,IF($T14&lt;=0,1,0),IF($F14="↓",IFERROR($G14/$T14,0),IFERROR($T14/$G14,0))))))</f>
        <v/>
      </c>
      <c r="V14" s="54">
        <f>IF($U14="","⏳ بانتظار هدف",IF($U14&gt;=1.0,"✅ محقق",IF($U14&gt;=0.85,"🟡 قريب","🔴 تحت الهدف")))</f>
        <v/>
      </c>
      <c r="W14" s="58">
        <f>IF($G14="","",$G14)</f>
        <v/>
      </c>
      <c r="X14" s="54">
        <f>IF($U14="","—",IF($U14&gt;=0.85,"🟢 على المسار","🟠 متأخّر"))</f>
        <v/>
      </c>
    </row>
    <row r="15" ht="22" customHeight="1">
      <c r="A15" s="54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49" t="inlineStr">
        <is>
          <t>↑</t>
        </is>
      </c>
      <c r="G15" s="55" t="n">
        <v>167</v>
      </c>
      <c r="H15" s="56" t="n"/>
      <c r="I15" s="56" t="n"/>
      <c r="J15" s="56" t="n"/>
      <c r="K15" s="56" t="n"/>
      <c r="L15" s="56" t="n"/>
      <c r="M15" s="56" t="n"/>
      <c r="N15" s="56" t="n"/>
      <c r="O15" s="56" t="n"/>
      <c r="P15" s="56" t="n"/>
      <c r="Q15" s="56" t="n"/>
      <c r="R15" s="56" t="n"/>
      <c r="S15" s="56" t="n"/>
      <c r="T15" s="57">
        <f>IF(COUNT($H15:$S15)=0,"",SUM($H15:$S15))</f>
        <v/>
      </c>
      <c r="U15" s="50">
        <f>IF($G15="","",IF($T15="","",MIN(1,IF($G15=0,IF($T15&lt;=0,1,0),IF($F15="↓",IFERROR($G15/$T15,0),IFERROR($T15/$G15,0))))))</f>
        <v/>
      </c>
      <c r="V15" s="54">
        <f>IF($U15="","⏳ بانتظار هدف",IF($U15&gt;=1.0,"✅ محقق",IF($U15&gt;=0.85,"🟡 قريب","🔴 تحت الهدف")))</f>
        <v/>
      </c>
      <c r="W15" s="58">
        <f>IF($G15="","",$G15*COUNT($H15:$S15)/12)</f>
        <v/>
      </c>
      <c r="X15" s="54">
        <f>IF($U15="","—",IF($U15&gt;=COUNT($H15:$S15)/12,"🟢 على المسار","🟠 متأخّر"))</f>
        <v/>
      </c>
    </row>
    <row r="16" ht="22" customHeight="1">
      <c r="A16" s="54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49" t="inlineStr">
        <is>
          <t>↑</t>
        </is>
      </c>
      <c r="G16" s="55" t="n">
        <v>718838077</v>
      </c>
      <c r="H16" s="56" t="n"/>
      <c r="I16" s="56" t="n"/>
      <c r="J16" s="56" t="n"/>
      <c r="K16" s="56" t="n"/>
      <c r="L16" s="56" t="n"/>
      <c r="M16" s="56" t="n"/>
      <c r="N16" s="56" t="n"/>
      <c r="O16" s="56" t="n"/>
      <c r="P16" s="56" t="n"/>
      <c r="Q16" s="56" t="n"/>
      <c r="R16" s="56" t="n"/>
      <c r="S16" s="56" t="n"/>
      <c r="T16" s="57">
        <f>IF(COUNT($H16:$S16)=0,"",SUM($H16:$S16))</f>
        <v/>
      </c>
      <c r="U16" s="50">
        <f>IF($G16="","",IF($T16="","",MIN(1,IF($G16=0,IF($T16&lt;=0,1,0),IF($F16="↓",IFERROR($G16/$T16,0),IFERROR($T16/$G16,0))))))</f>
        <v/>
      </c>
      <c r="V16" s="54">
        <f>IF($U16="","⏳ بانتظار هدف",IF($U16&gt;=1.0,"✅ محقق",IF($U16&gt;=0.85,"🟡 قريب","🔴 تحت الهدف")))</f>
        <v/>
      </c>
      <c r="W16" s="58">
        <f>IF($G16="","",$G16*COUNT($H16:$S16)/12)</f>
        <v/>
      </c>
      <c r="X16" s="54">
        <f>IF($U16="","—",IF($U16&gt;=COUNT($H16:$S16)/12,"🟢 على المسار","🟠 متأخّر"))</f>
        <v/>
      </c>
    </row>
    <row r="17" ht="22" customHeight="1">
      <c r="A17" s="54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49" t="inlineStr">
        <is>
          <t>↑</t>
        </is>
      </c>
      <c r="G17" s="59" t="n">
        <v>0.7</v>
      </c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50">
        <f>IF(COUNT($H17:$S17)=0,"",SUM($H17:$S17)/COUNT($H17:$S17))</f>
        <v/>
      </c>
      <c r="U17" s="50">
        <f>IF($G17="","",IF($T17="","",MIN(1,IF($G17=0,IF($T17&lt;=0,1,0),IF($F17="↓",IFERROR($G17/$T17,0),IFERROR($T17/$G17,0))))))</f>
        <v/>
      </c>
      <c r="V17" s="54">
        <f>IF($U17="","⏳ بانتظار هدف",IF($U17&gt;=1.0,"✅ محقق",IF($U17&gt;=0.85,"🟡 قريب","🔴 تحت الهدف")))</f>
        <v/>
      </c>
      <c r="W17" s="61">
        <f>IF($G17="","",$G17)</f>
        <v/>
      </c>
      <c r="X17" s="54">
        <f>IF($U17="","—",IF($U17&gt;=0.85,"🟢 على المسار","🟠 متأخّر"))</f>
        <v/>
      </c>
    </row>
    <row r="18" ht="22" customHeight="1">
      <c r="A18" s="54" t="n">
        <v>15</v>
      </c>
      <c r="B18" s="13" t="inlineStr">
        <is>
          <t>الامتياز التجاري</t>
        </is>
      </c>
      <c r="C18" s="11" t="inlineStr">
        <is>
          <t>إجمالي إيرادات إدارة الامتياز</t>
        </is>
      </c>
      <c r="D18" s="15" t="inlineStr">
        <is>
          <t>شهري</t>
        </is>
      </c>
      <c r="E18" s="15" t="inlineStr">
        <is>
          <t>تراكمي</t>
        </is>
      </c>
      <c r="F18" s="49" t="inlineStr">
        <is>
          <t>↑</t>
        </is>
      </c>
      <c r="G18" s="49" t="n"/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7">
        <f>IF(COUNT($H18:$S18)=0,"",SUM($H18:$S18))</f>
        <v/>
      </c>
      <c r="U18" s="50">
        <f>IF($G18="","",IF($T18="","",MIN(1,IF($G18=0,IF($T18&lt;=0,1,0),IF($F18="↓",IFERROR($G18/$T18,0),IFERROR($T18/$G18,0))))))</f>
        <v/>
      </c>
      <c r="V18" s="54">
        <f>IF($U18="","⏳ بانتظار هدف",IF($U18&gt;=1.0,"✅ محقق",IF($U18&gt;=0.85,"🟡 قريب","🔴 تحت الهدف")))</f>
        <v/>
      </c>
      <c r="W18" s="68">
        <f>IF($G18="","",$G18*COUNT($H18:$S18)/12)</f>
        <v/>
      </c>
      <c r="X18" s="54">
        <f>IF($U18="","—",IF($U18&gt;=COUNT($H18:$S18)/12,"🟢 على المسار","🟠 متأخّر"))</f>
        <v/>
      </c>
    </row>
    <row r="19" ht="22" customHeight="1">
      <c r="A19" s="54" t="n">
        <v>16</v>
      </c>
      <c r="B19" s="13" t="inlineStr">
        <is>
          <t>الامتياز التجاري</t>
        </is>
      </c>
      <c r="C19" s="11" t="inlineStr">
        <is>
          <t>رفع هامش الربحية للامتياز</t>
        </is>
      </c>
      <c r="D19" s="15" t="inlineStr">
        <is>
          <t>شهري</t>
        </is>
      </c>
      <c r="E19" s="15" t="inlineStr">
        <is>
          <t>معدل</t>
        </is>
      </c>
      <c r="F19" s="49" t="inlineStr">
        <is>
          <t>↑</t>
        </is>
      </c>
      <c r="G19" s="62" t="n">
        <v>1.8</v>
      </c>
      <c r="H19" s="63" t="n"/>
      <c r="I19" s="63" t="n"/>
      <c r="J19" s="63" t="n"/>
      <c r="K19" s="63" t="n"/>
      <c r="L19" s="63" t="n"/>
      <c r="M19" s="63" t="n"/>
      <c r="N19" s="63" t="n"/>
      <c r="O19" s="63" t="n"/>
      <c r="P19" s="63" t="n"/>
      <c r="Q19" s="63" t="n"/>
      <c r="R19" s="63" t="n"/>
      <c r="S19" s="63" t="n"/>
      <c r="T19" s="64">
        <f>IF(COUNT($H19:$S19)=0,"",SUM($H19:$S19)/COUNT($H19:$S19))</f>
        <v/>
      </c>
      <c r="U19" s="50">
        <f>IF($G19="","",IF($T19="","",MIN(1,IF($G19=0,IF($T19&lt;=0,1,0),IF($F19="↓",IFERROR($G19/$T19,0),IFERROR($T19/$G19,0))))))</f>
        <v/>
      </c>
      <c r="V19" s="54">
        <f>IF($U19="","⏳ بانتظار هدف",IF($U19&gt;=1.0,"✅ محقق",IF($U19&gt;=0.85,"🟡 قريب","🔴 تحت الهدف")))</f>
        <v/>
      </c>
      <c r="W19" s="65">
        <f>IF($G19="","",$G19)</f>
        <v/>
      </c>
      <c r="X19" s="54">
        <f>IF($U19="","—",IF($U19&gt;=0.85,"🟢 على المسار","🟠 متأخّر"))</f>
        <v/>
      </c>
    </row>
    <row r="20" ht="22" customHeight="1">
      <c r="A20" s="54" t="n">
        <v>17</v>
      </c>
      <c r="B20" s="13" t="inlineStr">
        <is>
          <t>الامتياز التجاري</t>
        </is>
      </c>
      <c r="C20" s="11" t="inlineStr">
        <is>
          <t>نسبة التحصيل المالي من شركاء الامتياز</t>
        </is>
      </c>
      <c r="D20" s="15" t="inlineStr">
        <is>
          <t>شهري</t>
        </is>
      </c>
      <c r="E20" s="15" t="inlineStr">
        <is>
          <t>معدل</t>
        </is>
      </c>
      <c r="F20" s="49" t="inlineStr">
        <is>
          <t>↑</t>
        </is>
      </c>
      <c r="G20" s="59" t="n">
        <v>0.95</v>
      </c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50">
        <f>IF(COUNT($H20:$S20)=0,"",SUM($H20:$S20)/COUNT($H20:$S20))</f>
        <v/>
      </c>
      <c r="U20" s="50">
        <f>IF($G20="","",IF($T20="","",MIN(1,IF($G20=0,IF($T20&lt;=0,1,0),IF($F20="↓",IFERROR($G20/$T20,0),IFERROR($T20/$G20,0))))))</f>
        <v/>
      </c>
      <c r="V20" s="54">
        <f>IF($U20="","⏳ بانتظار هدف",IF($U20&gt;=1.0,"✅ محقق",IF($U20&gt;=0.85,"🟡 قريب","🔴 تحت الهدف")))</f>
        <v/>
      </c>
      <c r="W20" s="61">
        <f>IF($G20="","",$G20)</f>
        <v/>
      </c>
      <c r="X20" s="54">
        <f>IF($U20="","—",IF($U20&gt;=0.85,"🟢 على المسار","🟠 متأخّر"))</f>
        <v/>
      </c>
    </row>
    <row r="21" ht="22" customHeight="1">
      <c r="A21" s="54" t="n">
        <v>18</v>
      </c>
      <c r="B21" s="13" t="inlineStr">
        <is>
          <t>الامتياز التجاري</t>
        </is>
      </c>
      <c r="C21" s="11" t="inlineStr">
        <is>
          <t>متوسط أيام تحصيل شركاء الامتياز (DSO)</t>
        </is>
      </c>
      <c r="D21" s="15" t="inlineStr">
        <is>
          <t>شهري</t>
        </is>
      </c>
      <c r="E21" s="15" t="inlineStr">
        <is>
          <t>معدل</t>
        </is>
      </c>
      <c r="F21" s="49" t="inlineStr">
        <is>
          <t>↓</t>
        </is>
      </c>
      <c r="G21" s="62" t="n">
        <v>30</v>
      </c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4">
        <f>IF(COUNT($H21:$S21)=0,"",SUM($H21:$S21)/COUNT($H21:$S21))</f>
        <v/>
      </c>
      <c r="U21" s="50">
        <f>IF($G21="","",IF($T21="","",MIN(1,IF($G21=0,IF($T21&lt;=0,1,0),IF($F21="↓",IFERROR($G21/$T21,0),IFERROR($T21/$G21,0))))))</f>
        <v/>
      </c>
      <c r="V21" s="54">
        <f>IF($U21="","⏳ بانتظار هدف",IF($U21&gt;=1.0,"✅ محقق",IF($U21&gt;=0.85,"🟡 قريب","🔴 تحت الهدف")))</f>
        <v/>
      </c>
      <c r="W21" s="65">
        <f>IF($G21="","",$G21)</f>
        <v/>
      </c>
      <c r="X21" s="54">
        <f>IF($U21="","—",IF($U21&gt;=0.85,"🟢 على المسار","🟠 متأخّر"))</f>
        <v/>
      </c>
    </row>
    <row r="22" ht="22" customHeight="1">
      <c r="A22" s="54" t="n">
        <v>19</v>
      </c>
      <c r="B22" s="13" t="inlineStr">
        <is>
          <t>الامتياز التجاري</t>
        </is>
      </c>
      <c r="C22" s="11" t="inlineStr">
        <is>
          <t>إجمالي المستحقات المتأخرة (+30 يوم)</t>
        </is>
      </c>
      <c r="D22" s="15" t="inlineStr">
        <is>
          <t>شهري</t>
        </is>
      </c>
      <c r="E22" s="15" t="inlineStr">
        <is>
          <t>لقطة</t>
        </is>
      </c>
      <c r="F22" s="49" t="inlineStr">
        <is>
          <t>↓</t>
        </is>
      </c>
      <c r="G22" s="49" t="n"/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7">
        <f>IFERROR(LOOKUP(2,1/($H22:$S22&lt;&gt;""),$H22:$S22),"")</f>
        <v/>
      </c>
      <c r="U22" s="50">
        <f>IF($G22="","",IF($T22="","",MIN(1,IF($G22=0,IF($T22&lt;=0,1,0),IF($F22="↓",IFERROR($G22/$T22,0),IFERROR($T22/$G22,0))))))</f>
        <v/>
      </c>
      <c r="V22" s="54">
        <f>IF($U22="","⏳ بانتظار هدف",IF($U22&gt;=1.0,"✅ محقق",IF($U22&gt;=0.85,"🟡 قريب","🔴 تحت الهدف")))</f>
        <v/>
      </c>
      <c r="W22" s="68">
        <f>IF($G22="","",$G22)</f>
        <v/>
      </c>
      <c r="X22" s="54">
        <f>IF($U22="","—",IF($U22&gt;=0.85,"🟢 على المسار","🟠 متأخّر"))</f>
        <v/>
      </c>
    </row>
    <row r="23" ht="22" customHeight="1">
      <c r="A23" s="54" t="n">
        <v>20</v>
      </c>
      <c r="B23" s="13" t="inlineStr">
        <is>
          <t>الامتياز التجاري</t>
        </is>
      </c>
      <c r="C23" s="11" t="inlineStr">
        <is>
          <t>نسبة الشركاء الملتزمين بمواعيد السداد</t>
        </is>
      </c>
      <c r="D23" s="15" t="inlineStr">
        <is>
          <t>شهري</t>
        </is>
      </c>
      <c r="E23" s="15" t="inlineStr">
        <is>
          <t>معدل</t>
        </is>
      </c>
      <c r="F23" s="49" t="inlineStr">
        <is>
          <t>↑</t>
        </is>
      </c>
      <c r="G23" s="59" t="n">
        <v>0.9</v>
      </c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50">
        <f>IF(COUNT($H23:$S23)=0,"",SUM($H23:$S23)/COUNT($H23:$S23))</f>
        <v/>
      </c>
      <c r="U23" s="50">
        <f>IF($G23="","",IF($T23="","",MIN(1,IF($G23=0,IF($T23&lt;=0,1,0),IF($F23="↓",IFERROR($G23/$T23,0),IFERROR($T23/$G23,0))))))</f>
        <v/>
      </c>
      <c r="V23" s="54">
        <f>IF($U23="","⏳ بانتظار هدف",IF($U23&gt;=1.0,"✅ محقق",IF($U23&gt;=0.85,"🟡 قريب","🔴 تحت الهدف")))</f>
        <v/>
      </c>
      <c r="W23" s="61">
        <f>IF($G23="","",$G23)</f>
        <v/>
      </c>
      <c r="X23" s="54">
        <f>IF($U23="","—",IF($U23&gt;=0.85,"🟢 على المسار","🟠 متأخّر"))</f>
        <v/>
      </c>
    </row>
    <row r="24" ht="22" customHeight="1">
      <c r="A24" s="54" t="n">
        <v>21</v>
      </c>
      <c r="B24" s="13" t="inlineStr">
        <is>
          <t>الامتياز التجاري</t>
        </is>
      </c>
      <c r="C24" s="11" t="inlineStr">
        <is>
          <t>معدل دوران رأس المال (أيام الدورة)</t>
        </is>
      </c>
      <c r="D24" s="15" t="inlineStr">
        <is>
          <t>شهري</t>
        </is>
      </c>
      <c r="E24" s="15" t="inlineStr">
        <is>
          <t>معدل</t>
        </is>
      </c>
      <c r="F24" s="49" t="inlineStr">
        <is>
          <t>↓</t>
        </is>
      </c>
      <c r="G24" s="62" t="n">
        <v>5</v>
      </c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4">
        <f>IF(COUNT($H24:$S24)=0,"",SUM($H24:$S24)/COUNT($H24:$S24))</f>
        <v/>
      </c>
      <c r="U24" s="50">
        <f>IF($G24="","",IF($T24="","",MIN(1,IF($G24=0,IF($T24&lt;=0,1,0),IF($F24="↓",IFERROR($G24/$T24,0),IFERROR($T24/$G24,0))))))</f>
        <v/>
      </c>
      <c r="V24" s="54">
        <f>IF($U24="","⏳ بانتظار هدف",IF($U24&gt;=1.0,"✅ محقق",IF($U24&gt;=0.85,"🟡 قريب","🔴 تحت الهدف")))</f>
        <v/>
      </c>
      <c r="W24" s="65">
        <f>IF($G24="","",$G24)</f>
        <v/>
      </c>
      <c r="X24" s="54">
        <f>IF($U24="","—",IF($U24&gt;=0.85,"🟢 على المسار","🟠 متأخّر"))</f>
        <v/>
      </c>
    </row>
    <row r="25" ht="22" customHeight="1">
      <c r="A25" s="54" t="n">
        <v>22</v>
      </c>
      <c r="B25" s="13" t="inlineStr">
        <is>
          <t>الامتياز التجاري</t>
        </is>
      </c>
      <c r="C25" s="11" t="inlineStr">
        <is>
          <t>نسبة جاهزية محطات الامتياز (صفر انقطاع)</t>
        </is>
      </c>
      <c r="D25" s="15" t="inlineStr">
        <is>
          <t>شهري</t>
        </is>
      </c>
      <c r="E25" s="15" t="inlineStr">
        <is>
          <t>معدل</t>
        </is>
      </c>
      <c r="F25" s="49" t="inlineStr">
        <is>
          <t>↑</t>
        </is>
      </c>
      <c r="G25" s="59" t="n">
        <v>0.99</v>
      </c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0" t="n"/>
      <c r="R25" s="60" t="n"/>
      <c r="S25" s="60" t="n"/>
      <c r="T25" s="50">
        <f>IF(COUNT($H25:$S25)=0,"",SUM($H25:$S25)/COUNT($H25:$S25))</f>
        <v/>
      </c>
      <c r="U25" s="50">
        <f>IF($G25="","",IF($T25="","",MIN(1,IF($G25=0,IF($T25&lt;=0,1,0),IF($F25="↓",IFERROR($G25/$T25,0),IFERROR($T25/$G25,0))))))</f>
        <v/>
      </c>
      <c r="V25" s="54">
        <f>IF($U25="","⏳ بانتظار هدف",IF($U25&gt;=1.0,"✅ محقق",IF($U25&gt;=0.97,"🟡 قريب","🔴 تحت الهدف")))</f>
        <v/>
      </c>
      <c r="W25" s="61">
        <f>IF($G25="","",$G25)</f>
        <v/>
      </c>
      <c r="X25" s="54">
        <f>IF($U25="","—",IF($U25&gt;=0.97,"🟢 على المسار","🟠 متأخّر"))</f>
        <v/>
      </c>
    </row>
    <row r="26" ht="22" customHeight="1">
      <c r="A26" s="54" t="n">
        <v>23</v>
      </c>
      <c r="B26" s="13" t="inlineStr">
        <is>
          <t>الامتياز التجاري</t>
        </is>
      </c>
      <c r="C26" s="11" t="inlineStr">
        <is>
          <t>عدد حالات انقطاع الوقود الموثّقة</t>
        </is>
      </c>
      <c r="D26" s="15" t="inlineStr">
        <is>
          <t>شهري</t>
        </is>
      </c>
      <c r="E26" s="15" t="inlineStr">
        <is>
          <t>تراكمي</t>
        </is>
      </c>
      <c r="F26" s="49" t="inlineStr">
        <is>
          <t>↓</t>
        </is>
      </c>
      <c r="G26" s="55" t="n">
        <v>0</v>
      </c>
      <c r="H26" s="56" t="n"/>
      <c r="I26" s="56" t="n"/>
      <c r="J26" s="56" t="n"/>
      <c r="K26" s="56" t="n"/>
      <c r="L26" s="56" t="n"/>
      <c r="M26" s="56" t="n"/>
      <c r="N26" s="56" t="n"/>
      <c r="O26" s="56" t="n"/>
      <c r="P26" s="56" t="n"/>
      <c r="Q26" s="56" t="n"/>
      <c r="R26" s="56" t="n"/>
      <c r="S26" s="56" t="n"/>
      <c r="T26" s="57">
        <f>IF(COUNT($H26:$S26)=0,"",SUM($H26:$S26))</f>
        <v/>
      </c>
      <c r="U26" s="50">
        <f>IF($G26="","",IF($T26="","",MIN(1,IF($G26=0,IF($T26&lt;=0,1,0),IF($F26="↓",IFERROR($G26/$T26,0),IFERROR($T26/$G26,0))))))</f>
        <v/>
      </c>
      <c r="V26" s="54">
        <f>IF($U26="","⏳ بانتظار هدف",IF($U26&gt;=1.0,"✅ محقق",IF($U26&gt;=0.85,"🟡 قريب","🔴 تحت الهدف")))</f>
        <v/>
      </c>
      <c r="W26" s="58">
        <f>IF($G26="","",$G26*COUNT($H26:$S26)/12)</f>
        <v/>
      </c>
      <c r="X26" s="54">
        <f>IF($U26="","—",IF($U26&gt;=COUNT($H26:$S26)/12,"🟢 على المسار","🟠 متأخّر"))</f>
        <v/>
      </c>
    </row>
    <row r="27" ht="22" customHeight="1">
      <c r="A27" s="54" t="n">
        <v>24</v>
      </c>
      <c r="B27" s="13" t="inlineStr">
        <is>
          <t>الامتياز التجاري</t>
        </is>
      </c>
      <c r="C27" s="11" t="inlineStr">
        <is>
          <t>نسبة إغلاق ملاحظات الجودة الميدانية</t>
        </is>
      </c>
      <c r="D27" s="15" t="inlineStr">
        <is>
          <t>شهري</t>
        </is>
      </c>
      <c r="E27" s="15" t="inlineStr">
        <is>
          <t>معدل</t>
        </is>
      </c>
      <c r="F27" s="49" t="inlineStr">
        <is>
          <t>↑</t>
        </is>
      </c>
      <c r="G27" s="59" t="n">
        <v>0.95</v>
      </c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50">
        <f>IF(COUNT($H27:$S27)=0,"",SUM($H27:$S27)/COUNT($H27:$S27))</f>
        <v/>
      </c>
      <c r="U27" s="50">
        <f>IF($G27="","",IF($T27="","",MIN(1,IF($G27=0,IF($T27&lt;=0,1,0),IF($F27="↓",IFERROR($G27/$T27,0),IFERROR($T27/$G27,0))))))</f>
        <v/>
      </c>
      <c r="V27" s="54">
        <f>IF($U27="","⏳ بانتظار هدف",IF($U27&gt;=1.0,"✅ محقق",IF($U27&gt;=0.85,"🟡 قريب","🔴 تحت الهدف")))</f>
        <v/>
      </c>
      <c r="W27" s="61">
        <f>IF($G27="","",$G27)</f>
        <v/>
      </c>
      <c r="X27" s="54">
        <f>IF($U27="","—",IF($U27&gt;=0.85,"🟢 على المسار","🟠 متأخّر"))</f>
        <v/>
      </c>
    </row>
    <row r="28" ht="22" customHeight="1">
      <c r="A28" s="54" t="n">
        <v>25</v>
      </c>
      <c r="B28" s="13" t="inlineStr">
        <is>
          <t>الامتياز التجاري</t>
        </is>
      </c>
      <c r="C28" s="11" t="inlineStr">
        <is>
          <t>متوسط درجة تقييم جودة المحطة (قائمة التحقق)</t>
        </is>
      </c>
      <c r="D28" s="15" t="inlineStr">
        <is>
          <t>شهري</t>
        </is>
      </c>
      <c r="E28" s="15" t="inlineStr">
        <is>
          <t>معدل</t>
        </is>
      </c>
      <c r="F28" s="49" t="inlineStr">
        <is>
          <t>↑</t>
        </is>
      </c>
      <c r="G28" s="62" t="n">
        <v>85</v>
      </c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4">
        <f>IF(COUNT($H28:$S28)=0,"",SUM($H28:$S28)/COUNT($H28:$S28))</f>
        <v/>
      </c>
      <c r="U28" s="50">
        <f>IF($G28="","",IF($T28="","",MIN(1,IF($G28=0,IF($T28&lt;=0,1,0),IF($F28="↓",IFERROR($G28/$T28,0),IFERROR($T28/$G28,0))))))</f>
        <v/>
      </c>
      <c r="V28" s="54">
        <f>IF($U28="","⏳ بانتظار هدف",IF($U28&gt;=1.0,"✅ محقق",IF($U28&gt;=0.85,"🟡 قريب","🔴 تحت الهدف")))</f>
        <v/>
      </c>
      <c r="W28" s="65">
        <f>IF($G28="","",$G28)</f>
        <v/>
      </c>
      <c r="X28" s="54">
        <f>IF($U28="","—",IF($U28&gt;=0.85,"🟢 على المسار","🟠 متأخّر"))</f>
        <v/>
      </c>
    </row>
    <row r="29" ht="22" customHeight="1">
      <c r="A29" s="54" t="n">
        <v>26</v>
      </c>
      <c r="B29" s="13" t="inlineStr">
        <is>
          <t>الامتياز التجاري</t>
        </is>
      </c>
      <c r="C29" s="11" t="inlineStr">
        <is>
          <t>نسبة تنفيذ الزيارات الميدانية المجدولة</t>
        </is>
      </c>
      <c r="D29" s="15" t="inlineStr">
        <is>
          <t>شهري</t>
        </is>
      </c>
      <c r="E29" s="15" t="inlineStr">
        <is>
          <t>معدل</t>
        </is>
      </c>
      <c r="F29" s="49" t="inlineStr">
        <is>
          <t>↑</t>
        </is>
      </c>
      <c r="G29" s="59" t="n">
        <v>1</v>
      </c>
      <c r="H29" s="60" t="n"/>
      <c r="I29" s="60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  <c r="T29" s="50">
        <f>IF(COUNT($H29:$S29)=0,"",SUM($H29:$S29)/COUNT($H29:$S29))</f>
        <v/>
      </c>
      <c r="U29" s="50">
        <f>IF($G29="","",IF($T29="","",MIN(1,IF($G29=0,IF($T29&lt;=0,1,0),IF($F29="↓",IFERROR($G29/$T29,0),IFERROR($T29/$G29,0))))))</f>
        <v/>
      </c>
      <c r="V29" s="54">
        <f>IF($U29="","⏳ بانتظار هدف",IF($U29&gt;=1.0,"✅ محقق",IF($U29&gt;=0.85,"🟡 قريب","🔴 تحت الهدف")))</f>
        <v/>
      </c>
      <c r="W29" s="61">
        <f>IF($G29="","",$G29)</f>
        <v/>
      </c>
      <c r="X29" s="54">
        <f>IF($U29="","—",IF($U29&gt;=0.85,"🟢 على المسار","🟠 متأخّر"))</f>
        <v/>
      </c>
    </row>
    <row r="30" ht="22" customHeight="1">
      <c r="A30" s="54" t="n">
        <v>27</v>
      </c>
      <c r="B30" s="13" t="inlineStr">
        <is>
          <t>الامتياز التجاري</t>
        </is>
      </c>
      <c r="C30" s="11" t="inlineStr">
        <is>
          <t>نسبة المحطات المستوفية لمعايير السلامة</t>
        </is>
      </c>
      <c r="D30" s="15" t="inlineStr">
        <is>
          <t>شهري</t>
        </is>
      </c>
      <c r="E30" s="15" t="inlineStr">
        <is>
          <t>معدل</t>
        </is>
      </c>
      <c r="F30" s="49" t="inlineStr">
        <is>
          <t>↑</t>
        </is>
      </c>
      <c r="G30" s="59" t="n">
        <v>1</v>
      </c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50">
        <f>IF(COUNT($H30:$S30)=0,"",SUM($H30:$S30)/COUNT($H30:$S30))</f>
        <v/>
      </c>
      <c r="U30" s="50">
        <f>IF($G30="","",IF($T30="","",MIN(1,IF($G30=0,IF($T30&lt;=0,1,0),IF($F30="↓",IFERROR($G30/$T30,0),IFERROR($T30/$G30,0))))))</f>
        <v/>
      </c>
      <c r="V30" s="54">
        <f>IF($U30="","⏳ بانتظار هدف",IF($U30&gt;=1.0,"✅ محقق",IF($U30&gt;=0.97,"🟡 قريب","🔴 تحت الهدف")))</f>
        <v/>
      </c>
      <c r="W30" s="61">
        <f>IF($G30="","",$G30)</f>
        <v/>
      </c>
      <c r="X30" s="54">
        <f>IF($U30="","—",IF($U30&gt;=0.97,"🟢 على المسار","🟠 متأخّر"))</f>
        <v/>
      </c>
    </row>
    <row r="31" ht="22" customHeight="1">
      <c r="A31" s="54" t="n">
        <v>28</v>
      </c>
      <c r="B31" s="13" t="inlineStr">
        <is>
          <t>الامتياز التجاري</t>
        </is>
      </c>
      <c r="C31" s="11" t="inlineStr">
        <is>
          <t>متوسط وقت معالجة البلاغات التشغيلية</t>
        </is>
      </c>
      <c r="D31" s="15" t="inlineStr">
        <is>
          <t>شهري</t>
        </is>
      </c>
      <c r="E31" s="15" t="inlineStr">
        <is>
          <t>معدل</t>
        </is>
      </c>
      <c r="F31" s="49" t="inlineStr">
        <is>
          <t>↓</t>
        </is>
      </c>
      <c r="G31" s="62" t="n">
        <v>24</v>
      </c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4">
        <f>IF(COUNT($H31:$S31)=0,"",SUM($H31:$S31)/COUNT($H31:$S31))</f>
        <v/>
      </c>
      <c r="U31" s="50">
        <f>IF($G31="","",IF($T31="","",MIN(1,IF($G31=0,IF($T31&lt;=0,1,0),IF($F31="↓",IFERROR($G31/$T31,0),IFERROR($T31/$G31,0))))))</f>
        <v/>
      </c>
      <c r="V31" s="54">
        <f>IF($U31="","⏳ بانتظار هدف",IF($U31&gt;=1.0,"✅ محقق",IF($U31&gt;=0.85,"🟡 قريب","🔴 تحت الهدف")))</f>
        <v/>
      </c>
      <c r="W31" s="65">
        <f>IF($G31="","",$G31)</f>
        <v/>
      </c>
      <c r="X31" s="54">
        <f>IF($U31="","—",IF($U31&gt;=0.85,"🟢 على المسار","🟠 متأخّر"))</f>
        <v/>
      </c>
    </row>
    <row r="32" ht="22" customHeight="1">
      <c r="A32" s="54" t="n">
        <v>29</v>
      </c>
      <c r="B32" s="13" t="inlineStr">
        <is>
          <t>الامتياز التجاري</t>
        </is>
      </c>
      <c r="C32" s="11" t="inlineStr">
        <is>
          <t>نسبة أتمتة محطات الامتياز</t>
        </is>
      </c>
      <c r="D32" s="15" t="inlineStr">
        <is>
          <t>شهري</t>
        </is>
      </c>
      <c r="E32" s="15" t="inlineStr">
        <is>
          <t>لقطة</t>
        </is>
      </c>
      <c r="F32" s="49" t="inlineStr">
        <is>
          <t>↑</t>
        </is>
      </c>
      <c r="G32" s="59" t="n">
        <v>0.9</v>
      </c>
      <c r="H32" s="60" t="n"/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  <c r="T32" s="50">
        <f>IFERROR(LOOKUP(2,1/($H32:$S32&lt;&gt;""),$H32:$S32),"")</f>
        <v/>
      </c>
      <c r="U32" s="50">
        <f>IF($G32="","",IF($T32="","",MIN(1,IF($G32=0,IF($T32&lt;=0,1,0),IF($F32="↓",IFERROR($G32/$T32,0),IFERROR($T32/$G32,0))))))</f>
        <v/>
      </c>
      <c r="V32" s="54">
        <f>IF($U32="","⏳ بانتظار هدف",IF($U32&gt;=1.0,"✅ محقق",IF($U32&gt;=0.85,"🟡 قريب","🔴 تحت الهدف")))</f>
        <v/>
      </c>
      <c r="W32" s="61">
        <f>IF($G32="","",$G32)</f>
        <v/>
      </c>
      <c r="X32" s="54">
        <f>IF($U32="","—",IF($U32&gt;=0.85,"🟢 على المسار","🟠 متأخّر"))</f>
        <v/>
      </c>
    </row>
    <row r="33" ht="22" customHeight="1">
      <c r="A33" s="54" t="n">
        <v>30</v>
      </c>
      <c r="B33" s="13" t="inlineStr">
        <is>
          <t>الامتياز التجاري</t>
        </is>
      </c>
      <c r="C33" s="11" t="inlineStr">
        <is>
          <t>نسبة تطبيق المعيار الشامل داخل المحطات</t>
        </is>
      </c>
      <c r="D33" s="15" t="inlineStr">
        <is>
          <t>شهري</t>
        </is>
      </c>
      <c r="E33" s="15" t="inlineStr">
        <is>
          <t>لقطة</t>
        </is>
      </c>
      <c r="F33" s="49" t="inlineStr">
        <is>
          <t>↑</t>
        </is>
      </c>
      <c r="G33" s="59" t="n">
        <v>0.3</v>
      </c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50">
        <f>IFERROR(LOOKUP(2,1/($H33:$S33&lt;&gt;""),$H33:$S33),"")</f>
        <v/>
      </c>
      <c r="U33" s="50">
        <f>IF($G33="","",IF($T33="","",MIN(1,IF($G33=0,IF($T33&lt;=0,1,0),IF($F33="↓",IFERROR($G33/$T33,0),IFERROR($T33/$G33,0))))))</f>
        <v/>
      </c>
      <c r="V33" s="54">
        <f>IF($U33="","⏳ بانتظار هدف",IF($U33&gt;=1.0,"✅ محقق",IF($U33&gt;=0.85,"🟡 قريب","🔴 تحت الهدف")))</f>
        <v/>
      </c>
      <c r="W33" s="61">
        <f>IF($G33="","",$G33)</f>
        <v/>
      </c>
      <c r="X33" s="54">
        <f>IF($U33="","—",IF($U33&gt;=0.85,"🟢 على المسار","🟠 متأخّر"))</f>
        <v/>
      </c>
    </row>
    <row r="34" ht="22" customHeight="1">
      <c r="A34" s="54" t="n">
        <v>31</v>
      </c>
      <c r="B34" s="13" t="inlineStr">
        <is>
          <t>الامتياز التجاري</t>
        </is>
      </c>
      <c r="C34" s="11" t="inlineStr">
        <is>
          <t>نسبة التزام المحطات بالهوية المؤسسية</t>
        </is>
      </c>
      <c r="D34" s="15" t="inlineStr">
        <is>
          <t>شهري</t>
        </is>
      </c>
      <c r="E34" s="15" t="inlineStr">
        <is>
          <t>لقطة</t>
        </is>
      </c>
      <c r="F34" s="49" t="inlineStr">
        <is>
          <t>↑</t>
        </is>
      </c>
      <c r="G34" s="59" t="n">
        <v>0.55</v>
      </c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50">
        <f>IFERROR(LOOKUP(2,1/($H34:$S34&lt;&gt;""),$H34:$S34),"")</f>
        <v/>
      </c>
      <c r="U34" s="50">
        <f>IF($G34="","",IF($T34="","",MIN(1,IF($G34=0,IF($T34&lt;=0,1,0),IF($F34="↓",IFERROR($G34/$T34,0),IFERROR($T34/$G34,0))))))</f>
        <v/>
      </c>
      <c r="V34" s="54">
        <f>IF($U34="","⏳ بانتظار هدف",IF($U34&gt;=1.0,"✅ محقق",IF($U34&gt;=0.85,"🟡 قريب","🔴 تحت الهدف")))</f>
        <v/>
      </c>
      <c r="W34" s="61">
        <f>IF($G34="","",$G34)</f>
        <v/>
      </c>
      <c r="X34" s="54">
        <f>IF($U34="","—",IF($U34&gt;=0.85,"🟢 على المسار","🟠 متأخّر"))</f>
        <v/>
      </c>
    </row>
    <row r="35" ht="22" customHeight="1">
      <c r="A35" s="54" t="n">
        <v>32</v>
      </c>
      <c r="B35" s="13" t="inlineStr">
        <is>
          <t>الامتياز التجاري</t>
        </is>
      </c>
      <c r="C35" s="11" t="inlineStr">
        <is>
          <t>متوسط تقييم المحطات على خرائط قوقل</t>
        </is>
      </c>
      <c r="D35" s="15" t="inlineStr">
        <is>
          <t>شهري</t>
        </is>
      </c>
      <c r="E35" s="15" t="inlineStr">
        <is>
          <t>معدل</t>
        </is>
      </c>
      <c r="F35" s="49" t="inlineStr">
        <is>
          <t>↑</t>
        </is>
      </c>
      <c r="G35" s="62" t="n">
        <v>4.7</v>
      </c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4">
        <f>IF(COUNT($H35:$S35)=0,"",SUM($H35:$S35)/COUNT($H35:$S35))</f>
        <v/>
      </c>
      <c r="U35" s="50">
        <f>IF($G35="","",IF($T35="","",MIN(1,IF($G35=0,IF($T35&lt;=0,1,0),IF($F35="↓",IFERROR($G35/$T35,0),IFERROR($T35/$G35,0))))))</f>
        <v/>
      </c>
      <c r="V35" s="54">
        <f>IF($U35="","⏳ بانتظار هدف",IF($U35&gt;=1.0,"✅ محقق",IF($U35&gt;=0.85,"🟡 قريب","🔴 تحت الهدف")))</f>
        <v/>
      </c>
      <c r="W35" s="65">
        <f>IF($G35="","",$G35)</f>
        <v/>
      </c>
      <c r="X35" s="54">
        <f>IF($U35="","—",IF($U35&gt;=0.85,"🟢 على المسار","🟠 متأخّر"))</f>
        <v/>
      </c>
    </row>
    <row r="36" ht="22" customHeight="1">
      <c r="A36" s="54" t="n">
        <v>33</v>
      </c>
      <c r="B36" s="13" t="inlineStr">
        <is>
          <t>الامتياز التجاري</t>
        </is>
      </c>
      <c r="C36" s="11" t="inlineStr">
        <is>
          <t>معدل رضا شركاء الامتياز (CSAT)</t>
        </is>
      </c>
      <c r="D36" s="15" t="inlineStr">
        <is>
          <t>ربعي</t>
        </is>
      </c>
      <c r="E36" s="15" t="inlineStr">
        <is>
          <t>معدل</t>
        </is>
      </c>
      <c r="F36" s="49" t="inlineStr">
        <is>
          <t>↑</t>
        </is>
      </c>
      <c r="G36" s="59" t="n">
        <v>0.9</v>
      </c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  <c r="T36" s="50">
        <f>IF(COUNT($H36:$S36)=0,"",SUM($H36:$S36)/COUNT($H36:$S36))</f>
        <v/>
      </c>
      <c r="U36" s="50">
        <f>IF($G36="","",IF($T36="","",MIN(1,IF($G36=0,IF($T36&lt;=0,1,0),IF($F36="↓",IFERROR($G36/$T36,0),IFERROR($T36/$G36,0))))))</f>
        <v/>
      </c>
      <c r="V36" s="54">
        <f>IF($U36="","⏳ بانتظار هدف",IF($U36&gt;=0.9,"✅ محقق",IF($U36&gt;=0.75,"🟡 قريب","🔴 تحت الهدف")))</f>
        <v/>
      </c>
      <c r="W36" s="61">
        <f>IF($G36="","",$G36)</f>
        <v/>
      </c>
      <c r="X36" s="54">
        <f>IF($U36="","—",IF($U36&gt;=0.75,"🟢 على المسار","🟠 متأخّر"))</f>
        <v/>
      </c>
    </row>
    <row r="37" ht="22" customHeight="1">
      <c r="A37" s="54" t="n">
        <v>34</v>
      </c>
      <c r="B37" s="13" t="inlineStr">
        <is>
          <t>الامتياز التجاري</t>
        </is>
      </c>
      <c r="C37" s="11" t="inlineStr">
        <is>
          <t>نسبة حل الشكاوى خلال المدة المحددة</t>
        </is>
      </c>
      <c r="D37" s="15" t="inlineStr">
        <is>
          <t>شهري</t>
        </is>
      </c>
      <c r="E37" s="15" t="inlineStr">
        <is>
          <t>معدل</t>
        </is>
      </c>
      <c r="F37" s="49" t="inlineStr">
        <is>
          <t>↑</t>
        </is>
      </c>
      <c r="G37" s="59" t="n">
        <v>0.95</v>
      </c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50">
        <f>IF(COUNT($H37:$S37)=0,"",SUM($H37:$S37)/COUNT($H37:$S37))</f>
        <v/>
      </c>
      <c r="U37" s="50">
        <f>IF($G37="","",IF($T37="","",MIN(1,IF($G37=0,IF($T37&lt;=0,1,0),IF($F37="↓",IFERROR($G37/$T37,0),IFERROR($T37/$G37,0))))))</f>
        <v/>
      </c>
      <c r="V37" s="54">
        <f>IF($U37="","⏳ بانتظار هدف",IF($U37&gt;=1.0,"✅ محقق",IF($U37&gt;=0.85,"🟡 قريب","🔴 تحت الهدف")))</f>
        <v/>
      </c>
      <c r="W37" s="61">
        <f>IF($G37="","",$G37)</f>
        <v/>
      </c>
      <c r="X37" s="54">
        <f>IF($U37="","—",IF($U37&gt;=0.85,"🟢 على المسار","🟠 متأخّر"))</f>
        <v/>
      </c>
    </row>
    <row r="38" ht="22" customHeight="1">
      <c r="A38" s="54" t="n">
        <v>35</v>
      </c>
      <c r="B38" s="13" t="inlineStr">
        <is>
          <t>الامتياز التجاري</t>
        </is>
      </c>
      <c r="C38" s="11" t="inlineStr">
        <is>
          <t>نسبة انخفاض الشكاوى التشغيلية والإدارية</t>
        </is>
      </c>
      <c r="D38" s="15" t="inlineStr">
        <is>
          <t>شهري</t>
        </is>
      </c>
      <c r="E38" s="15" t="inlineStr">
        <is>
          <t>معدل</t>
        </is>
      </c>
      <c r="F38" s="49" t="inlineStr">
        <is>
          <t>↑</t>
        </is>
      </c>
      <c r="G38" s="59" t="n">
        <v>0.3</v>
      </c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50">
        <f>IF(COUNT($H38:$S38)=0,"",SUM($H38:$S38)/COUNT($H38:$S38))</f>
        <v/>
      </c>
      <c r="U38" s="50">
        <f>IF($G38="","",IF($T38="","",MIN(1,IF($G38=0,IF($T38&lt;=0,1,0),IF($F38="↓",IFERROR($G38/$T38,0),IFERROR($T38/$G38,0))))))</f>
        <v/>
      </c>
      <c r="V38" s="54">
        <f>IF($U38="","⏳ بانتظار هدف",IF($U38&gt;=1.0,"✅ محقق",IF($U38&gt;=0.85,"🟡 قريب","🔴 تحت الهدف")))</f>
        <v/>
      </c>
      <c r="W38" s="61">
        <f>IF($G38="","",$G38)</f>
        <v/>
      </c>
      <c r="X38" s="54">
        <f>IF($U38="","—",IF($U38&gt;=0.85,"🟢 على المسار","🟠 متأخّر"))</f>
        <v/>
      </c>
    </row>
    <row r="39" ht="22" customHeight="1">
      <c r="A39" s="54" t="n">
        <v>36</v>
      </c>
      <c r="B39" s="13" t="inlineStr">
        <is>
          <t>الامتياز التجاري</t>
        </is>
      </c>
      <c r="C39" s="11" t="inlineStr">
        <is>
          <t>نسبة استدامة أصحاب الامتياز (Retention)</t>
        </is>
      </c>
      <c r="D39" s="15" t="inlineStr">
        <is>
          <t>شهري</t>
        </is>
      </c>
      <c r="E39" s="15" t="inlineStr">
        <is>
          <t>لقطة</t>
        </is>
      </c>
      <c r="F39" s="49" t="inlineStr">
        <is>
          <t>↑</t>
        </is>
      </c>
      <c r="G39" s="59" t="n">
        <v>0.9</v>
      </c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50">
        <f>IFERROR(LOOKUP(2,1/($H39:$S39&lt;&gt;""),$H39:$S39),"")</f>
        <v/>
      </c>
      <c r="U39" s="50">
        <f>IF($G39="","",IF($T39="","",MIN(1,IF($G39=0,IF($T39&lt;=0,1,0),IF($F39="↓",IFERROR($G39/$T39,0),IFERROR($T39/$G39,0))))))</f>
        <v/>
      </c>
      <c r="V39" s="54">
        <f>IF($U39="","⏳ بانتظار هدف",IF($U39&gt;=1.0,"✅ محقق",IF($U39&gt;=0.85,"🟡 قريب","🔴 تحت الهدف")))</f>
        <v/>
      </c>
      <c r="W39" s="61">
        <f>IF($G39="","",$G39)</f>
        <v/>
      </c>
      <c r="X39" s="54">
        <f>IF($U39="","—",IF($U39&gt;=0.85,"🟢 على المسار","🟠 متأخّر"))</f>
        <v/>
      </c>
    </row>
    <row r="40" ht="22" customHeight="1">
      <c r="A40" s="54" t="n">
        <v>37</v>
      </c>
      <c r="B40" s="13" t="inlineStr">
        <is>
          <t>الامتياز التجاري</t>
        </is>
      </c>
      <c r="C40" s="11" t="inlineStr">
        <is>
          <t>نسبة زيادة عدد أصحاب الامتياز</t>
        </is>
      </c>
      <c r="D40" s="15" t="inlineStr">
        <is>
          <t>شهري</t>
        </is>
      </c>
      <c r="E40" s="15" t="inlineStr">
        <is>
          <t>لقطة</t>
        </is>
      </c>
      <c r="F40" s="49" t="inlineStr">
        <is>
          <t>↑</t>
        </is>
      </c>
      <c r="G40" s="59" t="n">
        <v>1</v>
      </c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50">
        <f>IFERROR(LOOKUP(2,1/($H40:$S40&lt;&gt;""),$H40:$S40),"")</f>
        <v/>
      </c>
      <c r="U40" s="50">
        <f>IF($G40="","",IF($T40="","",MIN(1,IF($G40=0,IF($T40&lt;=0,1,0),IF($F40="↓",IFERROR($G40/$T40,0),IFERROR($T40/$G40,0))))))</f>
        <v/>
      </c>
      <c r="V40" s="54">
        <f>IF($U40="","⏳ بانتظار هدف",IF($U40&gt;=1.0,"✅ محقق",IF($U40&gt;=0.85,"🟡 قريب","🔴 تحت الهدف")))</f>
        <v/>
      </c>
      <c r="W40" s="61">
        <f>IF($G40="","",$G40)</f>
        <v/>
      </c>
      <c r="X40" s="54">
        <f>IF($U40="","—",IF($U40&gt;=0.85,"🟢 على المسار","🟠 متأخّر"))</f>
        <v/>
      </c>
    </row>
    <row r="41" ht="22" customHeight="1">
      <c r="A41" s="54" t="n">
        <v>38</v>
      </c>
      <c r="B41" s="13" t="inlineStr">
        <is>
          <t>الامتياز التجاري</t>
        </is>
      </c>
      <c r="C41" s="11" t="inlineStr">
        <is>
          <t>متوسط مدة إغلاق عقد الامتياز</t>
        </is>
      </c>
      <c r="D41" s="15" t="inlineStr">
        <is>
          <t>شهري</t>
        </is>
      </c>
      <c r="E41" s="15" t="inlineStr">
        <is>
          <t>معدل</t>
        </is>
      </c>
      <c r="F41" s="49" t="inlineStr">
        <is>
          <t>↓</t>
        </is>
      </c>
      <c r="G41" s="62" t="n">
        <v>1</v>
      </c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4">
        <f>IF(COUNT($H41:$S41)=0,"",SUM($H41:$S41)/COUNT($H41:$S41))</f>
        <v/>
      </c>
      <c r="U41" s="50">
        <f>IF($G41="","",IF($T41="","",MIN(1,IF($G41=0,IF($T41&lt;=0,1,0),IF($F41="↓",IFERROR($G41/$T41,0),IFERROR($T41/$G41,0))))))</f>
        <v/>
      </c>
      <c r="V41" s="54">
        <f>IF($U41="","⏳ بانتظار هدف",IF($U41&gt;=1.0,"✅ محقق",IF($U41&gt;=0.85,"🟡 قريب","🔴 تحت الهدف")))</f>
        <v/>
      </c>
      <c r="W41" s="65">
        <f>IF($G41="","",$G41)</f>
        <v/>
      </c>
      <c r="X41" s="54">
        <f>IF($U41="","—",IF($U41&gt;=0.85,"🟢 على المسار","🟠 متأخّر"))</f>
        <v/>
      </c>
    </row>
    <row r="42" ht="22" customHeight="1">
      <c r="A42" s="54" t="n">
        <v>39</v>
      </c>
      <c r="B42" s="13" t="inlineStr">
        <is>
          <t>الامتياز التجاري</t>
        </is>
      </c>
      <c r="C42" s="11" t="inlineStr">
        <is>
          <t>نسبة التحصيل خلال 5 أيام عمل</t>
        </is>
      </c>
      <c r="D42" s="15" t="inlineStr">
        <is>
          <t>شهري</t>
        </is>
      </c>
      <c r="E42" s="15" t="inlineStr">
        <is>
          <t>معدل</t>
        </is>
      </c>
      <c r="F42" s="49" t="inlineStr">
        <is>
          <t>↑</t>
        </is>
      </c>
      <c r="G42" s="59" t="n">
        <v>0.9</v>
      </c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50">
        <f>IF(COUNT($H42:$S42)=0,"",SUM($H42:$S42)/COUNT($H42:$S42))</f>
        <v/>
      </c>
      <c r="U42" s="50">
        <f>IF($G42="","",IF($T42="","",MIN(1,IF($G42=0,IF($T42&lt;=0,1,0),IF($F42="↓",IFERROR($G42/$T42,0),IFERROR($T42/$G42,0))))))</f>
        <v/>
      </c>
      <c r="V42" s="54">
        <f>IF($U42="","⏳ بانتظار هدف",IF($U42&gt;=1.0,"✅ محقق",IF($U42&gt;=0.85,"🟡 قريب","🔴 تحت الهدف")))</f>
        <v/>
      </c>
      <c r="W42" s="61">
        <f>IF($G42="","",$G42)</f>
        <v/>
      </c>
      <c r="X42" s="54">
        <f>IF($U42="","—",IF($U42&gt;=0.85,"🟢 على المسار","🟠 متأخّر"))</f>
        <v/>
      </c>
    </row>
    <row r="43" ht="22" customHeight="1">
      <c r="A43" s="54" t="n">
        <v>40</v>
      </c>
      <c r="B43" s="13" t="inlineStr">
        <is>
          <t>التشغيل والمحطات</t>
        </is>
      </c>
      <c r="C43" s="11" t="inlineStr">
        <is>
          <t>عدد المحطات المشغّلة (تراكمي)</t>
        </is>
      </c>
      <c r="D43" s="15" t="inlineStr">
        <is>
          <t>شهري</t>
        </is>
      </c>
      <c r="E43" s="15" t="inlineStr">
        <is>
          <t>لقطة</t>
        </is>
      </c>
      <c r="F43" s="49" t="inlineStr">
        <is>
          <t>↑</t>
        </is>
      </c>
      <c r="G43" s="55" t="n">
        <v>85</v>
      </c>
      <c r="H43" s="56" t="n"/>
      <c r="I43" s="56" t="n"/>
      <c r="J43" s="56" t="n"/>
      <c r="K43" s="56" t="n"/>
      <c r="L43" s="56" t="n"/>
      <c r="M43" s="56" t="n"/>
      <c r="N43" s="56" t="n"/>
      <c r="O43" s="56" t="n"/>
      <c r="P43" s="56" t="n"/>
      <c r="Q43" s="56" t="n"/>
      <c r="R43" s="56" t="n"/>
      <c r="S43" s="56" t="n"/>
      <c r="T43" s="57">
        <f>IFERROR(LOOKUP(2,1/($H43:$S43&lt;&gt;""),$H43:$S43),"")</f>
        <v/>
      </c>
      <c r="U43" s="50">
        <f>IF($G43="","",IF($T43="","",MIN(1,IF($G43=0,IF($T43&lt;=0,1,0),IF($F43="↓",IFERROR($G43/$T43,0),IFERROR($T43/$G43,0))))))</f>
        <v/>
      </c>
      <c r="V43" s="54">
        <f>IF($U43="","⏳ بانتظار هدف",IF($U43&gt;=1.0,"✅ محقق",IF($U43&gt;=0.85,"🟡 قريب","🔴 تحت الهدف")))</f>
        <v/>
      </c>
      <c r="W43" s="58">
        <f>IF($G43="","",$G43)</f>
        <v/>
      </c>
      <c r="X43" s="54">
        <f>IF($U43="","—",IF($U43&gt;=0.85,"🟢 على المسار","🟠 متأخّر"))</f>
        <v/>
      </c>
    </row>
    <row r="44" ht="22" customHeight="1">
      <c r="A44" s="54" t="n">
        <v>41</v>
      </c>
      <c r="B44" s="13" t="inlineStr">
        <is>
          <t>التشغيل والمحطات</t>
        </is>
      </c>
      <c r="C44" s="11" t="inlineStr">
        <is>
          <t>نمو مبيعات الوقود مقارنة بالعام السابق</t>
        </is>
      </c>
      <c r="D44" s="15" t="inlineStr">
        <is>
          <t>شهري</t>
        </is>
      </c>
      <c r="E44" s="15" t="inlineStr">
        <is>
          <t>معدل</t>
        </is>
      </c>
      <c r="F44" s="49" t="inlineStr">
        <is>
          <t>↑</t>
        </is>
      </c>
      <c r="G44" s="59" t="n">
        <v>0.1</v>
      </c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50">
        <f>IF(COUNT($H44:$S44)=0,"",SUM($H44:$S44)/COUNT($H44:$S44))</f>
        <v/>
      </c>
      <c r="U44" s="50">
        <f>IF($G44="","",IF($T44="","",MIN(1,IF($G44=0,IF($T44&lt;=0,1,0),IF($F44="↓",IFERROR($G44/$T44,0),IFERROR($T44/$G44,0))))))</f>
        <v/>
      </c>
      <c r="V44" s="54">
        <f>IF($U44="","⏳ بانتظار هدف",IF($U44&gt;=1.0,"✅ محقق",IF($U44&gt;=0.85,"🟡 قريب","🔴 تحت الهدف")))</f>
        <v/>
      </c>
      <c r="W44" s="61">
        <f>IF($G44="","",$G44)</f>
        <v/>
      </c>
      <c r="X44" s="54">
        <f>IF($U44="","—",IF($U44&gt;=0.85,"🟢 على المسار","🟠 متأخّر"))</f>
        <v/>
      </c>
    </row>
    <row r="45" ht="22" customHeight="1">
      <c r="A45" s="54" t="n">
        <v>42</v>
      </c>
      <c r="B45" s="13" t="inlineStr">
        <is>
          <t>التشغيل والمحطات</t>
        </is>
      </c>
      <c r="C45" s="11" t="inlineStr">
        <is>
          <t>نسبة انخفاض الشكاوى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49" t="inlineStr">
        <is>
          <t>↑</t>
        </is>
      </c>
      <c r="G45" s="59" t="n">
        <v>0.2</v>
      </c>
      <c r="H45" s="60" t="n"/>
      <c r="I45" s="60" t="n"/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  <c r="T45" s="50">
        <f>IF(COUNT($H45:$S45)=0,"",SUM($H45:$S45)/COUNT($H45:$S45))</f>
        <v/>
      </c>
      <c r="U45" s="50">
        <f>IF($G45="","",IF($T45="","",MIN(1,IF($G45=0,IF($T45&lt;=0,1,0),IF($F45="↓",IFERROR($G45/$T45,0),IFERROR($T45/$G45,0))))))</f>
        <v/>
      </c>
      <c r="V45" s="54">
        <f>IF($U45="","⏳ بانتظار هدف",IF($U45&gt;=1.0,"✅ محقق",IF($U45&gt;=0.85,"🟡 قريب","🔴 تحت الهدف")))</f>
        <v/>
      </c>
      <c r="W45" s="61">
        <f>IF($G45="","",$G45)</f>
        <v/>
      </c>
      <c r="X45" s="54">
        <f>IF($U45="","—",IF($U45&gt;=0.85,"🟢 على المسار","🟠 متأخّر"))</f>
        <v/>
      </c>
    </row>
    <row r="46" ht="22" customHeight="1">
      <c r="A46" s="54" t="n">
        <v>43</v>
      </c>
      <c r="B46" s="13" t="inlineStr">
        <is>
          <t>التشغيل والمحطات</t>
        </is>
      </c>
      <c r="C46" s="11" t="inlineStr">
        <is>
          <t>تطبيق المعيار الشامل في المحطات</t>
        </is>
      </c>
      <c r="D46" s="15" t="inlineStr">
        <is>
          <t>شهري</t>
        </is>
      </c>
      <c r="E46" s="15" t="inlineStr">
        <is>
          <t>لقطة</t>
        </is>
      </c>
      <c r="F46" s="49" t="inlineStr">
        <is>
          <t>↑</t>
        </is>
      </c>
      <c r="G46" s="59" t="n">
        <v>0.8</v>
      </c>
      <c r="H46" s="60" t="n"/>
      <c r="I46" s="60" t="n"/>
      <c r="J46" s="60" t="n"/>
      <c r="K46" s="60" t="n"/>
      <c r="L46" s="60" t="n"/>
      <c r="M46" s="60" t="n"/>
      <c r="N46" s="60" t="n"/>
      <c r="O46" s="60" t="n"/>
      <c r="P46" s="60" t="n"/>
      <c r="Q46" s="60" t="n"/>
      <c r="R46" s="60" t="n"/>
      <c r="S46" s="60" t="n"/>
      <c r="T46" s="50">
        <f>IFERROR(LOOKUP(2,1/($H46:$S46&lt;&gt;""),$H46:$S46),"")</f>
        <v/>
      </c>
      <c r="U46" s="50">
        <f>IF($G46="","",IF($T46="","",MIN(1,IF($G46=0,IF($T46&lt;=0,1,0),IF($F46="↓",IFERROR($G46/$T46,0),IFERROR($T46/$G46,0))))))</f>
        <v/>
      </c>
      <c r="V46" s="54">
        <f>IF($U46="","⏳ بانتظار هدف",IF($U46&gt;=1.0,"✅ محقق",IF($U46&gt;=0.85,"🟡 قريب","🔴 تحت الهدف")))</f>
        <v/>
      </c>
      <c r="W46" s="61">
        <f>IF($G46="","",$G46)</f>
        <v/>
      </c>
      <c r="X46" s="54">
        <f>IF($U46="","—",IF($U46&gt;=0.85,"🟢 على المسار","🟠 متأخّر"))</f>
        <v/>
      </c>
    </row>
    <row r="47" ht="22" customHeight="1">
      <c r="A47" s="54" t="n">
        <v>44</v>
      </c>
      <c r="B47" s="13" t="inlineStr">
        <is>
          <t>الاستثمار</t>
        </is>
      </c>
      <c r="C47" s="11" t="inlineStr">
        <is>
          <t>عدد فرص الاستثمار</t>
        </is>
      </c>
      <c r="D47" s="15" t="inlineStr">
        <is>
          <t>شهري</t>
        </is>
      </c>
      <c r="E47" s="15" t="inlineStr">
        <is>
          <t>تراكمي</t>
        </is>
      </c>
      <c r="F47" s="49" t="inlineStr">
        <is>
          <t>↑</t>
        </is>
      </c>
      <c r="G47" s="55" t="n">
        <v>20</v>
      </c>
      <c r="H47" s="56" t="n"/>
      <c r="I47" s="56" t="n"/>
      <c r="J47" s="56" t="n"/>
      <c r="K47" s="56" t="n"/>
      <c r="L47" s="56" t="n"/>
      <c r="M47" s="56" t="n"/>
      <c r="N47" s="56" t="n"/>
      <c r="O47" s="56" t="n"/>
      <c r="P47" s="56" t="n"/>
      <c r="Q47" s="56" t="n"/>
      <c r="R47" s="56" t="n"/>
      <c r="S47" s="56" t="n"/>
      <c r="T47" s="57">
        <f>IF(COUNT($H47:$S47)=0,"",SUM($H47:$S47))</f>
        <v/>
      </c>
      <c r="U47" s="50">
        <f>IF($G47="","",IF($T47="","",MIN(1,IF($G47=0,IF($T47&lt;=0,1,0),IF($F47="↓",IFERROR($G47/$T47,0),IFERROR($T47/$G47,0))))))</f>
        <v/>
      </c>
      <c r="V47" s="54">
        <f>IF($U47="","⏳ بانتظار هدف",IF($U47&gt;=1.0,"✅ محقق",IF($U47&gt;=0.85,"🟡 قريب","🔴 تحت الهدف")))</f>
        <v/>
      </c>
      <c r="W47" s="58">
        <f>IF($G47="","",$G47*COUNT($H47:$S47)/12)</f>
        <v/>
      </c>
      <c r="X47" s="54">
        <f>IF($U47="","—",IF($U47&gt;=COUNT($H47:$S47)/12,"🟢 على المسار","🟠 متأخّر"))</f>
        <v/>
      </c>
    </row>
    <row r="48" ht="22" customHeight="1">
      <c r="A48" s="54" t="n">
        <v>45</v>
      </c>
      <c r="B48" s="13" t="inlineStr">
        <is>
          <t>الاستثمار</t>
        </is>
      </c>
      <c r="C48" s="11" t="inlineStr">
        <is>
          <t>نسبة المواقع المشغّلة ذات العائد المجدي</t>
        </is>
      </c>
      <c r="D48" s="15" t="inlineStr">
        <is>
          <t>شهري</t>
        </is>
      </c>
      <c r="E48" s="15" t="inlineStr">
        <is>
          <t>معدل</t>
        </is>
      </c>
      <c r="F48" s="49" t="inlineStr">
        <is>
          <t>↑</t>
        </is>
      </c>
      <c r="G48" s="59" t="n">
        <v>0.8</v>
      </c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50">
        <f>IF(COUNT($H48:$S48)=0,"",SUM($H48:$S48)/COUNT($H48:$S48))</f>
        <v/>
      </c>
      <c r="U48" s="50">
        <f>IF($G48="","",IF($T48="","",MIN(1,IF($G48=0,IF($T48&lt;=0,1,0),IF($F48="↓",IFERROR($G48/$T48,0),IFERROR($T48/$G48,0))))))</f>
        <v/>
      </c>
      <c r="V48" s="54">
        <f>IF($U48="","⏳ بانتظار هدف",IF($U48&gt;=1.0,"✅ محقق",IF($U48&gt;=0.85,"🟡 قريب","🔴 تحت الهدف")))</f>
        <v/>
      </c>
      <c r="W48" s="61">
        <f>IF($G48="","",$G48)</f>
        <v/>
      </c>
      <c r="X48" s="54">
        <f>IF($U48="","—",IF($U48&gt;=0.85,"🟢 على المسار","🟠 متأخّر"))</f>
        <v/>
      </c>
    </row>
    <row r="49" ht="22" customHeight="1">
      <c r="A49" s="54" t="n">
        <v>46</v>
      </c>
      <c r="B49" s="13" t="inlineStr">
        <is>
          <t>الاستثمار</t>
        </is>
      </c>
      <c r="C49" s="11" t="inlineStr">
        <is>
          <t>مدى رضا المستثمرين وشركاء الاستثمار</t>
        </is>
      </c>
      <c r="D49" s="15" t="inlineStr">
        <is>
          <t>ربعي</t>
        </is>
      </c>
      <c r="E49" s="15" t="inlineStr">
        <is>
          <t>معدل</t>
        </is>
      </c>
      <c r="F49" s="49" t="inlineStr">
        <is>
          <t>↑</t>
        </is>
      </c>
      <c r="G49" s="59" t="n">
        <v>0.8</v>
      </c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50">
        <f>IF(COUNT($H49:$S49)=0,"",SUM($H49:$S49)/COUNT($H49:$S49))</f>
        <v/>
      </c>
      <c r="U49" s="50">
        <f>IF($G49="","",IF($T49="","",MIN(1,IF($G49=0,IF($T49&lt;=0,1,0),IF($F49="↓",IFERROR($G49/$T49,0),IFERROR($T49/$G49,0))))))</f>
        <v/>
      </c>
      <c r="V49" s="54">
        <f>IF($U49="","⏳ بانتظار هدف",IF($U49&gt;=0.9,"✅ محقق",IF($U49&gt;=0.75,"🟡 قريب","🔴 تحت الهدف")))</f>
        <v/>
      </c>
      <c r="W49" s="61">
        <f>IF($G49="","",$G49)</f>
        <v/>
      </c>
      <c r="X49" s="54">
        <f>IF($U49="","—",IF($U49&gt;=0.75,"🟢 على المسار","🟠 متأخّر"))</f>
        <v/>
      </c>
    </row>
    <row r="50" ht="22" customHeight="1">
      <c r="A50" s="54" t="n">
        <v>47</v>
      </c>
      <c r="B50" s="13" t="inlineStr">
        <is>
          <t>الاستثمار</t>
        </is>
      </c>
      <c r="C50" s="11" t="inlineStr">
        <is>
          <t>متوسط مدة إغلاق عقد الاستثمار</t>
        </is>
      </c>
      <c r="D50" s="15" t="inlineStr">
        <is>
          <t>شهري</t>
        </is>
      </c>
      <c r="E50" s="15" t="inlineStr">
        <is>
          <t>معدل</t>
        </is>
      </c>
      <c r="F50" s="49" t="inlineStr">
        <is>
          <t>↓</t>
        </is>
      </c>
      <c r="G50" s="62" t="n">
        <v>1</v>
      </c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4">
        <f>IF(COUNT($H50:$S50)=0,"",SUM($H50:$S50)/COUNT($H50:$S50))</f>
        <v/>
      </c>
      <c r="U50" s="50">
        <f>IF($G50="","",IF($T50="","",MIN(1,IF($G50=0,IF($T50&lt;=0,1,0),IF($F50="↓",IFERROR($G50/$T50,0),IFERROR($T50/$G50,0))))))</f>
        <v/>
      </c>
      <c r="V50" s="54">
        <f>IF($U50="","⏳ بانتظار هدف",IF($U50&gt;=1.0,"✅ محقق",IF($U50&gt;=0.85,"🟡 قريب","🔴 تحت الهدف")))</f>
        <v/>
      </c>
      <c r="W50" s="65">
        <f>IF($G50="","",$G50)</f>
        <v/>
      </c>
      <c r="X50" s="54">
        <f>IF($U50="","—",IF($U50&gt;=0.85,"🟢 على المسار","🟠 متأخّر"))</f>
        <v/>
      </c>
    </row>
    <row r="51" ht="22" customHeight="1">
      <c r="A51" s="54" t="n">
        <v>48</v>
      </c>
      <c r="B51" s="13" t="inlineStr">
        <is>
          <t>الاستثمار</t>
        </is>
      </c>
      <c r="C51" s="11" t="inlineStr">
        <is>
          <t>عدد العقود التي تغطي المناطق الـ13</t>
        </is>
      </c>
      <c r="D51" s="15" t="inlineStr">
        <is>
          <t>شهري</t>
        </is>
      </c>
      <c r="E51" s="15" t="inlineStr">
        <is>
          <t>لقطة</t>
        </is>
      </c>
      <c r="F51" s="49" t="inlineStr">
        <is>
          <t>↑</t>
        </is>
      </c>
      <c r="G51" s="55" t="n">
        <v>13</v>
      </c>
      <c r="H51" s="56" t="n"/>
      <c r="I51" s="56" t="n"/>
      <c r="J51" s="56" t="n"/>
      <c r="K51" s="56" t="n"/>
      <c r="L51" s="56" t="n"/>
      <c r="M51" s="56" t="n"/>
      <c r="N51" s="56" t="n"/>
      <c r="O51" s="56" t="n"/>
      <c r="P51" s="56" t="n"/>
      <c r="Q51" s="56" t="n"/>
      <c r="R51" s="56" t="n"/>
      <c r="S51" s="56" t="n"/>
      <c r="T51" s="57">
        <f>IFERROR(LOOKUP(2,1/($H51:$S51&lt;&gt;""),$H51:$S51),"")</f>
        <v/>
      </c>
      <c r="U51" s="50">
        <f>IF($G51="","",IF($T51="","",MIN(1,IF($G51=0,IF($T51&lt;=0,1,0),IF($F51="↓",IFERROR($G51/$T51,0),IFERROR($T51/$G51,0))))))</f>
        <v/>
      </c>
      <c r="V51" s="54">
        <f>IF($U51="","⏳ بانتظار هدف",IF($U51&gt;=1.0,"✅ محقق",IF($U51&gt;=0.85,"🟡 قريب","🔴 تحت الهدف")))</f>
        <v/>
      </c>
      <c r="W51" s="58">
        <f>IF($G51="","",$G51)</f>
        <v/>
      </c>
      <c r="X51" s="54">
        <f>IF($U51="","—",IF($U51&gt;=0.85,"🟢 على المسار","🟠 متأخّر"))</f>
        <v/>
      </c>
    </row>
    <row r="52" ht="22" customHeight="1">
      <c r="A52" s="54" t="n">
        <v>49</v>
      </c>
      <c r="B52" s="13" t="inlineStr">
        <is>
          <t>العقار</t>
        </is>
      </c>
      <c r="C52" s="11" t="inlineStr">
        <is>
          <t>نسبة إشغال الوحدات</t>
        </is>
      </c>
      <c r="D52" s="15" t="inlineStr">
        <is>
          <t>شهري</t>
        </is>
      </c>
      <c r="E52" s="15" t="inlineStr">
        <is>
          <t>معدل</t>
        </is>
      </c>
      <c r="F52" s="49" t="inlineStr">
        <is>
          <t>↑</t>
        </is>
      </c>
      <c r="G52" s="59" t="n">
        <v>0.6</v>
      </c>
      <c r="H52" s="60" t="n"/>
      <c r="I52" s="60" t="n"/>
      <c r="J52" s="60" t="n"/>
      <c r="K52" s="60" t="n"/>
      <c r="L52" s="60" t="n"/>
      <c r="M52" s="60" t="n"/>
      <c r="N52" s="60" t="n"/>
      <c r="O52" s="60" t="n"/>
      <c r="P52" s="60" t="n"/>
      <c r="Q52" s="60" t="n"/>
      <c r="R52" s="60" t="n"/>
      <c r="S52" s="60" t="n"/>
      <c r="T52" s="50">
        <f>IF(COUNT($H52:$S52)=0,"",SUM($H52:$S52)/COUNT($H52:$S52))</f>
        <v/>
      </c>
      <c r="U52" s="50">
        <f>IF($G52="","",IF($T52="","",MIN(1,IF($G52=0,IF($T52&lt;=0,1,0),IF($F52="↓",IFERROR($G52/$T52,0),IFERROR($T52/$G52,0))))))</f>
        <v/>
      </c>
      <c r="V52" s="54">
        <f>IF($U52="","⏳ بانتظار هدف",IF($U52&gt;=1.0,"✅ محقق",IF($U52&gt;=0.85,"🟡 قريب","🔴 تحت الهدف")))</f>
        <v/>
      </c>
      <c r="W52" s="61">
        <f>IF($G52="","",$G52)</f>
        <v/>
      </c>
      <c r="X52" s="54">
        <f>IF($U52="","—",IF($U52&gt;=0.85,"🟢 على المسار","🟠 متأخّر"))</f>
        <v/>
      </c>
    </row>
    <row r="53" ht="22" customHeight="1">
      <c r="A53" s="54" t="n">
        <v>50</v>
      </c>
      <c r="B53" s="13" t="inlineStr">
        <is>
          <t>العقار</t>
        </is>
      </c>
      <c r="C53" s="11" t="inlineStr">
        <is>
          <t>زيادة عدد العلامات التجارية</t>
        </is>
      </c>
      <c r="D53" s="15" t="inlineStr">
        <is>
          <t>شهري</t>
        </is>
      </c>
      <c r="E53" s="15" t="inlineStr">
        <is>
          <t>لقطة</t>
        </is>
      </c>
      <c r="F53" s="49" t="inlineStr">
        <is>
          <t>↑</t>
        </is>
      </c>
      <c r="G53" s="55" t="n">
        <v>246</v>
      </c>
      <c r="H53" s="56" t="n"/>
      <c r="I53" s="56" t="n"/>
      <c r="J53" s="56" t="n"/>
      <c r="K53" s="56" t="n"/>
      <c r="L53" s="56" t="n"/>
      <c r="M53" s="56" t="n"/>
      <c r="N53" s="56" t="n"/>
      <c r="O53" s="56" t="n"/>
      <c r="P53" s="56" t="n"/>
      <c r="Q53" s="56" t="n"/>
      <c r="R53" s="56" t="n"/>
      <c r="S53" s="56" t="n"/>
      <c r="T53" s="57">
        <f>IFERROR(LOOKUP(2,1/($H53:$S53&lt;&gt;""),$H53:$S53),"")</f>
        <v/>
      </c>
      <c r="U53" s="50">
        <f>IF($G53="","",IF($T53="","",MIN(1,IF($G53=0,IF($T53&lt;=0,1,0),IF($F53="↓",IFERROR($G53/$T53,0),IFERROR($T53/$G53,0))))))</f>
        <v/>
      </c>
      <c r="V53" s="54">
        <f>IF($U53="","⏳ بانتظار هدف",IF($U53&gt;=1.0,"✅ محقق",IF($U53&gt;=0.85,"🟡 قريب","🔴 تحت الهدف")))</f>
        <v/>
      </c>
      <c r="W53" s="58">
        <f>IF($G53="","",$G53)</f>
        <v/>
      </c>
      <c r="X53" s="54">
        <f>IF($U53="","—",IF($U53&gt;=0.85,"🟢 على المسار","🟠 متأخّر"))</f>
        <v/>
      </c>
    </row>
    <row r="54" ht="22" customHeight="1">
      <c r="A54" s="54" t="n">
        <v>51</v>
      </c>
      <c r="B54" s="13" t="inlineStr">
        <is>
          <t>العقار</t>
        </is>
      </c>
      <c r="C54" s="11" t="inlineStr">
        <is>
          <t>معدل رضا المستأجرين (استبيان ربعي)</t>
        </is>
      </c>
      <c r="D54" s="15" t="inlineStr">
        <is>
          <t>ربعي</t>
        </is>
      </c>
      <c r="E54" s="15" t="inlineStr">
        <is>
          <t>معدل</t>
        </is>
      </c>
      <c r="F54" s="49" t="inlineStr">
        <is>
          <t>↑</t>
        </is>
      </c>
      <c r="G54" s="59" t="n">
        <v>0.9</v>
      </c>
      <c r="H54" s="60" t="n"/>
      <c r="I54" s="60" t="n"/>
      <c r="J54" s="60" t="n"/>
      <c r="K54" s="60" t="n"/>
      <c r="L54" s="60" t="n"/>
      <c r="M54" s="60" t="n"/>
      <c r="N54" s="60" t="n"/>
      <c r="O54" s="60" t="n"/>
      <c r="P54" s="60" t="n"/>
      <c r="Q54" s="60" t="n"/>
      <c r="R54" s="60" t="n"/>
      <c r="S54" s="60" t="n"/>
      <c r="T54" s="50">
        <f>IF(COUNT($H54:$S54)=0,"",SUM($H54:$S54)/COUNT($H54:$S54))</f>
        <v/>
      </c>
      <c r="U54" s="50">
        <f>IF($G54="","",IF($T54="","",MIN(1,IF($G54=0,IF($T54&lt;=0,1,0),IF($F54="↓",IFERROR($G54/$T54,0),IFERROR($T54/$G54,0))))))</f>
        <v/>
      </c>
      <c r="V54" s="54">
        <f>IF($U54="","⏳ بانتظار هدف",IF($U54&gt;=0.9,"✅ محقق",IF($U54&gt;=0.75,"🟡 قريب","🔴 تحت الهدف")))</f>
        <v/>
      </c>
      <c r="W54" s="61">
        <f>IF($G54="","",$G54)</f>
        <v/>
      </c>
      <c r="X54" s="54">
        <f>IF($U54="","—",IF($U54&gt;=0.75,"🟢 على المسار","🟠 متأخّر"))</f>
        <v/>
      </c>
    </row>
    <row r="55" ht="22" customHeight="1">
      <c r="A55" s="54" t="n">
        <v>52</v>
      </c>
      <c r="B55" s="13" t="inlineStr">
        <is>
          <t>العقار</t>
        </is>
      </c>
      <c r="C55" s="11" t="inlineStr">
        <is>
          <t>نسبة تحصيل الإيجارات</t>
        </is>
      </c>
      <c r="D55" s="15" t="inlineStr">
        <is>
          <t>شهري</t>
        </is>
      </c>
      <c r="E55" s="15" t="inlineStr">
        <is>
          <t>معدل</t>
        </is>
      </c>
      <c r="F55" s="49" t="inlineStr">
        <is>
          <t>↑</t>
        </is>
      </c>
      <c r="G55" s="59" t="n">
        <v>0.95</v>
      </c>
      <c r="H55" s="60" t="n"/>
      <c r="I55" s="60" t="n"/>
      <c r="J55" s="60" t="n"/>
      <c r="K55" s="60" t="n"/>
      <c r="L55" s="60" t="n"/>
      <c r="M55" s="60" t="n"/>
      <c r="N55" s="60" t="n"/>
      <c r="O55" s="60" t="n"/>
      <c r="P55" s="60" t="n"/>
      <c r="Q55" s="60" t="n"/>
      <c r="R55" s="60" t="n"/>
      <c r="S55" s="60" t="n"/>
      <c r="T55" s="50">
        <f>IF(COUNT($H55:$S55)=0,"",SUM($H55:$S55)/COUNT($H55:$S55))</f>
        <v/>
      </c>
      <c r="U55" s="50">
        <f>IF($G55="","",IF($T55="","",MIN(1,IF($G55=0,IF($T55&lt;=0,1,0),IF($F55="↓",IFERROR($G55/$T55,0),IFERROR($T55/$G55,0))))))</f>
        <v/>
      </c>
      <c r="V55" s="54">
        <f>IF($U55="","⏳ بانتظار هدف",IF($U55&gt;=1.0,"✅ محقق",IF($U55&gt;=0.85,"🟡 قريب","🔴 تحت الهدف")))</f>
        <v/>
      </c>
      <c r="W55" s="61">
        <f>IF($G55="","",$G55)</f>
        <v/>
      </c>
      <c r="X55" s="54">
        <f>IF($U55="","—",IF($U55&gt;=0.85,"🟢 على المسار","🟠 متأخّر"))</f>
        <v/>
      </c>
    </row>
    <row r="56" ht="22" customHeight="1">
      <c r="A56" s="54" t="n">
        <v>53</v>
      </c>
      <c r="B56" s="13" t="inlineStr">
        <is>
          <t>إدارة المشاريع</t>
        </is>
      </c>
      <c r="C56" s="11" t="inlineStr">
        <is>
          <t>نسبة إنجاز محفظة المشاريع</t>
        </is>
      </c>
      <c r="D56" s="15" t="inlineStr">
        <is>
          <t>شهري</t>
        </is>
      </c>
      <c r="E56" s="15" t="inlineStr">
        <is>
          <t>معدل</t>
        </is>
      </c>
      <c r="F56" s="49" t="inlineStr">
        <is>
          <t>↑</t>
        </is>
      </c>
      <c r="G56" s="59" t="n">
        <v>0.7</v>
      </c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50">
        <f>IF(COUNT($H56:$S56)=0,"",SUM($H56:$S56)/COUNT($H56:$S56))</f>
        <v/>
      </c>
      <c r="U56" s="50">
        <f>IF($G56="","",IF($T56="","",MIN(1,IF($G56=0,IF($T56&lt;=0,1,0),IF($F56="↓",IFERROR($G56/$T56,0),IFERROR($T56/$G56,0))))))</f>
        <v/>
      </c>
      <c r="V56" s="54">
        <f>IF($U56="","⏳ بانتظار هدف",IF($U56&gt;=1.0,"✅ محقق",IF($U56&gt;=0.85,"🟡 قريب","🔴 تحت الهدف")))</f>
        <v/>
      </c>
      <c r="W56" s="61">
        <f>IF($G56="","",$G56)</f>
        <v/>
      </c>
      <c r="X56" s="54">
        <f>IF($U56="","—",IF($U56&gt;=0.85,"🟢 على المسار","🟠 متأخّر"))</f>
        <v/>
      </c>
    </row>
    <row r="57" ht="22" customHeight="1">
      <c r="A57" s="54" t="n">
        <v>54</v>
      </c>
      <c r="B57" s="13" t="inlineStr">
        <is>
          <t>إدارة المشاريع</t>
        </is>
      </c>
      <c r="C57" s="11" t="inlineStr">
        <is>
          <t>نسبة تسليم المحطات في الموعد المخطط</t>
        </is>
      </c>
      <c r="D57" s="15" t="inlineStr">
        <is>
          <t>شهري</t>
        </is>
      </c>
      <c r="E57" s="15" t="inlineStr">
        <is>
          <t>معدل</t>
        </is>
      </c>
      <c r="F57" s="49" t="inlineStr">
        <is>
          <t>↑</t>
        </is>
      </c>
      <c r="G57" s="59" t="n">
        <v>0.8</v>
      </c>
      <c r="H57" s="60" t="n"/>
      <c r="I57" s="60" t="n"/>
      <c r="J57" s="60" t="n"/>
      <c r="K57" s="60" t="n"/>
      <c r="L57" s="60" t="n"/>
      <c r="M57" s="60" t="n"/>
      <c r="N57" s="60" t="n"/>
      <c r="O57" s="60" t="n"/>
      <c r="P57" s="60" t="n"/>
      <c r="Q57" s="60" t="n"/>
      <c r="R57" s="60" t="n"/>
      <c r="S57" s="60" t="n"/>
      <c r="T57" s="50">
        <f>IF(COUNT($H57:$S57)=0,"",SUM($H57:$S57)/COUNT($H57:$S57))</f>
        <v/>
      </c>
      <c r="U57" s="50">
        <f>IF($G57="","",IF($T57="","",MIN(1,IF($G57=0,IF($T57&lt;=0,1,0),IF($F57="↓",IFERROR($G57/$T57,0),IFERROR($T57/$G57,0))))))</f>
        <v/>
      </c>
      <c r="V57" s="54">
        <f>IF($U57="","⏳ بانتظار هدف",IF($U57&gt;=1.0,"✅ محقق",IF($U57&gt;=0.85,"🟡 قريب","🔴 تحت الهدف")))</f>
        <v/>
      </c>
      <c r="W57" s="61">
        <f>IF($G57="","",$G57)</f>
        <v/>
      </c>
      <c r="X57" s="54">
        <f>IF($U57="","—",IF($U57&gt;=0.85,"🟢 على المسار","🟠 متأخّر"))</f>
        <v/>
      </c>
    </row>
    <row r="58" ht="22" customHeight="1">
      <c r="A58" s="54" t="n">
        <v>55</v>
      </c>
      <c r="B58" s="13" t="inlineStr">
        <is>
          <t>إدارة المشاريع</t>
        </is>
      </c>
      <c r="C58" s="11" t="inlineStr">
        <is>
          <t>متوسط مدة إغلاق قائمة الملاحظات النهائية</t>
        </is>
      </c>
      <c r="D58" s="15" t="inlineStr">
        <is>
          <t>شهري</t>
        </is>
      </c>
      <c r="E58" s="15" t="inlineStr">
        <is>
          <t>معدل</t>
        </is>
      </c>
      <c r="F58" s="49" t="inlineStr">
        <is>
          <t>↓</t>
        </is>
      </c>
      <c r="G58" s="62" t="n">
        <v>30</v>
      </c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4">
        <f>IF(COUNT($H58:$S58)=0,"",SUM($H58:$S58)/COUNT($H58:$S58))</f>
        <v/>
      </c>
      <c r="U58" s="50">
        <f>IF($G58="","",IF($T58="","",MIN(1,IF($G58=0,IF($T58&lt;=0,1,0),IF($F58="↓",IFERROR($G58/$T58,0),IFERROR($T58/$G58,0))))))</f>
        <v/>
      </c>
      <c r="V58" s="54">
        <f>IF($U58="","⏳ بانتظار هدف",IF($U58&gt;=1.0,"✅ محقق",IF($U58&gt;=0.85,"🟡 قريب","🔴 تحت الهدف")))</f>
        <v/>
      </c>
      <c r="W58" s="65">
        <f>IF($G58="","",$G58)</f>
        <v/>
      </c>
      <c r="X58" s="54">
        <f>IF($U58="","—",IF($U58&gt;=0.85,"🟢 على المسار","🟠 متأخّر"))</f>
        <v/>
      </c>
    </row>
    <row r="59" ht="22" customHeight="1">
      <c r="A59" s="54" t="n">
        <v>56</v>
      </c>
      <c r="B59" s="13" t="inlineStr">
        <is>
          <t>سلاسل الإمداد</t>
        </is>
      </c>
      <c r="C59" s="11" t="inlineStr">
        <is>
          <t>عدد انقطاعات الوقود في المحطات</t>
        </is>
      </c>
      <c r="D59" s="15" t="inlineStr">
        <is>
          <t>شهري</t>
        </is>
      </c>
      <c r="E59" s="15" t="inlineStr">
        <is>
          <t>تراكمي</t>
        </is>
      </c>
      <c r="F59" s="49" t="inlineStr">
        <is>
          <t>↓</t>
        </is>
      </c>
      <c r="G59" s="55" t="n">
        <v>0</v>
      </c>
      <c r="H59" s="56" t="n"/>
      <c r="I59" s="56" t="n"/>
      <c r="J59" s="56" t="n"/>
      <c r="K59" s="56" t="n"/>
      <c r="L59" s="56" t="n"/>
      <c r="M59" s="56" t="n"/>
      <c r="N59" s="56" t="n"/>
      <c r="O59" s="56" t="n"/>
      <c r="P59" s="56" t="n"/>
      <c r="Q59" s="56" t="n"/>
      <c r="R59" s="56" t="n"/>
      <c r="S59" s="56" t="n"/>
      <c r="T59" s="57">
        <f>IF(COUNT($H59:$S59)=0,"",SUM($H59:$S59))</f>
        <v/>
      </c>
      <c r="U59" s="50">
        <f>IF($G59="","",IF($T59="","",MIN(1,IF($G59=0,IF($T59&lt;=0,1,0),IF($F59="↓",IFERROR($G59/$T59,0),IFERROR($T59/$G59,0))))))</f>
        <v/>
      </c>
      <c r="V59" s="54">
        <f>IF($U59="","⏳ بانتظار هدف",IF($U59&gt;=1.0,"✅ محقق",IF($U59&gt;=0.85,"🟡 قريب","🔴 تحت الهدف")))</f>
        <v/>
      </c>
      <c r="W59" s="58">
        <f>IF($G59="","",$G59*COUNT($H59:$S59)/12)</f>
        <v/>
      </c>
      <c r="X59" s="54">
        <f>IF($U59="","—",IF($U59&gt;=COUNT($H59:$S59)/12,"🟢 على المسار","🟠 متأخّر"))</f>
        <v/>
      </c>
    </row>
    <row r="60" ht="22" customHeight="1">
      <c r="A60" s="54" t="n">
        <v>57</v>
      </c>
      <c r="B60" s="13" t="inlineStr">
        <is>
          <t>سلاسل الإمداد</t>
        </is>
      </c>
      <c r="C60" s="11" t="inlineStr">
        <is>
          <t>نسبة إنجاز أوامر الشراء</t>
        </is>
      </c>
      <c r="D60" s="15" t="inlineStr">
        <is>
          <t>شهري</t>
        </is>
      </c>
      <c r="E60" s="15" t="inlineStr">
        <is>
          <t>معدل</t>
        </is>
      </c>
      <c r="F60" s="49" t="inlineStr">
        <is>
          <t>↑</t>
        </is>
      </c>
      <c r="G60" s="59" t="n">
        <v>0.95</v>
      </c>
      <c r="H60" s="60" t="n"/>
      <c r="I60" s="60" t="n"/>
      <c r="J60" s="60" t="n"/>
      <c r="K60" s="60" t="n"/>
      <c r="L60" s="60" t="n"/>
      <c r="M60" s="60" t="n"/>
      <c r="N60" s="60" t="n"/>
      <c r="O60" s="60" t="n"/>
      <c r="P60" s="60" t="n"/>
      <c r="Q60" s="60" t="n"/>
      <c r="R60" s="60" t="n"/>
      <c r="S60" s="60" t="n"/>
      <c r="T60" s="50">
        <f>IF(COUNT($H60:$S60)=0,"",SUM($H60:$S60)/COUNT($H60:$S60))</f>
        <v/>
      </c>
      <c r="U60" s="50">
        <f>IF($G60="","",IF($T60="","",MIN(1,IF($G60=0,IF($T60&lt;=0,1,0),IF($F60="↓",IFERROR($G60/$T60,0),IFERROR($T60/$G60,0))))))</f>
        <v/>
      </c>
      <c r="V60" s="54">
        <f>IF($U60="","⏳ بانتظار هدف",IF($U60&gt;=1.0,"✅ محقق",IF($U60&gt;=0.85,"🟡 قريب","🔴 تحت الهدف")))</f>
        <v/>
      </c>
      <c r="W60" s="61">
        <f>IF($G60="","",$G60)</f>
        <v/>
      </c>
      <c r="X60" s="54">
        <f>IF($U60="","—",IF($U60&gt;=0.85,"🟢 على المسار","🟠 متأخّر"))</f>
        <v/>
      </c>
    </row>
    <row r="61" ht="22" customHeight="1">
      <c r="A61" s="54" t="n">
        <v>58</v>
      </c>
      <c r="B61" s="13" t="inlineStr">
        <is>
          <t>سلاسل الإمداد</t>
        </is>
      </c>
      <c r="C61" s="11" t="inlineStr">
        <is>
          <t>مستوى رضا الموردين</t>
        </is>
      </c>
      <c r="D61" s="15" t="inlineStr">
        <is>
          <t>ربعي</t>
        </is>
      </c>
      <c r="E61" s="15" t="inlineStr">
        <is>
          <t>معدل</t>
        </is>
      </c>
      <c r="F61" s="49" t="inlineStr">
        <is>
          <t>↑</t>
        </is>
      </c>
      <c r="G61" s="59" t="n">
        <v>0.85</v>
      </c>
      <c r="H61" s="60" t="n"/>
      <c r="I61" s="60" t="n"/>
      <c r="J61" s="60" t="n"/>
      <c r="K61" s="60" t="n"/>
      <c r="L61" s="60" t="n"/>
      <c r="M61" s="60" t="n"/>
      <c r="N61" s="60" t="n"/>
      <c r="O61" s="60" t="n"/>
      <c r="P61" s="60" t="n"/>
      <c r="Q61" s="60" t="n"/>
      <c r="R61" s="60" t="n"/>
      <c r="S61" s="60" t="n"/>
      <c r="T61" s="50">
        <f>IF(COUNT($H61:$S61)=0,"",SUM($H61:$S61)/COUNT($H61:$S61))</f>
        <v/>
      </c>
      <c r="U61" s="50">
        <f>IF($G61="","",IF($T61="","",MIN(1,IF($G61=0,IF($T61&lt;=0,1,0),IF($F61="↓",IFERROR($G61/$T61,0),IFERROR($T61/$G61,0))))))</f>
        <v/>
      </c>
      <c r="V61" s="54">
        <f>IF($U61="","⏳ بانتظار هدف",IF($U61&gt;=0.9,"✅ محقق",IF($U61&gt;=0.75,"🟡 قريب","🔴 تحت الهدف")))</f>
        <v/>
      </c>
      <c r="W61" s="61">
        <f>IF($G61="","",$G61)</f>
        <v/>
      </c>
      <c r="X61" s="54">
        <f>IF($U61="","—",IF($U61&gt;=0.75,"🟢 على المسار","🟠 متأخّر"))</f>
        <v/>
      </c>
    </row>
    <row r="62" ht="22" customHeight="1">
      <c r="A62" s="54" t="n">
        <v>59</v>
      </c>
      <c r="B62" s="13" t="inlineStr">
        <is>
          <t>سلاسل الإمداد</t>
        </is>
      </c>
      <c r="C62" s="11" t="inlineStr">
        <is>
          <t>نسبة نقليات أسطول درب</t>
        </is>
      </c>
      <c r="D62" s="15" t="inlineStr">
        <is>
          <t>شهري</t>
        </is>
      </c>
      <c r="E62" s="15" t="inlineStr">
        <is>
          <t>معدل</t>
        </is>
      </c>
      <c r="F62" s="49" t="inlineStr">
        <is>
          <t>↑</t>
        </is>
      </c>
      <c r="G62" s="59" t="n">
        <v>0.3</v>
      </c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50">
        <f>IF(COUNT($H62:$S62)=0,"",SUM($H62:$S62)/COUNT($H62:$S62))</f>
        <v/>
      </c>
      <c r="U62" s="50">
        <f>IF($G62="","",IF($T62="","",MIN(1,IF($G62=0,IF($T62&lt;=0,1,0),IF($F62="↓",IFERROR($G62/$T62,0),IFERROR($T62/$G62,0))))))</f>
        <v/>
      </c>
      <c r="V62" s="54">
        <f>IF($U62="","⏳ بانتظار هدف",IF($U62&gt;=1.0,"✅ محقق",IF($U62&gt;=0.85,"🟡 قريب","🔴 تحت الهدف")))</f>
        <v/>
      </c>
      <c r="W62" s="61">
        <f>IF($G62="","",$G62)</f>
        <v/>
      </c>
      <c r="X62" s="54">
        <f>IF($U62="","—",IF($U62&gt;=0.85,"🟢 على المسار","🟠 متأخّر"))</f>
        <v/>
      </c>
    </row>
    <row r="63" ht="22" customHeight="1">
      <c r="A63" s="54" t="n">
        <v>60</v>
      </c>
      <c r="B63" s="13" t="inlineStr">
        <is>
          <t>الصيانة والأتمتة</t>
        </is>
      </c>
      <c r="C63" s="11" t="inlineStr">
        <is>
          <t>نسبة تنفيذ الصيانة الوقائية في موعدها</t>
        </is>
      </c>
      <c r="D63" s="15" t="inlineStr">
        <is>
          <t>شهري</t>
        </is>
      </c>
      <c r="E63" s="15" t="inlineStr">
        <is>
          <t>معدل</t>
        </is>
      </c>
      <c r="F63" s="49" t="inlineStr">
        <is>
          <t>↑</t>
        </is>
      </c>
      <c r="G63" s="59" t="n">
        <v>0.95</v>
      </c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50">
        <f>IF(COUNT($H63:$S63)=0,"",SUM($H63:$S63)/COUNT($H63:$S63))</f>
        <v/>
      </c>
      <c r="U63" s="50">
        <f>IF($G63="","",IF($T63="","",MIN(1,IF($G63=0,IF($T63&lt;=0,1,0),IF($F63="↓",IFERROR($G63/$T63,0),IFERROR($T63/$G63,0))))))</f>
        <v/>
      </c>
      <c r="V63" s="54">
        <f>IF($U63="","⏳ بانتظار هدف",IF($U63&gt;=1.0,"✅ محقق",IF($U63&gt;=0.85,"🟡 قريب","🔴 تحت الهدف")))</f>
        <v/>
      </c>
      <c r="W63" s="61">
        <f>IF($G63="","",$G63)</f>
        <v/>
      </c>
      <c r="X63" s="54">
        <f>IF($U63="","—",IF($U63&gt;=0.85,"🟢 على المسار","🟠 متأخّر"))</f>
        <v/>
      </c>
    </row>
    <row r="64" ht="22" customHeight="1">
      <c r="A64" s="54" t="n">
        <v>61</v>
      </c>
      <c r="B64" s="13" t="inlineStr">
        <is>
          <t>الصيانة والأتمتة</t>
        </is>
      </c>
      <c r="C64" s="11" t="inlineStr">
        <is>
          <t>معدل تكرار الأعطال</t>
        </is>
      </c>
      <c r="D64" s="15" t="inlineStr">
        <is>
          <t>شهري</t>
        </is>
      </c>
      <c r="E64" s="15" t="inlineStr">
        <is>
          <t>معدل</t>
        </is>
      </c>
      <c r="F64" s="49" t="inlineStr">
        <is>
          <t>↓</t>
        </is>
      </c>
      <c r="G64" s="59" t="n">
        <v>0.05</v>
      </c>
      <c r="H64" s="60" t="n"/>
      <c r="I64" s="60" t="n"/>
      <c r="J64" s="60" t="n"/>
      <c r="K64" s="60" t="n"/>
      <c r="L64" s="60" t="n"/>
      <c r="M64" s="60" t="n"/>
      <c r="N64" s="60" t="n"/>
      <c r="O64" s="60" t="n"/>
      <c r="P64" s="60" t="n"/>
      <c r="Q64" s="60" t="n"/>
      <c r="R64" s="60" t="n"/>
      <c r="S64" s="60" t="n"/>
      <c r="T64" s="50">
        <f>IF(COUNT($H64:$S64)=0,"",SUM($H64:$S64)/COUNT($H64:$S64))</f>
        <v/>
      </c>
      <c r="U64" s="50">
        <f>IF($G64="","",IF($T64="","",MIN(1,IF($G64=0,IF($T64&lt;=0,1,0),IF($F64="↓",IFERROR($G64/$T64,0),IFERROR($T64/$G64,0))))))</f>
        <v/>
      </c>
      <c r="V64" s="54">
        <f>IF($U64="","⏳ بانتظار هدف",IF($U64&gt;=1.0,"✅ محقق",IF($U64&gt;=0.85,"🟡 قريب","🔴 تحت الهدف")))</f>
        <v/>
      </c>
      <c r="W64" s="61">
        <f>IF($G64="","",$G64)</f>
        <v/>
      </c>
      <c r="X64" s="54">
        <f>IF($U64="","—",IF($U64&gt;=0.85,"🟢 على المسار","🟠 متأخّر"))</f>
        <v/>
      </c>
    </row>
    <row r="65" ht="22" customHeight="1">
      <c r="A65" s="54" t="n">
        <v>62</v>
      </c>
      <c r="B65" s="13" t="inlineStr">
        <is>
          <t>التقنية الرقمية</t>
        </is>
      </c>
      <c r="C65" s="11" t="inlineStr">
        <is>
          <t>نسبة استقرار التشغيل التقني للمحطات</t>
        </is>
      </c>
      <c r="D65" s="15" t="inlineStr">
        <is>
          <t>شهري</t>
        </is>
      </c>
      <c r="E65" s="15" t="inlineStr">
        <is>
          <t>معدل</t>
        </is>
      </c>
      <c r="F65" s="49" t="inlineStr">
        <is>
          <t>↑</t>
        </is>
      </c>
      <c r="G65" s="59" t="n">
        <v>0.99</v>
      </c>
      <c r="H65" s="60" t="n"/>
      <c r="I65" s="60" t="n"/>
      <c r="J65" s="60" t="n"/>
      <c r="K65" s="60" t="n"/>
      <c r="L65" s="60" t="n"/>
      <c r="M65" s="60" t="n"/>
      <c r="N65" s="60" t="n"/>
      <c r="O65" s="60" t="n"/>
      <c r="P65" s="60" t="n"/>
      <c r="Q65" s="60" t="n"/>
      <c r="R65" s="60" t="n"/>
      <c r="S65" s="60" t="n"/>
      <c r="T65" s="50">
        <f>IF(COUNT($H65:$S65)=0,"",SUM($H65:$S65)/COUNT($H65:$S65))</f>
        <v/>
      </c>
      <c r="U65" s="50">
        <f>IF($G65="","",IF($T65="","",MIN(1,IF($G65=0,IF($T65&lt;=0,1,0),IF($F65="↓",IFERROR($G65/$T65,0),IFERROR($T65/$G65,0))))))</f>
        <v/>
      </c>
      <c r="V65" s="54">
        <f>IF($U65="","⏳ بانتظار هدف",IF($U65&gt;=1.0,"✅ محقق",IF($U65&gt;=0.85,"🟡 قريب","🔴 تحت الهدف")))</f>
        <v/>
      </c>
      <c r="W65" s="61">
        <f>IF($G65="","",$G65)</f>
        <v/>
      </c>
      <c r="X65" s="54">
        <f>IF($U65="","—",IF($U65&gt;=0.85,"🟢 على المسار","🟠 متأخّر"))</f>
        <v/>
      </c>
    </row>
    <row r="66" ht="22" customHeight="1">
      <c r="A66" s="54" t="n">
        <v>63</v>
      </c>
      <c r="B66" s="13" t="inlineStr">
        <is>
          <t>التقنية الرقمية</t>
        </is>
      </c>
      <c r="C66" s="11" t="inlineStr">
        <is>
          <t>نسبة إنجاز مشاريع التحول الرقمي والمشاريع التقنية حسب الخطة</t>
        </is>
      </c>
      <c r="D66" s="15" t="inlineStr">
        <is>
          <t>شهري</t>
        </is>
      </c>
      <c r="E66" s="15" t="inlineStr">
        <is>
          <t>معدل</t>
        </is>
      </c>
      <c r="F66" s="49" t="inlineStr">
        <is>
          <t>↑</t>
        </is>
      </c>
      <c r="G66" s="59" t="n">
        <v>0.9</v>
      </c>
      <c r="H66" s="60" t="n"/>
      <c r="I66" s="60" t="n"/>
      <c r="J66" s="60" t="n"/>
      <c r="K66" s="60" t="n"/>
      <c r="L66" s="60" t="n"/>
      <c r="M66" s="60" t="n"/>
      <c r="N66" s="60" t="n"/>
      <c r="O66" s="60" t="n"/>
      <c r="P66" s="60" t="n"/>
      <c r="Q66" s="60" t="n"/>
      <c r="R66" s="60" t="n"/>
      <c r="S66" s="60" t="n"/>
      <c r="T66" s="50">
        <f>IF(COUNT($H66:$S66)=0,"",SUM($H66:$S66)/COUNT($H66:$S66))</f>
        <v/>
      </c>
      <c r="U66" s="50">
        <f>IF($G66="","",IF($T66="","",MIN(1,IF($G66=0,IF($T66&lt;=0,1,0),IF($F66="↓",IFERROR($G66/$T66,0),IFERROR($T66/$G66,0))))))</f>
        <v/>
      </c>
      <c r="V66" s="54">
        <f>IF($U66="","⏳ بانتظار هدف",IF($U66&gt;=1.0,"✅ محقق",IF($U66&gt;=0.85,"🟡 قريب","🔴 تحت الهدف")))</f>
        <v/>
      </c>
      <c r="W66" s="61">
        <f>IF($G66="","",$G66)</f>
        <v/>
      </c>
      <c r="X66" s="54">
        <f>IF($U66="","—",IF($U66&gt;=0.85,"🟢 على المسار","🟠 متأخّر"))</f>
        <v/>
      </c>
    </row>
    <row r="67" ht="22" customHeight="1">
      <c r="A67" s="54" t="n">
        <v>64</v>
      </c>
      <c r="B67" s="13" t="inlineStr">
        <is>
          <t>الموارد البشرية</t>
        </is>
      </c>
      <c r="C67" s="11" t="inlineStr">
        <is>
          <t>نسبة الالتزام بنظام العمل واللوائح وخطة القوى العاملة المعتمدة</t>
        </is>
      </c>
      <c r="D67" s="15" t="inlineStr">
        <is>
          <t>شهري</t>
        </is>
      </c>
      <c r="E67" s="15" t="inlineStr">
        <is>
          <t>معدل</t>
        </is>
      </c>
      <c r="F67" s="49" t="inlineStr">
        <is>
          <t>↑</t>
        </is>
      </c>
      <c r="G67" s="59" t="n">
        <v>1</v>
      </c>
      <c r="H67" s="60" t="n"/>
      <c r="I67" s="60" t="n"/>
      <c r="J67" s="60" t="n"/>
      <c r="K67" s="60" t="n"/>
      <c r="L67" s="60" t="n"/>
      <c r="M67" s="60" t="n"/>
      <c r="N67" s="60" t="n"/>
      <c r="O67" s="60" t="n"/>
      <c r="P67" s="60" t="n"/>
      <c r="Q67" s="60" t="n"/>
      <c r="R67" s="60" t="n"/>
      <c r="S67" s="60" t="n"/>
      <c r="T67" s="50">
        <f>IF(COUNT($H67:$S67)=0,"",SUM($H67:$S67)/COUNT($H67:$S67))</f>
        <v/>
      </c>
      <c r="U67" s="50">
        <f>IF($G67="","",IF($T67="","",MIN(1,IF($G67=0,IF($T67&lt;=0,1,0),IF($F67="↓",IFERROR($G67/$T67,0),IFERROR($T67/$G67,0))))))</f>
        <v/>
      </c>
      <c r="V67" s="54">
        <f>IF($U67="","⏳ بانتظار هدف",IF($U67&gt;=1.0,"✅ محقق",IF($U67&gt;=0.85,"🟡 قريب","🔴 تحت الهدف")))</f>
        <v/>
      </c>
      <c r="W67" s="61">
        <f>IF($G67="","",$G67)</f>
        <v/>
      </c>
      <c r="X67" s="54">
        <f>IF($U67="","—",IF($U67&gt;=0.85,"🟢 على المسار","🟠 متأخّر"))</f>
        <v/>
      </c>
    </row>
    <row r="68" ht="22" customHeight="1">
      <c r="A68" s="54" t="n">
        <v>65</v>
      </c>
      <c r="B68" s="13" t="inlineStr">
        <is>
          <t>الموارد البشرية</t>
        </is>
      </c>
      <c r="C68" s="11" t="inlineStr">
        <is>
          <t>نسبة تنفيذ برامج التدريب والتأهيل المعتمدة</t>
        </is>
      </c>
      <c r="D68" s="15" t="inlineStr">
        <is>
          <t>شهري</t>
        </is>
      </c>
      <c r="E68" s="15" t="inlineStr">
        <is>
          <t>معدل</t>
        </is>
      </c>
      <c r="F68" s="49" t="inlineStr">
        <is>
          <t>↑</t>
        </is>
      </c>
      <c r="G68" s="59" t="n">
        <v>0.9</v>
      </c>
      <c r="H68" s="60" t="n"/>
      <c r="I68" s="60" t="n"/>
      <c r="J68" s="60" t="n"/>
      <c r="K68" s="60" t="n"/>
      <c r="L68" s="60" t="n"/>
      <c r="M68" s="60" t="n"/>
      <c r="N68" s="60" t="n"/>
      <c r="O68" s="60" t="n"/>
      <c r="P68" s="60" t="n"/>
      <c r="Q68" s="60" t="n"/>
      <c r="R68" s="60" t="n"/>
      <c r="S68" s="60" t="n"/>
      <c r="T68" s="50">
        <f>IF(COUNT($H68:$S68)=0,"",SUM($H68:$S68)/COUNT($H68:$S68))</f>
        <v/>
      </c>
      <c r="U68" s="50">
        <f>IF($G68="","",IF($T68="","",MIN(1,IF($G68=0,IF($T68&lt;=0,1,0),IF($F68="↓",IFERROR($G68/$T68,0),IFERROR($T68/$G68,0))))))</f>
        <v/>
      </c>
      <c r="V68" s="54">
        <f>IF($U68="","⏳ بانتظار هدف",IF($U68&gt;=1.0,"✅ محقق",IF($U68&gt;=0.85,"🟡 قريب","🔴 تحت الهدف")))</f>
        <v/>
      </c>
      <c r="W68" s="61">
        <f>IF($G68="","",$G68)</f>
        <v/>
      </c>
      <c r="X68" s="54">
        <f>IF($U68="","—",IF($U68&gt;=0.85,"🟢 على المسار","🟠 متأخّر"))</f>
        <v/>
      </c>
    </row>
    <row r="69" ht="22" customHeight="1">
      <c r="A69" s="54" t="n">
        <v>66</v>
      </c>
      <c r="B69" s="13" t="inlineStr">
        <is>
          <t>الموارد البشرية</t>
        </is>
      </c>
      <c r="C69" s="11" t="inlineStr">
        <is>
          <t>معدل دوران الموظفين</t>
        </is>
      </c>
      <c r="D69" s="15" t="inlineStr">
        <is>
          <t>شهري</t>
        </is>
      </c>
      <c r="E69" s="15" t="inlineStr">
        <is>
          <t>معدل</t>
        </is>
      </c>
      <c r="F69" s="49" t="inlineStr">
        <is>
          <t>↓</t>
        </is>
      </c>
      <c r="G69" s="59" t="n">
        <v>0.1</v>
      </c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50">
        <f>IF(COUNT($H69:$S69)=0,"",SUM($H69:$S69)/COUNT($H69:$S69))</f>
        <v/>
      </c>
      <c r="U69" s="50">
        <f>IF($G69="","",IF($T69="","",MIN(1,IF($G69=0,IF($T69&lt;=0,1,0),IF($F69="↓",IFERROR($G69/$T69,0),IFERROR($T69/$G69,0))))))</f>
        <v/>
      </c>
      <c r="V69" s="54">
        <f>IF($U69="","⏳ بانتظار هدف",IF($U69&gt;=1.0,"✅ محقق",IF($U69&gt;=0.85,"🟡 قريب","🔴 تحت الهدف")))</f>
        <v/>
      </c>
      <c r="W69" s="61">
        <f>IF($G69="","",$G69)</f>
        <v/>
      </c>
      <c r="X69" s="54">
        <f>IF($U69="","—",IF($U69&gt;=0.85,"🟢 على المسار","🟠 متأخّر"))</f>
        <v/>
      </c>
    </row>
    <row r="70" ht="22" customHeight="1">
      <c r="A70" s="54" t="n">
        <v>67</v>
      </c>
      <c r="B70" s="13" t="inlineStr">
        <is>
          <t>الموارد البشرية</t>
        </is>
      </c>
      <c r="C70" s="11" t="inlineStr">
        <is>
          <t>متوسط مدة إغلاق الشواغر المعتمدة</t>
        </is>
      </c>
      <c r="D70" s="15" t="inlineStr">
        <is>
          <t>شهري</t>
        </is>
      </c>
      <c r="E70" s="15" t="inlineStr">
        <is>
          <t>معدل</t>
        </is>
      </c>
      <c r="F70" s="49" t="inlineStr">
        <is>
          <t>↓</t>
        </is>
      </c>
      <c r="G70" s="62" t="n">
        <v>30</v>
      </c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4">
        <f>IF(COUNT($H70:$S70)=0,"",SUM($H70:$S70)/COUNT($H70:$S70))</f>
        <v/>
      </c>
      <c r="U70" s="50">
        <f>IF($G70="","",IF($T70="","",MIN(1,IF($G70=0,IF($T70&lt;=0,1,0),IF($F70="↓",IFERROR($G70/$T70,0),IFERROR($T70/$G70,0))))))</f>
        <v/>
      </c>
      <c r="V70" s="54">
        <f>IF($U70="","⏳ بانتظار هدف",IF($U70&gt;=1.0,"✅ محقق",IF($U70&gt;=0.85,"🟡 قريب","🔴 تحت الهدف")))</f>
        <v/>
      </c>
      <c r="W70" s="65">
        <f>IF($G70="","",$G70)</f>
        <v/>
      </c>
      <c r="X70" s="54">
        <f>IF($U70="","—",IF($U70&gt;=0.85,"🟢 على المسار","🟠 متأخّر"))</f>
        <v/>
      </c>
    </row>
    <row r="71" ht="22" customHeight="1">
      <c r="A71" s="54" t="n">
        <v>68</v>
      </c>
      <c r="B71" s="13" t="inlineStr">
        <is>
          <t>الموارد البشرية</t>
        </is>
      </c>
      <c r="C71" s="11" t="inlineStr">
        <is>
          <t>نسبة دقة الرواتب والمستحقات الشهرية</t>
        </is>
      </c>
      <c r="D71" s="15" t="inlineStr">
        <is>
          <t>شهري</t>
        </is>
      </c>
      <c r="E71" s="15" t="inlineStr">
        <is>
          <t>معدل</t>
        </is>
      </c>
      <c r="F71" s="49" t="inlineStr">
        <is>
          <t>↑</t>
        </is>
      </c>
      <c r="G71" s="59" t="n">
        <v>0.995</v>
      </c>
      <c r="H71" s="60" t="n"/>
      <c r="I71" s="60" t="n"/>
      <c r="J71" s="60" t="n"/>
      <c r="K71" s="60" t="n"/>
      <c r="L71" s="60" t="n"/>
      <c r="M71" s="60" t="n"/>
      <c r="N71" s="60" t="n"/>
      <c r="O71" s="60" t="n"/>
      <c r="P71" s="60" t="n"/>
      <c r="Q71" s="60" t="n"/>
      <c r="R71" s="60" t="n"/>
      <c r="S71" s="60" t="n"/>
      <c r="T71" s="50">
        <f>IF(COUNT($H71:$S71)=0,"",SUM($H71:$S71)/COUNT($H71:$S71))</f>
        <v/>
      </c>
      <c r="U71" s="50">
        <f>IF($G71="","",IF($T71="","",MIN(1,IF($G71=0,IF($T71&lt;=0,1,0),IF($F71="↓",IFERROR($G71/$T71,0),IFERROR($T71/$G71,0))))))</f>
        <v/>
      </c>
      <c r="V71" s="54">
        <f>IF($U71="","⏳ بانتظار هدف",IF($U71&gt;=1.0,"✅ محقق",IF($U71&gt;=0.85,"🟡 قريب","🔴 تحت الهدف")))</f>
        <v/>
      </c>
      <c r="W71" s="61">
        <f>IF($G71="","",$G71)</f>
        <v/>
      </c>
      <c r="X71" s="54">
        <f>IF($U71="","—",IF($U71&gt;=0.85,"🟢 على المسار","🟠 متأخّر"))</f>
        <v/>
      </c>
    </row>
    <row r="72" ht="22" customHeight="1">
      <c r="A72" s="54" t="n">
        <v>69</v>
      </c>
      <c r="B72" s="13" t="inlineStr">
        <is>
          <t>التسويق</t>
        </is>
      </c>
      <c r="C72" s="11" t="inlineStr">
        <is>
          <t>الوصول الكلي (Total Reach)</t>
        </is>
      </c>
      <c r="D72" s="15" t="inlineStr">
        <is>
          <t>شهري</t>
        </is>
      </c>
      <c r="E72" s="15" t="inlineStr">
        <is>
          <t>لقطة</t>
        </is>
      </c>
      <c r="F72" s="49" t="inlineStr">
        <is>
          <t>↑</t>
        </is>
      </c>
      <c r="G72" s="55" t="n">
        <v>50000000</v>
      </c>
      <c r="H72" s="56" t="n"/>
      <c r="I72" s="56" t="n"/>
      <c r="J72" s="56" t="n"/>
      <c r="K72" s="56" t="n"/>
      <c r="L72" s="56" t="n"/>
      <c r="M72" s="56" t="n"/>
      <c r="N72" s="56" t="n"/>
      <c r="O72" s="56" t="n"/>
      <c r="P72" s="56" t="n"/>
      <c r="Q72" s="56" t="n"/>
      <c r="R72" s="56" t="n"/>
      <c r="S72" s="56" t="n"/>
      <c r="T72" s="57">
        <f>IFERROR(LOOKUP(2,1/($H72:$S72&lt;&gt;""),$H72:$S72),"")</f>
        <v/>
      </c>
      <c r="U72" s="50">
        <f>IF($G72="","",IF($T72="","",MIN(1,IF($G72=0,IF($T72&lt;=0,1,0),IF($F72="↓",IFERROR($G72/$T72,0),IFERROR($T72/$G72,0))))))</f>
        <v/>
      </c>
      <c r="V72" s="54">
        <f>IF($U72="","⏳ بانتظار هدف",IF($U72&gt;=0.9,"✅ محقق",IF($U72&gt;=0.75,"🟡 قريب","🔴 تحت الهدف")))</f>
        <v/>
      </c>
      <c r="W72" s="58">
        <f>IF($G72="","",$G72)</f>
        <v/>
      </c>
      <c r="X72" s="54">
        <f>IF($U72="","—",IF($U72&gt;=0.75,"🟢 على المسار","🟠 متأخّر"))</f>
        <v/>
      </c>
    </row>
    <row r="73" ht="22" customHeight="1">
      <c r="A73" s="54" t="n">
        <v>70</v>
      </c>
      <c r="B73" s="13" t="inlineStr">
        <is>
          <t>التسويق</t>
        </is>
      </c>
      <c r="C73" s="11" t="inlineStr">
        <is>
          <t>معدل خفض الشكاوى</t>
        </is>
      </c>
      <c r="D73" s="15" t="inlineStr">
        <is>
          <t>شهري</t>
        </is>
      </c>
      <c r="E73" s="15" t="inlineStr">
        <is>
          <t>معدل</t>
        </is>
      </c>
      <c r="F73" s="49" t="inlineStr">
        <is>
          <t>↑</t>
        </is>
      </c>
      <c r="G73" s="59" t="n">
        <v>0.3</v>
      </c>
      <c r="H73" s="60" t="n"/>
      <c r="I73" s="60" t="n"/>
      <c r="J73" s="60" t="n"/>
      <c r="K73" s="60" t="n"/>
      <c r="L73" s="60" t="n"/>
      <c r="M73" s="60" t="n"/>
      <c r="N73" s="60" t="n"/>
      <c r="O73" s="60" t="n"/>
      <c r="P73" s="60" t="n"/>
      <c r="Q73" s="60" t="n"/>
      <c r="R73" s="60" t="n"/>
      <c r="S73" s="60" t="n"/>
      <c r="T73" s="50">
        <f>IF(COUNT($H73:$S73)=0,"",SUM($H73:$S73)/COUNT($H73:$S73))</f>
        <v/>
      </c>
      <c r="U73" s="50">
        <f>IF($G73="","",IF($T73="","",MIN(1,IF($G73=0,IF($T73&lt;=0,1,0),IF($F73="↓",IFERROR($G73/$T73,0),IFERROR($T73/$G73,0))))))</f>
        <v/>
      </c>
      <c r="V73" s="54">
        <f>IF($U73="","⏳ بانتظار هدف",IF($U73&gt;=1.0,"✅ محقق",IF($U73&gt;=0.85,"🟡 قريب","🔴 تحت الهدف")))</f>
        <v/>
      </c>
      <c r="W73" s="61">
        <f>IF($G73="","",$G73)</f>
        <v/>
      </c>
      <c r="X73" s="54">
        <f>IF($U73="","—",IF($U73&gt;=0.85,"🟢 على المسار","🟠 متأخّر"))</f>
        <v/>
      </c>
    </row>
    <row r="74" ht="22" customHeight="1">
      <c r="A74" s="54" t="n">
        <v>71</v>
      </c>
      <c r="B74" s="13" t="inlineStr">
        <is>
          <t>التسويق</t>
        </is>
      </c>
      <c r="C74" s="11" t="inlineStr">
        <is>
          <t>نسبة التزام الهوية البصرية</t>
        </is>
      </c>
      <c r="D74" s="15" t="inlineStr">
        <is>
          <t>شهري</t>
        </is>
      </c>
      <c r="E74" s="15" t="inlineStr">
        <is>
          <t>لقطة</t>
        </is>
      </c>
      <c r="F74" s="49" t="inlineStr">
        <is>
          <t>↑</t>
        </is>
      </c>
      <c r="G74" s="59" t="n">
        <v>1</v>
      </c>
      <c r="H74" s="60" t="n"/>
      <c r="I74" s="60" t="n"/>
      <c r="J74" s="60" t="n"/>
      <c r="K74" s="60" t="n"/>
      <c r="L74" s="60" t="n"/>
      <c r="M74" s="60" t="n"/>
      <c r="N74" s="60" t="n"/>
      <c r="O74" s="60" t="n"/>
      <c r="P74" s="60" t="n"/>
      <c r="Q74" s="60" t="n"/>
      <c r="R74" s="60" t="n"/>
      <c r="S74" s="60" t="n"/>
      <c r="T74" s="50">
        <f>IFERROR(LOOKUP(2,1/($H74:$S74&lt;&gt;""),$H74:$S74),"")</f>
        <v/>
      </c>
      <c r="U74" s="50">
        <f>IF($G74="","",IF($T74="","",MIN(1,IF($G74=0,IF($T74&lt;=0,1,0),IF($F74="↓",IFERROR($G74/$T74,0),IFERROR($T74/$G74,0))))))</f>
        <v/>
      </c>
      <c r="V74" s="54">
        <f>IF($U74="","⏳ بانتظار هدف",IF($U74&gt;=1.0,"✅ محقق",IF($U74&gt;=0.85,"🟡 قريب","🔴 تحت الهدف")))</f>
        <v/>
      </c>
      <c r="W74" s="61">
        <f>IF($G74="","",$G74)</f>
        <v/>
      </c>
      <c r="X74" s="54">
        <f>IF($U74="","—",IF($U74&gt;=0.85,"🟢 على المسار","🟠 متأخّر"))</f>
        <v/>
      </c>
    </row>
    <row r="75" ht="22" customHeight="1">
      <c r="A75" s="54" t="n">
        <v>72</v>
      </c>
      <c r="B75" s="13" t="inlineStr">
        <is>
          <t>التسويق</t>
        </is>
      </c>
      <c r="C75" s="11" t="inlineStr">
        <is>
          <t>عدد تنزيلات التطبيق</t>
        </is>
      </c>
      <c r="D75" s="15" t="inlineStr">
        <is>
          <t>شهري</t>
        </is>
      </c>
      <c r="E75" s="15" t="inlineStr">
        <is>
          <t>تراكمي</t>
        </is>
      </c>
      <c r="F75" s="49" t="inlineStr">
        <is>
          <t>↑</t>
        </is>
      </c>
      <c r="G75" s="55" t="n">
        <v>100000</v>
      </c>
      <c r="H75" s="56" t="n"/>
      <c r="I75" s="56" t="n"/>
      <c r="J75" s="56" t="n"/>
      <c r="K75" s="56" t="n"/>
      <c r="L75" s="56" t="n"/>
      <c r="M75" s="56" t="n"/>
      <c r="N75" s="56" t="n"/>
      <c r="O75" s="56" t="n"/>
      <c r="P75" s="56" t="n"/>
      <c r="Q75" s="56" t="n"/>
      <c r="R75" s="56" t="n"/>
      <c r="S75" s="56" t="n"/>
      <c r="T75" s="57">
        <f>IF(COUNT($H75:$S75)=0,"",SUM($H75:$S75))</f>
        <v/>
      </c>
      <c r="U75" s="50">
        <f>IF($G75="","",IF($T75="","",MIN(1,IF($G75=0,IF($T75&lt;=0,1,0),IF($F75="↓",IFERROR($G75/$T75,0),IFERROR($T75/$G75,0))))))</f>
        <v/>
      </c>
      <c r="V75" s="54">
        <f>IF($U75="","⏳ بانتظار هدف",IF($U75&gt;=1.0,"✅ محقق",IF($U75&gt;=0.85,"🟡 قريب","🔴 تحت الهدف")))</f>
        <v/>
      </c>
      <c r="W75" s="58">
        <f>IF($G75="","",$G75*COUNT($H75:$S75)/12)</f>
        <v/>
      </c>
      <c r="X75" s="54">
        <f>IF($U75="","—",IF($U75&gt;=COUNT($H75:$S75)/12,"🟢 على المسار","🟠 متأخّر"))</f>
        <v/>
      </c>
    </row>
    <row r="76" ht="22" customHeight="1">
      <c r="A76" s="54" t="n">
        <v>73</v>
      </c>
      <c r="B76" s="13" t="inlineStr">
        <is>
          <t>التسويق</t>
        </is>
      </c>
      <c r="C76" s="11" t="inlineStr">
        <is>
          <t>عدد شراكات التطبيق</t>
        </is>
      </c>
      <c r="D76" s="15" t="inlineStr">
        <is>
          <t>شهري</t>
        </is>
      </c>
      <c r="E76" s="15" t="inlineStr">
        <is>
          <t>تراكمي</t>
        </is>
      </c>
      <c r="F76" s="49" t="inlineStr">
        <is>
          <t>↑</t>
        </is>
      </c>
      <c r="G76" s="55" t="n">
        <v>10</v>
      </c>
      <c r="H76" s="56" t="n"/>
      <c r="I76" s="56" t="n"/>
      <c r="J76" s="56" t="n"/>
      <c r="K76" s="56" t="n"/>
      <c r="L76" s="56" t="n"/>
      <c r="M76" s="56" t="n"/>
      <c r="N76" s="56" t="n"/>
      <c r="O76" s="56" t="n"/>
      <c r="P76" s="56" t="n"/>
      <c r="Q76" s="56" t="n"/>
      <c r="R76" s="56" t="n"/>
      <c r="S76" s="56" t="n"/>
      <c r="T76" s="57">
        <f>IF(COUNT($H76:$S76)=0,"",SUM($H76:$S76))</f>
        <v/>
      </c>
      <c r="U76" s="50">
        <f>IF($G76="","",IF($T76="","",MIN(1,IF($G76=0,IF($T76&lt;=0,1,0),IF($F76="↓",IFERROR($G76/$T76,0),IFERROR($T76/$G76,0))))))</f>
        <v/>
      </c>
      <c r="V76" s="54">
        <f>IF($U76="","⏳ بانتظار هدف",IF($U76&gt;=1.0,"✅ محقق",IF($U76&gt;=0.85,"🟡 قريب","🔴 تحت الهدف")))</f>
        <v/>
      </c>
      <c r="W76" s="58">
        <f>IF($G76="","",$G76*COUNT($H76:$S76)/12)</f>
        <v/>
      </c>
      <c r="X76" s="54">
        <f>IF($U76="","—",IF($U76&gt;=COUNT($H76:$S76)/12,"🟢 على المسار","🟠 متأخّر"))</f>
        <v/>
      </c>
    </row>
    <row r="77" ht="22" customHeight="1">
      <c r="A77" s="54" t="n">
        <v>74</v>
      </c>
      <c r="B77" s="13" t="inlineStr">
        <is>
          <t>الجودة</t>
        </is>
      </c>
      <c r="C77" s="11" t="inlineStr"/>
      <c r="D77" s="15" t="inlineStr">
        <is>
          <t>شهري</t>
        </is>
      </c>
      <c r="E77" s="15" t="inlineStr">
        <is>
          <t>معدل</t>
        </is>
      </c>
      <c r="F77" s="49" t="inlineStr">
        <is>
          <t>↑</t>
        </is>
      </c>
      <c r="G77" s="49" t="n"/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50">
        <f>IF(COUNT($H77:$S77)=0,"",SUM($H77:$S77)/COUNT($H77:$S77))</f>
        <v/>
      </c>
      <c r="U77" s="50">
        <f>IF($G77="","",IF($T77="","",MIN(1,IF($G77=0,IF($T77&lt;=0,1,0),IF($F77="↓",IFERROR($G77/$T77,0),IFERROR($T77/$G77,0))))))</f>
        <v/>
      </c>
      <c r="V77" s="54">
        <f>IF($U77="","⏳ بانتظار هدف",IF($U77&gt;=1.0,"✅ محقق",IF($U77&gt;=0.85,"🟡 قريب","🔴 تحت الهدف")))</f>
        <v/>
      </c>
      <c r="W77" s="61">
        <f>IF($G77="","",$G77)</f>
        <v/>
      </c>
      <c r="X77" s="54">
        <f>IF($U77="","—",IF($U77&gt;=0.85,"🟢 على المسار","🟠 متأخّر"))</f>
        <v/>
      </c>
    </row>
    <row r="78" ht="22" customHeight="1">
      <c r="A78" s="54" t="n">
        <v>75</v>
      </c>
      <c r="B78" s="13" t="inlineStr">
        <is>
          <t>الجودة</t>
        </is>
      </c>
      <c r="C78" s="11" t="inlineStr"/>
      <c r="D78" s="15" t="inlineStr">
        <is>
          <t>شهري</t>
        </is>
      </c>
      <c r="E78" s="15" t="inlineStr">
        <is>
          <t>معدل</t>
        </is>
      </c>
      <c r="F78" s="49" t="inlineStr">
        <is>
          <t>↑</t>
        </is>
      </c>
      <c r="G78" s="49" t="n"/>
      <c r="H78" s="60" t="n"/>
      <c r="I78" s="60" t="n"/>
      <c r="J78" s="60" t="n"/>
      <c r="K78" s="60" t="n"/>
      <c r="L78" s="60" t="n"/>
      <c r="M78" s="60" t="n"/>
      <c r="N78" s="60" t="n"/>
      <c r="O78" s="60" t="n"/>
      <c r="P78" s="60" t="n"/>
      <c r="Q78" s="60" t="n"/>
      <c r="R78" s="60" t="n"/>
      <c r="S78" s="60" t="n"/>
      <c r="T78" s="50">
        <f>IF(COUNT($H78:$S78)=0,"",SUM($H78:$S78)/COUNT($H78:$S78))</f>
        <v/>
      </c>
      <c r="U78" s="50">
        <f>IF($G78="","",IF($T78="","",MIN(1,IF($G78=0,IF($T78&lt;=0,1,0),IF($F78="↓",IFERROR($G78/$T78,0),IFERROR($T78/$G78,0))))))</f>
        <v/>
      </c>
      <c r="V78" s="54">
        <f>IF($U78="","⏳ بانتظار هدف",IF($U78&gt;=1.0,"✅ محقق",IF($U78&gt;=0.85,"🟡 قريب","🔴 تحت الهدف")))</f>
        <v/>
      </c>
      <c r="W78" s="61">
        <f>IF($G78="","",$G78)</f>
        <v/>
      </c>
      <c r="X78" s="54">
        <f>IF($U78="","—",IF($U78&gt;=0.85,"🟢 على المسار","🟠 متأخّر"))</f>
        <v/>
      </c>
    </row>
    <row r="79" ht="22" customHeight="1">
      <c r="A79" s="54" t="n">
        <v>76</v>
      </c>
      <c r="B79" s="13" t="inlineStr">
        <is>
          <t>الجودة</t>
        </is>
      </c>
      <c r="C79" s="11" t="inlineStr"/>
      <c r="D79" s="15" t="inlineStr">
        <is>
          <t>شهري</t>
        </is>
      </c>
      <c r="E79" s="15" t="inlineStr">
        <is>
          <t>معدل</t>
        </is>
      </c>
      <c r="F79" s="49" t="inlineStr">
        <is>
          <t>↑</t>
        </is>
      </c>
      <c r="G79" s="49" t="n"/>
      <c r="H79" s="60" t="n"/>
      <c r="I79" s="60" t="n"/>
      <c r="J79" s="60" t="n"/>
      <c r="K79" s="60" t="n"/>
      <c r="L79" s="60" t="n"/>
      <c r="M79" s="60" t="n"/>
      <c r="N79" s="60" t="n"/>
      <c r="O79" s="60" t="n"/>
      <c r="P79" s="60" t="n"/>
      <c r="Q79" s="60" t="n"/>
      <c r="R79" s="60" t="n"/>
      <c r="S79" s="60" t="n"/>
      <c r="T79" s="50">
        <f>IF(COUNT($H79:$S79)=0,"",SUM($H79:$S79)/COUNT($H79:$S79))</f>
        <v/>
      </c>
      <c r="U79" s="50">
        <f>IF($G79="","",IF($T79="","",MIN(1,IF($G79=0,IF($T79&lt;=0,1,0),IF($F79="↓",IFERROR($G79/$T79,0),IFERROR($T79/$G79,0))))))</f>
        <v/>
      </c>
      <c r="V79" s="54">
        <f>IF($U79="","⏳ بانتظار هدف",IF($U79&gt;=1.0,"✅ محقق",IF($U79&gt;=0.85,"🟡 قريب","🔴 تحت الهدف")))</f>
        <v/>
      </c>
      <c r="W79" s="61">
        <f>IF($G79="","",$G79)</f>
        <v/>
      </c>
      <c r="X79" s="54">
        <f>IF($U79="","—",IF($U79&gt;=0.85,"🟢 على المسار","🟠 متأخّر"))</f>
        <v/>
      </c>
    </row>
    <row r="80" ht="22" customHeight="1">
      <c r="A80" s="54" t="n">
        <v>77</v>
      </c>
      <c r="B80" s="13" t="inlineStr">
        <is>
          <t>الجودة</t>
        </is>
      </c>
      <c r="C80" s="11" t="inlineStr"/>
      <c r="D80" s="15" t="inlineStr">
        <is>
          <t>شهري</t>
        </is>
      </c>
      <c r="E80" s="15" t="inlineStr">
        <is>
          <t>معدل</t>
        </is>
      </c>
      <c r="F80" s="49" t="inlineStr">
        <is>
          <t>↑</t>
        </is>
      </c>
      <c r="G80" s="49" t="n"/>
      <c r="H80" s="60" t="n"/>
      <c r="I80" s="60" t="n"/>
      <c r="J80" s="60" t="n"/>
      <c r="K80" s="60" t="n"/>
      <c r="L80" s="60" t="n"/>
      <c r="M80" s="60" t="n"/>
      <c r="N80" s="60" t="n"/>
      <c r="O80" s="60" t="n"/>
      <c r="P80" s="60" t="n"/>
      <c r="Q80" s="60" t="n"/>
      <c r="R80" s="60" t="n"/>
      <c r="S80" s="60" t="n"/>
      <c r="T80" s="50">
        <f>IF(COUNT($H80:$S80)=0,"",SUM($H80:$S80)/COUNT($H80:$S80))</f>
        <v/>
      </c>
      <c r="U80" s="50">
        <f>IF($G80="","",IF($T80="","",MIN(1,IF($G80=0,IF($T80&lt;=0,1,0),IF($F80="↓",IFERROR($G80/$T80,0),IFERROR($T80/$G80,0))))))</f>
        <v/>
      </c>
      <c r="V80" s="54">
        <f>IF($U80="","⏳ بانتظار هدف",IF($U80&gt;=1.0,"✅ محقق",IF($U80&gt;=0.85,"🟡 قريب","🔴 تحت الهدف")))</f>
        <v/>
      </c>
      <c r="W80" s="61">
        <f>IF($G80="","",$G80)</f>
        <v/>
      </c>
      <c r="X80" s="54">
        <f>IF($U80="","—",IF($U80&gt;=0.85,"🟢 على المسار","🟠 متأخّر"))</f>
        <v/>
      </c>
    </row>
    <row r="81" ht="22" customHeight="1">
      <c r="A81" s="54" t="n">
        <v>78</v>
      </c>
      <c r="B81" s="13" t="inlineStr">
        <is>
          <t>الجودة</t>
        </is>
      </c>
      <c r="C81" s="11" t="inlineStr"/>
      <c r="D81" s="15" t="inlineStr">
        <is>
          <t>شهري</t>
        </is>
      </c>
      <c r="E81" s="15" t="inlineStr">
        <is>
          <t>معدل</t>
        </is>
      </c>
      <c r="F81" s="49" t="inlineStr">
        <is>
          <t>↑</t>
        </is>
      </c>
      <c r="G81" s="49" t="n"/>
      <c r="H81" s="60" t="n"/>
      <c r="I81" s="60" t="n"/>
      <c r="J81" s="60" t="n"/>
      <c r="K81" s="60" t="n"/>
      <c r="L81" s="60" t="n"/>
      <c r="M81" s="60" t="n"/>
      <c r="N81" s="60" t="n"/>
      <c r="O81" s="60" t="n"/>
      <c r="P81" s="60" t="n"/>
      <c r="Q81" s="60" t="n"/>
      <c r="R81" s="60" t="n"/>
      <c r="S81" s="60" t="n"/>
      <c r="T81" s="50">
        <f>IF(COUNT($H81:$S81)=0,"",SUM($H81:$S81)/COUNT($H81:$S81))</f>
        <v/>
      </c>
      <c r="U81" s="50">
        <f>IF($G81="","",IF($T81="","",MIN(1,IF($G81=0,IF($T81&lt;=0,1,0),IF($F81="↓",IFERROR($G81/$T81,0),IFERROR($T81/$G81,0))))))</f>
        <v/>
      </c>
      <c r="V81" s="54">
        <f>IF($U81="","⏳ بانتظار هدف",IF($U81&gt;=1.0,"✅ محقق",IF($U81&gt;=0.85,"🟡 قريب","🔴 تحت الهدف")))</f>
        <v/>
      </c>
      <c r="W81" s="61">
        <f>IF($G81="","",$G81)</f>
        <v/>
      </c>
      <c r="X81" s="54">
        <f>IF($U81="","—",IF($U81&gt;=0.85,"🟢 على المسار","🟠 متأخّر"))</f>
        <v/>
      </c>
    </row>
    <row r="82" ht="22" customHeight="1">
      <c r="A82" s="54" t="n">
        <v>79</v>
      </c>
      <c r="B82" s="13" t="inlineStr">
        <is>
          <t>الجودة</t>
        </is>
      </c>
      <c r="C82" s="11" t="inlineStr"/>
      <c r="D82" s="15" t="inlineStr">
        <is>
          <t>شهري</t>
        </is>
      </c>
      <c r="E82" s="15" t="inlineStr">
        <is>
          <t>معدل</t>
        </is>
      </c>
      <c r="F82" s="49" t="inlineStr">
        <is>
          <t>↑</t>
        </is>
      </c>
      <c r="G82" s="49" t="n"/>
      <c r="H82" s="60" t="n"/>
      <c r="I82" s="60" t="n"/>
      <c r="J82" s="60" t="n"/>
      <c r="K82" s="60" t="n"/>
      <c r="L82" s="60" t="n"/>
      <c r="M82" s="60" t="n"/>
      <c r="N82" s="60" t="n"/>
      <c r="O82" s="60" t="n"/>
      <c r="P82" s="60" t="n"/>
      <c r="Q82" s="60" t="n"/>
      <c r="R82" s="60" t="n"/>
      <c r="S82" s="60" t="n"/>
      <c r="T82" s="50">
        <f>IF(COUNT($H82:$S82)=0,"",SUM($H82:$S82)/COUNT($H82:$S82))</f>
        <v/>
      </c>
      <c r="U82" s="50">
        <f>IF($G82="","",IF($T82="","",MIN(1,IF($G82=0,IF($T82&lt;=0,1,0),IF($F82="↓",IFERROR($G82/$T82,0),IFERROR($T82/$G82,0))))))</f>
        <v/>
      </c>
      <c r="V82" s="54">
        <f>IF($U82="","⏳ بانتظار هدف",IF($U82&gt;=1.0,"✅ محقق",IF($U82&gt;=0.85,"🟡 قريب","🔴 تحت الهدف")))</f>
        <v/>
      </c>
      <c r="W82" s="61">
        <f>IF($G82="","",$G82)</f>
        <v/>
      </c>
      <c r="X82" s="54">
        <f>IF($U82="","—",IF($U82&gt;=0.85,"🟢 على المسار","🟠 متأخّر"))</f>
        <v/>
      </c>
    </row>
    <row r="83" ht="22" customHeight="1">
      <c r="A83" s="54" t="n">
        <v>80</v>
      </c>
      <c r="B83" s="13" t="inlineStr">
        <is>
          <t>الجودة</t>
        </is>
      </c>
      <c r="C83" s="11" t="inlineStr"/>
      <c r="D83" s="15" t="inlineStr">
        <is>
          <t>شهري</t>
        </is>
      </c>
      <c r="E83" s="15" t="inlineStr">
        <is>
          <t>معدل</t>
        </is>
      </c>
      <c r="F83" s="49" t="inlineStr">
        <is>
          <t>↑</t>
        </is>
      </c>
      <c r="G83" s="49" t="n"/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50">
        <f>IF(COUNT($H83:$S83)=0,"",SUM($H83:$S83)/COUNT($H83:$S83))</f>
        <v/>
      </c>
      <c r="U83" s="50">
        <f>IF($G83="","",IF($T83="","",MIN(1,IF($G83=0,IF($T83&lt;=0,1,0),IF($F83="↓",IFERROR($G83/$T83,0),IFERROR($T83/$G83,0))))))</f>
        <v/>
      </c>
      <c r="V83" s="54">
        <f>IF($U83="","⏳ بانتظار هدف",IF($U83&gt;=1.0,"✅ محقق",IF($U83&gt;=0.85,"🟡 قريب","🔴 تحت الهدف")))</f>
        <v/>
      </c>
      <c r="W83" s="61">
        <f>IF($G83="","",$G83)</f>
        <v/>
      </c>
      <c r="X83" s="54">
        <f>IF($U83="","—",IF($U83&gt;=0.85,"🟢 على المسار","🟠 متأخّر"))</f>
        <v/>
      </c>
    </row>
    <row r="84" ht="22" customHeight="1">
      <c r="A84" s="54" t="n">
        <v>81</v>
      </c>
      <c r="B84" s="13" t="inlineStr">
        <is>
          <t>الجودة</t>
        </is>
      </c>
      <c r="C84" s="11" t="inlineStr"/>
      <c r="D84" s="15" t="inlineStr">
        <is>
          <t>شهري</t>
        </is>
      </c>
      <c r="E84" s="15" t="inlineStr">
        <is>
          <t>معدل</t>
        </is>
      </c>
      <c r="F84" s="49" t="inlineStr">
        <is>
          <t>↑</t>
        </is>
      </c>
      <c r="G84" s="49" t="n"/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50">
        <f>IF(COUNT($H84:$S84)=0,"",SUM($H84:$S84)/COUNT($H84:$S84))</f>
        <v/>
      </c>
      <c r="U84" s="50">
        <f>IF($G84="","",IF($T84="","",MIN(1,IF($G84=0,IF($T84&lt;=0,1,0),IF($F84="↓",IFERROR($G84/$T84,0),IFERROR($T84/$G84,0))))))</f>
        <v/>
      </c>
      <c r="V84" s="54">
        <f>IF($U84="","⏳ بانتظار هدف",IF($U84&gt;=1.0,"✅ محقق",IF($U84&gt;=0.85,"🟡 قريب","🔴 تحت الهدف")))</f>
        <v/>
      </c>
      <c r="W84" s="61">
        <f>IF($G84="","",$G84)</f>
        <v/>
      </c>
      <c r="X84" s="54">
        <f>IF($U84="","—",IF($U84&gt;=0.85,"🟢 على المسار","🟠 متأخّر"))</f>
        <v/>
      </c>
    </row>
    <row r="85" ht="22" customHeight="1">
      <c r="A85" s="54" t="n">
        <v>82</v>
      </c>
      <c r="B85" s="13" t="inlineStr">
        <is>
          <t>الجودة</t>
        </is>
      </c>
      <c r="C85" s="11" t="inlineStr"/>
      <c r="D85" s="15" t="inlineStr">
        <is>
          <t>شهري</t>
        </is>
      </c>
      <c r="E85" s="15" t="inlineStr">
        <is>
          <t>معدل</t>
        </is>
      </c>
      <c r="F85" s="49" t="inlineStr">
        <is>
          <t>↑</t>
        </is>
      </c>
      <c r="G85" s="49" t="n"/>
      <c r="H85" s="60" t="n"/>
      <c r="I85" s="60" t="n"/>
      <c r="J85" s="60" t="n"/>
      <c r="K85" s="60" t="n"/>
      <c r="L85" s="60" t="n"/>
      <c r="M85" s="60" t="n"/>
      <c r="N85" s="60" t="n"/>
      <c r="O85" s="60" t="n"/>
      <c r="P85" s="60" t="n"/>
      <c r="Q85" s="60" t="n"/>
      <c r="R85" s="60" t="n"/>
      <c r="S85" s="60" t="n"/>
      <c r="T85" s="50">
        <f>IF(COUNT($H85:$S85)=0,"",SUM($H85:$S85)/COUNT($H85:$S85))</f>
        <v/>
      </c>
      <c r="U85" s="50">
        <f>IF($G85="","",IF($T85="","",MIN(1,IF($G85=0,IF($T85&lt;=0,1,0),IF($F85="↓",IFERROR($G85/$T85,0),IFERROR($T85/$G85,0))))))</f>
        <v/>
      </c>
      <c r="V85" s="54">
        <f>IF($U85="","⏳ بانتظار هدف",IF($U85&gt;=1.0,"✅ محقق",IF($U85&gt;=0.85,"🟡 قريب","🔴 تحت الهدف")))</f>
        <v/>
      </c>
      <c r="W85" s="61">
        <f>IF($G85="","",$G85)</f>
        <v/>
      </c>
      <c r="X85" s="54">
        <f>IF($U85="","—",IF($U85&gt;=0.85,"🟢 على المسار","🟠 متأخّر"))</f>
        <v/>
      </c>
    </row>
    <row r="86" ht="22" customHeight="1">
      <c r="A86" s="54" t="n">
        <v>83</v>
      </c>
      <c r="B86" s="13" t="inlineStr">
        <is>
          <t>الجودة</t>
        </is>
      </c>
      <c r="C86" s="11" t="inlineStr"/>
      <c r="D86" s="15" t="inlineStr">
        <is>
          <t>شهري</t>
        </is>
      </c>
      <c r="E86" s="15" t="inlineStr">
        <is>
          <t>معدل</t>
        </is>
      </c>
      <c r="F86" s="49" t="inlineStr">
        <is>
          <t>↑</t>
        </is>
      </c>
      <c r="G86" s="49" t="n"/>
      <c r="H86" s="60" t="n"/>
      <c r="I86" s="60" t="n"/>
      <c r="J86" s="60" t="n"/>
      <c r="K86" s="60" t="n"/>
      <c r="L86" s="60" t="n"/>
      <c r="M86" s="60" t="n"/>
      <c r="N86" s="60" t="n"/>
      <c r="O86" s="60" t="n"/>
      <c r="P86" s="60" t="n"/>
      <c r="Q86" s="60" t="n"/>
      <c r="R86" s="60" t="n"/>
      <c r="S86" s="60" t="n"/>
      <c r="T86" s="50">
        <f>IF(COUNT($H86:$S86)=0,"",SUM($H86:$S86)/COUNT($H86:$S86))</f>
        <v/>
      </c>
      <c r="U86" s="50">
        <f>IF($G86="","",IF($T86="","",MIN(1,IF($G86=0,IF($T86&lt;=0,1,0),IF($F86="↓",IFERROR($G86/$T86,0),IFERROR($T86/$G86,0))))))</f>
        <v/>
      </c>
      <c r="V86" s="54">
        <f>IF($U86="","⏳ بانتظار هدف",IF($U86&gt;=1.0,"✅ محقق",IF($U86&gt;=0.85,"🟡 قريب","🔴 تحت الهدف")))</f>
        <v/>
      </c>
      <c r="W86" s="61">
        <f>IF($G86="","",$G86)</f>
        <v/>
      </c>
      <c r="X86" s="54">
        <f>IF($U86="","—",IF($U86&gt;=0.85,"🟢 على المسار","🟠 متأخّر"))</f>
        <v/>
      </c>
    </row>
    <row r="87" ht="22" customHeight="1">
      <c r="A87" s="54" t="n">
        <v>84</v>
      </c>
      <c r="B87" s="13" t="inlineStr">
        <is>
          <t>الجودة</t>
        </is>
      </c>
      <c r="C87" s="11" t="inlineStr"/>
      <c r="D87" s="15" t="inlineStr">
        <is>
          <t>شهري</t>
        </is>
      </c>
      <c r="E87" s="15" t="inlineStr">
        <is>
          <t>معدل</t>
        </is>
      </c>
      <c r="F87" s="49" t="inlineStr">
        <is>
          <t>↑</t>
        </is>
      </c>
      <c r="G87" s="49" t="n"/>
      <c r="H87" s="60" t="n"/>
      <c r="I87" s="60" t="n"/>
      <c r="J87" s="60" t="n"/>
      <c r="K87" s="60" t="n"/>
      <c r="L87" s="60" t="n"/>
      <c r="M87" s="60" t="n"/>
      <c r="N87" s="60" t="n"/>
      <c r="O87" s="60" t="n"/>
      <c r="P87" s="60" t="n"/>
      <c r="Q87" s="60" t="n"/>
      <c r="R87" s="60" t="n"/>
      <c r="S87" s="60" t="n"/>
      <c r="T87" s="50">
        <f>IF(COUNT($H87:$S87)=0,"",SUM($H87:$S87)/COUNT($H87:$S87))</f>
        <v/>
      </c>
      <c r="U87" s="50">
        <f>IF($G87="","",IF($T87="","",MIN(1,IF($G87=0,IF($T87&lt;=0,1,0),IF($F87="↓",IFERROR($G87/$T87,0),IFERROR($T87/$G87,0))))))</f>
        <v/>
      </c>
      <c r="V87" s="54">
        <f>IF($U87="","⏳ بانتظار هدف",IF($U87&gt;=1.0,"✅ محقق",IF($U87&gt;=0.85,"🟡 قريب","🔴 تحت الهدف")))</f>
        <v/>
      </c>
      <c r="W87" s="61">
        <f>IF($G87="","",$G87)</f>
        <v/>
      </c>
      <c r="X87" s="54">
        <f>IF($U87="","—",IF($U87&gt;=0.85,"🟢 على المسار","🟠 متأخّر"))</f>
        <v/>
      </c>
    </row>
    <row r="88" ht="22" customHeight="1">
      <c r="A88" s="54" t="n">
        <v>85</v>
      </c>
      <c r="B88" s="13" t="inlineStr">
        <is>
          <t>الجودة</t>
        </is>
      </c>
      <c r="C88" s="11" t="inlineStr"/>
      <c r="D88" s="15" t="inlineStr">
        <is>
          <t>شهري</t>
        </is>
      </c>
      <c r="E88" s="15" t="inlineStr">
        <is>
          <t>معدل</t>
        </is>
      </c>
      <c r="F88" s="49" t="inlineStr">
        <is>
          <t>↑</t>
        </is>
      </c>
      <c r="G88" s="49" t="n"/>
      <c r="H88" s="60" t="n"/>
      <c r="I88" s="60" t="n"/>
      <c r="J88" s="60" t="n"/>
      <c r="K88" s="60" t="n"/>
      <c r="L88" s="60" t="n"/>
      <c r="M88" s="60" t="n"/>
      <c r="N88" s="60" t="n"/>
      <c r="O88" s="60" t="n"/>
      <c r="P88" s="60" t="n"/>
      <c r="Q88" s="60" t="n"/>
      <c r="R88" s="60" t="n"/>
      <c r="S88" s="60" t="n"/>
      <c r="T88" s="50">
        <f>IF(COUNT($H88:$S88)=0,"",SUM($H88:$S88)/COUNT($H88:$S88))</f>
        <v/>
      </c>
      <c r="U88" s="50">
        <f>IF($G88="","",IF($T88="","",MIN(1,IF($G88=0,IF($T88&lt;=0,1,0),IF($F88="↓",IFERROR($G88/$T88,0),IFERROR($T88/$G88,0))))))</f>
        <v/>
      </c>
      <c r="V88" s="54">
        <f>IF($U88="","⏳ بانتظار هدف",IF($U88&gt;=1.0,"✅ محقق",IF($U88&gt;=0.85,"🟡 قريب","🔴 تحت الهدف")))</f>
        <v/>
      </c>
      <c r="W88" s="61">
        <f>IF($G88="","",$G88)</f>
        <v/>
      </c>
      <c r="X88" s="54">
        <f>IF($U88="","—",IF($U88&gt;=0.85,"🟢 على المسار","🟠 متأخّر"))</f>
        <v/>
      </c>
    </row>
    <row r="89" ht="22" customHeight="1">
      <c r="A89" s="54" t="n">
        <v>86</v>
      </c>
      <c r="B89" s="13" t="inlineStr">
        <is>
          <t>الجودة</t>
        </is>
      </c>
      <c r="C89" s="11" t="inlineStr"/>
      <c r="D89" s="15" t="inlineStr">
        <is>
          <t>شهري</t>
        </is>
      </c>
      <c r="E89" s="15" t="inlineStr">
        <is>
          <t>معدل</t>
        </is>
      </c>
      <c r="F89" s="49" t="inlineStr">
        <is>
          <t>↑</t>
        </is>
      </c>
      <c r="G89" s="49" t="n"/>
      <c r="H89" s="60" t="n"/>
      <c r="I89" s="60" t="n"/>
      <c r="J89" s="60" t="n"/>
      <c r="K89" s="60" t="n"/>
      <c r="L89" s="60" t="n"/>
      <c r="M89" s="60" t="n"/>
      <c r="N89" s="60" t="n"/>
      <c r="O89" s="60" t="n"/>
      <c r="P89" s="60" t="n"/>
      <c r="Q89" s="60" t="n"/>
      <c r="R89" s="60" t="n"/>
      <c r="S89" s="60" t="n"/>
      <c r="T89" s="50">
        <f>IF(COUNT($H89:$S89)=0,"",SUM($H89:$S89)/COUNT($H89:$S89))</f>
        <v/>
      </c>
      <c r="U89" s="50">
        <f>IF($G89="","",IF($T89="","",MIN(1,IF($G89=0,IF($T89&lt;=0,1,0),IF($F89="↓",IFERROR($G89/$T89,0),IFERROR($T89/$G89,0))))))</f>
        <v/>
      </c>
      <c r="V89" s="54">
        <f>IF($U89="","⏳ بانتظار هدف",IF($U89&gt;=1.0,"✅ محقق",IF($U89&gt;=0.85,"🟡 قريب","🔴 تحت الهدف")))</f>
        <v/>
      </c>
      <c r="W89" s="61">
        <f>IF($G89="","",$G89)</f>
        <v/>
      </c>
      <c r="X89" s="54">
        <f>IF($U89="","—",IF($U89&gt;=0.85,"🟢 على المسار","🟠 متأخّر"))</f>
        <v/>
      </c>
    </row>
    <row r="90" ht="22" customHeight="1">
      <c r="A90" s="54" t="n">
        <v>87</v>
      </c>
      <c r="B90" s="13" t="inlineStr">
        <is>
          <t>الجودة</t>
        </is>
      </c>
      <c r="C90" s="11" t="inlineStr"/>
      <c r="D90" s="15" t="inlineStr">
        <is>
          <t>شهري</t>
        </is>
      </c>
      <c r="E90" s="15" t="inlineStr">
        <is>
          <t>معدل</t>
        </is>
      </c>
      <c r="F90" s="49" t="inlineStr">
        <is>
          <t>↑</t>
        </is>
      </c>
      <c r="G90" s="49" t="n"/>
      <c r="H90" s="60" t="n"/>
      <c r="I90" s="60" t="n"/>
      <c r="J90" s="60" t="n"/>
      <c r="K90" s="60" t="n"/>
      <c r="L90" s="60" t="n"/>
      <c r="M90" s="60" t="n"/>
      <c r="N90" s="60" t="n"/>
      <c r="O90" s="60" t="n"/>
      <c r="P90" s="60" t="n"/>
      <c r="Q90" s="60" t="n"/>
      <c r="R90" s="60" t="n"/>
      <c r="S90" s="60" t="n"/>
      <c r="T90" s="50">
        <f>IF(COUNT($H90:$S90)=0,"",SUM($H90:$S90)/COUNT($H90:$S90))</f>
        <v/>
      </c>
      <c r="U90" s="50">
        <f>IF($G90="","",IF($T90="","",MIN(1,IF($G90=0,IF($T90&lt;=0,1,0),IF($F90="↓",IFERROR($G90/$T90,0),IFERROR($T90/$G90,0))))))</f>
        <v/>
      </c>
      <c r="V90" s="54">
        <f>IF($U90="","⏳ بانتظار هدف",IF($U90&gt;=1.0,"✅ محقق",IF($U90&gt;=0.85,"🟡 قريب","🔴 تحت الهدف")))</f>
        <v/>
      </c>
      <c r="W90" s="61">
        <f>IF($G90="","",$G90)</f>
        <v/>
      </c>
      <c r="X90" s="54">
        <f>IF($U90="","—",IF($U90&gt;=0.85,"🟢 على المسار","🟠 متأخّر"))</f>
        <v/>
      </c>
    </row>
    <row r="91" ht="22" customHeight="1">
      <c r="A91" s="54" t="n">
        <v>88</v>
      </c>
      <c r="B91" s="13" t="inlineStr">
        <is>
          <t>الجودة</t>
        </is>
      </c>
      <c r="C91" s="11" t="inlineStr"/>
      <c r="D91" s="15" t="inlineStr">
        <is>
          <t>شهري</t>
        </is>
      </c>
      <c r="E91" s="15" t="inlineStr">
        <is>
          <t>معدل</t>
        </is>
      </c>
      <c r="F91" s="49" t="inlineStr">
        <is>
          <t>↑</t>
        </is>
      </c>
      <c r="G91" s="49" t="n"/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50">
        <f>IF(COUNT($H91:$S91)=0,"",SUM($H91:$S91)/COUNT($H91:$S91))</f>
        <v/>
      </c>
      <c r="U91" s="50">
        <f>IF($G91="","",IF($T91="","",MIN(1,IF($G91=0,IF($T91&lt;=0,1,0),IF($F91="↓",IFERROR($G91/$T91,0),IFERROR($T91/$G91,0))))))</f>
        <v/>
      </c>
      <c r="V91" s="54">
        <f>IF($U91="","⏳ بانتظار هدف",IF($U91&gt;=1.0,"✅ محقق",IF($U91&gt;=0.85,"🟡 قريب","🔴 تحت الهدف")))</f>
        <v/>
      </c>
      <c r="W91" s="61">
        <f>IF($G91="","",$G91)</f>
        <v/>
      </c>
      <c r="X91" s="54">
        <f>IF($U91="","—",IF($U91&gt;=0.85,"🟢 على المسار","🟠 متأخّر"))</f>
        <v/>
      </c>
    </row>
    <row r="92" ht="22" customHeight="1">
      <c r="A92" s="54" t="n">
        <v>89</v>
      </c>
      <c r="B92" s="13" t="inlineStr">
        <is>
          <t>الإدارة القانونية</t>
        </is>
      </c>
      <c r="C92" s="11" t="inlineStr">
        <is>
          <t>نسبة العقود المُراجَعة قانونياً قبل التوقيع</t>
        </is>
      </c>
      <c r="D92" s="15" t="inlineStr">
        <is>
          <t>شهري</t>
        </is>
      </c>
      <c r="E92" s="15" t="inlineStr">
        <is>
          <t>معدل</t>
        </is>
      </c>
      <c r="F92" s="49" t="inlineStr">
        <is>
          <t>↑</t>
        </is>
      </c>
      <c r="G92" s="59" t="n">
        <v>1</v>
      </c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50">
        <f>IF(COUNT($H92:$S92)=0,"",SUM($H92:$S92)/COUNT($H92:$S92))</f>
        <v/>
      </c>
      <c r="U92" s="50">
        <f>IF($G92="","",IF($T92="","",MIN(1,IF($G92=0,IF($T92&lt;=0,1,0),IF($F92="↓",IFERROR($G92/$T92,0),IFERROR($T92/$G92,0))))))</f>
        <v/>
      </c>
      <c r="V92" s="54">
        <f>IF($U92="","⏳ بانتظار هدف",IF($U92&gt;=1.0,"✅ محقق",IF($U92&gt;=0.85,"🟡 قريب","🔴 تحت الهدف")))</f>
        <v/>
      </c>
      <c r="W92" s="61">
        <f>IF($G92="","",$G92)</f>
        <v/>
      </c>
      <c r="X92" s="54">
        <f>IF($U92="","—",IF($U92&gt;=0.85,"🟢 على المسار","🟠 متأخّر"))</f>
        <v/>
      </c>
    </row>
    <row r="93" ht="22" customHeight="1">
      <c r="A93" s="54" t="n">
        <v>90</v>
      </c>
      <c r="B93" s="13" t="inlineStr">
        <is>
          <t>الإدارة القانونية</t>
        </is>
      </c>
      <c r="C93" s="11" t="inlineStr">
        <is>
          <t>نسبة القضايا المُغلقة لصالح الشركة</t>
        </is>
      </c>
      <c r="D93" s="15" t="inlineStr">
        <is>
          <t>شهري</t>
        </is>
      </c>
      <c r="E93" s="15" t="inlineStr">
        <is>
          <t>معدل</t>
        </is>
      </c>
      <c r="F93" s="49" t="inlineStr">
        <is>
          <t>↑</t>
        </is>
      </c>
      <c r="G93" s="59" t="n">
        <v>0.8</v>
      </c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50">
        <f>IF(COUNT($H93:$S93)=0,"",SUM($H93:$S93)/COUNT($H93:$S93))</f>
        <v/>
      </c>
      <c r="U93" s="50">
        <f>IF($G93="","",IF($T93="","",MIN(1,IF($G93=0,IF($T93&lt;=0,1,0),IF($F93="↓",IFERROR($G93/$T93,0),IFERROR($T93/$G93,0))))))</f>
        <v/>
      </c>
      <c r="V93" s="54">
        <f>IF($U93="","⏳ بانتظار هدف",IF($U93&gt;=1.0,"✅ محقق",IF($U93&gt;=0.85,"🟡 قريب","🔴 تحت الهدف")))</f>
        <v/>
      </c>
      <c r="W93" s="61">
        <f>IF($G93="","",$G93)</f>
        <v/>
      </c>
      <c r="X93" s="54">
        <f>IF($U93="","—",IF($U93&gt;=0.85,"🟢 على المسار","🟠 متأخّر"))</f>
        <v/>
      </c>
    </row>
    <row r="94" ht="22" customHeight="1">
      <c r="A94" s="54" t="n">
        <v>91</v>
      </c>
      <c r="B94" s="13" t="inlineStr">
        <is>
          <t>الإدارة القانونية</t>
        </is>
      </c>
      <c r="C94" s="11" t="inlineStr">
        <is>
          <t>مستوى رضا الإدارات عن الدعم القانوني</t>
        </is>
      </c>
      <c r="D94" s="15" t="inlineStr">
        <is>
          <t>ربعي</t>
        </is>
      </c>
      <c r="E94" s="15" t="inlineStr">
        <is>
          <t>معدل</t>
        </is>
      </c>
      <c r="F94" s="49" t="inlineStr">
        <is>
          <t>↑</t>
        </is>
      </c>
      <c r="G94" s="59" t="n">
        <v>0.85</v>
      </c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50">
        <f>IF(COUNT($H94:$S94)=0,"",SUM($H94:$S94)/COUNT($H94:$S94))</f>
        <v/>
      </c>
      <c r="U94" s="50">
        <f>IF($G94="","",IF($T94="","",MIN(1,IF($G94=0,IF($T94&lt;=0,1,0),IF($F94="↓",IFERROR($G94/$T94,0),IFERROR($T94/$G94,0))))))</f>
        <v/>
      </c>
      <c r="V94" s="54">
        <f>IF($U94="","⏳ بانتظار هدف",IF($U94&gt;=0.9,"✅ محقق",IF($U94&gt;=0.75,"🟡 قريب","🔴 تحت الهدف")))</f>
        <v/>
      </c>
      <c r="W94" s="61">
        <f>IF($G94="","",$G94)</f>
        <v/>
      </c>
      <c r="X94" s="54">
        <f>IF($U94="","—",IF($U94&gt;=0.75,"🟢 على المسار","🟠 متأخّر"))</f>
        <v/>
      </c>
    </row>
    <row r="95" ht="22" customHeight="1">
      <c r="A95" s="54" t="n">
        <v>92</v>
      </c>
      <c r="B95" s="13" t="inlineStr">
        <is>
          <t>الإدارة المالية</t>
        </is>
      </c>
      <c r="C95" s="11" t="inlineStr">
        <is>
          <t>نمو الإيرادات السنوي</t>
        </is>
      </c>
      <c r="D95" s="15" t="inlineStr">
        <is>
          <t>ربعي</t>
        </is>
      </c>
      <c r="E95" s="15" t="inlineStr">
        <is>
          <t>معدل</t>
        </is>
      </c>
      <c r="F95" s="49" t="inlineStr">
        <is>
          <t>↑</t>
        </is>
      </c>
      <c r="G95" s="59" t="n">
        <v>0.2</v>
      </c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50">
        <f>IF(COUNT($H95:$S95)=0,"",SUM($H95:$S95)/COUNT($H95:$S95))</f>
        <v/>
      </c>
      <c r="U95" s="50">
        <f>IF($G95="","",IF($T95="","",MIN(1,IF($G95=0,IF($T95&lt;=0,1,0),IF($F95="↓",IFERROR($G95/$T95,0),IFERROR($T95/$G95,0))))))</f>
        <v/>
      </c>
      <c r="V95" s="54">
        <f>IF($U95="","⏳ بانتظار هدف",IF($U95&gt;=1.0,"✅ محقق",IF($U95&gt;=0.85,"🟡 قريب","🔴 تحت الهدف")))</f>
        <v/>
      </c>
      <c r="W95" s="61">
        <f>IF($G95="","",$G95)</f>
        <v/>
      </c>
      <c r="X95" s="54">
        <f>IF($U95="","—",IF($U95&gt;=0.85,"🟢 على المسار","🟠 متأخّر"))</f>
        <v/>
      </c>
    </row>
    <row r="96" ht="22" customHeight="1">
      <c r="A96" s="54" t="n">
        <v>93</v>
      </c>
      <c r="B96" s="13" t="inlineStr">
        <is>
          <t>الإدارة المالية</t>
        </is>
      </c>
      <c r="C96" s="11" t="inlineStr">
        <is>
          <t>هامش EBITDA</t>
        </is>
      </c>
      <c r="D96" s="15" t="inlineStr">
        <is>
          <t>شهري</t>
        </is>
      </c>
      <c r="E96" s="15" t="inlineStr">
        <is>
          <t>معدل</t>
        </is>
      </c>
      <c r="F96" s="49" t="inlineStr">
        <is>
          <t>↑</t>
        </is>
      </c>
      <c r="G96" s="59" t="n">
        <v>0.08</v>
      </c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50">
        <f>IF(COUNT($H96:$S96)=0,"",SUM($H96:$S96)/COUNT($H96:$S96))</f>
        <v/>
      </c>
      <c r="U96" s="50">
        <f>IF($G96="","",IF($T96="","",MIN(1,IF($G96=0,IF($T96&lt;=0,1,0),IF($F96="↓",IFERROR($G96/$T96,0),IFERROR($T96/$G96,0))))))</f>
        <v/>
      </c>
      <c r="V96" s="54">
        <f>IF($U96="","⏳ بانتظار هدف",IF($U96&gt;=1.0,"✅ محقق",IF($U96&gt;=0.85,"🟡 قريب","🔴 تحت الهدف")))</f>
        <v/>
      </c>
      <c r="W96" s="61">
        <f>IF($G96="","",$G96)</f>
        <v/>
      </c>
      <c r="X96" s="54">
        <f>IF($U96="","—",IF($U96&gt;=0.85,"🟢 على المسار","🟠 متأخّر"))</f>
        <v/>
      </c>
    </row>
    <row r="97" ht="22" customHeight="1">
      <c r="A97" s="54" t="n">
        <v>94</v>
      </c>
      <c r="B97" s="13" t="inlineStr">
        <is>
          <t>الإدارة المالية</t>
        </is>
      </c>
      <c r="C97" s="11" t="inlineStr">
        <is>
          <t>هامش صافي الربح</t>
        </is>
      </c>
      <c r="D97" s="15" t="inlineStr">
        <is>
          <t>شهري</t>
        </is>
      </c>
      <c r="E97" s="15" t="inlineStr">
        <is>
          <t>معدل</t>
        </is>
      </c>
      <c r="F97" s="49" t="inlineStr">
        <is>
          <t>↑</t>
        </is>
      </c>
      <c r="G97" s="59" t="n">
        <v>0.01</v>
      </c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50">
        <f>IF(COUNT($H97:$S97)=0,"",SUM($H97:$S97)/COUNT($H97:$S97))</f>
        <v/>
      </c>
      <c r="U97" s="50">
        <f>IF($G97="","",IF($T97="","",MIN(1,IF($G97=0,IF($T97&lt;=0,1,0),IF($F97="↓",IFERROR($G97/$T97,0),IFERROR($T97/$G97,0))))))</f>
        <v/>
      </c>
      <c r="V97" s="54">
        <f>IF($U97="","⏳ بانتظار هدف",IF($U97&gt;=1.0,"✅ محقق",IF($U97&gt;=0.85,"🟡 قريب","🔴 تحت الهدف")))</f>
        <v/>
      </c>
      <c r="W97" s="61">
        <f>IF($G97="","",$G97)</f>
        <v/>
      </c>
      <c r="X97" s="54">
        <f>IF($U97="","—",IF($U97&gt;=0.85,"🟢 على المسار","🟠 متأخّر"))</f>
        <v/>
      </c>
    </row>
    <row r="98" ht="22" customHeight="1">
      <c r="A98" s="54" t="n">
        <v>95</v>
      </c>
      <c r="B98" s="13" t="inlineStr">
        <is>
          <t>الإدارة المالية</t>
        </is>
      </c>
      <c r="C98" s="11" t="inlineStr">
        <is>
          <t>العائد على حقوق الملكية (ROE)</t>
        </is>
      </c>
      <c r="D98" s="15" t="inlineStr">
        <is>
          <t>ربعي</t>
        </is>
      </c>
      <c r="E98" s="15" t="inlineStr">
        <is>
          <t>معدل</t>
        </is>
      </c>
      <c r="F98" s="49" t="inlineStr">
        <is>
          <t>↑</t>
        </is>
      </c>
      <c r="G98" s="59" t="n">
        <v>0.1</v>
      </c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50">
        <f>IF(COUNT($H98:$S98)=0,"",SUM($H98:$S98)/COUNT($H98:$S98))</f>
        <v/>
      </c>
      <c r="U98" s="50">
        <f>IF($G98="","",IF($T98="","",MIN(1,IF($G98=0,IF($T98&lt;=0,1,0),IF($F98="↓",IFERROR($G98/$T98,0),IFERROR($T98/$G98,0))))))</f>
        <v/>
      </c>
      <c r="V98" s="54">
        <f>IF($U98="","⏳ بانتظار هدف",IF($U98&gt;=1.0,"✅ محقق",IF($U98&gt;=0.85,"🟡 قريب","🔴 تحت الهدف")))</f>
        <v/>
      </c>
      <c r="W98" s="61">
        <f>IF($G98="","",$G98)</f>
        <v/>
      </c>
      <c r="X98" s="54">
        <f>IF($U98="","—",IF($U98&gt;=0.85,"🟢 على المسار","🟠 متأخّر"))</f>
        <v/>
      </c>
    </row>
    <row r="99" ht="22" customHeight="1">
      <c r="A99" s="54" t="n">
        <v>96</v>
      </c>
      <c r="B99" s="13" t="inlineStr">
        <is>
          <t>الإدارة المالية</t>
        </is>
      </c>
      <c r="C99" s="11" t="inlineStr">
        <is>
          <t>نسبة التدفق النقدي التشغيلي</t>
        </is>
      </c>
      <c r="D99" s="15" t="inlineStr">
        <is>
          <t>شهري</t>
        </is>
      </c>
      <c r="E99" s="15" t="inlineStr">
        <is>
          <t>معدل</t>
        </is>
      </c>
      <c r="F99" s="49" t="inlineStr">
        <is>
          <t>↑</t>
        </is>
      </c>
      <c r="G99" s="62" t="n">
        <v>1</v>
      </c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4">
        <f>IF(COUNT($H99:$S99)=0,"",SUM($H99:$S99)/COUNT($H99:$S99))</f>
        <v/>
      </c>
      <c r="U99" s="50">
        <f>IF($G99="","",IF($T99="","",MIN(1,IF($G99=0,IF($T99&lt;=0,1,0),IF($F99="↓",IFERROR($G99/$T99,0),IFERROR($T99/$G99,0))))))</f>
        <v/>
      </c>
      <c r="V99" s="54">
        <f>IF($U99="","⏳ بانتظار هدف",IF($U99&gt;=1.0,"✅ محقق",IF($U99&gt;=0.85,"🟡 قريب","🔴 تحت الهدف")))</f>
        <v/>
      </c>
      <c r="W99" s="65">
        <f>IF($G99="","",$G99)</f>
        <v/>
      </c>
      <c r="X99" s="54">
        <f>IF($U99="","—",IF($U99&gt;=0.85,"🟢 على المسار","🟠 متأخّر"))</f>
        <v/>
      </c>
    </row>
    <row r="100" ht="22" customHeight="1">
      <c r="A100" s="54" t="n">
        <v>97</v>
      </c>
      <c r="B100" s="13" t="inlineStr">
        <is>
          <t>الإدارة المالية</t>
        </is>
      </c>
      <c r="C100" s="11" t="inlineStr">
        <is>
          <t>النسبة الجارية (Current Ratio)</t>
        </is>
      </c>
      <c r="D100" s="15" t="inlineStr">
        <is>
          <t>شهري</t>
        </is>
      </c>
      <c r="E100" s="15" t="inlineStr">
        <is>
          <t>لقطة</t>
        </is>
      </c>
      <c r="F100" s="49" t="inlineStr">
        <is>
          <t>↑</t>
        </is>
      </c>
      <c r="G100" s="62" t="n">
        <v>1</v>
      </c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4">
        <f>IFERROR(LOOKUP(2,1/($H100:$S100&lt;&gt;""),$H100:$S100),"")</f>
        <v/>
      </c>
      <c r="U100" s="50">
        <f>IF($G100="","",IF($T100="","",MIN(1,IF($G100=0,IF($T100&lt;=0,1,0),IF($F100="↓",IFERROR($G100/$T100,0),IFERROR($T100/$G100,0))))))</f>
        <v/>
      </c>
      <c r="V100" s="54">
        <f>IF($U100="","⏳ بانتظار هدف",IF($U100&gt;=1.0,"✅ محقق",IF($U100&gt;=0.85,"🟡 قريب","🔴 تحت الهدف")))</f>
        <v/>
      </c>
      <c r="W100" s="65">
        <f>IF($G100="","",$G100)</f>
        <v/>
      </c>
      <c r="X100" s="54">
        <f>IF($U100="","—",IF($U100&gt;=0.85,"🟢 على المسار","🟠 متأخّر"))</f>
        <v/>
      </c>
    </row>
    <row r="101" ht="22" customHeight="1">
      <c r="A101" s="54" t="n">
        <v>98</v>
      </c>
      <c r="B101" s="13" t="inlineStr">
        <is>
          <t>الإدارة المالية</t>
        </is>
      </c>
      <c r="C101" s="11" t="inlineStr">
        <is>
          <t>دورة التحويل النقدي</t>
        </is>
      </c>
      <c r="D101" s="15" t="inlineStr">
        <is>
          <t>شهري</t>
        </is>
      </c>
      <c r="E101" s="15" t="inlineStr">
        <is>
          <t>معدل</t>
        </is>
      </c>
      <c r="F101" s="49" t="inlineStr">
        <is>
          <t>↓</t>
        </is>
      </c>
      <c r="G101" s="62" t="n">
        <v>20</v>
      </c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4">
        <f>IF(COUNT($H101:$S101)=0,"",SUM($H101:$S101)/COUNT($H101:$S101))</f>
        <v/>
      </c>
      <c r="U101" s="50">
        <f>IF($G101="","",IF($T101="","",MIN(1,IF($G101=0,IF($T101&lt;=0,1,0),IF($F101="↓",IFERROR($G101/$T101,0),IFERROR($T101/$G101,0))))))</f>
        <v/>
      </c>
      <c r="V101" s="54">
        <f>IF($U101="","⏳ بانتظار هدف",IF($U101&gt;=1.0,"✅ محقق",IF($U101&gt;=0.85,"🟡 قريب","🔴 تحت الهدف")))</f>
        <v/>
      </c>
      <c r="W101" s="65">
        <f>IF($G101="","",$G101)</f>
        <v/>
      </c>
      <c r="X101" s="54">
        <f>IF($U101="","—",IF($U101&gt;=0.85,"🟢 على المسار","🟠 متأخّر"))</f>
        <v/>
      </c>
    </row>
    <row r="102" ht="22" customHeight="1">
      <c r="A102" s="54" t="n">
        <v>99</v>
      </c>
      <c r="B102" s="13" t="inlineStr">
        <is>
          <t>الإدارة المالية</t>
        </is>
      </c>
      <c r="C102" s="11" t="inlineStr">
        <is>
          <t>متوسط أيام التحصيل العام (DSO)</t>
        </is>
      </c>
      <c r="D102" s="15" t="inlineStr">
        <is>
          <t>شهري</t>
        </is>
      </c>
      <c r="E102" s="15" t="inlineStr">
        <is>
          <t>معدل</t>
        </is>
      </c>
      <c r="F102" s="49" t="inlineStr">
        <is>
          <t>↓</t>
        </is>
      </c>
      <c r="G102" s="62" t="n">
        <v>30</v>
      </c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4">
        <f>IF(COUNT($H102:$S102)=0,"",SUM($H102:$S102)/COUNT($H102:$S102))</f>
        <v/>
      </c>
      <c r="U102" s="50">
        <f>IF($G102="","",IF($T102="","",MIN(1,IF($G102=0,IF($T102&lt;=0,1,0),IF($F102="↓",IFERROR($G102/$T102,0),IFERROR($T102/$G102,0))))))</f>
        <v/>
      </c>
      <c r="V102" s="54">
        <f>IF($U102="","⏳ بانتظار هدف",IF($U102&gt;=1.0,"✅ محقق",IF($U102&gt;=0.85,"🟡 قريب","🔴 تحت الهدف")))</f>
        <v/>
      </c>
      <c r="W102" s="65">
        <f>IF($G102="","",$G102)</f>
        <v/>
      </c>
      <c r="X102" s="54">
        <f>IF($U102="","—",IF($U102&gt;=0.85,"🟢 على المسار","🟠 متأخّر"))</f>
        <v/>
      </c>
    </row>
    <row r="103" ht="22" customHeight="1">
      <c r="A103" s="54" t="n">
        <v>100</v>
      </c>
      <c r="B103" s="13" t="inlineStr">
        <is>
          <t>الإدارة المالية</t>
        </is>
      </c>
      <c r="C103" s="11" t="inlineStr">
        <is>
          <t>نسبة التحصيل العام (الشركة)</t>
        </is>
      </c>
      <c r="D103" s="15" t="inlineStr">
        <is>
          <t>شهري</t>
        </is>
      </c>
      <c r="E103" s="15" t="inlineStr">
        <is>
          <t>معدل</t>
        </is>
      </c>
      <c r="F103" s="49" t="inlineStr">
        <is>
          <t>↑</t>
        </is>
      </c>
      <c r="G103" s="59" t="n">
        <v>0.95</v>
      </c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50">
        <f>IF(COUNT($H103:$S103)=0,"",SUM($H103:$S103)/COUNT($H103:$S103))</f>
        <v/>
      </c>
      <c r="U103" s="50">
        <f>IF($G103="","",IF($T103="","",MIN(1,IF($G103=0,IF($T103&lt;=0,1,0),IF($F103="↓",IFERROR($G103/$T103,0),IFERROR($T103/$G103,0))))))</f>
        <v/>
      </c>
      <c r="V103" s="54">
        <f>IF($U103="","⏳ بانتظار هدف",IF($U103&gt;=1.0,"✅ محقق",IF($U103&gt;=0.85,"🟡 قريب","🔴 تحت الهدف")))</f>
        <v/>
      </c>
      <c r="W103" s="61">
        <f>IF($G103="","",$G103)</f>
        <v/>
      </c>
      <c r="X103" s="54">
        <f>IF($U103="","—",IF($U103&gt;=0.85,"🟢 على المسار","🟠 متأخّر"))</f>
        <v/>
      </c>
    </row>
    <row r="104" ht="22" customHeight="1">
      <c r="A104" s="54" t="n">
        <v>101</v>
      </c>
      <c r="B104" s="13" t="inlineStr">
        <is>
          <t>الإدارة المالية</t>
        </is>
      </c>
      <c r="C104" s="11" t="inlineStr">
        <is>
          <t>نسبة الذمم المتأخرة</t>
        </is>
      </c>
      <c r="D104" s="15" t="inlineStr">
        <is>
          <t>شهري</t>
        </is>
      </c>
      <c r="E104" s="15" t="inlineStr">
        <is>
          <t>معدل</t>
        </is>
      </c>
      <c r="F104" s="49" t="inlineStr">
        <is>
          <t>↓</t>
        </is>
      </c>
      <c r="G104" s="59" t="n">
        <v>0.1</v>
      </c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50">
        <f>IF(COUNT($H104:$S104)=0,"",SUM($H104:$S104)/COUNT($H104:$S104))</f>
        <v/>
      </c>
      <c r="U104" s="50">
        <f>IF($G104="","",IF($T104="","",MIN(1,IF($G104=0,IF($T104&lt;=0,1,0),IF($F104="↓",IFERROR($G104/$T104,0),IFERROR($T104/$G104,0))))))</f>
        <v/>
      </c>
      <c r="V104" s="54">
        <f>IF($U104="","⏳ بانتظار هدف",IF($U104&gt;=1.0,"✅ محقق",IF($U104&gt;=0.85,"🟡 قريب","🔴 تحت الهدف")))</f>
        <v/>
      </c>
      <c r="W104" s="61">
        <f>IF($G104="","",$G104)</f>
        <v/>
      </c>
      <c r="X104" s="54">
        <f>IF($U104="","—",IF($U104&gt;=0.85,"🟢 على المسار","🟠 متأخّر"))</f>
        <v/>
      </c>
    </row>
    <row r="105" ht="22" customHeight="1">
      <c r="A105" s="54" t="n">
        <v>102</v>
      </c>
      <c r="B105" s="13" t="inlineStr">
        <is>
          <t>الإدارة المالية</t>
        </is>
      </c>
      <c r="C105" s="11" t="inlineStr">
        <is>
          <t>نسبة الديون المعدومة</t>
        </is>
      </c>
      <c r="D105" s="15" t="inlineStr">
        <is>
          <t>شهري</t>
        </is>
      </c>
      <c r="E105" s="15" t="inlineStr">
        <is>
          <t>معدل</t>
        </is>
      </c>
      <c r="F105" s="49" t="inlineStr">
        <is>
          <t>↓</t>
        </is>
      </c>
      <c r="G105" s="59" t="n">
        <v>0.01</v>
      </c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50">
        <f>IF(COUNT($H105:$S105)=0,"",SUM($H105:$S105)/COUNT($H105:$S105))</f>
        <v/>
      </c>
      <c r="U105" s="50">
        <f>IF($G105="","",IF($T105="","",MIN(1,IF($G105=0,IF($T105&lt;=0,1,0),IF($F105="↓",IFERROR($G105/$T105,0),IFERROR($T105/$G105,0))))))</f>
        <v/>
      </c>
      <c r="V105" s="54">
        <f>IF($U105="","⏳ بانتظار هدف",IF($U105&gt;=1.0,"✅ محقق",IF($U105&gt;=0.85,"🟡 قريب","🔴 تحت الهدف")))</f>
        <v/>
      </c>
      <c r="W105" s="61">
        <f>IF($G105="","",$G105)</f>
        <v/>
      </c>
      <c r="X105" s="54">
        <f>IF($U105="","—",IF($U105&gt;=0.85,"🟢 على المسار","🟠 متأخّر"))</f>
        <v/>
      </c>
    </row>
    <row r="106" ht="22" customHeight="1">
      <c r="A106" s="54" t="n">
        <v>103</v>
      </c>
      <c r="B106" s="13" t="inlineStr">
        <is>
          <t>الإدارة المالية</t>
        </is>
      </c>
      <c r="C106" s="11" t="inlineStr">
        <is>
          <t>سداد الموردين في الموعد</t>
        </is>
      </c>
      <c r="D106" s="15" t="inlineStr">
        <is>
          <t>شهري</t>
        </is>
      </c>
      <c r="E106" s="15" t="inlineStr">
        <is>
          <t>معدل</t>
        </is>
      </c>
      <c r="F106" s="49" t="inlineStr">
        <is>
          <t>↑</t>
        </is>
      </c>
      <c r="G106" s="59" t="n">
        <v>0.98</v>
      </c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50">
        <f>IF(COUNT($H106:$S106)=0,"",SUM($H106:$S106)/COUNT($H106:$S106))</f>
        <v/>
      </c>
      <c r="U106" s="50">
        <f>IF($G106="","",IF($T106="","",MIN(1,IF($G106=0,IF($T106&lt;=0,1,0),IF($F106="↓",IFERROR($G106/$T106,0),IFERROR($T106/$G106,0))))))</f>
        <v/>
      </c>
      <c r="V106" s="54">
        <f>IF($U106="","⏳ بانتظار هدف",IF($U106&gt;=1.0,"✅ محقق",IF($U106&gt;=0.85,"🟡 قريب","🔴 تحت الهدف")))</f>
        <v/>
      </c>
      <c r="W106" s="61">
        <f>IF($G106="","",$G106)</f>
        <v/>
      </c>
      <c r="X106" s="54">
        <f>IF($U106="","—",IF($U106&gt;=0.85,"🟢 على المسار","🟠 متأخّر"))</f>
        <v/>
      </c>
    </row>
    <row r="107" ht="22" customHeight="1">
      <c r="A107" s="54" t="n">
        <v>104</v>
      </c>
      <c r="B107" s="13" t="inlineStr">
        <is>
          <t>الإدارة المالية</t>
        </is>
      </c>
      <c r="C107" s="11" t="inlineStr">
        <is>
          <t>اكتمال مطابقة حسابات الموردين</t>
        </is>
      </c>
      <c r="D107" s="15" t="inlineStr">
        <is>
          <t>شهري</t>
        </is>
      </c>
      <c r="E107" s="15" t="inlineStr">
        <is>
          <t>معدل</t>
        </is>
      </c>
      <c r="F107" s="49" t="inlineStr">
        <is>
          <t>↑</t>
        </is>
      </c>
      <c r="G107" s="59" t="n">
        <v>0.95</v>
      </c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50">
        <f>IF(COUNT($H107:$S107)=0,"",SUM($H107:$S107)/COUNT($H107:$S107))</f>
        <v/>
      </c>
      <c r="U107" s="50">
        <f>IF($G107="","",IF($T107="","",MIN(1,IF($G107=0,IF($T107&lt;=0,1,0),IF($F107="↓",IFERROR($G107/$T107,0),IFERROR($T107/$G107,0))))))</f>
        <v/>
      </c>
      <c r="V107" s="54">
        <f>IF($U107="","⏳ بانتظار هدف",IF($U107&gt;=1.0,"✅ محقق",IF($U107&gt;=0.97,"🟡 قريب","🔴 تحت الهدف")))</f>
        <v/>
      </c>
      <c r="W107" s="61">
        <f>IF($G107="","",$G107)</f>
        <v/>
      </c>
      <c r="X107" s="54">
        <f>IF($U107="","—",IF($U107&gt;=0.97,"🟢 على المسار","🟠 متأخّر"))</f>
        <v/>
      </c>
    </row>
    <row r="108" ht="22" customHeight="1">
      <c r="A108" s="54" t="n">
        <v>105</v>
      </c>
      <c r="B108" s="13" t="inlineStr">
        <is>
          <t>الإدارة المالية</t>
        </is>
      </c>
      <c r="C108" s="11" t="inlineStr">
        <is>
          <t>دقة التنبؤ النقدي</t>
        </is>
      </c>
      <c r="D108" s="15" t="inlineStr">
        <is>
          <t>شهري</t>
        </is>
      </c>
      <c r="E108" s="15" t="inlineStr">
        <is>
          <t>معدل</t>
        </is>
      </c>
      <c r="F108" s="49" t="inlineStr">
        <is>
          <t>↑</t>
        </is>
      </c>
      <c r="G108" s="59" t="n">
        <v>0.9</v>
      </c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50">
        <f>IF(COUNT($H108:$S108)=0,"",SUM($H108:$S108)/COUNT($H108:$S108))</f>
        <v/>
      </c>
      <c r="U108" s="50">
        <f>IF($G108="","",IF($T108="","",MIN(1,IF($G108=0,IF($T108&lt;=0,1,0),IF($F108="↓",IFERROR($G108/$T108,0),IFERROR($T108/$G108,0))))))</f>
        <v/>
      </c>
      <c r="V108" s="54">
        <f>IF($U108="","⏳ بانتظار هدف",IF($U108&gt;=1.0,"✅ محقق",IF($U108&gt;=0.85,"🟡 قريب","🔴 تحت الهدف")))</f>
        <v/>
      </c>
      <c r="W108" s="61">
        <f>IF($G108="","",$G108)</f>
        <v/>
      </c>
      <c r="X108" s="54">
        <f>IF($U108="","—",IF($U108&gt;=0.85,"🟢 على المسار","🟠 متأخّر"))</f>
        <v/>
      </c>
    </row>
    <row r="109" ht="22" customHeight="1">
      <c r="A109" s="54" t="n">
        <v>106</v>
      </c>
      <c r="B109" s="13" t="inlineStr">
        <is>
          <t>الإدارة المالية</t>
        </is>
      </c>
      <c r="C109" s="11" t="inlineStr">
        <is>
          <t>تباين مخزون الوقود</t>
        </is>
      </c>
      <c r="D109" s="15" t="inlineStr">
        <is>
          <t>شهري</t>
        </is>
      </c>
      <c r="E109" s="15" t="inlineStr">
        <is>
          <t>معدل</t>
        </is>
      </c>
      <c r="F109" s="49" t="inlineStr">
        <is>
          <t>↓</t>
        </is>
      </c>
      <c r="G109" s="59" t="n">
        <v>0.001</v>
      </c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50">
        <f>IF(COUNT($H109:$S109)=0,"",SUM($H109:$S109)/COUNT($H109:$S109))</f>
        <v/>
      </c>
      <c r="U109" s="50">
        <f>IF($G109="","",IF($T109="","",MIN(1,IF($G109=0,IF($T109&lt;=0,1,0),IF($F109="↓",IFERROR($G109/$T109,0),IFERROR($T109/$G109,0))))))</f>
        <v/>
      </c>
      <c r="V109" s="54">
        <f>IF($U109="","⏳ بانتظار هدف",IF($U109&gt;=1.0,"✅ محقق",IF($U109&gt;=0.85,"🟡 قريب","🔴 تحت الهدف")))</f>
        <v/>
      </c>
      <c r="W109" s="61">
        <f>IF($G109="","",$G109)</f>
        <v/>
      </c>
      <c r="X109" s="54">
        <f>IF($U109="","—",IF($U109&gt;=0.85,"🟢 على المسار","🟠 متأخّر"))</f>
        <v/>
      </c>
    </row>
    <row r="110" ht="22" customHeight="1">
      <c r="A110" s="54" t="n">
        <v>107</v>
      </c>
      <c r="B110" s="13" t="inlineStr">
        <is>
          <t>الإدارة المالية</t>
        </is>
      </c>
      <c r="C110" s="11" t="inlineStr">
        <is>
          <t>دقة مطابقة المخزون</t>
        </is>
      </c>
      <c r="D110" s="15" t="inlineStr">
        <is>
          <t>شهري</t>
        </is>
      </c>
      <c r="E110" s="15" t="inlineStr">
        <is>
          <t>معدل</t>
        </is>
      </c>
      <c r="F110" s="49" t="inlineStr">
        <is>
          <t>↑</t>
        </is>
      </c>
      <c r="G110" s="59" t="n">
        <v>0.995</v>
      </c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50">
        <f>IF(COUNT($H110:$S110)=0,"",SUM($H110:$S110)/COUNT($H110:$S110))</f>
        <v/>
      </c>
      <c r="U110" s="50">
        <f>IF($G110="","",IF($T110="","",MIN(1,IF($G110=0,IF($T110&lt;=0,1,0),IF($F110="↓",IFERROR($G110/$T110,0),IFERROR($T110/$G110,0))))))</f>
        <v/>
      </c>
      <c r="V110" s="54">
        <f>IF($U110="","⏳ بانتظار هدف",IF($U110&gt;=1.0,"✅ محقق",IF($U110&gt;=0.97,"🟡 قريب","🔴 تحت الهدف")))</f>
        <v/>
      </c>
      <c r="W110" s="61">
        <f>IF($G110="","",$G110)</f>
        <v/>
      </c>
      <c r="X110" s="54">
        <f>IF($U110="","—",IF($U110&gt;=0.97,"🟢 على المسار","🟠 متأخّر"))</f>
        <v/>
      </c>
    </row>
    <row r="111" ht="22" customHeight="1">
      <c r="A111" s="54" t="n">
        <v>108</v>
      </c>
      <c r="B111" s="13" t="inlineStr">
        <is>
          <t>الإدارة المالية</t>
        </is>
      </c>
      <c r="C111" s="11" t="inlineStr">
        <is>
          <t>دقة تسوية أرامكو</t>
        </is>
      </c>
      <c r="D111" s="15" t="inlineStr">
        <is>
          <t>شهري</t>
        </is>
      </c>
      <c r="E111" s="15" t="inlineStr">
        <is>
          <t>معدل</t>
        </is>
      </c>
      <c r="F111" s="49" t="inlineStr">
        <is>
          <t>↑</t>
        </is>
      </c>
      <c r="G111" s="59" t="n">
        <v>1</v>
      </c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50">
        <f>IF(COUNT($H111:$S111)=0,"",SUM($H111:$S111)/COUNT($H111:$S111))</f>
        <v/>
      </c>
      <c r="U111" s="50">
        <f>IF($G111="","",IF($T111="","",MIN(1,IF($G111=0,IF($T111&lt;=0,1,0),IF($F111="↓",IFERROR($G111/$T111,0),IFERROR($T111/$G111,0))))))</f>
        <v/>
      </c>
      <c r="V111" s="54">
        <f>IF($U111="","⏳ بانتظار هدف",IF($U111&gt;=1.0,"✅ محقق",IF($U111&gt;=0.97,"🟡 قريب","🔴 تحت الهدف")))</f>
        <v/>
      </c>
      <c r="W111" s="61">
        <f>IF($G111="","",$G111)</f>
        <v/>
      </c>
      <c r="X111" s="54">
        <f>IF($U111="","—",IF($U111&gt;=0.97,"🟢 على المسار","🟠 متأخّر"))</f>
        <v/>
      </c>
    </row>
    <row r="112" ht="22" customHeight="1">
      <c r="A112" s="54" t="n">
        <v>109</v>
      </c>
      <c r="B112" s="13" t="inlineStr">
        <is>
          <t>الإدارة المالية</t>
        </is>
      </c>
      <c r="C112" s="11" t="inlineStr">
        <is>
          <t>نسبة تحصيل الامتياز</t>
        </is>
      </c>
      <c r="D112" s="15" t="inlineStr">
        <is>
          <t>شهري</t>
        </is>
      </c>
      <c r="E112" s="15" t="inlineStr">
        <is>
          <t>معدل</t>
        </is>
      </c>
      <c r="F112" s="49" t="inlineStr">
        <is>
          <t>↑</t>
        </is>
      </c>
      <c r="G112" s="59" t="n">
        <v>0.98</v>
      </c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50">
        <f>IF(COUNT($H112:$S112)=0,"",SUM($H112:$S112)/COUNT($H112:$S112))</f>
        <v/>
      </c>
      <c r="U112" s="50">
        <f>IF($G112="","",IF($T112="","",MIN(1,IF($G112=0,IF($T112&lt;=0,1,0),IF($F112="↓",IFERROR($G112/$T112,0),IFERROR($T112/$G112,0))))))</f>
        <v/>
      </c>
      <c r="V112" s="54">
        <f>IF($U112="","⏳ بانتظار هدف",IF($U112&gt;=1.0,"✅ محقق",IF($U112&gt;=0.85,"🟡 قريب","🔴 تحت الهدف")))</f>
        <v/>
      </c>
      <c r="W112" s="61">
        <f>IF($G112="","",$G112)</f>
        <v/>
      </c>
      <c r="X112" s="54">
        <f>IF($U112="","—",IF($U112&gt;=0.85,"🟢 على المسار","🟠 متأخّر"))</f>
        <v/>
      </c>
    </row>
    <row r="113" ht="22" customHeight="1">
      <c r="A113" s="54" t="n">
        <v>110</v>
      </c>
      <c r="B113" s="13" t="inlineStr">
        <is>
          <t>الإدارة المالية</t>
        </is>
      </c>
      <c r="C113" s="11" t="inlineStr">
        <is>
          <t>أيام تحصيل رسوم الامتياز</t>
        </is>
      </c>
      <c r="D113" s="15" t="inlineStr">
        <is>
          <t>شهري</t>
        </is>
      </c>
      <c r="E113" s="15" t="inlineStr">
        <is>
          <t>معدل</t>
        </is>
      </c>
      <c r="F113" s="49" t="inlineStr">
        <is>
          <t>↓</t>
        </is>
      </c>
      <c r="G113" s="62" t="n">
        <v>15</v>
      </c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4">
        <f>IF(COUNT($H113:$S113)=0,"",SUM($H113:$S113)/COUNT($H113:$S113))</f>
        <v/>
      </c>
      <c r="U113" s="50">
        <f>IF($G113="","",IF($T113="","",MIN(1,IF($G113=0,IF($T113&lt;=0,1,0),IF($F113="↓",IFERROR($G113/$T113,0),IFERROR($T113/$G113,0))))))</f>
        <v/>
      </c>
      <c r="V113" s="54">
        <f>IF($U113="","⏳ بانتظار هدف",IF($U113&gt;=1.0,"✅ محقق",IF($U113&gt;=0.85,"🟡 قريب","🔴 تحت الهدف")))</f>
        <v/>
      </c>
      <c r="W113" s="65">
        <f>IF($G113="","",$G113)</f>
        <v/>
      </c>
      <c r="X113" s="54">
        <f>IF($U113="","—",IF($U113&gt;=0.85,"🟢 على المسار","🟠 متأخّر"))</f>
        <v/>
      </c>
    </row>
    <row r="114" ht="22" customHeight="1">
      <c r="A114" s="54" t="n">
        <v>111</v>
      </c>
      <c r="B114" s="13" t="inlineStr">
        <is>
          <t>الإدارة المالية</t>
        </is>
      </c>
      <c r="C114" s="11" t="inlineStr">
        <is>
          <t>نسبة تحصيل الإيجار</t>
        </is>
      </c>
      <c r="D114" s="15" t="inlineStr">
        <is>
          <t>شهري</t>
        </is>
      </c>
      <c r="E114" s="15" t="inlineStr">
        <is>
          <t>معدل</t>
        </is>
      </c>
      <c r="F114" s="49" t="inlineStr">
        <is>
          <t>↑</t>
        </is>
      </c>
      <c r="G114" s="59" t="n">
        <v>0.98</v>
      </c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50">
        <f>IF(COUNT($H114:$S114)=0,"",SUM($H114:$S114)/COUNT($H114:$S114))</f>
        <v/>
      </c>
      <c r="U114" s="50">
        <f>IF($G114="","",IF($T114="","",MIN(1,IF($G114=0,IF($T114&lt;=0,1,0),IF($F114="↓",IFERROR($G114/$T114,0),IFERROR($T114/$G114,0))))))</f>
        <v/>
      </c>
      <c r="V114" s="54">
        <f>IF($U114="","⏳ بانتظار هدف",IF($U114&gt;=1.0,"✅ محقق",IF($U114&gt;=0.85,"🟡 قريب","🔴 تحت الهدف")))</f>
        <v/>
      </c>
      <c r="W114" s="61">
        <f>IF($G114="","",$G114)</f>
        <v/>
      </c>
      <c r="X114" s="54">
        <f>IF($U114="","—",IF($U114&gt;=0.85,"🟢 على المسار","🟠 متأخّر"))</f>
        <v/>
      </c>
    </row>
    <row r="115" ht="22" customHeight="1">
      <c r="A115" s="54" t="n">
        <v>112</v>
      </c>
      <c r="B115" s="13" t="inlineStr">
        <is>
          <t>الإدارة المالية</t>
        </is>
      </c>
      <c r="C115" s="11" t="inlineStr">
        <is>
          <t>معدل تجديد عقود الإيجار</t>
        </is>
      </c>
      <c r="D115" s="15" t="inlineStr">
        <is>
          <t>شهري</t>
        </is>
      </c>
      <c r="E115" s="15" t="inlineStr">
        <is>
          <t>معدل</t>
        </is>
      </c>
      <c r="F115" s="49" t="inlineStr">
        <is>
          <t>↑</t>
        </is>
      </c>
      <c r="G115" s="59" t="n">
        <v>0.9</v>
      </c>
      <c r="H115" s="60" t="n"/>
      <c r="I115" s="60" t="n"/>
      <c r="J115" s="60" t="n"/>
      <c r="K115" s="60" t="n"/>
      <c r="L115" s="60" t="n"/>
      <c r="M115" s="60" t="n"/>
      <c r="N115" s="60" t="n"/>
      <c r="O115" s="60" t="n"/>
      <c r="P115" s="60" t="n"/>
      <c r="Q115" s="60" t="n"/>
      <c r="R115" s="60" t="n"/>
      <c r="S115" s="60" t="n"/>
      <c r="T115" s="50">
        <f>IF(COUNT($H115:$S115)=0,"",SUM($H115:$S115)/COUNT($H115:$S115))</f>
        <v/>
      </c>
      <c r="U115" s="50">
        <f>IF($G115="","",IF($T115="","",MIN(1,IF($G115=0,IF($T115&lt;=0,1,0),IF($F115="↓",IFERROR($G115/$T115,0),IFERROR($T115/$G115,0))))))</f>
        <v/>
      </c>
      <c r="V115" s="54">
        <f>IF($U115="","⏳ بانتظار هدف",IF($U115&gt;=1.0,"✅ محقق",IF($U115&gt;=0.85,"🟡 قريب","🔴 تحت الهدف")))</f>
        <v/>
      </c>
      <c r="W115" s="61">
        <f>IF($G115="","",$G115)</f>
        <v/>
      </c>
      <c r="X115" s="54">
        <f>IF($U115="","—",IF($U115&gt;=0.85,"🟢 على المسار","🟠 متأخّر"))</f>
        <v/>
      </c>
    </row>
    <row r="116" ht="22" customHeight="1">
      <c r="A116" s="54" t="n">
        <v>113</v>
      </c>
      <c r="B116" s="13" t="inlineStr">
        <is>
          <t>الإدارة المالية</t>
        </is>
      </c>
      <c r="C116" s="11" t="inlineStr">
        <is>
          <t>انحراف الموازنة</t>
        </is>
      </c>
      <c r="D116" s="15" t="inlineStr">
        <is>
          <t>ربعي</t>
        </is>
      </c>
      <c r="E116" s="15" t="inlineStr">
        <is>
          <t>معدل</t>
        </is>
      </c>
      <c r="F116" s="49" t="inlineStr">
        <is>
          <t>↓</t>
        </is>
      </c>
      <c r="G116" s="59" t="n">
        <v>0.1</v>
      </c>
      <c r="H116" s="60" t="n"/>
      <c r="I116" s="60" t="n"/>
      <c r="J116" s="60" t="n"/>
      <c r="K116" s="60" t="n"/>
      <c r="L116" s="60" t="n"/>
      <c r="M116" s="60" t="n"/>
      <c r="N116" s="60" t="n"/>
      <c r="O116" s="60" t="n"/>
      <c r="P116" s="60" t="n"/>
      <c r="Q116" s="60" t="n"/>
      <c r="R116" s="60" t="n"/>
      <c r="S116" s="60" t="n"/>
      <c r="T116" s="50">
        <f>IF(COUNT($H116:$S116)=0,"",SUM($H116:$S116)/COUNT($H116:$S116))</f>
        <v/>
      </c>
      <c r="U116" s="50">
        <f>IF($G116="","",IF($T116="","",MIN(1,IF($G116=0,IF($T116&lt;=0,1,0),IF($F116="↓",IFERROR($G116/$T116,0),IFERROR($T116/$G116,0))))))</f>
        <v/>
      </c>
      <c r="V116" s="54">
        <f>IF($U116="","⏳ بانتظار هدف",IF($U116&gt;=1.0,"✅ محقق",IF($U116&gt;=0.85,"🟡 قريب","🔴 تحت الهدف")))</f>
        <v/>
      </c>
      <c r="W116" s="61">
        <f>IF($G116="","",$G116)</f>
        <v/>
      </c>
      <c r="X116" s="54">
        <f>IF($U116="","—",IF($U116&gt;=0.85,"🟢 على المسار","🟠 متأخّر"))</f>
        <v/>
      </c>
    </row>
    <row r="117" ht="22" customHeight="1">
      <c r="A117" s="54" t="n">
        <v>114</v>
      </c>
      <c r="B117" s="13" t="inlineStr">
        <is>
          <t>الإدارة المالية</t>
        </is>
      </c>
      <c r="C117" s="11" t="inlineStr">
        <is>
          <t>أيام الإقفال الشهري</t>
        </is>
      </c>
      <c r="D117" s="15" t="inlineStr">
        <is>
          <t>شهري</t>
        </is>
      </c>
      <c r="E117" s="15" t="inlineStr">
        <is>
          <t>معدل</t>
        </is>
      </c>
      <c r="F117" s="49" t="inlineStr">
        <is>
          <t>↓</t>
        </is>
      </c>
      <c r="G117" s="62" t="n">
        <v>6</v>
      </c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4">
        <f>IF(COUNT($H117:$S117)=0,"",SUM($H117:$S117)/COUNT($H117:$S117))</f>
        <v/>
      </c>
      <c r="U117" s="50">
        <f>IF($G117="","",IF($T117="","",MIN(1,IF($G117=0,IF($T117&lt;=0,1,0),IF($F117="↓",IFERROR($G117/$T117,0),IFERROR($T117/$G117,0))))))</f>
        <v/>
      </c>
      <c r="V117" s="54">
        <f>IF($U117="","⏳ بانتظار هدف",IF($U117&gt;=1.0,"✅ محقق",IF($U117&gt;=0.85,"🟡 قريب","🔴 تحت الهدف")))</f>
        <v/>
      </c>
      <c r="W117" s="65">
        <f>IF($G117="","",$G117)</f>
        <v/>
      </c>
      <c r="X117" s="54">
        <f>IF($U117="","—",IF($U117&gt;=0.85,"🟢 على المسار","🟠 متأخّر"))</f>
        <v/>
      </c>
    </row>
    <row r="118" ht="22" customHeight="1">
      <c r="A118" s="54" t="n">
        <v>115</v>
      </c>
      <c r="B118" s="13" t="inlineStr">
        <is>
          <t>الإدارة المالية</t>
        </is>
      </c>
      <c r="C118" s="11" t="inlineStr">
        <is>
          <t>نسبة تسويات التدقيق</t>
        </is>
      </c>
      <c r="D118" s="15" t="inlineStr">
        <is>
          <t>ربعي</t>
        </is>
      </c>
      <c r="E118" s="15" t="inlineStr">
        <is>
          <t>معدل</t>
        </is>
      </c>
      <c r="F118" s="49" t="inlineStr">
        <is>
          <t>↓</t>
        </is>
      </c>
      <c r="G118" s="59" t="n">
        <v>0.02</v>
      </c>
      <c r="H118" s="60" t="n"/>
      <c r="I118" s="60" t="n"/>
      <c r="J118" s="60" t="n"/>
      <c r="K118" s="60" t="n"/>
      <c r="L118" s="60" t="n"/>
      <c r="M118" s="60" t="n"/>
      <c r="N118" s="60" t="n"/>
      <c r="O118" s="60" t="n"/>
      <c r="P118" s="60" t="n"/>
      <c r="Q118" s="60" t="n"/>
      <c r="R118" s="60" t="n"/>
      <c r="S118" s="60" t="n"/>
      <c r="T118" s="50">
        <f>IF(COUNT($H118:$S118)=0,"",SUM($H118:$S118)/COUNT($H118:$S118))</f>
        <v/>
      </c>
      <c r="U118" s="50">
        <f>IF($G118="","",IF($T118="","",MIN(1,IF($G118=0,IF($T118&lt;=0,1,0),IF($F118="↓",IFERROR($G118/$T118,0),IFERROR($T118/$G118,0))))))</f>
        <v/>
      </c>
      <c r="V118" s="54">
        <f>IF($U118="","⏳ بانتظار هدف",IF($U118&gt;=1.0,"✅ محقق",IF($U118&gt;=0.85,"🟡 قريب","🔴 تحت الهدف")))</f>
        <v/>
      </c>
      <c r="W118" s="61">
        <f>IF($G118="","",$G118)</f>
        <v/>
      </c>
      <c r="X118" s="54">
        <f>IF($U118="","—",IF($U118&gt;=0.85,"🟢 على المسار","🟠 متأخّر"))</f>
        <v/>
      </c>
    </row>
  </sheetData>
  <autoFilter ref="A3:X118"/>
  <mergeCells count="2">
    <mergeCell ref="A2:X2"/>
    <mergeCell ref="A1: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8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1" t="n">
        <v>4</v>
      </c>
      <c r="E3" s="51" t="n">
        <v>5</v>
      </c>
      <c r="F3" s="69">
        <f>D3*E3</f>
        <v/>
      </c>
      <c r="G3" s="54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1" t="n">
        <v>3</v>
      </c>
      <c r="E4" s="51" t="n">
        <v>4</v>
      </c>
      <c r="F4" s="69">
        <f>D4*E4</f>
        <v/>
      </c>
      <c r="G4" s="54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1" t="n">
        <v>3</v>
      </c>
      <c r="E5" s="51" t="n">
        <v>5</v>
      </c>
      <c r="F5" s="69">
        <f>D5*E5</f>
        <v/>
      </c>
      <c r="G5" s="54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1" t="n">
        <v>4</v>
      </c>
      <c r="E6" s="51" t="n">
        <v>4</v>
      </c>
      <c r="F6" s="69">
        <f>D6*E6</f>
        <v/>
      </c>
      <c r="G6" s="54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1" t="n">
        <v>3</v>
      </c>
      <c r="E7" s="51" t="n">
        <v>3</v>
      </c>
      <c r="F7" s="69">
        <f>D7*E7</f>
        <v/>
      </c>
      <c r="G7" s="54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1" t="n">
        <v>2</v>
      </c>
      <c r="E8" s="51" t="n">
        <v>5</v>
      </c>
      <c r="F8" s="69">
        <f>D8*E8</f>
        <v/>
      </c>
      <c r="G8" s="54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1" t="n">
        <v>2</v>
      </c>
      <c r="E9" s="51" t="n">
        <v>5</v>
      </c>
      <c r="F9" s="69">
        <f>D9*E9</f>
        <v/>
      </c>
      <c r="G9" s="54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1" t="n">
        <v>3</v>
      </c>
      <c r="E10" s="51" t="n">
        <v>3</v>
      </c>
      <c r="F10" s="69">
        <f>D10*E10</f>
        <v/>
      </c>
      <c r="G10" s="54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1" t="n">
        <v>3</v>
      </c>
      <c r="E11" s="51" t="n">
        <v>4</v>
      </c>
      <c r="F11" s="69">
        <f>D11*E11</f>
        <v/>
      </c>
      <c r="G11" s="54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1" t="n">
        <v>2</v>
      </c>
      <c r="E12" s="51" t="n">
        <v>4</v>
      </c>
      <c r="F12" s="69">
        <f>D12*E12</f>
        <v/>
      </c>
      <c r="G12" s="54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1" t="n">
        <v>3</v>
      </c>
      <c r="E13" s="51" t="n">
        <v>3</v>
      </c>
      <c r="F13" s="69">
        <f>D13*E13</f>
        <v/>
      </c>
      <c r="G13" s="54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1" t="n">
        <v>2</v>
      </c>
      <c r="E14" s="51" t="n">
        <v>4</v>
      </c>
      <c r="F14" s="69">
        <f>D14*E14</f>
        <v/>
      </c>
      <c r="G14" s="54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8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49" t="inlineStr">
        <is>
          <t>%</t>
        </is>
      </c>
      <c r="E3" s="49" t="inlineStr">
        <is>
          <t>↑</t>
        </is>
      </c>
      <c r="F3" s="49" t="n">
        <v>1</v>
      </c>
      <c r="G3" s="15" t="inlineStr">
        <is>
          <t>100%</t>
        </is>
      </c>
      <c r="H3" s="51" t="n">
        <v>0.792</v>
      </c>
      <c r="I3" s="50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49" t="inlineStr">
        <is>
          <t>%</t>
        </is>
      </c>
      <c r="E4" s="49" t="inlineStr">
        <is>
          <t>↑</t>
        </is>
      </c>
      <c r="F4" s="49" t="n">
        <v>0.1</v>
      </c>
      <c r="G4" s="15" t="inlineStr">
        <is>
          <t>≥ 10%</t>
        </is>
      </c>
      <c r="H4" s="51" t="n">
        <v>0.098</v>
      </c>
      <c r="I4" s="50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49" t="inlineStr">
        <is>
          <t>%</t>
        </is>
      </c>
      <c r="E5" s="49" t="inlineStr">
        <is>
          <t>↑</t>
        </is>
      </c>
      <c r="F5" s="49" t="n">
        <v>0.9</v>
      </c>
      <c r="G5" s="15" t="inlineStr">
        <is>
          <t>≥ 90%</t>
        </is>
      </c>
      <c r="H5" s="51" t="n">
        <v>0.8110000000000001</v>
      </c>
      <c r="I5" s="50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49" t="inlineStr">
        <is>
          <t>%</t>
        </is>
      </c>
      <c r="E6" s="49" t="inlineStr">
        <is>
          <t>↑</t>
        </is>
      </c>
      <c r="F6" s="49" t="n">
        <v>0.8</v>
      </c>
      <c r="G6" s="15" t="inlineStr">
        <is>
          <t>≥ 80%</t>
        </is>
      </c>
      <c r="H6" s="51" t="n">
        <v>0.603</v>
      </c>
      <c r="I6" s="50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49" t="inlineStr">
        <is>
          <t>حالة</t>
        </is>
      </c>
      <c r="E7" s="49" t="inlineStr">
        <is>
          <t>↓</t>
        </is>
      </c>
      <c r="F7" s="49" t="n">
        <v>0</v>
      </c>
      <c r="G7" s="15" t="inlineStr">
        <is>
          <t>صفر</t>
        </is>
      </c>
      <c r="H7" s="51" t="n"/>
      <c r="I7" s="50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49" t="inlineStr">
        <is>
          <t>%</t>
        </is>
      </c>
      <c r="E8" s="49" t="inlineStr">
        <is>
          <t>↑</t>
        </is>
      </c>
      <c r="F8" s="49" t="n">
        <v>0.3</v>
      </c>
      <c r="G8" s="15" t="inlineStr">
        <is>
          <t>≥ 30%</t>
        </is>
      </c>
      <c r="H8" s="51" t="n">
        <v>0.249</v>
      </c>
      <c r="I8" s="50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49" t="inlineStr">
        <is>
          <t>معدل</t>
        </is>
      </c>
      <c r="E9" s="49" t="inlineStr">
        <is>
          <t>↓</t>
        </is>
      </c>
      <c r="F9" s="49" t="n">
        <v>0</v>
      </c>
      <c r="G9" s="15" t="inlineStr">
        <is>
          <t>≈ صفر</t>
        </is>
      </c>
      <c r="H9" s="51" t="n"/>
      <c r="I9" s="50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49" t="inlineStr">
        <is>
          <t>نقطة</t>
        </is>
      </c>
      <c r="E10" s="49" t="inlineStr">
        <is>
          <t>↑</t>
        </is>
      </c>
      <c r="F10" s="49" t="n">
        <v>30</v>
      </c>
      <c r="G10" s="15" t="inlineStr">
        <is>
          <t>≥ 30</t>
        </is>
      </c>
      <c r="H10" s="51" t="n">
        <v>27.5</v>
      </c>
      <c r="I10" s="50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49" t="inlineStr">
        <is>
          <t>ساعة</t>
        </is>
      </c>
      <c r="E11" s="49" t="inlineStr">
        <is>
          <t>↑</t>
        </is>
      </c>
      <c r="F11" s="49" t="n">
        <v>40</v>
      </c>
      <c r="G11" s="15" t="inlineStr">
        <is>
          <t>≥ 40</t>
        </is>
      </c>
      <c r="H11" s="51" t="n">
        <v>33.6</v>
      </c>
      <c r="I11" s="50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49" t="inlineStr">
        <is>
          <t>مبادرة</t>
        </is>
      </c>
      <c r="E12" s="49" t="inlineStr">
        <is>
          <t>↑</t>
        </is>
      </c>
      <c r="F12" s="49" t="n">
        <v>6</v>
      </c>
      <c r="G12" s="15" t="inlineStr">
        <is>
          <t>≥ 6</t>
        </is>
      </c>
      <c r="H12" s="51" t="n">
        <v>5.225</v>
      </c>
      <c r="I12" s="50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49" t="inlineStr">
        <is>
          <t>%</t>
        </is>
      </c>
      <c r="E13" s="49" t="inlineStr">
        <is>
          <t>↑</t>
        </is>
      </c>
      <c r="F13" s="49" t="n">
        <v>1</v>
      </c>
      <c r="G13" s="15" t="inlineStr">
        <is>
          <t>100%</t>
        </is>
      </c>
      <c r="H13" s="51" t="n">
        <v>0.766</v>
      </c>
      <c r="I13" s="50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49" t="inlineStr">
        <is>
          <t>%</t>
        </is>
      </c>
      <c r="E14" s="49" t="inlineStr">
        <is>
          <t>↑</t>
        </is>
      </c>
      <c r="F14" s="49" t="n">
        <v>0.95</v>
      </c>
      <c r="G14" s="15" t="inlineStr">
        <is>
          <t>≥ 95%</t>
        </is>
      </c>
      <c r="H14" s="51" t="n">
        <v>0.8169999999999999</v>
      </c>
      <c r="I14" s="50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49" t="inlineStr">
        <is>
          <t>%</t>
        </is>
      </c>
      <c r="E15" s="49" t="inlineStr">
        <is>
          <t>↑</t>
        </is>
      </c>
      <c r="F15" s="49" t="n">
        <v>0.9</v>
      </c>
      <c r="G15" s="15" t="inlineStr">
        <is>
          <t>≥ 90%</t>
        </is>
      </c>
      <c r="H15" s="51" t="n">
        <v>0.902</v>
      </c>
      <c r="I15" s="50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49" t="inlineStr">
        <is>
          <t>%</t>
        </is>
      </c>
      <c r="E16" s="49" t="inlineStr">
        <is>
          <t>↑</t>
        </is>
      </c>
      <c r="F16" s="49" t="n">
        <v>0.95</v>
      </c>
      <c r="G16" s="15" t="inlineStr">
        <is>
          <t>≥ 95%</t>
        </is>
      </c>
      <c r="H16" s="51" t="n">
        <v>0.979</v>
      </c>
      <c r="I16" s="50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0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29</v>
      </c>
      <c r="D6" s="70" t="n">
        <v>1</v>
      </c>
      <c r="E6" s="15" t="n">
        <v>18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4</v>
      </c>
      <c r="D7" s="70" t="n">
        <v>1</v>
      </c>
      <c r="E7" s="15" t="n">
        <v>2</v>
      </c>
      <c r="F7" s="15" t="n">
        <v>1</v>
      </c>
      <c r="G7" s="15" t="n">
        <v>1</v>
      </c>
    </row>
    <row r="8">
      <c r="A8" s="15" t="n">
        <v>4</v>
      </c>
      <c r="B8" s="13" t="inlineStr">
        <is>
          <t>الاستثمار</t>
        </is>
      </c>
      <c r="C8" s="15" t="n">
        <v>5</v>
      </c>
      <c r="D8" s="70" t="n">
        <v>1</v>
      </c>
      <c r="E8" s="15" t="n">
        <v>3</v>
      </c>
      <c r="F8" s="15" t="n">
        <v>2</v>
      </c>
      <c r="G8" s="15" t="n">
        <v>0</v>
      </c>
    </row>
    <row r="9">
      <c r="A9" s="15" t="n">
        <v>5</v>
      </c>
      <c r="B9" s="13" t="inlineStr">
        <is>
          <t>العقار</t>
        </is>
      </c>
      <c r="C9" s="15" t="n">
        <v>4</v>
      </c>
      <c r="D9" s="70" t="n">
        <v>1</v>
      </c>
      <c r="E9" s="15" t="n">
        <v>3</v>
      </c>
      <c r="F9" s="15" t="n">
        <v>1</v>
      </c>
      <c r="G9" s="15" t="n">
        <v>0</v>
      </c>
    </row>
    <row r="10">
      <c r="A10" s="15" t="n">
        <v>6</v>
      </c>
      <c r="B10" s="13" t="inlineStr">
        <is>
          <t>إدارة المشاريع</t>
        </is>
      </c>
      <c r="C10" s="15" t="n">
        <v>3</v>
      </c>
      <c r="D10" s="70" t="n">
        <v>1</v>
      </c>
      <c r="E10" s="15" t="n">
        <v>2</v>
      </c>
      <c r="F10" s="15" t="n">
        <v>0</v>
      </c>
      <c r="G10" s="15" t="n">
        <v>1</v>
      </c>
    </row>
    <row r="11">
      <c r="A11" s="15" t="n">
        <v>7</v>
      </c>
      <c r="B11" s="13" t="inlineStr">
        <is>
          <t>سلاسل الإمداد</t>
        </is>
      </c>
      <c r="C11" s="15" t="n">
        <v>4</v>
      </c>
      <c r="D11" s="70" t="n">
        <v>1</v>
      </c>
      <c r="E11" s="15" t="n">
        <v>1</v>
      </c>
      <c r="F11" s="15" t="n">
        <v>1</v>
      </c>
      <c r="G11" s="15" t="n">
        <v>2</v>
      </c>
    </row>
    <row r="12">
      <c r="A12" s="15" t="n">
        <v>8</v>
      </c>
      <c r="B12" s="13" t="inlineStr">
        <is>
          <t>الصيانة والأتمتة</t>
        </is>
      </c>
      <c r="C12" s="15" t="n">
        <v>2</v>
      </c>
      <c r="D12" s="70" t="n">
        <v>1</v>
      </c>
      <c r="E12" s="15" t="n">
        <v>0</v>
      </c>
      <c r="F12" s="15" t="n">
        <v>1</v>
      </c>
      <c r="G12" s="15" t="n">
        <v>1</v>
      </c>
    </row>
    <row r="13">
      <c r="A13" s="15" t="n">
        <v>9</v>
      </c>
      <c r="B13" s="13" t="inlineStr">
        <is>
          <t>التقنية الرقمية</t>
        </is>
      </c>
      <c r="C13" s="15" t="n">
        <v>2</v>
      </c>
      <c r="D13" s="70" t="n">
        <v>1</v>
      </c>
      <c r="E13" s="15" t="n">
        <v>0</v>
      </c>
      <c r="F13" s="15" t="n">
        <v>0</v>
      </c>
      <c r="G13" s="15" t="n">
        <v>2</v>
      </c>
    </row>
    <row r="14">
      <c r="A14" s="15" t="n">
        <v>10</v>
      </c>
      <c r="B14" s="13" t="inlineStr">
        <is>
          <t>الموارد البشرية</t>
        </is>
      </c>
      <c r="C14" s="15" t="n">
        <v>5</v>
      </c>
      <c r="D14" s="70" t="n">
        <v>1</v>
      </c>
      <c r="E14" s="15" t="n">
        <v>3</v>
      </c>
      <c r="F14" s="15" t="n">
        <v>1</v>
      </c>
      <c r="G14" s="15" t="n">
        <v>1</v>
      </c>
    </row>
    <row r="15">
      <c r="A15" s="15" t="n">
        <v>11</v>
      </c>
      <c r="B15" s="13" t="inlineStr">
        <is>
          <t>التسويق</t>
        </is>
      </c>
      <c r="C15" s="15" t="n">
        <v>5</v>
      </c>
      <c r="D15" s="70" t="n">
        <v>1</v>
      </c>
      <c r="E15" s="15" t="n">
        <v>3</v>
      </c>
      <c r="F15" s="15" t="n">
        <v>2</v>
      </c>
      <c r="G15" s="15" t="n">
        <v>0</v>
      </c>
    </row>
    <row r="16">
      <c r="A16" s="15" t="n">
        <v>12</v>
      </c>
      <c r="B16" s="13" t="inlineStr">
        <is>
          <t>الجودة</t>
        </is>
      </c>
      <c r="C16" s="15" t="n">
        <v>15</v>
      </c>
      <c r="D16" s="70" t="n">
        <v>1</v>
      </c>
      <c r="E16" s="15" t="n">
        <v>0</v>
      </c>
      <c r="F16" s="15" t="n">
        <v>0</v>
      </c>
      <c r="G16" s="15" t="n">
        <v>15</v>
      </c>
    </row>
    <row r="17">
      <c r="A17" s="15" t="n">
        <v>13</v>
      </c>
      <c r="B17" s="13" t="inlineStr">
        <is>
          <t>الإدارة القانونية</t>
        </is>
      </c>
      <c r="C17" s="15" t="n">
        <v>3</v>
      </c>
      <c r="D17" s="70" t="n">
        <v>1</v>
      </c>
      <c r="E17" s="15" t="n">
        <v>1</v>
      </c>
      <c r="F17" s="15" t="n">
        <v>0</v>
      </c>
      <c r="G17" s="15" t="n">
        <v>2</v>
      </c>
    </row>
    <row r="18">
      <c r="A18" s="15" t="n">
        <v>14</v>
      </c>
      <c r="B18" s="13" t="inlineStr">
        <is>
          <t>الإدارة المالية</t>
        </is>
      </c>
      <c r="C18" s="15" t="n">
        <v>24</v>
      </c>
      <c r="D18" s="70" t="n">
        <v>1</v>
      </c>
      <c r="E18" s="15" t="n">
        <v>14</v>
      </c>
      <c r="F18" s="15" t="n">
        <v>0</v>
      </c>
      <c r="G18" s="15" t="n">
        <v>10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24</v>
      </c>
      <c r="D22" s="24" t="n">
        <v>0.209</v>
      </c>
    </row>
    <row r="23">
      <c r="A23" s="15" t="n">
        <v>2</v>
      </c>
      <c r="B23" s="13" t="inlineStr">
        <is>
          <t>العملاء</t>
        </is>
      </c>
      <c r="C23" s="15" t="n">
        <v>12</v>
      </c>
      <c r="D23" s="24" t="n">
        <v>0.104</v>
      </c>
    </row>
    <row r="24">
      <c r="A24" s="15" t="n">
        <v>3</v>
      </c>
      <c r="B24" s="13" t="inlineStr">
        <is>
          <t>العمليات الداخلية</t>
        </is>
      </c>
      <c r="C24" s="15" t="n">
        <v>68</v>
      </c>
      <c r="D24" s="24" t="n">
        <v>0.591</v>
      </c>
    </row>
    <row r="25">
      <c r="A25" s="15" t="n">
        <v>4</v>
      </c>
      <c r="B25" s="13" t="inlineStr">
        <is>
          <t>التعلّم والنمو</t>
        </is>
      </c>
      <c r="C25" s="15" t="n">
        <v>11</v>
      </c>
      <c r="D25" s="24" t="n">
        <v>0.096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9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8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9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1</v>
      </c>
      <c r="E32" s="15" t="inlineStr">
        <is>
          <t>🟡 ضعيفة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6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0</v>
      </c>
      <c r="E35" s="15" t="inlineStr">
        <is>
          <t>🔴 فجوة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12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54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6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6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17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8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1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59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1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1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59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1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1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59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1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نسبة إنجاز مشاريع الخارطة التنفيذية</t>
        </is>
      </c>
      <c r="D6" s="71" t="inlineStr">
        <is>
          <t>يقيس نسبة إنجاز مشاريع الخارطة التنفيذية ضمن محور «الابتكار»، ويعكس مساهمة الإدارة في ركيزة الابتكار.</t>
        </is>
      </c>
      <c r="E6" s="11" t="inlineStr">
        <is>
          <t>(المتحقّق ÷ الإجمالي) × 100٪</t>
        </is>
      </c>
      <c r="F6" s="15" t="inlineStr">
        <is>
          <t>⚙️ نشاط</t>
        </is>
      </c>
      <c r="G6" s="11" t="inlineStr">
        <is>
          <t>الابتكار · إطلاق مشاريع جديدة</t>
        </is>
      </c>
      <c r="H6" s="15" t="inlineStr">
        <is>
          <t>العمليات الداخلية</t>
        </is>
      </c>
      <c r="I6" s="59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1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التحول الرقمي على مستوى الشركة</t>
        </is>
      </c>
      <c r="D7" s="71" t="inlineStr">
        <is>
          <t>يقيس نسبة التحول الرقمي على مستوى الشركة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🔧 تشغيلي</t>
        </is>
      </c>
      <c r="G7" s="11" t="inlineStr">
        <is>
          <t>الابتكار · التحول التقني</t>
        </is>
      </c>
      <c r="H7" s="15" t="inlineStr">
        <is>
          <t>التعلّم والنمو</t>
        </is>
      </c>
      <c r="I7" s="59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1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مؤشر رضا العملاء العام (الشركة)</t>
        </is>
      </c>
      <c r="D8" s="71" t="inlineStr">
        <is>
          <t>يقيس مؤشر رضا العملاء العام (الشركة) ضمن محور «الاستدامة»، ويعكس مساهمة الإدارة في ركيزة الاستدامة.</t>
        </is>
      </c>
      <c r="E8" s="11" t="inlineStr">
        <is>
          <t>(المتحقّق ÷ الإجمالي) × 100٪</t>
        </is>
      </c>
      <c r="F8" s="15" t="inlineStr">
        <is>
          <t>🎯 نتيجة</t>
        </is>
      </c>
      <c r="G8" s="11" t="inlineStr">
        <is>
          <t>الاستدامة · تعزيز تجربة العملاء</t>
        </is>
      </c>
      <c r="H8" s="15" t="inlineStr">
        <is>
          <t>العملاء</t>
        </is>
      </c>
      <c r="I8" s="59" t="n">
        <v>0.12</v>
      </c>
      <c r="J8" s="15" t="inlineStr">
        <is>
          <t>الرئيس التنفيذي</t>
        </is>
      </c>
      <c r="K8" s="11" t="inlineStr">
        <is>
          <t>استبيان دوري</t>
        </is>
      </c>
      <c r="L8" s="15" t="inlineStr">
        <is>
          <t>ربعي</t>
        </is>
      </c>
      <c r="M8" s="15" t="inlineStr">
        <is>
          <t>اللجنة التنفيذية</t>
        </is>
      </c>
      <c r="N8" s="51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الموظفين العام (eNPS)</t>
        </is>
      </c>
      <c r="D9" s="71" t="inlineStr">
        <is>
          <t>يقيس مؤشر رضا الموظفين العام (eNPS) ضمن محور «الاستدامة»، ويعكس مساهمة الإدارة في ركيزة الاستدامة.</t>
        </is>
      </c>
      <c r="E9" s="11" t="inlineStr">
        <is>
          <t>٪ المروّجين − ٪ المنتقدين</t>
        </is>
      </c>
      <c r="F9" s="15" t="inlineStr">
        <is>
          <t>🎯 نتيجة</t>
        </is>
      </c>
      <c r="G9" s="11" t="inlineStr">
        <is>
          <t>الاستدامة · الاستثمار في الموظفين</t>
        </is>
      </c>
      <c r="H9" s="15" t="inlineStr">
        <is>
          <t>التعلّم والنمو</t>
        </is>
      </c>
      <c r="I9" s="59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1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نسبة تحقيق المستهدفات الاستراتيجية العامة</t>
        </is>
      </c>
      <c r="D10" s="71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🔧 تشغيلي</t>
        </is>
      </c>
      <c r="G10" s="11" t="inlineStr">
        <is>
          <t>الاستدامة · جودة التشغيل</t>
        </is>
      </c>
      <c r="H10" s="15" t="inlineStr">
        <is>
          <t>العمليات الداخلية</t>
        </is>
      </c>
      <c r="I10" s="59" t="n">
        <v>0.08</v>
      </c>
      <c r="J10" s="15" t="inlineStr">
        <is>
          <t>الرئيس التنفيذي</t>
        </is>
      </c>
      <c r="K10" s="11" t="inlineStr">
        <is>
          <t>نظام إدارة القضايا والتحقيقات</t>
        </is>
      </c>
      <c r="L10" s="15" t="inlineStr">
        <is>
          <t>شهري</t>
        </is>
      </c>
      <c r="M10" s="15" t="inlineStr">
        <is>
          <t>اللجنة التنفيذية</t>
        </is>
      </c>
      <c r="N10" s="51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الالتزام بإطار الحوكمة المؤسسية والامتثال التنظيمي</t>
        </is>
      </c>
      <c r="D11" s="71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🎯 نتيجة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59" t="n">
        <v>0.08</v>
      </c>
      <c r="J11" s="15" t="inlineStr">
        <is>
          <t>الرئيس التنفيذي</t>
        </is>
      </c>
      <c r="K11" s="11" t="inlineStr">
        <is>
          <t>نظام إدارة الجودة (QMS)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1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الالتزام بمعايير وزارة الطاقة (تغطية 13 منطقة)</t>
        </is>
      </c>
      <c r="D12" s="71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59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1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1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59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1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عدد عقود الامتياز الجديدة الموقّعة</t>
        </is>
      </c>
      <c r="D14" s="71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59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1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1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59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1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1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59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1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إجمالي إيرادات إدارة الامتياز</t>
        </is>
      </c>
      <c r="D17" s="71" t="inlineStr">
        <is>
          <t>يقيس إجمالي إيرادات إدارة الامتياز ضمن محور «الأداء المالي»، ويعكس مساهمة الإدارة في ركيزة النمو.</t>
        </is>
      </c>
      <c r="E17" s="11" t="inlineStr">
        <is>
          <t>إجمالي القيمة (ر.س)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59" t="n">
        <v>0.04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1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رفع هامش الربحية للامتياز</t>
        </is>
      </c>
      <c r="D18" s="71" t="inlineStr">
        <is>
          <t>يقيس رفع هامش الربحية للامتياز ضمن محور «الأداء المالي»، ويعكس مساهمة الإدارة في ركيزة النمو.</t>
        </is>
      </c>
      <c r="E18" s="11" t="inlineStr">
        <is>
          <t>إجمالي العدد خلال الفترة</t>
        </is>
      </c>
      <c r="F18" s="15" t="inlineStr">
        <is>
          <t>🎯 نتيجة</t>
        </is>
      </c>
      <c r="G18" s="11" t="inlineStr">
        <is>
          <t>النمو · الامتياز التجاري</t>
        </is>
      </c>
      <c r="H18" s="15" t="inlineStr">
        <is>
          <t>مالي</t>
        </is>
      </c>
      <c r="I18" s="59" t="n">
        <v>0.03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1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نسبة التحصيل المالي من شركاء الامتياز</t>
        </is>
      </c>
      <c r="D19" s="71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9" s="11" t="inlineStr">
        <is>
          <t>(المتحقّق ÷ الإجمالي) × 100٪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59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1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متوسط أيام تحصيل شركاء الامتياز (DSO)</t>
        </is>
      </c>
      <c r="D20" s="71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0" s="11" t="inlineStr">
        <is>
          <t>متوسط يوم خلال الفترة</t>
        </is>
      </c>
      <c r="F20" s="15" t="inlineStr">
        <is>
          <t>🎯 نتيجة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59" t="n">
        <v>0.04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1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إجمالي المستحقات المتأخرة (+30 يوم)</t>
        </is>
      </c>
      <c r="D21" s="71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1" s="11" t="inlineStr">
        <is>
          <t>إجمالي القيمة (ر.س)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59" t="n">
        <v>0.03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51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الشركاء الملتزمين بمواعيد السداد</t>
        </is>
      </c>
      <c r="D22" s="71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🔧 تشغيلي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59" t="n">
        <v>0.03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51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معدل دوران رأس المال (أيام الدورة)</t>
        </is>
      </c>
      <c r="D23" s="71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3" s="11" t="inlineStr">
        <is>
          <t>متوسط يوم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59" t="n">
        <v>0.03</v>
      </c>
      <c r="J23" s="15" t="inlineStr">
        <is>
          <t>مدير الامتياز</t>
        </is>
      </c>
      <c r="K23" s="11" t="inlineStr">
        <is>
          <t>نظام الموارد البشرية (HRMS)</t>
        </is>
      </c>
      <c r="L23" s="15" t="inlineStr">
        <is>
          <t>شهري</t>
        </is>
      </c>
      <c r="M23" s="15" t="inlineStr">
        <is>
          <t>مدير الامتياز</t>
        </is>
      </c>
      <c r="N23" s="51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جاهزية محطات الامتياز (صفر انقطاع)</t>
        </is>
      </c>
      <c r="D24" s="71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59" t="n">
        <v>0.04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1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عدد حالات انقطاع الوقود الموثّقة</t>
        </is>
      </c>
      <c r="D25" s="71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⚙️ نشاط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59" t="n">
        <v>0.04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1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إغلاق ملاحظات الجودة الميدانية</t>
        </is>
      </c>
      <c r="D26" s="71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59" t="n">
        <v>0.03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1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متوسط درجة تقييم جودة المحطة (قائمة التحقق)</t>
        </is>
      </c>
      <c r="D27" s="71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59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1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نسبة تنفيذ الزيارات الميدانية المجدولة</t>
        </is>
      </c>
      <c r="D28" s="71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⚙️ نشاط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59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1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المحطات المستوفية لمعايير السلامة</t>
        </is>
      </c>
      <c r="D29" s="71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9" s="11" t="inlineStr">
        <is>
          <t>(المتحقّق ÷ الإجمالي) × 100٪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59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51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متوسط وقت معالجة البلاغات التشغيلية</t>
        </is>
      </c>
      <c r="D30" s="71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0" s="11" t="inlineStr">
        <is>
          <t>متوسط ساعة خلال الفترة</t>
        </is>
      </c>
      <c r="F30" s="15" t="inlineStr">
        <is>
          <t>🎯 نتيجة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59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51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أتمتة محطات الامتياز</t>
        </is>
      </c>
      <c r="D31" s="71" t="inlineStr">
        <is>
          <t>يقيس نسبة أتمتة محطات الامتياز ضمن محور «التشغيل والجودة»،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🔧 تشغيلي</t>
        </is>
      </c>
      <c r="G31" s="11" t="inlineStr">
        <is>
          <t>الابتكار · التحول التقني</t>
        </is>
      </c>
      <c r="H31" s="15" t="inlineStr">
        <is>
          <t>التعلّم والنمو</t>
        </is>
      </c>
      <c r="I31" s="59" t="n">
        <v>0.04</v>
      </c>
      <c r="J31" s="15" t="inlineStr">
        <is>
          <t>مدير الامتياز</t>
        </is>
      </c>
      <c r="K31" s="11" t="inlineStr">
        <is>
          <t>مكتب إدارة المشاريع (PMO)</t>
        </is>
      </c>
      <c r="L31" s="15" t="inlineStr">
        <is>
          <t>شهري</t>
        </is>
      </c>
      <c r="M31" s="15" t="inlineStr">
        <is>
          <t>مدير الامتياز</t>
        </is>
      </c>
      <c r="N31" s="51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نسبة تطبيق المعيار الشامل داخل المحطات</t>
        </is>
      </c>
      <c r="D32" s="71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2" s="11" t="inlineStr">
        <is>
          <t>(المتحقّق ÷ الإجمالي) × 100٪</t>
        </is>
      </c>
      <c r="F32" s="15" t="inlineStr">
        <is>
          <t>🔧 تشغيلي</t>
        </is>
      </c>
      <c r="G32" s="11" t="inlineStr">
        <is>
          <t>الابتكار · التحول التقني</t>
        </is>
      </c>
      <c r="H32" s="15" t="inlineStr">
        <is>
          <t>التعلّم والنمو</t>
        </is>
      </c>
      <c r="I32" s="59" t="n">
        <v>0.01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51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نسبة التزام المحطات بالهوية المؤسسية</t>
        </is>
      </c>
      <c r="D33" s="71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الابتكار · تطوير التصاميم والهوية</t>
        </is>
      </c>
      <c r="H33" s="15" t="inlineStr">
        <is>
          <t>التعلّم والنمو</t>
        </is>
      </c>
      <c r="I33" s="59" t="n">
        <v>0.04</v>
      </c>
      <c r="J33" s="15" t="inlineStr">
        <is>
          <t>مدير الامتياز</t>
        </is>
      </c>
      <c r="K33" s="11" t="inlineStr">
        <is>
          <t>نظام تشغيل المحطات</t>
        </is>
      </c>
      <c r="L33" s="15" t="inlineStr">
        <is>
          <t>شهري</t>
        </is>
      </c>
      <c r="M33" s="15" t="inlineStr">
        <is>
          <t>مدير الامتياز</t>
        </is>
      </c>
      <c r="N33" s="51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متوسط تقييم المحطات على خرائط قوقل</t>
        </is>
      </c>
      <c r="D34" s="71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4" s="11" t="inlineStr">
        <is>
          <t>متوسط التقييم (من 5)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59" t="n">
        <v>0.04</v>
      </c>
      <c r="J34" s="15" t="inlineStr">
        <is>
          <t>مدير الامتياز</t>
        </is>
      </c>
      <c r="K34" s="11" t="inlineStr">
        <is>
          <t>تقييمات خرائط قوقل</t>
        </is>
      </c>
      <c r="L34" s="15" t="inlineStr">
        <is>
          <t>شهري</t>
        </is>
      </c>
      <c r="M34" s="15" t="inlineStr">
        <is>
          <t>مدير الامتياز</t>
        </is>
      </c>
      <c r="N34" s="51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معدل رضا شركاء الامتياز (CSAT)</t>
        </is>
      </c>
      <c r="D35" s="71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59" t="n">
        <v>0.04</v>
      </c>
      <c r="J35" s="15" t="inlineStr">
        <is>
          <t>مدير الامتياز</t>
        </is>
      </c>
      <c r="K35" s="11" t="inlineStr">
        <is>
          <t>استبيان دوري</t>
        </is>
      </c>
      <c r="L35" s="15" t="inlineStr">
        <is>
          <t>ربعي</t>
        </is>
      </c>
      <c r="M35" s="15" t="inlineStr">
        <is>
          <t>مدير الامتياز</t>
        </is>
      </c>
      <c r="N35" s="51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حل الشكاوى خلال المدة المحددة</t>
        </is>
      </c>
      <c r="D36" s="71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59" t="n">
        <v>0.03</v>
      </c>
      <c r="J36" s="15" t="inlineStr">
        <is>
          <t>مدير الامتياز</t>
        </is>
      </c>
      <c r="K36" s="11" t="inlineStr">
        <is>
          <t>سجلات الإدارة</t>
        </is>
      </c>
      <c r="L36" s="15" t="inlineStr">
        <is>
          <t>شهري</t>
        </is>
      </c>
      <c r="M36" s="15" t="inlineStr">
        <is>
          <t>مدير الامتياز</t>
        </is>
      </c>
      <c r="N36" s="51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انخفاض الشكاوى التشغيلية والإدارية</t>
        </is>
      </c>
      <c r="D37" s="71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59" t="n">
        <v>0.03</v>
      </c>
      <c r="J37" s="15" t="inlineStr">
        <is>
          <t>مدير الامتياز</t>
        </is>
      </c>
      <c r="K37" s="11" t="inlineStr">
        <is>
          <t>سجلات الإدارة</t>
        </is>
      </c>
      <c r="L37" s="15" t="inlineStr">
        <is>
          <t>شهري</t>
        </is>
      </c>
      <c r="M37" s="15" t="inlineStr">
        <is>
          <t>مدير الامتياز</t>
        </is>
      </c>
      <c r="N37" s="51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نسبة استدامة أصحاب الامتياز (Retention)</t>
        </is>
      </c>
      <c r="D38" s="71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العمليات الداخلية</t>
        </is>
      </c>
      <c r="I38" s="59" t="n">
        <v>0.03</v>
      </c>
      <c r="J38" s="15" t="inlineStr">
        <is>
          <t>مدير الامتياز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الامتياز</t>
        </is>
      </c>
      <c r="N38" s="51" t="n"/>
    </row>
    <row r="39" ht="30" customHeight="1">
      <c r="A39" s="15" t="n">
        <v>37</v>
      </c>
      <c r="B39" s="13" t="inlineStr">
        <is>
          <t>الامتياز التجاري</t>
        </is>
      </c>
      <c r="C39" s="21" t="inlineStr">
        <is>
          <t>نسبة زيادة عدد أصحاب الامتياز</t>
        </is>
      </c>
      <c r="D39" s="71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⚙️ نشاط</t>
        </is>
      </c>
      <c r="G39" s="11" t="inlineStr">
        <is>
          <t>الاستدامة · تعزيز تجربة العملاء</t>
        </is>
      </c>
      <c r="H39" s="15" t="inlineStr">
        <is>
          <t>العمليات الداخلية</t>
        </is>
      </c>
      <c r="I39" s="59" t="n">
        <v>0.02</v>
      </c>
      <c r="J39" s="15" t="inlineStr">
        <is>
          <t>مدير الامتياز</t>
        </is>
      </c>
      <c r="K39" s="11" t="inlineStr">
        <is>
          <t>نظام إدارة الجودة (QMS)</t>
        </is>
      </c>
      <c r="L39" s="15" t="inlineStr">
        <is>
          <t>شهري</t>
        </is>
      </c>
      <c r="M39" s="15" t="inlineStr">
        <is>
          <t>مدير الامتياز</t>
        </is>
      </c>
      <c r="N39" s="51" t="n"/>
    </row>
    <row r="40" ht="30" customHeight="1">
      <c r="A40" s="15" t="n">
        <v>38</v>
      </c>
      <c r="B40" s="13" t="inlineStr">
        <is>
          <t>الامتياز التجاري</t>
        </is>
      </c>
      <c r="C40" s="21" t="inlineStr">
        <is>
          <t>متوسط مدة إغلاق عقد الامتياز</t>
        </is>
      </c>
      <c r="D40" s="71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0" s="11" t="inlineStr">
        <is>
          <t>متوسط أسبوع خلال الفترة</t>
        </is>
      </c>
      <c r="F40" s="15" t="inlineStr">
        <is>
          <t>🎯 نتيجة</t>
        </is>
      </c>
      <c r="G40" s="11" t="inlineStr">
        <is>
          <t>النمو · الامتياز التجاري</t>
        </is>
      </c>
      <c r="H40" s="15" t="inlineStr">
        <is>
          <t>العمليات الداخلية</t>
        </is>
      </c>
      <c r="I40" s="59" t="n">
        <v>0.04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51" t="n"/>
    </row>
    <row r="41" ht="30" customHeight="1">
      <c r="A41" s="15" t="n">
        <v>39</v>
      </c>
      <c r="B41" s="13" t="inlineStr">
        <is>
          <t>الامتياز التجاري</t>
        </is>
      </c>
      <c r="C41" s="21" t="inlineStr">
        <is>
          <t>نسبة التحصيل خلال 5 أيام عمل</t>
        </is>
      </c>
      <c r="D41" s="71" t="inlineStr">
        <is>
          <t>يقيس نسبة التحصيل خلال 5 أيام عمل ضمن محور «الأداء المالي»،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🎯 نتيجة</t>
        </is>
      </c>
      <c r="G41" s="11" t="inlineStr">
        <is>
          <t>الاستدامة · الامتياز التجاري</t>
        </is>
      </c>
      <c r="H41" s="15" t="inlineStr">
        <is>
          <t>مالي</t>
        </is>
      </c>
      <c r="I41" s="59" t="n">
        <v>0.04</v>
      </c>
      <c r="J41" s="15" t="inlineStr">
        <is>
          <t>مدير الامتياز</t>
        </is>
      </c>
      <c r="K41" s="11" t="inlineStr">
        <is>
          <t>نظام المحاسبة / ERP (D365)</t>
        </is>
      </c>
      <c r="L41" s="15" t="inlineStr">
        <is>
          <t>شهري</t>
        </is>
      </c>
      <c r="M41" s="15" t="inlineStr">
        <is>
          <t>الإدارة المالية</t>
        </is>
      </c>
      <c r="N41" s="51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عدد المحطات المشغّلة (تراكمي)</t>
        </is>
      </c>
      <c r="D42" s="71" t="inlineStr">
        <is>
          <t>يقيس عدد المحطات المشغّلة (تراكمي) ضمن محور «النمو»، ويعكس مساهمة الإدارة في ركيزة النمو.</t>
        </is>
      </c>
      <c r="E42" s="11" t="inlineStr">
        <is>
          <t>إجمالي العدد خلال الفترة</t>
        </is>
      </c>
      <c r="F42" s="15" t="inlineStr">
        <is>
          <t>⚙️ نشاط</t>
        </is>
      </c>
      <c r="G42" s="11" t="inlineStr">
        <is>
          <t>النمو · التوسع في المواقع</t>
        </is>
      </c>
      <c r="H42" s="15" t="inlineStr">
        <is>
          <t>العمليات الداخلية</t>
        </is>
      </c>
      <c r="I42" s="59" t="n">
        <v>0.34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1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نمو مبيعات الوقود مقارنة بالعام السابق</t>
        </is>
      </c>
      <c r="D43" s="71" t="inlineStr">
        <is>
          <t>يقيس نمو مبيعات الوقود مقارنة بالعام السابق ضمن محور «الربحية»، ويعكس مساهمة الإدارة في ركيزة النمو.</t>
        </is>
      </c>
      <c r="E43" s="11" t="inlineStr">
        <is>
          <t>(المتحقّق ÷ الإجمالي) × 100٪</t>
        </is>
      </c>
      <c r="F43" s="15" t="inlineStr">
        <is>
          <t>🎯 نتيجة</t>
        </is>
      </c>
      <c r="G43" s="11" t="inlineStr">
        <is>
          <t>النمو · زيادة وصول العملاء</t>
        </is>
      </c>
      <c r="H43" s="15" t="inlineStr">
        <is>
          <t>مالي</t>
        </is>
      </c>
      <c r="I43" s="59" t="n">
        <v>0.33</v>
      </c>
      <c r="J43" s="15" t="inlineStr">
        <is>
          <t>مدير التشغيل</t>
        </is>
      </c>
      <c r="K43" s="11" t="inlineStr">
        <is>
          <t>نظام المحاسبة / ERP (D365)</t>
        </is>
      </c>
      <c r="L43" s="15" t="inlineStr">
        <is>
          <t>شهري</t>
        </is>
      </c>
      <c r="M43" s="15" t="inlineStr">
        <is>
          <t>الإدارة المالية</t>
        </is>
      </c>
      <c r="N43" s="51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نسبة انخفاض الشكاوى مقارنة بالعام السابق</t>
        </is>
      </c>
      <c r="D44" s="71" t="inlineStr">
        <is>
          <t>يقيس نسبة انخفاض الشكاوى مقارنة بالعام السابق ضمن محور «تجربة العميل»، ويعكس مساهمة الإدارة في ركيزة الاستدامة.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الاستدامة · تعزيز تجربة العملاء</t>
        </is>
      </c>
      <c r="H44" s="15" t="inlineStr">
        <is>
          <t>العملاء</t>
        </is>
      </c>
      <c r="I44" s="59" t="n">
        <v>0.22</v>
      </c>
      <c r="J44" s="15" t="inlineStr">
        <is>
          <t>مدير التشغيل</t>
        </is>
      </c>
      <c r="K44" s="11" t="inlineStr">
        <is>
          <t>سجلات الإدارة</t>
        </is>
      </c>
      <c r="L44" s="15" t="inlineStr">
        <is>
          <t>شهري</t>
        </is>
      </c>
      <c r="M44" s="15" t="inlineStr">
        <is>
          <t>مدير التشغيل</t>
        </is>
      </c>
      <c r="N44" s="51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تطبيق المعيار الشامل في المحطات</t>
        </is>
      </c>
      <c r="D45" s="71" t="inlineStr">
        <is>
          <t>يقيس تطبيق المعيار الشامل في المحطات ضمن محور «الجودة»، ويعكس مساهمة الإدارة في ركيزة الابتكار.</t>
        </is>
      </c>
      <c r="E45" s="11" t="inlineStr">
        <is>
          <t>(المتحقّق ÷ الإجمالي) × 100٪</t>
        </is>
      </c>
      <c r="F45" s="15" t="inlineStr">
        <is>
          <t>🔧 تشغيلي</t>
        </is>
      </c>
      <c r="G45" s="11" t="inlineStr">
        <is>
          <t>الابتكار · التحول التقني</t>
        </is>
      </c>
      <c r="H45" s="15" t="inlineStr">
        <is>
          <t>التعلّم والنمو</t>
        </is>
      </c>
      <c r="I45" s="59" t="n">
        <v>0.11</v>
      </c>
      <c r="J45" s="15" t="inlineStr">
        <is>
          <t>مدير التشغيل</t>
        </is>
      </c>
      <c r="K45" s="11" t="inlineStr">
        <is>
          <t>نظام إدارة الجودة (QMS)</t>
        </is>
      </c>
      <c r="L45" s="15" t="inlineStr">
        <is>
          <t>شهري</t>
        </is>
      </c>
      <c r="M45" s="15" t="inlineStr">
        <is>
          <t>مدير التشغيل</t>
        </is>
      </c>
      <c r="N45" s="51" t="n"/>
    </row>
    <row r="46" ht="30" customHeight="1">
      <c r="A46" s="15" t="n">
        <v>44</v>
      </c>
      <c r="B46" s="13" t="inlineStr">
        <is>
          <t>الاستثمار</t>
        </is>
      </c>
      <c r="C46" s="21" t="inlineStr">
        <is>
          <t>عدد فرص الاستثمار</t>
        </is>
      </c>
      <c r="D46" s="71" t="inlineStr">
        <is>
          <t>يقيس عدد فرص الاستثمار ضمن محور «الفرص والنمو»، ويعكس مساهمة الإدارة في ركيزة النمو.</t>
        </is>
      </c>
      <c r="E46" s="11" t="inlineStr">
        <is>
          <t>إجمالي العدد خلال الفترة</t>
        </is>
      </c>
      <c r="F46" s="15" t="inlineStr">
        <is>
          <t>⚙️ نشاط</t>
        </is>
      </c>
      <c r="G46" s="11" t="inlineStr">
        <is>
          <t>النمو · التوسع في المواقع</t>
        </is>
      </c>
      <c r="H46" s="15" t="inlineStr">
        <is>
          <t>العمليات الداخلية</t>
        </is>
      </c>
      <c r="I46" s="59" t="n">
        <v>0.14</v>
      </c>
      <c r="J46" s="15" t="inlineStr">
        <is>
          <t>مدير الاستثمار</t>
        </is>
      </c>
      <c r="K46" s="11" t="inlineStr">
        <is>
          <t>نظام إدارة العقود (CRM)</t>
        </is>
      </c>
      <c r="L46" s="15" t="inlineStr">
        <is>
          <t>شهري</t>
        </is>
      </c>
      <c r="M46" s="15" t="inlineStr">
        <is>
          <t>مدير الاستثمار</t>
        </is>
      </c>
      <c r="N46" s="51" t="n"/>
    </row>
    <row r="47" ht="30" customHeight="1">
      <c r="A47" s="15" t="n">
        <v>45</v>
      </c>
      <c r="B47" s="13" t="inlineStr">
        <is>
          <t>الاستثمار</t>
        </is>
      </c>
      <c r="C47" s="21" t="inlineStr">
        <is>
          <t>نسبة المواقع المشغّلة ذات العائد المجدي</t>
        </is>
      </c>
      <c r="D47" s="71" t="inlineStr">
        <is>
          <t>يقيس نسبة المواقع المشغّلة ذات العائد المجدي ضمن محور «الربحية وجودة الموقع»،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الاستدامة · التوسع في المواقع</t>
        </is>
      </c>
      <c r="H47" s="15" t="inlineStr">
        <is>
          <t>مالي</t>
        </is>
      </c>
      <c r="I47" s="59" t="n">
        <v>0.22</v>
      </c>
      <c r="J47" s="15" t="inlineStr">
        <is>
          <t>مدير الاستثمار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51" t="n"/>
    </row>
    <row r="48" ht="30" customHeight="1">
      <c r="A48" s="15" t="n">
        <v>46</v>
      </c>
      <c r="B48" s="13" t="inlineStr">
        <is>
          <t>الاستثمار</t>
        </is>
      </c>
      <c r="C48" s="21" t="inlineStr">
        <is>
          <t>مدى رضا المستثمرين وشركاء الاستثمار</t>
        </is>
      </c>
      <c r="D48" s="71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🎯 نتيجة</t>
        </is>
      </c>
      <c r="G48" s="11" t="inlineStr">
        <is>
          <t>الاستدامة · تعزيز تجربة العملاء</t>
        </is>
      </c>
      <c r="H48" s="15" t="inlineStr">
        <is>
          <t>العملاء</t>
        </is>
      </c>
      <c r="I48" s="59" t="n">
        <v>0.22</v>
      </c>
      <c r="J48" s="15" t="inlineStr">
        <is>
          <t>مدير الاستثمار</t>
        </is>
      </c>
      <c r="K48" s="11" t="inlineStr">
        <is>
          <t>استبيان دوري</t>
        </is>
      </c>
      <c r="L48" s="15" t="inlineStr">
        <is>
          <t>ربعي</t>
        </is>
      </c>
      <c r="M48" s="15" t="inlineStr">
        <is>
          <t>مدير الاستثمار</t>
        </is>
      </c>
      <c r="N48" s="51" t="n"/>
    </row>
    <row r="49" ht="30" customHeight="1">
      <c r="A49" s="15" t="n">
        <v>47</v>
      </c>
      <c r="B49" s="13" t="inlineStr">
        <is>
          <t>الاستثمار</t>
        </is>
      </c>
      <c r="C49" s="21" t="inlineStr">
        <is>
          <t>متوسط مدة إغلاق عقد الاستثمار</t>
        </is>
      </c>
      <c r="D49" s="71" t="inlineStr">
        <is>
          <t>يقيس متوسط مدة إغلاق عقد الاستثمار ضمن محور «كفاءة الدورة»، ويعكس مساهمة الإدارة في ركيزة النمو.</t>
        </is>
      </c>
      <c r="E49" s="11" t="inlineStr">
        <is>
          <t>متوسط أسبوع خلال الفترة</t>
        </is>
      </c>
      <c r="F49" s="15" t="inlineStr">
        <is>
          <t>🎯 نتيجة</t>
        </is>
      </c>
      <c r="G49" s="11" t="inlineStr">
        <is>
          <t>النمو · التوسع في المواقع</t>
        </is>
      </c>
      <c r="H49" s="15" t="inlineStr">
        <is>
          <t>العمليات الداخلية</t>
        </is>
      </c>
      <c r="I49" s="59" t="n">
        <v>0.21</v>
      </c>
      <c r="J49" s="15" t="inlineStr">
        <is>
          <t>مدير الاستثمار</t>
        </is>
      </c>
      <c r="K49" s="11" t="inlineStr">
        <is>
          <t>نظام إدارة العقود (CRM)</t>
        </is>
      </c>
      <c r="L49" s="15" t="inlineStr">
        <is>
          <t>شهري</t>
        </is>
      </c>
      <c r="M49" s="15" t="inlineStr">
        <is>
          <t>مدير الاستثمار</t>
        </is>
      </c>
      <c r="N49" s="51" t="n"/>
    </row>
    <row r="50" ht="30" customHeight="1">
      <c r="A50" s="15" t="n">
        <v>48</v>
      </c>
      <c r="B50" s="13" t="inlineStr">
        <is>
          <t>الاستثمار</t>
        </is>
      </c>
      <c r="C50" s="21" t="inlineStr">
        <is>
          <t>عدد العقود التي تغطي المناطق الـ13</t>
        </is>
      </c>
      <c r="D50" s="71" t="inlineStr">
        <is>
          <t>يقيس عدد العقود التي تغطي المناطق الـ13 ضمن محور «التوسع الإقليمي»، ويعكس مساهمة الإدارة في ركيزة النمو.</t>
        </is>
      </c>
      <c r="E50" s="11" t="inlineStr">
        <is>
          <t>إجمالي العدد خلال الفترة</t>
        </is>
      </c>
      <c r="F50" s="15" t="inlineStr">
        <is>
          <t>⚙️ نشاط</t>
        </is>
      </c>
      <c r="G50" s="11" t="inlineStr">
        <is>
          <t>النمو · زيادة وصول العملاء</t>
        </is>
      </c>
      <c r="H50" s="15" t="inlineStr">
        <is>
          <t>العمليات الداخلية</t>
        </is>
      </c>
      <c r="I50" s="59" t="n">
        <v>0.21</v>
      </c>
      <c r="J50" s="15" t="inlineStr">
        <is>
          <t>مدير الاستثمار</t>
        </is>
      </c>
      <c r="K50" s="11" t="inlineStr">
        <is>
          <t>نظام إدارة العقود (CRM)</t>
        </is>
      </c>
      <c r="L50" s="15" t="inlineStr">
        <is>
          <t>شهري</t>
        </is>
      </c>
      <c r="M50" s="15" t="inlineStr">
        <is>
          <t>مدير الاستثمار</t>
        </is>
      </c>
      <c r="N50" s="51" t="n"/>
    </row>
    <row r="51" ht="30" customHeight="1">
      <c r="A51" s="15" t="n">
        <v>49</v>
      </c>
      <c r="B51" s="13" t="inlineStr">
        <is>
          <t>العقار</t>
        </is>
      </c>
      <c r="C51" s="21" t="inlineStr">
        <is>
          <t>نسبة إشغال الوحدات</t>
        </is>
      </c>
      <c r="D51" s="71" t="inlineStr">
        <is>
          <t>يقيس نسبة إشغال الوحدات ضمن محور «التأجير»،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منظومة التأجير</t>
        </is>
      </c>
      <c r="H51" s="15" t="inlineStr">
        <is>
          <t>العمليات الداخلية</t>
        </is>
      </c>
      <c r="I51" s="59" t="n">
        <v>0.2</v>
      </c>
      <c r="J51" s="15" t="inlineStr">
        <is>
          <t>مدير العقار</t>
        </is>
      </c>
      <c r="K51" s="11" t="inlineStr">
        <is>
          <t>نظام إدارة العقود (CRM)</t>
        </is>
      </c>
      <c r="L51" s="15" t="inlineStr">
        <is>
          <t>شهري</t>
        </is>
      </c>
      <c r="M51" s="15" t="inlineStr">
        <is>
          <t>مدير العقار</t>
        </is>
      </c>
      <c r="N51" s="51" t="n"/>
    </row>
    <row r="52" ht="30" customHeight="1">
      <c r="A52" s="15" t="n">
        <v>50</v>
      </c>
      <c r="B52" s="13" t="inlineStr">
        <is>
          <t>العقار</t>
        </is>
      </c>
      <c r="C52" s="21" t="inlineStr">
        <is>
          <t>زيادة عدد العلامات التجارية</t>
        </is>
      </c>
      <c r="D52" s="71" t="inlineStr">
        <is>
          <t>يقيس زيادة عدد العلامات التجارية ضمن محور «التأجير»، ويعكس مساهمة الإدارة في ركيزة الاستدامة.</t>
        </is>
      </c>
      <c r="E52" s="11" t="inlineStr">
        <is>
          <t>إجمالي العدد خلال الفترة</t>
        </is>
      </c>
      <c r="F52" s="15" t="inlineStr">
        <is>
          <t>⚙️ نشاط</t>
        </is>
      </c>
      <c r="G52" s="11" t="inlineStr">
        <is>
          <t>الاستدامة · منظومة التأجير</t>
        </is>
      </c>
      <c r="H52" s="15" t="inlineStr">
        <is>
          <t>العمليات الداخلية</t>
        </is>
      </c>
      <c r="I52" s="59" t="n">
        <v>0.2</v>
      </c>
      <c r="J52" s="15" t="inlineStr">
        <is>
          <t>مدير العقار</t>
        </is>
      </c>
      <c r="K52" s="11" t="inlineStr">
        <is>
          <t>نظام إدارة العقود (CRM)</t>
        </is>
      </c>
      <c r="L52" s="15" t="inlineStr">
        <is>
          <t>شهري</t>
        </is>
      </c>
      <c r="M52" s="15" t="inlineStr">
        <is>
          <t>مدير العقار</t>
        </is>
      </c>
      <c r="N52" s="51" t="n"/>
    </row>
    <row r="53" ht="30" customHeight="1">
      <c r="A53" s="15" t="n">
        <v>51</v>
      </c>
      <c r="B53" s="13" t="inlineStr">
        <is>
          <t>العقار</t>
        </is>
      </c>
      <c r="C53" s="21" t="inlineStr">
        <is>
          <t>معدل رضا المستأجرين (استبيان ربعي)</t>
        </is>
      </c>
      <c r="D53" s="71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53" s="11" t="inlineStr">
        <is>
          <t>(المتحقّق ÷ الإجمالي) × 100٪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59" t="n">
        <v>0.3</v>
      </c>
      <c r="J53" s="15" t="inlineStr">
        <is>
          <t>مدير العقار</t>
        </is>
      </c>
      <c r="K53" s="11" t="inlineStr">
        <is>
          <t>استبيان دوري</t>
        </is>
      </c>
      <c r="L53" s="15" t="inlineStr">
        <is>
          <t>ربعي</t>
        </is>
      </c>
      <c r="M53" s="15" t="inlineStr">
        <is>
          <t>مدير العقار</t>
        </is>
      </c>
      <c r="N53" s="51" t="n"/>
    </row>
    <row r="54" ht="30" customHeight="1">
      <c r="A54" s="15" t="n">
        <v>52</v>
      </c>
      <c r="B54" s="13" t="inlineStr">
        <is>
          <t>العقار</t>
        </is>
      </c>
      <c r="C54" s="21" t="inlineStr">
        <is>
          <t>نسبة تحصيل الإيجارات</t>
        </is>
      </c>
      <c r="D54" s="71" t="inlineStr">
        <is>
          <t>يقيس نسبة تحصيل الإيجارات ضمن محور «الإدارة»، ويعكس مساهمة الإدارة في ركيزة الاستدامة.</t>
        </is>
      </c>
      <c r="E54" s="11" t="inlineStr">
        <is>
          <t>(المتحقّق ÷ الإجمالي) × 100٪</t>
        </is>
      </c>
      <c r="F54" s="15" t="inlineStr">
        <is>
          <t>🎯 نتيجة</t>
        </is>
      </c>
      <c r="G54" s="11" t="inlineStr">
        <is>
          <t>الاستدامة · منظومة التأجير</t>
        </is>
      </c>
      <c r="H54" s="15" t="inlineStr">
        <is>
          <t>مالي</t>
        </is>
      </c>
      <c r="I54" s="59" t="n">
        <v>0.3</v>
      </c>
      <c r="J54" s="15" t="inlineStr">
        <is>
          <t>مدير العقار</t>
        </is>
      </c>
      <c r="K54" s="11" t="inlineStr">
        <is>
          <t>نظام المحاسبة / ERP (D365)</t>
        </is>
      </c>
      <c r="L54" s="15" t="inlineStr">
        <is>
          <t>شهري</t>
        </is>
      </c>
      <c r="M54" s="15" t="inlineStr">
        <is>
          <t>الإدارة المالية</t>
        </is>
      </c>
      <c r="N54" s="51" t="n"/>
    </row>
    <row r="55" ht="30" customHeight="1">
      <c r="A55" s="15" t="n">
        <v>53</v>
      </c>
      <c r="B55" s="13" t="inlineStr">
        <is>
          <t>إدارة المشاريع</t>
        </is>
      </c>
      <c r="C55" s="21" t="inlineStr">
        <is>
          <t>نسبة إنجاز محفظة المشاريع</t>
        </is>
      </c>
      <c r="D55" s="71" t="inlineStr">
        <is>
          <t>يقيس نسبة إنجاز محفظة المشاريع ضمن محور «تنفيذ المشاريع»، ويعكس مساهمة الإدارة في ركيزة النمو.</t>
        </is>
      </c>
      <c r="E55" s="11" t="inlineStr">
        <is>
          <t>(المتحقّق ÷ الإجمالي) × 100٪</t>
        </is>
      </c>
      <c r="F55" s="15" t="inlineStr">
        <is>
          <t>🎯 نتيجة</t>
        </is>
      </c>
      <c r="G55" s="11" t="inlineStr">
        <is>
          <t>النمو · التوسع في المواقع</t>
        </is>
      </c>
      <c r="H55" s="15" t="inlineStr">
        <is>
          <t>العمليات الداخلية</t>
        </is>
      </c>
      <c r="I55" s="59" t="n">
        <v>0.38</v>
      </c>
      <c r="J55" s="15" t="inlineStr">
        <is>
          <t>مدير إدارة المشاريع</t>
        </is>
      </c>
      <c r="K55" s="11" t="inlineStr">
        <is>
          <t>نظام إدارة المشاريع (PMO/Primavera)</t>
        </is>
      </c>
      <c r="L55" s="15" t="inlineStr">
        <is>
          <t>شهري</t>
        </is>
      </c>
      <c r="M55" s="15" t="inlineStr">
        <is>
          <t>مدير إدارة المشاريع</t>
        </is>
      </c>
      <c r="N55" s="51" t="n"/>
    </row>
    <row r="56" ht="30" customHeight="1">
      <c r="A56" s="15" t="n">
        <v>54</v>
      </c>
      <c r="B56" s="13" t="inlineStr">
        <is>
          <t>إدارة المشاريع</t>
        </is>
      </c>
      <c r="C56" s="21" t="inlineStr">
        <is>
          <t>نسبة تسليم المحطات في الموعد المخطط</t>
        </is>
      </c>
      <c r="D56" s="71" t="inlineStr">
        <is>
          <t>يقيس نسبة تسليم المحطات في الموعد المخطط ضمن محور «تنفيذ المشاريع»، ويعكس مساهمة الإدارة في ركيزة النمو.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59" t="n">
        <v>0.37</v>
      </c>
      <c r="J56" s="15" t="inlineStr">
        <is>
          <t>مدير إدارة المشاريع</t>
        </is>
      </c>
      <c r="K56" s="11" t="inlineStr">
        <is>
          <t>نظام إدارة المشاريع (PMO/Primavera)</t>
        </is>
      </c>
      <c r="L56" s="15" t="inlineStr">
        <is>
          <t>شهري</t>
        </is>
      </c>
      <c r="M56" s="15" t="inlineStr">
        <is>
          <t>مدير إدارة المشاريع</t>
        </is>
      </c>
      <c r="N56" s="51" t="n"/>
    </row>
    <row r="57" ht="30" customHeight="1">
      <c r="A57" s="15" t="n">
        <v>55</v>
      </c>
      <c r="B57" s="13" t="inlineStr">
        <is>
          <t>إدارة المشاريع</t>
        </is>
      </c>
      <c r="C57" s="21" t="inlineStr">
        <is>
          <t>متوسط مدة إغلاق قائمة الملاحظات النهائية</t>
        </is>
      </c>
      <c r="D57" s="71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57" s="11" t="inlineStr">
        <is>
          <t>متوسط يوم خلال الفترة</t>
        </is>
      </c>
      <c r="F57" s="15" t="inlineStr">
        <is>
          <t>🎯 نتيجة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59" t="n">
        <v>0.25</v>
      </c>
      <c r="J57" s="15" t="inlineStr">
        <is>
          <t>مدير إدارة المشاريع</t>
        </is>
      </c>
      <c r="K57" s="11" t="inlineStr">
        <is>
          <t>نظام إدارة المشاريع (PMO/Primavera)</t>
        </is>
      </c>
      <c r="L57" s="15" t="inlineStr">
        <is>
          <t>شهري</t>
        </is>
      </c>
      <c r="M57" s="15" t="inlineStr">
        <is>
          <t>مدير إدارة المشاريع</t>
        </is>
      </c>
      <c r="N57" s="51" t="n"/>
    </row>
    <row r="58" ht="30" customHeight="1">
      <c r="A58" s="15" t="n">
        <v>56</v>
      </c>
      <c r="B58" s="13" t="inlineStr">
        <is>
          <t>سلاسل الإمداد</t>
        </is>
      </c>
      <c r="C58" s="21" t="inlineStr">
        <is>
          <t>عدد انقطاعات الوقود في المحطات</t>
        </is>
      </c>
      <c r="D58" s="71" t="inlineStr">
        <is>
          <t>يقيس عدد انقطاعات الوقود في المحطات ضمن محور «خدمة العميل والتوفّر»، ويعكس مساهمة الإدارة في ركيزة الاستدامة.</t>
        </is>
      </c>
      <c r="E58" s="11" t="inlineStr">
        <is>
          <t>إجمالي العدد خلال الفترة</t>
        </is>
      </c>
      <c r="F58" s="15" t="inlineStr">
        <is>
          <t>⚙️ نشاط</t>
        </is>
      </c>
      <c r="G58" s="11" t="inlineStr">
        <is>
          <t>الاستدامة · جودة التشغيل</t>
        </is>
      </c>
      <c r="H58" s="15" t="inlineStr">
        <is>
          <t>العمليات الداخلية</t>
        </is>
      </c>
      <c r="I58" s="59" t="n">
        <v>0.3</v>
      </c>
      <c r="J58" s="15" t="inlineStr">
        <is>
          <t>مدير سلاسل الإمداد</t>
        </is>
      </c>
      <c r="K58" s="11" t="inlineStr">
        <is>
          <t>نظام سلاسل الإمداد والمخزون (WMS/ERP)</t>
        </is>
      </c>
      <c r="L58" s="15" t="inlineStr">
        <is>
          <t>شهري</t>
        </is>
      </c>
      <c r="M58" s="15" t="inlineStr">
        <is>
          <t>مدير سلاسل الإمداد</t>
        </is>
      </c>
      <c r="N58" s="51" t="n"/>
    </row>
    <row r="59" ht="30" customHeight="1">
      <c r="A59" s="15" t="n">
        <v>57</v>
      </c>
      <c r="B59" s="13" t="inlineStr">
        <is>
          <t>سلاسل الإمداد</t>
        </is>
      </c>
      <c r="C59" s="21" t="inlineStr">
        <is>
          <t>نسبة إنجاز أوامر الشراء</t>
        </is>
      </c>
      <c r="D59" s="71" t="inlineStr">
        <is>
          <t>يقيس نسبة إنجاز أوامر الشراء ضمن محور «المشتريات»، ويعكس مساهمة الإدارة في ركيزة الاستدامة.</t>
        </is>
      </c>
      <c r="E59" s="11" t="inlineStr">
        <is>
          <t>(المتحقّق ÷ الإجمالي) × 100٪</t>
        </is>
      </c>
      <c r="F59" s="15" t="inlineStr">
        <is>
          <t>🔧 تشغيلي</t>
        </is>
      </c>
      <c r="G59" s="11" t="inlineStr">
        <is>
          <t>الاستدامة · جودة التشغيل</t>
        </is>
      </c>
      <c r="H59" s="15" t="inlineStr">
        <is>
          <t>العمليات الداخلية</t>
        </is>
      </c>
      <c r="I59" s="59" t="n">
        <v>0.2</v>
      </c>
      <c r="J59" s="15" t="inlineStr">
        <is>
          <t>مدير سلاسل الإمداد</t>
        </is>
      </c>
      <c r="K59" s="11" t="inlineStr">
        <is>
          <t>نظام سلاسل الإمداد والمخزون (WMS/ERP)</t>
        </is>
      </c>
      <c r="L59" s="15" t="inlineStr">
        <is>
          <t>شهري</t>
        </is>
      </c>
      <c r="M59" s="15" t="inlineStr">
        <is>
          <t>مدير سلاسل الإمداد</t>
        </is>
      </c>
      <c r="N59" s="51" t="n"/>
    </row>
    <row r="60" ht="30" customHeight="1">
      <c r="A60" s="15" t="n">
        <v>58</v>
      </c>
      <c r="B60" s="13" t="inlineStr">
        <is>
          <t>سلاسل الإمداد</t>
        </is>
      </c>
      <c r="C60" s="21" t="inlineStr">
        <is>
          <t>مستوى رضا الموردين</t>
        </is>
      </c>
      <c r="D60" s="71" t="inlineStr">
        <is>
          <t>يقيس مستوى رضا الموردين ضمن محور «الموردون»، ويعكس مساهمة الإدارة في ركيزة الاستدامة.</t>
        </is>
      </c>
      <c r="E60" s="11" t="inlineStr">
        <is>
          <t>(المتحقّق ÷ الإجمالي) × 100٪</t>
        </is>
      </c>
      <c r="F60" s="15" t="inlineStr">
        <is>
          <t>🎯 نتيجة</t>
        </is>
      </c>
      <c r="G60" s="11" t="inlineStr">
        <is>
          <t>الاستدامة · تعزيز تجربة العملاء</t>
        </is>
      </c>
      <c r="H60" s="15" t="inlineStr">
        <is>
          <t>العملاء</t>
        </is>
      </c>
      <c r="I60" s="59" t="n">
        <v>0.3</v>
      </c>
      <c r="J60" s="15" t="inlineStr">
        <is>
          <t>مدير سلاسل الإمداد</t>
        </is>
      </c>
      <c r="K60" s="11" t="inlineStr">
        <is>
          <t>نظام سلاسل الإمداد والمخزون (WMS/ERP)</t>
        </is>
      </c>
      <c r="L60" s="15" t="inlineStr">
        <is>
          <t>ربعي</t>
        </is>
      </c>
      <c r="M60" s="15" t="inlineStr">
        <is>
          <t>مدير سلاسل الإمداد</t>
        </is>
      </c>
      <c r="N60" s="51" t="n"/>
    </row>
    <row r="61" ht="30" customHeight="1">
      <c r="A61" s="15" t="n">
        <v>59</v>
      </c>
      <c r="B61" s="13" t="inlineStr">
        <is>
          <t>سلاسل الإمداد</t>
        </is>
      </c>
      <c r="C61" s="21" t="inlineStr">
        <is>
          <t>نسبة نقليات أسطول درب</t>
        </is>
      </c>
      <c r="D61" s="71" t="inlineStr">
        <is>
          <t>يقيس نسبة نقليات أسطول درب ضمن محور «النقل والأسطول»، ويعكس مساهمة الإدارة في ركيزة الاستدامة.</t>
        </is>
      </c>
      <c r="E61" s="11" t="inlineStr">
        <is>
          <t>(المتحقّق ÷ الإجمالي) × 100٪</t>
        </is>
      </c>
      <c r="F61" s="15" t="inlineStr">
        <is>
          <t>🔧 تشغيلي</t>
        </is>
      </c>
      <c r="G61" s="11" t="inlineStr">
        <is>
          <t>الاستدامة · جودة التشغيل</t>
        </is>
      </c>
      <c r="H61" s="15" t="inlineStr">
        <is>
          <t>العمليات الداخلية</t>
        </is>
      </c>
      <c r="I61" s="59" t="n">
        <v>0.2</v>
      </c>
      <c r="J61" s="15" t="inlineStr">
        <is>
          <t>مدير سلاسل الإمداد</t>
        </is>
      </c>
      <c r="K61" s="11" t="inlineStr">
        <is>
          <t>نظام سلاسل الإمداد والمخزون (WMS/ERP)</t>
        </is>
      </c>
      <c r="L61" s="15" t="inlineStr">
        <is>
          <t>شهري</t>
        </is>
      </c>
      <c r="M61" s="15" t="inlineStr">
        <is>
          <t>مدير سلاسل الإمداد</t>
        </is>
      </c>
      <c r="N61" s="51" t="n"/>
    </row>
    <row r="62" ht="30" customHeight="1">
      <c r="A62" s="15" t="n">
        <v>60</v>
      </c>
      <c r="B62" s="13" t="inlineStr">
        <is>
          <t>الصيانة والأتمتة</t>
        </is>
      </c>
      <c r="C62" s="21" t="inlineStr">
        <is>
          <t>نسبة تنفيذ الصيانة الوقائية في موعدها</t>
        </is>
      </c>
      <c r="D62" s="71" t="inlineStr">
        <is>
          <t>يقيس نسبة تنفيذ الصيانة الوقائية في موعدها ضمن محور «جاهزية الأصول»، ويعكس مساهمة الإدارة في ركيزة الاستدامة.</t>
        </is>
      </c>
      <c r="E62" s="11" t="inlineStr">
        <is>
          <t>(المتحقّق ÷ الإجمالي) × 100٪</t>
        </is>
      </c>
      <c r="F62" s="15" t="inlineStr">
        <is>
          <t>⚙️ نشاط</t>
        </is>
      </c>
      <c r="G62" s="11" t="inlineStr">
        <is>
          <t>الاستدامة · جودة التشغيل</t>
        </is>
      </c>
      <c r="H62" s="15" t="inlineStr">
        <is>
          <t>العمليات الداخلية</t>
        </is>
      </c>
      <c r="I62" s="59" t="n">
        <v>0.5</v>
      </c>
      <c r="J62" s="15" t="inlineStr">
        <is>
          <t>مدير الصيانة والأتمتة</t>
        </is>
      </c>
      <c r="K62" s="11" t="inlineStr">
        <is>
          <t>نظام إدارة الصيانة (CMMS) وأنظمة الأتمتة (SCADA)</t>
        </is>
      </c>
      <c r="L62" s="15" t="inlineStr">
        <is>
          <t>شهري</t>
        </is>
      </c>
      <c r="M62" s="15" t="inlineStr">
        <is>
          <t>مدير الصيانة والأتمتة</t>
        </is>
      </c>
      <c r="N62" s="51" t="n"/>
    </row>
    <row r="63" ht="30" customHeight="1">
      <c r="A63" s="15" t="n">
        <v>61</v>
      </c>
      <c r="B63" s="13" t="inlineStr">
        <is>
          <t>الصيانة والأتمتة</t>
        </is>
      </c>
      <c r="C63" s="21" t="inlineStr">
        <is>
          <t>معدل تكرار الأعطال</t>
        </is>
      </c>
      <c r="D63" s="71" t="inlineStr">
        <is>
          <t>يقيس معدل تكرار الأعطال ضمن محور «الاستجابة والإصلاح»، ويعكس مساهمة الإدارة في ركيزة الاستدامة.</t>
        </is>
      </c>
      <c r="E63" s="11" t="inlineStr">
        <is>
          <t>(المتحقّق ÷ الإجمالي) × 100٪</t>
        </is>
      </c>
      <c r="F63" s="15" t="inlineStr">
        <is>
          <t>🔧 تشغيلي</t>
        </is>
      </c>
      <c r="G63" s="11" t="inlineStr">
        <is>
          <t>الاستدامة · جودة التشغيل</t>
        </is>
      </c>
      <c r="H63" s="15" t="inlineStr">
        <is>
          <t>العمليات الداخلية</t>
        </is>
      </c>
      <c r="I63" s="59" t="n">
        <v>0.5</v>
      </c>
      <c r="J63" s="15" t="inlineStr">
        <is>
          <t>مدير الصيانة والأتمتة</t>
        </is>
      </c>
      <c r="K63" s="11" t="inlineStr">
        <is>
          <t>نظام إدارة الصيانة (CMMS) وأنظمة الأتمتة (SCADA)</t>
        </is>
      </c>
      <c r="L63" s="15" t="inlineStr">
        <is>
          <t>شهري</t>
        </is>
      </c>
      <c r="M63" s="15" t="inlineStr">
        <is>
          <t>مدير الصيانة والأتمتة</t>
        </is>
      </c>
      <c r="N63" s="51" t="n"/>
    </row>
    <row r="64" ht="30" customHeight="1">
      <c r="A64" s="15" t="n">
        <v>62</v>
      </c>
      <c r="B64" s="13" t="inlineStr">
        <is>
          <t>التقنية الرقمية</t>
        </is>
      </c>
      <c r="C64" s="21" t="inlineStr">
        <is>
          <t>نسبة استقرار التشغيل التقني للمحطات</t>
        </is>
      </c>
      <c r="D64" s="71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64" s="11" t="inlineStr">
        <is>
          <t>(المتحقّق ÷ الإجمالي) × 100٪</t>
        </is>
      </c>
      <c r="F64" s="15" t="inlineStr">
        <is>
          <t>🔧 تشغيلي</t>
        </is>
      </c>
      <c r="G64" s="11" t="inlineStr">
        <is>
          <t>الابتكار · التحول التقني</t>
        </is>
      </c>
      <c r="H64" s="15" t="inlineStr">
        <is>
          <t>العمليات الداخلية</t>
        </is>
      </c>
      <c r="I64" s="59" t="n">
        <v>0.5</v>
      </c>
      <c r="J64" s="15" t="inlineStr">
        <is>
          <t>مدير التقنية</t>
        </is>
      </c>
      <c r="K64" s="11" t="inlineStr">
        <is>
          <t>أنظمة تقنية المعلومات (ERP/ITSM/SIEM)</t>
        </is>
      </c>
      <c r="L64" s="15" t="inlineStr">
        <is>
          <t>شهري</t>
        </is>
      </c>
      <c r="M64" s="15" t="inlineStr">
        <is>
          <t>مدير التقنية</t>
        </is>
      </c>
      <c r="N64" s="51" t="n"/>
    </row>
    <row r="65" ht="30" customHeight="1">
      <c r="A65" s="15" t="n">
        <v>63</v>
      </c>
      <c r="B65" s="13" t="inlineStr">
        <is>
          <t>التقنية الرقمية</t>
        </is>
      </c>
      <c r="C65" s="21" t="inlineStr">
        <is>
          <t>نسبة إنجاز مشاريع التحول الرقمي والمشاريع التقنية حسب الخطة</t>
        </is>
      </c>
      <c r="D65" s="71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65" s="11" t="inlineStr">
        <is>
          <t>(المتحقّق ÷ الإجمالي) × 100٪</t>
        </is>
      </c>
      <c r="F65" s="15" t="inlineStr">
        <is>
          <t>🔧 تشغيلي</t>
        </is>
      </c>
      <c r="G65" s="11" t="inlineStr">
        <is>
          <t>الابتكار · التحول التقني</t>
        </is>
      </c>
      <c r="H65" s="15" t="inlineStr">
        <is>
          <t>التعلّم والنمو</t>
        </is>
      </c>
      <c r="I65" s="59" t="n">
        <v>0.5</v>
      </c>
      <c r="J65" s="15" t="inlineStr">
        <is>
          <t>مدير التقنية</t>
        </is>
      </c>
      <c r="K65" s="11" t="inlineStr">
        <is>
          <t>أنظمة تقنية المعلومات (ERP/ITSM/SIEM)</t>
        </is>
      </c>
      <c r="L65" s="15" t="inlineStr">
        <is>
          <t>شهري</t>
        </is>
      </c>
      <c r="M65" s="15" t="inlineStr">
        <is>
          <t>مدير التقنية</t>
        </is>
      </c>
      <c r="N65" s="51" t="n"/>
    </row>
    <row r="66" ht="30" customHeight="1">
      <c r="A66" s="15" t="n">
        <v>64</v>
      </c>
      <c r="B66" s="13" t="inlineStr">
        <is>
          <t>الموارد البشرية</t>
        </is>
      </c>
      <c r="C66" s="21" t="inlineStr">
        <is>
          <t>نسبة الالتزام بنظام العمل واللوائح وخطة القوى العاملة المعتمدة</t>
        </is>
      </c>
      <c r="D66" s="71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الاستثمار في الموظفين</t>
        </is>
      </c>
      <c r="H66" s="15" t="inlineStr">
        <is>
          <t>العمليات الداخلية</t>
        </is>
      </c>
      <c r="I66" s="59" t="n">
        <v>0.28</v>
      </c>
      <c r="J66" s="15" t="inlineStr">
        <is>
          <t>مدير الموارد البشرية</t>
        </is>
      </c>
      <c r="K66" s="11" t="inlineStr">
        <is>
          <t>نظام الموارد البشرية (HRMS)</t>
        </is>
      </c>
      <c r="L66" s="15" t="inlineStr">
        <is>
          <t>شهري</t>
        </is>
      </c>
      <c r="M66" s="15" t="inlineStr">
        <is>
          <t>مدير الموارد البشرية</t>
        </is>
      </c>
      <c r="N66" s="51" t="n"/>
    </row>
    <row r="67" ht="30" customHeight="1">
      <c r="A67" s="15" t="n">
        <v>65</v>
      </c>
      <c r="B67" s="13" t="inlineStr">
        <is>
          <t>الموارد البشرية</t>
        </is>
      </c>
      <c r="C67" s="21" t="inlineStr">
        <is>
          <t>نسبة تنفيذ برامج التدريب والتأهيل المعتمدة</t>
        </is>
      </c>
      <c r="D67" s="71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67" s="11" t="inlineStr">
        <is>
          <t>(المتحقّق ÷ الإجمالي) × 100٪</t>
        </is>
      </c>
      <c r="F67" s="15" t="inlineStr">
        <is>
          <t>⚙️ نشاط</t>
        </is>
      </c>
      <c r="G67" s="11" t="inlineStr">
        <is>
          <t>الاستدامة · الاستثمار في الموظفين</t>
        </is>
      </c>
      <c r="H67" s="15" t="inlineStr">
        <is>
          <t>التعلّم والنمو</t>
        </is>
      </c>
      <c r="I67" s="59" t="n">
        <v>0.15</v>
      </c>
      <c r="J67" s="15" t="inlineStr">
        <is>
          <t>مدير الموارد البشرية</t>
        </is>
      </c>
      <c r="K67" s="11" t="inlineStr">
        <is>
          <t>نظام الموارد البشرية (HRMS)</t>
        </is>
      </c>
      <c r="L67" s="15" t="inlineStr">
        <is>
          <t>شهري</t>
        </is>
      </c>
      <c r="M67" s="15" t="inlineStr">
        <is>
          <t>مدير الموارد البشرية</t>
        </is>
      </c>
      <c r="N67" s="51" t="n"/>
    </row>
    <row r="68" ht="30" customHeight="1">
      <c r="A68" s="15" t="n">
        <v>66</v>
      </c>
      <c r="B68" s="13" t="inlineStr">
        <is>
          <t>الموارد البشرية</t>
        </is>
      </c>
      <c r="C68" s="21" t="inlineStr">
        <is>
          <t>معدل دوران الموظفين</t>
        </is>
      </c>
      <c r="D68" s="71" t="inlineStr">
        <is>
          <t>يقيس معدل دوران الموظفين ضمن محور «الاستقرار والتطوير»، ويعكس مساهمة الإدارة في ركيزة الاستدامة.</t>
        </is>
      </c>
      <c r="E68" s="11" t="inlineStr">
        <is>
          <t>(المتحقّق ÷ الإجمالي) × 100٪</t>
        </is>
      </c>
      <c r="F68" s="15" t="inlineStr">
        <is>
          <t>🔧 تشغيلي</t>
        </is>
      </c>
      <c r="G68" s="11" t="inlineStr">
        <is>
          <t>الاستدامة · الاستثمار في الموظفين</t>
        </is>
      </c>
      <c r="H68" s="15" t="inlineStr">
        <is>
          <t>التعلّم والنمو</t>
        </is>
      </c>
      <c r="I68" s="59" t="n">
        <v>0.15</v>
      </c>
      <c r="J68" s="15" t="inlineStr">
        <is>
          <t>مدير الموارد البشرية</t>
        </is>
      </c>
      <c r="K68" s="11" t="inlineStr">
        <is>
          <t>نظام الموارد البشرية (HRMS)</t>
        </is>
      </c>
      <c r="L68" s="15" t="inlineStr">
        <is>
          <t>شهري</t>
        </is>
      </c>
      <c r="M68" s="15" t="inlineStr">
        <is>
          <t>مدير الموارد البشرية</t>
        </is>
      </c>
      <c r="N68" s="51" t="n"/>
    </row>
    <row r="69" ht="30" customHeight="1">
      <c r="A69" s="15" t="n">
        <v>67</v>
      </c>
      <c r="B69" s="13" t="inlineStr">
        <is>
          <t>الموارد البشرية</t>
        </is>
      </c>
      <c r="C69" s="21" t="inlineStr">
        <is>
          <t>متوسط مدة إغلاق الشواغر المعتمدة</t>
        </is>
      </c>
      <c r="D69" s="71" t="inlineStr">
        <is>
          <t>يقيس متوسط مدة إغلاق الشواغر المعتمدة ضمن محور «الاستقطاب»، ويعكس مساهمة الإدارة في ركيزة الاستدامة.</t>
        </is>
      </c>
      <c r="E69" s="11" t="inlineStr">
        <is>
          <t>متوسط يوم خلال الفترة</t>
        </is>
      </c>
      <c r="F69" s="15" t="inlineStr">
        <is>
          <t>🎯 نتيجة</t>
        </is>
      </c>
      <c r="G69" s="11" t="inlineStr">
        <is>
          <t>الاستدامة · الاستثمار في الموظفين</t>
        </is>
      </c>
      <c r="H69" s="15" t="inlineStr">
        <is>
          <t>العمليات الداخلية</t>
        </is>
      </c>
      <c r="I69" s="59" t="n">
        <v>0.21</v>
      </c>
      <c r="J69" s="15" t="inlineStr">
        <is>
          <t>مدير الموارد البشرية</t>
        </is>
      </c>
      <c r="K69" s="11" t="inlineStr">
        <is>
          <t>نظام الموارد البشرية (HRMS)</t>
        </is>
      </c>
      <c r="L69" s="15" t="inlineStr">
        <is>
          <t>شهري</t>
        </is>
      </c>
      <c r="M69" s="15" t="inlineStr">
        <is>
          <t>مدير الموارد البشرية</t>
        </is>
      </c>
      <c r="N69" s="51" t="n"/>
    </row>
    <row r="70" ht="30" customHeight="1">
      <c r="A70" s="15" t="n">
        <v>68</v>
      </c>
      <c r="B70" s="13" t="inlineStr">
        <is>
          <t>الموارد البشرية</t>
        </is>
      </c>
      <c r="C70" s="21" t="inlineStr">
        <is>
          <t>نسبة دقة الرواتب والمستحقات الشهرية</t>
        </is>
      </c>
      <c r="D70" s="71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70" s="11" t="inlineStr">
        <is>
          <t>(المتحقّق ÷ الإجمالي) × 100٪</t>
        </is>
      </c>
      <c r="F70" s="15" t="inlineStr">
        <is>
          <t>🎯 نتيجة</t>
        </is>
      </c>
      <c r="G70" s="11" t="inlineStr">
        <is>
          <t>الاستدامة · الاستثمار في الموظفين</t>
        </is>
      </c>
      <c r="H70" s="15" t="inlineStr">
        <is>
          <t>مالي</t>
        </is>
      </c>
      <c r="I70" s="59" t="n">
        <v>0.21</v>
      </c>
      <c r="J70" s="15" t="inlineStr">
        <is>
          <t>مدير الموارد البشرية</t>
        </is>
      </c>
      <c r="K70" s="11" t="inlineStr">
        <is>
          <t>نظام الرواتب (Payroll) / حماية الأجور</t>
        </is>
      </c>
      <c r="L70" s="15" t="inlineStr">
        <is>
          <t>شهري</t>
        </is>
      </c>
      <c r="M70" s="15" t="inlineStr">
        <is>
          <t>مدير الموارد البشرية</t>
        </is>
      </c>
      <c r="N70" s="51" t="n"/>
    </row>
    <row r="71" ht="30" customHeight="1">
      <c r="A71" s="15" t="n">
        <v>69</v>
      </c>
      <c r="B71" s="13" t="inlineStr">
        <is>
          <t>التسويق</t>
        </is>
      </c>
      <c r="C71" s="21" t="inlineStr">
        <is>
          <t>الوصول الكلي (Total Reach)</t>
        </is>
      </c>
      <c r="D71" s="71" t="inlineStr">
        <is>
          <t>يقيس الوصول الكلي (Total Reach) ضمن محور «الإدارة العامة»، ويعكس مساهمة الإدارة في ركيزة النمو.</t>
        </is>
      </c>
      <c r="E71" s="11" t="inlineStr">
        <is>
          <t>إجمالي العدد خلال الفترة</t>
        </is>
      </c>
      <c r="F71" s="15" t="inlineStr">
        <is>
          <t>🎯 نتيجة</t>
        </is>
      </c>
      <c r="G71" s="11" t="inlineStr">
        <is>
          <t>النمو · زيادة وصول العملاء</t>
        </is>
      </c>
      <c r="H71" s="15" t="inlineStr">
        <is>
          <t>العملاء</t>
        </is>
      </c>
      <c r="I71" s="59" t="n">
        <v>0.25</v>
      </c>
      <c r="J71" s="15" t="inlineStr">
        <is>
          <t>مدير التسويق</t>
        </is>
      </c>
      <c r="K71" s="11" t="inlineStr">
        <is>
          <t>أنظمة التسويق الرقمي / تانكي</t>
        </is>
      </c>
      <c r="L71" s="15" t="inlineStr">
        <is>
          <t>شهري</t>
        </is>
      </c>
      <c r="M71" s="15" t="inlineStr">
        <is>
          <t>مدير التسويق</t>
        </is>
      </c>
      <c r="N71" s="51" t="n"/>
    </row>
    <row r="72" ht="30" customHeight="1">
      <c r="A72" s="15" t="n">
        <v>70</v>
      </c>
      <c r="B72" s="13" t="inlineStr">
        <is>
          <t>التسويق</t>
        </is>
      </c>
      <c r="C72" s="21" t="inlineStr">
        <is>
          <t>معدل خفض الشكاوى</t>
        </is>
      </c>
      <c r="D72" s="71" t="inlineStr">
        <is>
          <t>يقيس معدل خفض الشكاوى ضمن محور «خدمة العملاء والدعم»، ويعكس مساهمة الإدارة في ركيزة الاستدامة.</t>
        </is>
      </c>
      <c r="E72" s="11" t="inlineStr">
        <is>
          <t>(المتحقّق ÷ الإجمالي) × 100٪</t>
        </is>
      </c>
      <c r="F72" s="15" t="inlineStr">
        <is>
          <t>🎯 نتيجة</t>
        </is>
      </c>
      <c r="G72" s="11" t="inlineStr">
        <is>
          <t>الاستدامة · تعزيز تجربة العملاء</t>
        </is>
      </c>
      <c r="H72" s="15" t="inlineStr">
        <is>
          <t>العملاء</t>
        </is>
      </c>
      <c r="I72" s="59" t="n">
        <v>0.17</v>
      </c>
      <c r="J72" s="15" t="inlineStr">
        <is>
          <t>مدير التسويق</t>
        </is>
      </c>
      <c r="K72" s="11" t="inlineStr">
        <is>
          <t>سجلات الإدارة</t>
        </is>
      </c>
      <c r="L72" s="15" t="inlineStr">
        <is>
          <t>شهري</t>
        </is>
      </c>
      <c r="M72" s="15" t="inlineStr">
        <is>
          <t>مدير التسويق</t>
        </is>
      </c>
      <c r="N72" s="51" t="n"/>
    </row>
    <row r="73" ht="30" customHeight="1">
      <c r="A73" s="15" t="n">
        <v>71</v>
      </c>
      <c r="B73" s="13" t="inlineStr">
        <is>
          <t>التسويق</t>
        </is>
      </c>
      <c r="C73" s="21" t="inlineStr">
        <is>
          <t>نسبة التزام الهوية البصرية</t>
        </is>
      </c>
      <c r="D73" s="71" t="inlineStr">
        <is>
          <t>يقيس نسبة التزام الهوية البصرية ضمن محور «الدعاية والإعلان»، ويعكس مساهمة الإدارة في ركيزة الابتكار.</t>
        </is>
      </c>
      <c r="E73" s="11" t="inlineStr">
        <is>
          <t>(المتحقّق ÷ الإجمالي) × 100٪</t>
        </is>
      </c>
      <c r="F73" s="15" t="inlineStr">
        <is>
          <t>🎯 نتيجة</t>
        </is>
      </c>
      <c r="G73" s="11" t="inlineStr">
        <is>
          <t>الابتكار · تطوير التصاميم والهوية</t>
        </is>
      </c>
      <c r="H73" s="15" t="inlineStr">
        <is>
          <t>التعلّم والنمو</t>
        </is>
      </c>
      <c r="I73" s="59" t="n">
        <v>0.25</v>
      </c>
      <c r="J73" s="15" t="inlineStr">
        <is>
          <t>مدير التسويق</t>
        </is>
      </c>
      <c r="K73" s="11" t="inlineStr">
        <is>
          <t>سجلات الإدارة</t>
        </is>
      </c>
      <c r="L73" s="15" t="inlineStr">
        <is>
          <t>شهري</t>
        </is>
      </c>
      <c r="M73" s="15" t="inlineStr">
        <is>
          <t>مدير التسويق</t>
        </is>
      </c>
      <c r="N73" s="51" t="n"/>
    </row>
    <row r="74" ht="30" customHeight="1">
      <c r="A74" s="15" t="n">
        <v>72</v>
      </c>
      <c r="B74" s="13" t="inlineStr">
        <is>
          <t>التسويق</t>
        </is>
      </c>
      <c r="C74" s="21" t="inlineStr">
        <is>
          <t>عدد تنزيلات التطبيق</t>
        </is>
      </c>
      <c r="D74" s="71" t="inlineStr">
        <is>
          <t>يقيس عدد تنزيلات التطبيق ضمن محور «تطبيق تانكي»، ويعكس مساهمة الإدارة في ركيزة الابتكار.</t>
        </is>
      </c>
      <c r="E74" s="11" t="inlineStr">
        <is>
          <t>إجمالي العدد خلال الفترة</t>
        </is>
      </c>
      <c r="F74" s="15" t="inlineStr">
        <is>
          <t>⚙️ نشاط</t>
        </is>
      </c>
      <c r="G74" s="11" t="inlineStr">
        <is>
          <t>الابتكار · تطبيق «تانكي»</t>
        </is>
      </c>
      <c r="H74" s="15" t="inlineStr">
        <is>
          <t>التعلّم والنمو</t>
        </is>
      </c>
      <c r="I74" s="59" t="n">
        <v>0.17</v>
      </c>
      <c r="J74" s="15" t="inlineStr">
        <is>
          <t>مدير التسويق</t>
        </is>
      </c>
      <c r="K74" s="11" t="inlineStr">
        <is>
          <t>أنظمة التسويق الرقمي / تانكي</t>
        </is>
      </c>
      <c r="L74" s="15" t="inlineStr">
        <is>
          <t>شهري</t>
        </is>
      </c>
      <c r="M74" s="15" t="inlineStr">
        <is>
          <t>مدير التسويق</t>
        </is>
      </c>
      <c r="N74" s="51" t="n"/>
    </row>
    <row r="75" ht="30" customHeight="1">
      <c r="A75" s="15" t="n">
        <v>73</v>
      </c>
      <c r="B75" s="13" t="inlineStr">
        <is>
          <t>التسويق</t>
        </is>
      </c>
      <c r="C75" s="21" t="inlineStr">
        <is>
          <t>عدد شراكات التطبيق</t>
        </is>
      </c>
      <c r="D75" s="71" t="inlineStr">
        <is>
          <t>يقيس عدد شراكات التطبيق ضمن محور «تطبيق تانكي»، ويعكس مساهمة الإدارة في ركيزة الابتكار.</t>
        </is>
      </c>
      <c r="E75" s="11" t="inlineStr">
        <is>
          <t>إجمالي العدد خلال الفترة</t>
        </is>
      </c>
      <c r="F75" s="15" t="inlineStr">
        <is>
          <t>⚙️ نشاط</t>
        </is>
      </c>
      <c r="G75" s="11" t="inlineStr">
        <is>
          <t>الابتكار · تطبيق «تانكي»</t>
        </is>
      </c>
      <c r="H75" s="15" t="inlineStr">
        <is>
          <t>العمليات الداخلية</t>
        </is>
      </c>
      <c r="I75" s="59" t="n">
        <v>0.16</v>
      </c>
      <c r="J75" s="15" t="inlineStr">
        <is>
          <t>مدير التسويق</t>
        </is>
      </c>
      <c r="K75" s="11" t="inlineStr">
        <is>
          <t>أنظمة التسويق الرقمي / تانكي</t>
        </is>
      </c>
      <c r="L75" s="15" t="inlineStr">
        <is>
          <t>شهري</t>
        </is>
      </c>
      <c r="M75" s="15" t="inlineStr">
        <is>
          <t>مدير التسويق</t>
        </is>
      </c>
      <c r="N75" s="51" t="n"/>
    </row>
    <row r="76" ht="30" customHeight="1">
      <c r="A76" s="15" t="n">
        <v>74</v>
      </c>
      <c r="B76" s="13" t="inlineStr">
        <is>
          <t>الجودة</t>
        </is>
      </c>
      <c r="C76" s="21" t="inlineStr"/>
      <c r="D76" s="71" t="inlineStr">
        <is>
          <t>يقيس  ضمن محور «»،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🔧 تشغيلي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59" t="n">
        <v>0.07000000000000001</v>
      </c>
      <c r="J76" s="15" t="inlineStr">
        <is>
          <t>مدير الجودة</t>
        </is>
      </c>
      <c r="K76" s="11" t="inlineStr">
        <is>
          <t>سجلات الإدارة</t>
        </is>
      </c>
      <c r="L76" s="15" t="inlineStr">
        <is>
          <t>شهري</t>
        </is>
      </c>
      <c r="M76" s="15" t="inlineStr">
        <is>
          <t>مدير الجودة</t>
        </is>
      </c>
      <c r="N76" s="51" t="n"/>
    </row>
    <row r="77" ht="30" customHeight="1">
      <c r="A77" s="15" t="n">
        <v>75</v>
      </c>
      <c r="B77" s="13" t="inlineStr">
        <is>
          <t>الجودة</t>
        </is>
      </c>
      <c r="C77" s="21" t="inlineStr"/>
      <c r="D77" s="71" t="inlineStr">
        <is>
          <t>يقيس  ضمن محور «»،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الاستدامة · جودة التشغيل</t>
        </is>
      </c>
      <c r="H77" s="15" t="inlineStr">
        <is>
          <t>العمليات الداخلية</t>
        </is>
      </c>
      <c r="I77" s="59" t="n">
        <v>0.07000000000000001</v>
      </c>
      <c r="J77" s="15" t="inlineStr">
        <is>
          <t>مدير الجودة</t>
        </is>
      </c>
      <c r="K77" s="11" t="inlineStr">
        <is>
          <t>سجلات الإدارة</t>
        </is>
      </c>
      <c r="L77" s="15" t="inlineStr">
        <is>
          <t>شهري</t>
        </is>
      </c>
      <c r="M77" s="15" t="inlineStr">
        <is>
          <t>مدير الجودة</t>
        </is>
      </c>
      <c r="N77" s="51" t="n"/>
    </row>
    <row r="78" ht="30" customHeight="1">
      <c r="A78" s="15" t="n">
        <v>76</v>
      </c>
      <c r="B78" s="13" t="inlineStr">
        <is>
          <t>الجودة</t>
        </is>
      </c>
      <c r="C78" s="21" t="inlineStr"/>
      <c r="D78" s="71" t="inlineStr">
        <is>
          <t>يقيس  ضمن محور «»، ويعكس مساهمة الإدارة في ركيزة الاستدامة.</t>
        </is>
      </c>
      <c r="E78" s="11" t="inlineStr">
        <is>
          <t>(المتحقّق ÷ الإجمالي) × 100٪</t>
        </is>
      </c>
      <c r="F78" s="15" t="inlineStr">
        <is>
          <t>🔧 تشغيلي</t>
        </is>
      </c>
      <c r="G78" s="11" t="inlineStr">
        <is>
          <t>الاستدامة · جودة التشغيل</t>
        </is>
      </c>
      <c r="H78" s="15" t="inlineStr">
        <is>
          <t>العمليات الداخلية</t>
        </is>
      </c>
      <c r="I78" s="59" t="n">
        <v>0.07000000000000001</v>
      </c>
      <c r="J78" s="15" t="inlineStr">
        <is>
          <t>مدير الجودة</t>
        </is>
      </c>
      <c r="K78" s="11" t="inlineStr">
        <is>
          <t>سجلات الإدارة</t>
        </is>
      </c>
      <c r="L78" s="15" t="inlineStr">
        <is>
          <t>شهري</t>
        </is>
      </c>
      <c r="M78" s="15" t="inlineStr">
        <is>
          <t>مدير الجودة</t>
        </is>
      </c>
      <c r="N78" s="51" t="n"/>
    </row>
    <row r="79" ht="30" customHeight="1">
      <c r="A79" s="15" t="n">
        <v>77</v>
      </c>
      <c r="B79" s="13" t="inlineStr">
        <is>
          <t>الجودة</t>
        </is>
      </c>
      <c r="C79" s="21" t="inlineStr"/>
      <c r="D79" s="71" t="inlineStr">
        <is>
          <t>يقيس  ضمن محور «»، ويعكس مساهمة الإدارة في ركيزة الاستدامة.</t>
        </is>
      </c>
      <c r="E79" s="11" t="inlineStr">
        <is>
          <t>(المتحقّق ÷ الإجمالي) × 100٪</t>
        </is>
      </c>
      <c r="F79" s="15" t="inlineStr">
        <is>
          <t>🔧 تشغيلي</t>
        </is>
      </c>
      <c r="G79" s="11" t="inlineStr">
        <is>
          <t>الاستدامة · جودة التشغيل</t>
        </is>
      </c>
      <c r="H79" s="15" t="inlineStr">
        <is>
          <t>العمليات الداخلية</t>
        </is>
      </c>
      <c r="I79" s="59" t="n">
        <v>0.07000000000000001</v>
      </c>
      <c r="J79" s="15" t="inlineStr">
        <is>
          <t>مدير الجودة</t>
        </is>
      </c>
      <c r="K79" s="11" t="inlineStr">
        <is>
          <t>سجلات الإدارة</t>
        </is>
      </c>
      <c r="L79" s="15" t="inlineStr">
        <is>
          <t>شهري</t>
        </is>
      </c>
      <c r="M79" s="15" t="inlineStr">
        <is>
          <t>مدير الجودة</t>
        </is>
      </c>
      <c r="N79" s="51" t="n"/>
    </row>
    <row r="80" ht="30" customHeight="1">
      <c r="A80" s="15" t="n">
        <v>78</v>
      </c>
      <c r="B80" s="13" t="inlineStr">
        <is>
          <t>الجودة</t>
        </is>
      </c>
      <c r="C80" s="21" t="inlineStr"/>
      <c r="D80" s="71" t="inlineStr">
        <is>
          <t>يقيس  ضمن محور «»،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🔧 تشغيلي</t>
        </is>
      </c>
      <c r="G80" s="11" t="inlineStr">
        <is>
          <t>الاستدامة · جودة التشغيل</t>
        </is>
      </c>
      <c r="H80" s="15" t="inlineStr">
        <is>
          <t>العمليات الداخلية</t>
        </is>
      </c>
      <c r="I80" s="59" t="n">
        <v>0.07000000000000001</v>
      </c>
      <c r="J80" s="15" t="inlineStr">
        <is>
          <t>مدير الجودة</t>
        </is>
      </c>
      <c r="K80" s="11" t="inlineStr">
        <is>
          <t>سجلات الإدارة</t>
        </is>
      </c>
      <c r="L80" s="15" t="inlineStr">
        <is>
          <t>شهري</t>
        </is>
      </c>
      <c r="M80" s="15" t="inlineStr">
        <is>
          <t>مدير الجودة</t>
        </is>
      </c>
      <c r="N80" s="51" t="n"/>
    </row>
    <row r="81" ht="30" customHeight="1">
      <c r="A81" s="15" t="n">
        <v>79</v>
      </c>
      <c r="B81" s="13" t="inlineStr">
        <is>
          <t>الجودة</t>
        </is>
      </c>
      <c r="C81" s="21" t="inlineStr"/>
      <c r="D81" s="71" t="inlineStr">
        <is>
          <t>يقيس  ضمن محور «»،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🔧 تشغيلي</t>
        </is>
      </c>
      <c r="G81" s="11" t="inlineStr">
        <is>
          <t>الاستدامة · جودة التشغيل</t>
        </is>
      </c>
      <c r="H81" s="15" t="inlineStr">
        <is>
          <t>العمليات الداخلية</t>
        </is>
      </c>
      <c r="I81" s="59" t="n">
        <v>0.07000000000000001</v>
      </c>
      <c r="J81" s="15" t="inlineStr">
        <is>
          <t>مدير الجودة</t>
        </is>
      </c>
      <c r="K81" s="11" t="inlineStr">
        <is>
          <t>سجلات الإدارة</t>
        </is>
      </c>
      <c r="L81" s="15" t="inlineStr">
        <is>
          <t>شهري</t>
        </is>
      </c>
      <c r="M81" s="15" t="inlineStr">
        <is>
          <t>مدير الجودة</t>
        </is>
      </c>
      <c r="N81" s="51" t="n"/>
    </row>
    <row r="82" ht="30" customHeight="1">
      <c r="A82" s="15" t="n">
        <v>80</v>
      </c>
      <c r="B82" s="13" t="inlineStr">
        <is>
          <t>الجودة</t>
        </is>
      </c>
      <c r="C82" s="21" t="inlineStr"/>
      <c r="D82" s="71" t="inlineStr">
        <is>
          <t>يقيس  ضمن محور «»،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🔧 تشغيلي</t>
        </is>
      </c>
      <c r="G82" s="11" t="inlineStr">
        <is>
          <t>الاستدامة · جودة التشغيل</t>
        </is>
      </c>
      <c r="H82" s="15" t="inlineStr">
        <is>
          <t>العمليات الداخلية</t>
        </is>
      </c>
      <c r="I82" s="59" t="n">
        <v>0.07000000000000001</v>
      </c>
      <c r="J82" s="15" t="inlineStr">
        <is>
          <t>مدير الجودة</t>
        </is>
      </c>
      <c r="K82" s="11" t="inlineStr">
        <is>
          <t>سجلات الإدارة</t>
        </is>
      </c>
      <c r="L82" s="15" t="inlineStr">
        <is>
          <t>شهري</t>
        </is>
      </c>
      <c r="M82" s="15" t="inlineStr">
        <is>
          <t>مدير الجودة</t>
        </is>
      </c>
      <c r="N82" s="51" t="n"/>
    </row>
    <row r="83" ht="30" customHeight="1">
      <c r="A83" s="15" t="n">
        <v>81</v>
      </c>
      <c r="B83" s="13" t="inlineStr">
        <is>
          <t>الجودة</t>
        </is>
      </c>
      <c r="C83" s="21" t="inlineStr"/>
      <c r="D83" s="71" t="inlineStr">
        <is>
          <t>يقيس  ضمن محور «»،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🔧 تشغيلي</t>
        </is>
      </c>
      <c r="G83" s="11" t="inlineStr">
        <is>
          <t>الاستدامة · جودة التشغيل</t>
        </is>
      </c>
      <c r="H83" s="15" t="inlineStr">
        <is>
          <t>العمليات الداخلية</t>
        </is>
      </c>
      <c r="I83" s="59" t="n">
        <v>0.07000000000000001</v>
      </c>
      <c r="J83" s="15" t="inlineStr">
        <is>
          <t>مدير الجودة</t>
        </is>
      </c>
      <c r="K83" s="11" t="inlineStr">
        <is>
          <t>سجلات الإدارة</t>
        </is>
      </c>
      <c r="L83" s="15" t="inlineStr">
        <is>
          <t>شهري</t>
        </is>
      </c>
      <c r="M83" s="15" t="inlineStr">
        <is>
          <t>مدير الجودة</t>
        </is>
      </c>
      <c r="N83" s="51" t="n"/>
    </row>
    <row r="84" ht="30" customHeight="1">
      <c r="A84" s="15" t="n">
        <v>82</v>
      </c>
      <c r="B84" s="13" t="inlineStr">
        <is>
          <t>الجودة</t>
        </is>
      </c>
      <c r="C84" s="21" t="inlineStr"/>
      <c r="D84" s="71" t="inlineStr">
        <is>
          <t>يقيس  ضمن محور «»،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🔧 تشغيلي</t>
        </is>
      </c>
      <c r="G84" s="11" t="inlineStr">
        <is>
          <t>الاستدامة · جودة التشغيل</t>
        </is>
      </c>
      <c r="H84" s="15" t="inlineStr">
        <is>
          <t>العمليات الداخلية</t>
        </is>
      </c>
      <c r="I84" s="59" t="n">
        <v>0.07000000000000001</v>
      </c>
      <c r="J84" s="15" t="inlineStr">
        <is>
          <t>مدير الجودة</t>
        </is>
      </c>
      <c r="K84" s="11" t="inlineStr">
        <is>
          <t>سجلات الإدارة</t>
        </is>
      </c>
      <c r="L84" s="15" t="inlineStr">
        <is>
          <t>شهري</t>
        </is>
      </c>
      <c r="M84" s="15" t="inlineStr">
        <is>
          <t>مدير الجودة</t>
        </is>
      </c>
      <c r="N84" s="51" t="n"/>
    </row>
    <row r="85" ht="30" customHeight="1">
      <c r="A85" s="15" t="n">
        <v>83</v>
      </c>
      <c r="B85" s="13" t="inlineStr">
        <is>
          <t>الجودة</t>
        </is>
      </c>
      <c r="C85" s="21" t="inlineStr"/>
      <c r="D85" s="71" t="inlineStr">
        <is>
          <t>يقيس  ضمن محور «»،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🔧 تشغيلي</t>
        </is>
      </c>
      <c r="G85" s="11" t="inlineStr">
        <is>
          <t>الاستدامة · جودة التشغيل</t>
        </is>
      </c>
      <c r="H85" s="15" t="inlineStr">
        <is>
          <t>العمليات الداخلية</t>
        </is>
      </c>
      <c r="I85" s="59" t="n">
        <v>0.07000000000000001</v>
      </c>
      <c r="J85" s="15" t="inlineStr">
        <is>
          <t>مدير الجودة</t>
        </is>
      </c>
      <c r="K85" s="11" t="inlineStr">
        <is>
          <t>سجلات الإدارة</t>
        </is>
      </c>
      <c r="L85" s="15" t="inlineStr">
        <is>
          <t>شهري</t>
        </is>
      </c>
      <c r="M85" s="15" t="inlineStr">
        <is>
          <t>مدير الجودة</t>
        </is>
      </c>
      <c r="N85" s="51" t="n"/>
    </row>
    <row r="86" ht="30" customHeight="1">
      <c r="A86" s="15" t="n">
        <v>84</v>
      </c>
      <c r="B86" s="13" t="inlineStr">
        <is>
          <t>الجودة</t>
        </is>
      </c>
      <c r="C86" s="21" t="inlineStr"/>
      <c r="D86" s="71" t="inlineStr">
        <is>
          <t>يقيس  ضمن محور «»،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🔧 تشغيلي</t>
        </is>
      </c>
      <c r="G86" s="11" t="inlineStr">
        <is>
          <t>الاستدامة · جودة التشغيل</t>
        </is>
      </c>
      <c r="H86" s="15" t="inlineStr">
        <is>
          <t>العمليات الداخلية</t>
        </is>
      </c>
      <c r="I86" s="59" t="n">
        <v>0.06</v>
      </c>
      <c r="J86" s="15" t="inlineStr">
        <is>
          <t>مدير الجودة</t>
        </is>
      </c>
      <c r="K86" s="11" t="inlineStr">
        <is>
          <t>سجلات الإدارة</t>
        </is>
      </c>
      <c r="L86" s="15" t="inlineStr">
        <is>
          <t>شهري</t>
        </is>
      </c>
      <c r="M86" s="15" t="inlineStr">
        <is>
          <t>مدير الجودة</t>
        </is>
      </c>
      <c r="N86" s="51" t="n"/>
    </row>
    <row r="87" ht="30" customHeight="1">
      <c r="A87" s="15" t="n">
        <v>85</v>
      </c>
      <c r="B87" s="13" t="inlineStr">
        <is>
          <t>الجودة</t>
        </is>
      </c>
      <c r="C87" s="21" t="inlineStr"/>
      <c r="D87" s="71" t="inlineStr">
        <is>
          <t>يقيس  ضمن محور «»، ويعكس مساهمة الإدارة في ركيزة الاستدامة.</t>
        </is>
      </c>
      <c r="E87" s="11" t="inlineStr">
        <is>
          <t>(المتحقّق ÷ الإجمالي) × 100٪</t>
        </is>
      </c>
      <c r="F87" s="15" t="inlineStr">
        <is>
          <t>🔧 تشغيلي</t>
        </is>
      </c>
      <c r="G87" s="11" t="inlineStr">
        <is>
          <t>الاستدامة · جودة التشغيل</t>
        </is>
      </c>
      <c r="H87" s="15" t="inlineStr">
        <is>
          <t>العمليات الداخلية</t>
        </is>
      </c>
      <c r="I87" s="59" t="n">
        <v>0.06</v>
      </c>
      <c r="J87" s="15" t="inlineStr">
        <is>
          <t>مدير الجودة</t>
        </is>
      </c>
      <c r="K87" s="11" t="inlineStr">
        <is>
          <t>سجلات الإدارة</t>
        </is>
      </c>
      <c r="L87" s="15" t="inlineStr">
        <is>
          <t>شهري</t>
        </is>
      </c>
      <c r="M87" s="15" t="inlineStr">
        <is>
          <t>مدير الجودة</t>
        </is>
      </c>
      <c r="N87" s="51" t="n"/>
    </row>
    <row r="88" ht="30" customHeight="1">
      <c r="A88" s="15" t="n">
        <v>86</v>
      </c>
      <c r="B88" s="13" t="inlineStr">
        <is>
          <t>الجودة</t>
        </is>
      </c>
      <c r="C88" s="21" t="inlineStr"/>
      <c r="D88" s="71" t="inlineStr">
        <is>
          <t>يقيس  ضمن محور «»، ويعكس مساهمة الإدارة في ركيزة الاستدامة.</t>
        </is>
      </c>
      <c r="E88" s="11" t="inlineStr">
        <is>
          <t>(المتحقّق ÷ الإجمالي) × 100٪</t>
        </is>
      </c>
      <c r="F88" s="15" t="inlineStr">
        <is>
          <t>🔧 تشغيلي</t>
        </is>
      </c>
      <c r="G88" s="11" t="inlineStr">
        <is>
          <t>الاستدامة · جودة التشغيل</t>
        </is>
      </c>
      <c r="H88" s="15" t="inlineStr">
        <is>
          <t>العمليات الداخلية</t>
        </is>
      </c>
      <c r="I88" s="59" t="n">
        <v>0.06</v>
      </c>
      <c r="J88" s="15" t="inlineStr">
        <is>
          <t>مدير الجودة</t>
        </is>
      </c>
      <c r="K88" s="11" t="inlineStr">
        <is>
          <t>سجلات الإدارة</t>
        </is>
      </c>
      <c r="L88" s="15" t="inlineStr">
        <is>
          <t>شهري</t>
        </is>
      </c>
      <c r="M88" s="15" t="inlineStr">
        <is>
          <t>مدير الجودة</t>
        </is>
      </c>
      <c r="N88" s="51" t="n"/>
    </row>
    <row r="89" ht="30" customHeight="1">
      <c r="A89" s="15" t="n">
        <v>87</v>
      </c>
      <c r="B89" s="13" t="inlineStr">
        <is>
          <t>الجودة</t>
        </is>
      </c>
      <c r="C89" s="21" t="inlineStr"/>
      <c r="D89" s="71" t="inlineStr">
        <is>
          <t>يقيس  ضمن محور «»، ويعكس مساهمة الإدارة في ركيزة الاستدامة.</t>
        </is>
      </c>
      <c r="E89" s="11" t="inlineStr">
        <is>
          <t>(المتحقّق ÷ الإجمالي) × 100٪</t>
        </is>
      </c>
      <c r="F89" s="15" t="inlineStr">
        <is>
          <t>🔧 تشغيلي</t>
        </is>
      </c>
      <c r="G89" s="11" t="inlineStr">
        <is>
          <t>الاستدامة · جودة التشغيل</t>
        </is>
      </c>
      <c r="H89" s="15" t="inlineStr">
        <is>
          <t>العمليات الداخلية</t>
        </is>
      </c>
      <c r="I89" s="59" t="n">
        <v>0.06</v>
      </c>
      <c r="J89" s="15" t="inlineStr">
        <is>
          <t>مدير الجودة</t>
        </is>
      </c>
      <c r="K89" s="11" t="inlineStr">
        <is>
          <t>سجلات الإدارة</t>
        </is>
      </c>
      <c r="L89" s="15" t="inlineStr">
        <is>
          <t>شهري</t>
        </is>
      </c>
      <c r="M89" s="15" t="inlineStr">
        <is>
          <t>مدير الجودة</t>
        </is>
      </c>
      <c r="N89" s="51" t="n"/>
    </row>
    <row r="90" ht="30" customHeight="1">
      <c r="A90" s="15" t="n">
        <v>88</v>
      </c>
      <c r="B90" s="13" t="inlineStr">
        <is>
          <t>الجودة</t>
        </is>
      </c>
      <c r="C90" s="21" t="inlineStr"/>
      <c r="D90" s="71" t="inlineStr">
        <is>
          <t>يقيس  ضمن محور «»، ويعكس مساهمة الإدارة في ركيزة الاستدامة.</t>
        </is>
      </c>
      <c r="E90" s="11" t="inlineStr">
        <is>
          <t>(المتحقّق ÷ الإجمالي) × 100٪</t>
        </is>
      </c>
      <c r="F90" s="15" t="inlineStr">
        <is>
          <t>🔧 تشغيلي</t>
        </is>
      </c>
      <c r="G90" s="11" t="inlineStr">
        <is>
          <t>الاستدامة · جودة التشغيل</t>
        </is>
      </c>
      <c r="H90" s="15" t="inlineStr">
        <is>
          <t>العمليات الداخلية</t>
        </is>
      </c>
      <c r="I90" s="59" t="n">
        <v>0.06</v>
      </c>
      <c r="J90" s="15" t="inlineStr">
        <is>
          <t>مدير الجودة</t>
        </is>
      </c>
      <c r="K90" s="11" t="inlineStr">
        <is>
          <t>سجلات الإدارة</t>
        </is>
      </c>
      <c r="L90" s="15" t="inlineStr">
        <is>
          <t>شهري</t>
        </is>
      </c>
      <c r="M90" s="15" t="inlineStr">
        <is>
          <t>مدير الجودة</t>
        </is>
      </c>
      <c r="N90" s="51" t="n"/>
    </row>
    <row r="91" ht="30" customHeight="1">
      <c r="A91" s="15" t="n">
        <v>89</v>
      </c>
      <c r="B91" s="13" t="inlineStr">
        <is>
          <t>الإدارة القانونية</t>
        </is>
      </c>
      <c r="C91" s="21" t="inlineStr">
        <is>
          <t>نسبة العقود المُراجَعة قانونياً قبل التوقيع</t>
        </is>
      </c>
      <c r="D91" s="71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91" s="11" t="inlineStr">
        <is>
          <t>(المتحقّق ÷ الإجمالي) × 100٪</t>
        </is>
      </c>
      <c r="F91" s="15" t="inlineStr">
        <is>
          <t>🔧 تشغيلي</t>
        </is>
      </c>
      <c r="G91" s="11" t="inlineStr">
        <is>
          <t>الاستدامة · جودة التشغيل</t>
        </is>
      </c>
      <c r="H91" s="15" t="inlineStr">
        <is>
          <t>العمليات الداخلية</t>
        </is>
      </c>
      <c r="I91" s="59" t="n">
        <v>0.38</v>
      </c>
      <c r="J91" s="15" t="inlineStr">
        <is>
          <t>المدير القانوني</t>
        </is>
      </c>
      <c r="K91" s="11" t="inlineStr">
        <is>
          <t>نظام إدارة العقود (CRM)</t>
        </is>
      </c>
      <c r="L91" s="15" t="inlineStr">
        <is>
          <t>شهري</t>
        </is>
      </c>
      <c r="M91" s="15" t="inlineStr">
        <is>
          <t>المدير القانوني</t>
        </is>
      </c>
      <c r="N91" s="51" t="n"/>
    </row>
    <row r="92" ht="30" customHeight="1">
      <c r="A92" s="15" t="n">
        <v>90</v>
      </c>
      <c r="B92" s="13" t="inlineStr">
        <is>
          <t>الإدارة القانونية</t>
        </is>
      </c>
      <c r="C92" s="21" t="inlineStr">
        <is>
          <t>نسبة القضايا المُغلقة لصالح الشركة</t>
        </is>
      </c>
      <c r="D92" s="71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92" s="11" t="inlineStr">
        <is>
          <t>(المتحقّق ÷ الإجمالي) × 100٪</t>
        </is>
      </c>
      <c r="F92" s="15" t="inlineStr">
        <is>
          <t>🔧 تشغيلي</t>
        </is>
      </c>
      <c r="G92" s="11" t="inlineStr">
        <is>
          <t>الاستدامة · جودة التشغيل</t>
        </is>
      </c>
      <c r="H92" s="15" t="inlineStr">
        <is>
          <t>العمليات الداخلية</t>
        </is>
      </c>
      <c r="I92" s="59" t="n">
        <v>0.25</v>
      </c>
      <c r="J92" s="15" t="inlineStr">
        <is>
          <t>المدير القانوني</t>
        </is>
      </c>
      <c r="K92" s="11" t="inlineStr">
        <is>
          <t>نظام إدارة القضايا والتحقيقات</t>
        </is>
      </c>
      <c r="L92" s="15" t="inlineStr">
        <is>
          <t>شهري</t>
        </is>
      </c>
      <c r="M92" s="15" t="inlineStr">
        <is>
          <t>المدير القانوني</t>
        </is>
      </c>
      <c r="N92" s="51" t="n"/>
    </row>
    <row r="93" ht="30" customHeight="1">
      <c r="A93" s="15" t="n">
        <v>91</v>
      </c>
      <c r="B93" s="13" t="inlineStr">
        <is>
          <t>الإدارة القانونية</t>
        </is>
      </c>
      <c r="C93" s="21" t="inlineStr">
        <is>
          <t>مستوى رضا الإدارات عن الدعم القانوني</t>
        </is>
      </c>
      <c r="D93" s="71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93" s="11" t="inlineStr">
        <is>
          <t>(المتحقّق ÷ الإجمالي) × 100٪</t>
        </is>
      </c>
      <c r="F93" s="15" t="inlineStr">
        <is>
          <t>🎯 نتيجة</t>
        </is>
      </c>
      <c r="G93" s="11" t="inlineStr">
        <is>
          <t>الاستدامة · جودة التشغيل</t>
        </is>
      </c>
      <c r="H93" s="15" t="inlineStr">
        <is>
          <t>العملاء</t>
        </is>
      </c>
      <c r="I93" s="59" t="n">
        <v>0.37</v>
      </c>
      <c r="J93" s="15" t="inlineStr">
        <is>
          <t>المدير القانوني</t>
        </is>
      </c>
      <c r="K93" s="11" t="inlineStr">
        <is>
          <t>استبيان دوري</t>
        </is>
      </c>
      <c r="L93" s="15" t="inlineStr">
        <is>
          <t>ربعي</t>
        </is>
      </c>
      <c r="M93" s="15" t="inlineStr">
        <is>
          <t>المدير القانوني</t>
        </is>
      </c>
      <c r="N93" s="51" t="n"/>
    </row>
    <row r="94" ht="30" customHeight="1">
      <c r="A94" s="15" t="n">
        <v>92</v>
      </c>
      <c r="B94" s="13" t="inlineStr">
        <is>
          <t>الإدارة المالية</t>
        </is>
      </c>
      <c r="C94" s="21" t="inlineStr">
        <is>
          <t>نمو الإيرادات السنوي</t>
        </is>
      </c>
      <c r="D94" s="71" t="inlineStr">
        <is>
          <t>يقيس نمو الإيرادات السنوي ضمن محور «المالية الاستراتيجية»، ويعكس مساهمة الإدارة في ركيزة النمو.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النمو · زيادة وصول العملاء</t>
        </is>
      </c>
      <c r="H94" s="15" t="inlineStr">
        <is>
          <t>مالي</t>
        </is>
      </c>
      <c r="I94" s="59" t="n">
        <v>0.05</v>
      </c>
      <c r="J94" s="15" t="inlineStr">
        <is>
          <t>المدير المالي</t>
        </is>
      </c>
      <c r="K94" s="11" t="inlineStr">
        <is>
          <t>نظام المحاسبة / ERP (D365)</t>
        </is>
      </c>
      <c r="L94" s="15" t="inlineStr">
        <is>
          <t>ربعي</t>
        </is>
      </c>
      <c r="M94" s="15" t="inlineStr">
        <is>
          <t>الإدارة المالية</t>
        </is>
      </c>
      <c r="N94" s="51" t="n"/>
    </row>
    <row r="95" ht="30" customHeight="1">
      <c r="A95" s="15" t="n">
        <v>93</v>
      </c>
      <c r="B95" s="13" t="inlineStr">
        <is>
          <t>الإدارة المالية</t>
        </is>
      </c>
      <c r="C95" s="21" t="inlineStr">
        <is>
          <t>هامش EBITDA</t>
        </is>
      </c>
      <c r="D95" s="71" t="inlineStr">
        <is>
          <t>يقيس هامش EBITDA ضمن محور «المالية الاستراتيجية»، ويعكس مساهمة الإدارة في ركيزة النمو.</t>
        </is>
      </c>
      <c r="E95" s="11" t="inlineStr">
        <is>
          <t>(المتحقّق ÷ الإجمالي) × 100٪</t>
        </is>
      </c>
      <c r="F95" s="15" t="inlineStr">
        <is>
          <t>🎯 نتيجة</t>
        </is>
      </c>
      <c r="G95" s="11" t="inlineStr">
        <is>
          <t>النمو · زيادة وصول العملاء</t>
        </is>
      </c>
      <c r="H95" s="15" t="inlineStr">
        <is>
          <t>مالي</t>
        </is>
      </c>
      <c r="I95" s="59" t="n">
        <v>0.04</v>
      </c>
      <c r="J95" s="15" t="inlineStr">
        <is>
          <t>المدير المالي</t>
        </is>
      </c>
      <c r="K95" s="11" t="inlineStr">
        <is>
          <t>نظام المحاسبة / ERP (D365)</t>
        </is>
      </c>
      <c r="L95" s="15" t="inlineStr">
        <is>
          <t>شهري</t>
        </is>
      </c>
      <c r="M95" s="15" t="inlineStr">
        <is>
          <t>الإدارة المالية</t>
        </is>
      </c>
      <c r="N95" s="51" t="n"/>
    </row>
    <row r="96" ht="30" customHeight="1">
      <c r="A96" s="15" t="n">
        <v>94</v>
      </c>
      <c r="B96" s="13" t="inlineStr">
        <is>
          <t>الإدارة المالية</t>
        </is>
      </c>
      <c r="C96" s="21" t="inlineStr">
        <is>
          <t>هامش صافي الربح</t>
        </is>
      </c>
      <c r="D96" s="71" t="inlineStr">
        <is>
          <t>يقيس هامش صافي الربح ضمن محور «المالية الاستراتيجية»، ويعكس مساهمة الإدارة في ركيزة النمو.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النمو · زيادة وصول العملاء</t>
        </is>
      </c>
      <c r="H96" s="15" t="inlineStr">
        <is>
          <t>مالي</t>
        </is>
      </c>
      <c r="I96" s="59" t="n">
        <v>0.04</v>
      </c>
      <c r="J96" s="15" t="inlineStr">
        <is>
          <t>المدير المالي</t>
        </is>
      </c>
      <c r="K96" s="11" t="inlineStr">
        <is>
          <t>نظام المحاسبة / ERP (D365)</t>
        </is>
      </c>
      <c r="L96" s="15" t="inlineStr">
        <is>
          <t>شهري</t>
        </is>
      </c>
      <c r="M96" s="15" t="inlineStr">
        <is>
          <t>الإدارة المالية</t>
        </is>
      </c>
      <c r="N96" s="51" t="n"/>
    </row>
    <row r="97" ht="30" customHeight="1">
      <c r="A97" s="15" t="n">
        <v>95</v>
      </c>
      <c r="B97" s="13" t="inlineStr">
        <is>
          <t>الإدارة المالية</t>
        </is>
      </c>
      <c r="C97" s="21" t="inlineStr">
        <is>
          <t>العائد على حقوق الملكية (ROE)</t>
        </is>
      </c>
      <c r="D97" s="71" t="inlineStr">
        <is>
          <t>يقيس العائد على حقوق الملكية (ROE) ضمن محور «المالية الاستراتيجية»، ويعكس مساهمة الإدارة في ركيزة النمو.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النمو · زيادة وصول العملاء</t>
        </is>
      </c>
      <c r="H97" s="15" t="inlineStr">
        <is>
          <t>مالي</t>
        </is>
      </c>
      <c r="I97" s="59" t="n">
        <v>0.05</v>
      </c>
      <c r="J97" s="15" t="inlineStr">
        <is>
          <t>المدير المالي</t>
        </is>
      </c>
      <c r="K97" s="11" t="inlineStr">
        <is>
          <t>نظام المحاسبة / ERP (D365)</t>
        </is>
      </c>
      <c r="L97" s="15" t="inlineStr">
        <is>
          <t>ربعي</t>
        </is>
      </c>
      <c r="M97" s="15" t="inlineStr">
        <is>
          <t>الإدارة المالية</t>
        </is>
      </c>
      <c r="N97" s="51" t="n"/>
    </row>
    <row r="98" ht="30" customHeight="1">
      <c r="A98" s="15" t="n">
        <v>96</v>
      </c>
      <c r="B98" s="13" t="inlineStr">
        <is>
          <t>الإدارة المالية</t>
        </is>
      </c>
      <c r="C98" s="21" t="inlineStr">
        <is>
          <t>نسبة التدفق النقدي التشغيلي</t>
        </is>
      </c>
      <c r="D98" s="71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🔧 تشغيلي</t>
        </is>
      </c>
      <c r="G98" s="11" t="inlineStr">
        <is>
          <t>الاستدامة · جودة التشغيل</t>
        </is>
      </c>
      <c r="H98" s="15" t="inlineStr">
        <is>
          <t>العمليات الداخلية</t>
        </is>
      </c>
      <c r="I98" s="59" t="n">
        <v>0.04</v>
      </c>
      <c r="J98" s="15" t="inlineStr">
        <is>
          <t>المدير المالي</t>
        </is>
      </c>
      <c r="K98" s="11" t="inlineStr">
        <is>
          <t>نظام المحاسبة / ERP (D365)</t>
        </is>
      </c>
      <c r="L98" s="15" t="inlineStr">
        <is>
          <t>شهري</t>
        </is>
      </c>
      <c r="M98" s="15" t="inlineStr">
        <is>
          <t>الإدارة المالية</t>
        </is>
      </c>
      <c r="N98" s="51" t="n"/>
    </row>
    <row r="99" ht="30" customHeight="1">
      <c r="A99" s="15" t="n">
        <v>97</v>
      </c>
      <c r="B99" s="13" t="inlineStr">
        <is>
          <t>الإدارة المالية</t>
        </is>
      </c>
      <c r="C99" s="21" t="inlineStr">
        <is>
          <t>النسبة الجارية (Current Ratio)</t>
        </is>
      </c>
      <c r="D99" s="71" t="inlineStr">
        <is>
          <t>يقيس النسبة الجارية (Current Ratio) ضمن محور «السيولة ورأس المال»، ويعكس مساهمة الإدارة في ركيزة الاستدامة.</t>
        </is>
      </c>
      <c r="E99" s="11" t="inlineStr">
        <is>
          <t>(المتحقّق ÷ الإجمالي) × 100٪</t>
        </is>
      </c>
      <c r="F99" s="15" t="inlineStr">
        <is>
          <t>🔧 تشغيلي</t>
        </is>
      </c>
      <c r="G99" s="11" t="inlineStr">
        <is>
          <t>الاستدامة · جودة التشغيل</t>
        </is>
      </c>
      <c r="H99" s="15" t="inlineStr">
        <is>
          <t>العمليات الداخلية</t>
        </is>
      </c>
      <c r="I99" s="59" t="n">
        <v>0.04</v>
      </c>
      <c r="J99" s="15" t="inlineStr">
        <is>
          <t>المدير المالي</t>
        </is>
      </c>
      <c r="K99" s="11" t="inlineStr">
        <is>
          <t>سجلات الإدارة</t>
        </is>
      </c>
      <c r="L99" s="15" t="inlineStr">
        <is>
          <t>شهري</t>
        </is>
      </c>
      <c r="M99" s="15" t="inlineStr">
        <is>
          <t>المدير المالي</t>
        </is>
      </c>
      <c r="N99" s="51" t="n"/>
    </row>
    <row r="100" ht="30" customHeight="1">
      <c r="A100" s="15" t="n">
        <v>98</v>
      </c>
      <c r="B100" s="13" t="inlineStr">
        <is>
          <t>الإدارة المالية</t>
        </is>
      </c>
      <c r="C100" s="21" t="inlineStr">
        <is>
          <t>دورة التحويل النقدي</t>
        </is>
      </c>
      <c r="D100" s="71" t="inlineStr">
        <is>
          <t>يقيس دورة التحويل النقدي ضمن محور «السيولة ورأس المال»، ويعكس مساهمة الإدارة في ركيزة الاستدامة.</t>
        </is>
      </c>
      <c r="E100" s="11" t="inlineStr">
        <is>
          <t>متوسط يوم خلال الفترة</t>
        </is>
      </c>
      <c r="F100" s="15" t="inlineStr">
        <is>
          <t>🔧 تشغيلي</t>
        </is>
      </c>
      <c r="G100" s="11" t="inlineStr">
        <is>
          <t>الاستدامة · جودة التشغيل</t>
        </is>
      </c>
      <c r="H100" s="15" t="inlineStr">
        <is>
          <t>العمليات الداخلية</t>
        </is>
      </c>
      <c r="I100" s="59" t="n">
        <v>0.05</v>
      </c>
      <c r="J100" s="15" t="inlineStr">
        <is>
          <t>المدير المالي</t>
        </is>
      </c>
      <c r="K100" s="11" t="inlineStr">
        <is>
          <t>نظام المحاسبة / ERP (D365)</t>
        </is>
      </c>
      <c r="L100" s="15" t="inlineStr">
        <is>
          <t>شهري</t>
        </is>
      </c>
      <c r="M100" s="15" t="inlineStr">
        <is>
          <t>الإدارة المالية</t>
        </is>
      </c>
      <c r="N100" s="51" t="n"/>
    </row>
    <row r="101" ht="30" customHeight="1">
      <c r="A101" s="15" t="n">
        <v>99</v>
      </c>
      <c r="B101" s="13" t="inlineStr">
        <is>
          <t>الإدارة المالية</t>
        </is>
      </c>
      <c r="C101" s="21" t="inlineStr">
        <is>
          <t>متوسط أيام التحصيل العام (DSO)</t>
        </is>
      </c>
      <c r="D101" s="71" t="inlineStr">
        <is>
          <t>يقيس متوسط أيام التحصيل العام (DSO) ضمن محور «الذمم المدينة»، ويعكس مساهمة الإدارة في ركيزة الاستدامة.</t>
        </is>
      </c>
      <c r="E101" s="11" t="inlineStr">
        <is>
          <t>متوسط يوم خلال الفترة</t>
        </is>
      </c>
      <c r="F101" s="15" t="inlineStr">
        <is>
          <t>🎯 نتيجة</t>
        </is>
      </c>
      <c r="G101" s="11" t="inlineStr">
        <is>
          <t>الاستدامة · جودة التشغيل</t>
        </is>
      </c>
      <c r="H101" s="15" t="inlineStr">
        <is>
          <t>مالي</t>
        </is>
      </c>
      <c r="I101" s="59" t="n">
        <v>0.05</v>
      </c>
      <c r="J101" s="15" t="inlineStr">
        <is>
          <t>المدير المالي</t>
        </is>
      </c>
      <c r="K101" s="11" t="inlineStr">
        <is>
          <t>نظام المحاسبة / ERP (D365)</t>
        </is>
      </c>
      <c r="L101" s="15" t="inlineStr">
        <is>
          <t>شهري</t>
        </is>
      </c>
      <c r="M101" s="15" t="inlineStr">
        <is>
          <t>الإدارة المالية</t>
        </is>
      </c>
      <c r="N101" s="51" t="n"/>
    </row>
    <row r="102" ht="30" customHeight="1">
      <c r="A102" s="15" t="n">
        <v>100</v>
      </c>
      <c r="B102" s="13" t="inlineStr">
        <is>
          <t>الإدارة المالية</t>
        </is>
      </c>
      <c r="C102" s="21" t="inlineStr">
        <is>
          <t>نسبة التحصيل العام (الشركة)</t>
        </is>
      </c>
      <c r="D102" s="71" t="inlineStr">
        <is>
          <t>يقيس نسبة التحصيل العام (الشركة) ضمن محور «الذمم المدينة»،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🎯 نتيجة</t>
        </is>
      </c>
      <c r="G102" s="11" t="inlineStr">
        <is>
          <t>الاستدامة · جودة التشغيل</t>
        </is>
      </c>
      <c r="H102" s="15" t="inlineStr">
        <is>
          <t>مالي</t>
        </is>
      </c>
      <c r="I102" s="59" t="n">
        <v>0.05</v>
      </c>
      <c r="J102" s="15" t="inlineStr">
        <is>
          <t>المدير المالي</t>
        </is>
      </c>
      <c r="K102" s="11" t="inlineStr">
        <is>
          <t>نظام المحاسبة / ERP (D365)</t>
        </is>
      </c>
      <c r="L102" s="15" t="inlineStr">
        <is>
          <t>شهري</t>
        </is>
      </c>
      <c r="M102" s="15" t="inlineStr">
        <is>
          <t>الإدارة المالية</t>
        </is>
      </c>
      <c r="N102" s="51" t="n"/>
    </row>
    <row r="103" ht="30" customHeight="1">
      <c r="A103" s="15" t="n">
        <v>101</v>
      </c>
      <c r="B103" s="13" t="inlineStr">
        <is>
          <t>الإدارة المالية</t>
        </is>
      </c>
      <c r="C103" s="21" t="inlineStr">
        <is>
          <t>نسبة الذمم المتأخرة</t>
        </is>
      </c>
      <c r="D103" s="71" t="inlineStr">
        <is>
          <t>يقيس نسبة الذمم المتأخرة ضمن محور «الذمم المدينة»،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🔧 تشغيلي</t>
        </is>
      </c>
      <c r="G103" s="11" t="inlineStr">
        <is>
          <t>الاستدامة · جودة التشغيل</t>
        </is>
      </c>
      <c r="H103" s="15" t="inlineStr">
        <is>
          <t>العمليات الداخلية</t>
        </is>
      </c>
      <c r="I103" s="59" t="n">
        <v>0.04</v>
      </c>
      <c r="J103" s="15" t="inlineStr">
        <is>
          <t>المدير المالي</t>
        </is>
      </c>
      <c r="K103" s="11" t="inlineStr">
        <is>
          <t>نظام المحاسبة / ERP (D365)</t>
        </is>
      </c>
      <c r="L103" s="15" t="inlineStr">
        <is>
          <t>شهري</t>
        </is>
      </c>
      <c r="M103" s="15" t="inlineStr">
        <is>
          <t>الإدارة المالية</t>
        </is>
      </c>
      <c r="N103" s="51" t="n"/>
    </row>
    <row r="104" ht="30" customHeight="1">
      <c r="A104" s="15" t="n">
        <v>102</v>
      </c>
      <c r="B104" s="13" t="inlineStr">
        <is>
          <t>الإدارة المالية</t>
        </is>
      </c>
      <c r="C104" s="21" t="inlineStr">
        <is>
          <t>نسبة الديون المعدومة</t>
        </is>
      </c>
      <c r="D104" s="71" t="inlineStr">
        <is>
          <t>يقيس نسبة الديون المعدومة ضمن محور «الذمم المدينة»،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🔧 تشغيلي</t>
        </is>
      </c>
      <c r="G104" s="11" t="inlineStr">
        <is>
          <t>الاستدامة · جودة التشغيل</t>
        </is>
      </c>
      <c r="H104" s="15" t="inlineStr">
        <is>
          <t>العمليات الداخلية</t>
        </is>
      </c>
      <c r="I104" s="59" t="n">
        <v>0.04</v>
      </c>
      <c r="J104" s="15" t="inlineStr">
        <is>
          <t>المدير المالي</t>
        </is>
      </c>
      <c r="K104" s="11" t="inlineStr">
        <is>
          <t>نظام المحاسبة / ERP (D365)</t>
        </is>
      </c>
      <c r="L104" s="15" t="inlineStr">
        <is>
          <t>شهري</t>
        </is>
      </c>
      <c r="M104" s="15" t="inlineStr">
        <is>
          <t>الإدارة المالية</t>
        </is>
      </c>
      <c r="N104" s="51" t="n"/>
    </row>
    <row r="105" ht="30" customHeight="1">
      <c r="A105" s="15" t="n">
        <v>103</v>
      </c>
      <c r="B105" s="13" t="inlineStr">
        <is>
          <t>الإدارة المالية</t>
        </is>
      </c>
      <c r="C105" s="21" t="inlineStr">
        <is>
          <t>سداد الموردين في الموعد</t>
        </is>
      </c>
      <c r="D105" s="71" t="inlineStr">
        <is>
          <t>يقيس سداد الموردين في الموعد ضمن محور «الذمم الدائنة»،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🔧 تشغيلي</t>
        </is>
      </c>
      <c r="G105" s="11" t="inlineStr">
        <is>
          <t>الاستدامة · جودة التشغيل</t>
        </is>
      </c>
      <c r="H105" s="15" t="inlineStr">
        <is>
          <t>مالي</t>
        </is>
      </c>
      <c r="I105" s="59" t="n">
        <v>0.04</v>
      </c>
      <c r="J105" s="15" t="inlineStr">
        <is>
          <t>المدير المالي</t>
        </is>
      </c>
      <c r="K105" s="11" t="inlineStr">
        <is>
          <t>نظام المحاسبة / ERP (D365)</t>
        </is>
      </c>
      <c r="L105" s="15" t="inlineStr">
        <is>
          <t>شهري</t>
        </is>
      </c>
      <c r="M105" s="15" t="inlineStr">
        <is>
          <t>الإدارة المالية</t>
        </is>
      </c>
      <c r="N105" s="51" t="n"/>
    </row>
    <row r="106" ht="30" customHeight="1">
      <c r="A106" s="15" t="n">
        <v>104</v>
      </c>
      <c r="B106" s="13" t="inlineStr">
        <is>
          <t>الإدارة المالية</t>
        </is>
      </c>
      <c r="C106" s="21" t="inlineStr">
        <is>
          <t>اكتمال مطابقة حسابات الموردين</t>
        </is>
      </c>
      <c r="D106" s="71" t="inlineStr">
        <is>
          <t>يقيس اكتمال مطابقة حسابات الموردين ضمن محور «الذمم الدائنة»،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الاستدامة · جودة التشغيل</t>
        </is>
      </c>
      <c r="H106" s="15" t="inlineStr">
        <is>
          <t>العمليات الداخلية</t>
        </is>
      </c>
      <c r="I106" s="59" t="n">
        <v>0.04</v>
      </c>
      <c r="J106" s="15" t="inlineStr">
        <is>
          <t>المدير المالي</t>
        </is>
      </c>
      <c r="K106" s="11" t="inlineStr">
        <is>
          <t>نظام المحاسبة / ERP (D365)</t>
        </is>
      </c>
      <c r="L106" s="15" t="inlineStr">
        <is>
          <t>شهري</t>
        </is>
      </c>
      <c r="M106" s="15" t="inlineStr">
        <is>
          <t>الإدارة المالية</t>
        </is>
      </c>
      <c r="N106" s="51" t="n"/>
    </row>
    <row r="107" ht="30" customHeight="1">
      <c r="A107" s="15" t="n">
        <v>105</v>
      </c>
      <c r="B107" s="13" t="inlineStr">
        <is>
          <t>الإدارة المالية</t>
        </is>
      </c>
      <c r="C107" s="21" t="inlineStr">
        <is>
          <t>دقة التنبؤ النقدي</t>
        </is>
      </c>
      <c r="D107" s="71" t="inlineStr">
        <is>
          <t>يقيس دقة التنبؤ النقدي ضمن محور «الخزينة»،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🎯 نتيجة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59" t="n">
        <v>0.04</v>
      </c>
      <c r="J107" s="15" t="inlineStr">
        <is>
          <t>المدير المالي</t>
        </is>
      </c>
      <c r="K107" s="11" t="inlineStr">
        <is>
          <t>نظام المحاسبة / ERP (D365)</t>
        </is>
      </c>
      <c r="L107" s="15" t="inlineStr">
        <is>
          <t>شهري</t>
        </is>
      </c>
      <c r="M107" s="15" t="inlineStr">
        <is>
          <t>الإدارة المالية</t>
        </is>
      </c>
      <c r="N107" s="51" t="n"/>
    </row>
    <row r="108" ht="30" customHeight="1">
      <c r="A108" s="15" t="n">
        <v>106</v>
      </c>
      <c r="B108" s="13" t="inlineStr">
        <is>
          <t>الإدارة المالية</t>
        </is>
      </c>
      <c r="C108" s="21" t="inlineStr">
        <is>
          <t>تباين مخزون الوقود</t>
        </is>
      </c>
      <c r="D108" s="71" t="inlineStr">
        <is>
          <t>يقيس تباين مخزون الوقود ضمن محور «صناعة الوقود»،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🔧 تشغيلي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59" t="n">
        <v>0.04</v>
      </c>
      <c r="J108" s="15" t="inlineStr">
        <is>
          <t>المدير المالي</t>
        </is>
      </c>
      <c r="K108" s="11" t="inlineStr">
        <is>
          <t>نظام تشغيل المحطات</t>
        </is>
      </c>
      <c r="L108" s="15" t="inlineStr">
        <is>
          <t>شهري</t>
        </is>
      </c>
      <c r="M108" s="15" t="inlineStr">
        <is>
          <t>المدير المالي</t>
        </is>
      </c>
      <c r="N108" s="51" t="n"/>
    </row>
    <row r="109" ht="30" customHeight="1">
      <c r="A109" s="15" t="n">
        <v>107</v>
      </c>
      <c r="B109" s="13" t="inlineStr">
        <is>
          <t>الإدارة المالية</t>
        </is>
      </c>
      <c r="C109" s="21" t="inlineStr">
        <is>
          <t>دقة مطابقة المخزون</t>
        </is>
      </c>
      <c r="D109" s="71" t="inlineStr">
        <is>
          <t>يقيس دقة مطابقة المخزون ضمن محور «صناعة الوقود»، ويعكس مساهمة الإدارة في ركيزة الاستدامة.</t>
        </is>
      </c>
      <c r="E109" s="11" t="inlineStr">
        <is>
          <t>(المتحقّق ÷ الإجمالي) × 100٪</t>
        </is>
      </c>
      <c r="F109" s="15" t="inlineStr">
        <is>
          <t>🎯 نتيجة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59" t="n">
        <v>0.03</v>
      </c>
      <c r="J109" s="15" t="inlineStr">
        <is>
          <t>المدير المالي</t>
        </is>
      </c>
      <c r="K109" s="11" t="inlineStr">
        <is>
          <t>نظام إدارة الجودة (QMS)</t>
        </is>
      </c>
      <c r="L109" s="15" t="inlineStr">
        <is>
          <t>شهري</t>
        </is>
      </c>
      <c r="M109" s="15" t="inlineStr">
        <is>
          <t>المدير المالي</t>
        </is>
      </c>
      <c r="N109" s="51" t="n"/>
    </row>
    <row r="110" ht="30" customHeight="1">
      <c r="A110" s="15" t="n">
        <v>108</v>
      </c>
      <c r="B110" s="13" t="inlineStr">
        <is>
          <t>الإدارة المالية</t>
        </is>
      </c>
      <c r="C110" s="21" t="inlineStr">
        <is>
          <t>دقة تسوية أرامكو</t>
        </is>
      </c>
      <c r="D110" s="71" t="inlineStr">
        <is>
          <t>يقيس دقة تسوية أرامكو ضمن محور «صناعة الوقود»،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59" t="n">
        <v>0.03</v>
      </c>
      <c r="J110" s="15" t="inlineStr">
        <is>
          <t>المدير المالي</t>
        </is>
      </c>
      <c r="K110" s="11" t="inlineStr">
        <is>
          <t>نظام تشغيل المحطات</t>
        </is>
      </c>
      <c r="L110" s="15" t="inlineStr">
        <is>
          <t>شهري</t>
        </is>
      </c>
      <c r="M110" s="15" t="inlineStr">
        <is>
          <t>المدير المالي</t>
        </is>
      </c>
      <c r="N110" s="51" t="n"/>
    </row>
    <row r="111" ht="30" customHeight="1">
      <c r="A111" s="15" t="n">
        <v>109</v>
      </c>
      <c r="B111" s="13" t="inlineStr">
        <is>
          <t>الإدارة المالية</t>
        </is>
      </c>
      <c r="C111" s="21" t="inlineStr">
        <is>
          <t>نسبة تحصيل الامتياز</t>
        </is>
      </c>
      <c r="D111" s="71" t="inlineStr">
        <is>
          <t>يقيس نسبة تحصيل الامتياز ضمن محور «تمويل الامتياز»، ويعكس مساهمة الإدارة في ركيزة النمو.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النمو · الامتياز التجاري</t>
        </is>
      </c>
      <c r="H111" s="15" t="inlineStr">
        <is>
          <t>مالي</t>
        </is>
      </c>
      <c r="I111" s="59" t="n">
        <v>0.05</v>
      </c>
      <c r="J111" s="15" t="inlineStr">
        <is>
          <t>المدير المالي</t>
        </is>
      </c>
      <c r="K111" s="11" t="inlineStr">
        <is>
          <t>نظام المحاسبة / ERP (D365)</t>
        </is>
      </c>
      <c r="L111" s="15" t="inlineStr">
        <is>
          <t>شهري</t>
        </is>
      </c>
      <c r="M111" s="15" t="inlineStr">
        <is>
          <t>الإدارة المالية</t>
        </is>
      </c>
      <c r="N111" s="51" t="n"/>
    </row>
    <row r="112" ht="30" customHeight="1">
      <c r="A112" s="15" t="n">
        <v>110</v>
      </c>
      <c r="B112" s="13" t="inlineStr">
        <is>
          <t>الإدارة المالية</t>
        </is>
      </c>
      <c r="C112" s="21" t="inlineStr">
        <is>
          <t>أيام تحصيل رسوم الامتياز</t>
        </is>
      </c>
      <c r="D112" s="71" t="inlineStr">
        <is>
          <t>يقيس أيام تحصيل رسوم الامتياز ضمن محور «تمويل الامتياز»، ويعكس مساهمة الإدارة في ركيزة النمو.</t>
        </is>
      </c>
      <c r="E112" s="11" t="inlineStr">
        <is>
          <t>متوسط يوم خلال الفترة</t>
        </is>
      </c>
      <c r="F112" s="15" t="inlineStr">
        <is>
          <t>🎯 نتيجة</t>
        </is>
      </c>
      <c r="G112" s="11" t="inlineStr">
        <is>
          <t>النمو · الامتياز التجاري</t>
        </is>
      </c>
      <c r="H112" s="15" t="inlineStr">
        <is>
          <t>مالي</t>
        </is>
      </c>
      <c r="I112" s="59" t="n">
        <v>0.05</v>
      </c>
      <c r="J112" s="15" t="inlineStr">
        <is>
          <t>المدير المالي</t>
        </is>
      </c>
      <c r="K112" s="11" t="inlineStr">
        <is>
          <t>نظام المحاسبة / ERP (D365)</t>
        </is>
      </c>
      <c r="L112" s="15" t="inlineStr">
        <is>
          <t>شهري</t>
        </is>
      </c>
      <c r="M112" s="15" t="inlineStr">
        <is>
          <t>الإدارة المالية</t>
        </is>
      </c>
      <c r="N112" s="51" t="n"/>
    </row>
    <row r="113" ht="30" customHeight="1">
      <c r="A113" s="15" t="n">
        <v>111</v>
      </c>
      <c r="B113" s="13" t="inlineStr">
        <is>
          <t>الإدارة المالية</t>
        </is>
      </c>
      <c r="C113" s="21" t="inlineStr">
        <is>
          <t>نسبة تحصيل الإيجار</t>
        </is>
      </c>
      <c r="D113" s="71" t="inlineStr">
        <is>
          <t>يقيس نسبة تحصيل الإيجار ضمن محور «العقار والإيجار»، ويعكس مساهمة الإدارة في ركيزة الاستدامة.</t>
        </is>
      </c>
      <c r="E113" s="11" t="inlineStr">
        <is>
          <t>(المتحقّق ÷ الإجمالي) × 100٪</t>
        </is>
      </c>
      <c r="F113" s="15" t="inlineStr">
        <is>
          <t>🎯 نتيجة</t>
        </is>
      </c>
      <c r="G113" s="11" t="inlineStr">
        <is>
          <t>الاستدامة · منظومة التأجير</t>
        </is>
      </c>
      <c r="H113" s="15" t="inlineStr">
        <is>
          <t>مالي</t>
        </is>
      </c>
      <c r="I113" s="59" t="n">
        <v>0.05</v>
      </c>
      <c r="J113" s="15" t="inlineStr">
        <is>
          <t>المدير المالي</t>
        </is>
      </c>
      <c r="K113" s="11" t="inlineStr">
        <is>
          <t>نظام المحاسبة / ERP (D365)</t>
        </is>
      </c>
      <c r="L113" s="15" t="inlineStr">
        <is>
          <t>شهري</t>
        </is>
      </c>
      <c r="M113" s="15" t="inlineStr">
        <is>
          <t>الإدارة المالية</t>
        </is>
      </c>
      <c r="N113" s="51" t="n"/>
    </row>
    <row r="114" ht="30" customHeight="1">
      <c r="A114" s="15" t="n">
        <v>112</v>
      </c>
      <c r="B114" s="13" t="inlineStr">
        <is>
          <t>الإدارة المالية</t>
        </is>
      </c>
      <c r="C114" s="21" t="inlineStr">
        <is>
          <t>معدل تجديد عقود الإيجار</t>
        </is>
      </c>
      <c r="D114" s="71" t="inlineStr">
        <is>
          <t>يقيس معدل تجديد عقود الإيجار ضمن محور «العقار والإيجار»، ويعكس مساهمة الإدارة في ركيزة الاستدامة.</t>
        </is>
      </c>
      <c r="E114" s="11" t="inlineStr">
        <is>
          <t>(المتحقّق ÷ الإجمالي) × 100٪</t>
        </is>
      </c>
      <c r="F114" s="15" t="inlineStr">
        <is>
          <t>🎯 نتيجة</t>
        </is>
      </c>
      <c r="G114" s="11" t="inlineStr">
        <is>
          <t>الاستدامة · منظومة التأجير</t>
        </is>
      </c>
      <c r="H114" s="15" t="inlineStr">
        <is>
          <t>العمليات الداخلية</t>
        </is>
      </c>
      <c r="I114" s="59" t="n">
        <v>0.05</v>
      </c>
      <c r="J114" s="15" t="inlineStr">
        <is>
          <t>المدير المالي</t>
        </is>
      </c>
      <c r="K114" s="11" t="inlineStr">
        <is>
          <t>نظام إدارة العقود (CRM)</t>
        </is>
      </c>
      <c r="L114" s="15" t="inlineStr">
        <is>
          <t>شهري</t>
        </is>
      </c>
      <c r="M114" s="15" t="inlineStr">
        <is>
          <t>المدير المالي</t>
        </is>
      </c>
      <c r="N114" s="51" t="n"/>
    </row>
    <row r="115" ht="30" customHeight="1">
      <c r="A115" s="15" t="n">
        <v>113</v>
      </c>
      <c r="B115" s="13" t="inlineStr">
        <is>
          <t>الإدارة المالية</t>
        </is>
      </c>
      <c r="C115" s="21" t="inlineStr">
        <is>
          <t>انحراف الموازنة</t>
        </is>
      </c>
      <c r="D115" s="71" t="inlineStr">
        <is>
          <t>يقيس انحراف الموازنة ضمن محور «الموازنة والتقارير»،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59" t="n">
        <v>0.03</v>
      </c>
      <c r="J115" s="15" t="inlineStr">
        <is>
          <t>المدير المالي</t>
        </is>
      </c>
      <c r="K115" s="11" t="inlineStr">
        <is>
          <t>نظام المحاسبة / ERP (D365)</t>
        </is>
      </c>
      <c r="L115" s="15" t="inlineStr">
        <is>
          <t>ربعي</t>
        </is>
      </c>
      <c r="M115" s="15" t="inlineStr">
        <is>
          <t>الإدارة المالية</t>
        </is>
      </c>
      <c r="N115" s="51" t="n"/>
    </row>
    <row r="116" ht="30" customHeight="1">
      <c r="A116" s="15" t="n">
        <v>114</v>
      </c>
      <c r="B116" s="13" t="inlineStr">
        <is>
          <t>الإدارة المالية</t>
        </is>
      </c>
      <c r="C116" s="21" t="inlineStr">
        <is>
          <t>أيام الإقفال الشهري</t>
        </is>
      </c>
      <c r="D116" s="71" t="inlineStr">
        <is>
          <t>يقيس أيام الإقفال الشهري ضمن محور «الموازنة والتقارير»، ويعكس مساهمة الإدارة في ركيزة الاستدامة.</t>
        </is>
      </c>
      <c r="E116" s="11" t="inlineStr">
        <is>
          <t>متوسط يوم خلال الفترة</t>
        </is>
      </c>
      <c r="F116" s="15" t="inlineStr">
        <is>
          <t>🔧 تشغيلي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59" t="n">
        <v>0.03</v>
      </c>
      <c r="J116" s="15" t="inlineStr">
        <is>
          <t>المدير المالي</t>
        </is>
      </c>
      <c r="K116" s="11" t="inlineStr">
        <is>
          <t>نظام المحاسبة / ERP (D365)</t>
        </is>
      </c>
      <c r="L116" s="15" t="inlineStr">
        <is>
          <t>شهري</t>
        </is>
      </c>
      <c r="M116" s="15" t="inlineStr">
        <is>
          <t>الإدارة المالية</t>
        </is>
      </c>
      <c r="N116" s="51" t="n"/>
    </row>
    <row r="117" ht="30" customHeight="1">
      <c r="A117" s="15" t="n">
        <v>115</v>
      </c>
      <c r="B117" s="13" t="inlineStr">
        <is>
          <t>الإدارة المالية</t>
        </is>
      </c>
      <c r="C117" s="21" t="inlineStr">
        <is>
          <t>نسبة تسويات التدقيق</t>
        </is>
      </c>
      <c r="D117" s="71" t="inlineStr">
        <is>
          <t>يقيس نسبة تسويات التدقيق ضمن محور «الموازنة والتقارير»، ويعكس مساهمة الإدارة في ركيزة الاستدامة.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الاستدامة · جودة التشغيل</t>
        </is>
      </c>
      <c r="H117" s="15" t="inlineStr">
        <is>
          <t>العمليات الداخلية</t>
        </is>
      </c>
      <c r="I117" s="59" t="n">
        <v>0.03</v>
      </c>
      <c r="J117" s="15" t="inlineStr">
        <is>
          <t>المدير المالي</t>
        </is>
      </c>
      <c r="K117" s="11" t="inlineStr">
        <is>
          <t>نظام المحاسبة / ERP (D365)</t>
        </is>
      </c>
      <c r="L117" s="15" t="inlineStr">
        <is>
          <t>ربعي</t>
        </is>
      </c>
      <c r="M117" s="15" t="inlineStr">
        <is>
          <t>الإدارة المالية</t>
        </is>
      </c>
      <c r="N117" s="51" t="n"/>
    </row>
  </sheetData>
  <autoFilter ref="A2:N117"/>
  <mergeCells count="1">
    <mergeCell ref="A1:N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إجمالي المحطات المشغّلة — الشركة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0.12</v>
      </c>
      <c r="H4" s="55" t="n">
        <v>235</v>
      </c>
      <c r="I4" s="22" t="inlineStr">
        <is>
          <t>≥ 235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206.1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مجموع «المحطات المشغّلة — الشركة» خلال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</t>
        </is>
      </c>
      <c r="C5" s="21" t="inlineStr">
        <is>
          <t>إجمالي العقود الجديدة — الشركة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0.12</v>
      </c>
      <c r="H5" s="55" t="n">
        <v>357</v>
      </c>
      <c r="I5" s="22" t="inlineStr">
        <is>
          <t>357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6" t="n">
        <v>346.6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مجموع «العقود الجديدة — الشركة»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النمو</t>
        </is>
      </c>
      <c r="C6" s="21" t="inlineStr">
        <is>
          <t>نسبة نمو إيرادات الشركة (سنوي)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0.12</v>
      </c>
      <c r="H6" s="59" t="n">
        <v>0.15</v>
      </c>
      <c r="I6" s="22" t="inlineStr">
        <is>
          <t>≥ 15%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0.122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«نمو إيرادات الشركة» ÷ الإجمالي المستهدف لنفس البند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الابتكار</t>
        </is>
      </c>
      <c r="C7" s="21" t="inlineStr">
        <is>
          <t>نسبة إنجاز مشاريع الخارطة التنفيذية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0.08</v>
      </c>
      <c r="H7" s="59" t="n">
        <v>1</v>
      </c>
      <c r="I7" s="22" t="inlineStr">
        <is>
          <t>100%</t>
        </is>
      </c>
      <c r="J7" s="73" t="inlineStr">
        <is>
          <t>الابتكار</t>
        </is>
      </c>
      <c r="K7" s="11" t="inlineStr">
        <is>
          <t>إطلاق مشاريع جديدة</t>
        </is>
      </c>
      <c r="L7" s="15" t="inlineStr">
        <is>
          <t>العمليات الداخلية</t>
        </is>
      </c>
      <c r="M7" s="60" t="n">
        <v>0.906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«إنجاز مشاريع الخارطة التنفيذية» ÷ الإجمالي المستهدف لنفس البند × 100٪</t>
        </is>
      </c>
      <c r="Q7" s="74" t="inlineStr">
        <is>
          <t>سجلات الإدارة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الابتكار</t>
        </is>
      </c>
      <c r="C8" s="21" t="inlineStr">
        <is>
          <t>نسبة التحول الرقمي على مستوى الشركة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🟠 مهم</t>
        </is>
      </c>
      <c r="G8" s="59" t="n">
        <v>0.08</v>
      </c>
      <c r="H8" s="59" t="n">
        <v>0.9</v>
      </c>
      <c r="I8" s="22" t="inlineStr">
        <is>
          <t>≥ 90%</t>
        </is>
      </c>
      <c r="J8" s="73" t="inlineStr">
        <is>
          <t>الابتكار</t>
        </is>
      </c>
      <c r="K8" s="11" t="inlineStr">
        <is>
          <t>التحول التقني</t>
        </is>
      </c>
      <c r="L8" s="15" t="inlineStr">
        <is>
          <t>التعلّم والنمو</t>
        </is>
      </c>
      <c r="M8" s="60" t="n">
        <v>0.9389999999999999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«التحول الرقمي على مستوى الشركة» ÷ الإجمالي المستهدف لنفس البند × 100٪</t>
        </is>
      </c>
      <c r="Q8" s="74" t="inlineStr">
        <is>
          <t>سجلات الإدارة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الاستدامة</t>
        </is>
      </c>
      <c r="C9" s="21" t="inlineStr">
        <is>
          <t>مؤشر رضا العملاء العام (الشركة)</t>
        </is>
      </c>
      <c r="D9" s="49" t="inlineStr">
        <is>
          <t>%</t>
        </is>
      </c>
      <c r="E9" s="49" t="inlineStr">
        <is>
          <t>↑</t>
        </is>
      </c>
      <c r="F9" s="15" t="inlineStr">
        <is>
          <t>🔴 رئيسي</t>
        </is>
      </c>
      <c r="G9" s="59" t="n">
        <v>0.12</v>
      </c>
      <c r="H9" s="59" t="n">
        <v>0.9</v>
      </c>
      <c r="I9" s="22" t="inlineStr">
        <is>
          <t>≥ 90%</t>
        </is>
      </c>
      <c r="J9" s="73" t="inlineStr">
        <is>
          <t>الاستدامة</t>
        </is>
      </c>
      <c r="K9" s="11" t="inlineStr">
        <is>
          <t>تعزيز تجربة العملاء</t>
        </is>
      </c>
      <c r="L9" s="15" t="inlineStr">
        <is>
          <t>العملاء</t>
        </is>
      </c>
      <c r="M9" s="60" t="n">
        <v>0.922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74" t="inlineStr">
        <is>
          <t>القيمة المتحقّقة من «مؤشر رضا العملاء العام» ÷ المستهدف × 100٪</t>
        </is>
      </c>
      <c r="Q9" s="74" t="inlineStr">
        <is>
          <t>استبيان دوري</t>
        </is>
      </c>
      <c r="R9" s="15" t="inlineStr">
        <is>
          <t>ربعي</t>
        </is>
      </c>
    </row>
    <row r="10" ht="26" customHeight="1">
      <c r="A10" s="20" t="n">
        <v>7</v>
      </c>
      <c r="B10" s="21" t="inlineStr">
        <is>
          <t>الاستدامة</t>
        </is>
      </c>
      <c r="C10" s="21" t="inlineStr">
        <is>
          <t>مؤشر رضا الموظفين العام (eNPS)</t>
        </is>
      </c>
      <c r="D10" s="49" t="inlineStr">
        <is>
          <t>نقطة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0.12</v>
      </c>
      <c r="H10" s="62" t="n">
        <v>30</v>
      </c>
      <c r="I10" s="22" t="inlineStr">
        <is>
          <t>≥ 30</t>
        </is>
      </c>
      <c r="J10" s="73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3" t="n">
        <v>22.5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هدف",IF($N10&gt;=0.9,"✅ محقق",IF($N10&gt;=0.75,"🟡 قريب","🔴 تحت الهدف")))</f>
        <v/>
      </c>
      <c r="P10" s="74" t="inlineStr">
        <is>
          <t>٪ الموظفين المروّجين − ٪ المنتقدين (مقياس eNPS)</t>
        </is>
      </c>
      <c r="Q10" s="74" t="inlineStr">
        <is>
          <t>استبيان دوري</t>
        </is>
      </c>
      <c r="R10" s="15" t="inlineStr">
        <is>
          <t>ربعي</t>
        </is>
      </c>
    </row>
    <row r="11" ht="26" customHeight="1">
      <c r="A11" s="20" t="n">
        <v>8</v>
      </c>
      <c r="B11" s="21" t="inlineStr">
        <is>
          <t>الاستدامة</t>
        </is>
      </c>
      <c r="C11" s="21" t="inlineStr">
        <is>
          <t>نسبة تحقيق المستهدفات الاستراتيجية العامة</t>
        </is>
      </c>
      <c r="D11" s="49" t="inlineStr">
        <is>
          <t>%</t>
        </is>
      </c>
      <c r="E11" s="49" t="inlineStr">
        <is>
          <t>↑</t>
        </is>
      </c>
      <c r="F11" s="15" t="inlineStr">
        <is>
          <t>🟠 مهم</t>
        </is>
      </c>
      <c r="G11" s="59" t="n">
        <v>0.08</v>
      </c>
      <c r="H11" s="59" t="n">
        <v>1</v>
      </c>
      <c r="I11" s="22" t="inlineStr">
        <is>
          <t>100%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0" t="n">
        <v>0.85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قيمة/عدد المتحقّق من «تحقيق المستهدفات الاستراتيجية العامة» ÷ الإجمالي المستهدف لنفس البند × 100٪</t>
        </is>
      </c>
      <c r="Q11" s="74" t="inlineStr">
        <is>
          <t>نظام إدارة القضايا والتحقيقات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الحوكمة</t>
        </is>
      </c>
      <c r="C12" s="21" t="inlineStr">
        <is>
          <t>نسبة الالتزام بإطار الحوكمة المؤسسية والامتثال التنظيمي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🟠 مهم</t>
        </is>
      </c>
      <c r="G12" s="59" t="n">
        <v>0.08</v>
      </c>
      <c r="H12" s="59" t="n">
        <v>0.95</v>
      </c>
      <c r="I12" s="22" t="inlineStr">
        <is>
          <t>≥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0" t="n">
        <v>0.729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محقق",IF($N12&gt;=0.97,"🟡 قريب","🔴 تحت الهدف")))</f>
        <v/>
      </c>
      <c r="P12" s="74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2" s="74" t="inlineStr">
        <is>
          <t>نظام إدارة الجودة (QMS)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النمو</t>
        </is>
      </c>
      <c r="C13" s="21" t="inlineStr">
        <is>
          <t>الالتزام بمعايير وزارة الطاقة (تغطية 13 منطقة)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0.08</v>
      </c>
      <c r="H13" s="59" t="n">
        <v>1</v>
      </c>
      <c r="I13" s="22" t="inlineStr">
        <is>
          <t>100%</t>
        </is>
      </c>
      <c r="J13" s="73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0" t="n">
        <v>0.749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القيمة المتحقّقة من «الالتزام بمعايير وزارة الطاقة» ÷ المستهدف × 100٪</t>
        </is>
      </c>
      <c r="Q13" s="74" t="inlineStr">
        <is>
          <t>سجلات الإدارة</t>
        </is>
      </c>
      <c r="R13" s="15" t="inlineStr">
        <is>
          <t>شهري</t>
        </is>
      </c>
    </row>
  </sheetData>
  <autoFilter ref="A3:R13"/>
  <mergeCells count="2">
    <mergeCell ref="A2:R2"/>
    <mergeCell ref="A1:R1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3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 والتوسع</t>
        </is>
      </c>
      <c r="C4" s="21" t="inlineStr">
        <is>
          <t>عدد محطات الامتياز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0.04</v>
      </c>
      <c r="H4" s="55" t="n">
        <v>150</v>
      </c>
      <c r="I4" s="22" t="inlineStr">
        <is>
          <t>150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110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«محطات الامتياز المشغّلة» تراكمياً حتى نهاية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النمو والتوسع</t>
        </is>
      </c>
      <c r="C5" s="21" t="inlineStr">
        <is>
          <t>عدد عقود الامتياز الجديدة الموقّعة</t>
        </is>
      </c>
      <c r="D5" s="49" t="inlineStr">
        <is>
          <t>عقد</t>
        </is>
      </c>
      <c r="E5" s="49" t="inlineStr">
        <is>
          <t>↑</t>
        </is>
      </c>
      <c r="F5" s="15" t="inlineStr">
        <is>
          <t>🔴 رئيسي</t>
        </is>
      </c>
      <c r="G5" s="59" t="n">
        <v>0.04</v>
      </c>
      <c r="H5" s="55" t="n">
        <v>167</v>
      </c>
      <c r="I5" s="22" t="inlineStr">
        <is>
          <t>167 عقد</t>
        </is>
      </c>
      <c r="J5" s="73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6" t="n">
        <v>159.2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«عقود الامتياز الجديدة الموقّعة» المُسجّلة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المبيعات والأداء التجاري</t>
        </is>
      </c>
      <c r="C6" s="21" t="inlineStr">
        <is>
          <t>إجمالي مبيعات وقود محطات الامتياز</t>
        </is>
      </c>
      <c r="D6" s="49" t="inlineStr">
        <is>
          <t>لتر</t>
        </is>
      </c>
      <c r="E6" s="49" t="inlineStr">
        <is>
          <t>↑</t>
        </is>
      </c>
      <c r="F6" s="15" t="inlineStr">
        <is>
          <t>🔴 رئيسي</t>
        </is>
      </c>
      <c r="G6" s="59" t="n">
        <v>0.04</v>
      </c>
      <c r="H6" s="55" t="n">
        <v>718838077</v>
      </c>
      <c r="I6" s="22" t="inlineStr">
        <is>
          <t>718.8M لتر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6" t="n">
        <v>576630340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مجموع لترات «مبيعات وقود محطات الامتياز» خلال الفترة</t>
        </is>
      </c>
      <c r="Q6" s="74" t="inlineStr">
        <is>
          <t>نظام إدارة العقود (CRM)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المبيعات والأداء التجاري</t>
        </is>
      </c>
      <c r="C7" s="21" t="inlineStr">
        <is>
          <t>نسبة تأجير وحدات الامتياز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0.03</v>
      </c>
      <c r="H7" s="59" t="n">
        <v>0.7</v>
      </c>
      <c r="I7" s="22" t="inlineStr">
        <is>
          <t>70%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0" t="n">
        <v>0.709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«تأجير وحدات الامتياز» ÷ الإجمالي المستهدف لنفس البند × 100٪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الأداء المالي</t>
        </is>
      </c>
      <c r="C8" s="21" t="inlineStr">
        <is>
          <t>إجمالي إيرادات إدارة الامتياز</t>
        </is>
      </c>
      <c r="D8" s="49" t="inlineStr">
        <is>
          <t>ر.س</t>
        </is>
      </c>
      <c r="E8" s="49" t="inlineStr">
        <is>
          <t>↑</t>
        </is>
      </c>
      <c r="F8" s="15" t="inlineStr">
        <is>
          <t>🔴 رئيسي</t>
        </is>
      </c>
      <c r="G8" s="59" t="n">
        <v>0.04</v>
      </c>
      <c r="H8" s="49" t="inlineStr"/>
      <c r="I8" s="22" t="inlineStr">
        <is>
          <t>تصاعدي مستمر</t>
        </is>
      </c>
      <c r="J8" s="73" t="inlineStr">
        <is>
          <t>النمو</t>
        </is>
      </c>
      <c r="K8" s="11" t="inlineStr">
        <is>
          <t>الامتياز التجاري</t>
        </is>
      </c>
      <c r="L8" s="15" t="inlineStr">
        <is>
          <t>مالي</t>
        </is>
      </c>
      <c r="M8" s="66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مجموع قيمة «إيرادات إدارة الامتياز» بالريال خلال الفترة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الأداء المالي</t>
        </is>
      </c>
      <c r="C9" s="21" t="inlineStr">
        <is>
          <t>رفع هامش الربحية للامتياز</t>
        </is>
      </c>
      <c r="D9" s="49" t="inlineStr">
        <is>
          <t>هللة/لتر</t>
        </is>
      </c>
      <c r="E9" s="49" t="inlineStr">
        <is>
          <t>↑</t>
        </is>
      </c>
      <c r="F9" s="15" t="inlineStr">
        <is>
          <t>🟠 مهم</t>
        </is>
      </c>
      <c r="G9" s="59" t="n">
        <v>0.03</v>
      </c>
      <c r="H9" s="62" t="n">
        <v>1.8</v>
      </c>
      <c r="I9" s="22" t="inlineStr">
        <is>
          <t>+1.8 هللة/لتر</t>
        </is>
      </c>
      <c r="J9" s="73" t="inlineStr">
        <is>
          <t>النمو</t>
        </is>
      </c>
      <c r="K9" s="11" t="inlineStr">
        <is>
          <t>الامتياز التجاري</t>
        </is>
      </c>
      <c r="L9" s="15" t="inlineStr">
        <is>
          <t>مالي</t>
        </is>
      </c>
      <c r="M9" s="63" t="n">
        <v>1.564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مجموع لترات «رفع هامش الربحية للامتياز» خلال الفترة</t>
        </is>
      </c>
      <c r="Q9" s="74" t="inlineStr">
        <is>
          <t>نظام المحاسبة / ERP (D365)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الأداء المالي</t>
        </is>
      </c>
      <c r="C10" s="21" t="inlineStr">
        <is>
          <t>نسبة التحصيل المالي من شركاء الامتياز</t>
        </is>
      </c>
      <c r="D10" s="49" t="inlineStr">
        <is>
          <t>%</t>
        </is>
      </c>
      <c r="E10" s="49" t="inlineStr">
        <is>
          <t>↑</t>
        </is>
      </c>
      <c r="F10" s="15" t="inlineStr">
        <is>
          <t>🔴 رئيسي</t>
        </is>
      </c>
      <c r="G10" s="59" t="n">
        <v>0.04</v>
      </c>
      <c r="H10" s="59" t="n">
        <v>0.95</v>
      </c>
      <c r="I10" s="22" t="inlineStr">
        <is>
          <t>95%+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0" t="n">
        <v>0.8120000000000001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قيمة/عدد المتحقّق من «التحصيل المالي من شركاء الامتياز» ÷ الإجمالي المستهدف لنفس البند × 100٪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الأداء المالي</t>
        </is>
      </c>
      <c r="C11" s="21" t="inlineStr">
        <is>
          <t>متوسط أيام تحصيل شركاء الامتياز (DSO)</t>
        </is>
      </c>
      <c r="D11" s="49" t="inlineStr">
        <is>
          <t>يوم</t>
        </is>
      </c>
      <c r="E11" s="49" t="inlineStr">
        <is>
          <t>↓</t>
        </is>
      </c>
      <c r="F11" s="15" t="inlineStr">
        <is>
          <t>🔴 رئيسي</t>
        </is>
      </c>
      <c r="G11" s="59" t="n">
        <v>0.04</v>
      </c>
      <c r="H11" s="62" t="n">
        <v>30</v>
      </c>
      <c r="I11" s="22" t="inlineStr">
        <is>
          <t>≤ 30 يوم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26.2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أيام «أيام تحصيل شركاء الامتياز» ÷ عدد الحالات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الأداء المالي</t>
        </is>
      </c>
      <c r="C12" s="21" t="inlineStr">
        <is>
          <t>إجمالي المستحقات المتأخرة (+30 يوم)</t>
        </is>
      </c>
      <c r="D12" s="49" t="inlineStr">
        <is>
          <t>ر.س</t>
        </is>
      </c>
      <c r="E12" s="49" t="inlineStr">
        <is>
          <t>↓</t>
        </is>
      </c>
      <c r="F12" s="15" t="inlineStr">
        <is>
          <t>🟠 مهم</t>
        </is>
      </c>
      <c r="G12" s="59" t="n">
        <v>0.03</v>
      </c>
      <c r="H12" s="49" t="inlineStr"/>
      <c r="I12" s="22" t="inlineStr">
        <is>
          <t>تراجع مستمر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6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مجموع قيمة «المستحقات المتأخرة» بالريال خلال الفترة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الأداء المالي</t>
        </is>
      </c>
      <c r="C13" s="21" t="inlineStr">
        <is>
          <t>نسبة الشركاء الملتزمين بمواعيد السداد</t>
        </is>
      </c>
      <c r="D13" s="49" t="inlineStr">
        <is>
          <t>%</t>
        </is>
      </c>
      <c r="E13" s="49" t="inlineStr">
        <is>
          <t>↑</t>
        </is>
      </c>
      <c r="F13" s="15" t="inlineStr">
        <is>
          <t>🟠 مهم</t>
        </is>
      </c>
      <c r="G13" s="59" t="n">
        <v>0.03</v>
      </c>
      <c r="H13" s="59" t="n">
        <v>0.9</v>
      </c>
      <c r="I13" s="22" t="inlineStr">
        <is>
          <t>90%+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0" t="n">
        <v>0.705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«الشركاء الملتزمين بمواعيد السداد» ÷ الإجمالي المستهدف لنفس البند × 100٪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الأداء المالي</t>
        </is>
      </c>
      <c r="C14" s="21" t="inlineStr">
        <is>
          <t>معدل دوران رأس المال (أيام الدورة)</t>
        </is>
      </c>
      <c r="D14" s="49" t="inlineStr">
        <is>
          <t>يوم</t>
        </is>
      </c>
      <c r="E14" s="49" t="inlineStr">
        <is>
          <t>↓</t>
        </is>
      </c>
      <c r="F14" s="15" t="inlineStr">
        <is>
          <t>🟠 مهم</t>
        </is>
      </c>
      <c r="G14" s="59" t="n">
        <v>0.03</v>
      </c>
      <c r="H14" s="62" t="n">
        <v>5</v>
      </c>
      <c r="I14" s="22" t="inlineStr">
        <is>
          <t>≤ 5 أيام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3" t="n">
        <v>4.329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عدد حالات «دوران رأس المال» خلال الفترة ÷ إجمالي الحالات القابلة للقياس × 100٪</t>
        </is>
      </c>
      <c r="Q14" s="74" t="inlineStr">
        <is>
          <t>نظام الموارد البشرية (HRMS)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التشغيل والجودة</t>
        </is>
      </c>
      <c r="C15" s="21" t="inlineStr">
        <is>
          <t>نسبة جاهزية محطات الامتياز (صفر انقطاع)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🔴 رئيسي</t>
        </is>
      </c>
      <c r="G15" s="59" t="n">
        <v>0.04</v>
      </c>
      <c r="H15" s="59" t="n">
        <v>0.99</v>
      </c>
      <c r="I15" s="22" t="inlineStr">
        <is>
          <t>99%+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0" t="n">
        <v>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محقق",IF($N15&gt;=0.97,"🟡 قريب","🔴 تحت الهدف")))</f>
        <v/>
      </c>
      <c r="P15" s="74" t="inlineStr">
        <is>
          <t>قيمة/عدد المتحقّق من «جاهزية محطات الامتياز» ÷ الإجمالي المستهدف لنفس البند × 100٪</t>
        </is>
      </c>
      <c r="Q15" s="74" t="inlineStr">
        <is>
          <t>نظام إدارة الجودة (QMS)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التشغيل والجودة</t>
        </is>
      </c>
      <c r="C16" s="21" t="inlineStr">
        <is>
          <t>عدد حالات انقطاع الوقود الموثّقة</t>
        </is>
      </c>
      <c r="D16" s="49" t="inlineStr">
        <is>
          <t>حالة</t>
        </is>
      </c>
      <c r="E16" s="49" t="inlineStr">
        <is>
          <t>↓</t>
        </is>
      </c>
      <c r="F16" s="15" t="inlineStr">
        <is>
          <t>🔴 رئيسي</t>
        </is>
      </c>
      <c r="G16" s="59" t="n">
        <v>0.04</v>
      </c>
      <c r="H16" s="55" t="n">
        <v>0</v>
      </c>
      <c r="I16" s="22" t="inlineStr">
        <is>
          <t>0 حالة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6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4" t="inlineStr">
        <is>
          <t>إجمالي عدد «حالات انقطاع الوقود الموثّقة» المُسجّلة خلال الفترة</t>
        </is>
      </c>
      <c r="Q16" s="74" t="inlineStr">
        <is>
          <t>نظام إدارة الجودة (QMS)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التشغيل والجودة</t>
        </is>
      </c>
      <c r="C17" s="21" t="inlineStr">
        <is>
          <t>نسبة إغلاق ملاحظات الجودة الميدانية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0.03</v>
      </c>
      <c r="H17" s="59" t="n">
        <v>0.95</v>
      </c>
      <c r="I17" s="22" t="inlineStr">
        <is>
          <t>95%+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0.879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قيمة/عدد المتحقّق من «إغلاق ملاحظات الجودة الميدانية» ÷ الإجمالي المستهدف لنفس البند × 100٪</t>
        </is>
      </c>
      <c r="Q17" s="74" t="inlineStr">
        <is>
          <t>نظام إدارة الجودة (QMS)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التشغيل والجودة</t>
        </is>
      </c>
      <c r="C18" s="21" t="inlineStr">
        <is>
          <t>متوسط درجة تقييم جودة المحطة (قائمة التحقق)</t>
        </is>
      </c>
      <c r="D18" s="49" t="inlineStr">
        <is>
          <t>درجة/100</t>
        </is>
      </c>
      <c r="E18" s="49" t="inlineStr">
        <is>
          <t>↑</t>
        </is>
      </c>
      <c r="F18" s="15" t="inlineStr">
        <is>
          <t>🔴 رئيسي</t>
        </is>
      </c>
      <c r="G18" s="59" t="n">
        <v>0.04</v>
      </c>
      <c r="H18" s="62" t="n">
        <v>85</v>
      </c>
      <c r="I18" s="22" t="inlineStr">
        <is>
          <t>85+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78.8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مجموع قيم «درجة تقييم جودة المحطة» ÷ عدد المفردات المقيسة</t>
        </is>
      </c>
      <c r="Q18" s="74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التشغيل والجودة</t>
        </is>
      </c>
      <c r="C19" s="21" t="inlineStr">
        <is>
          <t>نسبة تنفيذ الزيارات الميدانية المجدولة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🟠 مهم</t>
        </is>
      </c>
      <c r="G19" s="59" t="n">
        <v>0.03</v>
      </c>
      <c r="H19" s="59" t="n">
        <v>1</v>
      </c>
      <c r="I19" s="22" t="inlineStr">
        <is>
          <t>100%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1.034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74" t="inlineStr">
        <is>
          <t>قيمة/عدد المتحقّق من «تنفيذ الزيارات الميدانية المجدولة» ÷ الإجمالي المستهدف لنفس البند × 100٪</t>
        </is>
      </c>
      <c r="Q19" s="74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التشغيل والجودة</t>
        </is>
      </c>
      <c r="C20" s="21" t="inlineStr">
        <is>
          <t>نسبة المحطات المستوفية لمعايير السلامة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🔴 رئيسي</t>
        </is>
      </c>
      <c r="G20" s="59" t="n">
        <v>0.04</v>
      </c>
      <c r="H20" s="59" t="n">
        <v>1</v>
      </c>
      <c r="I20" s="22" t="inlineStr">
        <is>
          <t>100%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0.911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4" t="inlineStr">
        <is>
          <t>قيمة/عدد المتحقّق من «المحطات المستوفية لمعايير السلامة» ÷ الإجمالي المستهدف لنفس البند × 100٪</t>
        </is>
      </c>
      <c r="Q20" s="74" t="inlineStr">
        <is>
          <t>نظام إدارة الجودة (QMS)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التشغيل والجودة</t>
        </is>
      </c>
      <c r="C21" s="21" t="inlineStr">
        <is>
          <t>متوسط وقت معالجة البلاغات التشغيلية</t>
        </is>
      </c>
      <c r="D21" s="49" t="inlineStr">
        <is>
          <t>ساعة</t>
        </is>
      </c>
      <c r="E21" s="49" t="inlineStr">
        <is>
          <t>↓</t>
        </is>
      </c>
      <c r="F21" s="15" t="inlineStr">
        <is>
          <t>🟠 مهم</t>
        </is>
      </c>
      <c r="G21" s="59" t="n">
        <v>0.03</v>
      </c>
      <c r="H21" s="62" t="n">
        <v>24</v>
      </c>
      <c r="I21" s="22" t="inlineStr">
        <is>
          <t>≤ 24 ساعة</t>
        </is>
      </c>
      <c r="J21" s="73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3" t="n">
        <v>26.2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مجموع ساعات «وقت معالجة البلاغات التشغيلية» ÷ عدد الحالات المغلقة</t>
        </is>
      </c>
      <c r="Q21" s="74" t="inlineStr">
        <is>
          <t>نظام إدارة الجودة (QMS)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التشغيل والجودة</t>
        </is>
      </c>
      <c r="C22" s="21" t="inlineStr">
        <is>
          <t>نسبة أتمتة محطات الامتياز</t>
        </is>
      </c>
      <c r="D22" s="49" t="inlineStr">
        <is>
          <t>%</t>
        </is>
      </c>
      <c r="E22" s="49" t="inlineStr">
        <is>
          <t>↑</t>
        </is>
      </c>
      <c r="F22" s="15" t="inlineStr">
        <is>
          <t>🔴 رئيسي</t>
        </is>
      </c>
      <c r="G22" s="59" t="n">
        <v>0.04</v>
      </c>
      <c r="H22" s="59" t="n">
        <v>0.9</v>
      </c>
      <c r="I22" s="22" t="inlineStr">
        <is>
          <t>90%</t>
        </is>
      </c>
      <c r="J22" s="73" t="inlineStr">
        <is>
          <t>الابتكار</t>
        </is>
      </c>
      <c r="K22" s="11" t="inlineStr">
        <is>
          <t>التحول التقني</t>
        </is>
      </c>
      <c r="L22" s="15" t="inlineStr">
        <is>
          <t>التعلّم والنمو</t>
        </is>
      </c>
      <c r="M22" s="60" t="n">
        <v>0.674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قيمة/عدد المتحقّق من «أتمتة محطات الامتياز» ÷ الإجمالي المستهدف لنفس البند × 100٪</t>
        </is>
      </c>
      <c r="Q22" s="74" t="inlineStr">
        <is>
          <t>مكتب إدارة المشاريع (PMO)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التشغيل والجودة</t>
        </is>
      </c>
      <c r="C23" s="21" t="inlineStr">
        <is>
          <t>نسبة تطبيق المعيار الشامل داخل المحطات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🟡 متابعة</t>
        </is>
      </c>
      <c r="G23" s="59" t="n">
        <v>0.01</v>
      </c>
      <c r="H23" s="59" t="n">
        <v>0.3</v>
      </c>
      <c r="I23" s="22" t="inlineStr">
        <is>
          <t>30%</t>
        </is>
      </c>
      <c r="J23" s="73" t="inlineStr">
        <is>
          <t>الابتكار</t>
        </is>
      </c>
      <c r="K23" s="11" t="inlineStr">
        <is>
          <t>التحول التقني</t>
        </is>
      </c>
      <c r="L23" s="15" t="inlineStr">
        <is>
          <t>التعلّم والنمو</t>
        </is>
      </c>
      <c r="M23" s="60" t="n">
        <v>0.299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قيمة/عدد المتحقّق من «تطبيق المعيار الشامل داخل المحطات» ÷ الإجمالي المستهدف لنفس البند × 100٪</t>
        </is>
      </c>
      <c r="Q23" s="74" t="inlineStr">
        <is>
          <t>نظام إدارة الجودة (QMS)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الهوية والتسويق</t>
        </is>
      </c>
      <c r="C24" s="21" t="inlineStr">
        <is>
          <t>نسبة التزام المحطات بالهوية المؤسسية</t>
        </is>
      </c>
      <c r="D24" s="49" t="inlineStr">
        <is>
          <t>%</t>
        </is>
      </c>
      <c r="E24" s="49" t="inlineStr">
        <is>
          <t>↑</t>
        </is>
      </c>
      <c r="F24" s="15" t="inlineStr">
        <is>
          <t>🔴 رئيسي</t>
        </is>
      </c>
      <c r="G24" s="59" t="n">
        <v>0.04</v>
      </c>
      <c r="H24" s="59" t="n">
        <v>0.55</v>
      </c>
      <c r="I24" s="22" t="inlineStr">
        <is>
          <t>55%</t>
        </is>
      </c>
      <c r="J24" s="73" t="inlineStr">
        <is>
          <t>الابتكار</t>
        </is>
      </c>
      <c r="K24" s="11" t="inlineStr">
        <is>
          <t>تطوير التصاميم والهوية</t>
        </is>
      </c>
      <c r="L24" s="15" t="inlineStr">
        <is>
          <t>التعلّم والنمو</t>
        </is>
      </c>
      <c r="M24" s="60" t="n">
        <v>0.44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قيمة/عدد المتحقّق من «التزام المحطات بالهوية المؤسسية» ÷ الإجمالي المستهدف لنفس البند × 100٪</t>
        </is>
      </c>
      <c r="Q24" s="74" t="inlineStr">
        <is>
          <t>نظام تشغيل المحطات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تجربة العملاء والشركاء</t>
        </is>
      </c>
      <c r="C25" s="21" t="inlineStr">
        <is>
          <t>متوسط تقييم المحطات على خرائط قوقل</t>
        </is>
      </c>
      <c r="D25" s="49" t="inlineStr">
        <is>
          <t>نجمة/5</t>
        </is>
      </c>
      <c r="E25" s="49" t="inlineStr">
        <is>
          <t>↑</t>
        </is>
      </c>
      <c r="F25" s="15" t="inlineStr">
        <is>
          <t>🔴 رئيسي</t>
        </is>
      </c>
      <c r="G25" s="59" t="n">
        <v>0.04</v>
      </c>
      <c r="H25" s="62" t="n">
        <v>4.7</v>
      </c>
      <c r="I25" s="22" t="inlineStr">
        <is>
          <t>≥ 4.7 نجمة</t>
        </is>
      </c>
      <c r="J25" s="73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63" t="n">
        <v>3.474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4" t="inlineStr">
        <is>
          <t>مجموع قيم «تقييم المحطات على خرائط قوقل» ÷ عدد المفردات المقيسة</t>
        </is>
      </c>
      <c r="Q25" s="74" t="inlineStr">
        <is>
          <t>تقييمات خرائط قوقل</t>
        </is>
      </c>
      <c r="R25" s="15" t="inlineStr">
        <is>
          <t>شهري</t>
        </is>
      </c>
    </row>
    <row r="26" ht="26" customHeight="1">
      <c r="A26" s="20" t="n">
        <v>23</v>
      </c>
      <c r="B26" s="21" t="inlineStr">
        <is>
          <t>تجربة العملاء والشركاء</t>
        </is>
      </c>
      <c r="C26" s="21" t="inlineStr">
        <is>
          <t>معدل رضا شركاء الامتياز (CSAT)</t>
        </is>
      </c>
      <c r="D26" s="49" t="inlineStr">
        <is>
          <t>%</t>
        </is>
      </c>
      <c r="E26" s="49" t="inlineStr">
        <is>
          <t>↑</t>
        </is>
      </c>
      <c r="F26" s="15" t="inlineStr">
        <is>
          <t>🔴 رئيسي</t>
        </is>
      </c>
      <c r="G26" s="59" t="n">
        <v>0.04</v>
      </c>
      <c r="H26" s="59" t="n">
        <v>0.9</v>
      </c>
      <c r="I26" s="22" t="inlineStr">
        <is>
          <t>90%+</t>
        </is>
      </c>
      <c r="J26" s="73" t="inlineStr">
        <is>
          <t>الاستدامة</t>
        </is>
      </c>
      <c r="K26" s="11" t="inlineStr">
        <is>
          <t>تعزيز تجربة العملاء</t>
        </is>
      </c>
      <c r="L26" s="15" t="inlineStr">
        <is>
          <t>العملاء</t>
        </is>
      </c>
      <c r="M26" s="60" t="n">
        <v>0.837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هدف",IF($N26&gt;=0.9,"✅ محقق",IF($N26&gt;=0.75,"🟡 قريب","🔴 تحت الهدف")))</f>
        <v/>
      </c>
      <c r="P26" s="74" t="inlineStr">
        <is>
          <t>عدد حالات «رضا شركاء الامتياز» خلال الفترة ÷ إجمالي الحالات القابلة للقياس × 100٪</t>
        </is>
      </c>
      <c r="Q26" s="74" t="inlineStr">
        <is>
          <t>استبيان دوري</t>
        </is>
      </c>
      <c r="R26" s="15" t="inlineStr">
        <is>
          <t>ربعي</t>
        </is>
      </c>
    </row>
    <row r="27" ht="26" customHeight="1">
      <c r="A27" s="20" t="n">
        <v>24</v>
      </c>
      <c r="B27" s="21" t="inlineStr">
        <is>
          <t>تجربة العملاء والشركاء</t>
        </is>
      </c>
      <c r="C27" s="21" t="inlineStr">
        <is>
          <t>نسبة حل الشكاوى خلال المدة المحددة</t>
        </is>
      </c>
      <c r="D27" s="49" t="inlineStr">
        <is>
          <t>%</t>
        </is>
      </c>
      <c r="E27" s="49" t="inlineStr">
        <is>
          <t>↑</t>
        </is>
      </c>
      <c r="F27" s="15" t="inlineStr">
        <is>
          <t>🟠 مهم</t>
        </is>
      </c>
      <c r="G27" s="59" t="n">
        <v>0.03</v>
      </c>
      <c r="H27" s="59" t="n">
        <v>0.95</v>
      </c>
      <c r="I27" s="22" t="inlineStr">
        <is>
          <t>95%+</t>
        </is>
      </c>
      <c r="J27" s="73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0" t="n">
        <v>0.922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«حل الشكاوى خلال المدة المحددة» ÷ الإجمالي المستهدف لنفس البند × 100٪</t>
        </is>
      </c>
      <c r="Q27" s="74" t="inlineStr">
        <is>
          <t>سجلات الإدارة</t>
        </is>
      </c>
      <c r="R27" s="15" t="inlineStr">
        <is>
          <t>شهري</t>
        </is>
      </c>
    </row>
    <row r="28" ht="26" customHeight="1">
      <c r="A28" s="20" t="n">
        <v>25</v>
      </c>
      <c r="B28" s="21" t="inlineStr">
        <is>
          <t>تجربة العملاء والشركاء</t>
        </is>
      </c>
      <c r="C28" s="21" t="inlineStr">
        <is>
          <t>نسبة انخفاض الشكاوى التشغيلية والإدارية</t>
        </is>
      </c>
      <c r="D28" s="49" t="inlineStr">
        <is>
          <t>%</t>
        </is>
      </c>
      <c r="E28" s="49" t="inlineStr">
        <is>
          <t>↑</t>
        </is>
      </c>
      <c r="F28" s="15" t="inlineStr">
        <is>
          <t>🟠 مهم</t>
        </is>
      </c>
      <c r="G28" s="59" t="n">
        <v>0.03</v>
      </c>
      <c r="H28" s="59" t="n">
        <v>0.3</v>
      </c>
      <c r="I28" s="22" t="inlineStr">
        <is>
          <t>≥ 30%</t>
        </is>
      </c>
      <c r="J28" s="73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0" t="n">
        <v>0.274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74" t="inlineStr">
        <is>
          <t>قيمة/عدد المتحقّق من «انخفاض الشكاوى التشغيلية والإدارية» ÷ الإجمالي المستهدف لنفس البند × 100٪</t>
        </is>
      </c>
      <c r="Q28" s="74" t="inlineStr">
        <is>
          <t>سجلات الإدارة</t>
        </is>
      </c>
      <c r="R28" s="15" t="inlineStr">
        <is>
          <t>شهري</t>
        </is>
      </c>
    </row>
    <row r="29" ht="26" customHeight="1">
      <c r="A29" s="20" t="n">
        <v>26</v>
      </c>
      <c r="B29" s="21" t="inlineStr">
        <is>
          <t>استدامة الشراكة والامتثال</t>
        </is>
      </c>
      <c r="C29" s="21" t="inlineStr">
        <is>
          <t>نسبة استدامة أصحاب الامتياز (Retention)</t>
        </is>
      </c>
      <c r="D29" s="49" t="inlineStr">
        <is>
          <t>%</t>
        </is>
      </c>
      <c r="E29" s="49" t="inlineStr">
        <is>
          <t>↑</t>
        </is>
      </c>
      <c r="F29" s="15" t="inlineStr">
        <is>
          <t>🟠 مهم</t>
        </is>
      </c>
      <c r="G29" s="59" t="n">
        <v>0.03</v>
      </c>
      <c r="H29" s="59" t="n">
        <v>0.9</v>
      </c>
      <c r="I29" s="22" t="inlineStr">
        <is>
          <t>90%</t>
        </is>
      </c>
      <c r="J29" s="73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العمليات الداخلية</t>
        </is>
      </c>
      <c r="M29" s="60" t="n">
        <v>0.853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هدف",IF($N29&gt;=1.0,"✅ محقق",IF($N29&gt;=0.85,"🟡 قريب","🔴 تحت الهدف")))</f>
        <v/>
      </c>
      <c r="P29" s="74" t="inlineStr">
        <is>
          <t>قيمة/عدد المتحقّق من «استدامة أصحاب الامتياز» ÷ الإجمالي المستهدف لنفس البند × 100٪</t>
        </is>
      </c>
      <c r="Q29" s="74" t="inlineStr">
        <is>
          <t>نظام إدارة الجودة (QMS)</t>
        </is>
      </c>
      <c r="R29" s="15" t="inlineStr">
        <is>
          <t>شهري</t>
        </is>
      </c>
    </row>
    <row r="30" ht="26" customHeight="1">
      <c r="A30" s="20" t="n">
        <v>27</v>
      </c>
      <c r="B30" s="21" t="inlineStr">
        <is>
          <t>استدامة الشراكة والامتثال</t>
        </is>
      </c>
      <c r="C30" s="21" t="inlineStr">
        <is>
          <t>نسبة زيادة عدد أصحاب الامتياز</t>
        </is>
      </c>
      <c r="D30" s="49" t="inlineStr">
        <is>
          <t>%</t>
        </is>
      </c>
      <c r="E30" s="49" t="inlineStr">
        <is>
          <t>↑</t>
        </is>
      </c>
      <c r="F30" s="15" t="inlineStr">
        <is>
          <t>🟠 مهم</t>
        </is>
      </c>
      <c r="G30" s="59" t="n">
        <v>0.02</v>
      </c>
      <c r="H30" s="59" t="n">
        <v>1</v>
      </c>
      <c r="I30" s="22" t="inlineStr">
        <is>
          <t>100% نمو</t>
        </is>
      </c>
      <c r="J30" s="73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العمليات الداخلية</t>
        </is>
      </c>
      <c r="M30" s="60" t="n">
        <v>0.8100000000000001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74" t="inlineStr">
        <is>
          <t>قيمة/عدد المتحقّق من «زيادة عدد أصحاب الامتياز» ÷ الإجمالي المستهدف لنفس البند × 100٪</t>
        </is>
      </c>
      <c r="Q30" s="74" t="inlineStr">
        <is>
          <t>نظام إدارة الجودة (QMS)</t>
        </is>
      </c>
      <c r="R30" s="15" t="inlineStr">
        <is>
          <t>شهري</t>
        </is>
      </c>
    </row>
    <row r="31" ht="26" customHeight="1">
      <c r="A31" s="20" t="n">
        <v>28</v>
      </c>
      <c r="B31" s="21" t="inlineStr">
        <is>
          <t>استدامة الشراكة والامتثال</t>
        </is>
      </c>
      <c r="C31" s="21" t="inlineStr">
        <is>
          <t>متوسط مدة إغلاق عقد الامتياز</t>
        </is>
      </c>
      <c r="D31" s="49" t="inlineStr">
        <is>
          <t>أسبوع</t>
        </is>
      </c>
      <c r="E31" s="49" t="inlineStr">
        <is>
          <t>↓</t>
        </is>
      </c>
      <c r="F31" s="15" t="inlineStr">
        <is>
          <t>🔴 رئيسي</t>
        </is>
      </c>
      <c r="G31" s="59" t="n">
        <v>0.04</v>
      </c>
      <c r="H31" s="62" t="n">
        <v>1</v>
      </c>
      <c r="I31" s="22" t="inlineStr">
        <is>
          <t>≤ أسبوع</t>
        </is>
      </c>
      <c r="J31" s="73" t="inlineStr">
        <is>
          <t>النمو</t>
        </is>
      </c>
      <c r="K31" s="11" t="inlineStr">
        <is>
          <t>الامتياز التجاري</t>
        </is>
      </c>
      <c r="L31" s="15" t="inlineStr">
        <is>
          <t>العمليات الداخلية</t>
        </is>
      </c>
      <c r="M31" s="63" t="n">
        <v>0.899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74" t="inlineStr">
        <is>
          <t>مجموع قيم «مدة إغلاق عقد الامتياز» ÷ عدد المفردات المقيسة</t>
        </is>
      </c>
      <c r="Q31" s="74" t="inlineStr">
        <is>
          <t>نظام إدارة الجودة (QMS)</t>
        </is>
      </c>
      <c r="R31" s="15" t="inlineStr">
        <is>
          <t>شهري</t>
        </is>
      </c>
    </row>
    <row r="32" ht="26" customHeight="1">
      <c r="A32" s="20" t="n">
        <v>29</v>
      </c>
      <c r="B32" s="21" t="inlineStr">
        <is>
          <t>الأداء المالي</t>
        </is>
      </c>
      <c r="C32" s="21" t="inlineStr">
        <is>
          <t>نسبة التحصيل خلال 5 أيام عمل</t>
        </is>
      </c>
      <c r="D32" s="49" t="inlineStr">
        <is>
          <t>%</t>
        </is>
      </c>
      <c r="E32" s="49" t="inlineStr">
        <is>
          <t>↑</t>
        </is>
      </c>
      <c r="F32" s="15" t="inlineStr">
        <is>
          <t>🔴 رئيسي</t>
        </is>
      </c>
      <c r="G32" s="59" t="n">
        <v>0.04</v>
      </c>
      <c r="H32" s="59" t="n">
        <v>0.9</v>
      </c>
      <c r="I32" s="22" t="inlineStr">
        <is>
          <t>≥ 90%</t>
        </is>
      </c>
      <c r="J32" s="73" t="inlineStr">
        <is>
          <t>الاستدامة</t>
        </is>
      </c>
      <c r="K32" s="11" t="inlineStr">
        <is>
          <t>الامتياز التجاري</t>
        </is>
      </c>
      <c r="L32" s="15" t="inlineStr">
        <is>
          <t>مالي</t>
        </is>
      </c>
      <c r="M32" s="60" t="n">
        <v>0.652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74" t="inlineStr">
        <is>
          <t>قيمة/عدد المتحقّق من «التحصيل خلال 5 أيام عمل» ÷ الإجمالي المستهدف لنفس البند × 100٪</t>
        </is>
      </c>
      <c r="Q32" s="74" t="inlineStr">
        <is>
          <t>نظام المحاسبة / ERP (D365)</t>
        </is>
      </c>
      <c r="R32" s="15" t="inlineStr">
        <is>
          <t>شهري</t>
        </is>
      </c>
    </row>
  </sheetData>
  <autoFilter ref="A3:R32"/>
  <mergeCells count="2">
    <mergeCell ref="A2:R2"/>
    <mergeCell ref="A1:R1"/>
  </mergeCells>
  <dataValidations count="1">
    <dataValidation sqref="M4 M5 M6 M7 M8 M9 M10 M11 M12 M13 M14 M15 M16 M17 M18 M19 M20 M21 M22 M23 M24 M25 M26 M27 M28 M29 M30 M31 M3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النمو</t>
        </is>
      </c>
      <c r="C4" s="21" t="inlineStr">
        <is>
          <t>عدد المحطات المشغّلة (تراكمي)</t>
        </is>
      </c>
      <c r="D4" s="49" t="inlineStr">
        <is>
          <t>محطة</t>
        </is>
      </c>
      <c r="E4" s="49" t="inlineStr">
        <is>
          <t>↑</t>
        </is>
      </c>
      <c r="F4" s="15" t="inlineStr">
        <is>
          <t>🔴 رئيسي</t>
        </is>
      </c>
      <c r="G4" s="59" t="n">
        <v>0.34</v>
      </c>
      <c r="H4" s="55" t="n">
        <v>85</v>
      </c>
      <c r="I4" s="22" t="inlineStr">
        <is>
          <t>85 محطة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78.5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«المحطات المشغّلة» تراكمياً حتى نهاية الفترة</t>
        </is>
      </c>
      <c r="Q4" s="74" t="inlineStr">
        <is>
          <t>نظام تشغيل المحطات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</t>
        </is>
      </c>
      <c r="C5" s="21" t="inlineStr">
        <is>
          <t>نمو مبيعات الوقود مقارنة بالعام السابق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0.33</v>
      </c>
      <c r="H5" s="59" t="n">
        <v>0.1</v>
      </c>
      <c r="I5" s="22" t="inlineStr">
        <is>
          <t>≥ 10%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0" t="n">
        <v>0.09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القيمة المتحقّقة من «نمو مبيعات الوقود مقارنة بالعام السابق» ÷ المستهدف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تجربة العميل</t>
        </is>
      </c>
      <c r="C6" s="21" t="inlineStr">
        <is>
          <t>نسبة انخفاض الشكاوى مقارنة بالعام السابق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0.22</v>
      </c>
      <c r="H6" s="59" t="n">
        <v>0.2</v>
      </c>
      <c r="I6" s="22" t="inlineStr">
        <is>
          <t>≥ 20%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0.163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«انخفاض الشكاوى مقارنة بالعام السابق» ÷ الإجمالي المستهدف لنفس البند × 100٪</t>
        </is>
      </c>
      <c r="Q6" s="74" t="inlineStr">
        <is>
          <t>سجلات الإدارة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الجودة</t>
        </is>
      </c>
      <c r="C7" s="21" t="inlineStr">
        <is>
          <t>تطبيق المعيار الشامل في المحطات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🟡 متابعة</t>
        </is>
      </c>
      <c r="G7" s="59" t="n">
        <v>0.11</v>
      </c>
      <c r="H7" s="59" t="n">
        <v>0.8</v>
      </c>
      <c r="I7" s="22" t="inlineStr">
        <is>
          <t>≥ 80%</t>
        </is>
      </c>
      <c r="J7" s="73" t="inlineStr">
        <is>
          <t>الابتكار</t>
        </is>
      </c>
      <c r="K7" s="11" t="inlineStr">
        <is>
          <t>التحول التقني</t>
        </is>
      </c>
      <c r="L7" s="15" t="inlineStr">
        <is>
          <t>التعلّم والنمو</t>
        </is>
      </c>
      <c r="M7" s="60" t="n">
        <v>0.787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«تطبيق المعيار الشامل في المحطات» ÷ المستهدف × 100٪</t>
        </is>
      </c>
      <c r="Q7" s="74" t="inlineStr">
        <is>
          <t>نظام إدارة الجودة (QMS)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الفرص والنمو</t>
        </is>
      </c>
      <c r="C4" s="21" t="inlineStr">
        <is>
          <t>عدد فرص الاستثمار</t>
        </is>
      </c>
      <c r="D4" s="49" t="inlineStr">
        <is>
          <t>فرصة</t>
        </is>
      </c>
      <c r="E4" s="49" t="inlineStr">
        <is>
          <t>↑</t>
        </is>
      </c>
      <c r="F4" s="15" t="inlineStr">
        <is>
          <t>🟠 مهم</t>
        </is>
      </c>
      <c r="G4" s="59" t="n">
        <v>0.14</v>
      </c>
      <c r="H4" s="55" t="n">
        <v>20</v>
      </c>
      <c r="I4" s="22" t="inlineStr">
        <is>
          <t>≥ 20 فرصة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6" t="n">
        <v>21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«فرص الاستثمار» المُسجّلة خلال الفترة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الربحية وجودة الموقع</t>
        </is>
      </c>
      <c r="C5" s="21" t="inlineStr">
        <is>
          <t>نسبة المواقع المشغّلة ذات العائد المجدي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0.22</v>
      </c>
      <c r="H5" s="59" t="n">
        <v>0.8</v>
      </c>
      <c r="I5" s="22" t="inlineStr">
        <is>
          <t>≥ 80%</t>
        </is>
      </c>
      <c r="J5" s="73" t="inlineStr">
        <is>
          <t>الاستدامة</t>
        </is>
      </c>
      <c r="K5" s="11" t="inlineStr">
        <is>
          <t>التوسع في المواقع</t>
        </is>
      </c>
      <c r="L5" s="15" t="inlineStr">
        <is>
          <t>مالي</t>
        </is>
      </c>
      <c r="M5" s="60" t="n">
        <v>0.748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«المواقع المشغّلة ذات العائد المجدي» ÷ الإجمالي المستهدف لنفس البند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جودة التعاقد</t>
        </is>
      </c>
      <c r="C6" s="21" t="inlineStr">
        <is>
          <t>مدى رضا المستثمرين وشركاء الاستثمار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0.22</v>
      </c>
      <c r="H6" s="59" t="n">
        <v>0.8</v>
      </c>
      <c r="I6" s="22" t="inlineStr">
        <is>
          <t>≥ 80%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0.786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القيمة المتحقّقة من «مدى رضا المستثمرين وشركاء الاستثمار» ÷ المستهدف × 100٪</t>
        </is>
      </c>
      <c r="Q6" s="74" t="inlineStr">
        <is>
          <t>استبيان دوري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كفاءة الدورة</t>
        </is>
      </c>
      <c r="C7" s="21" t="inlineStr">
        <is>
          <t>متوسط مدة إغلاق عقد الاستثمار</t>
        </is>
      </c>
      <c r="D7" s="49" t="inlineStr">
        <is>
          <t>أسبوع</t>
        </is>
      </c>
      <c r="E7" s="49" t="inlineStr">
        <is>
          <t>↓</t>
        </is>
      </c>
      <c r="F7" s="15" t="inlineStr">
        <is>
          <t>🔴 رئيسي</t>
        </is>
      </c>
      <c r="G7" s="59" t="n">
        <v>0.21</v>
      </c>
      <c r="H7" s="62" t="n">
        <v>1</v>
      </c>
      <c r="I7" s="22" t="inlineStr">
        <is>
          <t>≤ أسبوع</t>
        </is>
      </c>
      <c r="J7" s="73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3" t="n">
        <v>0.912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مجموع قيم «مدة إغلاق عقد الاستثمار» ÷ عدد المفردات المقيسة</t>
        </is>
      </c>
      <c r="Q7" s="74" t="inlineStr">
        <is>
          <t>نظام إدارة العقود (CRM)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التوسع الإقليمي</t>
        </is>
      </c>
      <c r="C8" s="21" t="inlineStr">
        <is>
          <t>عدد العقود التي تغطي المناطق الـ13</t>
        </is>
      </c>
      <c r="D8" s="49" t="inlineStr">
        <is>
          <t>عقد</t>
        </is>
      </c>
      <c r="E8" s="49" t="inlineStr">
        <is>
          <t>↑</t>
        </is>
      </c>
      <c r="F8" s="15" t="inlineStr">
        <is>
          <t>🔴 رئيسي</t>
        </is>
      </c>
      <c r="G8" s="59" t="n">
        <v>0.21</v>
      </c>
      <c r="H8" s="55" t="n">
        <v>13</v>
      </c>
      <c r="I8" s="22" t="inlineStr">
        <is>
          <t>≥ 13 عقد</t>
        </is>
      </c>
      <c r="J8" s="73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6" t="n">
        <v>12.1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«العقود التي تغطي المناطق الـ13» تراكمياً حتى نهاية الفترة</t>
        </is>
      </c>
      <c r="Q8" s="74" t="inlineStr">
        <is>
          <t>نظام إدارة العقود (CRM)</t>
        </is>
      </c>
      <c r="R8" s="15" t="inlineStr">
        <is>
          <t>شهري</t>
        </is>
      </c>
    </row>
  </sheetData>
  <autoFilter ref="A3:R8"/>
  <mergeCells count="2">
    <mergeCell ref="A2:R2"/>
    <mergeCell ref="A1:R1"/>
  </mergeCells>
  <dataValidations count="1">
    <dataValidation sqref="M4 M5 M6 M7 M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التأجير</t>
        </is>
      </c>
      <c r="C4" s="21" t="inlineStr">
        <is>
          <t>نسبة إشغال الوحدات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0.2</v>
      </c>
      <c r="H4" s="59" t="n">
        <v>0.6</v>
      </c>
      <c r="I4" s="22" t="inlineStr">
        <is>
          <t>≥ 60%</t>
        </is>
      </c>
      <c r="J4" s="73" t="inlineStr">
        <is>
          <t>الاستدامة</t>
        </is>
      </c>
      <c r="K4" s="11" t="inlineStr">
        <is>
          <t>منظومة التأجير</t>
        </is>
      </c>
      <c r="L4" s="15" t="inlineStr">
        <is>
          <t>العمليات الداخلية</t>
        </is>
      </c>
      <c r="M4" s="60" t="n">
        <v>0.545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«إشغال الوحدات» ÷ الإجمالي المستهدف لنفس البند × 100٪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التأجير</t>
        </is>
      </c>
      <c r="C5" s="21" t="inlineStr">
        <is>
          <t>زيادة عدد العلامات التجارية</t>
        </is>
      </c>
      <c r="D5" s="49" t="inlineStr">
        <is>
          <t>علامة</t>
        </is>
      </c>
      <c r="E5" s="49" t="inlineStr">
        <is>
          <t>↑</t>
        </is>
      </c>
      <c r="F5" s="15" t="inlineStr">
        <is>
          <t>🟠 مهم</t>
        </is>
      </c>
      <c r="G5" s="59" t="n">
        <v>0.2</v>
      </c>
      <c r="H5" s="55" t="n">
        <v>246</v>
      </c>
      <c r="I5" s="22" t="inlineStr">
        <is>
          <t>246 علامة</t>
        </is>
      </c>
      <c r="J5" s="73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56" t="n">
        <v>202.6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إجمالي عدد «زيادة عدد العلامات التجارية» المُسجّل خلال الفترة</t>
        </is>
      </c>
      <c r="Q5" s="74" t="inlineStr">
        <is>
          <t>نظام إدارة العقود (CRM)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الجودة والاستدامة</t>
        </is>
      </c>
      <c r="C6" s="21" t="inlineStr">
        <is>
          <t>معدل رضا المستأجرين (استبيان ربعي)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0.3</v>
      </c>
      <c r="H6" s="59" t="n">
        <v>0.9</v>
      </c>
      <c r="I6" s="22" t="inlineStr">
        <is>
          <t>≥ 90%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0.894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عدد حالات «رضا المستأجرين» خلال الفترة ÷ إجمالي الحالات القابلة للقياس × 100٪</t>
        </is>
      </c>
      <c r="Q6" s="74" t="inlineStr">
        <is>
          <t>استبيان دوري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الإدارة</t>
        </is>
      </c>
      <c r="C7" s="21" t="inlineStr">
        <is>
          <t>نسبة تحصيل الإيجارات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0.3</v>
      </c>
      <c r="H7" s="59" t="n">
        <v>0.95</v>
      </c>
      <c r="I7" s="22" t="inlineStr">
        <is>
          <t>≥ 95%</t>
        </is>
      </c>
      <c r="J7" s="73" t="inlineStr">
        <is>
          <t>الاستدامة</t>
        </is>
      </c>
      <c r="K7" s="11" t="inlineStr">
        <is>
          <t>منظومة التأجير</t>
        </is>
      </c>
      <c r="L7" s="15" t="inlineStr">
        <is>
          <t>مالي</t>
        </is>
      </c>
      <c r="M7" s="60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«تحصيل الإيجارات» ÷ الإجمالي المستهدف لنفس البند × 100٪</t>
        </is>
      </c>
      <c r="Q7" s="74" t="inlineStr">
        <is>
          <t>نظام المحاسبة / ERP (D365)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تنفيذ المشاريع</t>
        </is>
      </c>
      <c r="C4" s="21" t="inlineStr">
        <is>
          <t>نسبة إنجاز محفظة المشاريع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0.38</v>
      </c>
      <c r="H4" s="59" t="n">
        <v>0.7</v>
      </c>
      <c r="I4" s="22" t="inlineStr">
        <is>
          <t>≥ 70%</t>
        </is>
      </c>
      <c r="J4" s="73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60" t="n">
        <v>0.607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«إنجاز محفظة المشاريع» ÷ الإجمالي المستهدف لنفس البند × 100٪</t>
        </is>
      </c>
      <c r="Q4" s="74" t="inlineStr">
        <is>
          <t>نظام إدارة المشاريع (PMO/Primavera)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تنفيذ المشاريع</t>
        </is>
      </c>
      <c r="C5" s="21" t="inlineStr">
        <is>
          <t>نسبة تسليم المحطات في الموعد المخطط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🔴 رئيسي</t>
        </is>
      </c>
      <c r="G5" s="59" t="n">
        <v>0.37</v>
      </c>
      <c r="H5" s="59" t="n">
        <v>0.8</v>
      </c>
      <c r="I5" s="22" t="inlineStr">
        <is>
          <t>≥ 80%</t>
        </is>
      </c>
      <c r="J5" s="73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0" t="n">
        <v>0.805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«تسليم المحطات في الموعد المخطط» ÷ الإجمالي المستهدف لنفس البند × 100٪</t>
        </is>
      </c>
      <c r="Q5" s="74" t="inlineStr">
        <is>
          <t>نظام إدارة المشاريع (PMO/Primavera)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التصاميم وأوامر التغيير</t>
        </is>
      </c>
      <c r="C6" s="21" t="inlineStr">
        <is>
          <t>متوسط مدة إغلاق قائمة الملاحظات النهائية</t>
        </is>
      </c>
      <c r="D6" s="49" t="inlineStr">
        <is>
          <t>يوم</t>
        </is>
      </c>
      <c r="E6" s="49" t="inlineStr">
        <is>
          <t>↓</t>
        </is>
      </c>
      <c r="F6" s="15" t="inlineStr">
        <is>
          <t>🟠 مهم</t>
        </is>
      </c>
      <c r="G6" s="59" t="n">
        <v>0.25</v>
      </c>
      <c r="H6" s="62" t="n">
        <v>30</v>
      </c>
      <c r="I6" s="22" t="inlineStr">
        <is>
          <t>≤ 30 يوم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3" t="n">
        <v>32.4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مجموع أيام «مدة إغلاق قائمة الملاحظات النهائية» ÷ عدد الحالات</t>
        </is>
      </c>
      <c r="Q6" s="74" t="inlineStr">
        <is>
          <t>نظام إدارة المشاريع (PMO/Primavera)</t>
        </is>
      </c>
      <c r="R6" s="15" t="inlineStr">
        <is>
          <t>شهري</t>
        </is>
      </c>
    </row>
  </sheetData>
  <autoFilter ref="A3:R6"/>
  <mergeCells count="2">
    <mergeCell ref="A2:R2"/>
    <mergeCell ref="A1:R1"/>
  </mergeCells>
  <dataValidations count="1">
    <dataValidation sqref="M4 M5 M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خدمة العميل والتوفّر</t>
        </is>
      </c>
      <c r="C4" s="21" t="inlineStr">
        <is>
          <t>عدد انقطاعات الوقود في المحطات</t>
        </is>
      </c>
      <c r="D4" s="49" t="inlineStr">
        <is>
          <t>انقطاع</t>
        </is>
      </c>
      <c r="E4" s="49" t="inlineStr">
        <is>
          <t>↓</t>
        </is>
      </c>
      <c r="F4" s="15" t="inlineStr">
        <is>
          <t>🔴 رئيسي</t>
        </is>
      </c>
      <c r="G4" s="59" t="n">
        <v>0.3</v>
      </c>
      <c r="H4" s="55" t="n">
        <v>0</v>
      </c>
      <c r="I4" s="22" t="inlineStr">
        <is>
          <t>صفر انقطاع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6" t="n"/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إجمالي عدد «انقطاعات الوقود في المحطات» المُسجّلة خلال الفترة</t>
        </is>
      </c>
      <c r="Q4" s="74" t="inlineStr">
        <is>
          <t>نظام سلاسل الإمداد والمخزون (WMS/ERP)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المشتريات</t>
        </is>
      </c>
      <c r="C5" s="21" t="inlineStr">
        <is>
          <t>نسبة إنجاز أوامر الشراء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0.2</v>
      </c>
      <c r="H5" s="59" t="n">
        <v>0.95</v>
      </c>
      <c r="I5" s="22" t="inlineStr">
        <is>
          <t>≥ 95%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0.8100000000000001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«إنجاز أوامر الشراء» ÷ الإجمالي المستهدف لنفس البند × 100٪</t>
        </is>
      </c>
      <c r="Q5" s="74" t="inlineStr">
        <is>
          <t>نظام سلاسل الإمداد والمخزون (WMS/ERP)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الموردون</t>
        </is>
      </c>
      <c r="C6" s="21" t="inlineStr">
        <is>
          <t>مستوى رضا الموردين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0.3</v>
      </c>
      <c r="H6" s="59" t="n">
        <v>0.85</v>
      </c>
      <c r="I6" s="22" t="inlineStr">
        <is>
          <t>≥ 85%</t>
        </is>
      </c>
      <c r="J6" s="73" t="inlineStr">
        <is>
          <t>الاستدامة</t>
        </is>
      </c>
      <c r="K6" s="11" t="inlineStr">
        <is>
          <t>تعزيز تجربة العملاء</t>
        </is>
      </c>
      <c r="L6" s="15" t="inlineStr">
        <is>
          <t>العملاء</t>
        </is>
      </c>
      <c r="M6" s="60" t="n">
        <v>0.663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القيمة المتحقّقة من «مستوى رضا الموردين» ÷ المستهدف × 100٪</t>
        </is>
      </c>
      <c r="Q6" s="74" t="inlineStr">
        <is>
          <t>نظام سلاسل الإمداد والمخزون (WMS/ERP)</t>
        </is>
      </c>
      <c r="R6" s="15" t="inlineStr">
        <is>
          <t>ربعي</t>
        </is>
      </c>
    </row>
    <row r="7" ht="26" customHeight="1">
      <c r="A7" s="20" t="n">
        <v>4</v>
      </c>
      <c r="B7" s="21" t="inlineStr">
        <is>
          <t>النقل والأسطول</t>
        </is>
      </c>
      <c r="C7" s="21" t="inlineStr">
        <is>
          <t>نسبة نقليات أسطول درب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🟠 مهم</t>
        </is>
      </c>
      <c r="G7" s="59" t="n">
        <v>0.2</v>
      </c>
      <c r="H7" s="59" t="n">
        <v>0.3</v>
      </c>
      <c r="I7" s="22" t="inlineStr">
        <is>
          <t>≥ 30%</t>
        </is>
      </c>
      <c r="J7" s="73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0" t="n">
        <v>0.293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قيمة/عدد المتحقّق من «نقليات أسطول درب» ÷ الإجمالي المستهدف لنفس البند × 100٪</t>
        </is>
      </c>
      <c r="Q7" s="74" t="inlineStr">
        <is>
          <t>نظام سلاسل الإمداد والمخزون (WMS/ERP)</t>
        </is>
      </c>
      <c r="R7" s="15" t="inlineStr">
        <is>
          <t>شهري</t>
        </is>
      </c>
    </row>
  </sheetData>
  <autoFilter ref="A3:R7"/>
  <mergeCells count="2">
    <mergeCell ref="A2:R2"/>
    <mergeCell ref="A1:R1"/>
  </mergeCells>
  <dataValidations count="1">
    <dataValidation sqref="M4 M5 M6 M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جاهزية الأصول</t>
        </is>
      </c>
      <c r="C4" s="21" t="inlineStr">
        <is>
          <t>نسبة تنفيذ الصيانة الوقائية في موعدها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0.5</v>
      </c>
      <c r="H4" s="59" t="n">
        <v>0.95</v>
      </c>
      <c r="I4" s="22" t="inlineStr">
        <is>
          <t>≥ 95%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0.973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«تنفيذ الصيانة الوقائية في موعدها» ÷ الإجمالي المستهدف لنفس البند × 100٪</t>
        </is>
      </c>
      <c r="Q4" s="74" t="inlineStr">
        <is>
          <t>نظام إدارة الصيانة (CMMS) وأنظمة الأتمتة (SCADA)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الاستجابة والإصلاح</t>
        </is>
      </c>
      <c r="C5" s="21" t="inlineStr">
        <is>
          <t>معدل تكرار الأعطال</t>
        </is>
      </c>
      <c r="D5" s="49" t="inlineStr">
        <is>
          <t>%</t>
        </is>
      </c>
      <c r="E5" s="49" t="inlineStr">
        <is>
          <t>↓</t>
        </is>
      </c>
      <c r="F5" s="15" t="inlineStr">
        <is>
          <t>🟠 مهم</t>
        </is>
      </c>
      <c r="G5" s="59" t="n">
        <v>0.5</v>
      </c>
      <c r="H5" s="59" t="n">
        <v>0.05</v>
      </c>
      <c r="I5" s="22" t="inlineStr">
        <is>
          <t>≤ 5%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0.045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عدد الأعطال المتكررة لنفس الأصل وبنفس السبب ÷ إجمالي عدد الأعطال × 100</t>
        </is>
      </c>
      <c r="Q5" s="74" t="inlineStr">
        <is>
          <t>نظام إدارة الصيانة (CMMS) وأنظمة الأتمتة (SCADA)</t>
        </is>
      </c>
      <c r="R5" s="15" t="inlineStr">
        <is>
          <t>شهري</t>
        </is>
      </c>
    </row>
  </sheetData>
  <autoFilter ref="A3:R5"/>
  <mergeCells count="2">
    <mergeCell ref="A2:R2"/>
    <mergeCell ref="A1:R1"/>
  </mergeCells>
  <dataValidations count="1">
    <dataValidation sqref="M4 M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R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توفّر واستقرار الأنظمة</t>
        </is>
      </c>
      <c r="C4" s="21" t="inlineStr">
        <is>
          <t>نسبة استقرار التشغيل التقني للمحطات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0.5</v>
      </c>
      <c r="H4" s="59" t="n">
        <v>0.99</v>
      </c>
      <c r="I4" s="22" t="inlineStr">
        <is>
          <t>≥ 99%</t>
        </is>
      </c>
      <c r="J4" s="73" t="inlineStr">
        <is>
          <t>الابتكار</t>
        </is>
      </c>
      <c r="K4" s="11" t="inlineStr">
        <is>
          <t>التحول التقني</t>
        </is>
      </c>
      <c r="L4" s="15" t="inlineStr">
        <is>
          <t>العمليات الداخلية</t>
        </is>
      </c>
      <c r="M4" s="60" t="n">
        <v>0.8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4" s="74" t="inlineStr">
        <is>
          <t>أنظمة تقنية المعلومات (ERP/ITSM/SIEM)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المشاريع التقنية</t>
        </is>
      </c>
      <c r="C5" s="21" t="inlineStr">
        <is>
          <t>نسبة إنجاز مشاريع التحول الرقمي والمشاريع التقنية حسب الخطة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0.5</v>
      </c>
      <c r="H5" s="59" t="n">
        <v>0.9</v>
      </c>
      <c r="I5" s="22" t="inlineStr">
        <is>
          <t>≥ 90%</t>
        </is>
      </c>
      <c r="J5" s="73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0" t="n">
        <v>0.89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مدى إنجاز محفظة مشاريع التحول الرقمي والمشاريع التقنية وفق الخطة الزمنية والأولويات المعتمدة.</t>
        </is>
      </c>
      <c r="Q5" s="74" t="inlineStr">
        <is>
          <t>أنظمة تقنية المعلومات (ERP/ITSM/SIEM)</t>
        </is>
      </c>
      <c r="R5" s="15" t="inlineStr">
        <is>
          <t>شهري</t>
        </is>
      </c>
    </row>
  </sheetData>
  <autoFilter ref="A3:R5"/>
  <mergeCells count="2">
    <mergeCell ref="A2:R2"/>
    <mergeCell ref="A1:R1"/>
  </mergeCells>
  <dataValidations count="1">
    <dataValidation sqref="M4 M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الامتثال والالتزام</t>
        </is>
      </c>
      <c r="C4" s="21" t="inlineStr">
        <is>
          <t>نسبة الالتزام بنظام العمل واللوائح وخطة القوى العاملة المعتمدة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🟠 مهم</t>
        </is>
      </c>
      <c r="G4" s="59" t="n">
        <v>0.28</v>
      </c>
      <c r="H4" s="59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العمليات الداخلية</t>
        </is>
      </c>
      <c r="M4" s="60" t="n">
        <v>1.016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4" s="74" t="inlineStr">
        <is>
          <t>نظام الموارد البشرية (HRMS)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الاستقرار والتطوير</t>
        </is>
      </c>
      <c r="C5" s="21" t="inlineStr">
        <is>
          <t>نسبة تنفيذ برامج التدريب والتأهيل المعتمدة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0.15</v>
      </c>
      <c r="H5" s="59" t="n">
        <v>0.9</v>
      </c>
      <c r="I5" s="22" t="inlineStr">
        <is>
          <t>≥ 90%</t>
        </is>
      </c>
      <c r="J5" s="73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التعلّم والنمو</t>
        </is>
      </c>
      <c r="M5" s="60" t="n">
        <v>0.6899999999999999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5" s="74" t="inlineStr">
        <is>
          <t>نظام الموارد البشرية (HRMS)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الاستقرار والتطوير</t>
        </is>
      </c>
      <c r="C6" s="21" t="inlineStr">
        <is>
          <t>معدل دوران الموظفين</t>
        </is>
      </c>
      <c r="D6" s="49" t="inlineStr">
        <is>
          <t>%</t>
        </is>
      </c>
      <c r="E6" s="49" t="inlineStr">
        <is>
          <t>↓</t>
        </is>
      </c>
      <c r="F6" s="15" t="inlineStr">
        <is>
          <t>🟠 مهم</t>
        </is>
      </c>
      <c r="G6" s="59" t="n">
        <v>0.15</v>
      </c>
      <c r="H6" s="59" t="n">
        <v>0.1</v>
      </c>
      <c r="I6" s="22" t="inlineStr">
        <is>
          <t>≤ 10%</t>
        </is>
      </c>
      <c r="J6" s="73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التعلّم والنمو</t>
        </is>
      </c>
      <c r="M6" s="60" t="n">
        <v>0.097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6" s="74" t="inlineStr">
        <is>
          <t>نظام الموارد البشرية (HRMS)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الاستقطاب</t>
        </is>
      </c>
      <c r="C7" s="21" t="inlineStr">
        <is>
          <t>متوسط مدة إغلاق الشواغر المعتمدة</t>
        </is>
      </c>
      <c r="D7" s="49" t="inlineStr">
        <is>
          <t>يوم</t>
        </is>
      </c>
      <c r="E7" s="49" t="inlineStr">
        <is>
          <t>↓</t>
        </is>
      </c>
      <c r="F7" s="15" t="inlineStr">
        <is>
          <t>🟠 مهم</t>
        </is>
      </c>
      <c r="G7" s="59" t="n">
        <v>0.21</v>
      </c>
      <c r="H7" s="62" t="n">
        <v>30</v>
      </c>
      <c r="I7" s="22" t="inlineStr">
        <is>
          <t>≤ 30 يوم</t>
        </is>
      </c>
      <c r="J7" s="73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العمليات الداخلية</t>
        </is>
      </c>
      <c r="M7" s="63" t="n">
        <v>33.5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7" s="74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التكلفة والرواتب</t>
        </is>
      </c>
      <c r="C8" s="21" t="inlineStr">
        <is>
          <t>نسبة دقة الرواتب والمستحقات الشهرية</t>
        </is>
      </c>
      <c r="D8" s="49" t="inlineStr">
        <is>
          <t>%</t>
        </is>
      </c>
      <c r="E8" s="49" t="inlineStr">
        <is>
          <t>↑</t>
        </is>
      </c>
      <c r="F8" s="15" t="inlineStr">
        <is>
          <t>🔴 رئيسي</t>
        </is>
      </c>
      <c r="G8" s="59" t="n">
        <v>0.21</v>
      </c>
      <c r="H8" s="59" t="n">
        <v>0.995</v>
      </c>
      <c r="I8" s="22" t="inlineStr">
        <is>
          <t>≥ 99.5%</t>
        </is>
      </c>
      <c r="J8" s="73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مالي</t>
        </is>
      </c>
      <c r="M8" s="60" t="n">
        <v>0.888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8" s="74" t="inlineStr">
        <is>
          <t>نظام الرواتب (Payroll) / حماية الأجور</t>
        </is>
      </c>
      <c r="R8" s="15" t="inlineStr">
        <is>
          <t>شهري</t>
        </is>
      </c>
    </row>
  </sheetData>
  <autoFilter ref="A3:R8"/>
  <mergeCells count="2">
    <mergeCell ref="A2:R2"/>
    <mergeCell ref="A1:R1"/>
  </mergeCells>
  <dataValidations count="1">
    <dataValidation sqref="M4 M5 M6 M7 M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الإدارة العامة</t>
        </is>
      </c>
      <c r="C4" s="21" t="inlineStr">
        <is>
          <t>الوصول الكلي (Total Reach)</t>
        </is>
      </c>
      <c r="D4" s="49" t="inlineStr">
        <is>
          <t>وصول</t>
        </is>
      </c>
      <c r="E4" s="49" t="inlineStr">
        <is>
          <t>↑</t>
        </is>
      </c>
      <c r="F4" s="15" t="inlineStr">
        <is>
          <t>🔴 رئيسي</t>
        </is>
      </c>
      <c r="G4" s="59" t="n">
        <v>0.25</v>
      </c>
      <c r="H4" s="55" t="n">
        <v>50000000</v>
      </c>
      <c r="I4" s="22" t="inlineStr">
        <is>
          <t>50م وصول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6" t="n">
        <v>5000000</v>
      </c>
      <c r="N4" s="10">
        <f>IF($H4="","",IF($M4="","",MIN(1,IF($H4=0,IF($M4&lt;=0,1,0),IF($E4="↓",IFERROR($H4/$M4,0),IFERROR($M4/$H4,0))))))</f>
        <v/>
      </c>
      <c r="O4" s="20">
        <f>IF($N4="","⏳ بانتظار هدف",IF($N4&gt;=0.9,"✅ محقق",IF($N4&gt;=0.75,"🟡 قريب","🔴 تحت الهدف")))</f>
        <v/>
      </c>
      <c r="P4" s="74" t="inlineStr">
        <is>
          <t>إجمالي عدد «الوصول الكلي» المُسجّل خلال الفترة</t>
        </is>
      </c>
      <c r="Q4" s="74" t="inlineStr">
        <is>
          <t>أنظمة التسويق الرقمي / تانكي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خدمة العملاء والدعم</t>
        </is>
      </c>
      <c r="C5" s="21" t="inlineStr">
        <is>
          <t>معدل خفض الشكاوى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0.17</v>
      </c>
      <c r="H5" s="59" t="n">
        <v>0.3</v>
      </c>
      <c r="I5" s="22" t="inlineStr">
        <is>
          <t>≥ 30%</t>
        </is>
      </c>
      <c r="J5" s="73" t="inlineStr">
        <is>
          <t>الاستدامة</t>
        </is>
      </c>
      <c r="K5" s="11" t="inlineStr">
        <is>
          <t>تعزيز تجربة العملاء</t>
        </is>
      </c>
      <c r="L5" s="15" t="inlineStr">
        <is>
          <t>العملاء</t>
        </is>
      </c>
      <c r="M5" s="60" t="n">
        <v>0.21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عدد حالات «خفض الشكاوى» خلال الفترة ÷ إجمالي الحالات القابلة للقياس × 100٪</t>
        </is>
      </c>
      <c r="Q5" s="74" t="inlineStr">
        <is>
          <t>سجلات الإدارة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الدعاية والإعلان</t>
        </is>
      </c>
      <c r="C6" s="21" t="inlineStr">
        <is>
          <t>نسبة التزام الهوية البصرية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0.25</v>
      </c>
      <c r="H6" s="59" t="n">
        <v>1</v>
      </c>
      <c r="I6" s="22" t="inlineStr">
        <is>
          <t>100%</t>
        </is>
      </c>
      <c r="J6" s="73" t="inlineStr">
        <is>
          <t>الابتكار</t>
        </is>
      </c>
      <c r="K6" s="11" t="inlineStr">
        <is>
          <t>تطوير التصاميم والهوية</t>
        </is>
      </c>
      <c r="L6" s="15" t="inlineStr">
        <is>
          <t>التعلّم والنمو</t>
        </is>
      </c>
      <c r="M6" s="60" t="n">
        <v>0.1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قيمة/عدد المتحقّق من «التزام الهوية البصرية» ÷ الإجمالي المستهدف لنفس البند × 100٪</t>
        </is>
      </c>
      <c r="Q6" s="74" t="inlineStr">
        <is>
          <t>سجلات الإدارة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تطبيق تانكي</t>
        </is>
      </c>
      <c r="C7" s="21" t="inlineStr">
        <is>
          <t>عدد تنزيلات التطبيق</t>
        </is>
      </c>
      <c r="D7" s="49" t="inlineStr">
        <is>
          <t>تنزيل</t>
        </is>
      </c>
      <c r="E7" s="49" t="inlineStr">
        <is>
          <t>↑</t>
        </is>
      </c>
      <c r="F7" s="15" t="inlineStr">
        <is>
          <t>🟠 مهم</t>
        </is>
      </c>
      <c r="G7" s="59" t="n">
        <v>0.17</v>
      </c>
      <c r="H7" s="55" t="n">
        <v>100000</v>
      </c>
      <c r="I7" s="22" t="inlineStr">
        <is>
          <t>≥ 100 ألف تنزيل</t>
        </is>
      </c>
      <c r="J7" s="73" t="inlineStr">
        <is>
          <t>الابتكار</t>
        </is>
      </c>
      <c r="K7" s="11" t="inlineStr">
        <is>
          <t>تطبيق «تانكي»</t>
        </is>
      </c>
      <c r="L7" s="15" t="inlineStr">
        <is>
          <t>التعلّم والنمو</t>
        </is>
      </c>
      <c r="M7" s="56" t="n">
        <v>78204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إجمالي عدد «تنزيلات التطبيق» المُسجّلة خلال الفترة</t>
        </is>
      </c>
      <c r="Q7" s="74" t="inlineStr">
        <is>
          <t>أنظمة التسويق الرقمي / تانكي</t>
        </is>
      </c>
      <c r="R7" s="15" t="inlineStr">
        <is>
          <t>شهري</t>
        </is>
      </c>
    </row>
    <row r="8" ht="26" customHeight="1">
      <c r="A8" s="20" t="n">
        <v>5</v>
      </c>
      <c r="B8" s="21" t="inlineStr">
        <is>
          <t>تطبيق تانكي</t>
        </is>
      </c>
      <c r="C8" s="21" t="inlineStr">
        <is>
          <t>عدد شراكات التطبيق</t>
        </is>
      </c>
      <c r="D8" s="49" t="inlineStr">
        <is>
          <t>شراكة</t>
        </is>
      </c>
      <c r="E8" s="49" t="inlineStr">
        <is>
          <t>↑</t>
        </is>
      </c>
      <c r="F8" s="15" t="inlineStr">
        <is>
          <t>🟠 مهم</t>
        </is>
      </c>
      <c r="G8" s="59" t="n">
        <v>0.16</v>
      </c>
      <c r="H8" s="55" t="n">
        <v>10</v>
      </c>
      <c r="I8" s="22" t="inlineStr">
        <is>
          <t>≥ 10 شراكات</t>
        </is>
      </c>
      <c r="J8" s="73" t="inlineStr">
        <is>
          <t>الابتكار</t>
        </is>
      </c>
      <c r="K8" s="11" t="inlineStr">
        <is>
          <t>تطبيق «تانكي»</t>
        </is>
      </c>
      <c r="L8" s="15" t="inlineStr">
        <is>
          <t>العمليات الداخلية</t>
        </is>
      </c>
      <c r="M8" s="56" t="n">
        <v>7.8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إجمالي عدد «شراكات التطبيق» المُسجّلة خلال الفترة</t>
        </is>
      </c>
      <c r="Q8" s="74" t="inlineStr">
        <is>
          <t>أنظمة التسويق الرقمي / تانكي</t>
        </is>
      </c>
      <c r="R8" s="15" t="inlineStr">
        <is>
          <t>شهري</t>
        </is>
      </c>
    </row>
  </sheetData>
  <autoFilter ref="A3:R8"/>
  <mergeCells count="2">
    <mergeCell ref="A2:R2"/>
    <mergeCell ref="A1:R1"/>
  </mergeCells>
  <dataValidations count="1">
    <dataValidation sqref="M4 M5 M6 M7 M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75" t="n"/>
      <c r="C4" s="75" t="n"/>
      <c r="D4" s="51" t="n"/>
      <c r="E4" s="51" t="n"/>
      <c r="F4" s="51" t="n"/>
      <c r="G4" s="60" t="n"/>
      <c r="H4" s="51" t="n"/>
      <c r="I4" s="51" t="n"/>
      <c r="J4" s="51" t="n"/>
      <c r="K4" s="51" t="n"/>
      <c r="L4" s="51" t="n"/>
      <c r="M4" s="51" t="n"/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5" t="n"/>
      <c r="Q4" s="75" t="n"/>
      <c r="R4" s="51" t="n"/>
    </row>
    <row r="5" ht="26" customHeight="1">
      <c r="A5" s="20" t="n">
        <v>2</v>
      </c>
      <c r="B5" s="75" t="n"/>
      <c r="C5" s="75" t="n"/>
      <c r="D5" s="51" t="n"/>
      <c r="E5" s="51" t="n"/>
      <c r="F5" s="51" t="n"/>
      <c r="G5" s="60" t="n"/>
      <c r="H5" s="51" t="n"/>
      <c r="I5" s="51" t="n"/>
      <c r="J5" s="51" t="n"/>
      <c r="K5" s="51" t="n"/>
      <c r="L5" s="51" t="n"/>
      <c r="M5" s="51" t="n"/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5" t="n"/>
      <c r="Q5" s="75" t="n"/>
      <c r="R5" s="51" t="n"/>
    </row>
    <row r="6" ht="26" customHeight="1">
      <c r="A6" s="20" t="n">
        <v>3</v>
      </c>
      <c r="B6" s="75" t="n"/>
      <c r="C6" s="75" t="n"/>
      <c r="D6" s="51" t="n"/>
      <c r="E6" s="51" t="n"/>
      <c r="F6" s="51" t="n"/>
      <c r="G6" s="60" t="n"/>
      <c r="H6" s="51" t="n"/>
      <c r="I6" s="51" t="n"/>
      <c r="J6" s="51" t="n"/>
      <c r="K6" s="51" t="n"/>
      <c r="L6" s="51" t="n"/>
      <c r="M6" s="5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5" t="n"/>
      <c r="Q6" s="75" t="n"/>
      <c r="R6" s="51" t="n"/>
    </row>
    <row r="7" ht="26" customHeight="1">
      <c r="A7" s="20" t="n">
        <v>4</v>
      </c>
      <c r="B7" s="75" t="n"/>
      <c r="C7" s="75" t="n"/>
      <c r="D7" s="51" t="n"/>
      <c r="E7" s="51" t="n"/>
      <c r="F7" s="51" t="n"/>
      <c r="G7" s="60" t="n"/>
      <c r="H7" s="51" t="n"/>
      <c r="I7" s="51" t="n"/>
      <c r="J7" s="51" t="n"/>
      <c r="K7" s="51" t="n"/>
      <c r="L7" s="51" t="n"/>
      <c r="M7" s="51" t="n"/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5" t="n"/>
      <c r="Q7" s="75" t="n"/>
      <c r="R7" s="51" t="n"/>
    </row>
    <row r="8" ht="26" customHeight="1">
      <c r="A8" s="20" t="n">
        <v>5</v>
      </c>
      <c r="B8" s="75" t="n"/>
      <c r="C8" s="75" t="n"/>
      <c r="D8" s="51" t="n"/>
      <c r="E8" s="51" t="n"/>
      <c r="F8" s="51" t="n"/>
      <c r="G8" s="60" t="n"/>
      <c r="H8" s="51" t="n"/>
      <c r="I8" s="51" t="n"/>
      <c r="J8" s="51" t="n"/>
      <c r="K8" s="51" t="n"/>
      <c r="L8" s="51" t="n"/>
      <c r="M8" s="51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5" t="n"/>
      <c r="Q8" s="75" t="n"/>
      <c r="R8" s="51" t="n"/>
    </row>
    <row r="9" ht="26" customHeight="1">
      <c r="A9" s="20" t="n">
        <v>6</v>
      </c>
      <c r="B9" s="75" t="n"/>
      <c r="C9" s="75" t="n"/>
      <c r="D9" s="51" t="n"/>
      <c r="E9" s="51" t="n"/>
      <c r="F9" s="51" t="n"/>
      <c r="G9" s="60" t="n"/>
      <c r="H9" s="51" t="n"/>
      <c r="I9" s="51" t="n"/>
      <c r="J9" s="51" t="n"/>
      <c r="K9" s="51" t="n"/>
      <c r="L9" s="51" t="n"/>
      <c r="M9" s="51" t="n"/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5" t="n"/>
      <c r="Q9" s="75" t="n"/>
      <c r="R9" s="51" t="n"/>
    </row>
    <row r="10" ht="26" customHeight="1">
      <c r="A10" s="20" t="n">
        <v>7</v>
      </c>
      <c r="B10" s="75" t="n"/>
      <c r="C10" s="75" t="n"/>
      <c r="D10" s="51" t="n"/>
      <c r="E10" s="51" t="n"/>
      <c r="F10" s="51" t="n"/>
      <c r="G10" s="60" t="n"/>
      <c r="H10" s="51" t="n"/>
      <c r="I10" s="51" t="n"/>
      <c r="J10" s="51" t="n"/>
      <c r="K10" s="51" t="n"/>
      <c r="L10" s="51" t="n"/>
      <c r="M10" s="51" t="n"/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5" t="n"/>
      <c r="Q10" s="75" t="n"/>
      <c r="R10" s="51" t="n"/>
    </row>
    <row r="11" ht="26" customHeight="1">
      <c r="A11" s="20" t="n">
        <v>8</v>
      </c>
      <c r="B11" s="75" t="n"/>
      <c r="C11" s="75" t="n"/>
      <c r="D11" s="51" t="n"/>
      <c r="E11" s="51" t="n"/>
      <c r="F11" s="51" t="n"/>
      <c r="G11" s="60" t="n"/>
      <c r="H11" s="51" t="n"/>
      <c r="I11" s="51" t="n"/>
      <c r="J11" s="51" t="n"/>
      <c r="K11" s="51" t="n"/>
      <c r="L11" s="51" t="n"/>
      <c r="M11" s="51" t="n"/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5" t="n"/>
      <c r="Q11" s="75" t="n"/>
      <c r="R11" s="51" t="n"/>
    </row>
    <row r="12" ht="26" customHeight="1">
      <c r="A12" s="20" t="n">
        <v>9</v>
      </c>
      <c r="B12" s="75" t="n"/>
      <c r="C12" s="75" t="n"/>
      <c r="D12" s="51" t="n"/>
      <c r="E12" s="51" t="n"/>
      <c r="F12" s="51" t="n"/>
      <c r="G12" s="60" t="n"/>
      <c r="H12" s="51" t="n"/>
      <c r="I12" s="51" t="n"/>
      <c r="J12" s="51" t="n"/>
      <c r="K12" s="51" t="n"/>
      <c r="L12" s="51" t="n"/>
      <c r="M12" s="51" t="n"/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5" t="n"/>
      <c r="Q12" s="75" t="n"/>
      <c r="R12" s="51" t="n"/>
    </row>
    <row r="13" ht="26" customHeight="1">
      <c r="A13" s="20" t="n">
        <v>10</v>
      </c>
      <c r="B13" s="75" t="n"/>
      <c r="C13" s="75" t="n"/>
      <c r="D13" s="51" t="n"/>
      <c r="E13" s="51" t="n"/>
      <c r="F13" s="51" t="n"/>
      <c r="G13" s="60" t="n"/>
      <c r="H13" s="51" t="n"/>
      <c r="I13" s="51" t="n"/>
      <c r="J13" s="51" t="n"/>
      <c r="K13" s="51" t="n"/>
      <c r="L13" s="51" t="n"/>
      <c r="M13" s="51" t="n"/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5" t="n"/>
      <c r="Q13" s="75" t="n"/>
      <c r="R13" s="51" t="n"/>
    </row>
    <row r="14" ht="26" customHeight="1">
      <c r="A14" s="20" t="n">
        <v>11</v>
      </c>
      <c r="B14" s="75" t="n"/>
      <c r="C14" s="75" t="n"/>
      <c r="D14" s="51" t="n"/>
      <c r="E14" s="51" t="n"/>
      <c r="F14" s="51" t="n"/>
      <c r="G14" s="60" t="n"/>
      <c r="H14" s="51" t="n"/>
      <c r="I14" s="51" t="n"/>
      <c r="J14" s="51" t="n"/>
      <c r="K14" s="51" t="n"/>
      <c r="L14" s="51" t="n"/>
      <c r="M14" s="51" t="n"/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5" t="n"/>
      <c r="Q14" s="75" t="n"/>
      <c r="R14" s="51" t="n"/>
    </row>
    <row r="15" ht="26" customHeight="1">
      <c r="A15" s="20" t="n">
        <v>12</v>
      </c>
      <c r="B15" s="75" t="n"/>
      <c r="C15" s="75" t="n"/>
      <c r="D15" s="51" t="n"/>
      <c r="E15" s="51" t="n"/>
      <c r="F15" s="51" t="n"/>
      <c r="G15" s="60" t="n"/>
      <c r="H15" s="51" t="n"/>
      <c r="I15" s="51" t="n"/>
      <c r="J15" s="51" t="n"/>
      <c r="K15" s="51" t="n"/>
      <c r="L15" s="51" t="n"/>
      <c r="M15" s="51" t="n"/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5" t="n"/>
      <c r="Q15" s="75" t="n"/>
      <c r="R15" s="51" t="n"/>
    </row>
    <row r="16" ht="26" customHeight="1">
      <c r="A16" s="20" t="n">
        <v>13</v>
      </c>
      <c r="B16" s="75" t="n"/>
      <c r="C16" s="75" t="n"/>
      <c r="D16" s="51" t="n"/>
      <c r="E16" s="51" t="n"/>
      <c r="F16" s="51" t="n"/>
      <c r="G16" s="60" t="n"/>
      <c r="H16" s="51" t="n"/>
      <c r="I16" s="51" t="n"/>
      <c r="J16" s="51" t="n"/>
      <c r="K16" s="51" t="n"/>
      <c r="L16" s="51" t="n"/>
      <c r="M16" s="51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75" t="n"/>
      <c r="Q16" s="75" t="n"/>
      <c r="R16" s="51" t="n"/>
    </row>
    <row r="17" ht="26" customHeight="1">
      <c r="A17" s="20" t="n">
        <v>14</v>
      </c>
      <c r="B17" s="75" t="n"/>
      <c r="C17" s="75" t="n"/>
      <c r="D17" s="51" t="n"/>
      <c r="E17" s="51" t="n"/>
      <c r="F17" s="51" t="n"/>
      <c r="G17" s="60" t="n"/>
      <c r="H17" s="51" t="n"/>
      <c r="I17" s="51" t="n"/>
      <c r="J17" s="51" t="n"/>
      <c r="K17" s="51" t="n"/>
      <c r="L17" s="51" t="n"/>
      <c r="M17" s="51" t="n"/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5" t="n"/>
      <c r="Q17" s="75" t="n"/>
      <c r="R17" s="51" t="n"/>
    </row>
    <row r="18" ht="26" customHeight="1">
      <c r="A18" s="20" t="n">
        <v>15</v>
      </c>
      <c r="B18" s="75" t="n"/>
      <c r="C18" s="75" t="n"/>
      <c r="D18" s="51" t="n"/>
      <c r="E18" s="51" t="n"/>
      <c r="F18" s="51" t="n"/>
      <c r="G18" s="60" t="n"/>
      <c r="H18" s="51" t="n"/>
      <c r="I18" s="51" t="n"/>
      <c r="J18" s="51" t="n"/>
      <c r="K18" s="51" t="n"/>
      <c r="L18" s="51" t="n"/>
      <c r="M18" s="51" t="n"/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5" t="n"/>
      <c r="Q18" s="75" t="n"/>
      <c r="R18" s="51" t="n"/>
    </row>
  </sheetData>
  <autoFilter ref="A3:R18"/>
  <mergeCells count="2">
    <mergeCell ref="A2:R2"/>
    <mergeCell ref="A1:R1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R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أعمال العقود</t>
        </is>
      </c>
      <c r="C4" s="21" t="inlineStr">
        <is>
          <t>نسبة العقود المُراجَعة قانونياً قبل التوقيع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0.38</v>
      </c>
      <c r="H4" s="59" t="n">
        <v>1</v>
      </c>
      <c r="I4" s="22" t="inlineStr">
        <is>
          <t>100%</t>
        </is>
      </c>
      <c r="J4" s="73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0" t="n">
        <v>1.013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قيمة/عدد المتحقّق من «العقود المُراجَعة قانونياً قبل التوقيع» ÷ الإجمالي المستهدف لنفس البند × 100٪</t>
        </is>
      </c>
      <c r="Q4" s="74" t="inlineStr">
        <is>
          <t>نظام إدارة العقود (CRM)</t>
        </is>
      </c>
      <c r="R4" s="15" t="inlineStr">
        <is>
          <t>شهري</t>
        </is>
      </c>
    </row>
    <row r="5" ht="26" customHeight="1">
      <c r="A5" s="20" t="n">
        <v>2</v>
      </c>
      <c r="B5" s="21" t="inlineStr">
        <is>
          <t>أعمال القضايا</t>
        </is>
      </c>
      <c r="C5" s="21" t="inlineStr">
        <is>
          <t>نسبة القضايا المُغلقة لصالح الشركة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0.25</v>
      </c>
      <c r="H5" s="59" t="n">
        <v>0.8</v>
      </c>
      <c r="I5" s="22" t="inlineStr">
        <is>
          <t>≥ 80%</t>
        </is>
      </c>
      <c r="J5" s="73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0" t="n">
        <v>0.664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قيمة/عدد المتحقّق من «القضايا المُغلقة لصالح الشركة» ÷ الإجمالي المستهدف لنفس البند × 100٪</t>
        </is>
      </c>
      <c r="Q5" s="74" t="inlineStr">
        <is>
          <t>نظام إدارة القضايا والتحقيقات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الاستشارات القانونية</t>
        </is>
      </c>
      <c r="C6" s="21" t="inlineStr">
        <is>
          <t>مستوى رضا الإدارات عن الدعم القانوني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🔴 رئيسي</t>
        </is>
      </c>
      <c r="G6" s="59" t="n">
        <v>0.37</v>
      </c>
      <c r="H6" s="59" t="n">
        <v>0.85</v>
      </c>
      <c r="I6" s="22" t="inlineStr">
        <is>
          <t>≥ 85%</t>
        </is>
      </c>
      <c r="J6" s="73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العملاء</t>
        </is>
      </c>
      <c r="M6" s="60" t="n">
        <v>0.674</v>
      </c>
      <c r="N6" s="10">
        <f>IF($H6="","",IF($M6="","",MIN(1,IF($H6=0,IF($M6&lt;=0,1,0),IF($E6="↓",IFERROR($H6/$M6,0),IFERROR($M6/$H6,0))))))</f>
        <v/>
      </c>
      <c r="O6" s="20">
        <f>IF($N6="","⏳ بانتظار هدف",IF($N6&gt;=0.9,"✅ محقق",IF($N6&gt;=0.75,"🟡 قريب","🔴 تحت الهدف")))</f>
        <v/>
      </c>
      <c r="P6" s="74" t="inlineStr">
        <is>
          <t>القيمة المتحقّقة من «مستوى رضا الإدارات عن الدعم القانوني» ÷ المستهدف × 100٪</t>
        </is>
      </c>
      <c r="Q6" s="74" t="inlineStr">
        <is>
          <t>استبيان دوري</t>
        </is>
      </c>
      <c r="R6" s="15" t="inlineStr">
        <is>
          <t>ربعي</t>
        </is>
      </c>
    </row>
  </sheetData>
  <autoFilter ref="A3:R6"/>
  <mergeCells count="2">
    <mergeCell ref="A2:R2"/>
    <mergeCell ref="A1:R1"/>
  </mergeCells>
  <dataValidations count="1">
    <dataValidation sqref="M4 M5 M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2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6" customHeight="1">
      <c r="A4" s="20" t="n">
        <v>1</v>
      </c>
      <c r="B4" s="21" t="inlineStr">
        <is>
          <t>المالية الاستراتيجية</t>
        </is>
      </c>
      <c r="C4" s="21" t="inlineStr">
        <is>
          <t>نمو الإيرادات السنوي</t>
        </is>
      </c>
      <c r="D4" s="49" t="inlineStr">
        <is>
          <t>%</t>
        </is>
      </c>
      <c r="E4" s="49" t="inlineStr">
        <is>
          <t>↑</t>
        </is>
      </c>
      <c r="F4" s="15" t="inlineStr">
        <is>
          <t>🔴 رئيسي</t>
        </is>
      </c>
      <c r="G4" s="59" t="n">
        <v>0.05</v>
      </c>
      <c r="H4" s="59" t="n">
        <v>0.2</v>
      </c>
      <c r="I4" s="22" t="inlineStr">
        <is>
          <t>&gt; 20%</t>
        </is>
      </c>
      <c r="J4" s="73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60" t="n">
        <v>0.169</v>
      </c>
      <c r="N4" s="10">
        <f>IF($H4="","",IF($M4="","",MIN(1,IF($H4=0,IF($M4&lt;=0,1,0),IF($E4="↓",IFERROR($H4/$M4,0),IFERROR($M4/$H4,0))))))</f>
        <v/>
      </c>
      <c r="O4" s="20">
        <f>IF($N4="","⏳ بانتظار هدف",IF($N4&gt;=1.0,"✅ محقق",IF($N4&gt;=0.85,"🟡 قريب","🔴 تحت الهدف")))</f>
        <v/>
      </c>
      <c r="P4" s="74" t="inlineStr">
        <is>
          <t>القيمة المتحقّقة من «نمو الإيرادات السنوي» ÷ المستهدف × 100٪</t>
        </is>
      </c>
      <c r="Q4" s="74" t="inlineStr">
        <is>
          <t>نظام المحاسبة / ERP (D365)</t>
        </is>
      </c>
      <c r="R4" s="15" t="inlineStr">
        <is>
          <t>ربعي</t>
        </is>
      </c>
    </row>
    <row r="5" ht="26" customHeight="1">
      <c r="A5" s="20" t="n">
        <v>2</v>
      </c>
      <c r="B5" s="21" t="inlineStr">
        <is>
          <t>المالية الاستراتيجية</t>
        </is>
      </c>
      <c r="C5" s="21" t="inlineStr">
        <is>
          <t>هامش EBITDA</t>
        </is>
      </c>
      <c r="D5" s="49" t="inlineStr">
        <is>
          <t>%</t>
        </is>
      </c>
      <c r="E5" s="49" t="inlineStr">
        <is>
          <t>↑</t>
        </is>
      </c>
      <c r="F5" s="15" t="inlineStr">
        <is>
          <t>🟠 مهم</t>
        </is>
      </c>
      <c r="G5" s="59" t="n">
        <v>0.04</v>
      </c>
      <c r="H5" s="59" t="n">
        <v>0.08</v>
      </c>
      <c r="I5" s="22" t="inlineStr">
        <is>
          <t>&gt; 8%</t>
        </is>
      </c>
      <c r="J5" s="73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0" t="n">
        <v>0.062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74" t="inlineStr">
        <is>
          <t>القيمة المتحقّقة من «هامش EBITDA» ÷ المستهدف × 100٪</t>
        </is>
      </c>
      <c r="Q5" s="74" t="inlineStr">
        <is>
          <t>نظام المحاسبة / ERP (D365)</t>
        </is>
      </c>
      <c r="R5" s="15" t="inlineStr">
        <is>
          <t>شهري</t>
        </is>
      </c>
    </row>
    <row r="6" ht="26" customHeight="1">
      <c r="A6" s="20" t="n">
        <v>3</v>
      </c>
      <c r="B6" s="21" t="inlineStr">
        <is>
          <t>المالية الاستراتيجية</t>
        </is>
      </c>
      <c r="C6" s="21" t="inlineStr">
        <is>
          <t>هامش صافي الربح</t>
        </is>
      </c>
      <c r="D6" s="49" t="inlineStr">
        <is>
          <t>%</t>
        </is>
      </c>
      <c r="E6" s="49" t="inlineStr">
        <is>
          <t>↑</t>
        </is>
      </c>
      <c r="F6" s="15" t="inlineStr">
        <is>
          <t>🟠 مهم</t>
        </is>
      </c>
      <c r="G6" s="59" t="n">
        <v>0.04</v>
      </c>
      <c r="H6" s="59" t="n">
        <v>0.01</v>
      </c>
      <c r="I6" s="22" t="inlineStr">
        <is>
          <t>&gt; 1%</t>
        </is>
      </c>
      <c r="J6" s="73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0" t="n">
        <v>0.008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74" t="inlineStr">
        <is>
          <t>القيمة المتحقّقة من «هامش صافي الربح» ÷ المستهدف × 100٪</t>
        </is>
      </c>
      <c r="Q6" s="74" t="inlineStr">
        <is>
          <t>نظام المحاسبة / ERP (D365)</t>
        </is>
      </c>
      <c r="R6" s="15" t="inlineStr">
        <is>
          <t>شهري</t>
        </is>
      </c>
    </row>
    <row r="7" ht="26" customHeight="1">
      <c r="A7" s="20" t="n">
        <v>4</v>
      </c>
      <c r="B7" s="21" t="inlineStr">
        <is>
          <t>المالية الاستراتيجية</t>
        </is>
      </c>
      <c r="C7" s="21" t="inlineStr">
        <is>
          <t>العائد على حقوق الملكية (ROE)</t>
        </is>
      </c>
      <c r="D7" s="49" t="inlineStr">
        <is>
          <t>%</t>
        </is>
      </c>
      <c r="E7" s="49" t="inlineStr">
        <is>
          <t>↑</t>
        </is>
      </c>
      <c r="F7" s="15" t="inlineStr">
        <is>
          <t>🔴 رئيسي</t>
        </is>
      </c>
      <c r="G7" s="59" t="n">
        <v>0.05</v>
      </c>
      <c r="H7" s="59" t="n">
        <v>0.1</v>
      </c>
      <c r="I7" s="22" t="inlineStr">
        <is>
          <t>&gt; 10%</t>
        </is>
      </c>
      <c r="J7" s="73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0" t="n">
        <v>0.074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74" t="inlineStr">
        <is>
          <t>القيمة المتحقّقة من «العائد على حقوق الملكية» ÷ المستهدف × 100٪</t>
        </is>
      </c>
      <c r="Q7" s="74" t="inlineStr">
        <is>
          <t>نظام المحاسبة / ERP (D365)</t>
        </is>
      </c>
      <c r="R7" s="15" t="inlineStr">
        <is>
          <t>ربعي</t>
        </is>
      </c>
    </row>
    <row r="8" ht="26" customHeight="1">
      <c r="A8" s="20" t="n">
        <v>5</v>
      </c>
      <c r="B8" s="21" t="inlineStr">
        <is>
          <t>المالية الاستراتيجية</t>
        </is>
      </c>
      <c r="C8" s="21" t="inlineStr">
        <is>
          <t>نسبة التدفق النقدي التشغيلي</t>
        </is>
      </c>
      <c r="D8" s="49" t="inlineStr">
        <is>
          <t>نسبة</t>
        </is>
      </c>
      <c r="E8" s="49" t="inlineStr">
        <is>
          <t>↑</t>
        </is>
      </c>
      <c r="F8" s="15" t="inlineStr">
        <is>
          <t>🟠 مهم</t>
        </is>
      </c>
      <c r="G8" s="59" t="n">
        <v>0.04</v>
      </c>
      <c r="H8" s="62" t="n">
        <v>1</v>
      </c>
      <c r="I8" s="22" t="inlineStr">
        <is>
          <t>&gt; 1</t>
        </is>
      </c>
      <c r="J8" s="73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0.902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74" t="inlineStr">
        <is>
          <t>قيمة/عدد المتحقّق من «التدفق النقدي التشغيلي» ÷ الإجمالي المستهدف لنفس البند × 100٪</t>
        </is>
      </c>
      <c r="Q8" s="74" t="inlineStr">
        <is>
          <t>نظام المحاسبة / ERP (D365)</t>
        </is>
      </c>
      <c r="R8" s="15" t="inlineStr">
        <is>
          <t>شهري</t>
        </is>
      </c>
    </row>
    <row r="9" ht="26" customHeight="1">
      <c r="A9" s="20" t="n">
        <v>6</v>
      </c>
      <c r="B9" s="21" t="inlineStr">
        <is>
          <t>السيولة ورأس المال</t>
        </is>
      </c>
      <c r="C9" s="21" t="inlineStr">
        <is>
          <t>النسبة الجارية (Current Ratio)</t>
        </is>
      </c>
      <c r="D9" s="49" t="inlineStr">
        <is>
          <t>نسبة</t>
        </is>
      </c>
      <c r="E9" s="49" t="inlineStr">
        <is>
          <t>↑</t>
        </is>
      </c>
      <c r="F9" s="15" t="inlineStr">
        <is>
          <t>🟠 مهم</t>
        </is>
      </c>
      <c r="G9" s="59" t="n">
        <v>0.04</v>
      </c>
      <c r="H9" s="62" t="n">
        <v>1</v>
      </c>
      <c r="I9" s="22" t="inlineStr">
        <is>
          <t>0.8 – 1</t>
        </is>
      </c>
      <c r="J9" s="73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0.852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74" t="inlineStr">
        <is>
          <t>قياس «النسبة الجارية» مقابل مستهدفه المعتمد خلال الفترة</t>
        </is>
      </c>
      <c r="Q9" s="74" t="inlineStr">
        <is>
          <t>سجلات الإدارة</t>
        </is>
      </c>
      <c r="R9" s="15" t="inlineStr">
        <is>
          <t>شهري</t>
        </is>
      </c>
    </row>
    <row r="10" ht="26" customHeight="1">
      <c r="A10" s="20" t="n">
        <v>7</v>
      </c>
      <c r="B10" s="21" t="inlineStr">
        <is>
          <t>السيولة ورأس المال</t>
        </is>
      </c>
      <c r="C10" s="21" t="inlineStr">
        <is>
          <t>دورة التحويل النقدي</t>
        </is>
      </c>
      <c r="D10" s="49" t="inlineStr">
        <is>
          <t>يوم</t>
        </is>
      </c>
      <c r="E10" s="49" t="inlineStr">
        <is>
          <t>↓</t>
        </is>
      </c>
      <c r="F10" s="15" t="inlineStr">
        <is>
          <t>🔴 رئيسي</t>
        </is>
      </c>
      <c r="G10" s="59" t="n">
        <v>0.05</v>
      </c>
      <c r="H10" s="62" t="n">
        <v>20</v>
      </c>
      <c r="I10" s="22" t="inlineStr">
        <is>
          <t>&lt; 20 يوم</t>
        </is>
      </c>
      <c r="J10" s="73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19.3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74" t="inlineStr">
        <is>
          <t>متوسط عدد أيام «دورة التحويل النقدي» خلال الفترة</t>
        </is>
      </c>
      <c r="Q10" s="74" t="inlineStr">
        <is>
          <t>نظام المحاسبة / ERP (D365)</t>
        </is>
      </c>
      <c r="R10" s="15" t="inlineStr">
        <is>
          <t>شهري</t>
        </is>
      </c>
    </row>
    <row r="11" ht="26" customHeight="1">
      <c r="A11" s="20" t="n">
        <v>8</v>
      </c>
      <c r="B11" s="21" t="inlineStr">
        <is>
          <t>الذمم المدينة</t>
        </is>
      </c>
      <c r="C11" s="21" t="inlineStr">
        <is>
          <t>متوسط أيام التحصيل العام (DSO)</t>
        </is>
      </c>
      <c r="D11" s="49" t="inlineStr">
        <is>
          <t>يوم</t>
        </is>
      </c>
      <c r="E11" s="49" t="inlineStr">
        <is>
          <t>↓</t>
        </is>
      </c>
      <c r="F11" s="15" t="inlineStr">
        <is>
          <t>🔴 رئيسي</t>
        </is>
      </c>
      <c r="G11" s="59" t="n">
        <v>0.05</v>
      </c>
      <c r="H11" s="62" t="n">
        <v>30</v>
      </c>
      <c r="I11" s="22" t="inlineStr">
        <is>
          <t>&lt; 30 يوم</t>
        </is>
      </c>
      <c r="J11" s="73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28.1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74" t="inlineStr">
        <is>
          <t>مجموع أيام «أيام التحصيل العام» ÷ عدد الحالات</t>
        </is>
      </c>
      <c r="Q11" s="74" t="inlineStr">
        <is>
          <t>نظام المحاسبة / ERP (D365)</t>
        </is>
      </c>
      <c r="R11" s="15" t="inlineStr">
        <is>
          <t>شهري</t>
        </is>
      </c>
    </row>
    <row r="12" ht="26" customHeight="1">
      <c r="A12" s="20" t="n">
        <v>9</v>
      </c>
      <c r="B12" s="21" t="inlineStr">
        <is>
          <t>الذمم المدينة</t>
        </is>
      </c>
      <c r="C12" s="21" t="inlineStr">
        <is>
          <t>نسبة التحصيل العام (الشركة)</t>
        </is>
      </c>
      <c r="D12" s="49" t="inlineStr">
        <is>
          <t>%</t>
        </is>
      </c>
      <c r="E12" s="49" t="inlineStr">
        <is>
          <t>↑</t>
        </is>
      </c>
      <c r="F12" s="15" t="inlineStr">
        <is>
          <t>🔴 رئيسي</t>
        </is>
      </c>
      <c r="G12" s="59" t="n">
        <v>0.05</v>
      </c>
      <c r="H12" s="59" t="n">
        <v>0.95</v>
      </c>
      <c r="I12" s="22" t="inlineStr">
        <is>
          <t>&gt; 95%</t>
        </is>
      </c>
      <c r="J12" s="73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0" t="n">
        <v>0.699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74" t="inlineStr">
        <is>
          <t>قيمة/عدد المتحقّق من «التحصيل العام» ÷ الإجمالي المستهدف لنفس البند × 100٪</t>
        </is>
      </c>
      <c r="Q12" s="74" t="inlineStr">
        <is>
          <t>نظام المحاسبة / ERP (D365)</t>
        </is>
      </c>
      <c r="R12" s="15" t="inlineStr">
        <is>
          <t>شهري</t>
        </is>
      </c>
    </row>
    <row r="13" ht="26" customHeight="1">
      <c r="A13" s="20" t="n">
        <v>10</v>
      </c>
      <c r="B13" s="21" t="inlineStr">
        <is>
          <t>الذمم المدينة</t>
        </is>
      </c>
      <c r="C13" s="21" t="inlineStr">
        <is>
          <t>نسبة الذمم المتأخرة</t>
        </is>
      </c>
      <c r="D13" s="49" t="inlineStr">
        <is>
          <t>%</t>
        </is>
      </c>
      <c r="E13" s="49" t="inlineStr">
        <is>
          <t>↓</t>
        </is>
      </c>
      <c r="F13" s="15" t="inlineStr">
        <is>
          <t>🟠 مهم</t>
        </is>
      </c>
      <c r="G13" s="59" t="n">
        <v>0.04</v>
      </c>
      <c r="H13" s="59" t="n">
        <v>0.1</v>
      </c>
      <c r="I13" s="22" t="inlineStr">
        <is>
          <t>&lt; 10%</t>
        </is>
      </c>
      <c r="J13" s="73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0" t="n">
        <v>0.099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74" t="inlineStr">
        <is>
          <t>قيمة/عدد المتحقّق من «الذمم المتأخرة» ÷ الإجمالي المستهدف لنفس البند × 100٪</t>
        </is>
      </c>
      <c r="Q13" s="74" t="inlineStr">
        <is>
          <t>نظام المحاسبة / ERP (D365)</t>
        </is>
      </c>
      <c r="R13" s="15" t="inlineStr">
        <is>
          <t>شهري</t>
        </is>
      </c>
    </row>
    <row r="14" ht="26" customHeight="1">
      <c r="A14" s="20" t="n">
        <v>11</v>
      </c>
      <c r="B14" s="21" t="inlineStr">
        <is>
          <t>الذمم المدينة</t>
        </is>
      </c>
      <c r="C14" s="21" t="inlineStr">
        <is>
          <t>نسبة الديون المعدومة</t>
        </is>
      </c>
      <c r="D14" s="49" t="inlineStr">
        <is>
          <t>%</t>
        </is>
      </c>
      <c r="E14" s="49" t="inlineStr">
        <is>
          <t>↓</t>
        </is>
      </c>
      <c r="F14" s="15" t="inlineStr">
        <is>
          <t>🟠 مهم</t>
        </is>
      </c>
      <c r="G14" s="59" t="n">
        <v>0.04</v>
      </c>
      <c r="H14" s="59" t="n">
        <v>0.01</v>
      </c>
      <c r="I14" s="22" t="inlineStr">
        <is>
          <t>&lt; 1%</t>
        </is>
      </c>
      <c r="J14" s="73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0" t="n">
        <v>0.008999999999999999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74" t="inlineStr">
        <is>
          <t>قيمة/عدد المتحقّق من «الديون المعدومة» ÷ الإجمالي المستهدف لنفس البند × 100٪</t>
        </is>
      </c>
      <c r="Q14" s="74" t="inlineStr">
        <is>
          <t>نظام المحاسبة / ERP (D365)</t>
        </is>
      </c>
      <c r="R14" s="15" t="inlineStr">
        <is>
          <t>شهري</t>
        </is>
      </c>
    </row>
    <row r="15" ht="26" customHeight="1">
      <c r="A15" s="20" t="n">
        <v>12</v>
      </c>
      <c r="B15" s="21" t="inlineStr">
        <is>
          <t>الذمم الدائنة</t>
        </is>
      </c>
      <c r="C15" s="21" t="inlineStr">
        <is>
          <t>سداد الموردين في الموعد</t>
        </is>
      </c>
      <c r="D15" s="49" t="inlineStr">
        <is>
          <t>%</t>
        </is>
      </c>
      <c r="E15" s="49" t="inlineStr">
        <is>
          <t>↑</t>
        </is>
      </c>
      <c r="F15" s="15" t="inlineStr">
        <is>
          <t>🟠 مهم</t>
        </is>
      </c>
      <c r="G15" s="59" t="n">
        <v>0.04</v>
      </c>
      <c r="H15" s="59" t="n">
        <v>0.98</v>
      </c>
      <c r="I15" s="22" t="inlineStr">
        <is>
          <t>&gt; 98%</t>
        </is>
      </c>
      <c r="J15" s="73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0" t="n">
        <v>0.754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74" t="inlineStr">
        <is>
          <t>القيمة المتحقّقة من «سداد الموردين في الموعد» ÷ المستهدف × 100٪</t>
        </is>
      </c>
      <c r="Q15" s="74" t="inlineStr">
        <is>
          <t>نظام المحاسبة / ERP (D365)</t>
        </is>
      </c>
      <c r="R15" s="15" t="inlineStr">
        <is>
          <t>شهري</t>
        </is>
      </c>
    </row>
    <row r="16" ht="26" customHeight="1">
      <c r="A16" s="20" t="n">
        <v>13</v>
      </c>
      <c r="B16" s="21" t="inlineStr">
        <is>
          <t>الذمم الدائنة</t>
        </is>
      </c>
      <c r="C16" s="21" t="inlineStr">
        <is>
          <t>اكتمال مطابقة حسابات الموردين</t>
        </is>
      </c>
      <c r="D16" s="49" t="inlineStr">
        <is>
          <t>%</t>
        </is>
      </c>
      <c r="E16" s="49" t="inlineStr">
        <is>
          <t>↑</t>
        </is>
      </c>
      <c r="F16" s="15" t="inlineStr">
        <is>
          <t>🟠 مهم</t>
        </is>
      </c>
      <c r="G16" s="59" t="n">
        <v>0.04</v>
      </c>
      <c r="H16" s="59" t="n">
        <v>0.95</v>
      </c>
      <c r="I16" s="22" t="inlineStr">
        <is>
          <t>≥ 95%</t>
        </is>
      </c>
      <c r="J16" s="73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0" t="n">
        <v>0.926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74" t="inlineStr">
        <is>
          <t>القيمة المتحقّقة من «اكتمال مطابقة حسابات الموردين» ÷ المستهدف × 100٪</t>
        </is>
      </c>
      <c r="Q16" s="74" t="inlineStr">
        <is>
          <t>نظام المحاسبة / ERP (D365)</t>
        </is>
      </c>
      <c r="R16" s="15" t="inlineStr">
        <is>
          <t>شهري</t>
        </is>
      </c>
    </row>
    <row r="17" ht="26" customHeight="1">
      <c r="A17" s="20" t="n">
        <v>14</v>
      </c>
      <c r="B17" s="21" t="inlineStr">
        <is>
          <t>الخزينة</t>
        </is>
      </c>
      <c r="C17" s="21" t="inlineStr">
        <is>
          <t>دقة التنبؤ النقدي</t>
        </is>
      </c>
      <c r="D17" s="49" t="inlineStr">
        <is>
          <t>%</t>
        </is>
      </c>
      <c r="E17" s="49" t="inlineStr">
        <is>
          <t>↑</t>
        </is>
      </c>
      <c r="F17" s="15" t="inlineStr">
        <is>
          <t>🟠 مهم</t>
        </is>
      </c>
      <c r="G17" s="59" t="n">
        <v>0.04</v>
      </c>
      <c r="H17" s="59" t="n">
        <v>0.9</v>
      </c>
      <c r="I17" s="22" t="inlineStr">
        <is>
          <t>±10%</t>
        </is>
      </c>
      <c r="J17" s="73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0" t="n">
        <v>0.9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74" t="inlineStr">
        <is>
          <t>القيمة المتحقّقة من «دقة التنبؤ النقدي» ÷ المستهدف × 100٪</t>
        </is>
      </c>
      <c r="Q17" s="74" t="inlineStr">
        <is>
          <t>نظام المحاسبة / ERP (D365)</t>
        </is>
      </c>
      <c r="R17" s="15" t="inlineStr">
        <is>
          <t>شهري</t>
        </is>
      </c>
    </row>
    <row r="18" ht="26" customHeight="1">
      <c r="A18" s="20" t="n">
        <v>15</v>
      </c>
      <c r="B18" s="21" t="inlineStr">
        <is>
          <t>صناعة الوقود</t>
        </is>
      </c>
      <c r="C18" s="21" t="inlineStr">
        <is>
          <t>تباين مخزون الوقود</t>
        </is>
      </c>
      <c r="D18" s="49" t="inlineStr">
        <is>
          <t>%</t>
        </is>
      </c>
      <c r="E18" s="49" t="inlineStr">
        <is>
          <t>↓</t>
        </is>
      </c>
      <c r="F18" s="15" t="inlineStr">
        <is>
          <t>🟠 مهم</t>
        </is>
      </c>
      <c r="G18" s="59" t="n">
        <v>0.04</v>
      </c>
      <c r="H18" s="59" t="n">
        <v>0.001</v>
      </c>
      <c r="I18" s="22" t="inlineStr">
        <is>
          <t>&lt; 0.1%</t>
        </is>
      </c>
      <c r="J18" s="73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0" t="n">
        <v>0.001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74" t="inlineStr">
        <is>
          <t>القيمة المتحقّقة من «تباين مخزون الوقود» ÷ المستهدف × 100٪</t>
        </is>
      </c>
      <c r="Q18" s="74" t="inlineStr">
        <is>
          <t>نظام تشغيل المحطات</t>
        </is>
      </c>
      <c r="R18" s="15" t="inlineStr">
        <is>
          <t>شهري</t>
        </is>
      </c>
    </row>
    <row r="19" ht="26" customHeight="1">
      <c r="A19" s="20" t="n">
        <v>16</v>
      </c>
      <c r="B19" s="21" t="inlineStr">
        <is>
          <t>صناعة الوقود</t>
        </is>
      </c>
      <c r="C19" s="21" t="inlineStr">
        <is>
          <t>دقة مطابقة المخزون</t>
        </is>
      </c>
      <c r="D19" s="49" t="inlineStr">
        <is>
          <t>%</t>
        </is>
      </c>
      <c r="E19" s="49" t="inlineStr">
        <is>
          <t>↑</t>
        </is>
      </c>
      <c r="F19" s="15" t="inlineStr">
        <is>
          <t>🟠 مهم</t>
        </is>
      </c>
      <c r="G19" s="59" t="n">
        <v>0.03</v>
      </c>
      <c r="H19" s="59" t="n">
        <v>0.995</v>
      </c>
      <c r="I19" s="22" t="inlineStr">
        <is>
          <t>&gt; 99.5%</t>
        </is>
      </c>
      <c r="J19" s="73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0" t="n">
        <v>0.776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74" t="inlineStr">
        <is>
          <t>القيمة المتحقّقة من «دقة مطابقة المخزون» ÷ المستهدف × 100٪</t>
        </is>
      </c>
      <c r="Q19" s="74" t="inlineStr">
        <is>
          <t>نظام إدارة الجودة (QMS)</t>
        </is>
      </c>
      <c r="R19" s="15" t="inlineStr">
        <is>
          <t>شهري</t>
        </is>
      </c>
    </row>
    <row r="20" ht="26" customHeight="1">
      <c r="A20" s="20" t="n">
        <v>17</v>
      </c>
      <c r="B20" s="21" t="inlineStr">
        <is>
          <t>صناعة الوقود</t>
        </is>
      </c>
      <c r="C20" s="21" t="inlineStr">
        <is>
          <t>دقة تسوية أرامكو</t>
        </is>
      </c>
      <c r="D20" s="49" t="inlineStr">
        <is>
          <t>%</t>
        </is>
      </c>
      <c r="E20" s="49" t="inlineStr">
        <is>
          <t>↑</t>
        </is>
      </c>
      <c r="F20" s="15" t="inlineStr">
        <is>
          <t>🟠 مهم</t>
        </is>
      </c>
      <c r="G20" s="59" t="n">
        <v>0.03</v>
      </c>
      <c r="H20" s="59" t="n">
        <v>1</v>
      </c>
      <c r="I20" s="22" t="inlineStr">
        <is>
          <t>100%</t>
        </is>
      </c>
      <c r="J20" s="73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0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74" t="inlineStr">
        <is>
          <t>القيمة المتحقّقة من «دقة تسوية أرامكو» ÷ المستهدف × 100٪</t>
        </is>
      </c>
      <c r="Q20" s="74" t="inlineStr">
        <is>
          <t>نظام تشغيل المحطات</t>
        </is>
      </c>
      <c r="R20" s="15" t="inlineStr">
        <is>
          <t>شهري</t>
        </is>
      </c>
    </row>
    <row r="21" ht="26" customHeight="1">
      <c r="A21" s="20" t="n">
        <v>18</v>
      </c>
      <c r="B21" s="21" t="inlineStr">
        <is>
          <t>تمويل الامتياز</t>
        </is>
      </c>
      <c r="C21" s="21" t="inlineStr">
        <is>
          <t>نسبة تحصيل الامتياز</t>
        </is>
      </c>
      <c r="D21" s="49" t="inlineStr">
        <is>
          <t>%</t>
        </is>
      </c>
      <c r="E21" s="49" t="inlineStr">
        <is>
          <t>↑</t>
        </is>
      </c>
      <c r="F21" s="15" t="inlineStr">
        <is>
          <t>🔴 رئيسي</t>
        </is>
      </c>
      <c r="G21" s="59" t="n">
        <v>0.05</v>
      </c>
      <c r="H21" s="59" t="n">
        <v>0.98</v>
      </c>
      <c r="I21" s="22" t="inlineStr">
        <is>
          <t>&gt; 98%</t>
        </is>
      </c>
      <c r="J21" s="73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60" t="n">
        <v>0.91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74" t="inlineStr">
        <is>
          <t>قيمة/عدد المتحقّق من «تحصيل الامتياز» ÷ الإجمالي المستهدف لنفس البند × 100٪</t>
        </is>
      </c>
      <c r="Q21" s="74" t="inlineStr">
        <is>
          <t>نظام المحاسبة / ERP (D365)</t>
        </is>
      </c>
      <c r="R21" s="15" t="inlineStr">
        <is>
          <t>شهري</t>
        </is>
      </c>
    </row>
    <row r="22" ht="26" customHeight="1">
      <c r="A22" s="20" t="n">
        <v>19</v>
      </c>
      <c r="B22" s="21" t="inlineStr">
        <is>
          <t>تمويل الامتياز</t>
        </is>
      </c>
      <c r="C22" s="21" t="inlineStr">
        <is>
          <t>أيام تحصيل رسوم الامتياز</t>
        </is>
      </c>
      <c r="D22" s="49" t="inlineStr">
        <is>
          <t>يوم</t>
        </is>
      </c>
      <c r="E22" s="49" t="inlineStr">
        <is>
          <t>↓</t>
        </is>
      </c>
      <c r="F22" s="15" t="inlineStr">
        <is>
          <t>🔴 رئيسي</t>
        </is>
      </c>
      <c r="G22" s="59" t="n">
        <v>0.05</v>
      </c>
      <c r="H22" s="62" t="n">
        <v>15</v>
      </c>
      <c r="I22" s="22" t="inlineStr">
        <is>
          <t>&lt; 15 يوم</t>
        </is>
      </c>
      <c r="J22" s="73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3" t="n">
        <v>15.8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74" t="inlineStr">
        <is>
          <t>متوسط عدد أيام «أيام تحصيل رسوم الامتياز» خلال الفترة</t>
        </is>
      </c>
      <c r="Q22" s="74" t="inlineStr">
        <is>
          <t>نظام المحاسبة / ERP (D365)</t>
        </is>
      </c>
      <c r="R22" s="15" t="inlineStr">
        <is>
          <t>شهري</t>
        </is>
      </c>
    </row>
    <row r="23" ht="26" customHeight="1">
      <c r="A23" s="20" t="n">
        <v>20</v>
      </c>
      <c r="B23" s="21" t="inlineStr">
        <is>
          <t>العقار والإيجار</t>
        </is>
      </c>
      <c r="C23" s="21" t="inlineStr">
        <is>
          <t>نسبة تحصيل الإيجار</t>
        </is>
      </c>
      <c r="D23" s="49" t="inlineStr">
        <is>
          <t>%</t>
        </is>
      </c>
      <c r="E23" s="49" t="inlineStr">
        <is>
          <t>↑</t>
        </is>
      </c>
      <c r="F23" s="15" t="inlineStr">
        <is>
          <t>🔴 رئيسي</t>
        </is>
      </c>
      <c r="G23" s="59" t="n">
        <v>0.05</v>
      </c>
      <c r="H23" s="59" t="n">
        <v>0.98</v>
      </c>
      <c r="I23" s="22" t="inlineStr">
        <is>
          <t>&gt; 98%</t>
        </is>
      </c>
      <c r="J23" s="73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60" t="n">
        <v>1.027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74" t="inlineStr">
        <is>
          <t>قيمة/عدد المتحقّق من «تحصيل الإيجار» ÷ الإجمالي المستهدف لنفس البند × 100٪</t>
        </is>
      </c>
      <c r="Q23" s="74" t="inlineStr">
        <is>
          <t>نظام المحاسبة / ERP (D365)</t>
        </is>
      </c>
      <c r="R23" s="15" t="inlineStr">
        <is>
          <t>شهري</t>
        </is>
      </c>
    </row>
    <row r="24" ht="26" customHeight="1">
      <c r="A24" s="20" t="n">
        <v>21</v>
      </c>
      <c r="B24" s="21" t="inlineStr">
        <is>
          <t>العقار والإيجار</t>
        </is>
      </c>
      <c r="C24" s="21" t="inlineStr">
        <is>
          <t>معدل تجديد عقود الإيجار</t>
        </is>
      </c>
      <c r="D24" s="49" t="inlineStr">
        <is>
          <t>%</t>
        </is>
      </c>
      <c r="E24" s="49" t="inlineStr">
        <is>
          <t>↑</t>
        </is>
      </c>
      <c r="F24" s="15" t="inlineStr">
        <is>
          <t>🔴 رئيسي</t>
        </is>
      </c>
      <c r="G24" s="59" t="n">
        <v>0.05</v>
      </c>
      <c r="H24" s="59" t="n">
        <v>0.9</v>
      </c>
      <c r="I24" s="22" t="inlineStr">
        <is>
          <t>&gt; 90%</t>
        </is>
      </c>
      <c r="J24" s="73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60" t="n">
        <v>0.702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74" t="inlineStr">
        <is>
          <t>عدد حالات «تجديد عقود الإيجار» خلال الفترة ÷ إجمالي الحالات القابلة للقياس × 100٪</t>
        </is>
      </c>
      <c r="Q24" s="74" t="inlineStr">
        <is>
          <t>نظام إدارة العقود (CRM)</t>
        </is>
      </c>
      <c r="R24" s="15" t="inlineStr">
        <is>
          <t>شهري</t>
        </is>
      </c>
    </row>
    <row r="25" ht="26" customHeight="1">
      <c r="A25" s="20" t="n">
        <v>22</v>
      </c>
      <c r="B25" s="21" t="inlineStr">
        <is>
          <t>الموازنة والتقارير</t>
        </is>
      </c>
      <c r="C25" s="21" t="inlineStr">
        <is>
          <t>انحراف الموازنة</t>
        </is>
      </c>
      <c r="D25" s="49" t="inlineStr">
        <is>
          <t>%</t>
        </is>
      </c>
      <c r="E25" s="49" t="inlineStr">
        <is>
          <t>↓</t>
        </is>
      </c>
      <c r="F25" s="15" t="inlineStr">
        <is>
          <t>🟠 مهم</t>
        </is>
      </c>
      <c r="G25" s="59" t="n">
        <v>0.03</v>
      </c>
      <c r="H25" s="59" t="n">
        <v>0.1</v>
      </c>
      <c r="I25" s="22" t="inlineStr">
        <is>
          <t>≤ ±10%</t>
        </is>
      </c>
      <c r="J25" s="73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0" t="n">
        <v>0.101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74" t="inlineStr">
        <is>
          <t>القيمة المتحقّقة من «انحراف الموازنة» ÷ المستهدف × 100٪</t>
        </is>
      </c>
      <c r="Q25" s="74" t="inlineStr">
        <is>
          <t>نظام المحاسبة / ERP (D365)</t>
        </is>
      </c>
      <c r="R25" s="15" t="inlineStr">
        <is>
          <t>ربعي</t>
        </is>
      </c>
    </row>
    <row r="26" ht="26" customHeight="1">
      <c r="A26" s="20" t="n">
        <v>23</v>
      </c>
      <c r="B26" s="21" t="inlineStr">
        <is>
          <t>الموازنة والتقارير</t>
        </is>
      </c>
      <c r="C26" s="21" t="inlineStr">
        <is>
          <t>أيام الإقفال الشهري</t>
        </is>
      </c>
      <c r="D26" s="49" t="inlineStr">
        <is>
          <t>يوم</t>
        </is>
      </c>
      <c r="E26" s="49" t="inlineStr">
        <is>
          <t>↓</t>
        </is>
      </c>
      <c r="F26" s="15" t="inlineStr">
        <is>
          <t>🟠 مهم</t>
        </is>
      </c>
      <c r="G26" s="59" t="n">
        <v>0.03</v>
      </c>
      <c r="H26" s="62" t="n">
        <v>6</v>
      </c>
      <c r="I26" s="22" t="inlineStr">
        <is>
          <t>≤ 6 أيام</t>
        </is>
      </c>
      <c r="J26" s="73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3" t="n">
        <v>7.044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74" t="inlineStr">
        <is>
          <t>متوسط عدد أيام «أيام الإقفال الشهري» خلال الفترة</t>
        </is>
      </c>
      <c r="Q26" s="74" t="inlineStr">
        <is>
          <t>نظام المحاسبة / ERP (D365)</t>
        </is>
      </c>
      <c r="R26" s="15" t="inlineStr">
        <is>
          <t>شهري</t>
        </is>
      </c>
    </row>
    <row r="27" ht="26" customHeight="1">
      <c r="A27" s="20" t="n">
        <v>24</v>
      </c>
      <c r="B27" s="21" t="inlineStr">
        <is>
          <t>الموازنة والتقارير</t>
        </is>
      </c>
      <c r="C27" s="21" t="inlineStr">
        <is>
          <t>نسبة تسويات التدقيق</t>
        </is>
      </c>
      <c r="D27" s="49" t="inlineStr">
        <is>
          <t>%</t>
        </is>
      </c>
      <c r="E27" s="49" t="inlineStr">
        <is>
          <t>↓</t>
        </is>
      </c>
      <c r="F27" s="15" t="inlineStr">
        <is>
          <t>🟠 مهم</t>
        </is>
      </c>
      <c r="G27" s="59" t="n">
        <v>0.03</v>
      </c>
      <c r="H27" s="59" t="n">
        <v>0.02</v>
      </c>
      <c r="I27" s="22" t="inlineStr">
        <is>
          <t>&lt; 2%</t>
        </is>
      </c>
      <c r="J27" s="73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0" t="n">
        <v>0.02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74" t="inlineStr">
        <is>
          <t>قيمة/عدد المتحقّق من «تسويات التدقيق» ÷ الإجمالي المستهدف لنفس البند × 100٪</t>
        </is>
      </c>
      <c r="Q27" s="74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34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49" t="n">
        <v>164</v>
      </c>
      <c r="E4" s="49" t="inlineStr">
        <is>
          <t>محطة</t>
        </is>
      </c>
      <c r="F4" s="51" t="n">
        <v>59</v>
      </c>
      <c r="G4" s="10">
        <f>IFERROR(F4/D4,0)</f>
        <v/>
      </c>
      <c r="H4" s="76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49" t="n">
        <v>5</v>
      </c>
      <c r="E5" s="49" t="inlineStr">
        <is>
          <t>وحدة</t>
        </is>
      </c>
      <c r="F5" s="51" t="n">
        <v>3.5</v>
      </c>
      <c r="G5" s="10">
        <f>IFERROR(F5/D5,0)</f>
        <v/>
      </c>
      <c r="H5" s="76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49" t="n">
        <v>4</v>
      </c>
      <c r="E6" s="49" t="inlineStr">
        <is>
          <t>وحدة</t>
        </is>
      </c>
      <c r="F6" s="51" t="n">
        <v>0</v>
      </c>
      <c r="G6" s="10">
        <f>IFERROR(F6/D6,0)</f>
        <v/>
      </c>
      <c r="H6" s="76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49" t="n">
        <v>2</v>
      </c>
      <c r="E7" s="49" t="inlineStr">
        <is>
          <t>وحدة</t>
        </is>
      </c>
      <c r="F7" s="51" t="n">
        <v>0</v>
      </c>
      <c r="G7" s="10">
        <f>IFERROR(F7/D7,0)</f>
        <v/>
      </c>
      <c r="H7" s="76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49" t="n">
        <v>1</v>
      </c>
      <c r="E8" s="49" t="inlineStr">
        <is>
          <t>تطبيق</t>
        </is>
      </c>
      <c r="F8" s="51" t="n">
        <v>0</v>
      </c>
      <c r="G8" s="10">
        <f>IFERROR(F8/D8,0)</f>
        <v/>
      </c>
      <c r="H8" s="76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49" t="n">
        <v>164</v>
      </c>
      <c r="E9" s="49" t="inlineStr">
        <is>
          <t>محطة</t>
        </is>
      </c>
      <c r="F9" s="51" t="n">
        <v>0</v>
      </c>
      <c r="G9" s="10">
        <f>IFERROR(F9/D9,0)</f>
        <v/>
      </c>
      <c r="H9" s="76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49" t="n">
        <v>164</v>
      </c>
      <c r="E10" s="49" t="inlineStr">
        <is>
          <t>محطة</t>
        </is>
      </c>
      <c r="F10" s="51" t="n">
        <v>0</v>
      </c>
      <c r="G10" s="10">
        <f>IFERROR(F10/D10,0)</f>
        <v/>
      </c>
      <c r="H10" s="76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49" t="n">
        <v>164</v>
      </c>
      <c r="E11" s="49" t="inlineStr">
        <is>
          <t>محطة</t>
        </is>
      </c>
      <c r="F11" s="51" t="n">
        <v>0</v>
      </c>
      <c r="G11" s="10">
        <f>IFERROR(F11/D11,0)</f>
        <v/>
      </c>
      <c r="H11" s="76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49" t="n">
        <v>164</v>
      </c>
      <c r="E12" s="49" t="inlineStr">
        <is>
          <t>محطة</t>
        </is>
      </c>
      <c r="F12" s="51" t="n">
        <v>2</v>
      </c>
      <c r="G12" s="10">
        <f>IFERROR(F12/D12,0)</f>
        <v/>
      </c>
      <c r="H12" s="76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49" t="n">
        <v>164</v>
      </c>
      <c r="E13" s="49" t="inlineStr">
        <is>
          <t>محطة</t>
        </is>
      </c>
      <c r="F13" s="51" t="n">
        <v>0</v>
      </c>
      <c r="G13" s="10">
        <f>IFERROR(F13/D13,0)</f>
        <v/>
      </c>
      <c r="H13" s="76" t="inlineStr">
        <is>
          <t>نسبة إنجاز محفظة مشاريع التحول الرقمي</t>
        </is>
      </c>
    </row>
    <row r="14">
      <c r="A14" s="77" t="inlineStr">
        <is>
          <t>▾ مشاريع الإدارة التنفيذية</t>
        </is>
      </c>
    </row>
    <row r="15">
      <c r="A15" s="30" t="n"/>
      <c r="B15" s="23" t="inlineStr">
        <is>
          <t>الإدارة التنفيذية</t>
        </is>
      </c>
      <c r="C15" s="78" t="n"/>
      <c r="D15" s="78" t="n"/>
      <c r="E15" s="78" t="n"/>
      <c r="F15" s="78" t="n"/>
      <c r="G15" s="10">
        <f>IFERROR(F15/D15,0)</f>
        <v/>
      </c>
      <c r="H15" s="30" t="n"/>
    </row>
    <row r="16">
      <c r="A16" s="30" t="n"/>
      <c r="B16" s="23" t="inlineStr">
        <is>
          <t>الإدارة التنفيذية</t>
        </is>
      </c>
      <c r="C16" s="78" t="n"/>
      <c r="D16" s="78" t="n"/>
      <c r="E16" s="78" t="n"/>
      <c r="F16" s="78" t="n"/>
      <c r="G16" s="10">
        <f>IFERROR(F16/D16,0)</f>
        <v/>
      </c>
      <c r="H16" s="30" t="n"/>
    </row>
    <row r="17">
      <c r="A17" s="30" t="n"/>
      <c r="B17" s="23" t="inlineStr">
        <is>
          <t>الإدارة التنفيذية</t>
        </is>
      </c>
      <c r="C17" s="78" t="n"/>
      <c r="D17" s="78" t="n"/>
      <c r="E17" s="78" t="n"/>
      <c r="F17" s="78" t="n"/>
      <c r="G17" s="10">
        <f>IFERROR(F17/D17,0)</f>
        <v/>
      </c>
      <c r="H17" s="30" t="n"/>
    </row>
    <row r="18">
      <c r="A18" s="77" t="inlineStr">
        <is>
          <t>▾ مشاريع الامتياز التجاري</t>
        </is>
      </c>
    </row>
    <row r="19">
      <c r="A19" s="30" t="n"/>
      <c r="B19" s="23" t="inlineStr">
        <is>
          <t>الامتياز التجاري</t>
        </is>
      </c>
      <c r="C19" s="78" t="n"/>
      <c r="D19" s="78" t="n"/>
      <c r="E19" s="78" t="n"/>
      <c r="F19" s="78" t="n"/>
      <c r="G19" s="10">
        <f>IFERROR(F19/D19,0)</f>
        <v/>
      </c>
      <c r="H19" s="30" t="n"/>
    </row>
    <row r="20">
      <c r="A20" s="30" t="n"/>
      <c r="B20" s="23" t="inlineStr">
        <is>
          <t>الامتياز التجاري</t>
        </is>
      </c>
      <c r="C20" s="78" t="n"/>
      <c r="D20" s="78" t="n"/>
      <c r="E20" s="78" t="n"/>
      <c r="F20" s="78" t="n"/>
      <c r="G20" s="10">
        <f>IFERROR(F20/D20,0)</f>
        <v/>
      </c>
      <c r="H20" s="30" t="n"/>
    </row>
    <row r="21">
      <c r="A21" s="30" t="n"/>
      <c r="B21" s="23" t="inlineStr">
        <is>
          <t>الامتياز التجاري</t>
        </is>
      </c>
      <c r="C21" s="78" t="n"/>
      <c r="D21" s="78" t="n"/>
      <c r="E21" s="78" t="n"/>
      <c r="F21" s="78" t="n"/>
      <c r="G21" s="10">
        <f>IFERROR(F21/D21,0)</f>
        <v/>
      </c>
      <c r="H21" s="30" t="n"/>
    </row>
    <row r="22">
      <c r="A22" s="77" t="inlineStr">
        <is>
          <t>▾ مشاريع التشغيل والمحطات</t>
        </is>
      </c>
    </row>
    <row r="23">
      <c r="A23" s="30" t="n"/>
      <c r="B23" s="23" t="inlineStr">
        <is>
          <t>التشغيل والمحطات</t>
        </is>
      </c>
      <c r="C23" s="78" t="n"/>
      <c r="D23" s="78" t="n"/>
      <c r="E23" s="78" t="n"/>
      <c r="F23" s="78" t="n"/>
      <c r="G23" s="10">
        <f>IFERROR(F23/D23,0)</f>
        <v/>
      </c>
      <c r="H23" s="30" t="n"/>
    </row>
    <row r="24">
      <c r="A24" s="30" t="n"/>
      <c r="B24" s="23" t="inlineStr">
        <is>
          <t>التشغيل والمحطات</t>
        </is>
      </c>
      <c r="C24" s="78" t="n"/>
      <c r="D24" s="78" t="n"/>
      <c r="E24" s="78" t="n"/>
      <c r="F24" s="78" t="n"/>
      <c r="G24" s="10">
        <f>IFERROR(F24/D24,0)</f>
        <v/>
      </c>
      <c r="H24" s="30" t="n"/>
    </row>
    <row r="25">
      <c r="A25" s="30" t="n"/>
      <c r="B25" s="23" t="inlineStr">
        <is>
          <t>التشغيل والمحطات</t>
        </is>
      </c>
      <c r="C25" s="78" t="n"/>
      <c r="D25" s="78" t="n"/>
      <c r="E25" s="78" t="n"/>
      <c r="F25" s="78" t="n"/>
      <c r="G25" s="10">
        <f>IFERROR(F25/D25,0)</f>
        <v/>
      </c>
      <c r="H25" s="30" t="n"/>
    </row>
    <row r="26">
      <c r="A26" s="77" t="inlineStr">
        <is>
          <t>▾ مشاريع الاستثمار</t>
        </is>
      </c>
    </row>
    <row r="27">
      <c r="A27" s="30" t="n"/>
      <c r="B27" s="23" t="inlineStr">
        <is>
          <t>الاستثمار</t>
        </is>
      </c>
      <c r="C27" s="78" t="n"/>
      <c r="D27" s="78" t="n"/>
      <c r="E27" s="78" t="n"/>
      <c r="F27" s="78" t="n"/>
      <c r="G27" s="10">
        <f>IFERROR(F27/D27,0)</f>
        <v/>
      </c>
      <c r="H27" s="30" t="n"/>
    </row>
    <row r="28">
      <c r="A28" s="30" t="n"/>
      <c r="B28" s="23" t="inlineStr">
        <is>
          <t>الاستثمار</t>
        </is>
      </c>
      <c r="C28" s="78" t="n"/>
      <c r="D28" s="78" t="n"/>
      <c r="E28" s="78" t="n"/>
      <c r="F28" s="78" t="n"/>
      <c r="G28" s="10">
        <f>IFERROR(F28/D28,0)</f>
        <v/>
      </c>
      <c r="H28" s="30" t="n"/>
    </row>
    <row r="29">
      <c r="A29" s="30" t="n"/>
      <c r="B29" s="23" t="inlineStr">
        <is>
          <t>الاستثمار</t>
        </is>
      </c>
      <c r="C29" s="78" t="n"/>
      <c r="D29" s="78" t="n"/>
      <c r="E29" s="78" t="n"/>
      <c r="F29" s="78" t="n"/>
      <c r="G29" s="10">
        <f>IFERROR(F29/D29,0)</f>
        <v/>
      </c>
      <c r="H29" s="30" t="n"/>
    </row>
    <row r="30">
      <c r="A30" s="77" t="inlineStr">
        <is>
          <t>▾ مشاريع العقار</t>
        </is>
      </c>
    </row>
    <row r="31">
      <c r="A31" s="30" t="n"/>
      <c r="B31" s="23" t="inlineStr">
        <is>
          <t>العقار</t>
        </is>
      </c>
      <c r="C31" s="78" t="n"/>
      <c r="D31" s="78" t="n"/>
      <c r="E31" s="78" t="n"/>
      <c r="F31" s="78" t="n"/>
      <c r="G31" s="10">
        <f>IFERROR(F31/D31,0)</f>
        <v/>
      </c>
      <c r="H31" s="30" t="n"/>
    </row>
    <row r="32">
      <c r="A32" s="30" t="n"/>
      <c r="B32" s="23" t="inlineStr">
        <is>
          <t>العقار</t>
        </is>
      </c>
      <c r="C32" s="78" t="n"/>
      <c r="D32" s="78" t="n"/>
      <c r="E32" s="78" t="n"/>
      <c r="F32" s="78" t="n"/>
      <c r="G32" s="10">
        <f>IFERROR(F32/D32,0)</f>
        <v/>
      </c>
      <c r="H32" s="30" t="n"/>
    </row>
    <row r="33">
      <c r="A33" s="30" t="n"/>
      <c r="B33" s="23" t="inlineStr">
        <is>
          <t>العقار</t>
        </is>
      </c>
      <c r="C33" s="78" t="n"/>
      <c r="D33" s="78" t="n"/>
      <c r="E33" s="78" t="n"/>
      <c r="F33" s="78" t="n"/>
      <c r="G33" s="10">
        <f>IFERROR(F33/D33,0)</f>
        <v/>
      </c>
      <c r="H33" s="30" t="n"/>
    </row>
    <row r="34">
      <c r="A34" s="77" t="inlineStr">
        <is>
          <t>▾ مشاريع إدارة المشاريع</t>
        </is>
      </c>
    </row>
    <row r="35">
      <c r="A35" s="30" t="n"/>
      <c r="B35" s="23" t="inlineStr">
        <is>
          <t>إدارة المشاريع</t>
        </is>
      </c>
      <c r="C35" s="78" t="n"/>
      <c r="D35" s="78" t="n"/>
      <c r="E35" s="78" t="n"/>
      <c r="F35" s="78" t="n"/>
      <c r="G35" s="10">
        <f>IFERROR(F35/D35,0)</f>
        <v/>
      </c>
      <c r="H35" s="30" t="n"/>
    </row>
    <row r="36">
      <c r="A36" s="30" t="n"/>
      <c r="B36" s="23" t="inlineStr">
        <is>
          <t>إدارة المشاريع</t>
        </is>
      </c>
      <c r="C36" s="78" t="n"/>
      <c r="D36" s="78" t="n"/>
      <c r="E36" s="78" t="n"/>
      <c r="F36" s="78" t="n"/>
      <c r="G36" s="10">
        <f>IFERROR(F36/D36,0)</f>
        <v/>
      </c>
      <c r="H36" s="30" t="n"/>
    </row>
    <row r="37">
      <c r="A37" s="30" t="n"/>
      <c r="B37" s="23" t="inlineStr">
        <is>
          <t>إدارة المشاريع</t>
        </is>
      </c>
      <c r="C37" s="78" t="n"/>
      <c r="D37" s="78" t="n"/>
      <c r="E37" s="78" t="n"/>
      <c r="F37" s="78" t="n"/>
      <c r="G37" s="10">
        <f>IFERROR(F37/D37,0)</f>
        <v/>
      </c>
      <c r="H37" s="30" t="n"/>
    </row>
    <row r="38">
      <c r="A38" s="77" t="inlineStr">
        <is>
          <t>▾ مشاريع سلاسل الإمداد</t>
        </is>
      </c>
    </row>
    <row r="39">
      <c r="A39" s="30" t="n"/>
      <c r="B39" s="23" t="inlineStr">
        <is>
          <t>سلاسل الإمداد</t>
        </is>
      </c>
      <c r="C39" s="78" t="n"/>
      <c r="D39" s="78" t="n"/>
      <c r="E39" s="78" t="n"/>
      <c r="F39" s="78" t="n"/>
      <c r="G39" s="10">
        <f>IFERROR(F39/D39,0)</f>
        <v/>
      </c>
      <c r="H39" s="30" t="n"/>
    </row>
    <row r="40">
      <c r="A40" s="30" t="n"/>
      <c r="B40" s="23" t="inlineStr">
        <is>
          <t>سلاسل الإمداد</t>
        </is>
      </c>
      <c r="C40" s="78" t="n"/>
      <c r="D40" s="78" t="n"/>
      <c r="E40" s="78" t="n"/>
      <c r="F40" s="78" t="n"/>
      <c r="G40" s="10">
        <f>IFERROR(F40/D40,0)</f>
        <v/>
      </c>
      <c r="H40" s="30" t="n"/>
    </row>
    <row r="41">
      <c r="A41" s="30" t="n"/>
      <c r="B41" s="23" t="inlineStr">
        <is>
          <t>سلاسل الإمداد</t>
        </is>
      </c>
      <c r="C41" s="78" t="n"/>
      <c r="D41" s="78" t="n"/>
      <c r="E41" s="78" t="n"/>
      <c r="F41" s="78" t="n"/>
      <c r="G41" s="10">
        <f>IFERROR(F41/D41,0)</f>
        <v/>
      </c>
      <c r="H41" s="30" t="n"/>
    </row>
    <row r="42">
      <c r="A42" s="77" t="inlineStr">
        <is>
          <t>▾ مشاريع الصيانة والأتمتة</t>
        </is>
      </c>
    </row>
    <row r="43">
      <c r="A43" s="30" t="n"/>
      <c r="B43" s="23" t="inlineStr">
        <is>
          <t>الصيانة والأتمتة</t>
        </is>
      </c>
      <c r="C43" s="78" t="n"/>
      <c r="D43" s="78" t="n"/>
      <c r="E43" s="78" t="n"/>
      <c r="F43" s="78" t="n"/>
      <c r="G43" s="10">
        <f>IFERROR(F43/D43,0)</f>
        <v/>
      </c>
      <c r="H43" s="30" t="n"/>
    </row>
    <row r="44">
      <c r="A44" s="30" t="n"/>
      <c r="B44" s="23" t="inlineStr">
        <is>
          <t>الصيانة والأتمتة</t>
        </is>
      </c>
      <c r="C44" s="78" t="n"/>
      <c r="D44" s="78" t="n"/>
      <c r="E44" s="78" t="n"/>
      <c r="F44" s="78" t="n"/>
      <c r="G44" s="10">
        <f>IFERROR(F44/D44,0)</f>
        <v/>
      </c>
      <c r="H44" s="30" t="n"/>
    </row>
    <row r="45">
      <c r="A45" s="30" t="n"/>
      <c r="B45" s="23" t="inlineStr">
        <is>
          <t>الصيانة والأتمتة</t>
        </is>
      </c>
      <c r="C45" s="78" t="n"/>
      <c r="D45" s="78" t="n"/>
      <c r="E45" s="78" t="n"/>
      <c r="F45" s="78" t="n"/>
      <c r="G45" s="10">
        <f>IFERROR(F45/D45,0)</f>
        <v/>
      </c>
      <c r="H45" s="30" t="n"/>
    </row>
    <row r="46">
      <c r="A46" s="77" t="inlineStr">
        <is>
          <t>▾ مشاريع الموارد البشرية</t>
        </is>
      </c>
    </row>
    <row r="47">
      <c r="A47" s="30" t="n"/>
      <c r="B47" s="23" t="inlineStr">
        <is>
          <t>الموارد البشرية</t>
        </is>
      </c>
      <c r="C47" s="78" t="n"/>
      <c r="D47" s="78" t="n"/>
      <c r="E47" s="78" t="n"/>
      <c r="F47" s="78" t="n"/>
      <c r="G47" s="10">
        <f>IFERROR(F47/D47,0)</f>
        <v/>
      </c>
      <c r="H47" s="30" t="n"/>
    </row>
    <row r="48">
      <c r="A48" s="30" t="n"/>
      <c r="B48" s="23" t="inlineStr">
        <is>
          <t>الموارد البشرية</t>
        </is>
      </c>
      <c r="C48" s="78" t="n"/>
      <c r="D48" s="78" t="n"/>
      <c r="E48" s="78" t="n"/>
      <c r="F48" s="78" t="n"/>
      <c r="G48" s="10">
        <f>IFERROR(F48/D48,0)</f>
        <v/>
      </c>
      <c r="H48" s="30" t="n"/>
    </row>
    <row r="49">
      <c r="A49" s="30" t="n"/>
      <c r="B49" s="23" t="inlineStr">
        <is>
          <t>الموارد البشرية</t>
        </is>
      </c>
      <c r="C49" s="78" t="n"/>
      <c r="D49" s="78" t="n"/>
      <c r="E49" s="78" t="n"/>
      <c r="F49" s="78" t="n"/>
      <c r="G49" s="10">
        <f>IFERROR(F49/D49,0)</f>
        <v/>
      </c>
      <c r="H49" s="30" t="n"/>
    </row>
    <row r="50">
      <c r="A50" s="77" t="inlineStr">
        <is>
          <t>▾ مشاريع التسويق</t>
        </is>
      </c>
    </row>
    <row r="51">
      <c r="A51" s="30" t="n"/>
      <c r="B51" s="23" t="inlineStr">
        <is>
          <t>التسويق</t>
        </is>
      </c>
      <c r="C51" s="78" t="n"/>
      <c r="D51" s="78" t="n"/>
      <c r="E51" s="78" t="n"/>
      <c r="F51" s="78" t="n"/>
      <c r="G51" s="10">
        <f>IFERROR(F51/D51,0)</f>
        <v/>
      </c>
      <c r="H51" s="30" t="n"/>
    </row>
    <row r="52">
      <c r="A52" s="30" t="n"/>
      <c r="B52" s="23" t="inlineStr">
        <is>
          <t>التسويق</t>
        </is>
      </c>
      <c r="C52" s="78" t="n"/>
      <c r="D52" s="78" t="n"/>
      <c r="E52" s="78" t="n"/>
      <c r="F52" s="78" t="n"/>
      <c r="G52" s="10">
        <f>IFERROR(F52/D52,0)</f>
        <v/>
      </c>
      <c r="H52" s="30" t="n"/>
    </row>
    <row r="53">
      <c r="A53" s="30" t="n"/>
      <c r="B53" s="23" t="inlineStr">
        <is>
          <t>التسويق</t>
        </is>
      </c>
      <c r="C53" s="78" t="n"/>
      <c r="D53" s="78" t="n"/>
      <c r="E53" s="78" t="n"/>
      <c r="F53" s="78" t="n"/>
      <c r="G53" s="10">
        <f>IFERROR(F53/D53,0)</f>
        <v/>
      </c>
      <c r="H53" s="30" t="n"/>
    </row>
    <row r="54">
      <c r="A54" s="77" t="inlineStr">
        <is>
          <t>▾ مشاريع الجودة</t>
        </is>
      </c>
    </row>
    <row r="55">
      <c r="A55" s="30" t="n"/>
      <c r="B55" s="23" t="inlineStr">
        <is>
          <t>الجودة</t>
        </is>
      </c>
      <c r="C55" s="78" t="n"/>
      <c r="D55" s="78" t="n"/>
      <c r="E55" s="78" t="n"/>
      <c r="F55" s="78" t="n"/>
      <c r="G55" s="10">
        <f>IFERROR(F55/D55,0)</f>
        <v/>
      </c>
      <c r="H55" s="30" t="n"/>
    </row>
    <row r="56">
      <c r="A56" s="30" t="n"/>
      <c r="B56" s="23" t="inlineStr">
        <is>
          <t>الجودة</t>
        </is>
      </c>
      <c r="C56" s="78" t="n"/>
      <c r="D56" s="78" t="n"/>
      <c r="E56" s="78" t="n"/>
      <c r="F56" s="78" t="n"/>
      <c r="G56" s="10">
        <f>IFERROR(F56/D56,0)</f>
        <v/>
      </c>
      <c r="H56" s="30" t="n"/>
    </row>
    <row r="57">
      <c r="A57" s="30" t="n"/>
      <c r="B57" s="23" t="inlineStr">
        <is>
          <t>الجودة</t>
        </is>
      </c>
      <c r="C57" s="78" t="n"/>
      <c r="D57" s="78" t="n"/>
      <c r="E57" s="78" t="n"/>
      <c r="F57" s="78" t="n"/>
      <c r="G57" s="10">
        <f>IFERROR(F57/D57,0)</f>
        <v/>
      </c>
      <c r="H57" s="30" t="n"/>
    </row>
    <row r="58">
      <c r="A58" s="77" t="inlineStr">
        <is>
          <t>▾ مشاريع الإدارة القانونية</t>
        </is>
      </c>
    </row>
    <row r="59">
      <c r="A59" s="30" t="n"/>
      <c r="B59" s="23" t="inlineStr">
        <is>
          <t>الإدارة القانونية</t>
        </is>
      </c>
      <c r="C59" s="78" t="n"/>
      <c r="D59" s="78" t="n"/>
      <c r="E59" s="78" t="n"/>
      <c r="F59" s="78" t="n"/>
      <c r="G59" s="10">
        <f>IFERROR(F59/D59,0)</f>
        <v/>
      </c>
      <c r="H59" s="30" t="n"/>
    </row>
    <row r="60">
      <c r="A60" s="30" t="n"/>
      <c r="B60" s="23" t="inlineStr">
        <is>
          <t>الإدارة القانونية</t>
        </is>
      </c>
      <c r="C60" s="78" t="n"/>
      <c r="D60" s="78" t="n"/>
      <c r="E60" s="78" t="n"/>
      <c r="F60" s="78" t="n"/>
      <c r="G60" s="10">
        <f>IFERROR(F60/D60,0)</f>
        <v/>
      </c>
      <c r="H60" s="30" t="n"/>
    </row>
    <row r="61">
      <c r="A61" s="30" t="n"/>
      <c r="B61" s="23" t="inlineStr">
        <is>
          <t>الإدارة القانونية</t>
        </is>
      </c>
      <c r="C61" s="78" t="n"/>
      <c r="D61" s="78" t="n"/>
      <c r="E61" s="78" t="n"/>
      <c r="F61" s="78" t="n"/>
      <c r="G61" s="10">
        <f>IFERROR(F61/D61,0)</f>
        <v/>
      </c>
      <c r="H61" s="30" t="n"/>
    </row>
    <row r="62">
      <c r="A62" s="77" t="inlineStr">
        <is>
          <t>▾ مشاريع الإدارة المالية</t>
        </is>
      </c>
    </row>
    <row r="63">
      <c r="A63" s="30" t="n"/>
      <c r="B63" s="23" t="inlineStr">
        <is>
          <t>الإدارة المالية</t>
        </is>
      </c>
      <c r="C63" s="78" t="n"/>
      <c r="D63" s="78" t="n"/>
      <c r="E63" s="78" t="n"/>
      <c r="F63" s="78" t="n"/>
      <c r="G63" s="10">
        <f>IFERROR(F63/D63,0)</f>
        <v/>
      </c>
      <c r="H63" s="30" t="n"/>
    </row>
    <row r="64">
      <c r="A64" s="30" t="n"/>
      <c r="B64" s="23" t="inlineStr">
        <is>
          <t>الإدارة المالية</t>
        </is>
      </c>
      <c r="C64" s="78" t="n"/>
      <c r="D64" s="78" t="n"/>
      <c r="E64" s="78" t="n"/>
      <c r="F64" s="78" t="n"/>
      <c r="G64" s="10">
        <f>IFERROR(F64/D64,0)</f>
        <v/>
      </c>
      <c r="H64" s="30" t="n"/>
    </row>
    <row r="65">
      <c r="A65" s="30" t="n"/>
      <c r="B65" s="23" t="inlineStr">
        <is>
          <t>الإدارة المالية</t>
        </is>
      </c>
      <c r="C65" s="78" t="n"/>
      <c r="D65" s="78" t="n"/>
      <c r="E65" s="78" t="n"/>
      <c r="F65" s="78" t="n"/>
      <c r="G65" s="10">
        <f>IFERROR(F65/D65,0)</f>
        <v/>
      </c>
      <c r="H65" s="30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16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50">
        <f>'الإدارة التنفيذية'!N4</f>
        <v/>
      </c>
      <c r="H2" s="15">
        <f>'الإدارة التنفيذية'!O4</f>
        <v/>
      </c>
      <c r="I2" s="24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50">
        <f>'الإدارة التنفيذية'!N5</f>
        <v/>
      </c>
      <c r="H3" s="15">
        <f>'الإدارة التنفيذية'!O5</f>
        <v/>
      </c>
      <c r="I3" s="24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50">
        <f>'الإدارة التنفيذية'!N6</f>
        <v/>
      </c>
      <c r="H4" s="15">
        <f>'الإدارة التنفيذية'!O6</f>
        <v/>
      </c>
      <c r="I4" s="24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50">
        <f>'الإدارة التنفيذية'!N7</f>
        <v/>
      </c>
      <c r="H5" s="15">
        <f>'الإدارة التنفيذية'!O7</f>
        <v/>
      </c>
      <c r="I5" s="24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50">
        <f>'الإدارة التنفيذية'!N8</f>
        <v/>
      </c>
      <c r="H6" s="15">
        <f>'الإدارة التنفيذية'!O8</f>
        <v/>
      </c>
      <c r="I6" s="24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50">
        <f>'الإدارة التنفيذية'!N9</f>
        <v/>
      </c>
      <c r="H7" s="15">
        <f>'الإدارة التنفيذية'!O9</f>
        <v/>
      </c>
      <c r="I7" s="24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50">
        <f>'الإدارة التنفيذية'!N10</f>
        <v/>
      </c>
      <c r="H8" s="15">
        <f>'الإدارة التنفيذية'!O10</f>
        <v/>
      </c>
      <c r="I8" s="24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50">
        <f>'الإدارة التنفيذية'!N11</f>
        <v/>
      </c>
      <c r="H9" s="15">
        <f>'الإدارة التنفيذية'!O11</f>
        <v/>
      </c>
      <c r="I9" s="24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50">
        <f>'الإدارة التنفيذية'!N12</f>
        <v/>
      </c>
      <c r="H10" s="15">
        <f>'الإدارة التنفيذية'!O12</f>
        <v/>
      </c>
      <c r="I10" s="24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50">
        <f>'الإدارة التنفيذية'!N13</f>
        <v/>
      </c>
      <c r="H11" s="15">
        <f>'الإدارة التنفيذية'!O13</f>
        <v/>
      </c>
      <c r="I11" s="24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50">
        <f>'الامتياز التجاري'!N4</f>
        <v/>
      </c>
      <c r="H12" s="15">
        <f>'الامتياز التجاري'!O4</f>
        <v/>
      </c>
      <c r="I12" s="24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50">
        <f>'الامتياز التجاري'!N5</f>
        <v/>
      </c>
      <c r="H13" s="15">
        <f>'الامتياز التجاري'!O5</f>
        <v/>
      </c>
      <c r="I13" s="24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50">
        <f>'الامتياز التجاري'!N6</f>
        <v/>
      </c>
      <c r="H14" s="15">
        <f>'الامتياز التجاري'!O6</f>
        <v/>
      </c>
      <c r="I14" s="24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50">
        <f>'الامتياز التجاري'!N7</f>
        <v/>
      </c>
      <c r="H15" s="15">
        <f>'الامتياز التجاري'!O7</f>
        <v/>
      </c>
      <c r="I15" s="24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50">
        <f>'الامتياز التجاري'!N8</f>
        <v/>
      </c>
      <c r="H16" s="15">
        <f>'الامتياز التجاري'!O8</f>
        <v/>
      </c>
      <c r="I16" s="24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50">
        <f>'الامتياز التجاري'!N9</f>
        <v/>
      </c>
      <c r="H17" s="15">
        <f>'الامتياز التجاري'!O9</f>
        <v/>
      </c>
      <c r="I17" s="24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50">
        <f>'الامتياز التجاري'!N10</f>
        <v/>
      </c>
      <c r="H18" s="15">
        <f>'الامتياز التجاري'!O10</f>
        <v/>
      </c>
      <c r="I18" s="24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50">
        <f>'الامتياز التجاري'!N11</f>
        <v/>
      </c>
      <c r="H19" s="15">
        <f>'الامتياز التجاري'!O11</f>
        <v/>
      </c>
      <c r="I19" s="24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50">
        <f>'الامتياز التجاري'!N12</f>
        <v/>
      </c>
      <c r="H20" s="15">
        <f>'الامتياز التجاري'!O12</f>
        <v/>
      </c>
      <c r="I20" s="24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50">
        <f>'الامتياز التجاري'!N13</f>
        <v/>
      </c>
      <c r="H21" s="15">
        <f>'الامتياز التجاري'!O13</f>
        <v/>
      </c>
      <c r="I21" s="24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50">
        <f>'الامتياز التجاري'!N14</f>
        <v/>
      </c>
      <c r="H22" s="15">
        <f>'الامتياز التجاري'!O14</f>
        <v/>
      </c>
      <c r="I22" s="24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50">
        <f>'الامتياز التجاري'!N15</f>
        <v/>
      </c>
      <c r="H23" s="15">
        <f>'الامتياز التجاري'!O15</f>
        <v/>
      </c>
      <c r="I23" s="24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50">
        <f>'الامتياز التجاري'!N16</f>
        <v/>
      </c>
      <c r="H24" s="15">
        <f>'الامتياز التجاري'!O16</f>
        <v/>
      </c>
      <c r="I24" s="24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50">
        <f>'الامتياز التجاري'!N17</f>
        <v/>
      </c>
      <c r="H25" s="15">
        <f>'الامتياز التجاري'!O17</f>
        <v/>
      </c>
      <c r="I25" s="24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50">
        <f>'الامتياز التجاري'!N18</f>
        <v/>
      </c>
      <c r="H26" s="15">
        <f>'الامتياز التجاري'!O18</f>
        <v/>
      </c>
      <c r="I26" s="24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50">
        <f>'الامتياز التجاري'!N19</f>
        <v/>
      </c>
      <c r="H27" s="15">
        <f>'الامتياز التجاري'!O19</f>
        <v/>
      </c>
      <c r="I27" s="24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50">
        <f>'الامتياز التجاري'!N20</f>
        <v/>
      </c>
      <c r="H28" s="15">
        <f>'الامتياز التجاري'!O20</f>
        <v/>
      </c>
      <c r="I28" s="24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50">
        <f>'الامتياز التجاري'!N21</f>
        <v/>
      </c>
      <c r="H29" s="15">
        <f>'الامتياز التجاري'!O21</f>
        <v/>
      </c>
      <c r="I29" s="24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50">
        <f>'الامتياز التجاري'!N22</f>
        <v/>
      </c>
      <c r="H30" s="15">
        <f>'الامتياز التجاري'!O22</f>
        <v/>
      </c>
      <c r="I30" s="24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50">
        <f>'الامتياز التجاري'!N23</f>
        <v/>
      </c>
      <c r="H31" s="15">
        <f>'الامتياز التجاري'!O23</f>
        <v/>
      </c>
      <c r="I31" s="24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50">
        <f>'الامتياز التجاري'!N24</f>
        <v/>
      </c>
      <c r="H32" s="15">
        <f>'الامتياز التجاري'!O24</f>
        <v/>
      </c>
      <c r="I32" s="24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50">
        <f>'الامتياز التجاري'!N25</f>
        <v/>
      </c>
      <c r="H33" s="15">
        <f>'الامتياز التجاري'!O25</f>
        <v/>
      </c>
      <c r="I33" s="24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50">
        <f>'الامتياز التجاري'!N26</f>
        <v/>
      </c>
      <c r="H34" s="15">
        <f>'الامتياز التجاري'!O26</f>
        <v/>
      </c>
      <c r="I34" s="24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50">
        <f>'الامتياز التجاري'!N27</f>
        <v/>
      </c>
      <c r="H35" s="15">
        <f>'الامتياز التجاري'!O27</f>
        <v/>
      </c>
      <c r="I35" s="24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50">
        <f>'الامتياز التجاري'!N28</f>
        <v/>
      </c>
      <c r="H36" s="15">
        <f>'الامتياز التجاري'!O28</f>
        <v/>
      </c>
      <c r="I36" s="24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50">
        <f>'الامتياز التجاري'!N29</f>
        <v/>
      </c>
      <c r="H37" s="15">
        <f>'الامتياز التجاري'!O29</f>
        <v/>
      </c>
      <c r="I37" s="24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50">
        <f>'الامتياز التجاري'!N30</f>
        <v/>
      </c>
      <c r="H38" s="15">
        <f>'الامتياز التجاري'!O30</f>
        <v/>
      </c>
      <c r="I38" s="24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50">
        <f>'الامتياز التجاري'!N31</f>
        <v/>
      </c>
      <c r="H39" s="15">
        <f>'الامتياز التجاري'!O31</f>
        <v/>
      </c>
      <c r="I39" s="24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50">
        <f>'الامتياز التجاري'!N32</f>
        <v/>
      </c>
      <c r="H40" s="15">
        <f>'الامتياز التجاري'!O32</f>
        <v/>
      </c>
      <c r="I40" s="24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والمحطات'!C4</f>
        <v/>
      </c>
      <c r="D41" s="15">
        <f>'التشغيل والمحطات'!J4</f>
        <v/>
      </c>
      <c r="E41" s="13">
        <f>'التشغيل والمحطات'!K4</f>
        <v/>
      </c>
      <c r="F41" s="15">
        <f>'التشغيل والمحطات'!L4</f>
        <v/>
      </c>
      <c r="G41" s="50">
        <f>'التشغيل والمحطات'!N4</f>
        <v/>
      </c>
      <c r="H41" s="15">
        <f>'التشغيل والمحطات'!O4</f>
        <v/>
      </c>
      <c r="I41" s="24">
        <f>'التشغيل والمحطات'!G4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والمحطات'!C5</f>
        <v/>
      </c>
      <c r="D42" s="15">
        <f>'التشغيل والمحطات'!J5</f>
        <v/>
      </c>
      <c r="E42" s="13">
        <f>'التشغيل والمحطات'!K5</f>
        <v/>
      </c>
      <c r="F42" s="15">
        <f>'التشغيل والمحطات'!L5</f>
        <v/>
      </c>
      <c r="G42" s="50">
        <f>'التشغيل والمحطات'!N5</f>
        <v/>
      </c>
      <c r="H42" s="15">
        <f>'التشغيل والمحطات'!O5</f>
        <v/>
      </c>
      <c r="I42" s="24">
        <f>'التشغيل والمحطات'!G5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والمحطات'!C6</f>
        <v/>
      </c>
      <c r="D43" s="15">
        <f>'التشغيل والمحطات'!J6</f>
        <v/>
      </c>
      <c r="E43" s="13">
        <f>'التشغيل والمحطات'!K6</f>
        <v/>
      </c>
      <c r="F43" s="15">
        <f>'التشغيل والمحطات'!L6</f>
        <v/>
      </c>
      <c r="G43" s="50">
        <f>'التشغيل والمحطات'!N6</f>
        <v/>
      </c>
      <c r="H43" s="15">
        <f>'التشغيل والمحطات'!O6</f>
        <v/>
      </c>
      <c r="I43" s="24">
        <f>'التشغيل والمحطات'!G6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والمحطات'!C7</f>
        <v/>
      </c>
      <c r="D44" s="15">
        <f>'التشغيل والمحطات'!J7</f>
        <v/>
      </c>
      <c r="E44" s="13">
        <f>'التشغيل والمحطات'!K7</f>
        <v/>
      </c>
      <c r="F44" s="15">
        <f>'التشغيل والمحطات'!L7</f>
        <v/>
      </c>
      <c r="G44" s="50">
        <f>'التشغيل والمحطات'!N7</f>
        <v/>
      </c>
      <c r="H44" s="15">
        <f>'التشغيل والمحطات'!O7</f>
        <v/>
      </c>
      <c r="I44" s="24">
        <f>'التشغيل والمحطات'!G7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الاستثمار</t>
        </is>
      </c>
      <c r="C45" s="13">
        <f>'الاستثمار'!C4</f>
        <v/>
      </c>
      <c r="D45" s="15">
        <f>'الاستثمار'!J4</f>
        <v/>
      </c>
      <c r="E45" s="13">
        <f>'الاستثمار'!K4</f>
        <v/>
      </c>
      <c r="F45" s="15">
        <f>'الاستثمار'!L4</f>
        <v/>
      </c>
      <c r="G45" s="50">
        <f>'الاستثمار'!N4</f>
        <v/>
      </c>
      <c r="H45" s="15">
        <f>'الاستثمار'!O4</f>
        <v/>
      </c>
      <c r="I45" s="24">
        <f>'الاستثمار'!G4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الاستثمار</t>
        </is>
      </c>
      <c r="C46" s="13">
        <f>'الاستثمار'!C5</f>
        <v/>
      </c>
      <c r="D46" s="15">
        <f>'الاستثمار'!J5</f>
        <v/>
      </c>
      <c r="E46" s="13">
        <f>'الاستثمار'!K5</f>
        <v/>
      </c>
      <c r="F46" s="15">
        <f>'الاستثمار'!L5</f>
        <v/>
      </c>
      <c r="G46" s="50">
        <f>'الاستثمار'!N5</f>
        <v/>
      </c>
      <c r="H46" s="15">
        <f>'الاستثمار'!O5</f>
        <v/>
      </c>
      <c r="I46" s="24">
        <f>'الاستثمار'!G5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الاستثمار</t>
        </is>
      </c>
      <c r="C47" s="13">
        <f>'الاستثمار'!C6</f>
        <v/>
      </c>
      <c r="D47" s="15">
        <f>'الاستثمار'!J6</f>
        <v/>
      </c>
      <c r="E47" s="13">
        <f>'الاستثمار'!K6</f>
        <v/>
      </c>
      <c r="F47" s="15">
        <f>'الاستثمار'!L6</f>
        <v/>
      </c>
      <c r="G47" s="50">
        <f>'الاستثمار'!N6</f>
        <v/>
      </c>
      <c r="H47" s="15">
        <f>'الاستثمار'!O6</f>
        <v/>
      </c>
      <c r="I47" s="24">
        <f>'الاستثمار'!G6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الاستثمار</t>
        </is>
      </c>
      <c r="C48" s="13">
        <f>'الاستثمار'!C7</f>
        <v/>
      </c>
      <c r="D48" s="15">
        <f>'الاستثمار'!J7</f>
        <v/>
      </c>
      <c r="E48" s="13">
        <f>'الاستثمار'!K7</f>
        <v/>
      </c>
      <c r="F48" s="15">
        <f>'الاستثمار'!L7</f>
        <v/>
      </c>
      <c r="G48" s="50">
        <f>'الاستثمار'!N7</f>
        <v/>
      </c>
      <c r="H48" s="15">
        <f>'الاستثمار'!O7</f>
        <v/>
      </c>
      <c r="I48" s="24">
        <f>'الاستثمار'!G7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الاستثمار</t>
        </is>
      </c>
      <c r="C49" s="13">
        <f>'الاستثمار'!C8</f>
        <v/>
      </c>
      <c r="D49" s="15">
        <f>'الاستثمار'!J8</f>
        <v/>
      </c>
      <c r="E49" s="13">
        <f>'الاستثمار'!K8</f>
        <v/>
      </c>
      <c r="F49" s="15">
        <f>'الاستثمار'!L8</f>
        <v/>
      </c>
      <c r="G49" s="50">
        <f>'الاستثمار'!N8</f>
        <v/>
      </c>
      <c r="H49" s="15">
        <f>'الاستثمار'!O8</f>
        <v/>
      </c>
      <c r="I49" s="24">
        <f>'الاستثمار'!G8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العقار</t>
        </is>
      </c>
      <c r="C50" s="13">
        <f>'العقار'!C4</f>
        <v/>
      </c>
      <c r="D50" s="15">
        <f>'العقار'!J4</f>
        <v/>
      </c>
      <c r="E50" s="13">
        <f>'العقار'!K4</f>
        <v/>
      </c>
      <c r="F50" s="15">
        <f>'العقار'!L4</f>
        <v/>
      </c>
      <c r="G50" s="50">
        <f>'العقار'!N4</f>
        <v/>
      </c>
      <c r="H50" s="15">
        <f>'العقار'!O4</f>
        <v/>
      </c>
      <c r="I50" s="24">
        <f>'العقار'!G4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العقار</t>
        </is>
      </c>
      <c r="C51" s="13">
        <f>'العقار'!C5</f>
        <v/>
      </c>
      <c r="D51" s="15">
        <f>'العقار'!J5</f>
        <v/>
      </c>
      <c r="E51" s="13">
        <f>'العقار'!K5</f>
        <v/>
      </c>
      <c r="F51" s="15">
        <f>'العقار'!L5</f>
        <v/>
      </c>
      <c r="G51" s="50">
        <f>'العقار'!N5</f>
        <v/>
      </c>
      <c r="H51" s="15">
        <f>'العقار'!O5</f>
        <v/>
      </c>
      <c r="I51" s="24">
        <f>'العقار'!G5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العقار</t>
        </is>
      </c>
      <c r="C52" s="13">
        <f>'العقار'!C6</f>
        <v/>
      </c>
      <c r="D52" s="15">
        <f>'العقار'!J6</f>
        <v/>
      </c>
      <c r="E52" s="13">
        <f>'العقار'!K6</f>
        <v/>
      </c>
      <c r="F52" s="15">
        <f>'العقار'!L6</f>
        <v/>
      </c>
      <c r="G52" s="50">
        <f>'العقار'!N6</f>
        <v/>
      </c>
      <c r="H52" s="15">
        <f>'العقار'!O6</f>
        <v/>
      </c>
      <c r="I52" s="24">
        <f>'العقار'!G6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العقار</t>
        </is>
      </c>
      <c r="C53" s="13">
        <f>'العقار'!C7</f>
        <v/>
      </c>
      <c r="D53" s="15">
        <f>'العقار'!J7</f>
        <v/>
      </c>
      <c r="E53" s="13">
        <f>'العقار'!K7</f>
        <v/>
      </c>
      <c r="F53" s="15">
        <f>'العقار'!L7</f>
        <v/>
      </c>
      <c r="G53" s="50">
        <f>'العقار'!N7</f>
        <v/>
      </c>
      <c r="H53" s="15">
        <f>'العقار'!O7</f>
        <v/>
      </c>
      <c r="I53" s="24">
        <f>'العقار'!G7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إدارة المشاريع</t>
        </is>
      </c>
      <c r="C54" s="13">
        <f>'إدارة المشاريع'!C4</f>
        <v/>
      </c>
      <c r="D54" s="15">
        <f>'إدارة المشاريع'!J4</f>
        <v/>
      </c>
      <c r="E54" s="13">
        <f>'إدارة المشاريع'!K4</f>
        <v/>
      </c>
      <c r="F54" s="15">
        <f>'إدارة المشاريع'!L4</f>
        <v/>
      </c>
      <c r="G54" s="50">
        <f>'إدارة المشاريع'!N4</f>
        <v/>
      </c>
      <c r="H54" s="15">
        <f>'إدارة المشاريع'!O4</f>
        <v/>
      </c>
      <c r="I54" s="24">
        <f>'إدارة المشاريع'!G4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إدارة المشاريع</t>
        </is>
      </c>
      <c r="C55" s="13">
        <f>'إدارة المشاريع'!C5</f>
        <v/>
      </c>
      <c r="D55" s="15">
        <f>'إدارة المشاريع'!J5</f>
        <v/>
      </c>
      <c r="E55" s="13">
        <f>'إدارة المشاريع'!K5</f>
        <v/>
      </c>
      <c r="F55" s="15">
        <f>'إدارة المشاريع'!L5</f>
        <v/>
      </c>
      <c r="G55" s="50">
        <f>'إدارة المشاريع'!N5</f>
        <v/>
      </c>
      <c r="H55" s="15">
        <f>'إدارة المشاريع'!O5</f>
        <v/>
      </c>
      <c r="I55" s="24">
        <f>'إدارة المشاريع'!G5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إدارة المشاريع</t>
        </is>
      </c>
      <c r="C56" s="13">
        <f>'إدارة المشاريع'!C6</f>
        <v/>
      </c>
      <c r="D56" s="15">
        <f>'إدارة المشاريع'!J6</f>
        <v/>
      </c>
      <c r="E56" s="13">
        <f>'إدارة المشاريع'!K6</f>
        <v/>
      </c>
      <c r="F56" s="15">
        <f>'إدارة المشاريع'!L6</f>
        <v/>
      </c>
      <c r="G56" s="50">
        <f>'إدارة المشاريع'!N6</f>
        <v/>
      </c>
      <c r="H56" s="15">
        <f>'إدارة المشاريع'!O6</f>
        <v/>
      </c>
      <c r="I56" s="24">
        <f>'إدارة المشاريع'!G6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سلاسل الإمداد</t>
        </is>
      </c>
      <c r="C57" s="13">
        <f>'سلاسل الإمداد'!C4</f>
        <v/>
      </c>
      <c r="D57" s="15">
        <f>'سلاسل الإمداد'!J4</f>
        <v/>
      </c>
      <c r="E57" s="13">
        <f>'سلاسل الإمداد'!K4</f>
        <v/>
      </c>
      <c r="F57" s="15">
        <f>'سلاسل الإمداد'!L4</f>
        <v/>
      </c>
      <c r="G57" s="50">
        <f>'سلاسل الإمداد'!N4</f>
        <v/>
      </c>
      <c r="H57" s="15">
        <f>'سلاسل الإمداد'!O4</f>
        <v/>
      </c>
      <c r="I57" s="24">
        <f>'سلاسل الإمداد'!G4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سلاسل الإمداد</t>
        </is>
      </c>
      <c r="C58" s="13">
        <f>'سلاسل الإمداد'!C5</f>
        <v/>
      </c>
      <c r="D58" s="15">
        <f>'سلاسل الإمداد'!J5</f>
        <v/>
      </c>
      <c r="E58" s="13">
        <f>'سلاسل الإمداد'!K5</f>
        <v/>
      </c>
      <c r="F58" s="15">
        <f>'سلاسل الإمداد'!L5</f>
        <v/>
      </c>
      <c r="G58" s="50">
        <f>'سلاسل الإمداد'!N5</f>
        <v/>
      </c>
      <c r="H58" s="15">
        <f>'سلاسل الإمداد'!O5</f>
        <v/>
      </c>
      <c r="I58" s="24">
        <f>'سلاسل الإمداد'!G5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سلاسل الإمداد</t>
        </is>
      </c>
      <c r="C59" s="13">
        <f>'سلاسل الإمداد'!C6</f>
        <v/>
      </c>
      <c r="D59" s="15">
        <f>'سلاسل الإمداد'!J6</f>
        <v/>
      </c>
      <c r="E59" s="13">
        <f>'سلاسل الإمداد'!K6</f>
        <v/>
      </c>
      <c r="F59" s="15">
        <f>'سلاسل الإمداد'!L6</f>
        <v/>
      </c>
      <c r="G59" s="50">
        <f>'سلاسل الإمداد'!N6</f>
        <v/>
      </c>
      <c r="H59" s="15">
        <f>'سلاسل الإمداد'!O6</f>
        <v/>
      </c>
      <c r="I59" s="24">
        <f>'سلاسل الإمداد'!G6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سلاسل الإمداد</t>
        </is>
      </c>
      <c r="C60" s="13">
        <f>'سلاسل الإمداد'!C7</f>
        <v/>
      </c>
      <c r="D60" s="15">
        <f>'سلاسل الإمداد'!J7</f>
        <v/>
      </c>
      <c r="E60" s="13">
        <f>'سلاسل الإمداد'!K7</f>
        <v/>
      </c>
      <c r="F60" s="15">
        <f>'سلاسل الإمداد'!L7</f>
        <v/>
      </c>
      <c r="G60" s="50">
        <f>'سلاسل الإمداد'!N7</f>
        <v/>
      </c>
      <c r="H60" s="15">
        <f>'سلاسل الإمداد'!O7</f>
        <v/>
      </c>
      <c r="I60" s="24">
        <f>'سلاسل الإمداد'!G7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الصيانة والأتمتة</t>
        </is>
      </c>
      <c r="C61" s="13">
        <f>'الصيانة والأتمتة'!C4</f>
        <v/>
      </c>
      <c r="D61" s="15">
        <f>'الصيانة والأتمتة'!J4</f>
        <v/>
      </c>
      <c r="E61" s="13">
        <f>'الصيانة والأتمتة'!K4</f>
        <v/>
      </c>
      <c r="F61" s="15">
        <f>'الصيانة والأتمتة'!L4</f>
        <v/>
      </c>
      <c r="G61" s="50">
        <f>'الصيانة والأتمتة'!N4</f>
        <v/>
      </c>
      <c r="H61" s="15">
        <f>'الصيانة والأتمتة'!O4</f>
        <v/>
      </c>
      <c r="I61" s="24">
        <f>'الصيانة والأتمتة'!G4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الصيانة والأتمتة</t>
        </is>
      </c>
      <c r="C62" s="13">
        <f>'الصيانة والأتمتة'!C5</f>
        <v/>
      </c>
      <c r="D62" s="15">
        <f>'الصيانة والأتمتة'!J5</f>
        <v/>
      </c>
      <c r="E62" s="13">
        <f>'الصيانة والأتمتة'!K5</f>
        <v/>
      </c>
      <c r="F62" s="15">
        <f>'الصيانة والأتمتة'!L5</f>
        <v/>
      </c>
      <c r="G62" s="50">
        <f>'الصيانة والأتمتة'!N5</f>
        <v/>
      </c>
      <c r="H62" s="15">
        <f>'الصيانة والأتمتة'!O5</f>
        <v/>
      </c>
      <c r="I62" s="24">
        <f>'الصيانة والأتمتة'!G5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التقنية الرقمية</t>
        </is>
      </c>
      <c r="C63" s="13">
        <f>'التقنية الرقمية'!C4</f>
        <v/>
      </c>
      <c r="D63" s="15">
        <f>'التقنية الرقمية'!J4</f>
        <v/>
      </c>
      <c r="E63" s="13">
        <f>'التقنية الرقمية'!K4</f>
        <v/>
      </c>
      <c r="F63" s="15">
        <f>'التقنية الرقمية'!L4</f>
        <v/>
      </c>
      <c r="G63" s="50">
        <f>'التقنية الرقمية'!N4</f>
        <v/>
      </c>
      <c r="H63" s="15">
        <f>'التقنية الرقمية'!O4</f>
        <v/>
      </c>
      <c r="I63" s="24">
        <f>'التقنية الرقمية'!G4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التقنية الرقمية</t>
        </is>
      </c>
      <c r="C64" s="13">
        <f>'التقنية الرقمية'!C5</f>
        <v/>
      </c>
      <c r="D64" s="15">
        <f>'التقنية الرقمية'!J5</f>
        <v/>
      </c>
      <c r="E64" s="13">
        <f>'التقنية الرقمية'!K5</f>
        <v/>
      </c>
      <c r="F64" s="15">
        <f>'التقنية الرقمية'!L5</f>
        <v/>
      </c>
      <c r="G64" s="50">
        <f>'التقنية الرقمية'!N5</f>
        <v/>
      </c>
      <c r="H64" s="15">
        <f>'التقنية الرقمية'!O5</f>
        <v/>
      </c>
      <c r="I64" s="24">
        <f>'التقنية الرقمية'!G5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الموارد البشرية</t>
        </is>
      </c>
      <c r="C65" s="13">
        <f>'الموارد البشرية'!C4</f>
        <v/>
      </c>
      <c r="D65" s="15">
        <f>'الموارد البشرية'!J4</f>
        <v/>
      </c>
      <c r="E65" s="13">
        <f>'الموارد البشرية'!K4</f>
        <v/>
      </c>
      <c r="F65" s="15">
        <f>'الموارد البشرية'!L4</f>
        <v/>
      </c>
      <c r="G65" s="50">
        <f>'الموارد البشرية'!N4</f>
        <v/>
      </c>
      <c r="H65" s="15">
        <f>'الموارد البشرية'!O4</f>
        <v/>
      </c>
      <c r="I65" s="24">
        <f>'الموارد البشرية'!G4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الموارد البشرية</t>
        </is>
      </c>
      <c r="C66" s="13">
        <f>'الموارد البشرية'!C5</f>
        <v/>
      </c>
      <c r="D66" s="15">
        <f>'الموارد البشرية'!J5</f>
        <v/>
      </c>
      <c r="E66" s="13">
        <f>'الموارد البشرية'!K5</f>
        <v/>
      </c>
      <c r="F66" s="15">
        <f>'الموارد البشرية'!L5</f>
        <v/>
      </c>
      <c r="G66" s="50">
        <f>'الموارد البشرية'!N5</f>
        <v/>
      </c>
      <c r="H66" s="15">
        <f>'الموارد البشرية'!O5</f>
        <v/>
      </c>
      <c r="I66" s="24">
        <f>'الموارد البشرية'!G5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الموارد البشرية</t>
        </is>
      </c>
      <c r="C67" s="13">
        <f>'الموارد البشرية'!C6</f>
        <v/>
      </c>
      <c r="D67" s="15">
        <f>'الموارد البشرية'!J6</f>
        <v/>
      </c>
      <c r="E67" s="13">
        <f>'الموارد البشرية'!K6</f>
        <v/>
      </c>
      <c r="F67" s="15">
        <f>'الموارد البشرية'!L6</f>
        <v/>
      </c>
      <c r="G67" s="50">
        <f>'الموارد البشرية'!N6</f>
        <v/>
      </c>
      <c r="H67" s="15">
        <f>'الموارد البشرية'!O6</f>
        <v/>
      </c>
      <c r="I67" s="24">
        <f>'الموارد البشرية'!G6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الموارد البشرية</t>
        </is>
      </c>
      <c r="C68" s="13">
        <f>'الموارد البشرية'!C7</f>
        <v/>
      </c>
      <c r="D68" s="15">
        <f>'الموارد البشرية'!J7</f>
        <v/>
      </c>
      <c r="E68" s="13">
        <f>'الموارد البشرية'!K7</f>
        <v/>
      </c>
      <c r="F68" s="15">
        <f>'الموارد البشرية'!L7</f>
        <v/>
      </c>
      <c r="G68" s="50">
        <f>'الموارد البشرية'!N7</f>
        <v/>
      </c>
      <c r="H68" s="15">
        <f>'الموارد البشرية'!O7</f>
        <v/>
      </c>
      <c r="I68" s="24">
        <f>'الموارد البشرية'!G7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الموارد البشرية</t>
        </is>
      </c>
      <c r="C69" s="13">
        <f>'الموارد البشرية'!C8</f>
        <v/>
      </c>
      <c r="D69" s="15">
        <f>'الموارد البشرية'!J8</f>
        <v/>
      </c>
      <c r="E69" s="13">
        <f>'الموارد البشرية'!K8</f>
        <v/>
      </c>
      <c r="F69" s="15">
        <f>'الموارد البشرية'!L8</f>
        <v/>
      </c>
      <c r="G69" s="50">
        <f>'الموارد البشرية'!N8</f>
        <v/>
      </c>
      <c r="H69" s="15">
        <f>'الموارد البشرية'!O8</f>
        <v/>
      </c>
      <c r="I69" s="24">
        <f>'الموارد البشرية'!G8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التسويق</t>
        </is>
      </c>
      <c r="C70" s="13">
        <f>'التسويق'!C4</f>
        <v/>
      </c>
      <c r="D70" s="15">
        <f>'التسويق'!J4</f>
        <v/>
      </c>
      <c r="E70" s="13">
        <f>'التسويق'!K4</f>
        <v/>
      </c>
      <c r="F70" s="15">
        <f>'التسويق'!L4</f>
        <v/>
      </c>
      <c r="G70" s="50">
        <f>'التسويق'!N4</f>
        <v/>
      </c>
      <c r="H70" s="15">
        <f>'التسويق'!O4</f>
        <v/>
      </c>
      <c r="I70" s="24">
        <f>'التسويق'!G4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التسويق</t>
        </is>
      </c>
      <c r="C71" s="13">
        <f>'التسويق'!C5</f>
        <v/>
      </c>
      <c r="D71" s="15">
        <f>'التسويق'!J5</f>
        <v/>
      </c>
      <c r="E71" s="13">
        <f>'التسويق'!K5</f>
        <v/>
      </c>
      <c r="F71" s="15">
        <f>'التسويق'!L5</f>
        <v/>
      </c>
      <c r="G71" s="50">
        <f>'التسويق'!N5</f>
        <v/>
      </c>
      <c r="H71" s="15">
        <f>'التسويق'!O5</f>
        <v/>
      </c>
      <c r="I71" s="24">
        <f>'التسويق'!G5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التسويق</t>
        </is>
      </c>
      <c r="C72" s="13">
        <f>'التسويق'!C6</f>
        <v/>
      </c>
      <c r="D72" s="15">
        <f>'التسويق'!J6</f>
        <v/>
      </c>
      <c r="E72" s="13">
        <f>'التسويق'!K6</f>
        <v/>
      </c>
      <c r="F72" s="15">
        <f>'التسويق'!L6</f>
        <v/>
      </c>
      <c r="G72" s="50">
        <f>'التسويق'!N6</f>
        <v/>
      </c>
      <c r="H72" s="15">
        <f>'التسويق'!O6</f>
        <v/>
      </c>
      <c r="I72" s="24">
        <f>'التسويق'!G6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التسويق</t>
        </is>
      </c>
      <c r="C73" s="13">
        <f>'التسويق'!C7</f>
        <v/>
      </c>
      <c r="D73" s="15">
        <f>'التسويق'!J7</f>
        <v/>
      </c>
      <c r="E73" s="13">
        <f>'التسويق'!K7</f>
        <v/>
      </c>
      <c r="F73" s="15">
        <f>'التسويق'!L7</f>
        <v/>
      </c>
      <c r="G73" s="50">
        <f>'التسويق'!N7</f>
        <v/>
      </c>
      <c r="H73" s="15">
        <f>'التسويق'!O7</f>
        <v/>
      </c>
      <c r="I73" s="24">
        <f>'التسويق'!G7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التسويق</t>
        </is>
      </c>
      <c r="C74" s="13">
        <f>'التسويق'!C8</f>
        <v/>
      </c>
      <c r="D74" s="15">
        <f>'التسويق'!J8</f>
        <v/>
      </c>
      <c r="E74" s="13">
        <f>'التسويق'!K8</f>
        <v/>
      </c>
      <c r="F74" s="15">
        <f>'التسويق'!L8</f>
        <v/>
      </c>
      <c r="G74" s="50">
        <f>'التسويق'!N8</f>
        <v/>
      </c>
      <c r="H74" s="15">
        <f>'التسويق'!O8</f>
        <v/>
      </c>
      <c r="I74" s="24">
        <f>'التسويق'!G8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الجودة</t>
        </is>
      </c>
      <c r="C75" s="13">
        <f>'الجودة'!C4</f>
        <v/>
      </c>
      <c r="D75" s="15">
        <f>'الجودة'!J4</f>
        <v/>
      </c>
      <c r="E75" s="13">
        <f>'الجودة'!K4</f>
        <v/>
      </c>
      <c r="F75" s="15">
        <f>'الجودة'!L4</f>
        <v/>
      </c>
      <c r="G75" s="50">
        <f>'الجودة'!N4</f>
        <v/>
      </c>
      <c r="H75" s="15">
        <f>'الجودة'!O4</f>
        <v/>
      </c>
      <c r="I75" s="24">
        <f>'الجودة'!G4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الجودة</t>
        </is>
      </c>
      <c r="C76" s="13">
        <f>'الجودة'!C5</f>
        <v/>
      </c>
      <c r="D76" s="15">
        <f>'الجودة'!J5</f>
        <v/>
      </c>
      <c r="E76" s="13">
        <f>'الجودة'!K5</f>
        <v/>
      </c>
      <c r="F76" s="15">
        <f>'الجودة'!L5</f>
        <v/>
      </c>
      <c r="G76" s="50">
        <f>'الجودة'!N5</f>
        <v/>
      </c>
      <c r="H76" s="15">
        <f>'الجودة'!O5</f>
        <v/>
      </c>
      <c r="I76" s="24">
        <f>'الجودة'!G5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الجودة</t>
        </is>
      </c>
      <c r="C77" s="13">
        <f>'الجودة'!C6</f>
        <v/>
      </c>
      <c r="D77" s="15">
        <f>'الجودة'!J6</f>
        <v/>
      </c>
      <c r="E77" s="13">
        <f>'الجودة'!K6</f>
        <v/>
      </c>
      <c r="F77" s="15">
        <f>'الجودة'!L6</f>
        <v/>
      </c>
      <c r="G77" s="50">
        <f>'الجودة'!N6</f>
        <v/>
      </c>
      <c r="H77" s="15">
        <f>'الجودة'!O6</f>
        <v/>
      </c>
      <c r="I77" s="24">
        <f>'الجودة'!G6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الجودة</t>
        </is>
      </c>
      <c r="C78" s="13">
        <f>'الجودة'!C7</f>
        <v/>
      </c>
      <c r="D78" s="15">
        <f>'الجودة'!J7</f>
        <v/>
      </c>
      <c r="E78" s="13">
        <f>'الجودة'!K7</f>
        <v/>
      </c>
      <c r="F78" s="15">
        <f>'الجودة'!L7</f>
        <v/>
      </c>
      <c r="G78" s="50">
        <f>'الجودة'!N7</f>
        <v/>
      </c>
      <c r="H78" s="15">
        <f>'الجودة'!O7</f>
        <v/>
      </c>
      <c r="I78" s="24">
        <f>'الجودة'!G7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الجودة</t>
        </is>
      </c>
      <c r="C79" s="13">
        <f>'الجودة'!C8</f>
        <v/>
      </c>
      <c r="D79" s="15">
        <f>'الجودة'!J8</f>
        <v/>
      </c>
      <c r="E79" s="13">
        <f>'الجودة'!K8</f>
        <v/>
      </c>
      <c r="F79" s="15">
        <f>'الجودة'!L8</f>
        <v/>
      </c>
      <c r="G79" s="50">
        <f>'الجودة'!N8</f>
        <v/>
      </c>
      <c r="H79" s="15">
        <f>'الجودة'!O8</f>
        <v/>
      </c>
      <c r="I79" s="24">
        <f>'الجودة'!G8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الجودة</t>
        </is>
      </c>
      <c r="C80" s="13">
        <f>'الجودة'!C9</f>
        <v/>
      </c>
      <c r="D80" s="15">
        <f>'الجودة'!J9</f>
        <v/>
      </c>
      <c r="E80" s="13">
        <f>'الجودة'!K9</f>
        <v/>
      </c>
      <c r="F80" s="15">
        <f>'الجودة'!L9</f>
        <v/>
      </c>
      <c r="G80" s="50">
        <f>'الجودة'!N9</f>
        <v/>
      </c>
      <c r="H80" s="15">
        <f>'الجودة'!O9</f>
        <v/>
      </c>
      <c r="I80" s="24">
        <f>'الجودة'!G9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الجودة</t>
        </is>
      </c>
      <c r="C81" s="13">
        <f>'الجودة'!C10</f>
        <v/>
      </c>
      <c r="D81" s="15">
        <f>'الجودة'!J10</f>
        <v/>
      </c>
      <c r="E81" s="13">
        <f>'الجودة'!K10</f>
        <v/>
      </c>
      <c r="F81" s="15">
        <f>'الجودة'!L10</f>
        <v/>
      </c>
      <c r="G81" s="50">
        <f>'الجودة'!N10</f>
        <v/>
      </c>
      <c r="H81" s="15">
        <f>'الجودة'!O10</f>
        <v/>
      </c>
      <c r="I81" s="24">
        <f>'الجودة'!G10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الجودة</t>
        </is>
      </c>
      <c r="C82" s="13">
        <f>'الجودة'!C11</f>
        <v/>
      </c>
      <c r="D82" s="15">
        <f>'الجودة'!J11</f>
        <v/>
      </c>
      <c r="E82" s="13">
        <f>'الجودة'!K11</f>
        <v/>
      </c>
      <c r="F82" s="15">
        <f>'الجودة'!L11</f>
        <v/>
      </c>
      <c r="G82" s="50">
        <f>'الجودة'!N11</f>
        <v/>
      </c>
      <c r="H82" s="15">
        <f>'الجودة'!O11</f>
        <v/>
      </c>
      <c r="I82" s="24">
        <f>'الجودة'!G11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الجودة</t>
        </is>
      </c>
      <c r="C83" s="13">
        <f>'الجودة'!C12</f>
        <v/>
      </c>
      <c r="D83" s="15">
        <f>'الجودة'!J12</f>
        <v/>
      </c>
      <c r="E83" s="13">
        <f>'الجودة'!K12</f>
        <v/>
      </c>
      <c r="F83" s="15">
        <f>'الجودة'!L12</f>
        <v/>
      </c>
      <c r="G83" s="50">
        <f>'الجودة'!N12</f>
        <v/>
      </c>
      <c r="H83" s="15">
        <f>'الجودة'!O12</f>
        <v/>
      </c>
      <c r="I83" s="24">
        <f>'الجودة'!G12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الجودة</t>
        </is>
      </c>
      <c r="C84" s="13">
        <f>'الجودة'!C13</f>
        <v/>
      </c>
      <c r="D84" s="15">
        <f>'الجودة'!J13</f>
        <v/>
      </c>
      <c r="E84" s="13">
        <f>'الجودة'!K13</f>
        <v/>
      </c>
      <c r="F84" s="15">
        <f>'الجودة'!L13</f>
        <v/>
      </c>
      <c r="G84" s="50">
        <f>'الجودة'!N13</f>
        <v/>
      </c>
      <c r="H84" s="15">
        <f>'الجودة'!O13</f>
        <v/>
      </c>
      <c r="I84" s="24">
        <f>'الجودة'!G13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الجودة</t>
        </is>
      </c>
      <c r="C85" s="13">
        <f>'الجودة'!C14</f>
        <v/>
      </c>
      <c r="D85" s="15">
        <f>'الجودة'!J14</f>
        <v/>
      </c>
      <c r="E85" s="13">
        <f>'الجودة'!K14</f>
        <v/>
      </c>
      <c r="F85" s="15">
        <f>'الجودة'!L14</f>
        <v/>
      </c>
      <c r="G85" s="50">
        <f>'الجودة'!N14</f>
        <v/>
      </c>
      <c r="H85" s="15">
        <f>'الجودة'!O14</f>
        <v/>
      </c>
      <c r="I85" s="24">
        <f>'الجودة'!G14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الجودة</t>
        </is>
      </c>
      <c r="C86" s="13">
        <f>'الجودة'!C15</f>
        <v/>
      </c>
      <c r="D86" s="15">
        <f>'الجودة'!J15</f>
        <v/>
      </c>
      <c r="E86" s="13">
        <f>'الجودة'!K15</f>
        <v/>
      </c>
      <c r="F86" s="15">
        <f>'الجودة'!L15</f>
        <v/>
      </c>
      <c r="G86" s="50">
        <f>'الجودة'!N15</f>
        <v/>
      </c>
      <c r="H86" s="15">
        <f>'الجودة'!O15</f>
        <v/>
      </c>
      <c r="I86" s="24">
        <f>'الجودة'!G15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الجودة</t>
        </is>
      </c>
      <c r="C87" s="13">
        <f>'الجودة'!C16</f>
        <v/>
      </c>
      <c r="D87" s="15">
        <f>'الجودة'!J16</f>
        <v/>
      </c>
      <c r="E87" s="13">
        <f>'الجودة'!K16</f>
        <v/>
      </c>
      <c r="F87" s="15">
        <f>'الجودة'!L16</f>
        <v/>
      </c>
      <c r="G87" s="50">
        <f>'الجودة'!N16</f>
        <v/>
      </c>
      <c r="H87" s="15">
        <f>'الجودة'!O16</f>
        <v/>
      </c>
      <c r="I87" s="24">
        <f>'الجودة'!G16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الجودة</t>
        </is>
      </c>
      <c r="C88" s="13">
        <f>'الجودة'!C17</f>
        <v/>
      </c>
      <c r="D88" s="15">
        <f>'الجودة'!J17</f>
        <v/>
      </c>
      <c r="E88" s="13">
        <f>'الجودة'!K17</f>
        <v/>
      </c>
      <c r="F88" s="15">
        <f>'الجودة'!L17</f>
        <v/>
      </c>
      <c r="G88" s="50">
        <f>'الجودة'!N17</f>
        <v/>
      </c>
      <c r="H88" s="15">
        <f>'الجودة'!O17</f>
        <v/>
      </c>
      <c r="I88" s="24">
        <f>'الجودة'!G17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الجودة</t>
        </is>
      </c>
      <c r="C89" s="13">
        <f>'الجودة'!C18</f>
        <v/>
      </c>
      <c r="D89" s="15">
        <f>'الجودة'!J18</f>
        <v/>
      </c>
      <c r="E89" s="13">
        <f>'الجودة'!K18</f>
        <v/>
      </c>
      <c r="F89" s="15">
        <f>'الجودة'!L18</f>
        <v/>
      </c>
      <c r="G89" s="50">
        <f>'الجودة'!N18</f>
        <v/>
      </c>
      <c r="H89" s="15">
        <f>'الجودة'!O18</f>
        <v/>
      </c>
      <c r="I89" s="24">
        <f>'الجودة'!G18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الإدارة القانونية</t>
        </is>
      </c>
      <c r="C90" s="13">
        <f>'الإدارة القانونية'!C4</f>
        <v/>
      </c>
      <c r="D90" s="15">
        <f>'الإدارة القانونية'!J4</f>
        <v/>
      </c>
      <c r="E90" s="13">
        <f>'الإدارة القانونية'!K4</f>
        <v/>
      </c>
      <c r="F90" s="15">
        <f>'الإدارة القانونية'!L4</f>
        <v/>
      </c>
      <c r="G90" s="50">
        <f>'الإدارة القانونية'!N4</f>
        <v/>
      </c>
      <c r="H90" s="15">
        <f>'الإدارة القانونية'!O4</f>
        <v/>
      </c>
      <c r="I90" s="24">
        <f>'الإدارة القانونية'!G4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الإدارة القانونية</t>
        </is>
      </c>
      <c r="C91" s="13">
        <f>'الإدارة القانونية'!C5</f>
        <v/>
      </c>
      <c r="D91" s="15">
        <f>'الإدارة القانونية'!J5</f>
        <v/>
      </c>
      <c r="E91" s="13">
        <f>'الإدارة القانونية'!K5</f>
        <v/>
      </c>
      <c r="F91" s="15">
        <f>'الإدارة القانونية'!L5</f>
        <v/>
      </c>
      <c r="G91" s="50">
        <f>'الإدارة القانونية'!N5</f>
        <v/>
      </c>
      <c r="H91" s="15">
        <f>'الإدارة القانونية'!O5</f>
        <v/>
      </c>
      <c r="I91" s="24">
        <f>'الإدارة القانونية'!G5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الإدارة القانونية</t>
        </is>
      </c>
      <c r="C92" s="13">
        <f>'الإدارة القانونية'!C6</f>
        <v/>
      </c>
      <c r="D92" s="15">
        <f>'الإدارة القانونية'!J6</f>
        <v/>
      </c>
      <c r="E92" s="13">
        <f>'الإدارة القانونية'!K6</f>
        <v/>
      </c>
      <c r="F92" s="15">
        <f>'الإدارة القانونية'!L6</f>
        <v/>
      </c>
      <c r="G92" s="50">
        <f>'الإدارة القانونية'!N6</f>
        <v/>
      </c>
      <c r="H92" s="15">
        <f>'الإدارة القانونية'!O6</f>
        <v/>
      </c>
      <c r="I92" s="24">
        <f>'الإدارة القانونية'!G6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الإدارة المالية</t>
        </is>
      </c>
      <c r="C93" s="13">
        <f>'الإدارة المالية'!C4</f>
        <v/>
      </c>
      <c r="D93" s="15">
        <f>'الإدارة المالية'!J4</f>
        <v/>
      </c>
      <c r="E93" s="13">
        <f>'الإدارة المالية'!K4</f>
        <v/>
      </c>
      <c r="F93" s="15">
        <f>'الإدارة المالية'!L4</f>
        <v/>
      </c>
      <c r="G93" s="50">
        <f>'الإدارة المالية'!N4</f>
        <v/>
      </c>
      <c r="H93" s="15">
        <f>'الإدارة المالية'!O4</f>
        <v/>
      </c>
      <c r="I93" s="24">
        <f>'الإدارة المالية'!G4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الإدارة المالية</t>
        </is>
      </c>
      <c r="C94" s="13">
        <f>'الإدارة المالية'!C5</f>
        <v/>
      </c>
      <c r="D94" s="15">
        <f>'الإدارة المالية'!J5</f>
        <v/>
      </c>
      <c r="E94" s="13">
        <f>'الإدارة المالية'!K5</f>
        <v/>
      </c>
      <c r="F94" s="15">
        <f>'الإدارة المالية'!L5</f>
        <v/>
      </c>
      <c r="G94" s="50">
        <f>'الإدارة المالية'!N5</f>
        <v/>
      </c>
      <c r="H94" s="15">
        <f>'الإدارة المالية'!O5</f>
        <v/>
      </c>
      <c r="I94" s="24">
        <f>'الإدارة المالية'!G5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الإدارة المالية</t>
        </is>
      </c>
      <c r="C95" s="13">
        <f>'الإدارة المالية'!C6</f>
        <v/>
      </c>
      <c r="D95" s="15">
        <f>'الإدارة المالية'!J6</f>
        <v/>
      </c>
      <c r="E95" s="13">
        <f>'الإدارة المالية'!K6</f>
        <v/>
      </c>
      <c r="F95" s="15">
        <f>'الإدارة المالية'!L6</f>
        <v/>
      </c>
      <c r="G95" s="50">
        <f>'الإدارة المالية'!N6</f>
        <v/>
      </c>
      <c r="H95" s="15">
        <f>'الإدارة المالية'!O6</f>
        <v/>
      </c>
      <c r="I95" s="24">
        <f>'الإدارة المالية'!G6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الإدارة المالية</t>
        </is>
      </c>
      <c r="C96" s="13">
        <f>'الإدارة المالية'!C7</f>
        <v/>
      </c>
      <c r="D96" s="15">
        <f>'الإدارة المالية'!J7</f>
        <v/>
      </c>
      <c r="E96" s="13">
        <f>'الإدارة المالية'!K7</f>
        <v/>
      </c>
      <c r="F96" s="15">
        <f>'الإدارة المالية'!L7</f>
        <v/>
      </c>
      <c r="G96" s="50">
        <f>'الإدارة المالية'!N7</f>
        <v/>
      </c>
      <c r="H96" s="15">
        <f>'الإدارة المالية'!O7</f>
        <v/>
      </c>
      <c r="I96" s="24">
        <f>'الإدارة المالية'!G7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الإدارة المالية</t>
        </is>
      </c>
      <c r="C97" s="13">
        <f>'الإدارة المالية'!C8</f>
        <v/>
      </c>
      <c r="D97" s="15">
        <f>'الإدارة المالية'!J8</f>
        <v/>
      </c>
      <c r="E97" s="13">
        <f>'الإدارة المالية'!K8</f>
        <v/>
      </c>
      <c r="F97" s="15">
        <f>'الإدارة المالية'!L8</f>
        <v/>
      </c>
      <c r="G97" s="50">
        <f>'الإدارة المالية'!N8</f>
        <v/>
      </c>
      <c r="H97" s="15">
        <f>'الإدارة المالية'!O8</f>
        <v/>
      </c>
      <c r="I97" s="24">
        <f>'الإدارة المالية'!G8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الإدارة المالية</t>
        </is>
      </c>
      <c r="C98" s="13">
        <f>'الإدارة المالية'!C9</f>
        <v/>
      </c>
      <c r="D98" s="15">
        <f>'الإدارة المالية'!J9</f>
        <v/>
      </c>
      <c r="E98" s="13">
        <f>'الإدارة المالية'!K9</f>
        <v/>
      </c>
      <c r="F98" s="15">
        <f>'الإدارة المالية'!L9</f>
        <v/>
      </c>
      <c r="G98" s="50">
        <f>'الإدارة المالية'!N9</f>
        <v/>
      </c>
      <c r="H98" s="15">
        <f>'الإدارة المالية'!O9</f>
        <v/>
      </c>
      <c r="I98" s="24">
        <f>'الإدارة المالية'!G9</f>
        <v/>
      </c>
      <c r="J98" s="15">
        <f>IF($G98="",0,$G98*$I98)</f>
        <v/>
      </c>
      <c r="K98" s="15">
        <f>IF($G98="",0,$I98)</f>
        <v/>
      </c>
    </row>
    <row r="99">
      <c r="A99" s="15" t="n">
        <v>98</v>
      </c>
      <c r="B99" s="13" t="inlineStr">
        <is>
          <t>الإدارة المالية</t>
        </is>
      </c>
      <c r="C99" s="13">
        <f>'الإدارة المالية'!C10</f>
        <v/>
      </c>
      <c r="D99" s="15">
        <f>'الإدارة المالية'!J10</f>
        <v/>
      </c>
      <c r="E99" s="13">
        <f>'الإدارة المالية'!K10</f>
        <v/>
      </c>
      <c r="F99" s="15">
        <f>'الإدارة المالية'!L10</f>
        <v/>
      </c>
      <c r="G99" s="50">
        <f>'الإدارة المالية'!N10</f>
        <v/>
      </c>
      <c r="H99" s="15">
        <f>'الإدارة المالية'!O10</f>
        <v/>
      </c>
      <c r="I99" s="24">
        <f>'الإدارة المالية'!G10</f>
        <v/>
      </c>
      <c r="J99" s="15">
        <f>IF($G99="",0,$G99*$I99)</f>
        <v/>
      </c>
      <c r="K99" s="15">
        <f>IF($G99="",0,$I99)</f>
        <v/>
      </c>
    </row>
    <row r="100">
      <c r="A100" s="15" t="n">
        <v>99</v>
      </c>
      <c r="B100" s="13" t="inlineStr">
        <is>
          <t>الإدارة المالية</t>
        </is>
      </c>
      <c r="C100" s="13">
        <f>'الإدارة المالية'!C11</f>
        <v/>
      </c>
      <c r="D100" s="15">
        <f>'الإدارة المالية'!J11</f>
        <v/>
      </c>
      <c r="E100" s="13">
        <f>'الإدارة المالية'!K11</f>
        <v/>
      </c>
      <c r="F100" s="15">
        <f>'الإدارة المالية'!L11</f>
        <v/>
      </c>
      <c r="G100" s="50">
        <f>'الإدارة المالية'!N11</f>
        <v/>
      </c>
      <c r="H100" s="15">
        <f>'الإدارة المالية'!O11</f>
        <v/>
      </c>
      <c r="I100" s="24">
        <f>'الإدارة المالية'!G11</f>
        <v/>
      </c>
      <c r="J100" s="15">
        <f>IF($G100="",0,$G100*$I100)</f>
        <v/>
      </c>
      <c r="K100" s="15">
        <f>IF($G100="",0,$I100)</f>
        <v/>
      </c>
    </row>
    <row r="101">
      <c r="A101" s="15" t="n">
        <v>100</v>
      </c>
      <c r="B101" s="13" t="inlineStr">
        <is>
          <t>الإدارة المالية</t>
        </is>
      </c>
      <c r="C101" s="13">
        <f>'الإدارة المالية'!C12</f>
        <v/>
      </c>
      <c r="D101" s="15">
        <f>'الإدارة المالية'!J12</f>
        <v/>
      </c>
      <c r="E101" s="13">
        <f>'الإدارة المالية'!K12</f>
        <v/>
      </c>
      <c r="F101" s="15">
        <f>'الإدارة المالية'!L12</f>
        <v/>
      </c>
      <c r="G101" s="50">
        <f>'الإدارة المالية'!N12</f>
        <v/>
      </c>
      <c r="H101" s="15">
        <f>'الإدارة المالية'!O12</f>
        <v/>
      </c>
      <c r="I101" s="24">
        <f>'الإدارة المالية'!G12</f>
        <v/>
      </c>
      <c r="J101" s="15">
        <f>IF($G101="",0,$G101*$I101)</f>
        <v/>
      </c>
      <c r="K101" s="15">
        <f>IF($G101="",0,$I101)</f>
        <v/>
      </c>
    </row>
    <row r="102">
      <c r="A102" s="15" t="n">
        <v>101</v>
      </c>
      <c r="B102" s="13" t="inlineStr">
        <is>
          <t>الإدارة المالية</t>
        </is>
      </c>
      <c r="C102" s="13">
        <f>'الإدارة المالية'!C13</f>
        <v/>
      </c>
      <c r="D102" s="15">
        <f>'الإدارة المالية'!J13</f>
        <v/>
      </c>
      <c r="E102" s="13">
        <f>'الإدارة المالية'!K13</f>
        <v/>
      </c>
      <c r="F102" s="15">
        <f>'الإدارة المالية'!L13</f>
        <v/>
      </c>
      <c r="G102" s="50">
        <f>'الإدارة المالية'!N13</f>
        <v/>
      </c>
      <c r="H102" s="15">
        <f>'الإدارة المالية'!O13</f>
        <v/>
      </c>
      <c r="I102" s="24">
        <f>'الإدارة المالية'!G13</f>
        <v/>
      </c>
      <c r="J102" s="15">
        <f>IF($G102="",0,$G102*$I102)</f>
        <v/>
      </c>
      <c r="K102" s="15">
        <f>IF($G102="",0,$I102)</f>
        <v/>
      </c>
    </row>
    <row r="103">
      <c r="A103" s="15" t="n">
        <v>102</v>
      </c>
      <c r="B103" s="13" t="inlineStr">
        <is>
          <t>الإدارة المالية</t>
        </is>
      </c>
      <c r="C103" s="13">
        <f>'الإدارة المالية'!C14</f>
        <v/>
      </c>
      <c r="D103" s="15">
        <f>'الإدارة المالية'!J14</f>
        <v/>
      </c>
      <c r="E103" s="13">
        <f>'الإدارة المالية'!K14</f>
        <v/>
      </c>
      <c r="F103" s="15">
        <f>'الإدارة المالية'!L14</f>
        <v/>
      </c>
      <c r="G103" s="50">
        <f>'الإدارة المالية'!N14</f>
        <v/>
      </c>
      <c r="H103" s="15">
        <f>'الإدارة المالية'!O14</f>
        <v/>
      </c>
      <c r="I103" s="24">
        <f>'الإدارة المالية'!G14</f>
        <v/>
      </c>
      <c r="J103" s="15">
        <f>IF($G103="",0,$G103*$I103)</f>
        <v/>
      </c>
      <c r="K103" s="15">
        <f>IF($G103="",0,$I103)</f>
        <v/>
      </c>
    </row>
    <row r="104">
      <c r="A104" s="15" t="n">
        <v>103</v>
      </c>
      <c r="B104" s="13" t="inlineStr">
        <is>
          <t>الإدارة المالية</t>
        </is>
      </c>
      <c r="C104" s="13">
        <f>'الإدارة المالية'!C15</f>
        <v/>
      </c>
      <c r="D104" s="15">
        <f>'الإدارة المالية'!J15</f>
        <v/>
      </c>
      <c r="E104" s="13">
        <f>'الإدارة المالية'!K15</f>
        <v/>
      </c>
      <c r="F104" s="15">
        <f>'الإدارة المالية'!L15</f>
        <v/>
      </c>
      <c r="G104" s="50">
        <f>'الإدارة المالية'!N15</f>
        <v/>
      </c>
      <c r="H104" s="15">
        <f>'الإدارة المالية'!O15</f>
        <v/>
      </c>
      <c r="I104" s="24">
        <f>'الإدارة المالية'!G15</f>
        <v/>
      </c>
      <c r="J104" s="15">
        <f>IF($G104="",0,$G104*$I104)</f>
        <v/>
      </c>
      <c r="K104" s="15">
        <f>IF($G104="",0,$I104)</f>
        <v/>
      </c>
    </row>
    <row r="105">
      <c r="A105" s="15" t="n">
        <v>104</v>
      </c>
      <c r="B105" s="13" t="inlineStr">
        <is>
          <t>الإدارة المالية</t>
        </is>
      </c>
      <c r="C105" s="13">
        <f>'الإدارة المالية'!C16</f>
        <v/>
      </c>
      <c r="D105" s="15">
        <f>'الإدارة المالية'!J16</f>
        <v/>
      </c>
      <c r="E105" s="13">
        <f>'الإدارة المالية'!K16</f>
        <v/>
      </c>
      <c r="F105" s="15">
        <f>'الإدارة المالية'!L16</f>
        <v/>
      </c>
      <c r="G105" s="50">
        <f>'الإدارة المالية'!N16</f>
        <v/>
      </c>
      <c r="H105" s="15">
        <f>'الإدارة المالية'!O16</f>
        <v/>
      </c>
      <c r="I105" s="24">
        <f>'الإدارة المالية'!G16</f>
        <v/>
      </c>
      <c r="J105" s="15">
        <f>IF($G105="",0,$G105*$I105)</f>
        <v/>
      </c>
      <c r="K105" s="15">
        <f>IF($G105="",0,$I105)</f>
        <v/>
      </c>
    </row>
    <row r="106">
      <c r="A106" s="15" t="n">
        <v>105</v>
      </c>
      <c r="B106" s="13" t="inlineStr">
        <is>
          <t>الإدارة المالية</t>
        </is>
      </c>
      <c r="C106" s="13">
        <f>'الإدارة المالية'!C17</f>
        <v/>
      </c>
      <c r="D106" s="15">
        <f>'الإدارة المالية'!J17</f>
        <v/>
      </c>
      <c r="E106" s="13">
        <f>'الإدارة المالية'!K17</f>
        <v/>
      </c>
      <c r="F106" s="15">
        <f>'الإدارة المالية'!L17</f>
        <v/>
      </c>
      <c r="G106" s="50">
        <f>'الإدارة المالية'!N17</f>
        <v/>
      </c>
      <c r="H106" s="15">
        <f>'الإدارة المالية'!O17</f>
        <v/>
      </c>
      <c r="I106" s="24">
        <f>'الإدارة المالية'!G17</f>
        <v/>
      </c>
      <c r="J106" s="15">
        <f>IF($G106="",0,$G106*$I106)</f>
        <v/>
      </c>
      <c r="K106" s="15">
        <f>IF($G106="",0,$I106)</f>
        <v/>
      </c>
    </row>
    <row r="107">
      <c r="A107" s="15" t="n">
        <v>106</v>
      </c>
      <c r="B107" s="13" t="inlineStr">
        <is>
          <t>الإدارة المالية</t>
        </is>
      </c>
      <c r="C107" s="13">
        <f>'الإدارة المالية'!C18</f>
        <v/>
      </c>
      <c r="D107" s="15">
        <f>'الإدارة المالية'!J18</f>
        <v/>
      </c>
      <c r="E107" s="13">
        <f>'الإدارة المالية'!K18</f>
        <v/>
      </c>
      <c r="F107" s="15">
        <f>'الإدارة المالية'!L18</f>
        <v/>
      </c>
      <c r="G107" s="50">
        <f>'الإدارة المالية'!N18</f>
        <v/>
      </c>
      <c r="H107" s="15">
        <f>'الإدارة المالية'!O18</f>
        <v/>
      </c>
      <c r="I107" s="24">
        <f>'الإدارة المالية'!G18</f>
        <v/>
      </c>
      <c r="J107" s="15">
        <f>IF($G107="",0,$G107*$I107)</f>
        <v/>
      </c>
      <c r="K107" s="15">
        <f>IF($G107="",0,$I107)</f>
        <v/>
      </c>
    </row>
    <row r="108">
      <c r="A108" s="15" t="n">
        <v>107</v>
      </c>
      <c r="B108" s="13" t="inlineStr">
        <is>
          <t>الإدارة المالية</t>
        </is>
      </c>
      <c r="C108" s="13">
        <f>'الإدارة المالية'!C19</f>
        <v/>
      </c>
      <c r="D108" s="15">
        <f>'الإدارة المالية'!J19</f>
        <v/>
      </c>
      <c r="E108" s="13">
        <f>'الإدارة المالية'!K19</f>
        <v/>
      </c>
      <c r="F108" s="15">
        <f>'الإدارة المالية'!L19</f>
        <v/>
      </c>
      <c r="G108" s="50">
        <f>'الإدارة المالية'!N19</f>
        <v/>
      </c>
      <c r="H108" s="15">
        <f>'الإدارة المالية'!O19</f>
        <v/>
      </c>
      <c r="I108" s="24">
        <f>'الإدارة المالية'!G19</f>
        <v/>
      </c>
      <c r="J108" s="15">
        <f>IF($G108="",0,$G108*$I108)</f>
        <v/>
      </c>
      <c r="K108" s="15">
        <f>IF($G108="",0,$I108)</f>
        <v/>
      </c>
    </row>
    <row r="109">
      <c r="A109" s="15" t="n">
        <v>108</v>
      </c>
      <c r="B109" s="13" t="inlineStr">
        <is>
          <t>الإدارة المالية</t>
        </is>
      </c>
      <c r="C109" s="13">
        <f>'الإدارة المالية'!C20</f>
        <v/>
      </c>
      <c r="D109" s="15">
        <f>'الإدارة المالية'!J20</f>
        <v/>
      </c>
      <c r="E109" s="13">
        <f>'الإدارة المالية'!K20</f>
        <v/>
      </c>
      <c r="F109" s="15">
        <f>'الإدارة المالية'!L20</f>
        <v/>
      </c>
      <c r="G109" s="50">
        <f>'الإدارة المالية'!N20</f>
        <v/>
      </c>
      <c r="H109" s="15">
        <f>'الإدارة المالية'!O20</f>
        <v/>
      </c>
      <c r="I109" s="24">
        <f>'الإدارة المالية'!G20</f>
        <v/>
      </c>
      <c r="J109" s="15">
        <f>IF($G109="",0,$G109*$I109)</f>
        <v/>
      </c>
      <c r="K109" s="15">
        <f>IF($G109="",0,$I109)</f>
        <v/>
      </c>
    </row>
    <row r="110">
      <c r="A110" s="15" t="n">
        <v>109</v>
      </c>
      <c r="B110" s="13" t="inlineStr">
        <is>
          <t>الإدارة المالية</t>
        </is>
      </c>
      <c r="C110" s="13">
        <f>'الإدارة المالية'!C21</f>
        <v/>
      </c>
      <c r="D110" s="15">
        <f>'الإدارة المالية'!J21</f>
        <v/>
      </c>
      <c r="E110" s="13">
        <f>'الإدارة المالية'!K21</f>
        <v/>
      </c>
      <c r="F110" s="15">
        <f>'الإدارة المالية'!L21</f>
        <v/>
      </c>
      <c r="G110" s="50">
        <f>'الإدارة المالية'!N21</f>
        <v/>
      </c>
      <c r="H110" s="15">
        <f>'الإدارة المالية'!O21</f>
        <v/>
      </c>
      <c r="I110" s="24">
        <f>'الإدارة المالية'!G21</f>
        <v/>
      </c>
      <c r="J110" s="15">
        <f>IF($G110="",0,$G110*$I110)</f>
        <v/>
      </c>
      <c r="K110" s="15">
        <f>IF($G110="",0,$I110)</f>
        <v/>
      </c>
    </row>
    <row r="111">
      <c r="A111" s="15" t="n">
        <v>110</v>
      </c>
      <c r="B111" s="13" t="inlineStr">
        <is>
          <t>الإدارة المالية</t>
        </is>
      </c>
      <c r="C111" s="13">
        <f>'الإدارة المالية'!C22</f>
        <v/>
      </c>
      <c r="D111" s="15">
        <f>'الإدارة المالية'!J22</f>
        <v/>
      </c>
      <c r="E111" s="13">
        <f>'الإدارة المالية'!K22</f>
        <v/>
      </c>
      <c r="F111" s="15">
        <f>'الإدارة المالية'!L22</f>
        <v/>
      </c>
      <c r="G111" s="50">
        <f>'الإدارة المالية'!N22</f>
        <v/>
      </c>
      <c r="H111" s="15">
        <f>'الإدارة المالية'!O22</f>
        <v/>
      </c>
      <c r="I111" s="24">
        <f>'الإدارة المالية'!G22</f>
        <v/>
      </c>
      <c r="J111" s="15">
        <f>IF($G111="",0,$G111*$I111)</f>
        <v/>
      </c>
      <c r="K111" s="15">
        <f>IF($G111="",0,$I111)</f>
        <v/>
      </c>
    </row>
    <row r="112">
      <c r="A112" s="15" t="n">
        <v>111</v>
      </c>
      <c r="B112" s="13" t="inlineStr">
        <is>
          <t>الإدارة المالية</t>
        </is>
      </c>
      <c r="C112" s="13">
        <f>'الإدارة المالية'!C23</f>
        <v/>
      </c>
      <c r="D112" s="15">
        <f>'الإدارة المالية'!J23</f>
        <v/>
      </c>
      <c r="E112" s="13">
        <f>'الإدارة المالية'!K23</f>
        <v/>
      </c>
      <c r="F112" s="15">
        <f>'الإدارة المالية'!L23</f>
        <v/>
      </c>
      <c r="G112" s="50">
        <f>'الإدارة المالية'!N23</f>
        <v/>
      </c>
      <c r="H112" s="15">
        <f>'الإدارة المالية'!O23</f>
        <v/>
      </c>
      <c r="I112" s="24">
        <f>'الإدارة المالية'!G23</f>
        <v/>
      </c>
      <c r="J112" s="15">
        <f>IF($G112="",0,$G112*$I112)</f>
        <v/>
      </c>
      <c r="K112" s="15">
        <f>IF($G112="",0,$I112)</f>
        <v/>
      </c>
    </row>
    <row r="113">
      <c r="A113" s="15" t="n">
        <v>112</v>
      </c>
      <c r="B113" s="13" t="inlineStr">
        <is>
          <t>الإدارة المالية</t>
        </is>
      </c>
      <c r="C113" s="13">
        <f>'الإدارة المالية'!C24</f>
        <v/>
      </c>
      <c r="D113" s="15">
        <f>'الإدارة المالية'!J24</f>
        <v/>
      </c>
      <c r="E113" s="13">
        <f>'الإدارة المالية'!K24</f>
        <v/>
      </c>
      <c r="F113" s="15">
        <f>'الإدارة المالية'!L24</f>
        <v/>
      </c>
      <c r="G113" s="50">
        <f>'الإدارة المالية'!N24</f>
        <v/>
      </c>
      <c r="H113" s="15">
        <f>'الإدارة المالية'!O24</f>
        <v/>
      </c>
      <c r="I113" s="24">
        <f>'الإدارة المالية'!G24</f>
        <v/>
      </c>
      <c r="J113" s="15">
        <f>IF($G113="",0,$G113*$I113)</f>
        <v/>
      </c>
      <c r="K113" s="15">
        <f>IF($G113="",0,$I113)</f>
        <v/>
      </c>
    </row>
    <row r="114">
      <c r="A114" s="15" t="n">
        <v>113</v>
      </c>
      <c r="B114" s="13" t="inlineStr">
        <is>
          <t>الإدارة المالية</t>
        </is>
      </c>
      <c r="C114" s="13">
        <f>'الإدارة المالية'!C25</f>
        <v/>
      </c>
      <c r="D114" s="15">
        <f>'الإدارة المالية'!J25</f>
        <v/>
      </c>
      <c r="E114" s="13">
        <f>'الإدارة المالية'!K25</f>
        <v/>
      </c>
      <c r="F114" s="15">
        <f>'الإدارة المالية'!L25</f>
        <v/>
      </c>
      <c r="G114" s="50">
        <f>'الإدارة المالية'!N25</f>
        <v/>
      </c>
      <c r="H114" s="15">
        <f>'الإدارة المالية'!O25</f>
        <v/>
      </c>
      <c r="I114" s="24">
        <f>'الإدارة المالية'!G25</f>
        <v/>
      </c>
      <c r="J114" s="15">
        <f>IF($G114="",0,$G114*$I114)</f>
        <v/>
      </c>
      <c r="K114" s="15">
        <f>IF($G114="",0,$I114)</f>
        <v/>
      </c>
    </row>
    <row r="115">
      <c r="A115" s="15" t="n">
        <v>114</v>
      </c>
      <c r="B115" s="13" t="inlineStr">
        <is>
          <t>الإدارة المالية</t>
        </is>
      </c>
      <c r="C115" s="13">
        <f>'الإدارة المالية'!C26</f>
        <v/>
      </c>
      <c r="D115" s="15">
        <f>'الإدارة المالية'!J26</f>
        <v/>
      </c>
      <c r="E115" s="13">
        <f>'الإدارة المالية'!K26</f>
        <v/>
      </c>
      <c r="F115" s="15">
        <f>'الإدارة المالية'!L26</f>
        <v/>
      </c>
      <c r="G115" s="50">
        <f>'الإدارة المالية'!N26</f>
        <v/>
      </c>
      <c r="H115" s="15">
        <f>'الإدارة المالية'!O26</f>
        <v/>
      </c>
      <c r="I115" s="24">
        <f>'الإدارة المالية'!G26</f>
        <v/>
      </c>
      <c r="J115" s="15">
        <f>IF($G115="",0,$G115*$I115)</f>
        <v/>
      </c>
      <c r="K115" s="15">
        <f>IF($G115="",0,$I115)</f>
        <v/>
      </c>
    </row>
    <row r="116">
      <c r="A116" s="15" t="n">
        <v>115</v>
      </c>
      <c r="B116" s="13" t="inlineStr">
        <is>
          <t>الإدارة المالية</t>
        </is>
      </c>
      <c r="C116" s="13">
        <f>'الإدارة المالية'!C27</f>
        <v/>
      </c>
      <c r="D116" s="15">
        <f>'الإدارة المالية'!J27</f>
        <v/>
      </c>
      <c r="E116" s="13">
        <f>'الإدارة المالية'!K27</f>
        <v/>
      </c>
      <c r="F116" s="15">
        <f>'الإدارة المالية'!L27</f>
        <v/>
      </c>
      <c r="G116" s="50">
        <f>'الإدارة المالية'!N27</f>
        <v/>
      </c>
      <c r="H116" s="15">
        <f>'الإدارة المالية'!O27</f>
        <v/>
      </c>
      <c r="I116" s="24">
        <f>'الإدارة المالية'!G27</f>
        <v/>
      </c>
      <c r="J116" s="15">
        <f>IF($G116="",0,$G116*$I116)</f>
        <v/>
      </c>
      <c r="K116" s="15">
        <f>IF($G116="",0,$I116)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2026-07-28T07:48:23Z</dcterms:created>
  <dcterms:modified xmlns:dcterms="http://purl.org/dc/terms/" xmlns:xsi="http://www.w3.org/2001/XMLSchema-instance" xsi:type="dcterms:W3CDTF">2026-07-28T07:48:25Z</dcterms:modified>
</cp:coreProperties>
</file>