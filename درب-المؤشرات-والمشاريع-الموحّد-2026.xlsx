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تقرير المجلس" sheetId="1" state="visible" r:id="rId1"/>
    <sheet name="أهم المؤشرات (أفضل 5)" sheetId="2" state="visible" r:id="rId2"/>
    <sheet name="المؤشرات الجامعة" sheetId="3" state="visible" r:id="rId3"/>
    <sheet name="الاستراتيجية والمستهدفات" sheetId="4" state="visible" r:id="rId4"/>
    <sheet name="الخريطة الاستراتيجية" sheetId="5" state="visible" r:id="rId5"/>
    <sheet name="اللوحة الموجزة" sheetId="6" state="visible" r:id="rId6"/>
    <sheet name="تحليل الانحراف" sheetId="7" state="visible" r:id="rId7"/>
    <sheet name="التتبّع الشهري" sheetId="8" state="visible" r:id="rId8"/>
    <sheet name="سجل المخاطر" sheetId="9" state="visible" r:id="rId9"/>
    <sheet name="الاستدامة والحوكمة" sheetId="10" state="visible" r:id="rId10"/>
    <sheet name="مراجعة وحوكمة المؤشرات" sheetId="11" state="visible" r:id="rId11"/>
    <sheet name="بطاقة تعريف المؤشرات" sheetId="12" state="visible" r:id="rId12"/>
    <sheet name="الإدارة التنفيذية" sheetId="13" state="visible" r:id="rId13"/>
    <sheet name="الامتياز التجاري" sheetId="14" state="visible" r:id="rId14"/>
    <sheet name="التشغيل والمحطات" sheetId="15" state="visible" r:id="rId15"/>
    <sheet name="الاستثمار" sheetId="16" state="visible" r:id="rId16"/>
    <sheet name="العقار" sheetId="17" state="visible" r:id="rId17"/>
    <sheet name="إدارة المشاريع" sheetId="18" state="visible" r:id="rId18"/>
    <sheet name="سلاسل الإمداد" sheetId="19" state="visible" r:id="rId19"/>
    <sheet name="الصيانة والأتمتة" sheetId="20" state="visible" r:id="rId20"/>
    <sheet name="التقنية الرقمية" sheetId="21" state="visible" r:id="rId21"/>
    <sheet name="الموارد البشرية" sheetId="22" state="visible" r:id="rId22"/>
    <sheet name="التسويق" sheetId="23" state="visible" r:id="rId23"/>
    <sheet name="الجودة" sheetId="24" state="visible" r:id="rId24"/>
    <sheet name="الإدارة القانونية" sheetId="25" state="visible" r:id="rId25"/>
    <sheet name="الإدارة المالية" sheetId="26" state="visible" r:id="rId26"/>
    <sheet name="سجل المشاريع" sheetId="27" state="visible" r:id="rId27"/>
    <sheet name="قاعدة المؤشرات" sheetId="28" state="hidden" r:id="rId28"/>
  </sheets>
  <definedNames>
    <definedName name="_xlnm._FilterDatabase" localSheetId="2" hidden="1">'المؤشرات الجامعة'!$A$2:$I$79</definedName>
    <definedName name="_xlnm._FilterDatabase" localSheetId="6" hidden="1">'تحليل الانحراف'!$A$2:$M$164</definedName>
    <definedName name="_xlnm._FilterDatabase" localSheetId="7" hidden="1">'التتبّع الشهري'!$A$3:$X$227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المؤشرات'!$A$2:$N$226</definedName>
    <definedName name="_xlnm._FilterDatabase" localSheetId="12" hidden="1">'الإدارة التنفيذية'!$A$3:$T$17</definedName>
    <definedName name="_xlnm._FilterDatabase" localSheetId="13" hidden="1">'الامتياز التجاري'!$A$3:$T$35</definedName>
    <definedName name="_xlnm._FilterDatabase" localSheetId="14" hidden="1">'التشغيل والمحطات'!$A$3:$T$32</definedName>
    <definedName name="_xlnm._FilterDatabase" localSheetId="15" hidden="1">'الاستثمار'!$A$3:$T$19</definedName>
    <definedName name="_xlnm._FilterDatabase" localSheetId="16" hidden="1">'العقار'!$A$3:$T$24</definedName>
    <definedName name="_xlnm._FilterDatabase" localSheetId="17" hidden="1">'إدارة المشاريع'!$A$3:$T$21</definedName>
    <definedName name="_xlnm._FilterDatabase" localSheetId="18" hidden="1">'سلاسل الإمداد'!$A$3:$T$20</definedName>
    <definedName name="_xlnm._FilterDatabase" localSheetId="19" hidden="1">'الصيانة والأتمتة'!$A$3:$T$16</definedName>
    <definedName name="_xlnm._FilterDatabase" localSheetId="20" hidden="1">'التقنية الرقمية'!$A$3:$T$20</definedName>
    <definedName name="_xlnm._FilterDatabase" localSheetId="21" hidden="1">'الموارد البشرية'!$A$3:$T$20</definedName>
    <definedName name="_xlnm._FilterDatabase" localSheetId="22" hidden="1">'التسويق'!$A$3:$T$19</definedName>
    <definedName name="_xlnm._FilterDatabase" localSheetId="23" hidden="1">'الجودة'!$A$3:$T$39</definedName>
    <definedName name="_xlnm._FilterDatabase" localSheetId="24" hidden="1">'الإدارة القانونية'!$A$3:$T$20</definedName>
    <definedName name="_xlnm._FilterDatabase" localSheetId="25" hidden="1">'الإدارة المالية'!$A$3:$T$31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المؤشرات'!$G$2:$G$225,'قاعدة المؤشرات'!$D$2:$D$225,"النمو"),"—")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المؤشرات'!$G$2:$G$225,'قاعدة المؤشرات'!$D$2:$D$225,"الابتكار"),"—")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المؤشرات'!$G$2:$G$225,'قاعدة المؤشرات'!$D$2:$D$225,"الاستدامة"),"—")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التنفيذية'!C8</f>
        <v/>
      </c>
      <c r="C7" s="22">
        <f>'الإدارة التنفيذية'!I8</f>
        <v/>
      </c>
      <c r="D7" s="23">
        <f>'الإدارة التنفيذية'!M8</f>
        <v/>
      </c>
      <c r="E7" s="10">
        <f>'الإدارة التنفيذية'!N8</f>
        <v/>
      </c>
      <c r="F7" s="20">
        <f>'الإدارة التنفيذية'!O8</f>
        <v/>
      </c>
      <c r="G7" s="24">
        <f>'الإدارة التنفيذية'!G8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والمحطات'!C26</f>
        <v/>
      </c>
      <c r="C19" s="22">
        <f>'التشغيل والمحطات'!I26</f>
        <v/>
      </c>
      <c r="D19" s="23">
        <f>'التشغيل والمحطات'!M26</f>
        <v/>
      </c>
      <c r="E19" s="10">
        <f>'التشغيل والمحطات'!N26</f>
        <v/>
      </c>
      <c r="F19" s="20">
        <f>'التشغيل والمحطات'!O26</f>
        <v/>
      </c>
      <c r="G19" s="24">
        <f>'التشغيل والمحطات'!G26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المالية'!C11</f>
        <v/>
      </c>
      <c r="C83" s="22">
        <f>'الإدارة المالية'!I11</f>
        <v/>
      </c>
      <c r="D83" s="23">
        <f>'الإدارة المالية'!M11</f>
        <v/>
      </c>
      <c r="E83" s="10">
        <f>'الإدارة المالية'!N11</f>
        <v/>
      </c>
      <c r="F83" s="20">
        <f>'الإدارة المالية'!O11</f>
        <v/>
      </c>
      <c r="G83" s="24">
        <f>'الإدارة المالية'!G11</f>
        <v/>
      </c>
    </row>
    <row r="84" ht="22" customHeight="1">
      <c r="A84" s="20" t="n">
        <v>3</v>
      </c>
      <c r="B84" s="21">
        <f>'الإدارة المالية'!C13</f>
        <v/>
      </c>
      <c r="C84" s="22">
        <f>'الإدارة المالية'!I13</f>
        <v/>
      </c>
      <c r="D84" s="23">
        <f>'الإدارة المالية'!M13</f>
        <v/>
      </c>
      <c r="E84" s="10">
        <f>'الإدارة المالية'!N13</f>
        <v/>
      </c>
      <c r="F84" s="20">
        <f>'الإدارة المالية'!O13</f>
        <v/>
      </c>
      <c r="G84" s="24">
        <f>'الإدارة المالية'!G13</f>
        <v/>
      </c>
    </row>
    <row r="85" ht="22" customHeight="1">
      <c r="A85" s="20" t="n">
        <v>4</v>
      </c>
      <c r="B85" s="21">
        <f>'الإدارة المالية'!C22</f>
        <v/>
      </c>
      <c r="C85" s="22">
        <f>'الإدارة المالية'!I22</f>
        <v/>
      </c>
      <c r="D85" s="23">
        <f>'الإدارة المالية'!M22</f>
        <v/>
      </c>
      <c r="E85" s="10">
        <f>'الإدارة المالية'!N22</f>
        <v/>
      </c>
      <c r="F85" s="20">
        <f>'الإدارة المالية'!O22</f>
        <v/>
      </c>
      <c r="G85" s="24">
        <f>'الإدارة المالية'!G22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5</v>
      </c>
      <c r="E3" s="28">
        <f>IFERROR(SUMIFS('قاعدة المؤشرات'!$J$2:$J$225,'قاعدة المؤشرات'!$B$2:$B$225,"الإدارة التنفيذية",'قاعدة المؤشرات'!$L$2:$L$225,"النمو")/SUMIFS('قاعدة المؤشرات'!$K$2:$K$225,'قاعدة المؤشرات'!$B$2:$B$225,"الإدارة التنفيذية",'قاعدة المؤشرات'!$L$2:$L$225,"النمو"),"")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المؤشرات'!$G$2:$G$225,'قاعدة المؤشرات'!$B$2:$B$225,"الإدارة التنفيذية",'قاعدة المؤشرات'!$L$2:$L$225,"النمو"))</f>
        <v/>
      </c>
      <c r="H3" s="30">
        <f>COUNTIFS('قاعدة المؤشرات'!$H$2:$H$225,"🔴 تحت الهدف",'قاعدة المؤشرات'!$B$2:$B$225,"الإدارة التنفيذية",'قاعدة المؤشرات'!$L$2:$L$225,"النمو")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العائد على حقوق الملكية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المؤشرات'!$J$2:$J$225,'قاعدة المؤشرات'!$B$2:$B$225,"الإدارة التنفيذية",'قاعدة المؤشرات'!$L$2:$L$225,"الابتكار")/SUMIFS('قاعدة المؤشرات'!$K$2:$K$225,'قاعدة المؤشرات'!$B$2:$B$225,"الإدارة التنفيذية",'قاعدة المؤشرات'!$L$2:$L$225,"الابتكار"),"")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المؤشرات'!$G$2:$G$225,'قاعدة المؤشرات'!$B$2:$B$225,"الإدارة التنفيذية",'قاعدة المؤشرات'!$L$2:$L$225,"الابتكار"))</f>
        <v/>
      </c>
      <c r="H4" s="30">
        <f>COUNTIFS('قاعدة المؤشرات'!$H$2:$H$225,"🔴 تحت الهدف",'قاعدة المؤشرات'!$B$2:$B$225,"الإدارة التنفيذية",'قاعدة المؤشرات'!$L$2:$L$225,"الابتكار")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المؤشرات'!$J$2:$J$225,'قاعدة المؤشرات'!$B$2:$B$225,"الإدارة التنفيذية",'قاعدة المؤشرات'!$L$2:$L$225,"الاستدامة")/SUMIFS('قاعدة المؤشرات'!$K$2:$K$225,'قاعدة المؤشرات'!$B$2:$B$225,"الإدارة التنفيذية",'قاعدة المؤشرات'!$L$2:$L$225,"الاستدامة"),"")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المؤشرات'!$G$2:$G$225,'قاعدة المؤشرات'!$B$2:$B$225,"الإدارة التنفيذية",'قاعدة المؤشرات'!$L$2:$L$225,"الاستدامة"))</f>
        <v/>
      </c>
      <c r="H5" s="30">
        <f>COUNTIFS('قاعدة المؤشرات'!$H$2:$H$225,"🔴 تحت الهدف",'قاعدة المؤشرات'!$B$2:$B$225,"الإدارة التنفيذية",'قاعدة المؤشرات'!$L$2:$L$225,"الاستدامة")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المؤشرات'!$J$2:$J$225,'قاعدة المؤشرات'!$B$2:$B$225,"الإدارة التنفيذية",'قاعدة المؤشرات'!$L$2:$L$225,"الحوكمة")/SUMIFS('قاعدة المؤشرات'!$K$2:$K$225,'قاعدة المؤشرات'!$B$2:$B$225,"الإدارة التنفيذية",'قاعدة المؤشرات'!$L$2:$L$225,"الحوكمة"),"")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المؤشرات'!$G$2:$G$225,'قاعدة المؤشرات'!$B$2:$B$225,"الإدارة التنفيذية",'قاعدة المؤشرات'!$L$2:$L$225,"الحوكمة"))</f>
        <v/>
      </c>
      <c r="H6" s="30">
        <f>COUNTIFS('قاعدة المؤشرات'!$H$2:$H$225,"🔴 تحت الهدف",'قاعدة المؤشرات'!$B$2:$B$225,"الإدارة التنفيذية",'قاعدة المؤشرات'!$L$2:$L$225,"الحوكمة")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المؤشرات'!$J$2:$J$225,'قاعدة المؤشرات'!$B$2:$B$225,"الامتياز التجاري",'قاعدة المؤشرات'!$L$2:$L$225,"النمو والتوسع")/SUMIFS('قاعدة المؤشرات'!$K$2:$K$225,'قاعدة المؤشرات'!$B$2:$B$225,"الامتياز التجاري",'قاعدة المؤشرات'!$L$2:$L$225,"النمو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المؤشرات'!$G$2:$G$225,'قاعدة المؤشرات'!$B$2:$B$225,"الامتياز التجاري",'قاعدة المؤشرات'!$L$2:$L$225,"النمو والتوسع"))</f>
        <v/>
      </c>
      <c r="H7" s="30">
        <f>COUNTIFS('قاعدة المؤشرات'!$H$2:$H$225,"🔴 تحت الهدف",'قاعدة المؤشرات'!$B$2:$B$225,"الامتياز التجاري",'قاعدة المؤشرات'!$L$2:$L$225,"النمو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المؤشرات'!$J$2:$J$225,'قاعدة المؤشرات'!$B$2:$B$225,"الامتياز التجاري",'قاعدة المؤشرات'!$L$2:$L$225,"المبيعات والأداء التجاري")/SUMIFS('قاعدة المؤشرات'!$K$2:$K$225,'قاعدة المؤشرات'!$B$2:$B$225,"الامتياز التجاري",'قاعدة المؤشرات'!$L$2:$L$225,"المبيعات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المؤشرات'!$G$2:$G$225,'قاعدة المؤشرات'!$B$2:$B$225,"الامتياز التجاري",'قاعدة المؤشرات'!$L$2:$L$225,"المبيعات والأداء التجاري"))</f>
        <v/>
      </c>
      <c r="H8" s="30">
        <f>COUNTIFS('قاعدة المؤشرات'!$H$2:$H$225,"🔴 تحت الهدف",'قاعدة المؤشرات'!$B$2:$B$225,"الامتياز التجاري",'قاعدة المؤشرات'!$L$2:$L$225,"المبيعات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المؤشرات'!$J$2:$J$225,'قاعدة المؤشرات'!$B$2:$B$225,"الامتياز التجاري",'قاعدة المؤشرات'!$L$2:$L$225,"الأداء المالي")/SUMIFS('قاعدة المؤشرات'!$K$2:$K$225,'قاعدة المؤشرات'!$B$2:$B$225,"الامتياز التجاري",'قاعدة المؤشرات'!$L$2:$L$225,"الأداء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المؤشرات'!$G$2:$G$225,'قاعدة المؤشرات'!$B$2:$B$225,"الامتياز التجاري",'قاعدة المؤشرات'!$L$2:$L$225,"الأداء المالي"))</f>
        <v/>
      </c>
      <c r="H9" s="30">
        <f>COUNTIFS('قاعدة المؤشرات'!$H$2:$H$225,"🔴 تحت الهدف",'قاعدة المؤشرات'!$B$2:$B$225,"الامتياز التجاري",'قاعدة المؤشرات'!$L$2:$L$225,"الأداء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المؤشرات'!$J$2:$J$225,'قاعدة المؤشرات'!$B$2:$B$225,"الامتياز التجاري",'قاعدة المؤشرات'!$L$2:$L$225,"التشغيل والجودة")/SUMIFS('قاعدة المؤشرات'!$K$2:$K$225,'قاعدة المؤشرات'!$B$2:$B$225,"الامتياز التجاري",'قاعدة المؤشرات'!$L$2:$L$225,"التشغيل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المؤشرات'!$G$2:$G$225,'قاعدة المؤشرات'!$B$2:$B$225,"الامتياز التجاري",'قاعدة المؤشرات'!$L$2:$L$225,"التشغيل والجودة"))</f>
        <v/>
      </c>
      <c r="H10" s="30">
        <f>COUNTIFS('قاعدة المؤشرات'!$H$2:$H$225,"🔴 تحت الهدف",'قاعدة المؤشرات'!$B$2:$B$225,"الامتياز التجاري",'قاعدة المؤشرات'!$L$2:$L$225,"التشغيل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المؤشرات'!$J$2:$J$225,'قاعدة المؤشرات'!$B$2:$B$225,"الامتياز التجاري",'قاعدة المؤشرات'!$L$2:$L$225,"الهوية والتسويق")/SUMIFS('قاعدة المؤشرات'!$K$2:$K$225,'قاعدة المؤشرات'!$B$2:$B$225,"الامتياز التجاري",'قاعدة المؤشرات'!$L$2:$L$225,"الهوية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المؤشرات'!$G$2:$G$225,'قاعدة المؤشرات'!$B$2:$B$225,"الامتياز التجاري",'قاعدة المؤشرات'!$L$2:$L$225,"الهوية والتسويق"))</f>
        <v/>
      </c>
      <c r="H11" s="30">
        <f>COUNTIFS('قاعدة المؤشرات'!$H$2:$H$225,"🔴 تحت الهدف",'قاعدة المؤشرات'!$B$2:$B$225,"الامتياز التجاري",'قاعدة المؤشرات'!$L$2:$L$225,"الهوية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المؤشرات'!$J$2:$J$225,'قاعدة المؤشرات'!$B$2:$B$225,"الامتياز التجاري",'قاعدة المؤشرات'!$L$2:$L$225,"تجربة العملاء والشركاء")/SUMIFS('قاعدة المؤشرات'!$K$2:$K$225,'قاعدة المؤشرات'!$B$2:$B$225,"الامتياز التجاري",'قاعدة المؤشرات'!$L$2:$L$225,"تجربة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المؤشرات'!$G$2:$G$225,'قاعدة المؤشرات'!$B$2:$B$225,"الامتياز التجاري",'قاعدة المؤشرات'!$L$2:$L$225,"تجربة العملاء والشركاء"))</f>
        <v/>
      </c>
      <c r="H12" s="30">
        <f>COUNTIFS('قاعدة المؤشرات'!$H$2:$H$225,"🔴 تحت الهدف",'قاعدة المؤشرات'!$B$2:$B$225,"الامتياز التجاري",'قاعدة المؤشرات'!$L$2:$L$225,"تجربة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المؤشرات'!$J$2:$J$225,'قاعدة المؤشرات'!$B$2:$B$225,"الامتياز التجاري",'قاعدة المؤشرات'!$L$2:$L$225,"استدامة الشراكة والامتثال")/SUMIFS('قاعدة المؤشرات'!$K$2:$K$225,'قاعدة المؤشرات'!$B$2:$B$225,"الامتياز التجاري",'قاعدة المؤشرات'!$L$2:$L$225,"استدامة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المؤشرات'!$G$2:$G$225,'قاعدة المؤشرات'!$B$2:$B$225,"الامتياز التجاري",'قاعدة المؤشرات'!$L$2:$L$225,"استدامة الشراكة والامتثال"))</f>
        <v/>
      </c>
      <c r="H13" s="30">
        <f>COUNTIFS('قاعدة المؤشرات'!$H$2:$H$225,"🔴 تحت الهدف",'قاعدة المؤشرات'!$B$2:$B$225,"الامتياز التجاري",'قاعدة المؤشرات'!$L$2:$L$225,"استدامة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المؤشرات'!$J$2:$J$225,'قاعدة المؤشرات'!$B$2:$B$225,"التشغيل والمحطات",'قاعدة المؤشرات'!$L$2:$L$225,"النمو والأداء والكفاءة التشغيلية")/SUMIFS('قاعدة المؤشرات'!$K$2:$K$225,'قاعدة المؤشرات'!$B$2:$B$225,"التشغيل والمحطات",'قاعدة المؤشرات'!$L$2:$L$225,"النمو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المؤشرات'!$G$2:$G$225,'قاعدة المؤشرات'!$B$2:$B$225,"التشغيل والمحطات",'قاعدة المؤشرات'!$L$2:$L$225,"النمو والأداء والكفاءة التشغيلية"))</f>
        <v/>
      </c>
      <c r="H14" s="30">
        <f>COUNTIFS('قاعدة المؤشرات'!$H$2:$H$225,"🔴 تحت الهدف",'قاعدة المؤشرات'!$B$2:$B$225,"التشغيل والمحطات",'قاعدة المؤشرات'!$L$2:$L$225,"النمو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المؤشرات'!$J$2:$J$225,'قاعدة المؤشرات'!$B$2:$B$225,"التشغيل والمحطات",'قاعدة المؤشرات'!$L$2:$L$225,"جودة التشغيل")/SUMIFS('قاعدة المؤشرات'!$K$2:$K$225,'قاعدة المؤشرات'!$B$2:$B$225,"التشغيل والمحطات",'قاعدة المؤشرات'!$L$2:$L$225,"جودة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المؤشرات'!$G$2:$G$225,'قاعدة المؤشرات'!$B$2:$B$225,"التشغيل والمحطات",'قاعدة المؤشرات'!$L$2:$L$225,"جودة التشغيل"))</f>
        <v/>
      </c>
      <c r="H15" s="30">
        <f>COUNTIFS('قاعدة المؤشرات'!$H$2:$H$225,"🔴 تحت الهدف",'قاعدة المؤشرات'!$B$2:$B$225,"التشغيل والمحطات",'قاعدة المؤشرات'!$L$2:$L$225,"جودة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والصحة المهنية</t>
        </is>
      </c>
      <c r="D16" s="15" t="n">
        <v>5</v>
      </c>
      <c r="E16" s="28">
        <f>IFERROR(SUMIFS('قاعدة المؤشرات'!$J$2:$J$225,'قاعدة المؤشرات'!$B$2:$B$225,"التشغيل والمحطات",'قاعدة المؤشرات'!$L$2:$L$225,"السلامة والصحة المهنية")/SUMIFS('قاعدة المؤشرات'!$K$2:$K$225,'قاعدة المؤشرات'!$B$2:$B$225,"التشغيل والمحطات",'قاعدة المؤشرات'!$L$2:$L$225,"السلامة والصحة المهنية"),"")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المؤشرات'!$G$2:$G$225,'قاعدة المؤشرات'!$B$2:$B$225,"التشغيل والمحطات",'قاعدة المؤشرات'!$L$2:$L$225,"السلامة والصحة المهنية"))</f>
        <v/>
      </c>
      <c r="H16" s="30">
        <f>COUNTIFS('قاعدة المؤشرات'!$H$2:$H$225,"🔴 تحت الهدف",'قاعدة المؤشرات'!$B$2:$B$225,"التشغيل والمحطات",'قاعدة المؤشرات'!$L$2:$L$225,"السلامة والصحة المهنية")</f>
        <v/>
      </c>
      <c r="I16" s="31" t="inlineStr">
        <is>
          <t>مؤشر الالتزام بمتطلبات السلامة · معدل الحوادث والمخالفات التشغيلية الجسيمة · معدل تكرار الإصابات المسجّلة · نسبة تنفيذ خطة تفتيش السلامة الدوري · نسبة إغلاق ملاحظات السلامة ضمن المدة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التراخيص والامتثال</t>
        </is>
      </c>
      <c r="D17" s="15" t="n">
        <v>1</v>
      </c>
      <c r="E17" s="28">
        <f>IFERROR(SUMIFS('قاعدة المؤشرات'!$J$2:$J$225,'قاعدة المؤشرات'!$B$2:$B$225,"التشغيل والمحطات",'قاعدة المؤشرات'!$L$2:$L$225,"التراخيص والامتثال")/SUMIFS('قاعدة المؤشرات'!$K$2:$K$225,'قاعدة المؤشرات'!$B$2:$B$225,"التشغيل والمحطات",'قاعدة المؤشرات'!$L$2:$L$225,"التراخيص والامتثال"),"")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المؤشرات'!$G$2:$G$225,'قاعدة المؤشرات'!$B$2:$B$225,"التشغيل والمحطات",'قاعدة المؤشرات'!$L$2:$L$225,"التراخيص والامتثال"))</f>
        <v/>
      </c>
      <c r="H17" s="30">
        <f>COUNTIFS('قاعدة المؤشرات'!$H$2:$H$225,"🔴 تحت الهدف",'قاعدة المؤشرات'!$B$2:$B$225,"التشغيل والمحطات",'قاعدة المؤشرات'!$L$2:$L$225,"التراخيص والامتثال")</f>
        <v/>
      </c>
      <c r="I17" s="31" t="inlineStr">
        <is>
          <t>نسبة المحطات ذات التراخيص والتصاريح السارية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البيئة والاستدامة</t>
        </is>
      </c>
      <c r="D18" s="15" t="n">
        <v>4</v>
      </c>
      <c r="E18" s="28">
        <f>IFERROR(SUMIFS('قاعدة المؤشرات'!$J$2:$J$225,'قاعدة المؤشرات'!$B$2:$B$225,"التشغيل والمحطات",'قاعدة المؤشرات'!$L$2:$L$225,"البيئة والاستدامة")/SUMIFS('قاعدة المؤشرات'!$K$2:$K$225,'قاعدة المؤشرات'!$B$2:$B$225,"التشغيل والمحطات",'قاعدة المؤشرات'!$L$2:$L$225,"البيئة والاستدامة"),"")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المؤشرات'!$G$2:$G$225,'قاعدة المؤشرات'!$B$2:$B$225,"التشغيل والمحطات",'قاعدة المؤشرات'!$L$2:$L$225,"البيئة والاستدامة"))</f>
        <v/>
      </c>
      <c r="H18" s="30">
        <f>COUNTIFS('قاعدة المؤشرات'!$H$2:$H$225,"🔴 تحت الهدف",'قاعدة المؤشرات'!$B$2:$B$225,"التشغيل والمحطات",'قاعدة المؤشرات'!$L$2:$L$225,"البيئة والاستدامة")</f>
        <v/>
      </c>
      <c r="I18" s="31" t="inlineStr">
        <is>
          <t>نسبة خفض استهلاك الطاقة بالمحطات · عدد الحوادث والتسربات البيئية · نسبة الالتزام بإدارة النفايات وإعادة التدوير · نسبة ترشيد استهلاك المياه بالمحطات</t>
        </is>
      </c>
    </row>
    <row r="19" ht="26" customHeight="1">
      <c r="A19" s="15" t="n">
        <v>17</v>
      </c>
      <c r="B19" s="13" t="inlineStr">
        <is>
          <t>التشغيل والمحطات</t>
        </is>
      </c>
      <c r="C19" s="27" t="inlineStr">
        <is>
          <t>النظافة والهوية البصرية</t>
        </is>
      </c>
      <c r="D19" s="15" t="n">
        <v>3</v>
      </c>
      <c r="E19" s="28">
        <f>IFERROR(SUMIFS('قاعدة المؤشرات'!$J$2:$J$225,'قاعدة المؤشرات'!$B$2:$B$225,"التشغيل والمحطات",'قاعدة المؤشرات'!$L$2:$L$225,"النظافة والهوية البصرية")/SUMIFS('قاعدة المؤشرات'!$K$2:$K$225,'قاعدة المؤشرات'!$B$2:$B$225,"التشغيل والمحطات",'قاعدة المؤشرات'!$L$2:$L$225,"النظافة والهوية البصرية"),"")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المؤشرات'!$G$2:$G$225,'قاعدة المؤشرات'!$B$2:$B$225,"التشغيل والمحطات",'قاعدة المؤشرات'!$L$2:$L$225,"النظافة والهوية البصرية"))</f>
        <v/>
      </c>
      <c r="H19" s="30">
        <f>COUNTIFS('قاعدة المؤشرات'!$H$2:$H$225,"🔴 تحت الهدف",'قاعدة المؤشرات'!$B$2:$B$225,"التشغيل والمحطات",'قاعدة المؤشرات'!$L$2:$L$225,"النظافة والهوية البصرية")</f>
        <v/>
      </c>
      <c r="I19" s="31" t="inlineStr">
        <is>
          <t>مؤشر النظافة بالمحطات · مؤشر الالتزام بالهوية البصرية والمظهر العام · نسبة الالتزام بمظهر وانضباط العاملين بالمحطات</t>
        </is>
      </c>
    </row>
    <row r="20" ht="26" customHeight="1">
      <c r="A20" s="15" t="n">
        <v>18</v>
      </c>
      <c r="B20" s="13" t="inlineStr">
        <is>
          <t>التشغيل والمحطات</t>
        </is>
      </c>
      <c r="C20" s="27" t="inlineStr">
        <is>
          <t>تجربة العميل والرضا</t>
        </is>
      </c>
      <c r="D20" s="15" t="n">
        <v>3</v>
      </c>
      <c r="E20" s="28">
        <f>IFERROR(SUMIFS('قاعدة المؤشرات'!$J$2:$J$225,'قاعدة المؤشرات'!$B$2:$B$225,"التشغيل والمحطات",'قاعدة المؤشرات'!$L$2:$L$225,"تجربة العميل والرضا")/SUMIFS('قاعدة المؤشرات'!$K$2:$K$225,'قاعدة المؤشرات'!$B$2:$B$225,"التشغيل والمحطات",'قاعدة المؤشرات'!$L$2:$L$225,"تجربة العميل والرضا"),"")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المؤشرات'!$G$2:$G$225,'قاعدة المؤشرات'!$B$2:$B$225,"التشغيل والمحطات",'قاعدة المؤشرات'!$L$2:$L$225,"تجربة العميل والرضا"))</f>
        <v/>
      </c>
      <c r="H20" s="30">
        <f>COUNTIFS('قاعدة المؤشرات'!$H$2:$H$225,"🔴 تحت الهدف",'قاعدة المؤشرات'!$B$2:$B$225,"التشغيل والمحطات",'قاعدة المؤشرات'!$L$2:$L$225,"تجربة العميل والرضا")</f>
        <v/>
      </c>
      <c r="I20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الفرص والنمو</t>
        </is>
      </c>
      <c r="D21" s="15" t="n">
        <v>4</v>
      </c>
      <c r="E21" s="28">
        <f>IFERROR(SUMIFS('قاعدة المؤشرات'!$J$2:$J$225,'قاعدة المؤشرات'!$B$2:$B$225,"الاستثمار",'قاعدة المؤشرات'!$L$2:$L$225,"الفرص والنمو")/SUMIFS('قاعدة المؤشرات'!$K$2:$K$225,'قاعدة المؤشرات'!$B$2:$B$225,"الاستثمار",'قاعدة المؤشرات'!$L$2:$L$225,"الفرص والنمو"),"")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المؤشرات'!$G$2:$G$225,'قاعدة المؤشرات'!$B$2:$B$225,"الاستثمار",'قاعدة المؤشرات'!$L$2:$L$225,"الفرص والنمو"))</f>
        <v/>
      </c>
      <c r="H21" s="30">
        <f>COUNTIFS('قاعدة المؤشرات'!$H$2:$H$225,"🔴 تحت الهدف",'قاعدة المؤشرات'!$B$2:$B$225,"الاستثمار",'قاعدة المؤشرات'!$L$2:$L$225,"الفرص والنمو")</f>
        <v/>
      </c>
      <c r="I21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العائد والربحية</t>
        </is>
      </c>
      <c r="D22" s="15" t="n">
        <v>2</v>
      </c>
      <c r="E22" s="28">
        <f>IFERROR(SUMIFS('قاعدة المؤشرات'!$J$2:$J$225,'قاعدة المؤشرات'!$B$2:$B$225,"الاستثمار",'قاعدة المؤشرات'!$L$2:$L$225,"العائد والربحية")/SUMIFS('قاعدة المؤشرات'!$K$2:$K$225,'قاعدة المؤشرات'!$B$2:$B$225,"الاستثمار",'قاعدة المؤشرات'!$L$2:$L$225,"العائد والربحية"),"")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المؤشرات'!$G$2:$G$225,'قاعدة المؤشرات'!$B$2:$B$225,"الاستثمار",'قاعدة المؤشرات'!$L$2:$L$225,"العائد والربحية"))</f>
        <v/>
      </c>
      <c r="H22" s="30">
        <f>COUNTIFS('قاعدة المؤشرات'!$H$2:$H$225,"🔴 تحت الهدف",'قاعدة المؤشرات'!$B$2:$B$225,"الاستثمار",'قاعدة المؤشرات'!$L$2:$L$225,"العائد والربحية")</f>
        <v/>
      </c>
      <c r="I22" s="31" t="inlineStr">
        <is>
          <t>نسبة المواقع ذات العائد المجدي · متوسط فترة استرداد رأس المال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الكفاءة التشغيلية</t>
        </is>
      </c>
      <c r="D23" s="15" t="n">
        <v>3</v>
      </c>
      <c r="E23" s="28">
        <f>IFERROR(SUMIFS('قاعدة المؤشرات'!$J$2:$J$225,'قاعدة المؤشرات'!$B$2:$B$225,"الاستثمار",'قاعدة المؤشرات'!$L$2:$L$225,"الكفاءة التشغيلية")/SUMIFS('قاعدة المؤشرات'!$K$2:$K$225,'قاعدة المؤشرات'!$B$2:$B$225,"الاستثمار",'قاعدة المؤشرات'!$L$2:$L$225,"الكفاءة التشغيلية"),"")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المؤشرات'!$G$2:$G$225,'قاعدة المؤشرات'!$B$2:$B$225,"الاستثمار",'قاعدة المؤشرات'!$L$2:$L$225,"الكفاءة التشغيلية"))</f>
        <v/>
      </c>
      <c r="H23" s="30">
        <f>COUNTIFS('قاعدة المؤشرات'!$H$2:$H$225,"🔴 تحت الهدف",'قاعدة المؤشرات'!$B$2:$B$225,"الاستثمار",'قاعدة المؤشرات'!$L$2:$L$225,"الكفاءة التشغيلية")</f>
        <v/>
      </c>
      <c r="I23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4" ht="26" customHeight="1">
      <c r="A24" s="15" t="n">
        <v>22</v>
      </c>
      <c r="B24" s="13" t="inlineStr">
        <is>
          <t>الاستثمار</t>
        </is>
      </c>
      <c r="C24" s="27" t="inlineStr">
        <is>
          <t>الجودة الإدارية والامتثال</t>
        </is>
      </c>
      <c r="D24" s="15" t="n">
        <v>2</v>
      </c>
      <c r="E24" s="28">
        <f>IFERROR(SUMIFS('قاعدة المؤشرات'!$J$2:$J$225,'قاعدة المؤشرات'!$B$2:$B$225,"الاستثمار",'قاعدة المؤشرات'!$L$2:$L$225,"الجودة الإدارية والامتثال")/SUMIFS('قاعدة المؤشرات'!$K$2:$K$225,'قاعدة المؤشرات'!$B$2:$B$225,"الاستثمار",'قاعدة المؤشرات'!$L$2:$L$225,"الجودة الإدارية والامتثال"),"")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المؤشرات'!$G$2:$G$225,'قاعدة المؤشرات'!$B$2:$B$225,"الاستثمار",'قاعدة المؤشرات'!$L$2:$L$225,"الجودة الإدارية والامتثال"))</f>
        <v/>
      </c>
      <c r="H24" s="30">
        <f>COUNTIFS('قاعدة المؤشرات'!$H$2:$H$225,"🔴 تحت الهدف",'قاعدة المؤشرات'!$B$2:$B$225,"الاستثمار",'قاعدة المؤشرات'!$L$2:$L$225,"الجودة الإدارية والامتثال")</f>
        <v/>
      </c>
      <c r="I24" s="31" t="inlineStr">
        <is>
          <t>نسبة اكتمال المستندات النظامية قبل التوقيع · نسبة العقود المؤرشفة إلكترونياً خلال 48 ساعة</t>
        </is>
      </c>
    </row>
    <row r="25" ht="26" customHeight="1">
      <c r="A25" s="15" t="n">
        <v>23</v>
      </c>
      <c r="B25" s="13" t="inlineStr">
        <is>
          <t>الاستثمار</t>
        </is>
      </c>
      <c r="C25" s="27" t="inlineStr">
        <is>
          <t>رضا المستثمرين</t>
        </is>
      </c>
      <c r="D25" s="15" t="n">
        <v>1</v>
      </c>
      <c r="E25" s="28">
        <f>IFERROR(SUMIFS('قاعدة المؤشرات'!$J$2:$J$225,'قاعدة المؤشرات'!$B$2:$B$225,"الاستثمار",'قاعدة المؤشرات'!$L$2:$L$225,"رضا المستثمرين")/SUMIFS('قاعدة المؤشرات'!$K$2:$K$225,'قاعدة المؤشرات'!$B$2:$B$225,"الاستثمار",'قاعدة المؤشرات'!$L$2:$L$225,"رضا المستثمرين"),"")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المؤشرات'!$G$2:$G$225,'قاعدة المؤشرات'!$B$2:$B$225,"الاستثمار",'قاعدة المؤشرات'!$L$2:$L$225,"رضا المستثمرين"))</f>
        <v/>
      </c>
      <c r="H25" s="30">
        <f>COUNTIFS('قاعدة المؤشرات'!$H$2:$H$225,"🔴 تحت الهدف",'قاعدة المؤشرات'!$B$2:$B$225,"الاستثمار",'قاعدة المؤشرات'!$L$2:$L$225,"رضا المستثمرين")</f>
        <v/>
      </c>
      <c r="I25" s="31" t="inlineStr">
        <is>
          <t>مدى رضا المستثمرين وشركاء الاستثمار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التأجير والإشغال</t>
        </is>
      </c>
      <c r="D26" s="15" t="n">
        <v>8</v>
      </c>
      <c r="E26" s="28">
        <f>IFERROR(SUMIFS('قاعدة المؤشرات'!$J$2:$J$225,'قاعدة المؤشرات'!$B$2:$B$225,"العقار",'قاعدة المؤشرات'!$L$2:$L$225,"التأجير والإشغال")/SUMIFS('قاعدة المؤشرات'!$K$2:$K$225,'قاعدة المؤشرات'!$B$2:$B$225,"العقار",'قاعدة المؤشرات'!$L$2:$L$225,"التأجير والإشغال"),"")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المؤشرات'!$G$2:$G$225,'قاعدة المؤشرات'!$B$2:$B$225,"العقار",'قاعدة المؤشرات'!$L$2:$L$225,"التأجير والإشغال"))</f>
        <v/>
      </c>
      <c r="H26" s="30">
        <f>COUNTIFS('قاعدة المؤشرات'!$H$2:$H$225,"🔴 تحت الهدف",'قاعدة المؤشرات'!$B$2:$B$225,"العقار",'قاعدة المؤشرات'!$L$2:$L$225,"التأجير والإشغال")</f>
        <v/>
      </c>
      <c r="I26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كفاءة التحصيل</t>
        </is>
      </c>
      <c r="D27" s="15" t="n">
        <v>2</v>
      </c>
      <c r="E27" s="28">
        <f>IFERROR(SUMIFS('قاعدة المؤشرات'!$J$2:$J$225,'قاعدة المؤشرات'!$B$2:$B$225,"العقار",'قاعدة المؤشرات'!$L$2:$L$225,"كفاءة التحصيل")/SUMIFS('قاعدة المؤشرات'!$K$2:$K$225,'قاعدة المؤشرات'!$B$2:$B$225,"العقار",'قاعدة المؤشرات'!$L$2:$L$225,"كفاءة التحصيل"),"")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المؤشرات'!$G$2:$G$225,'قاعدة المؤشرات'!$B$2:$B$225,"العقار",'قاعدة المؤشرات'!$L$2:$L$225,"كفاءة التحصيل"))</f>
        <v/>
      </c>
      <c r="H27" s="30">
        <f>COUNTIFS('قاعدة المؤشرات'!$H$2:$H$225,"🔴 تحت الهدف",'قاعدة المؤشرات'!$B$2:$B$225,"العقار",'قاعدة المؤشرات'!$L$2:$L$225,"كفاءة التحصيل")</f>
        <v/>
      </c>
      <c r="I27" s="31" t="inlineStr">
        <is>
          <t>نسبة تحصيل الإيجارات · نسبة المتأخرات في السداد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تشغيل وخدمة الوحدات</t>
        </is>
      </c>
      <c r="D28" s="15" t="n">
        <v>2</v>
      </c>
      <c r="E28" s="28">
        <f>IFERROR(SUMIFS('قاعدة المؤشرات'!$J$2:$J$225,'قاعدة المؤشرات'!$B$2:$B$225,"العقار",'قاعدة المؤشرات'!$L$2:$L$225,"تشغيل وخدمة الوحدات")/SUMIFS('قاعدة المؤشرات'!$K$2:$K$225,'قاعدة المؤشرات'!$B$2:$B$225,"العقار",'قاعدة المؤشرات'!$L$2:$L$225,"تشغيل وخدمة الوحدات"),"")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المؤشرات'!$G$2:$G$225,'قاعدة المؤشرات'!$B$2:$B$225,"العقار",'قاعدة المؤشرات'!$L$2:$L$225,"تشغيل وخدمة الوحدات"))</f>
        <v/>
      </c>
      <c r="H28" s="30">
        <f>COUNTIFS('قاعدة المؤشرات'!$H$2:$H$225,"🔴 تحت الهدف",'قاعدة المؤشرات'!$B$2:$B$225,"العقار",'قاعدة المؤشرات'!$L$2:$L$225,"تشغيل وخدمة الوحدات")</f>
        <v/>
      </c>
      <c r="I28" s="31" t="inlineStr">
        <is>
          <t>متوسط زمن تسليم الوحدة · سرعة الاستجابة لطلبات خدمة المستأجرين</t>
        </is>
      </c>
    </row>
    <row r="29" ht="26" customHeight="1">
      <c r="A29" s="15" t="n">
        <v>27</v>
      </c>
      <c r="B29" s="13" t="inlineStr">
        <is>
          <t>العقار</t>
        </is>
      </c>
      <c r="C29" s="27" t="inlineStr">
        <is>
          <t>رضا واستبقاء المستأجرين</t>
        </is>
      </c>
      <c r="D29" s="15" t="n">
        <v>2</v>
      </c>
      <c r="E29" s="28">
        <f>IFERROR(SUMIFS('قاعدة المؤشرات'!$J$2:$J$225,'قاعدة المؤشرات'!$B$2:$B$225,"العقار",'قاعدة المؤشرات'!$L$2:$L$225,"رضا واستبقاء المستأجرين")/SUMIFS('قاعدة المؤشرات'!$K$2:$K$225,'قاعدة المؤشرات'!$B$2:$B$225,"العقار",'قاعدة المؤشرات'!$L$2:$L$225,"رضا واستبقاء المستأجرين"),"")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المؤشرات'!$G$2:$G$225,'قاعدة المؤشرات'!$B$2:$B$225,"العقار",'قاعدة المؤشرات'!$L$2:$L$225,"رضا واستبقاء المستأجرين"))</f>
        <v/>
      </c>
      <c r="H29" s="30">
        <f>COUNTIFS('قاعدة المؤشرات'!$H$2:$H$225,"🔴 تحت الهدف",'قاعدة المؤشرات'!$B$2:$B$225,"العقار",'قاعدة المؤشرات'!$L$2:$L$225,"رضا واستبقاء المستأجرين")</f>
        <v/>
      </c>
      <c r="I29" s="31" t="inlineStr">
        <is>
          <t>معدل رضا المستأجرين (استبيان ربعي) · معدل استبقاء المستأجرين (تجديد وبلا إنهاء مبكر)</t>
        </is>
      </c>
    </row>
    <row r="30" ht="26" customHeight="1">
      <c r="A30" s="15" t="n">
        <v>28</v>
      </c>
      <c r="B30" s="13" t="inlineStr">
        <is>
          <t>العقار</t>
        </is>
      </c>
      <c r="C30" s="27" t="inlineStr">
        <is>
          <t>ساحات درب</t>
        </is>
      </c>
      <c r="D30" s="15" t="n">
        <v>2</v>
      </c>
      <c r="E30" s="28">
        <f>IFERROR(SUMIFS('قاعدة المؤشرات'!$J$2:$J$225,'قاعدة المؤشرات'!$B$2:$B$225,"العقار",'قاعدة المؤشرات'!$L$2:$L$225,"ساحات درب")/SUMIFS('قاعدة المؤشرات'!$K$2:$K$225,'قاعدة المؤشرات'!$B$2:$B$225,"العقار",'قاعدة المؤشرات'!$L$2:$L$225,"ساحات درب"),"")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المؤشرات'!$G$2:$G$225,'قاعدة المؤشرات'!$B$2:$B$225,"العقار",'قاعدة المؤشرات'!$L$2:$L$225,"ساحات درب"))</f>
        <v/>
      </c>
      <c r="H30" s="30">
        <f>COUNTIFS('قاعدة المؤشرات'!$H$2:$H$225,"🔴 تحت الهدف",'قاعدة المؤشرات'!$B$2:$B$225,"العقار",'قاعدة المؤشرات'!$L$2:$L$225,"ساحات درب")</f>
        <v/>
      </c>
      <c r="I30" s="31" t="inlineStr">
        <is>
          <t>نسبة تأجير ساحة درب · عدد العلامات التجارية الجديدة بالساحة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تسليم محطات الشركة</t>
        </is>
      </c>
      <c r="D31" s="15" t="n">
        <v>4</v>
      </c>
      <c r="E31" s="28">
        <f>IFERROR(SUMIFS('قاعدة المؤشرات'!$J$2:$J$225,'قاعدة المؤشرات'!$B$2:$B$225,"إدارة المشاريع",'قاعدة المؤشرات'!$L$2:$L$225,"تسليم محطات الشركة")/SUMIFS('قاعدة المؤشرات'!$K$2:$K$225,'قاعدة المؤشرات'!$B$2:$B$225,"إدارة المشاريع",'قاعدة المؤشرات'!$L$2:$L$225,"تسليم محطات الشركة"),"")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المؤشرات'!$G$2:$G$225,'قاعدة المؤشرات'!$B$2:$B$225,"إدارة المشاريع",'قاعدة المؤشرات'!$L$2:$L$225,"تسليم محطات الشركة"))</f>
        <v/>
      </c>
      <c r="H31" s="30">
        <f>COUNTIFS('قاعدة المؤشرات'!$H$2:$H$225,"🔴 تحت الهدف",'قاعدة المؤشرات'!$B$2:$B$225,"إدارة المشاريع",'قاعدة المؤشرات'!$L$2:$L$225,"تسليم محطات الشركة")</f>
        <v/>
      </c>
      <c r="I31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الإشراف على الامتياز</t>
        </is>
      </c>
      <c r="D32" s="15" t="n">
        <v>4</v>
      </c>
      <c r="E32" s="28">
        <f>IFERROR(SUMIFS('قاعدة المؤشرات'!$J$2:$J$225,'قاعدة المؤشرات'!$B$2:$B$225,"إدارة المشاريع",'قاعدة المؤشرات'!$L$2:$L$225,"الإشراف على الامتياز")/SUMIFS('قاعدة المؤشرات'!$K$2:$K$225,'قاعدة المؤشرات'!$B$2:$B$225,"إدارة المشاريع",'قاعدة المؤشرات'!$L$2:$L$225,"الإشراف على الامتياز"),"")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المؤشرات'!$G$2:$G$225,'قاعدة المؤشرات'!$B$2:$B$225,"إدارة المشاريع",'قاعدة المؤشرات'!$L$2:$L$225,"الإشراف على الامتياز"))</f>
        <v/>
      </c>
      <c r="H32" s="30">
        <f>COUNTIFS('قاعدة المؤشرات'!$H$2:$H$225,"🔴 تحت الهدف",'قاعدة المؤشرات'!$B$2:$B$225,"إدارة المشاريع",'قاعدة المؤشرات'!$L$2:$L$225,"الإشراف على الامتياز")</f>
        <v/>
      </c>
      <c r="I32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الجودة والمقاولون</t>
        </is>
      </c>
      <c r="D33" s="15" t="n">
        <v>3</v>
      </c>
      <c r="E33" s="28">
        <f>IFERROR(SUMIFS('قاعدة المؤشرات'!$J$2:$J$225,'قاعدة المؤشرات'!$B$2:$B$225,"إدارة المشاريع",'قاعدة المؤشرات'!$L$2:$L$225,"الجودة والمقاولون")/SUMIFS('قاعدة المؤشرات'!$K$2:$K$225,'قاعدة المؤشرات'!$B$2:$B$225,"إدارة المشاريع",'قاعدة المؤشرات'!$L$2:$L$225,"الجودة والمقاولون"),"")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المؤشرات'!$G$2:$G$225,'قاعدة المؤشرات'!$B$2:$B$225,"إدارة المشاريع",'قاعدة المؤشرات'!$L$2:$L$225,"الجودة والمقاولون"))</f>
        <v/>
      </c>
      <c r="H33" s="30">
        <f>COUNTIFS('قاعدة المؤشرات'!$H$2:$H$225,"🔴 تحت الهدف",'قاعدة المؤشرات'!$B$2:$B$225,"إدارة المشاريع",'قاعدة المؤشرات'!$L$2:$L$225,"الجودة والمقاولون")</f>
        <v/>
      </c>
      <c r="I33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4" ht="26" customHeight="1">
      <c r="A34" s="15" t="n">
        <v>32</v>
      </c>
      <c r="B34" s="13" t="inlineStr">
        <is>
          <t>إدارة المشاريع</t>
        </is>
      </c>
      <c r="C34" s="27" t="inlineStr">
        <is>
          <t>الالتزام بالخطة</t>
        </is>
      </c>
      <c r="D34" s="15" t="n">
        <v>2</v>
      </c>
      <c r="E34" s="28">
        <f>IFERROR(SUMIFS('قاعدة المؤشرات'!$J$2:$J$225,'قاعدة المؤشرات'!$B$2:$B$225,"إدارة المشاريع",'قاعدة المؤشرات'!$L$2:$L$225,"الالتزام بالخطة")/SUMIFS('قاعدة المؤشرات'!$K$2:$K$225,'قاعدة المؤشرات'!$B$2:$B$225,"إدارة المشاريع",'قاعدة المؤشرات'!$L$2:$L$225,"الالتزام بالخطة"),"")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المؤشرات'!$G$2:$G$225,'قاعدة المؤشرات'!$B$2:$B$225,"إدارة المشاريع",'قاعدة المؤشرات'!$L$2:$L$225,"الالتزام بالخطة"))</f>
        <v/>
      </c>
      <c r="H34" s="30">
        <f>COUNTIFS('قاعدة المؤشرات'!$H$2:$H$225,"🔴 تحت الهدف",'قاعدة المؤشرات'!$B$2:$B$225,"إدارة المشاريع",'قاعدة المؤشرات'!$L$2:$L$225,"الالتزام بالخطة")</f>
        <v/>
      </c>
      <c r="I34" s="31" t="inlineStr">
        <is>
          <t>نسبة الالتزام بالميزانية المعتمدة · نسبة الالتزام بالجدول الزمني العام</t>
        </is>
      </c>
    </row>
    <row r="35" ht="26" customHeight="1">
      <c r="A35" s="15" t="n">
        <v>33</v>
      </c>
      <c r="B35" s="13" t="inlineStr">
        <is>
          <t>إدارة المشاريع</t>
        </is>
      </c>
      <c r="C35" s="27" t="inlineStr">
        <is>
          <t>التصاميم وأوامر التغيير</t>
        </is>
      </c>
      <c r="D35" s="15" t="n">
        <v>1</v>
      </c>
      <c r="E35" s="28">
        <f>IFERROR(SUMIFS('قاعدة المؤشرات'!$J$2:$J$225,'قاعدة المؤشرات'!$B$2:$B$225,"إدارة المشاريع",'قاعدة المؤشرات'!$L$2:$L$225,"التصاميم وأوامر التغيير")/SUMIFS('قاعدة المؤشرات'!$K$2:$K$225,'قاعدة المؤشرات'!$B$2:$B$225,"إدارة المشاريع",'قاعدة المؤشرات'!$L$2:$L$225,"التصاميم وأوامر التغيير"),"")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المؤشرات'!$G$2:$G$225,'قاعدة المؤشرات'!$B$2:$B$225,"إدارة المشاريع",'قاعدة المؤشرات'!$L$2:$L$225,"التصاميم وأوامر التغيير"))</f>
        <v/>
      </c>
      <c r="H35" s="30">
        <f>COUNTIFS('قاعدة المؤشرات'!$H$2:$H$225,"🔴 تحت الهدف",'قاعدة المؤشرات'!$B$2:$B$225,"إدارة المشاريع",'قاعدة المؤشرات'!$L$2:$L$225,"التصاميم وأوامر التغيير")</f>
        <v/>
      </c>
      <c r="I35" s="31" t="inlineStr">
        <is>
          <t>متوسط مدة إغلاق قائمة الملاحظات النهائية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خدمة العميل والتوفّر</t>
        </is>
      </c>
      <c r="D36" s="15" t="n">
        <v>2</v>
      </c>
      <c r="E36" s="28">
        <f>IFERROR(SUMIFS('قاعدة المؤشرات'!$J$2:$J$225,'قاعدة المؤشرات'!$B$2:$B$225,"سلاسل الإمداد",'قاعدة المؤشرات'!$L$2:$L$225,"خدمة العميل والتوفّر")/SUMIFS('قاعدة المؤشرات'!$K$2:$K$225,'قاعدة المؤشرات'!$B$2:$B$225,"سلاسل الإمداد",'قاعدة المؤشرات'!$L$2:$L$225,"خدمة العميل والتوفّر"),"")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المؤشرات'!$G$2:$G$225,'قاعدة المؤشرات'!$B$2:$B$225,"سلاسل الإمداد",'قاعدة المؤشرات'!$L$2:$L$225,"خدمة العميل والتوفّر"))</f>
        <v/>
      </c>
      <c r="H36" s="30">
        <f>COUNTIFS('قاعدة المؤشرات'!$H$2:$H$225,"🔴 تحت الهدف",'قاعدة المؤشرات'!$B$2:$B$225,"سلاسل الإمداد",'قاعدة المؤشرات'!$L$2:$L$225,"خدمة العميل والتوفّر")</f>
        <v/>
      </c>
      <c r="I36" s="31" t="inlineStr">
        <is>
          <t>نسبة تلبية طلبات المحطات من الوقود · عدد انقطاعات التوريد المؤثرة شهريًا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المخزون</t>
        </is>
      </c>
      <c r="D37" s="15" t="n">
        <v>3</v>
      </c>
      <c r="E37" s="28">
        <f>IFERROR(SUMIFS('قاعدة المؤشرات'!$J$2:$J$225,'قاعدة المؤشرات'!$B$2:$B$225,"سلاسل الإمداد",'قاعدة المؤشرات'!$L$2:$L$225,"المخزون")/SUMIFS('قاعدة المؤشرات'!$K$2:$K$225,'قاعدة المؤشرات'!$B$2:$B$225,"سلاسل الإمداد",'قاعدة المؤشرات'!$L$2:$L$225,"المخزون"),"")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المؤشرات'!$G$2:$G$225,'قاعدة المؤشرات'!$B$2:$B$225,"سلاسل الإمداد",'قاعدة المؤشرات'!$L$2:$L$225,"المخزون"))</f>
        <v/>
      </c>
      <c r="H37" s="30">
        <f>COUNTIFS('قاعدة المؤشرات'!$H$2:$H$225,"🔴 تحت الهدف",'قاعدة المؤشرات'!$B$2:$B$225,"سلاسل الإمداد",'قاعدة المؤشرات'!$L$2:$L$225,"المخزون")</f>
        <v/>
      </c>
      <c r="I37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المشتريات</t>
        </is>
      </c>
      <c r="D38" s="15" t="n">
        <v>2</v>
      </c>
      <c r="E38" s="28">
        <f>IFERROR(SUMIFS('قاعدة المؤشرات'!$J$2:$J$225,'قاعدة المؤشرات'!$B$2:$B$225,"سلاسل الإمداد",'قاعدة المؤشرات'!$L$2:$L$225,"المشتريات")/SUMIFS('قاعدة المؤشرات'!$K$2:$K$225,'قاعدة المؤشرات'!$B$2:$B$225,"سلاسل الإمداد",'قاعدة المؤشرات'!$L$2:$L$225,"المشتريات"),"")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المؤشرات'!$G$2:$G$225,'قاعدة المؤشرات'!$B$2:$B$225,"سلاسل الإمداد",'قاعدة المؤشرات'!$L$2:$L$225,"المشتريات"))</f>
        <v/>
      </c>
      <c r="H38" s="30">
        <f>COUNTIFS('قاعدة المؤشرات'!$H$2:$H$225,"🔴 تحت الهدف",'قاعدة المؤشرات'!$B$2:$B$225,"سلاسل الإمداد",'قاعدة المؤشرات'!$L$2:$L$225,"المشتريات")</f>
        <v/>
      </c>
      <c r="I38" s="31" t="inlineStr">
        <is>
          <t>دقة أوامر الشراء ومستنداتها · نسبة إنجاز أوامر الشراء خلال المدة المستهدفة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التوريد والتسليم</t>
        </is>
      </c>
      <c r="D39" s="15" t="n">
        <v>2</v>
      </c>
      <c r="E39" s="28">
        <f>IFERROR(SUMIFS('قاعدة المؤشرات'!$J$2:$J$225,'قاعدة المؤشرات'!$B$2:$B$225,"سلاسل الإمداد",'قاعدة المؤشرات'!$L$2:$L$225,"التوريد والتسليم")/SUMIFS('قاعدة المؤشرات'!$K$2:$K$225,'قاعدة المؤشرات'!$B$2:$B$225,"سلاسل الإمداد",'قاعدة المؤشرات'!$L$2:$L$225,"التوريد والتسليم"),"")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المؤشرات'!$G$2:$G$225,'قاعدة المؤشرات'!$B$2:$B$225,"سلاسل الإمداد",'قاعدة المؤشرات'!$L$2:$L$225,"التوريد والتسليم"))</f>
        <v/>
      </c>
      <c r="H39" s="30">
        <f>COUNTIFS('قاعدة المؤشرات'!$H$2:$H$225,"🔴 تحت الهدف",'قاعدة المؤشرات'!$B$2:$B$225,"سلاسل الإمداد",'قاعدة المؤشرات'!$L$2:$L$225,"التوريد والتسليم")</f>
        <v/>
      </c>
      <c r="I39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40" ht="26" customHeight="1">
      <c r="A40" s="15" t="n">
        <v>38</v>
      </c>
      <c r="B40" s="13" t="inlineStr">
        <is>
          <t>سلاسل الإمداد</t>
        </is>
      </c>
      <c r="C40" s="27" t="inlineStr">
        <is>
          <t>النقل والأسطول</t>
        </is>
      </c>
      <c r="D40" s="15" t="n">
        <v>1</v>
      </c>
      <c r="E40" s="28">
        <f>IFERROR(SUMIFS('قاعدة المؤشرات'!$J$2:$J$225,'قاعدة المؤشرات'!$B$2:$B$225,"سلاسل الإمداد",'قاعدة المؤشرات'!$L$2:$L$225,"النقل والأسطول")/SUMIFS('قاعدة المؤشرات'!$K$2:$K$225,'قاعدة المؤشرات'!$B$2:$B$225,"سلاسل الإمداد",'قاعدة المؤشرات'!$L$2:$L$225,"النقل والأسطول"),"")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المؤشرات'!$G$2:$G$225,'قاعدة المؤشرات'!$B$2:$B$225,"سلاسل الإمداد",'قاعدة المؤشرات'!$L$2:$L$225,"النقل والأسطول"))</f>
        <v/>
      </c>
      <c r="H40" s="30">
        <f>COUNTIFS('قاعدة المؤشرات'!$H$2:$H$225,"🔴 تحت الهدف",'قاعدة المؤشرات'!$B$2:$B$225,"سلاسل الإمداد",'قاعدة المؤشرات'!$L$2:$L$225,"النقل والأسطول")</f>
        <v/>
      </c>
      <c r="I40" s="31" t="inlineStr">
        <is>
          <t>نسبة الالتزام بجدول النقل واستخدام الأسطول بكفاءة</t>
        </is>
      </c>
    </row>
    <row r="41" ht="26" customHeight="1">
      <c r="A41" s="15" t="n">
        <v>39</v>
      </c>
      <c r="B41" s="13" t="inlineStr">
        <is>
          <t>سلاسل الإمداد</t>
        </is>
      </c>
      <c r="C41" s="27" t="inlineStr">
        <is>
          <t>الموردون والرضا</t>
        </is>
      </c>
      <c r="D41" s="15" t="n">
        <v>2</v>
      </c>
      <c r="E41" s="28">
        <f>IFERROR(SUMIFS('قاعدة المؤشرات'!$J$2:$J$225,'قاعدة المؤشرات'!$B$2:$B$225,"سلاسل الإمداد",'قاعدة المؤشرات'!$L$2:$L$225,"الموردون والرضا")/SUMIFS('قاعدة المؤشرات'!$K$2:$K$225,'قاعدة المؤشرات'!$B$2:$B$225,"سلاسل الإمداد",'قاعدة المؤشرات'!$L$2:$L$225,"الموردون والرضا"),"")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المؤشرات'!$G$2:$G$225,'قاعدة المؤشرات'!$B$2:$B$225,"سلاسل الإمداد",'قاعدة المؤشرات'!$L$2:$L$225,"الموردون والرضا"))</f>
        <v/>
      </c>
      <c r="H41" s="30">
        <f>COUNTIFS('قاعدة المؤشرات'!$H$2:$H$225,"🔴 تحت الهدف",'قاعدة المؤشرات'!$B$2:$B$225,"سلاسل الإمداد",'قاعدة المؤشرات'!$L$2:$L$225,"الموردون والرضا")</f>
        <v/>
      </c>
      <c r="I41" s="31" t="inlineStr">
        <is>
          <t>كفاءة إدارة الموردين · مستوى رضا الإدارات عن خدمات سلاسل الإمداد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جاهزية الأصول</t>
        </is>
      </c>
      <c r="D42" s="15" t="n">
        <v>2</v>
      </c>
      <c r="E42" s="28">
        <f>IFERROR(SUMIFS('قاعدة المؤشرات'!$J$2:$J$225,'قاعدة المؤشرات'!$B$2:$B$225,"الصيانة والأتمتة",'قاعدة المؤشرات'!$L$2:$L$225,"جاهزية الأصول")/SUMIFS('قاعدة المؤشرات'!$K$2:$K$225,'قاعدة المؤشرات'!$B$2:$B$225,"الصيانة والأتمتة",'قاعدة المؤشرات'!$L$2:$L$225,"جاهزية الأصول"),"")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المؤشرات'!$G$2:$G$225,'قاعدة المؤشرات'!$B$2:$B$225,"الصيانة والأتمتة",'قاعدة المؤشرات'!$L$2:$L$225,"جاهزية الأصول"))</f>
        <v/>
      </c>
      <c r="H42" s="30">
        <f>COUNTIFS('قاعدة المؤشرات'!$H$2:$H$225,"🔴 تحت الهدف",'قاعدة المؤشرات'!$B$2:$B$225,"الصيانة والأتمتة",'قاعدة المؤشرات'!$L$2:$L$225,"جاهزية الأصول")</f>
        <v/>
      </c>
      <c r="I42" s="31" t="inlineStr">
        <is>
          <t>نسبة الجاهزية الفنية للأصول والمعدات · نسبة تنفيذ الصيانة الوقائية في موعدها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الاستجابة والإصلاح</t>
        </is>
      </c>
      <c r="D43" s="15" t="n">
        <v>4</v>
      </c>
      <c r="E43" s="28">
        <f>IFERROR(SUMIFS('قاعدة المؤشرات'!$J$2:$J$225,'قاعدة المؤشرات'!$B$2:$B$225,"الصيانة والأتمتة",'قاعدة المؤشرات'!$L$2:$L$225,"الاستجابة والإصلاح")/SUMIFS('قاعدة المؤشرات'!$K$2:$K$225,'قاعدة المؤشرات'!$B$2:$B$225,"الصيانة والأتمتة",'قاعدة المؤشرات'!$L$2:$L$225,"الاستجابة والإصلاح"),"")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المؤشرات'!$G$2:$G$225,'قاعدة المؤشرات'!$B$2:$B$225,"الصيانة والأتمتة",'قاعدة المؤشرات'!$L$2:$L$225,"الاستجابة والإصلاح"))</f>
        <v/>
      </c>
      <c r="H43" s="30">
        <f>COUNTIFS('قاعدة المؤشرات'!$H$2:$H$225,"🔴 تحت الهدف",'قاعدة المؤشرات'!$B$2:$B$225,"الصيانة والأتمتة",'قاعدة المؤشرات'!$L$2:$L$225,"الاستجابة والإصلاح")</f>
        <v/>
      </c>
      <c r="I43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استمرارية التشغيل</t>
        </is>
      </c>
      <c r="D44" s="15" t="n">
        <v>1</v>
      </c>
      <c r="E44" s="28">
        <f>IFERROR(SUMIFS('قاعدة المؤشرات'!$J$2:$J$225,'قاعدة المؤشرات'!$B$2:$B$225,"الصيانة والأتمتة",'قاعدة المؤشرات'!$L$2:$L$225,"استمرارية التشغيل")/SUMIFS('قاعدة المؤشرات'!$K$2:$K$225,'قاعدة المؤشرات'!$B$2:$B$225,"الصيانة والأتمتة",'قاعدة المؤشرات'!$L$2:$L$225,"استمرارية التشغيل"),"")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المؤشرات'!$G$2:$G$225,'قاعدة المؤشرات'!$B$2:$B$225,"الصيانة والأتمتة",'قاعدة المؤشرات'!$L$2:$L$225,"استمرارية التشغيل"))</f>
        <v/>
      </c>
      <c r="H44" s="30">
        <f>COUNTIFS('قاعدة المؤشرات'!$H$2:$H$225,"🔴 تحت الهدف",'قاعدة المؤشرات'!$B$2:$B$225,"الصيانة والأتمتة",'قاعدة المؤشرات'!$L$2:$L$225,"استمرارية التشغيل")</f>
        <v/>
      </c>
      <c r="I44" s="31" t="inlineStr">
        <is>
          <t>نسبة استمرارية تشغيل المحطات دون توقف فني</t>
        </is>
      </c>
    </row>
    <row r="45" ht="26" customHeight="1">
      <c r="A45" s="15" t="n">
        <v>43</v>
      </c>
      <c r="B45" s="13" t="inlineStr">
        <is>
          <t>الصيانة والأتمتة</t>
        </is>
      </c>
      <c r="C45" s="27" t="inlineStr">
        <is>
          <t>موثوقية الأتمتة</t>
        </is>
      </c>
      <c r="D45" s="15" t="n">
        <v>2</v>
      </c>
      <c r="E45" s="28">
        <f>IFERROR(SUMIFS('قاعدة المؤشرات'!$J$2:$J$225,'قاعدة المؤشرات'!$B$2:$B$225,"الصيانة والأتمتة",'قاعدة المؤشرات'!$L$2:$L$225,"موثوقية الأتمتة")/SUMIFS('قاعدة المؤشرات'!$K$2:$K$225,'قاعدة المؤشرات'!$B$2:$B$225,"الصيانة والأتمتة",'قاعدة المؤشرات'!$L$2:$L$225,"موثوقية الأتمتة"),"")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المؤشرات'!$G$2:$G$225,'قاعدة المؤشرات'!$B$2:$B$225,"الصيانة والأتمتة",'قاعدة المؤشرات'!$L$2:$L$225,"موثوقية الأتمتة"))</f>
        <v/>
      </c>
      <c r="H45" s="30">
        <f>COUNTIFS('قاعدة المؤشرات'!$H$2:$H$225,"🔴 تحت الهدف",'قاعدة المؤشرات'!$B$2:$B$225,"الصيانة والأتمتة",'قاعدة المؤشرات'!$L$2:$L$225,"موثوقية الأتمتة")</f>
        <v/>
      </c>
      <c r="I45" s="31" t="inlineStr">
        <is>
          <t>نسبة التشغيل السليم لأنظمة الأتمتة · نسبة استعادة أنظمة الأتمتة ضمن الزمن المحدد</t>
        </is>
      </c>
    </row>
    <row r="46" ht="26" customHeight="1">
      <c r="A46" s="15" t="n">
        <v>44</v>
      </c>
      <c r="B46" s="13" t="inlineStr">
        <is>
          <t>الصيانة والأتمتة</t>
        </is>
      </c>
      <c r="C46" s="27" t="inlineStr">
        <is>
          <t>كفاءة التكاليف</t>
        </is>
      </c>
      <c r="D46" s="15" t="n">
        <v>1</v>
      </c>
      <c r="E46" s="28">
        <f>IFERROR(SUMIFS('قاعدة المؤشرات'!$J$2:$J$225,'قاعدة المؤشرات'!$B$2:$B$225,"الصيانة والأتمتة",'قاعدة المؤشرات'!$L$2:$L$225,"كفاءة التكاليف")/SUMIFS('قاعدة المؤشرات'!$K$2:$K$225,'قاعدة المؤشرات'!$B$2:$B$225,"الصيانة والأتمتة",'قاعدة المؤشرات'!$L$2:$L$225,"كفاءة التكاليف"),"")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المؤشرات'!$G$2:$G$225,'قاعدة المؤشرات'!$B$2:$B$225,"الصيانة والأتمتة",'قاعدة المؤشرات'!$L$2:$L$225,"كفاءة التكاليف"))</f>
        <v/>
      </c>
      <c r="H46" s="30">
        <f>COUNTIFS('قاعدة المؤشرات'!$H$2:$H$225,"🔴 تحت الهدف",'قاعدة المؤشرات'!$B$2:$B$225,"الصيانة والأتمتة",'قاعدة المؤشرات'!$L$2:$L$225,"كفاءة التكاليف")</f>
        <v/>
      </c>
      <c r="I46" s="31" t="inlineStr">
        <is>
          <t>كفاءة تكاليف الصيانة (الالتزام بالميزانية)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توفّر واستقرار الأنظمة</t>
        </is>
      </c>
      <c r="D47" s="15" t="n">
        <v>3</v>
      </c>
      <c r="E47" s="28">
        <f>IFERROR(SUMIFS('قاعدة المؤشرات'!$J$2:$J$225,'قاعدة المؤشرات'!$B$2:$B$225,"التقنية الرقمية",'قاعدة المؤشرات'!$L$2:$L$225,"توفّر واستقرار الأنظمة")/SUMIFS('قاعدة المؤشرات'!$K$2:$K$225,'قاعدة المؤشرات'!$B$2:$B$225,"التقنية الرقمية",'قاعدة المؤشرات'!$L$2:$L$225,"توفّر واستقرار الأنظمة"),"")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المؤشرات'!$G$2:$G$225,'قاعدة المؤشرات'!$B$2:$B$225,"التقنية الرقمية",'قاعدة المؤشرات'!$L$2:$L$225,"توفّر واستقرار الأنظمة"))</f>
        <v/>
      </c>
      <c r="H47" s="30">
        <f>COUNTIFS('قاعدة المؤشرات'!$H$2:$H$225,"🔴 تحت الهدف",'قاعدة المؤشرات'!$B$2:$B$225,"التقنية الرقمية",'قاعدة المؤشرات'!$L$2:$L$225,"توفّر واستقرار الأنظمة")</f>
        <v/>
      </c>
      <c r="I47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المشاريع التقنية</t>
        </is>
      </c>
      <c r="D48" s="15" t="n">
        <v>2</v>
      </c>
      <c r="E48" s="28">
        <f>IFERROR(SUMIFS('قاعدة المؤشرات'!$J$2:$J$225,'قاعدة المؤشرات'!$B$2:$B$225,"التقنية الرقمية",'قاعدة المؤشرات'!$L$2:$L$225,"المشاريع التقنية")/SUMIFS('قاعدة المؤشرات'!$K$2:$K$225,'قاعدة المؤشرات'!$B$2:$B$225,"التقنية الرقمية",'قاعدة المؤشرات'!$L$2:$L$225,"المشاريع التقنية"),"")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المؤشرات'!$G$2:$G$225,'قاعدة المؤشرات'!$B$2:$B$225,"التقنية الرقمية",'قاعدة المؤشرات'!$L$2:$L$225,"المشاريع التقنية"))</f>
        <v/>
      </c>
      <c r="H48" s="30">
        <f>COUNTIFS('قاعدة المؤشرات'!$H$2:$H$225,"🔴 تحت الهدف",'قاعدة المؤشرات'!$B$2:$B$225,"التقنية الرقمية",'قاعدة المؤشرات'!$L$2:$L$225,"المشاريع التقنية")</f>
        <v/>
      </c>
      <c r="I48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الأمن والصلاحيات</t>
        </is>
      </c>
      <c r="D49" s="15" t="n">
        <v>3</v>
      </c>
      <c r="E49" s="28">
        <f>IFERROR(SUMIFS('قاعدة المؤشرات'!$J$2:$J$225,'قاعدة المؤشرات'!$B$2:$B$225,"التقنية الرقمية",'قاعدة المؤشرات'!$L$2:$L$225,"الأمن والصلاحيات")/SUMIFS('قاعدة المؤشرات'!$K$2:$K$225,'قاعدة المؤشرات'!$B$2:$B$225,"التقنية الرقمية",'قاعدة المؤشرات'!$L$2:$L$225,"الأمن والصلاحيات"),"")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المؤشرات'!$G$2:$G$225,'قاعدة المؤشرات'!$B$2:$B$225,"التقنية الرقمية",'قاعدة المؤشرات'!$L$2:$L$225,"الأمن والصلاحيات"))</f>
        <v/>
      </c>
      <c r="H49" s="30">
        <f>COUNTIFS('قاعدة المؤشرات'!$H$2:$H$225,"🔴 تحت الهدف",'قاعدة المؤشرات'!$B$2:$B$225,"التقنية الرقمية",'قاعدة المؤشرات'!$L$2:$L$225,"الأمن والصلاحيات")</f>
        <v/>
      </c>
      <c r="I49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50" ht="26" customHeight="1">
      <c r="A50" s="15" t="n">
        <v>48</v>
      </c>
      <c r="B50" s="13" t="inlineStr">
        <is>
          <t>التقنية الرقمية</t>
        </is>
      </c>
      <c r="C50" s="27" t="inlineStr">
        <is>
          <t>الحوكمة والبيانات</t>
        </is>
      </c>
      <c r="D50" s="15" t="n">
        <v>2</v>
      </c>
      <c r="E50" s="28">
        <f>IFERROR(SUMIFS('قاعدة المؤشرات'!$J$2:$J$225,'قاعدة المؤشرات'!$B$2:$B$225,"التقنية الرقمية",'قاعدة المؤشرات'!$L$2:$L$225,"الحوكمة والبيانات")/SUMIFS('قاعدة المؤشرات'!$K$2:$K$225,'قاعدة المؤشرات'!$B$2:$B$225,"التقنية الرقمية",'قاعدة المؤشرات'!$L$2:$L$225,"الحوكمة والبيانات"),"")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المؤشرات'!$G$2:$G$225,'قاعدة المؤشرات'!$B$2:$B$225,"التقنية الرقمية",'قاعدة المؤشرات'!$L$2:$L$225,"الحوكمة والبيانات"))</f>
        <v/>
      </c>
      <c r="H50" s="30">
        <f>COUNTIFS('قاعدة المؤشرات'!$H$2:$H$225,"🔴 تحت الهدف",'قاعدة المؤشرات'!$B$2:$B$225,"التقنية الرقمية",'قاعدة المؤشرات'!$L$2:$L$225,"الحوكمة والبيانات")</f>
        <v/>
      </c>
      <c r="I50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51" ht="26" customHeight="1">
      <c r="A51" s="15" t="n">
        <v>49</v>
      </c>
      <c r="B51" s="13" t="inlineStr">
        <is>
          <t>التقنية الرقمية</t>
        </is>
      </c>
      <c r="C51" s="27" t="inlineStr">
        <is>
          <t>الصيانة والرضا</t>
        </is>
      </c>
      <c r="D51" s="15" t="n">
        <v>2</v>
      </c>
      <c r="E51" s="28">
        <f>IFERROR(SUMIFS('قاعدة المؤشرات'!$J$2:$J$225,'قاعدة المؤشرات'!$B$2:$B$225,"التقنية الرقمية",'قاعدة المؤشرات'!$L$2:$L$225,"الصيانة والرضا")/SUMIFS('قاعدة المؤشرات'!$K$2:$K$225,'قاعدة المؤشرات'!$B$2:$B$225,"التقنية الرقمية",'قاعدة المؤشرات'!$L$2:$L$225,"الصيانة والرضا"),"")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المؤشرات'!$G$2:$G$225,'قاعدة المؤشرات'!$B$2:$B$225,"التقنية الرقمية",'قاعدة المؤشرات'!$L$2:$L$225,"الصيانة والرضا"))</f>
        <v/>
      </c>
      <c r="H51" s="30">
        <f>COUNTIFS('قاعدة المؤشرات'!$H$2:$H$225,"🔴 تحت الهدف",'قاعدة المؤشرات'!$B$2:$B$225,"التقنية الرقمية",'قاعدة المؤشرات'!$L$2:$L$225,"الصيانة والرضا")</f>
        <v/>
      </c>
      <c r="I51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الامتثال والالتزام</t>
        </is>
      </c>
      <c r="D52" s="15" t="n">
        <v>3</v>
      </c>
      <c r="E52" s="28">
        <f>IFERROR(SUMIFS('قاعدة المؤشرات'!$J$2:$J$225,'قاعدة المؤشرات'!$B$2:$B$225,"الموارد البشرية",'قاعدة المؤشرات'!$L$2:$L$225,"الامتثال والالتزام")/SUMIFS('قاعدة المؤشرات'!$K$2:$K$225,'قاعدة المؤشرات'!$B$2:$B$225,"الموارد البشرية",'قاعدة المؤشرات'!$L$2:$L$225,"الامتثال والالتزام"),"")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المؤشرات'!$G$2:$G$225,'قاعدة المؤشرات'!$B$2:$B$225,"الموارد البشرية",'قاعدة المؤشرات'!$L$2:$L$225,"الامتثال والالتزام"))</f>
        <v/>
      </c>
      <c r="H52" s="30">
        <f>COUNTIFS('قاعدة المؤشرات'!$H$2:$H$225,"🔴 تحت الهدف",'قاعدة المؤشرات'!$B$2:$B$225,"الموارد البشرية",'قاعدة المؤشرات'!$L$2:$L$225,"الامتثال والالتزام")</f>
        <v/>
      </c>
      <c r="I52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خدمات الموظفين</t>
        </is>
      </c>
      <c r="D53" s="15" t="n">
        <v>1</v>
      </c>
      <c r="E53" s="28">
        <f>IFERROR(SUMIFS('قاعدة المؤشرات'!$J$2:$J$225,'قاعدة المؤشرات'!$B$2:$B$225,"الموارد البشرية",'قاعدة المؤشرات'!$L$2:$L$225,"خدمات الموظفين")/SUMIFS('قاعدة المؤشرات'!$K$2:$K$225,'قاعدة المؤشرات'!$B$2:$B$225,"الموارد البشرية",'قاعدة المؤشرات'!$L$2:$L$225,"خدمات الموظفين"),"")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المؤشرات'!$G$2:$G$225,'قاعدة المؤشرات'!$B$2:$B$225,"الموارد البشرية",'قاعدة المؤشرات'!$L$2:$L$225,"خدمات الموظفين"))</f>
        <v/>
      </c>
      <c r="H53" s="30">
        <f>COUNTIFS('قاعدة المؤشرات'!$H$2:$H$225,"🔴 تحت الهدف",'قاعدة المؤشرات'!$B$2:$B$225,"الموارد البشرية",'قاعدة المؤشرات'!$L$2:$L$225,"خدمات الموظفين")</f>
        <v/>
      </c>
      <c r="I53" s="31" t="inlineStr">
        <is>
          <t>نسبة إنجاز معاملات شؤون الموظفين ضمن المدة المستهدفة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التشغيل والتغطية</t>
        </is>
      </c>
      <c r="D54" s="15" t="n">
        <v>1</v>
      </c>
      <c r="E54" s="28">
        <f>IFERROR(SUMIFS('قاعدة المؤشرات'!$J$2:$J$225,'قاعدة المؤشرات'!$B$2:$B$225,"الموارد البشرية",'قاعدة المؤشرات'!$L$2:$L$225,"التشغيل والتغطية")/SUMIFS('قاعدة المؤشرات'!$K$2:$K$225,'قاعدة المؤشرات'!$B$2:$B$225,"الموارد البشرية",'قاعدة المؤشرات'!$L$2:$L$225,"التشغيل والتغطية"),"")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المؤشرات'!$G$2:$G$225,'قاعدة المؤشرات'!$B$2:$B$225,"الموارد البشرية",'قاعدة المؤشرات'!$L$2:$L$225,"التشغيل والتغطية"))</f>
        <v/>
      </c>
      <c r="H54" s="30">
        <f>COUNTIFS('قاعدة المؤشرات'!$H$2:$H$225,"🔴 تحت الهدف",'قاعدة المؤشرات'!$B$2:$B$225,"الموارد البشرية",'قاعدة المؤشرات'!$L$2:$L$225,"التشغيل والتغطية")</f>
        <v/>
      </c>
      <c r="I54" s="31" t="inlineStr">
        <is>
          <t>نسبة جاهزية وتغطية عمالة المحطات حسب خطة التشغيل والافتتاحات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الاستقطاب</t>
        </is>
      </c>
      <c r="D55" s="15" t="n">
        <v>2</v>
      </c>
      <c r="E55" s="28">
        <f>IFERROR(SUMIFS('قاعدة المؤشرات'!$J$2:$J$225,'قاعدة المؤشرات'!$B$2:$B$225,"الموارد البشرية",'قاعدة المؤشرات'!$L$2:$L$225,"الاستقطاب")/SUMIFS('قاعدة المؤشرات'!$K$2:$K$225,'قاعدة المؤشرات'!$B$2:$B$225,"الموارد البشرية",'قاعدة المؤشرات'!$L$2:$L$225,"الاستقطاب"),"")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المؤشرات'!$G$2:$G$225,'قاعدة المؤشرات'!$B$2:$B$225,"الموارد البشرية",'قاعدة المؤشرات'!$L$2:$L$225,"الاستقطاب"))</f>
        <v/>
      </c>
      <c r="H55" s="30">
        <f>COUNTIFS('قاعدة المؤشرات'!$H$2:$H$225,"🔴 تحت الهدف",'قاعدة المؤشرات'!$B$2:$B$225,"الموارد البشرية",'قاعدة المؤشرات'!$L$2:$L$225,"الاستقطاب")</f>
        <v/>
      </c>
      <c r="I55" s="31" t="inlineStr">
        <is>
          <t>متوسط مدة إغلاق الشواغر المعتمدة · نسبة نجاح التعيينات الجديدة خلال فترة التجربة</t>
        </is>
      </c>
    </row>
    <row r="56" ht="26" customHeight="1">
      <c r="A56" s="15" t="n">
        <v>54</v>
      </c>
      <c r="B56" s="13" t="inlineStr">
        <is>
          <t>الموارد البشرية</t>
        </is>
      </c>
      <c r="C56" s="27" t="inlineStr">
        <is>
          <t>التكلفة والرواتب</t>
        </is>
      </c>
      <c r="D56" s="15" t="n">
        <v>2</v>
      </c>
      <c r="E56" s="28">
        <f>IFERROR(SUMIFS('قاعدة المؤشرات'!$J$2:$J$225,'قاعدة المؤشرات'!$B$2:$B$225,"الموارد البشرية",'قاعدة المؤشرات'!$L$2:$L$225,"التكلفة والرواتب")/SUMIFS('قاعدة المؤشرات'!$K$2:$K$225,'قاعدة المؤشرات'!$B$2:$B$225,"الموارد البشرية",'قاعدة المؤشرات'!$L$2:$L$225,"التكلفة والرواتب"),"")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المؤشرات'!$G$2:$G$225,'قاعدة المؤشرات'!$B$2:$B$225,"الموارد البشرية",'قاعدة المؤشرات'!$L$2:$L$225,"التكلفة والرواتب"))</f>
        <v/>
      </c>
      <c r="H56" s="30">
        <f>COUNTIFS('قاعدة المؤشرات'!$H$2:$H$225,"🔴 تحت الهدف",'قاعدة المؤشرات'!$B$2:$B$225,"الموارد البشرية",'قاعدة المؤشرات'!$L$2:$L$225,"التكلفة والرواتب")</f>
        <v/>
      </c>
      <c r="I56" s="31" t="inlineStr">
        <is>
          <t>نسبة كفاءة تكلفة القوى العاملة · نسبة دقة الرواتب والمستحقات الشهرية</t>
        </is>
      </c>
    </row>
    <row r="57" ht="26" customHeight="1">
      <c r="A57" s="15" t="n">
        <v>55</v>
      </c>
      <c r="B57" s="13" t="inlineStr">
        <is>
          <t>الموارد البشرية</t>
        </is>
      </c>
      <c r="C57" s="27" t="inlineStr">
        <is>
          <t>الاستقرار والتطوير</t>
        </is>
      </c>
      <c r="D57" s="15" t="n">
        <v>4</v>
      </c>
      <c r="E57" s="28">
        <f>IFERROR(SUMIFS('قاعدة المؤشرات'!$J$2:$J$225,'قاعدة المؤشرات'!$B$2:$B$225,"الموارد البشرية",'قاعدة المؤشرات'!$L$2:$L$225,"الاستقرار والتطوير")/SUMIFS('قاعدة المؤشرات'!$K$2:$K$225,'قاعدة المؤشرات'!$B$2:$B$225,"الموارد البشرية",'قاعدة المؤشرات'!$L$2:$L$225,"الاستقرار والتطوير"),"")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المؤشرات'!$G$2:$G$225,'قاعدة المؤشرات'!$B$2:$B$225,"الموارد البشرية",'قاعدة المؤشرات'!$L$2:$L$225,"الاستقرار والتطوير"))</f>
        <v/>
      </c>
      <c r="H57" s="30">
        <f>COUNTIFS('قاعدة المؤشرات'!$H$2:$H$225,"🔴 تحت الهدف",'قاعدة المؤشرات'!$B$2:$B$225,"الموارد البشرية",'قاعدة المؤشرات'!$L$2:$L$225,"الاستقرار والتطوير")</f>
        <v/>
      </c>
      <c r="I57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الاكتساب والعائد</t>
        </is>
      </c>
      <c r="D58" s="15" t="n">
        <v>3</v>
      </c>
      <c r="E58" s="28">
        <f>IFERROR(SUMIFS('قاعدة المؤشرات'!$J$2:$J$225,'قاعدة المؤشرات'!$B$2:$B$225,"التسويق",'قاعدة المؤشرات'!$L$2:$L$225,"الاكتساب والعائد")/SUMIFS('قاعدة المؤشرات'!$K$2:$K$225,'قاعدة المؤشرات'!$B$2:$B$225,"التسويق",'قاعدة المؤشرات'!$L$2:$L$225,"الاكتساب والعائد"),"")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المؤشرات'!$G$2:$G$225,'قاعدة المؤشرات'!$B$2:$B$225,"التسويق",'قاعدة المؤشرات'!$L$2:$L$225,"الاكتساب والعائد"))</f>
        <v/>
      </c>
      <c r="H58" s="30">
        <f>COUNTIFS('قاعدة المؤشرات'!$H$2:$H$225,"🔴 تحت الهدف",'قاعدة المؤشرات'!$B$2:$B$225,"التسويق",'قاعدة المؤشرات'!$L$2:$L$225,"الاكتساب والعائد")</f>
        <v/>
      </c>
      <c r="I58" s="31" t="inlineStr">
        <is>
          <t>عملاء تجاريون جدد · تكلفة اكتساب العميل · تحويل الفرص التسويقية إلى عقود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الوعي والوصول</t>
        </is>
      </c>
      <c r="D59" s="15" t="n">
        <v>2</v>
      </c>
      <c r="E59" s="28">
        <f>IFERROR(SUMIFS('قاعدة المؤشرات'!$J$2:$J$225,'قاعدة المؤشرات'!$B$2:$B$225,"التسويق",'قاعدة المؤشرات'!$L$2:$L$225,"الوعي والوصول")/SUMIFS('قاعدة المؤشرات'!$K$2:$K$225,'قاعدة المؤشرات'!$B$2:$B$225,"التسويق",'قاعدة المؤشرات'!$L$2:$L$225,"الوعي والوصول"),"")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المؤشرات'!$G$2:$G$225,'قاعدة المؤشرات'!$B$2:$B$225,"التسويق",'قاعدة المؤشرات'!$L$2:$L$225,"الوعي والوصول"))</f>
        <v/>
      </c>
      <c r="H59" s="30">
        <f>COUNTIFS('قاعدة المؤشرات'!$H$2:$H$225,"🔴 تحت الهدف",'قاعدة المؤشرات'!$B$2:$B$225,"التسويق",'قاعدة المؤشرات'!$L$2:$L$225,"الوعي والوصول")</f>
        <v/>
      </c>
      <c r="I59" s="31" t="inlineStr">
        <is>
          <t>الوصول الرقمي السنوي (مشاهدات وانطباعات) · عدد الظهورات الإعلامية (تغطيات صحفية)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التفاعل والمجتمع</t>
        </is>
      </c>
      <c r="D60" s="15" t="n">
        <v>2</v>
      </c>
      <c r="E60" s="28">
        <f>IFERROR(SUMIFS('قاعدة المؤشرات'!$J$2:$J$225,'قاعدة المؤشرات'!$B$2:$B$225,"التسويق",'قاعدة المؤشرات'!$L$2:$L$225,"التفاعل والمجتمع")/SUMIFS('قاعدة المؤشرات'!$K$2:$K$225,'قاعدة المؤشرات'!$B$2:$B$225,"التسويق",'قاعدة المؤشرات'!$L$2:$L$225,"التفاعل والمجتمع"),"")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المؤشرات'!$G$2:$G$225,'قاعدة المؤشرات'!$B$2:$B$225,"التسويق",'قاعدة المؤشرات'!$L$2:$L$225,"التفاعل والمجتمع"))</f>
        <v/>
      </c>
      <c r="H60" s="30">
        <f>COUNTIFS('قاعدة المؤشرات'!$H$2:$H$225,"🔴 تحت الهدف",'قاعدة المؤشرات'!$B$2:$B$225,"التسويق",'قاعدة المؤشرات'!$L$2:$L$225,"التفاعل والمجتمع")</f>
        <v/>
      </c>
      <c r="I60" s="31" t="inlineStr">
        <is>
          <t>معدل التفاعل · نمو المتابعين النشطين</t>
        </is>
      </c>
    </row>
    <row r="61" ht="26" customHeight="1">
      <c r="A61" s="15" t="n">
        <v>59</v>
      </c>
      <c r="B61" s="13" t="inlineStr">
        <is>
          <t>التسويق</t>
        </is>
      </c>
      <c r="C61" s="27" t="inlineStr">
        <is>
          <t>السمعة وتجربة العلامة</t>
        </is>
      </c>
      <c r="D61" s="15" t="n">
        <v>2</v>
      </c>
      <c r="E61" s="28">
        <f>IFERROR(SUMIFS('قاعدة المؤشرات'!$J$2:$J$225,'قاعدة المؤشرات'!$B$2:$B$225,"التسويق",'قاعدة المؤشرات'!$L$2:$L$225,"السمعة وتجربة العلامة")/SUMIFS('قاعدة المؤشرات'!$K$2:$K$225,'قاعدة المؤشرات'!$B$2:$B$225,"التسويق",'قاعدة المؤشرات'!$L$2:$L$225,"السمعة وتجربة العلامة"),"")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المؤشرات'!$G$2:$G$225,'قاعدة المؤشرات'!$B$2:$B$225,"التسويق",'قاعدة المؤشرات'!$L$2:$L$225,"السمعة وتجربة العلامة"))</f>
        <v/>
      </c>
      <c r="H61" s="30">
        <f>COUNTIFS('قاعدة المؤشرات'!$H$2:$H$225,"🔴 تحت الهدف",'قاعدة المؤشرات'!$B$2:$B$225,"التسويق",'قاعدة المؤشرات'!$L$2:$L$225,"السمعة وتجربة العلامة")</f>
        <v/>
      </c>
      <c r="I61" s="31" t="inlineStr">
        <is>
          <t>اتساق الهوية البصرية عبر القنوات التسويقية · نسبة المشاعر الإيجابية للعلامة</t>
        </is>
      </c>
    </row>
    <row r="62" ht="26" customHeight="1">
      <c r="A62" s="15" t="n">
        <v>60</v>
      </c>
      <c r="B62" s="13" t="inlineStr">
        <is>
          <t>التسويق</t>
        </is>
      </c>
      <c r="C62" s="27" t="inlineStr">
        <is>
          <t>نمو تطبيق درب</t>
        </is>
      </c>
      <c r="D62" s="15" t="n">
        <v>2</v>
      </c>
      <c r="E62" s="28">
        <f>IFERROR(SUMIFS('قاعدة المؤشرات'!$J$2:$J$225,'قاعدة المؤشرات'!$B$2:$B$225,"التسويق",'قاعدة المؤشرات'!$L$2:$L$225,"نمو تطبيق درب")/SUMIFS('قاعدة المؤشرات'!$K$2:$K$225,'قاعدة المؤشرات'!$B$2:$B$225,"التسويق",'قاعدة المؤشرات'!$L$2:$L$225,"نمو تطبيق درب"),"")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المؤشرات'!$G$2:$G$225,'قاعدة المؤشرات'!$B$2:$B$225,"التسويق",'قاعدة المؤشرات'!$L$2:$L$225,"نمو تطبيق درب"))</f>
        <v/>
      </c>
      <c r="H62" s="30">
        <f>COUNTIFS('قاعدة المؤشرات'!$H$2:$H$225,"🔴 تحت الهدف",'قاعدة المؤشرات'!$B$2:$B$225,"التسويق",'قاعدة المؤشرات'!$L$2:$L$225,"نمو تطبيق درب")</f>
        <v/>
      </c>
      <c r="I62" s="31" t="inlineStr">
        <is>
          <t>المستخدمون النشطون شهرياً · معدل احتفاظ مستخدمي تطبيق درب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الزيارات الميدانية ورفع الملاحظات</t>
        </is>
      </c>
      <c r="D63" s="15" t="n">
        <v>6</v>
      </c>
      <c r="E63" s="28">
        <f>IFERROR(SUMIFS('قاعدة المؤشرات'!$J$2:$J$225,'قاعدة المؤشرات'!$B$2:$B$225,"الجودة",'قاعدة المؤشرات'!$L$2:$L$225,"الزيارات الميدانية ورفع الملاحظات")/SUMIFS('قاعدة المؤشرات'!$K$2:$K$225,'قاعدة المؤشرات'!$B$2:$B$225,"الجودة",'قاعدة المؤشرات'!$L$2:$L$225,"الزيارات الميدانية ورفع الملاحظات"),"")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المؤشرات'!$G$2:$G$225,'قاعدة المؤشرات'!$B$2:$B$225,"الجودة",'قاعدة المؤشرات'!$L$2:$L$225,"الزيارات الميدانية ورفع الملاحظات"))</f>
        <v/>
      </c>
      <c r="H63" s="30">
        <f>COUNTIFS('قاعدة المؤشرات'!$H$2:$H$225,"🔴 تحت الهدف",'قاعدة المؤشرات'!$B$2:$B$225,"الجودة",'قاعدة المؤشرات'!$L$2:$L$225,"الزيارات الميدانية ورفع الملاحظات")</f>
        <v/>
      </c>
      <c r="I63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متابعة إغلاق الملاحظات والتحقق</t>
        </is>
      </c>
      <c r="D64" s="15" t="n">
        <v>5</v>
      </c>
      <c r="E64" s="28">
        <f>IFERROR(SUMIFS('قاعدة المؤشرات'!$J$2:$J$225,'قاعدة المؤشرات'!$B$2:$B$225,"الجودة",'قاعدة المؤشرات'!$L$2:$L$225,"متابعة إغلاق الملاحظات والتحقق")/SUMIFS('قاعدة المؤشرات'!$K$2:$K$225,'قاعدة المؤشرات'!$B$2:$B$225,"الجودة",'قاعدة المؤشرات'!$L$2:$L$225,"متابعة إغلاق الملاحظات والتحقق"),"")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المؤشرات'!$G$2:$G$225,'قاعدة المؤشرات'!$B$2:$B$225,"الجودة",'قاعدة المؤشرات'!$L$2:$L$225,"متابعة إغلاق الملاحظات والتحقق"))</f>
        <v/>
      </c>
      <c r="H64" s="30">
        <f>COUNTIFS('قاعدة المؤشرات'!$H$2:$H$225,"🔴 تحت الهدف",'قاعدة المؤشرات'!$B$2:$B$225,"الجودة",'قاعدة المؤشرات'!$L$2:$L$225,"متابعة إغلاق الملاحظات والتحقق")</f>
        <v/>
      </c>
      <c r="I64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التدقيق الداخلي وعدم المطابقة</t>
        </is>
      </c>
      <c r="D65" s="15" t="n">
        <v>5</v>
      </c>
      <c r="E65" s="28">
        <f>IFERROR(SUMIFS('قاعدة المؤشرات'!$J$2:$J$225,'قاعدة المؤشرات'!$B$2:$B$225,"الجودة",'قاعدة المؤشرات'!$L$2:$L$225,"التدقيق الداخلي وعدم المطابقة")/SUMIFS('قاعدة المؤشرات'!$K$2:$K$225,'قاعدة المؤشرات'!$B$2:$B$225,"الجودة",'قاعدة المؤشرات'!$L$2:$L$225,"التدقيق الداخلي وعدم المطابقة"),"")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المؤشرات'!$G$2:$G$225,'قاعدة المؤشرات'!$B$2:$B$225,"الجودة",'قاعدة المؤشرات'!$L$2:$L$225,"التدقيق الداخلي وعدم المطابقة"))</f>
        <v/>
      </c>
      <c r="H65" s="30">
        <f>COUNTIFS('قاعدة المؤشرات'!$H$2:$H$225,"🔴 تحت الهدف",'قاعدة المؤشرات'!$B$2:$B$225,"الجودة",'قاعدة المؤشرات'!$L$2:$L$225,"التدقيق الداخلي وعدم المطابقة")</f>
        <v/>
      </c>
      <c r="I65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الإجراءات والسياسات والنماذج</t>
        </is>
      </c>
      <c r="D66" s="15" t="n">
        <v>5</v>
      </c>
      <c r="E66" s="28">
        <f>IFERROR(SUMIFS('قاعدة المؤشرات'!$J$2:$J$225,'قاعدة المؤشرات'!$B$2:$B$225,"الجودة",'قاعدة المؤشرات'!$L$2:$L$225,"الإجراءات والسياسات والنماذج")/SUMIFS('قاعدة المؤشرات'!$K$2:$K$225,'قاعدة المؤشرات'!$B$2:$B$225,"الجودة",'قاعدة المؤشرات'!$L$2:$L$225,"الإجراءات والسياسات والنماذج"),"")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المؤشرات'!$G$2:$G$225,'قاعدة المؤشرات'!$B$2:$B$225,"الجودة",'قاعدة المؤشرات'!$L$2:$L$225,"الإجراءات والسياسات والنماذج"))</f>
        <v/>
      </c>
      <c r="H66" s="30">
        <f>COUNTIFS('قاعدة المؤشرات'!$H$2:$H$225,"🔴 تحت الهدف",'قاعدة المؤشرات'!$B$2:$B$225,"الجودة",'قاعدة المؤشرات'!$L$2:$L$225,"الإجراءات والسياسات والنماذج")</f>
        <v/>
      </c>
      <c r="I66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7" ht="26" customHeight="1">
      <c r="A67" s="15" t="n">
        <v>65</v>
      </c>
      <c r="B67" s="13" t="inlineStr">
        <is>
          <t>الجودة</t>
        </is>
      </c>
      <c r="C67" s="27" t="inlineStr">
        <is>
          <t>التحسين المستمر والتحليل</t>
        </is>
      </c>
      <c r="D67" s="15" t="n">
        <v>5</v>
      </c>
      <c r="E67" s="28">
        <f>IFERROR(SUMIFS('قاعدة المؤشرات'!$J$2:$J$225,'قاعدة المؤشرات'!$B$2:$B$225,"الجودة",'قاعدة المؤشرات'!$L$2:$L$225,"التحسين المستمر والتحليل")/SUMIFS('قاعدة المؤشرات'!$K$2:$K$225,'قاعدة المؤشرات'!$B$2:$B$225,"الجودة",'قاعدة المؤشرات'!$L$2:$L$225,"التحسين المستمر والتحليل"),"")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المؤشرات'!$G$2:$G$225,'قاعدة المؤشرات'!$B$2:$B$225,"الجودة",'قاعدة المؤشرات'!$L$2:$L$225,"التحسين المستمر والتحليل"))</f>
        <v/>
      </c>
      <c r="H67" s="30">
        <f>COUNTIFS('قاعدة المؤشرات'!$H$2:$H$225,"🔴 تحت الهدف",'قاعدة المؤشرات'!$B$2:$B$225,"الجودة",'قاعدة المؤشرات'!$L$2:$L$225,"التحسين المستمر والتحليل")</f>
        <v/>
      </c>
      <c r="I67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8" ht="26" customHeight="1">
      <c r="A68" s="15" t="n">
        <v>66</v>
      </c>
      <c r="B68" s="13" t="inlineStr">
        <is>
          <t>الجودة</t>
        </is>
      </c>
      <c r="C68" s="27" t="inlineStr">
        <is>
          <t>الرقمنة وجاهزية نظام الجودة</t>
        </is>
      </c>
      <c r="D68" s="15" t="n">
        <v>4</v>
      </c>
      <c r="E68" s="28">
        <f>IFERROR(SUMIFS('قاعدة المؤشرات'!$J$2:$J$225,'قاعدة المؤشرات'!$B$2:$B$225,"الجودة",'قاعدة المؤشرات'!$L$2:$L$225,"الرقمنة وجاهزية نظام الجودة")/SUMIFS('قاعدة المؤشرات'!$K$2:$K$225,'قاعدة المؤشرات'!$B$2:$B$225,"الجودة",'قاعدة المؤشرات'!$L$2:$L$225,"الرقمنة وجاهزية نظام الجودة"),"")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المؤشرات'!$G$2:$G$225,'قاعدة المؤشرات'!$B$2:$B$225,"الجودة",'قاعدة المؤشرات'!$L$2:$L$225,"الرقمنة وجاهزية نظام الجودة"))</f>
        <v/>
      </c>
      <c r="H68" s="30">
        <f>COUNTIFS('قاعدة المؤشرات'!$H$2:$H$225,"🔴 تحت الهدف",'قاعدة المؤشرات'!$B$2:$B$225,"الجودة",'قاعدة المؤشرات'!$L$2:$L$225,"الرقمنة وجاهزية نظام الجودة")</f>
        <v/>
      </c>
      <c r="I68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أعمال العقود</t>
        </is>
      </c>
      <c r="D69" s="15" t="n">
        <v>3</v>
      </c>
      <c r="E69" s="28">
        <f>IFERROR(SUMIFS('قاعدة المؤشرات'!$J$2:$J$225,'قاعدة المؤشرات'!$B$2:$B$225,"الإدارة القانونية",'قاعدة المؤشرات'!$L$2:$L$225,"أعمال العقود")/SUMIFS('قاعدة المؤشرات'!$K$2:$K$225,'قاعدة المؤشرات'!$B$2:$B$225,"الإدارة القانونية",'قاعدة المؤشرات'!$L$2:$L$225,"أعمال العقود"),"")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المؤشرات'!$G$2:$G$225,'قاعدة المؤشرات'!$B$2:$B$225,"الإدارة القانونية",'قاعدة المؤشرات'!$L$2:$L$225,"أعمال العقود"))</f>
        <v/>
      </c>
      <c r="H69" s="30">
        <f>COUNTIFS('قاعدة المؤشرات'!$H$2:$H$225,"🔴 تحت الهدف",'قاعدة المؤشرات'!$B$2:$B$225,"الإدارة القانونية",'قاعدة المؤشرات'!$L$2:$L$225,"أعمال العقود")</f>
        <v/>
      </c>
      <c r="I69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أعمال القضايا</t>
        </is>
      </c>
      <c r="D70" s="15" t="n">
        <v>3</v>
      </c>
      <c r="E70" s="28">
        <f>IFERROR(SUMIFS('قاعدة المؤشرات'!$J$2:$J$225,'قاعدة المؤشرات'!$B$2:$B$225,"الإدارة القانونية",'قاعدة المؤشرات'!$L$2:$L$225,"أعمال القضايا")/SUMIFS('قاعدة المؤشرات'!$K$2:$K$225,'قاعدة المؤشرات'!$B$2:$B$225,"الإدارة القانونية",'قاعدة المؤشرات'!$L$2:$L$225,"أعمال القضايا"),"")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المؤشرات'!$G$2:$G$225,'قاعدة المؤشرات'!$B$2:$B$225,"الإدارة القانونية",'قاعدة المؤشرات'!$L$2:$L$225,"أعمال القضايا"))</f>
        <v/>
      </c>
      <c r="H70" s="30">
        <f>COUNTIFS('قاعدة المؤشرات'!$H$2:$H$225,"🔴 تحت الهدف",'قاعدة المؤشرات'!$B$2:$B$225,"الإدارة القانونية",'قاعدة المؤشرات'!$L$2:$L$225,"أعمال القضايا")</f>
        <v/>
      </c>
      <c r="I70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71" ht="26" customHeight="1">
      <c r="A71" s="15" t="n">
        <v>69</v>
      </c>
      <c r="B71" s="13" t="inlineStr">
        <is>
          <t>الإدارة القانونية</t>
        </is>
      </c>
      <c r="C71" s="27" t="inlineStr">
        <is>
          <t>الاستشارات القانونية</t>
        </is>
      </c>
      <c r="D71" s="15" t="n">
        <v>2</v>
      </c>
      <c r="E71" s="28">
        <f>IFERROR(SUMIFS('قاعدة المؤشرات'!$J$2:$J$225,'قاعدة المؤشرات'!$B$2:$B$225,"الإدارة القانونية",'قاعدة المؤشرات'!$L$2:$L$225,"الاستشارات القانونية")/SUMIFS('قاعدة المؤشرات'!$K$2:$K$225,'قاعدة المؤشرات'!$B$2:$B$225,"الإدارة القانونية",'قاعدة المؤشرات'!$L$2:$L$225,"الاستشارات القانونية"),"")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المؤشرات'!$G$2:$G$225,'قاعدة المؤشرات'!$B$2:$B$225,"الإدارة القانونية",'قاعدة المؤشرات'!$L$2:$L$225,"الاستشارات القانونية"))</f>
        <v/>
      </c>
      <c r="H71" s="30">
        <f>COUNTIFS('قاعدة المؤشرات'!$H$2:$H$225,"🔴 تحت الهدف",'قاعدة المؤشرات'!$B$2:$B$225,"الإدارة القانونية",'قاعدة المؤشرات'!$L$2:$L$225,"الاستشارات القانونية")</f>
        <v/>
      </c>
      <c r="I71" s="31" t="inlineStr">
        <is>
          <t>نسبة الاستشارات المُنجزة ضمن المدة المستهدفة · مستوى رضا الإدارات عن الدعم القانوني</t>
        </is>
      </c>
    </row>
    <row r="72" ht="26" customHeight="1">
      <c r="A72" s="15" t="n">
        <v>70</v>
      </c>
      <c r="B72" s="13" t="inlineStr">
        <is>
          <t>الإدارة القانونية</t>
        </is>
      </c>
      <c r="C72" s="27" t="inlineStr">
        <is>
          <t>التحقيق</t>
        </is>
      </c>
      <c r="D72" s="15" t="n">
        <v>5</v>
      </c>
      <c r="E72" s="28">
        <f>IFERROR(SUMIFS('قاعدة المؤشرات'!$J$2:$J$225,'قاعدة المؤشرات'!$B$2:$B$225,"الإدارة القانونية",'قاعدة المؤشرات'!$L$2:$L$225,"التحقيق")/SUMIFS('قاعدة المؤشرات'!$K$2:$K$225,'قاعدة المؤشرات'!$B$2:$B$225,"الإدارة القانونية",'قاعدة المؤشرات'!$L$2:$L$225,"التحقيق"),"")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المؤشرات'!$G$2:$G$225,'قاعدة المؤشرات'!$B$2:$B$225,"الإدارة القانونية",'قاعدة المؤشرات'!$L$2:$L$225,"التحقيق"))</f>
        <v/>
      </c>
      <c r="H72" s="30">
        <f>COUNTIFS('قاعدة المؤشرات'!$H$2:$H$225,"🔴 تحت الهدف",'قاعدة المؤشرات'!$B$2:$B$225,"الإدارة القانونية",'قاعدة المؤشرات'!$L$2:$L$225,"التحقيق")</f>
        <v/>
      </c>
      <c r="I72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المالية الاستراتيجية</t>
        </is>
      </c>
      <c r="D73" s="15" t="n">
        <v>4</v>
      </c>
      <c r="E73" s="28">
        <f>IFERROR(SUMIFS('قاعدة المؤشرات'!$J$2:$J$225,'قاعدة المؤشرات'!$B$2:$B$225,"الإدارة المالية",'قاعدة المؤشرات'!$L$2:$L$225,"المالية الاستراتيجية")/SUMIFS('قاعدة المؤشرات'!$K$2:$K$225,'قاعدة المؤشرات'!$B$2:$B$225,"الإدارة المالية",'قاعدة المؤشرات'!$L$2:$L$225,"المالية الاستراتيجية"),"")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المؤشرات'!$G$2:$G$225,'قاعدة المؤشرات'!$B$2:$B$225,"الإدارة المالية",'قاعدة المؤشرات'!$L$2:$L$225,"المالية الاستراتيجية"))</f>
        <v/>
      </c>
      <c r="H73" s="30">
        <f>COUNTIFS('قاعدة المؤشرات'!$H$2:$H$225,"🔴 تحت الهدف",'قاعدة المؤشرات'!$B$2:$B$225,"الإدارة المالية",'قاعدة المؤشرات'!$L$2:$L$225,"المالية الاستراتيجية")</f>
        <v/>
      </c>
      <c r="I73" s="31" t="inlineStr">
        <is>
          <t>نمو الإيرادات السنوي · هامش إبيتدا · هامش صافي الربح · نسبة التدفق النقدي التشغيلي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السيولة ورأس المال</t>
        </is>
      </c>
      <c r="D74" s="15" t="n">
        <v>2</v>
      </c>
      <c r="E74" s="28">
        <f>IFERROR(SUMIFS('قاعدة المؤشرات'!$J$2:$J$225,'قاعدة المؤشرات'!$B$2:$B$225,"الإدارة المالية",'قاعدة المؤشرات'!$L$2:$L$225,"السيولة ورأس المال")/SUMIFS('قاعدة المؤشرات'!$K$2:$K$225,'قاعدة المؤشرات'!$B$2:$B$225,"الإدارة المالية",'قاعدة المؤشرات'!$L$2:$L$225,"السيولة ورأس المال"),"")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المؤشرات'!$G$2:$G$225,'قاعدة المؤشرات'!$B$2:$B$225,"الإدارة المالية",'قاعدة المؤشرات'!$L$2:$L$225,"السيولة ورأس المال"))</f>
        <v/>
      </c>
      <c r="H74" s="30">
        <f>COUNTIFS('قاعدة المؤشرات'!$H$2:$H$225,"🔴 تحت الهدف",'قاعدة المؤشرات'!$B$2:$B$225,"الإدارة المالية",'قاعدة المؤشرات'!$L$2:$L$225,"السيولة ورأس المال")</f>
        <v/>
      </c>
      <c r="I74" s="31" t="inlineStr">
        <is>
          <t>النسبة الجارية · دورة التحويل النقدي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الذمم المدينة</t>
        </is>
      </c>
      <c r="D75" s="15" t="n">
        <v>3</v>
      </c>
      <c r="E75" s="28">
        <f>IFERROR(SUMIFS('قاعدة المؤشرات'!$J$2:$J$225,'قاعدة المؤشرات'!$B$2:$B$225,"الإدارة المالية",'قاعدة المؤشرات'!$L$2:$L$225,"الذمم المدينة")/SUMIFS('قاعدة المؤشرات'!$K$2:$K$225,'قاعدة المؤشرات'!$B$2:$B$225,"الإدارة المالية",'قاعدة المؤشرات'!$L$2:$L$225,"الذمم المدينة"),"")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المؤشرات'!$G$2:$G$225,'قاعدة المؤشرات'!$B$2:$B$225,"الإدارة المالية",'قاعدة المؤشرات'!$L$2:$L$225,"الذمم المدينة"))</f>
        <v/>
      </c>
      <c r="H75" s="30">
        <f>COUNTIFS('قاعدة المؤشرات'!$H$2:$H$225,"🔴 تحت الهدف",'قاعدة المؤشرات'!$B$2:$B$225,"الإدارة المالية",'قاعدة المؤشرات'!$L$2:$L$225,"الذمم المدينة")</f>
        <v/>
      </c>
      <c r="I75" s="31" t="inlineStr">
        <is>
          <t>نسبة التحصيل العام (الشركة) · نسبة الذمم المتأخرة · نسبة الديون المعدومة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الذمم الدائنة</t>
        </is>
      </c>
      <c r="D76" s="15" t="n">
        <v>2</v>
      </c>
      <c r="E76" s="28">
        <f>IFERROR(SUMIFS('قاعدة المؤشرات'!$J$2:$J$225,'قاعدة المؤشرات'!$B$2:$B$225,"الإدارة المالية",'قاعدة المؤشرات'!$L$2:$L$225,"الذمم الدائنة")/SUMIFS('قاعدة المؤشرات'!$K$2:$K$225,'قاعدة المؤشرات'!$B$2:$B$225,"الإدارة المالية",'قاعدة المؤشرات'!$L$2:$L$225,"الذمم الدائنة"),"")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المؤشرات'!$G$2:$G$225,'قاعدة المؤشرات'!$B$2:$B$225,"الإدارة المالية",'قاعدة المؤشرات'!$L$2:$L$225,"الذمم الدائنة"))</f>
        <v/>
      </c>
      <c r="H76" s="30">
        <f>COUNTIFS('قاعدة المؤشرات'!$H$2:$H$225,"🔴 تحت الهدف",'قاعدة المؤشرات'!$B$2:$B$225,"الإدارة المالية",'قاعدة المؤشرات'!$L$2:$L$225,"الذمم الدائنة")</f>
        <v/>
      </c>
      <c r="I76" s="31" t="inlineStr">
        <is>
          <t>سداد الموردين في الموعد · دقة مطابقة حسابات الموردين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الخزينة واستثمار الفائض النقدي</t>
        </is>
      </c>
      <c r="D77" s="15" t="n">
        <v>5</v>
      </c>
      <c r="E77" s="28">
        <f>IFERROR(SUMIFS('قاعدة المؤشرات'!$J$2:$J$225,'قاعدة المؤشرات'!$B$2:$B$225,"الإدارة المالية",'قاعدة المؤشرات'!$L$2:$L$225,"الخزينة واستثمار الفائض النقدي")/SUMIFS('قاعدة المؤشرات'!$K$2:$K$225,'قاعدة المؤشرات'!$B$2:$B$225,"الإدارة المالية",'قاعدة المؤشرات'!$L$2:$L$225,"الخزينة واستثمار الفائض النقدي"),"")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المؤشرات'!$G$2:$G$225,'قاعدة المؤشرات'!$B$2:$B$225,"الإدارة المالية",'قاعدة المؤشرات'!$L$2:$L$225,"الخزينة واستثمار الفائض النقدي"))</f>
        <v/>
      </c>
      <c r="H77" s="30">
        <f>COUNTIFS('قاعدة المؤشرات'!$H$2:$H$225,"🔴 تحت الهدف",'قاعدة المؤشرات'!$B$2:$B$225,"الإدارة المالية",'قاعدة المؤشرات'!$L$2:$L$225,"الخزينة واستثمار الفائض النقدي")</f>
        <v/>
      </c>
      <c r="I77" s="31" t="inlineStr">
        <is>
          <t>دقة التنبؤ النقدي · نسبة توظيف الفائض النقدي في الاستثمارات · العائد على المحفظة الاستثمارية للفائض النقدي · نسبة مساهمة دخل الاستثمار في صافي الربح · صافي الفارق بين عائد الاستثمار وتكلفة رأس المال</t>
        </is>
      </c>
    </row>
    <row r="78" ht="26" customHeight="1">
      <c r="A78" s="15" t="n">
        <v>76</v>
      </c>
      <c r="B78" s="13" t="inlineStr">
        <is>
          <t>الإدارة المالية</t>
        </is>
      </c>
      <c r="C78" s="27" t="inlineStr">
        <is>
          <t>صناعة الوقود</t>
        </is>
      </c>
      <c r="D78" s="15" t="n">
        <v>2</v>
      </c>
      <c r="E78" s="28">
        <f>IFERROR(SUMIFS('قاعدة المؤشرات'!$J$2:$J$225,'قاعدة المؤشرات'!$B$2:$B$225,"الإدارة المالية",'قاعدة المؤشرات'!$L$2:$L$225,"صناعة الوقود")/SUMIFS('قاعدة المؤشرات'!$K$2:$K$225,'قاعدة المؤشرات'!$B$2:$B$225,"الإدارة المالية",'قاعدة المؤشرات'!$L$2:$L$225,"صناعة الوقود"),"")</f>
        <v/>
      </c>
      <c r="F78" s="20">
        <f>IF($E78="","⏳ بانتظار هدف",IF($E78&gt;=1,"✅ محقق",IF($E78&gt;=0.85,"🟡 قريب","🔴 تحت الهدف")))</f>
        <v/>
      </c>
      <c r="G78" s="29">
        <f>IF($E78="","",MINIFS('قاعدة المؤشرات'!$G$2:$G$225,'قاعدة المؤشرات'!$B$2:$B$225,"الإدارة المالية",'قاعدة المؤشرات'!$L$2:$L$225,"صناعة الوقود"))</f>
        <v/>
      </c>
      <c r="H78" s="30">
        <f>COUNTIFS('قاعدة المؤشرات'!$H$2:$H$225,"🔴 تحت الهدف",'قاعدة المؤشرات'!$B$2:$B$225,"الإدارة المالية",'قاعدة المؤشرات'!$L$2:$L$225,"صناعة الوقود")</f>
        <v/>
      </c>
      <c r="I78" s="31" t="inlineStr">
        <is>
          <t>دقة المطابقة المحاسبية لمخزون الوقود (الدفتري مقابل الفعلي) · دقة تسوية أرامكو</t>
        </is>
      </c>
    </row>
    <row r="79" ht="26" customHeight="1">
      <c r="A79" s="15" t="n">
        <v>77</v>
      </c>
      <c r="B79" s="13" t="inlineStr">
        <is>
          <t>الإدارة المالية</t>
        </is>
      </c>
      <c r="C79" s="27" t="inlineStr">
        <is>
          <t>الموازنة والتقارير</t>
        </is>
      </c>
      <c r="D79" s="15" t="n">
        <v>3</v>
      </c>
      <c r="E79" s="28">
        <f>IFERROR(SUMIFS('قاعدة المؤشرات'!$J$2:$J$225,'قاعدة المؤشرات'!$B$2:$B$225,"الإدارة المالية",'قاعدة المؤشرات'!$L$2:$L$225,"الموازنة والتقارير")/SUMIFS('قاعدة المؤشرات'!$K$2:$K$225,'قاعدة المؤشرات'!$B$2:$B$225,"الإدارة المالية",'قاعدة المؤشرات'!$L$2:$L$225,"الموازنة والتقارير"),"")</f>
        <v/>
      </c>
      <c r="F79" s="20">
        <f>IF($E79="","⏳ بانتظار هدف",IF($E79&gt;=1,"✅ محقق",IF($E79&gt;=0.85,"🟡 قريب","🔴 تحت الهدف")))</f>
        <v/>
      </c>
      <c r="G79" s="29">
        <f>IF($E79="","",MINIFS('قاعدة المؤشرات'!$G$2:$G$225,'قاعدة المؤشرات'!$B$2:$B$225,"الإدارة المالية",'قاعدة المؤشرات'!$L$2:$L$225,"الموازنة والتقارير"))</f>
        <v/>
      </c>
      <c r="H79" s="30">
        <f>COUNTIFS('قاعدة المؤشرات'!$H$2:$H$225,"🔴 تحت الهدف",'قاعدة المؤشرات'!$B$2:$B$225,"الإدارة المالية",'قاعدة المؤشرات'!$L$2:$L$225,"الموازنة والتقارير")</f>
        <v/>
      </c>
      <c r="I79" s="31" t="inlineStr">
        <is>
          <t>انحراف الموازنة · أيام الإقفال الشهري · نسبة تسويات التدقيق</t>
        </is>
      </c>
    </row>
  </sheetData>
  <autoFilter ref="A2:I79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المؤشرات'!$E$2:$E$225,"التوسع في المواقع")</f>
        <v/>
      </c>
      <c r="E19" s="10">
        <f>IFERROR(AVERAGEIFS('قاعدة المؤشرات'!$G$2:$G$225,'قاعدة المؤشرات'!$E$2:$E$225,"التوسع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المؤشرات'!$E$2:$E$225,"الامتياز التجاري")</f>
        <v/>
      </c>
      <c r="E20" s="10">
        <f>IFERROR(AVERAGEIFS('قاعدة المؤشرات'!$G$2:$G$225,'قاعدة المؤشرات'!$E$2:$E$225,"الامتياز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المؤشرات'!$E$2:$E$225,"زيادة وصول العملاء")</f>
        <v/>
      </c>
      <c r="E21" s="10">
        <f>IFERROR(AVERAGEIFS('قاعدة المؤشرات'!$G$2:$G$225,'قاعدة المؤشرات'!$E$2:$E$225,"زيادة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المؤشرات'!$E$2:$E$225,"إطلاق مشاريع جديدة")</f>
        <v/>
      </c>
      <c r="E22" s="10">
        <f>IFERROR(AVERAGEIFS('قاعدة المؤشرات'!$G$2:$G$225,'قاعدة المؤشرات'!$E$2:$E$225,"إطلاق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المؤشرات'!$E$2:$E$225,"تطوير التصاميم والهوية")</f>
        <v/>
      </c>
      <c r="E23" s="10">
        <f>IFERROR(AVERAGEIFS('قاعدة المؤشرات'!$G$2:$G$225,'قاعدة المؤشرات'!$E$2:$E$225,"تطوير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المؤشرات'!$E$2:$E$225,"التحول التقني")</f>
        <v/>
      </c>
      <c r="E24" s="10">
        <f>IFERROR(AVERAGEIFS('قاعدة المؤشرات'!$G$2:$G$225,'قاعدة المؤشرات'!$E$2:$E$225,"التحول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المؤشرات'!$E$2:$E$225,"ساحات درب")</f>
        <v/>
      </c>
      <c r="E25" s="10">
        <f>IFERROR(AVERAGEIFS('قاعدة المؤشرات'!$G$2:$G$225,'قاعدة المؤشرات'!$E$2:$E$225,"ساحات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المؤشرات'!$E$2:$E$225,"تطبيق «درب»")</f>
        <v/>
      </c>
      <c r="E26" s="10">
        <f>IFERROR(AVERAGEIFS('قاعدة المؤشرات'!$G$2:$G$225,'قاعدة المؤشرات'!$E$2:$E$225,"تطبيق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المؤشرات'!$E$2:$E$225,"تعزيز تجربة العملاء")</f>
        <v/>
      </c>
      <c r="E27" s="10">
        <f>IFERROR(AVERAGEIFS('قاعدة المؤشرات'!$G$2:$G$225,'قاعدة المؤشرات'!$E$2:$E$225,"تعزيز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المؤشرات'!$E$2:$E$225,"جودة التشغيل")</f>
        <v/>
      </c>
      <c r="E28" s="10">
        <f>IFERROR(AVERAGEIFS('قاعدة المؤشرات'!$G$2:$G$225,'قاعدة المؤشرات'!$E$2:$E$225,"جودة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المؤشرات'!$E$2:$E$225,"منظومة التأجير")</f>
        <v/>
      </c>
      <c r="E29" s="10">
        <f>IFERROR(AVERAGEIFS('قاعدة المؤشرات'!$G$2:$G$225,'قاعدة المؤشرات'!$E$2:$E$225,"منظومة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المؤشرات'!$E$2:$E$225,"الاستثمار في الموظفين")</f>
        <v/>
      </c>
      <c r="E30" s="10">
        <f>IFERROR(AVERAGEIFS('قاعدة المؤشرات'!$G$2:$G$225,'قاعدة المؤشرات'!$E$2:$E$225,"الاستثمار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المؤشرات'!$G$2:$G$225,'قاعدة المؤشرات'!$F$2:$F$225,"مالي"),"—")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المؤشرات'!$G$2:$G$225,'قاعدة المؤشرات'!$E$2:$E$225,"زيادة وصول العملاء"),"—")</f>
        <v/>
      </c>
      <c r="E10" s="47">
        <f>IFERROR(AVERAGEIFS('قاعدة المؤشرات'!$G$2:$G$225,'قاعدة المؤشرات'!$E$2:$E$225,"تعزيز تجربة العملاء"),"—")</f>
        <v/>
      </c>
      <c r="H10" s="47">
        <f>IFERROR(AVERAGEIFS('قاعدة المؤشرات'!$G$2:$G$225,'قاعدة المؤشرات'!$E$2:$E$225,"تطبيق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المؤشرات'!$G$2:$G$225,'قاعدة المؤشرات'!$E$2:$E$225,"التوسع في المواقع"),"—")</f>
        <v/>
      </c>
      <c r="D14" s="49">
        <f>IFERROR(AVERAGEIFS('قاعدة المؤشرات'!$G$2:$G$225,'قاعدة المؤشرات'!$E$2:$E$225,"الامتياز التجاري"),"—")</f>
        <v/>
      </c>
      <c r="F14" s="49">
        <f>IFERROR(AVERAGEIFS('قاعدة المؤشرات'!$G$2:$G$225,'قاعدة المؤشرات'!$E$2:$E$225,"منظومة التأجير"),"—")</f>
        <v/>
      </c>
      <c r="H14" s="49">
        <f>IFERROR(AVERAGEIFS('قاعدة المؤشرات'!$G$2:$G$225,'قاعدة المؤشرات'!$E$2:$E$225,"ساحات درب"),"—")</f>
        <v/>
      </c>
      <c r="J14" s="49">
        <f>IFERROR(AVERAGEIFS('قاعدة المؤشرات'!$G$2:$G$225,'قاعدة المؤشرات'!$E$2:$E$225,"جودة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المؤشرات'!$G$2:$G$225,'قاعدة المؤشرات'!$E$2:$E$225,"الاستثمار في الموظفين"),"—")</f>
        <v/>
      </c>
      <c r="D18" s="51">
        <f>IFERROR(AVERAGEIFS('قاعدة المؤشرات'!$G$2:$G$225,'قاعدة المؤشرات'!$E$2:$E$225,"التحول التقني"),"—")</f>
        <v/>
      </c>
      <c r="F18" s="51">
        <f>IFERROR(AVERAGEIFS('قاعدة المؤشرات'!$G$2:$G$225,'قاعدة المؤشرات'!$E$2:$E$225,"إطلاق مشاريع جديدة"),"—")</f>
        <v/>
      </c>
      <c r="H18" s="51">
        <f>IFERROR(AVERAGEIFS('قاعدة المؤشرات'!$G$2:$G$225,'قاعدة المؤشرات'!$E$2:$E$225,"تطوير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المؤشرات'!$H$2:$H$225,"✅ محقق",'قاعدة المؤشرات'!$B$2:$B$225,"&lt;&gt;الإدارة التنفيذية")</f>
        <v/>
      </c>
      <c r="D5" s="5">
        <f>COUNTIFS('قاعدة المؤشرات'!$H$2:$H$225,"🟡 قريب",'قاعدة المؤشرات'!$B$2:$B$225,"&lt;&gt;الإدارة التنفيذية")</f>
        <v/>
      </c>
      <c r="E5" s="5">
        <f>COUNTIFS('قاعدة المؤشرات'!$H$2:$H$225,"🔴 تحت الهدف",'قاعدة المؤشرات'!$B$2:$B$225,"&lt;&gt;الإدارة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المؤشرات'!$B$2:$B$225,"الإدارة التنفيذية",'قاعدة المؤشرات'!$J$2:$J$225)/SUMIF('قاعدة المؤشرات'!$B$2:$B$225,"الإدارة التنفيذية",'قاعدة المؤشرات'!$K$2:$K$225),"—")</f>
        <v/>
      </c>
      <c r="D9" s="9" t="inlineStr">
        <is>
          <t>النمو</t>
        </is>
      </c>
      <c r="E9" s="10">
        <f>IFERROR(AVERAGEIFS('قاعدة المؤشرات'!$G$2:$G$225,'قاعدة المؤشرات'!$D$2:$D$225,"النمو"),"—")</f>
        <v/>
      </c>
      <c r="H9" s="15">
        <f>IFERROR(SUMIF('قاعدة المؤشرات'!$B$2:$B$225,"الإدارة التنفيذية",'قاعدة المؤشرات'!$J$2:$J$225)/SUMIF('قاعدة المؤشرات'!$B$2:$B$225,"الإدارة التنفيذية",'قاعدة المؤشرات'!$K$2:$K$225),0)</f>
        <v/>
      </c>
      <c r="I9" s="15" t="n">
        <v>0</v>
      </c>
      <c r="J9" s="15">
        <f>IF(SUMIF('قاعدة المؤشرات'!$B$2:$B$225,"الإدارة التنفيذية",'قاعدة المؤشرات'!$K$2:$K$225)=0,0,1)</f>
        <v/>
      </c>
    </row>
    <row r="10">
      <c r="B10" s="9" t="inlineStr">
        <is>
          <t>الامتياز التجاري</t>
        </is>
      </c>
      <c r="C10" s="10">
        <f>IFERROR(SUMIF('قاعدة المؤشرات'!$B$2:$B$225,"الامتياز التجاري",'قاعدة المؤشرات'!$J$2:$J$225)/SUMIF('قاعدة المؤشرات'!$B$2:$B$225,"الامتياز التجاري",'قاعدة المؤشرات'!$K$2:$K$225),"—")</f>
        <v/>
      </c>
      <c r="D10" s="9" t="inlineStr">
        <is>
          <t>الابتكار</t>
        </is>
      </c>
      <c r="E10" s="10">
        <f>IFERROR(AVERAGEIFS('قاعدة المؤشرات'!$G$2:$G$225,'قاعدة المؤشرات'!$D$2:$D$225,"الابتكار"),"—")</f>
        <v/>
      </c>
      <c r="H10" s="15">
        <f>IFERROR(SUMIF('قاعدة المؤشرات'!$B$2:$B$225,"الامتياز التجاري",'قاعدة المؤشرات'!$J$2:$J$225)/SUMIF('قاعدة المؤشرات'!$B$2:$B$225,"الامتياز التجاري",'قاعدة المؤشرات'!$K$2:$K$225),0)</f>
        <v/>
      </c>
      <c r="I10" s="15" t="n">
        <v>0.14</v>
      </c>
      <c r="J10" s="15">
        <f>IF(SUMIF('قاعدة المؤشرات'!$B$2:$B$225,"الامتياز التجاري",'قاعدة المؤشرات'!$K$2:$K$225)=0,0,1)</f>
        <v/>
      </c>
    </row>
    <row r="11">
      <c r="B11" s="9" t="inlineStr">
        <is>
          <t>التشغيل والمحطات</t>
        </is>
      </c>
      <c r="C11" s="10">
        <f>IFERROR(SUMIF('قاعدة المؤشرات'!$B$2:$B$225,"التشغيل والمحطات",'قاعدة المؤشرات'!$J$2:$J$225)/SUMIF('قاعدة المؤشرات'!$B$2:$B$225,"التشغيل والمحطات",'قاعدة المؤشرات'!$K$2:$K$225),"—")</f>
        <v/>
      </c>
      <c r="D11" s="9" t="inlineStr">
        <is>
          <t>الاستدامة</t>
        </is>
      </c>
      <c r="E11" s="10">
        <f>IFERROR(AVERAGEIFS('قاعدة المؤشرات'!$G$2:$G$225,'قاعدة المؤشرات'!$D$2:$D$225,"الاستدامة"),"—")</f>
        <v/>
      </c>
      <c r="H11" s="15">
        <f>IFERROR(SUMIF('قاعدة المؤشرات'!$B$2:$B$225,"التشغيل والمحطات",'قاعدة المؤشرات'!$J$2:$J$225)/SUMIF('قاعدة المؤشرات'!$B$2:$B$225,"التشغيل والمحطات",'قاعدة المؤشرات'!$K$2:$K$225),0)</f>
        <v/>
      </c>
      <c r="I11" s="15" t="n">
        <v>0.12</v>
      </c>
      <c r="J11" s="15">
        <f>IF(SUMIF('قاعدة المؤشرات'!$B$2:$B$225,"التشغيل والمحطات",'قاعدة المؤشرات'!$K$2:$K$225)=0,0,1)</f>
        <v/>
      </c>
    </row>
    <row r="12">
      <c r="B12" s="9" t="inlineStr">
        <is>
          <t>الاستثمار</t>
        </is>
      </c>
      <c r="C12" s="10">
        <f>IFERROR(SUMIF('قاعدة المؤشرات'!$B$2:$B$225,"الاستثمار",'قاعدة المؤشرات'!$J$2:$J$225)/SUMIF('قاعدة المؤشرات'!$B$2:$B$225,"الاستثمار",'قاعدة المؤشرات'!$K$2:$K$225),"—")</f>
        <v/>
      </c>
      <c r="H12" s="15">
        <f>IFERROR(SUMIF('قاعدة المؤشرات'!$B$2:$B$225,"الاستثمار",'قاعدة المؤشرات'!$J$2:$J$225)/SUMIF('قاعدة المؤشرات'!$B$2:$B$225,"الاستثمار",'قاعدة المؤشرات'!$K$2:$K$225),0)</f>
        <v/>
      </c>
      <c r="I12" s="15" t="n">
        <v>0.11</v>
      </c>
      <c r="J12" s="15">
        <f>IF(SUMIF('قاعدة المؤشرات'!$B$2:$B$225,"الاستثمار",'قاعدة المؤشرات'!$K$2:$K$225)=0,0,1)</f>
        <v/>
      </c>
    </row>
    <row r="13">
      <c r="B13" s="9" t="inlineStr">
        <is>
          <t>العقار</t>
        </is>
      </c>
      <c r="C13" s="10">
        <f>IFERROR(SUMIF('قاعدة المؤشرات'!$B$2:$B$225,"العقار",'قاعدة المؤشرات'!$J$2:$J$225)/SUMIF('قاعدة المؤشرات'!$B$2:$B$225,"العقار",'قاعدة المؤشرات'!$K$2:$K$225),"—")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المؤشرات'!$B$2:$B$225,"العقار",'قاعدة المؤشرات'!$J$2:$J$225)/SUMIF('قاعدة المؤشرات'!$B$2:$B$225,"العقار",'قاعدة المؤشرات'!$K$2:$K$225),0)</f>
        <v/>
      </c>
      <c r="I13" s="15" t="n">
        <v>0.09</v>
      </c>
      <c r="J13" s="15">
        <f>IF(SUMIF('قاعدة المؤشرات'!$B$2:$B$225,"العقار",'قاعدة المؤشرات'!$K$2:$K$225)=0,0,1)</f>
        <v/>
      </c>
    </row>
    <row r="14">
      <c r="B14" s="9" t="inlineStr">
        <is>
          <t>إدارة المشاريع</t>
        </is>
      </c>
      <c r="C14" s="10">
        <f>IFERROR(SUMIF('قاعدة المؤشرات'!$B$2:$B$225,"إدارة المشاريع",'قاعدة المؤشرات'!$J$2:$J$225)/SUMIF('قاعدة المؤشرات'!$B$2:$B$225,"إدارة المشاريع",'قاعدة المؤشرات'!$K$2:$K$225),"—")</f>
        <v/>
      </c>
      <c r="D14" s="9" t="inlineStr">
        <is>
          <t>مالي</t>
        </is>
      </c>
      <c r="E14" s="10">
        <f>IFERROR(AVERAGEIFS('قاعدة المؤشرات'!$G$2:$G$225,'قاعدة المؤشرات'!$F$2:$F$225,"مالي"),"—")</f>
        <v/>
      </c>
      <c r="H14" s="15">
        <f>IFERROR(SUMIF('قاعدة المؤشرات'!$B$2:$B$225,"إدارة المشاريع",'قاعدة المؤشرات'!$J$2:$J$225)/SUMIF('قاعدة المؤشرات'!$B$2:$B$225,"إدارة المشاريع",'قاعدة المؤشرات'!$K$2:$K$225),0)</f>
        <v/>
      </c>
      <c r="I14" s="15" t="n">
        <v>0.08</v>
      </c>
      <c r="J14" s="15">
        <f>IF(SUMIF('قاعدة المؤشرات'!$B$2:$B$225,"إدارة المشاريع",'قاعدة المؤشرات'!$K$2:$K$225)=0,0,1)</f>
        <v/>
      </c>
    </row>
    <row r="15">
      <c r="B15" s="9" t="inlineStr">
        <is>
          <t>سلاسل الإمداد</t>
        </is>
      </c>
      <c r="C15" s="10">
        <f>IFERROR(SUMIF('قاعدة المؤشرات'!$B$2:$B$225,"سلاسل الإمداد",'قاعدة المؤشرات'!$J$2:$J$225)/SUMIF('قاعدة المؤشرات'!$B$2:$B$225,"سلاسل الإمداد",'قاعدة المؤشرات'!$K$2:$K$225),"—")</f>
        <v/>
      </c>
      <c r="D15" s="9" t="inlineStr">
        <is>
          <t>العملاء</t>
        </is>
      </c>
      <c r="E15" s="10">
        <f>IFERROR(AVERAGEIFS('قاعدة المؤشرات'!$G$2:$G$225,'قاعدة المؤشرات'!$F$2:$F$225,"العملاء"),"—")</f>
        <v/>
      </c>
      <c r="H15" s="15">
        <f>IFERROR(SUMIF('قاعدة المؤشرات'!$B$2:$B$225,"سلاسل الإمداد",'قاعدة المؤشرات'!$J$2:$J$225)/SUMIF('قاعدة المؤشرات'!$B$2:$B$225,"سلاسل الإمداد",'قاعدة المؤشرات'!$K$2:$K$225),0)</f>
        <v/>
      </c>
      <c r="I15" s="15" t="n">
        <v>0.1</v>
      </c>
      <c r="J15" s="15">
        <f>IF(SUMIF('قاعدة المؤشرات'!$B$2:$B$225,"سلاسل الإمداد",'قاعدة المؤشرات'!$K$2:$K$225)=0,0,1)</f>
        <v/>
      </c>
    </row>
    <row r="16">
      <c r="B16" s="9" t="inlineStr">
        <is>
          <t>الصيانة والأتمتة</t>
        </is>
      </c>
      <c r="C16" s="10">
        <f>IFERROR(SUMIF('قاعدة المؤشرات'!$B$2:$B$225,"الصيانة والأتمتة",'قاعدة المؤشرات'!$J$2:$J$225)/SUMIF('قاعدة المؤشرات'!$B$2:$B$225,"الصيانة والأتمتة",'قاعدة المؤشرات'!$K$2:$K$225),"—")</f>
        <v/>
      </c>
      <c r="D16" s="9" t="inlineStr">
        <is>
          <t>العمليات الداخلية</t>
        </is>
      </c>
      <c r="E16" s="10">
        <f>IFERROR(AVERAGEIFS('قاعدة المؤشرات'!$G$2:$G$225,'قاعدة المؤشرات'!$F$2:$F$225,"العمليات الداخلية"),"—")</f>
        <v/>
      </c>
      <c r="H16" s="15">
        <f>IFERROR(SUMIF('قاعدة المؤشرات'!$B$2:$B$225,"الصيانة والأتمتة",'قاعدة المؤشرات'!$J$2:$J$225)/SUMIF('قاعدة المؤشرات'!$B$2:$B$225,"الصيانة والأتمتة",'قاعدة المؤشرات'!$K$2:$K$225),0)</f>
        <v/>
      </c>
      <c r="I16" s="15" t="n">
        <v>0.07000000000000001</v>
      </c>
      <c r="J16" s="15">
        <f>IF(SUMIF('قاعدة المؤشرات'!$B$2:$B$225,"الصيانة والأتمتة",'قاعدة المؤشرات'!$K$2:$K$225)=0,0,1)</f>
        <v/>
      </c>
    </row>
    <row r="17">
      <c r="B17" s="9" t="inlineStr">
        <is>
          <t>التقنية الرقمية</t>
        </is>
      </c>
      <c r="C17" s="10">
        <f>IFERROR(SUMIF('قاعدة المؤشرات'!$B$2:$B$225,"التقنية الرقمية",'قاعدة المؤشرات'!$J$2:$J$225)/SUMIF('قاعدة المؤشرات'!$B$2:$B$225,"التقنية الرقمية",'قاعدة المؤشرات'!$K$2:$K$225),"—")</f>
        <v/>
      </c>
      <c r="D17" s="9" t="inlineStr">
        <is>
          <t>التعلّم والنمو</t>
        </is>
      </c>
      <c r="E17" s="10">
        <f>IFERROR(AVERAGEIFS('قاعدة المؤشرات'!$G$2:$G$225,'قاعدة المؤشرات'!$F$2:$F$225,"التعلّم والنمو"),"—")</f>
        <v/>
      </c>
      <c r="H17" s="15">
        <f>IFERROR(SUMIF('قاعدة المؤشرات'!$B$2:$B$225,"التقنية الرقمية",'قاعدة المؤشرات'!$J$2:$J$225)/SUMIF('قاعدة المؤشرات'!$B$2:$B$225,"التقنية الرقمية",'قاعدة المؤشرات'!$K$2:$K$225),0)</f>
        <v/>
      </c>
      <c r="I17" s="15" t="n">
        <v>0.04</v>
      </c>
      <c r="J17" s="15">
        <f>IF(SUMIF('قاعدة المؤشرات'!$B$2:$B$225,"التقنية الرقمية",'قاعدة المؤشرات'!$K$2:$K$225)=0,0,1)</f>
        <v/>
      </c>
    </row>
    <row r="18">
      <c r="B18" s="9" t="inlineStr">
        <is>
          <t>الموارد البشرية</t>
        </is>
      </c>
      <c r="C18" s="10">
        <f>IFERROR(SUMIF('قاعدة المؤشرات'!$B$2:$B$225,"الموارد البشرية",'قاعدة المؤشرات'!$J$2:$J$225)/SUMIF('قاعدة المؤشرات'!$B$2:$B$225,"الموارد البشرية",'قاعدة المؤشرات'!$K$2:$K$225),"—")</f>
        <v/>
      </c>
      <c r="H18" s="15">
        <f>IFERROR(SUMIF('قاعدة المؤشرات'!$B$2:$B$225,"الموارد البشرية",'قاعدة المؤشرات'!$J$2:$J$225)/SUMIF('قاعدة المؤشرات'!$B$2:$B$225,"الموارد البشرية",'قاعدة المؤشرات'!$K$2:$K$225),0)</f>
        <v/>
      </c>
      <c r="I18" s="15" t="n">
        <v>0.04</v>
      </c>
      <c r="J18" s="15">
        <f>IF(SUMIF('قاعدة المؤشرات'!$B$2:$B$225,"الموارد البشرية",'قاعدة المؤشرات'!$K$2:$K$225)=0,0,1)</f>
        <v/>
      </c>
    </row>
    <row r="19">
      <c r="B19" s="9" t="inlineStr">
        <is>
          <t>التسويق</t>
        </is>
      </c>
      <c r="C19" s="10">
        <f>IFERROR(SUMIF('قاعدة المؤشرات'!$B$2:$B$225,"التسويق",'قاعدة المؤشرات'!$J$2:$J$225)/SUMIF('قاعدة المؤشرات'!$B$2:$B$225,"التسويق",'قاعدة المؤشرات'!$K$2:$K$225),"—")</f>
        <v/>
      </c>
      <c r="H19" s="15">
        <f>IFERROR(SUMIF('قاعدة المؤشرات'!$B$2:$B$225,"التسويق",'قاعدة المؤشرات'!$J$2:$J$225)/SUMIF('قاعدة المؤشرات'!$B$2:$B$225,"التسويق",'قاعدة المؤشرات'!$K$2:$K$225),0)</f>
        <v/>
      </c>
      <c r="I19" s="15" t="n">
        <v>0.05</v>
      </c>
      <c r="J19" s="15">
        <f>IF(SUMIF('قاعدة المؤشرات'!$B$2:$B$225,"التسويق",'قاعدة المؤشرات'!$K$2:$K$225)=0,0,1)</f>
        <v/>
      </c>
    </row>
    <row r="20">
      <c r="B20" s="9" t="inlineStr">
        <is>
          <t>الجودة</t>
        </is>
      </c>
      <c r="C20" s="10">
        <f>IFERROR(SUMIF('قاعدة المؤشرات'!$B$2:$B$225,"الجودة",'قاعدة المؤشرات'!$J$2:$J$225)/SUMIF('قاعدة المؤشرات'!$B$2:$B$225,"الجودة",'قاعدة المؤشرات'!$K$2:$K$225),"—")</f>
        <v/>
      </c>
      <c r="H20" s="15">
        <f>IFERROR(SUMIF('قاعدة المؤشرات'!$B$2:$B$225,"الجودة",'قاعدة المؤشرات'!$J$2:$J$225)/SUMIF('قاعدة المؤشرات'!$B$2:$B$225,"الجودة",'قاعدة المؤشرات'!$K$2:$K$225),0)</f>
        <v/>
      </c>
      <c r="I20" s="15" t="n">
        <v>0.05</v>
      </c>
      <c r="J20" s="15">
        <f>IF(SUMIF('قاعدة المؤشرات'!$B$2:$B$225,"الجودة",'قاعدة المؤشرات'!$K$2:$K$225)=0,0,1)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المؤشرات'!$B$2:$B$225,"الإدارة القانونية",'قاعدة المؤشرات'!$J$2:$J$225)/SUMIF('قاعدة المؤشرات'!$B$2:$B$225,"الإدارة القانونية",'قاعدة المؤشرات'!$K$2:$K$225),"—")</f>
        <v/>
      </c>
      <c r="H21" s="15">
        <f>IFERROR(SUMIF('قاعدة المؤشرات'!$B$2:$B$225,"الإدارة القانونية",'قاعدة المؤشرات'!$J$2:$J$225)/SUMIF('قاعدة المؤشرات'!$B$2:$B$225,"الإدارة القانونية",'قاعدة المؤشرات'!$K$2:$K$225),0)</f>
        <v/>
      </c>
      <c r="I21" s="15" t="n">
        <v>0.03</v>
      </c>
      <c r="J21" s="15">
        <f>IF(SUMIF('قاعدة المؤشرات'!$B$2:$B$225,"الإدارة القانونية",'قاعدة المؤشرات'!$K$2:$K$225)=0,0,1)</f>
        <v/>
      </c>
    </row>
    <row r="22">
      <c r="B22" s="9" t="inlineStr">
        <is>
          <t>الإدارة المالية</t>
        </is>
      </c>
      <c r="C22" s="10">
        <f>IFERROR(SUMIF('قاعدة المؤشرات'!$B$2:$B$225,"الإدارة المالية",'قاعدة المؤشرات'!$J$2:$J$225)/SUMIF('قاعدة المؤشرات'!$B$2:$B$225,"الإدارة المالية",'قاعدة المؤشرات'!$K$2:$K$225),"—")</f>
        <v/>
      </c>
      <c r="H22" s="15">
        <f>IFERROR(SUMIF('قاعدة المؤشرات'!$B$2:$B$225,"الإدارة المالية",'قاعدة المؤشرات'!$J$2:$J$225)/SUMIF('قاعدة المؤشرات'!$B$2:$B$225,"الإدارة المالية",'قاعدة المؤشرات'!$K$2:$K$225),0)</f>
        <v/>
      </c>
      <c r="I22" s="15" t="n">
        <v>0.08</v>
      </c>
      <c r="J22" s="15">
        <f>IF(SUMIF('قاعدة المؤشرات'!$B$2:$B$225,"الإدارة المالية",'قاعدة المؤشرات'!$K$2:$K$225)=0,0,1)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التنفيذية</t>
        </is>
      </c>
      <c r="C11" s="21" t="inlineStr">
        <is>
          <t>العائد على حقوق الملكية</t>
        </is>
      </c>
      <c r="D11" s="55" t="n">
        <v>0.073</v>
      </c>
      <c r="E11" s="55" t="n">
        <v>0.1</v>
      </c>
      <c r="F11" s="56" t="n">
        <v>0.7299999999999999</v>
      </c>
      <c r="G11" s="12" t="n">
        <v>0.2700000000000001</v>
      </c>
      <c r="H11" s="55" t="n">
        <v>0.073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الرئيس التنفيذي</t>
        </is>
      </c>
      <c r="M11" s="57" t="n"/>
    </row>
    <row r="12">
      <c r="A12" s="15" t="n">
        <v>10</v>
      </c>
      <c r="B12" s="13" t="inlineStr">
        <is>
          <t>الإدارة القانونية</t>
        </is>
      </c>
      <c r="C12" s="21" t="inlineStr">
        <is>
          <t>نسبة الاستشارات المُنجزة ضمن المدة المستهدفة</t>
        </is>
      </c>
      <c r="D12" s="55" t="n">
        <v>0.659</v>
      </c>
      <c r="E12" s="55" t="n">
        <v>0.9</v>
      </c>
      <c r="F12" s="56" t="n">
        <v>0.7322222222222222</v>
      </c>
      <c r="G12" s="12" t="n">
        <v>0.2677777777777778</v>
      </c>
      <c r="H12" s="55" t="n">
        <v>0.659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المدير القانوني</t>
        </is>
      </c>
      <c r="M12" s="57" t="n"/>
    </row>
    <row r="13">
      <c r="A13" s="15" t="n">
        <v>11</v>
      </c>
      <c r="B13" s="13" t="inlineStr">
        <is>
          <t>الموارد البشرية</t>
        </is>
      </c>
      <c r="C13" s="21" t="inlineStr">
        <is>
          <t>نسبة إغلاق تقييمات الأداء وخطط الإحلال للوظائف الحرجة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الموارد البشرية</t>
        </is>
      </c>
      <c r="M13" s="57" t="n"/>
    </row>
    <row r="14">
      <c r="A14" s="15" t="n">
        <v>12</v>
      </c>
      <c r="B14" s="13" t="inlineStr">
        <is>
          <t>الجودة</t>
        </is>
      </c>
      <c r="C14" s="21" t="inlineStr">
        <is>
          <t>نسبة جاهزية متطلبات الأيزو 9001 / 14001 / 45001</t>
        </is>
      </c>
      <c r="D14" s="55" t="n">
        <v>0.696</v>
      </c>
      <c r="E14" s="55" t="n">
        <v>0.95</v>
      </c>
      <c r="F14" s="56" t="n">
        <v>0.7326315789473684</v>
      </c>
      <c r="G14" s="12" t="n">
        <v>0.2673684210526316</v>
      </c>
      <c r="H14" s="55" t="n">
        <v>0.696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الجودة</t>
        </is>
      </c>
      <c r="M14" s="57" t="n"/>
    </row>
    <row r="15">
      <c r="A15" s="15" t="n">
        <v>13</v>
      </c>
      <c r="B15" s="13" t="inlineStr">
        <is>
          <t>الامتياز التجاري</t>
        </is>
      </c>
      <c r="C15" s="21" t="inlineStr">
        <is>
          <t>عدد محطات الامتياز المشغّلة (تراكمي)</t>
        </is>
      </c>
      <c r="D15" s="55" t="n">
        <v>110</v>
      </c>
      <c r="E15" s="55" t="n">
        <v>150</v>
      </c>
      <c r="F15" s="56" t="n">
        <v>0.7333333333333333</v>
      </c>
      <c r="G15" s="12" t="n">
        <v>0.2666666666666667</v>
      </c>
      <c r="H15" s="55" t="n">
        <v>110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الامتياز</t>
        </is>
      </c>
      <c r="M15" s="57" t="n"/>
    </row>
    <row r="16">
      <c r="A16" s="15" t="n">
        <v>14</v>
      </c>
      <c r="B16" s="13" t="inlineStr">
        <is>
          <t>الإدارة المالية</t>
        </is>
      </c>
      <c r="C16" s="21" t="inlineStr">
        <is>
          <t>نسبة التحصيل العام (الشركة)</t>
        </is>
      </c>
      <c r="D16" s="55" t="n">
        <v>0.699</v>
      </c>
      <c r="E16" s="55" t="n">
        <v>0.95</v>
      </c>
      <c r="F16" s="56" t="n">
        <v>0.7357894736842105</v>
      </c>
      <c r="G16" s="12" t="n">
        <v>0.2642105263157895</v>
      </c>
      <c r="H16" s="55" t="n">
        <v>0.699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المدير المالي</t>
        </is>
      </c>
      <c r="M16" s="57" t="n"/>
    </row>
    <row r="17">
      <c r="A17" s="15" t="n">
        <v>15</v>
      </c>
      <c r="B17" s="13" t="inlineStr">
        <is>
          <t>الامتياز التجاري</t>
        </is>
      </c>
      <c r="C17" s="21" t="inlineStr">
        <is>
          <t>متوسط تقييم المحطات على خرائط قوقل</t>
        </is>
      </c>
      <c r="D17" s="55" t="n">
        <v>3.474</v>
      </c>
      <c r="E17" s="55" t="n">
        <v>4.7</v>
      </c>
      <c r="F17" s="56" t="n">
        <v>0.7391489361702128</v>
      </c>
      <c r="G17" s="12" t="n">
        <v>0.2608510638297872</v>
      </c>
      <c r="H17" s="55" t="n">
        <v>3.474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الامتياز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التسويق</t>
        </is>
      </c>
      <c r="C30" s="21" t="inlineStr">
        <is>
          <t>الوصول الرقمي السنوي (مشاهدات وانطباعات)</t>
        </is>
      </c>
      <c r="D30" s="55" t="n">
        <v>38161500</v>
      </c>
      <c r="E30" s="55" t="n">
        <v>50000000</v>
      </c>
      <c r="F30" s="56" t="n">
        <v>0.76323</v>
      </c>
      <c r="G30" s="12" t="n">
        <v>0.23677</v>
      </c>
      <c r="H30" s="55" t="n">
        <v>76323000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التسويق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إبيتدا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سلاسل الإمداد</t>
        </is>
      </c>
      <c r="C44" s="21" t="inlineStr">
        <is>
          <t>نسبة توفر المواد المخزنية والحرجة</t>
        </is>
      </c>
      <c r="D44" s="55" t="n">
        <v>0.766</v>
      </c>
      <c r="E44" s="55" t="n">
        <v>0.98</v>
      </c>
      <c r="F44" s="56" t="n">
        <v>0.7816326530612245</v>
      </c>
      <c r="G44" s="12" t="n">
        <v>0.2183673469387755</v>
      </c>
      <c r="H44" s="55" t="n">
        <v>0.766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سلاسل الإمداد</t>
        </is>
      </c>
      <c r="M44" s="57" t="n"/>
    </row>
    <row r="45">
      <c r="A45" s="15" t="n">
        <v>43</v>
      </c>
      <c r="B45" s="13" t="inlineStr">
        <is>
          <t>الصيانة والأتمتة</t>
        </is>
      </c>
      <c r="C45" s="21" t="inlineStr">
        <is>
          <t>نسبة إغلاق بلاغات الصيانة ضمن اتفاقية الخدمة</t>
        </is>
      </c>
      <c r="D45" s="55" t="n">
        <v>0.744</v>
      </c>
      <c r="E45" s="55" t="n">
        <v>0.95</v>
      </c>
      <c r="F45" s="56" t="n">
        <v>0.7831578947368422</v>
      </c>
      <c r="G45" s="12" t="n">
        <v>0.2168421052631578</v>
      </c>
      <c r="H45" s="55" t="n">
        <v>0.744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الصيانة والأتمتة</t>
        </is>
      </c>
      <c r="M45" s="57" t="n"/>
    </row>
    <row r="46">
      <c r="A46" s="15" t="n">
        <v>44</v>
      </c>
      <c r="B46" s="13" t="inlineStr">
        <is>
          <t>الامتياز التجاري</t>
        </is>
      </c>
      <c r="C46" s="21" t="inlineStr">
        <is>
          <t>نسبة الشركاء الملتزمين بمواعيد السداد</t>
        </is>
      </c>
      <c r="D46" s="55" t="n">
        <v>0.705</v>
      </c>
      <c r="E46" s="55" t="n">
        <v>0.9</v>
      </c>
      <c r="F46" s="56" t="n">
        <v>0.7833333333333332</v>
      </c>
      <c r="G46" s="12" t="n">
        <v>0.2166666666666668</v>
      </c>
      <c r="H46" s="55" t="n">
        <v>0.705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الامتياز</t>
        </is>
      </c>
      <c r="M46" s="57" t="n"/>
    </row>
    <row r="47">
      <c r="A47" s="15" t="n">
        <v>45</v>
      </c>
      <c r="B47" s="13" t="inlineStr">
        <is>
          <t>التشغيل والمحطات</t>
        </is>
      </c>
      <c r="C47" s="21" t="inlineStr">
        <is>
          <t>نسبة إغلاق الملاحظات التشغيلية ضمن المدة المحددة</t>
        </is>
      </c>
      <c r="D47" s="55" t="n">
        <v>0.746</v>
      </c>
      <c r="E47" s="55" t="n">
        <v>0.95</v>
      </c>
      <c r="F47" s="56" t="n">
        <v>0.7852631578947369</v>
      </c>
      <c r="G47" s="12" t="n">
        <v>0.2147368421052631</v>
      </c>
      <c r="H47" s="55" t="n">
        <v>0.746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التشغيل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تشغيل المحطات الجديدة وفق الخطة</t>
        </is>
      </c>
      <c r="D48" s="55" t="n">
        <v>0.747</v>
      </c>
      <c r="E48" s="55" t="n">
        <v>0.95</v>
      </c>
      <c r="F48" s="56" t="n">
        <v>0.7863157894736842</v>
      </c>
      <c r="G48" s="12" t="n">
        <v>0.2136842105263158</v>
      </c>
      <c r="H48" s="55" t="n">
        <v>0.747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مؤشر جودة التشغيل بالمحطات</t>
        </is>
      </c>
      <c r="D49" s="55" t="n">
        <v>75.09999999999999</v>
      </c>
      <c r="E49" s="55" t="n">
        <v>95</v>
      </c>
      <c r="F49" s="56" t="n">
        <v>0.7905263157894736</v>
      </c>
      <c r="G49" s="12" t="n">
        <v>0.2094736842105264</v>
      </c>
      <c r="H49" s="55" t="n">
        <v>75.09999999999999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حل الشكاوى التشغيلية خلال المدة المحددة</t>
        </is>
      </c>
      <c r="D50" s="55" t="n">
        <v>0.751</v>
      </c>
      <c r="E50" s="55" t="n">
        <v>0.95</v>
      </c>
      <c r="F50" s="56" t="n">
        <v>0.7905263157894737</v>
      </c>
      <c r="G50" s="12" t="n">
        <v>0.2094736842105263</v>
      </c>
      <c r="H50" s="55" t="n">
        <v>0.751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سلاسل الإمداد</t>
        </is>
      </c>
      <c r="C51" s="21" t="inlineStr">
        <is>
          <t>نسبة الالتزام بزمن التسليم والتوريد للمحطات والإدارات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سلاسل الإمداد</t>
        </is>
      </c>
      <c r="M51" s="57" t="n"/>
    </row>
    <row r="52">
      <c r="A52" s="15" t="n">
        <v>50</v>
      </c>
      <c r="B52" s="13" t="inlineStr">
        <is>
          <t>الصيانة والأتمتة</t>
        </is>
      </c>
      <c r="C52" s="21" t="inlineStr">
        <is>
          <t>نسبة تنفيذ الصيانة الوقائية في موعدها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الصيانة والأتمتة</t>
        </is>
      </c>
      <c r="M52" s="57" t="n"/>
    </row>
    <row r="53">
      <c r="A53" s="15" t="n">
        <v>51</v>
      </c>
      <c r="B53" s="13" t="inlineStr">
        <is>
          <t>الإدارة القانونية</t>
        </is>
      </c>
      <c r="C53" s="21" t="inlineStr">
        <is>
          <t>مستوى رضا الإدارات عن الدعم القانوني</t>
        </is>
      </c>
      <c r="D53" s="55" t="n">
        <v>0.674</v>
      </c>
      <c r="E53" s="55" t="n">
        <v>0.85</v>
      </c>
      <c r="F53" s="56" t="n">
        <v>0.7929411764705883</v>
      </c>
      <c r="G53" s="12" t="n">
        <v>0.2070588235294117</v>
      </c>
      <c r="H53" s="55" t="n">
        <v>0.674</v>
      </c>
      <c r="I53" s="15" t="inlineStr">
        <is>
          <t>🟡 قريب</t>
        </is>
      </c>
      <c r="J53" s="11" t="inlineStr">
        <is>
          <t>فجوة محدودة — متابعة.</t>
        </is>
      </c>
      <c r="K53" s="11" t="inlineStr">
        <is>
          <t>متابعة أسبوعية لإغلاق الفجوة.</t>
        </is>
      </c>
      <c r="L53" s="15" t="inlineStr">
        <is>
          <t>المدير القانوني</t>
        </is>
      </c>
      <c r="M53" s="57" t="n"/>
    </row>
    <row r="54">
      <c r="A54" s="15" t="n">
        <v>52</v>
      </c>
      <c r="B54" s="13" t="inlineStr">
        <is>
          <t>التقنية الرقمية</t>
        </is>
      </c>
      <c r="C54" s="21" t="inlineStr">
        <is>
          <t>نسبة نجاح النسخ الاحتياطي واختبارات استعادة البيانات</t>
        </is>
      </c>
      <c r="D54" s="55" t="n">
        <v>0.794</v>
      </c>
      <c r="E54" s="55" t="n">
        <v>1</v>
      </c>
      <c r="F54" s="56" t="n">
        <v>0.794</v>
      </c>
      <c r="G54" s="12" t="n">
        <v>0.206</v>
      </c>
      <c r="H54" s="55" t="n">
        <v>0.794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التقنية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تنفيذ الصيانة الوقائية للأجهزة والبنية التقنية</t>
        </is>
      </c>
      <c r="D55" s="55" t="n">
        <v>0.756</v>
      </c>
      <c r="E55" s="55" t="n">
        <v>0.95</v>
      </c>
      <c r="F55" s="56" t="n">
        <v>0.7957894736842106</v>
      </c>
      <c r="G55" s="12" t="n">
        <v>0.2042105263157894</v>
      </c>
      <c r="H55" s="55" t="n">
        <v>0.756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الموارد البشرية</t>
        </is>
      </c>
      <c r="C56" s="21" t="inlineStr">
        <is>
          <t>نسبة الالتزام بتجديد الوثائق واكتمال ملفات الموظفين</t>
        </is>
      </c>
      <c r="D56" s="55" t="n">
        <v>0.796</v>
      </c>
      <c r="E56" s="55" t="n">
        <v>1</v>
      </c>
      <c r="F56" s="56" t="n">
        <v>0.796</v>
      </c>
      <c r="G56" s="12" t="n">
        <v>0.204</v>
      </c>
      <c r="H56" s="55" t="n">
        <v>0.796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الموارد البشرية</t>
        </is>
      </c>
      <c r="M56" s="57" t="n"/>
    </row>
    <row r="57">
      <c r="A57" s="15" t="n">
        <v>55</v>
      </c>
      <c r="B57" s="13" t="inlineStr">
        <is>
          <t>الإدارة القانونية</t>
        </is>
      </c>
      <c r="C57" s="21" t="inlineStr">
        <is>
          <t>نسبة تقديم المذكرات والردود في المواعيد النظامية</t>
        </is>
      </c>
      <c r="D57" s="55" t="n">
        <v>0.797</v>
      </c>
      <c r="E57" s="55" t="n">
        <v>1</v>
      </c>
      <c r="F57" s="56" t="n">
        <v>0.797</v>
      </c>
      <c r="G57" s="12" t="n">
        <v>0.203</v>
      </c>
      <c r="H57" s="55" t="n">
        <v>0.797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المدير القانوني</t>
        </is>
      </c>
      <c r="M57" s="57" t="n"/>
    </row>
    <row r="58">
      <c r="A58" s="15" t="n">
        <v>56</v>
      </c>
      <c r="B58" s="13" t="inlineStr">
        <is>
          <t>التقنية الرقمية</t>
        </is>
      </c>
      <c r="C58" s="21" t="inlineStr">
        <is>
          <t>نسبة توفر الأنظمة والخدمات التقنية المركزية</t>
        </is>
      </c>
      <c r="D58" s="55" t="n">
        <v>0.79</v>
      </c>
      <c r="E58" s="55" t="n">
        <v>0.99</v>
      </c>
      <c r="F58" s="56" t="n">
        <v>0.797979797979798</v>
      </c>
      <c r="G58" s="12" t="n">
        <v>0.202020202020202</v>
      </c>
      <c r="H58" s="55" t="n">
        <v>0.79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التقنية</t>
        </is>
      </c>
      <c r="M58" s="57" t="n"/>
    </row>
    <row r="59">
      <c r="A59" s="15" t="n">
        <v>57</v>
      </c>
      <c r="B59" s="13" t="inlineStr">
        <is>
          <t>إدارة المشاريع</t>
        </is>
      </c>
      <c r="C59" s="21" t="inlineStr">
        <is>
          <t>نسبة الالتزام بالجدول الزمني العام</t>
        </is>
      </c>
      <c r="D59" s="55" t="n">
        <v>0.798</v>
      </c>
      <c r="E59" s="55" t="n">
        <v>1</v>
      </c>
      <c r="F59" s="56" t="n">
        <v>0.798</v>
      </c>
      <c r="G59" s="12" t="n">
        <v>0.202</v>
      </c>
      <c r="H59" s="55" t="n">
        <v>0.798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إدارة المشاريع</t>
        </is>
      </c>
      <c r="M59" s="57" t="n"/>
    </row>
    <row r="60">
      <c r="A60" s="15" t="n">
        <v>58</v>
      </c>
      <c r="B60" s="13" t="inlineStr">
        <is>
          <t>الإدارة المالية</t>
        </is>
      </c>
      <c r="C60" s="21" t="inlineStr">
        <is>
          <t>صافي الفارق بين عائد الاستثمار وتكلفة رأس المال</t>
        </is>
      </c>
      <c r="D60" s="55" t="n">
        <v>2.395</v>
      </c>
      <c r="E60" s="55" t="n">
        <v>3</v>
      </c>
      <c r="F60" s="56" t="n">
        <v>0.7983333333333333</v>
      </c>
      <c r="G60" s="12" t="n">
        <v>0.2016666666666667</v>
      </c>
      <c r="H60" s="55" t="n">
        <v>2.395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المدير المالي</t>
        </is>
      </c>
      <c r="M60" s="57" t="n"/>
    </row>
    <row r="61">
      <c r="A61" s="15" t="n">
        <v>59</v>
      </c>
      <c r="B61" s="13" t="inlineStr">
        <is>
          <t>العقار</t>
        </is>
      </c>
      <c r="C61" s="21" t="inlineStr">
        <is>
          <t>عدد الأنشطة الجديدة على القطاع (دخلت المحطات لأول مرة)</t>
        </is>
      </c>
      <c r="D61" s="55" t="n">
        <v>3.994</v>
      </c>
      <c r="E61" s="55" t="n">
        <v>5</v>
      </c>
      <c r="F61" s="56" t="n">
        <v>0.7988000000000001</v>
      </c>
      <c r="G61" s="12" t="n">
        <v>0.2011999999999999</v>
      </c>
      <c r="H61" s="55" t="n">
        <v>7.988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العقار</t>
        </is>
      </c>
      <c r="M61" s="57" t="n"/>
    </row>
    <row r="62">
      <c r="A62" s="15" t="n">
        <v>60</v>
      </c>
      <c r="B62" s="13" t="inlineStr">
        <is>
          <t>الامتياز التجاري</t>
        </is>
      </c>
      <c r="C62" s="21" t="inlineStr">
        <is>
          <t>نسبة التزام المحطات بالهوية المؤسسية</t>
        </is>
      </c>
      <c r="D62" s="55" t="n">
        <v>0.44</v>
      </c>
      <c r="E62" s="55" t="n">
        <v>0.55</v>
      </c>
      <c r="F62" s="56" t="n">
        <v>0.7999999999999999</v>
      </c>
      <c r="G62" s="12" t="n">
        <v>0.2000000000000001</v>
      </c>
      <c r="H62" s="55" t="n">
        <v>0.44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الامتياز</t>
        </is>
      </c>
      <c r="M62" s="57" t="n"/>
    </row>
    <row r="63">
      <c r="A63" s="15" t="n">
        <v>61</v>
      </c>
      <c r="B63" s="13" t="inlineStr">
        <is>
          <t>الإدارة المالية</t>
        </is>
      </c>
      <c r="C63" s="21" t="inlineStr">
        <is>
          <t>هامش صافي الربح</t>
        </is>
      </c>
      <c r="D63" s="55" t="n">
        <v>0.008</v>
      </c>
      <c r="E63" s="55" t="n">
        <v>0.01</v>
      </c>
      <c r="F63" s="56" t="n">
        <v>0.8</v>
      </c>
      <c r="G63" s="12" t="n">
        <v>0.2</v>
      </c>
      <c r="H63" s="55" t="n">
        <v>0.008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المدير المالي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متوسط تقييم المحطات على خرائط قوقل</t>
        </is>
      </c>
      <c r="D64" s="55" t="n">
        <v>3.602</v>
      </c>
      <c r="E64" s="55" t="n">
        <v>4.5</v>
      </c>
      <c r="F64" s="56" t="n">
        <v>0.8004444444444444</v>
      </c>
      <c r="G64" s="12" t="n">
        <v>0.1995555555555556</v>
      </c>
      <c r="H64" s="55" t="n">
        <v>3.602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نسبة الالتزام بمظهر وانضباط العاملين بالمحطات</t>
        </is>
      </c>
      <c r="D65" s="55" t="n">
        <v>0.761</v>
      </c>
      <c r="E65" s="55" t="n">
        <v>0.95</v>
      </c>
      <c r="F65" s="56" t="n">
        <v>0.8010526315789475</v>
      </c>
      <c r="G65" s="12" t="n">
        <v>0.1989473684210525</v>
      </c>
      <c r="H65" s="55" t="n">
        <v>0.761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سلاسل الإمداد</t>
        </is>
      </c>
      <c r="C66" s="21" t="inlineStr">
        <is>
          <t>نسبة تلبية طلبات المحطات من الوقود</t>
        </is>
      </c>
      <c r="D66" s="55" t="n">
        <v>0.786</v>
      </c>
      <c r="E66" s="55" t="n">
        <v>0.98</v>
      </c>
      <c r="F66" s="56" t="n">
        <v>0.8020408163265307</v>
      </c>
      <c r="G66" s="12" t="n">
        <v>0.1979591836734693</v>
      </c>
      <c r="H66" s="55" t="n">
        <v>0.786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سلاسل الإمداد</t>
        </is>
      </c>
      <c r="M66" s="57" t="n"/>
    </row>
    <row r="67">
      <c r="A67" s="15" t="n">
        <v>65</v>
      </c>
      <c r="B67" s="13" t="inlineStr">
        <is>
          <t>الامتياز التجاري</t>
        </is>
      </c>
      <c r="C67" s="21" t="inlineStr">
        <is>
          <t>إجمالي مبيعات وقود محطات الامتياز</t>
        </is>
      </c>
      <c r="D67" s="55" t="n">
        <v>576630340</v>
      </c>
      <c r="E67" s="55" t="n">
        <v>718838077</v>
      </c>
      <c r="F67" s="56" t="n">
        <v>0.8021699996840874</v>
      </c>
      <c r="G67" s="12" t="n">
        <v>0.1978300003159126</v>
      </c>
      <c r="H67" s="55" t="n">
        <v>1153260680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الامتياز</t>
        </is>
      </c>
      <c r="M67" s="57" t="n"/>
    </row>
    <row r="68">
      <c r="A68" s="15" t="n">
        <v>66</v>
      </c>
      <c r="B68" s="13" t="inlineStr">
        <is>
          <t>الجودة</t>
        </is>
      </c>
      <c r="C68" s="21" t="inlineStr">
        <is>
          <t>نسبة تنفيذ خطة التدقيق الداخلي</t>
        </is>
      </c>
      <c r="D68" s="55" t="n">
        <v>0.766</v>
      </c>
      <c r="E68" s="55" t="n">
        <v>0.95</v>
      </c>
      <c r="F68" s="56" t="n">
        <v>0.8063157894736842</v>
      </c>
      <c r="G68" s="12" t="n">
        <v>0.1936842105263158</v>
      </c>
      <c r="H68" s="55" t="n">
        <v>0.766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الجودة</t>
        </is>
      </c>
      <c r="M68" s="57" t="n"/>
    </row>
    <row r="69">
      <c r="A69" s="15" t="n">
        <v>67</v>
      </c>
      <c r="B69" s="13" t="inlineStr">
        <is>
          <t>التقنية الرقمية</t>
        </is>
      </c>
      <c r="C69" s="21" t="inlineStr">
        <is>
          <t>نسبة استقرار التشغيل التقني للمحطات</t>
        </is>
      </c>
      <c r="D69" s="55" t="n">
        <v>0.8</v>
      </c>
      <c r="E69" s="55" t="n">
        <v>0.99</v>
      </c>
      <c r="F69" s="56" t="n">
        <v>0.8080808080808082</v>
      </c>
      <c r="G69" s="12" t="n">
        <v>0.1919191919191918</v>
      </c>
      <c r="H69" s="55" t="n">
        <v>0.8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التقنية</t>
        </is>
      </c>
      <c r="M69" s="57" t="n"/>
    </row>
    <row r="70">
      <c r="A70" s="15" t="n">
        <v>68</v>
      </c>
      <c r="B70" s="13" t="inlineStr">
        <is>
          <t>الامتياز التجاري</t>
        </is>
      </c>
      <c r="C70" s="21" t="inlineStr">
        <is>
          <t>نسبة زيادة عدد أصحاب الامتياز</t>
        </is>
      </c>
      <c r="D70" s="55" t="n">
        <v>0.8100000000000001</v>
      </c>
      <c r="E70" s="55" t="n">
        <v>1</v>
      </c>
      <c r="F70" s="56" t="n">
        <v>0.8100000000000001</v>
      </c>
      <c r="G70" s="12" t="n">
        <v>0.1899999999999999</v>
      </c>
      <c r="H70" s="55" t="n">
        <v>0.8100000000000001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الامتياز</t>
        </is>
      </c>
      <c r="M70" s="57" t="n"/>
    </row>
    <row r="71">
      <c r="A71" s="15" t="n">
        <v>69</v>
      </c>
      <c r="B71" s="13" t="inlineStr">
        <is>
          <t>الإدارة التنفيذية</t>
        </is>
      </c>
      <c r="C71" s="21" t="inlineStr">
        <is>
          <t>نسبة نمو إيرادات الشركة (سنوي)</t>
        </is>
      </c>
      <c r="D71" s="55" t="n">
        <v>0.122</v>
      </c>
      <c r="E71" s="55" t="n">
        <v>0.15</v>
      </c>
      <c r="F71" s="56" t="n">
        <v>0.8133333333333334</v>
      </c>
      <c r="G71" s="12" t="n">
        <v>0.1866666666666666</v>
      </c>
      <c r="H71" s="55" t="n">
        <v>0.122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الرئيس التنفيذي</t>
        </is>
      </c>
      <c r="M71" s="57" t="n"/>
    </row>
    <row r="72">
      <c r="A72" s="15" t="n">
        <v>70</v>
      </c>
      <c r="B72" s="13" t="inlineStr">
        <is>
          <t>الإدارة المالية</t>
        </is>
      </c>
      <c r="C72" s="21" t="inlineStr">
        <is>
          <t>نسبة مساهمة دخل الاستثمار في صافي الربح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المدير المالي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التشغيل والمحطات</t>
        </is>
      </c>
      <c r="C74" s="21" t="inlineStr">
        <is>
          <t>نسبة تنفيذ خطة تفتيش السلامة الدوري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التشغيل</t>
        </is>
      </c>
      <c r="M74" s="57" t="n"/>
    </row>
    <row r="75">
      <c r="A75" s="15" t="n">
        <v>73</v>
      </c>
      <c r="B75" s="13" t="inlineStr">
        <is>
          <t>الجودة</t>
        </is>
      </c>
      <c r="C75" s="21" t="inlineStr">
        <is>
          <t>نسبة فاعلية الإجراءات التصحيحية</t>
        </is>
      </c>
      <c r="D75" s="55" t="n">
        <v>0.774</v>
      </c>
      <c r="E75" s="55" t="n">
        <v>0.95</v>
      </c>
      <c r="F75" s="56" t="n">
        <v>0.8147368421052632</v>
      </c>
      <c r="G75" s="12" t="n">
        <v>0.1852631578947368</v>
      </c>
      <c r="H75" s="55" t="n">
        <v>0.774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الجودة</t>
        </is>
      </c>
      <c r="M75" s="57" t="n"/>
    </row>
    <row r="76">
      <c r="A76" s="15" t="n">
        <v>74</v>
      </c>
      <c r="B76" s="13" t="inlineStr">
        <is>
          <t>التسويق</t>
        </is>
      </c>
      <c r="C76" s="21" t="inlineStr">
        <is>
          <t>تحويل الفرص التسويقية إلى عقود</t>
        </is>
      </c>
      <c r="D76" s="55" t="n">
        <v>0.204</v>
      </c>
      <c r="E76" s="55" t="n">
        <v>0.25</v>
      </c>
      <c r="F76" s="56" t="n">
        <v>0.8159999999999999</v>
      </c>
      <c r="G76" s="12" t="n">
        <v>0.1840000000000001</v>
      </c>
      <c r="H76" s="55" t="n">
        <v>0.204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التسويق</t>
        </is>
      </c>
      <c r="M76" s="57" t="n"/>
    </row>
    <row r="77">
      <c r="A77" s="15" t="n">
        <v>75</v>
      </c>
      <c r="B77" s="13" t="inlineStr">
        <is>
          <t>التسويق</t>
        </is>
      </c>
      <c r="C77" s="21" t="inlineStr">
        <is>
          <t>اتساق الهوية البصرية عبر القنوات التسويقية</t>
        </is>
      </c>
      <c r="D77" s="55" t="n">
        <v>0.819</v>
      </c>
      <c r="E77" s="55" t="n">
        <v>1</v>
      </c>
      <c r="F77" s="56" t="n">
        <v>0.819</v>
      </c>
      <c r="G77" s="12" t="n">
        <v>0.181</v>
      </c>
      <c r="H77" s="55" t="n">
        <v>0.819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التسويق</t>
        </is>
      </c>
      <c r="M77" s="57" t="n"/>
    </row>
    <row r="78">
      <c r="A78" s="15" t="n">
        <v>76</v>
      </c>
      <c r="B78" s="13" t="inlineStr">
        <is>
          <t>الإدارة القانونية</t>
        </is>
      </c>
      <c r="C78" s="21" t="inlineStr">
        <is>
          <t>نسبة القضايا المُغلقة لصالح الشركة</t>
        </is>
      </c>
      <c r="D78" s="55" t="n">
        <v>0.664</v>
      </c>
      <c r="E78" s="55" t="n">
        <v>0.8</v>
      </c>
      <c r="F78" s="56" t="n">
        <v>0.83</v>
      </c>
      <c r="G78" s="12" t="n">
        <v>0.17</v>
      </c>
      <c r="H78" s="55" t="n">
        <v>0.664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المدير القانوني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نمو العلامات التجارية (تراكمي — كل الوحدات)</t>
        </is>
      </c>
      <c r="D79" s="55" t="n">
        <v>204.2</v>
      </c>
      <c r="E79" s="55" t="n">
        <v>246</v>
      </c>
      <c r="F79" s="56" t="n">
        <v>0.8300813008130081</v>
      </c>
      <c r="G79" s="12" t="n">
        <v>0.1699186991869919</v>
      </c>
      <c r="H79" s="55" t="n">
        <v>204.2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سلاسل الإمداد</t>
        </is>
      </c>
      <c r="C80" s="21" t="inlineStr">
        <is>
          <t>نسبة الالتزام بجدول النقل واستخدام الأسطول بكفاءة</t>
        </is>
      </c>
      <c r="D80" s="55" t="n">
        <v>0.751</v>
      </c>
      <c r="E80" s="55" t="n">
        <v>0.9</v>
      </c>
      <c r="F80" s="56" t="n">
        <v>0.8344444444444444</v>
      </c>
      <c r="G80" s="12" t="n">
        <v>0.1655555555555556</v>
      </c>
      <c r="H80" s="55" t="n">
        <v>0.751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سلاسل الإمداد</t>
        </is>
      </c>
      <c r="M80" s="57" t="n"/>
    </row>
    <row r="81">
      <c r="A81" s="15" t="n">
        <v>79</v>
      </c>
      <c r="B81" s="13" t="inlineStr">
        <is>
          <t>الإدارة القانونية</t>
        </is>
      </c>
      <c r="C81" s="21" t="inlineStr">
        <is>
          <t>نسبة إنجاز التحقيقات ضمن المدة المحددة</t>
        </is>
      </c>
      <c r="D81" s="55" t="n">
        <v>0.753</v>
      </c>
      <c r="E81" s="55" t="n">
        <v>0.9</v>
      </c>
      <c r="F81" s="56" t="n">
        <v>0.8366666666666667</v>
      </c>
      <c r="G81" s="12" t="n">
        <v>0.1633333333333333</v>
      </c>
      <c r="H81" s="55" t="n">
        <v>0.753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القانوني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تأجير ساحة درب</t>
        </is>
      </c>
      <c r="D82" s="55" t="n">
        <v>0.671</v>
      </c>
      <c r="E82" s="55" t="n">
        <v>0.8</v>
      </c>
      <c r="F82" s="56" t="n">
        <v>0.83875</v>
      </c>
      <c r="G82" s="12" t="n">
        <v>0.16125</v>
      </c>
      <c r="H82" s="55" t="n">
        <v>0.671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الإدارة المالية</t>
        </is>
      </c>
      <c r="C83" s="21" t="inlineStr">
        <is>
          <t>نمو الإيرادات السنوي</t>
        </is>
      </c>
      <c r="D83" s="55" t="n">
        <v>0.169</v>
      </c>
      <c r="E83" s="55" t="n">
        <v>0.2</v>
      </c>
      <c r="F83" s="56" t="n">
        <v>0.845</v>
      </c>
      <c r="G83" s="12" t="n">
        <v>0.155</v>
      </c>
      <c r="H83" s="55" t="n">
        <v>0.169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المدير المالي</t>
        </is>
      </c>
      <c r="M83" s="57" t="n"/>
    </row>
    <row r="84">
      <c r="A84" s="15" t="n">
        <v>82</v>
      </c>
      <c r="B84" s="13" t="inlineStr">
        <is>
          <t>الجودة</t>
        </is>
      </c>
      <c r="C84" s="21" t="inlineStr">
        <is>
          <t>نسبة تحديث لوحة مؤشرات الجودة شهريًا</t>
        </is>
      </c>
      <c r="D84" s="55" t="n">
        <v>0.804</v>
      </c>
      <c r="E84" s="55" t="n">
        <v>0.95</v>
      </c>
      <c r="F84" s="56" t="n">
        <v>0.8463157894736844</v>
      </c>
      <c r="G84" s="12" t="n">
        <v>0.1536842105263156</v>
      </c>
      <c r="H84" s="55" t="n">
        <v>0.804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الجودة</t>
        </is>
      </c>
      <c r="M84" s="57" t="n"/>
    </row>
    <row r="85">
      <c r="A85" s="15" t="n">
        <v>83</v>
      </c>
      <c r="B85" s="13" t="inlineStr">
        <is>
          <t>العقار</t>
        </is>
      </c>
      <c r="C85" s="21" t="inlineStr">
        <is>
          <t>نسبة تحصيل الإيجارات</t>
        </is>
      </c>
      <c r="D85" s="55" t="n">
        <v>0.805</v>
      </c>
      <c r="E85" s="55" t="n">
        <v>0.95</v>
      </c>
      <c r="F85" s="56" t="n">
        <v>0.8473684210526317</v>
      </c>
      <c r="G85" s="12" t="n">
        <v>0.1526315789473683</v>
      </c>
      <c r="H85" s="55" t="n">
        <v>0.805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العقار</t>
        </is>
      </c>
      <c r="M85" s="57" t="n"/>
    </row>
    <row r="86">
      <c r="A86" s="15" t="n">
        <v>84</v>
      </c>
      <c r="B86" s="13" t="inlineStr">
        <is>
          <t>التشغيل والمحطات</t>
        </is>
      </c>
      <c r="C86" s="21" t="inlineStr">
        <is>
          <t>نسبة المحطات ذات التراخيص والتصاريح السارية</t>
        </is>
      </c>
      <c r="D86" s="55" t="n">
        <v>0.849</v>
      </c>
      <c r="E86" s="55" t="n">
        <v>1</v>
      </c>
      <c r="F86" s="56" t="n">
        <v>0.849</v>
      </c>
      <c r="G86" s="12" t="n">
        <v>0.151</v>
      </c>
      <c r="H86" s="55" t="n">
        <v>0.849</v>
      </c>
      <c r="I86" s="15" t="inlineStr">
        <is>
          <t>🔴 تحت الهدف</t>
        </is>
      </c>
      <c r="J86" s="11" t="inlineStr">
        <is>
          <t>انحراف جوهري — أولوية عاجلة.</t>
        </is>
      </c>
      <c r="K86" s="11" t="inlineStr">
        <is>
          <t>إجراء تصحيحي خلال 30 يوماً.</t>
        </is>
      </c>
      <c r="L86" s="15" t="inlineStr">
        <is>
          <t>مدير التشغيل</t>
        </is>
      </c>
      <c r="M86" s="57" t="n"/>
    </row>
    <row r="87">
      <c r="A87" s="15" t="n">
        <v>85</v>
      </c>
      <c r="B87" s="13" t="inlineStr">
        <is>
          <t>التقنية الرقمية</t>
        </is>
      </c>
      <c r="C87" s="21" t="inlineStr">
        <is>
          <t>نسبة الامتثال لضوابط الأمن السيبراني الأساسية</t>
        </is>
      </c>
      <c r="D87" s="55" t="n">
        <v>0.8070000000000001</v>
      </c>
      <c r="E87" s="55" t="n">
        <v>0.95</v>
      </c>
      <c r="F87" s="56" t="n">
        <v>0.8494736842105264</v>
      </c>
      <c r="G87" s="12" t="n">
        <v>0.1505263157894736</v>
      </c>
      <c r="H87" s="55" t="n">
        <v>0.8070000000000001</v>
      </c>
      <c r="I87" s="15" t="inlineStr">
        <is>
          <t>🔴 تحت الهدف</t>
        </is>
      </c>
      <c r="J87" s="11" t="inlineStr">
        <is>
          <t>انحراف جوهري — أولوية عاجلة.</t>
        </is>
      </c>
      <c r="K87" s="11" t="inlineStr">
        <is>
          <t>إجراء تصحيحي خلال 30 يوماً.</t>
        </is>
      </c>
      <c r="L87" s="15" t="inlineStr">
        <is>
          <t>مدير التقنية</t>
        </is>
      </c>
      <c r="M87" s="57" t="n"/>
    </row>
    <row r="88">
      <c r="A88" s="15" t="n">
        <v>86</v>
      </c>
      <c r="B88" s="13" t="inlineStr">
        <is>
          <t>الإدارة التنفيذية</t>
        </is>
      </c>
      <c r="C88" s="21" t="inlineStr">
        <is>
          <t>نسبة تحقيق المستهدفات الاستراتيجية العامة</t>
        </is>
      </c>
      <c r="D88" s="55" t="n">
        <v>0.85</v>
      </c>
      <c r="E88" s="55" t="n">
        <v>1</v>
      </c>
      <c r="F88" s="56" t="n">
        <v>0.85</v>
      </c>
      <c r="G88" s="12" t="n">
        <v>0.15</v>
      </c>
      <c r="H88" s="55" t="n">
        <v>0.85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الرئيس التنفيذي</t>
        </is>
      </c>
      <c r="M88" s="57" t="n"/>
    </row>
    <row r="89">
      <c r="A89" s="15" t="n">
        <v>87</v>
      </c>
      <c r="B89" s="13" t="inlineStr">
        <is>
          <t>العقار</t>
        </is>
      </c>
      <c r="C89" s="21" t="inlineStr">
        <is>
          <t>نمو الإيرادات الإيجارية</t>
        </is>
      </c>
      <c r="D89" s="55" t="n">
        <v>0.068</v>
      </c>
      <c r="E89" s="55" t="n">
        <v>0.08</v>
      </c>
      <c r="F89" s="56" t="n">
        <v>0.8500000000000001</v>
      </c>
      <c r="G89" s="12" t="n">
        <v>0.1499999999999999</v>
      </c>
      <c r="H89" s="55" t="n">
        <v>0.068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العقار</t>
        </is>
      </c>
      <c r="M89" s="57" t="n"/>
    </row>
    <row r="90">
      <c r="A90" s="15" t="n">
        <v>88</v>
      </c>
      <c r="B90" s="13" t="inlineStr">
        <is>
          <t>الإدارة المالية</t>
        </is>
      </c>
      <c r="C90" s="21" t="inlineStr">
        <is>
          <t>أيام الإقفال الشهري</t>
        </is>
      </c>
      <c r="D90" s="55" t="n">
        <v>7.044</v>
      </c>
      <c r="E90" s="55" t="n">
        <v>6</v>
      </c>
      <c r="F90" s="56" t="n">
        <v>0.8517887563884157</v>
      </c>
      <c r="G90" s="12" t="n">
        <v>0.1482112436115843</v>
      </c>
      <c r="H90" s="55" t="n">
        <v>7.044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المدير المالي</t>
        </is>
      </c>
      <c r="M90" s="57" t="n"/>
    </row>
    <row r="91">
      <c r="A91" s="15" t="n">
        <v>89</v>
      </c>
      <c r="B91" s="13" t="inlineStr">
        <is>
          <t>الإدارة المالية</t>
        </is>
      </c>
      <c r="C91" s="21" t="inlineStr">
        <is>
          <t>النسبة الجارية</t>
        </is>
      </c>
      <c r="D91" s="55" t="n">
        <v>0.852</v>
      </c>
      <c r="E91" s="55" t="n">
        <v>1</v>
      </c>
      <c r="F91" s="56" t="n">
        <v>0.852</v>
      </c>
      <c r="G91" s="12" t="n">
        <v>0.148</v>
      </c>
      <c r="H91" s="55" t="n">
        <v>0.852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المدير المالي</t>
        </is>
      </c>
      <c r="M91" s="57" t="n"/>
    </row>
    <row r="92">
      <c r="A92" s="15" t="n">
        <v>90</v>
      </c>
      <c r="B92" s="13" t="inlineStr">
        <is>
          <t>الامتياز التجاري</t>
        </is>
      </c>
      <c r="C92" s="21" t="inlineStr">
        <is>
          <t>نسبة التحصيل المالي من شركاء الامتياز</t>
        </is>
      </c>
      <c r="D92" s="55" t="n">
        <v>0.8120000000000001</v>
      </c>
      <c r="E92" s="55" t="n">
        <v>0.95</v>
      </c>
      <c r="F92" s="56" t="n">
        <v>0.8547368421052632</v>
      </c>
      <c r="G92" s="12" t="n">
        <v>0.1452631578947368</v>
      </c>
      <c r="H92" s="55" t="n">
        <v>0.8120000000000001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الامتياز</t>
        </is>
      </c>
      <c r="M92" s="57" t="n"/>
    </row>
    <row r="93">
      <c r="A93" s="15" t="n">
        <v>91</v>
      </c>
      <c r="B93" s="13" t="inlineStr">
        <is>
          <t>الاستثمار</t>
        </is>
      </c>
      <c r="C93" s="21" t="inlineStr">
        <is>
          <t>نسبة المواقع ذات العائد المجدي</t>
        </is>
      </c>
      <c r="D93" s="55" t="n">
        <v>0.6850000000000001</v>
      </c>
      <c r="E93" s="55" t="n">
        <v>0.8</v>
      </c>
      <c r="F93" s="56" t="n">
        <v>0.8562500000000001</v>
      </c>
      <c r="G93" s="12" t="n">
        <v>0.1437499999999999</v>
      </c>
      <c r="H93" s="55" t="n">
        <v>0.6850000000000001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الاستثمار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نسبة إغلاق ملاحظات الجودة على المطوّرين</t>
        </is>
      </c>
      <c r="D94" s="55" t="n">
        <v>0.777</v>
      </c>
      <c r="E94" s="55" t="n">
        <v>0.9</v>
      </c>
      <c r="F94" s="56" t="n">
        <v>0.8633333333333333</v>
      </c>
      <c r="G94" s="12" t="n">
        <v>0.1366666666666667</v>
      </c>
      <c r="H94" s="55" t="n">
        <v>0.777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الصيانة والأتمتة</t>
        </is>
      </c>
      <c r="C95" s="21" t="inlineStr">
        <is>
          <t>متوسط زمن الاستجابة للبلاغات الطارئة</t>
        </is>
      </c>
      <c r="D95" s="55" t="n">
        <v>34.7</v>
      </c>
      <c r="E95" s="55" t="n">
        <v>30</v>
      </c>
      <c r="F95" s="56" t="n">
        <v>0.8645533141210374</v>
      </c>
      <c r="G95" s="12" t="n">
        <v>0.1354466858789626</v>
      </c>
      <c r="H95" s="55" t="n">
        <v>34.7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الصيانة والأتمتة</t>
        </is>
      </c>
      <c r="M95" s="57" t="n"/>
    </row>
    <row r="96">
      <c r="A96" s="15" t="n">
        <v>94</v>
      </c>
      <c r="B96" s="13" t="inlineStr">
        <is>
          <t>الصيانة والأتمتة</t>
        </is>
      </c>
      <c r="C96" s="21" t="inlineStr">
        <is>
          <t>نسبة الجاهزية الفنية للأصول والمعدات</t>
        </is>
      </c>
      <c r="D96" s="55" t="n">
        <v>0.848</v>
      </c>
      <c r="E96" s="55" t="n">
        <v>0.98</v>
      </c>
      <c r="F96" s="56" t="n">
        <v>0.8653061224489795</v>
      </c>
      <c r="G96" s="12" t="n">
        <v>0.1346938775510205</v>
      </c>
      <c r="H96" s="55" t="n">
        <v>0.848</v>
      </c>
      <c r="I96" s="15" t="inlineStr">
        <is>
          <t>🔴 تحت الهدف</t>
        </is>
      </c>
      <c r="J96" s="11" t="inlineStr">
        <is>
          <t>انحراف جوهري — أولوية عاجلة.</t>
        </is>
      </c>
      <c r="K96" s="11" t="inlineStr">
        <is>
          <t>إجراء تصحيحي خلال 30 يوماً.</t>
        </is>
      </c>
      <c r="L96" s="15" t="inlineStr">
        <is>
          <t>مدير الصيانة والأتمتة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عدد محطات الامتياز المُسلَّمة بالهوية</t>
        </is>
      </c>
      <c r="D97" s="55" t="n">
        <v>34.7</v>
      </c>
      <c r="E97" s="55" t="n">
        <v>40</v>
      </c>
      <c r="F97" s="56" t="n">
        <v>0.8675</v>
      </c>
      <c r="G97" s="12" t="n">
        <v>0.1325</v>
      </c>
      <c r="H97" s="55" t="n">
        <v>69.40000000000001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الامتياز التجاري</t>
        </is>
      </c>
      <c r="C98" s="21" t="inlineStr">
        <is>
          <t>رفع هامش الربحية للامتياز</t>
        </is>
      </c>
      <c r="D98" s="55" t="n">
        <v>1.564</v>
      </c>
      <c r="E98" s="55" t="n">
        <v>1.8</v>
      </c>
      <c r="F98" s="56" t="n">
        <v>0.8688888888888889</v>
      </c>
      <c r="G98" s="12" t="n">
        <v>0.1311111111111111</v>
      </c>
      <c r="H98" s="55" t="n">
        <v>1.564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الامتياز</t>
        </is>
      </c>
      <c r="M98" s="57" t="n"/>
    </row>
    <row r="99">
      <c r="A99" s="15" t="n">
        <v>97</v>
      </c>
      <c r="B99" s="13" t="inlineStr">
        <is>
          <t>إدارة المشاريع</t>
        </is>
      </c>
      <c r="C99" s="21" t="inlineStr">
        <is>
          <t>نسبة التزام المطوّرين بالجدول الزمني</t>
        </is>
      </c>
      <c r="D99" s="55" t="n">
        <v>0.652</v>
      </c>
      <c r="E99" s="55" t="n">
        <v>0.75</v>
      </c>
      <c r="F99" s="56" t="n">
        <v>0.8693333333333334</v>
      </c>
      <c r="G99" s="12" t="n">
        <v>0.1306666666666666</v>
      </c>
      <c r="H99" s="55" t="n">
        <v>0.652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إدارة المشاريع</t>
        </is>
      </c>
      <c r="M99" s="57" t="n"/>
    </row>
    <row r="100">
      <c r="A100" s="15" t="n">
        <v>98</v>
      </c>
      <c r="B100" s="13" t="inlineStr">
        <is>
          <t>التسويق</t>
        </is>
      </c>
      <c r="C100" s="21" t="inlineStr">
        <is>
          <t>نمو المتابعين النشطين</t>
        </is>
      </c>
      <c r="D100" s="55" t="n">
        <v>0.174</v>
      </c>
      <c r="E100" s="55" t="n">
        <v>0.2</v>
      </c>
      <c r="F100" s="56" t="n">
        <v>0.8699999999999999</v>
      </c>
      <c r="G100" s="12" t="n">
        <v>0.1300000000000001</v>
      </c>
      <c r="H100" s="55" t="n">
        <v>0.174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التسويق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عدد العلامات التجارية الجديدة بالساحة</t>
        </is>
      </c>
      <c r="D101" s="55" t="n">
        <v>5.235</v>
      </c>
      <c r="E101" s="55" t="n">
        <v>6</v>
      </c>
      <c r="F101" s="56" t="n">
        <v>0.8725000000000001</v>
      </c>
      <c r="G101" s="12" t="n">
        <v>0.1274999999999999</v>
      </c>
      <c r="H101" s="55" t="n">
        <v>10.47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الاستثمار</t>
        </is>
      </c>
      <c r="C102" s="21" t="inlineStr">
        <is>
          <t>نسبة التغطية الإقليمية (13 منطقة)</t>
        </is>
      </c>
      <c r="D102" s="55" t="n">
        <v>0.873</v>
      </c>
      <c r="E102" s="55" t="n">
        <v>1</v>
      </c>
      <c r="F102" s="56" t="n">
        <v>0.873</v>
      </c>
      <c r="G102" s="12" t="n">
        <v>0.127</v>
      </c>
      <c r="H102" s="55" t="n">
        <v>0.873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الاستثمار</t>
        </is>
      </c>
      <c r="M102" s="57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نسبة إغلاق ملاحظات السلامة ضمن المدة</t>
        </is>
      </c>
      <c r="D103" s="55" t="n">
        <v>0.83</v>
      </c>
      <c r="E103" s="55" t="n">
        <v>0.95</v>
      </c>
      <c r="F103" s="56" t="n">
        <v>0.8736842105263158</v>
      </c>
      <c r="G103" s="12" t="n">
        <v>0.1263157894736842</v>
      </c>
      <c r="H103" s="55" t="n">
        <v>0.83</v>
      </c>
      <c r="I103" s="15" t="inlineStr">
        <is>
          <t>🔴 تحت الهدف</t>
        </is>
      </c>
      <c r="J103" s="11" t="inlineStr">
        <is>
          <t>انحراف جوهري — أولوية عاجلة.</t>
        </is>
      </c>
      <c r="K103" s="11" t="inlineStr">
        <is>
          <t>إجراء تصحيحي خلال 30 يوماً.</t>
        </is>
      </c>
      <c r="L103" s="15" t="inlineStr">
        <is>
          <t>مدير التشغيل</t>
        </is>
      </c>
      <c r="M103" s="57" t="n"/>
    </row>
    <row r="104">
      <c r="A104" s="15" t="n">
        <v>102</v>
      </c>
      <c r="B104" s="13" t="inlineStr">
        <is>
          <t>التشغيل والمحطات</t>
        </is>
      </c>
      <c r="C104" s="21" t="inlineStr">
        <is>
          <t>عدد محطات الشركة المشغّلة (تراكمي)</t>
        </is>
      </c>
      <c r="D104" s="55" t="n">
        <v>74.3</v>
      </c>
      <c r="E104" s="55" t="n">
        <v>85</v>
      </c>
      <c r="F104" s="56" t="n">
        <v>0.8741176470588234</v>
      </c>
      <c r="G104" s="12" t="n">
        <v>0.1258823529411766</v>
      </c>
      <c r="H104" s="55" t="n">
        <v>74.3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التشغيل</t>
        </is>
      </c>
      <c r="M104" s="57" t="n"/>
    </row>
    <row r="105">
      <c r="A105" s="15" t="n">
        <v>103</v>
      </c>
      <c r="B105" s="13" t="inlineStr">
        <is>
          <t>العقار</t>
        </is>
      </c>
      <c r="C105" s="21" t="inlineStr">
        <is>
          <t>معدل تحويل فرص التأجير إلى عقود</t>
        </is>
      </c>
      <c r="D105" s="55" t="n">
        <v>0.175</v>
      </c>
      <c r="E105" s="55" t="n">
        <v>0.2</v>
      </c>
      <c r="F105" s="56" t="n">
        <v>0.8749999999999999</v>
      </c>
      <c r="G105" s="12" t="n">
        <v>0.1250000000000001</v>
      </c>
      <c r="H105" s="55" t="n">
        <v>0.175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العقار</t>
        </is>
      </c>
      <c r="M105" s="57" t="n"/>
    </row>
    <row r="106">
      <c r="A106" s="15" t="n">
        <v>104</v>
      </c>
      <c r="B106" s="13" t="inlineStr">
        <is>
          <t>العقار</t>
        </is>
      </c>
      <c r="C106" s="21" t="inlineStr">
        <is>
          <t>متوسط زمن تسليم الوحدة</t>
        </is>
      </c>
      <c r="D106" s="55" t="n">
        <v>7.983</v>
      </c>
      <c r="E106" s="55" t="n">
        <v>7</v>
      </c>
      <c r="F106" s="56" t="n">
        <v>0.8768633345859953</v>
      </c>
      <c r="G106" s="12" t="n">
        <v>0.1231366654140047</v>
      </c>
      <c r="H106" s="55" t="n">
        <v>7.983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العقار</t>
        </is>
      </c>
      <c r="M106" s="57" t="n"/>
    </row>
    <row r="107">
      <c r="A107" s="15" t="n">
        <v>105</v>
      </c>
      <c r="B107" s="13" t="inlineStr">
        <is>
          <t>الإدارة التنفيذية</t>
        </is>
      </c>
      <c r="C107" s="21" t="inlineStr">
        <is>
          <t>إجمالي المحطات المشغّلة — الشركة (تراكمي)</t>
        </is>
      </c>
      <c r="D107" s="55" t="n">
        <v>206.1</v>
      </c>
      <c r="E107" s="55" t="n">
        <v>235</v>
      </c>
      <c r="F107" s="56" t="n">
        <v>0.8770212765957447</v>
      </c>
      <c r="G107" s="12" t="n">
        <v>0.1229787234042553</v>
      </c>
      <c r="H107" s="55" t="n">
        <v>206.1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الرئيس التنفيذي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تحقيق مستهدف مبيعات الوقود</t>
        </is>
      </c>
      <c r="D108" s="55" t="n">
        <v>0.881</v>
      </c>
      <c r="E108" s="55" t="n">
        <v>1</v>
      </c>
      <c r="F108" s="56" t="n">
        <v>0.881</v>
      </c>
      <c r="G108" s="12" t="n">
        <v>0.119</v>
      </c>
      <c r="H108" s="55" t="n">
        <v>0.881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التسويق</t>
        </is>
      </c>
      <c r="C109" s="21" t="inlineStr">
        <is>
          <t>المستخدمون النشطون شهرياً</t>
        </is>
      </c>
      <c r="D109" s="55" t="n">
        <v>88203</v>
      </c>
      <c r="E109" s="55" t="n">
        <v>100000</v>
      </c>
      <c r="F109" s="56" t="n">
        <v>0.88203</v>
      </c>
      <c r="G109" s="12" t="n">
        <v>0.11797</v>
      </c>
      <c r="H109" s="55" t="n">
        <v>88203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التسويق</t>
        </is>
      </c>
      <c r="M109" s="57" t="n"/>
    </row>
    <row r="110">
      <c r="A110" s="15" t="n">
        <v>108</v>
      </c>
      <c r="B110" s="13" t="inlineStr">
        <is>
          <t>الجودة</t>
        </is>
      </c>
      <c r="C110" s="21" t="inlineStr">
        <is>
          <t>نسبة تنفيذ مبادرات التحسين المعتمدة</t>
        </is>
      </c>
      <c r="D110" s="55" t="n">
        <v>0.839</v>
      </c>
      <c r="E110" s="55" t="n">
        <v>0.95</v>
      </c>
      <c r="F110" s="56" t="n">
        <v>0.8831578947368421</v>
      </c>
      <c r="G110" s="12" t="n">
        <v>0.1168421052631579</v>
      </c>
      <c r="H110" s="55" t="n">
        <v>0.839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الجودة</t>
        </is>
      </c>
      <c r="M110" s="57" t="n"/>
    </row>
    <row r="111">
      <c r="A111" s="15" t="n">
        <v>109</v>
      </c>
      <c r="B111" s="13" t="inlineStr">
        <is>
          <t>التشغيل والمحطات</t>
        </is>
      </c>
      <c r="C111" s="21" t="inlineStr">
        <is>
          <t>نسبة الالتزام بإجراءات التشغيل القياسية</t>
        </is>
      </c>
      <c r="D111" s="55" t="n">
        <v>0.84</v>
      </c>
      <c r="E111" s="55" t="n">
        <v>0.95</v>
      </c>
      <c r="F111" s="56" t="n">
        <v>0.8842105263157894</v>
      </c>
      <c r="G111" s="12" t="n">
        <v>0.1157894736842106</v>
      </c>
      <c r="H111" s="55" t="n">
        <v>0.84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57" t="n"/>
    </row>
    <row r="112">
      <c r="A112" s="15" t="n">
        <v>110</v>
      </c>
      <c r="B112" s="13" t="inlineStr">
        <is>
          <t>العقار</t>
        </is>
      </c>
      <c r="C112" s="21" t="inlineStr">
        <is>
          <t>معدل استبقاء المستأجرين (تجديد وبلا إنهاء مبكر)</t>
        </is>
      </c>
      <c r="D112" s="55" t="n">
        <v>0.752</v>
      </c>
      <c r="E112" s="55" t="n">
        <v>0.85</v>
      </c>
      <c r="F112" s="56" t="n">
        <v>0.8847058823529412</v>
      </c>
      <c r="G112" s="12" t="n">
        <v>0.1152941176470588</v>
      </c>
      <c r="H112" s="55" t="n">
        <v>0.752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العقار</t>
        </is>
      </c>
      <c r="M112" s="57" t="n"/>
    </row>
    <row r="113">
      <c r="A113" s="15" t="n">
        <v>111</v>
      </c>
      <c r="B113" s="13" t="inlineStr">
        <is>
          <t>الموارد البشرية</t>
        </is>
      </c>
      <c r="C113" s="21" t="inlineStr">
        <is>
          <t>نسبة دقة الرواتب والمستحقات الشهرية</t>
        </is>
      </c>
      <c r="D113" s="55" t="n">
        <v>0.888</v>
      </c>
      <c r="E113" s="55" t="n">
        <v>0.995</v>
      </c>
      <c r="F113" s="56" t="n">
        <v>0.892462311557789</v>
      </c>
      <c r="G113" s="12" t="n">
        <v>0.107537688442211</v>
      </c>
      <c r="H113" s="55" t="n">
        <v>0.888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الموارد البشرية</t>
        </is>
      </c>
      <c r="M113" s="57" t="n"/>
    </row>
    <row r="114">
      <c r="A114" s="15" t="n">
        <v>112</v>
      </c>
      <c r="B114" s="13" t="inlineStr">
        <is>
          <t>الموارد البشرية</t>
        </is>
      </c>
      <c r="C114" s="21" t="inlineStr">
        <is>
          <t>متوسط مدة إغلاق الشواغر المعتمدة</t>
        </is>
      </c>
      <c r="D114" s="55" t="n">
        <v>33.5</v>
      </c>
      <c r="E114" s="55" t="n">
        <v>30</v>
      </c>
      <c r="F114" s="56" t="n">
        <v>0.8955223880597015</v>
      </c>
      <c r="G114" s="12" t="n">
        <v>0.1044776119402985</v>
      </c>
      <c r="H114" s="55" t="n">
        <v>33.5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الموارد البشرية</t>
        </is>
      </c>
      <c r="M114" s="57" t="n"/>
    </row>
    <row r="115">
      <c r="A115" s="15" t="n">
        <v>113</v>
      </c>
      <c r="B115" s="13" t="inlineStr">
        <is>
          <t>إدارة المشاريع</t>
        </is>
      </c>
      <c r="C115" s="21" t="inlineStr">
        <is>
          <t>نسبة التزام المقاولين بمعايير السلامة</t>
        </is>
      </c>
      <c r="D115" s="55" t="n">
        <v>0.852</v>
      </c>
      <c r="E115" s="55" t="n">
        <v>0.95</v>
      </c>
      <c r="F115" s="56" t="n">
        <v>0.8968421052631579</v>
      </c>
      <c r="G115" s="12" t="n">
        <v>0.1031578947368421</v>
      </c>
      <c r="H115" s="55" t="n">
        <v>0.852</v>
      </c>
      <c r="I115" s="15" t="inlineStr">
        <is>
          <t>🔴 تحت الهدف</t>
        </is>
      </c>
      <c r="J115" s="11" t="inlineStr">
        <is>
          <t>انحراف جوهري — أولوية عاجلة.</t>
        </is>
      </c>
      <c r="K115" s="11" t="inlineStr">
        <is>
          <t>إجراء تصحيحي خلال 30 يوماً.</t>
        </is>
      </c>
      <c r="L115" s="15" t="inlineStr">
        <is>
          <t>مدير إدارة المشاريع</t>
        </is>
      </c>
      <c r="M115" s="57" t="n"/>
    </row>
    <row r="116">
      <c r="A116" s="15" t="n">
        <v>114</v>
      </c>
      <c r="B116" s="13" t="inlineStr">
        <is>
          <t>العقار</t>
        </is>
      </c>
      <c r="C116" s="21" t="inlineStr">
        <is>
          <t>نسبة المستأجرين المخفَّض لهم الإيجار</t>
        </is>
      </c>
      <c r="D116" s="55" t="n">
        <v>0.111</v>
      </c>
      <c r="E116" s="55" t="n">
        <v>0.1</v>
      </c>
      <c r="F116" s="56" t="n">
        <v>0.9009009009009009</v>
      </c>
      <c r="G116" s="12" t="n">
        <v>0.09909909909909909</v>
      </c>
      <c r="H116" s="55" t="n">
        <v>0.111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العقار</t>
        </is>
      </c>
      <c r="M116" s="57" t="n"/>
    </row>
    <row r="117">
      <c r="A117" s="15" t="n">
        <v>115</v>
      </c>
      <c r="B117" s="13" t="inlineStr">
        <is>
          <t>التشغيل والمحطات</t>
        </is>
      </c>
      <c r="C117" s="21" t="inlineStr">
        <is>
          <t>مؤشر الالتزام بالهوية البصرية والمظهر العام</t>
        </is>
      </c>
      <c r="D117" s="55" t="n">
        <v>85.59999999999999</v>
      </c>
      <c r="E117" s="55" t="n">
        <v>95</v>
      </c>
      <c r="F117" s="56" t="n">
        <v>0.9010526315789473</v>
      </c>
      <c r="G117" s="12" t="n">
        <v>0.09894736842105267</v>
      </c>
      <c r="H117" s="55" t="n">
        <v>85.59999999999999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التشغيل</t>
        </is>
      </c>
      <c r="M117" s="57" t="n"/>
    </row>
    <row r="118">
      <c r="A118" s="15" t="n">
        <v>116</v>
      </c>
      <c r="B118" s="13" t="inlineStr">
        <is>
          <t>الإدارة المالية</t>
        </is>
      </c>
      <c r="C118" s="21" t="inlineStr">
        <is>
          <t>نسبة التدفق النقدي التشغيلي</t>
        </is>
      </c>
      <c r="D118" s="55" t="n">
        <v>0.902</v>
      </c>
      <c r="E118" s="55" t="n">
        <v>1</v>
      </c>
      <c r="F118" s="56" t="n">
        <v>0.902</v>
      </c>
      <c r="G118" s="12" t="n">
        <v>0.09799999999999998</v>
      </c>
      <c r="H118" s="55" t="n">
        <v>0.902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المدير المالي</t>
        </is>
      </c>
      <c r="M118" s="57" t="n"/>
    </row>
    <row r="119">
      <c r="A119" s="15" t="n">
        <v>117</v>
      </c>
      <c r="B119" s="13" t="inlineStr">
        <is>
          <t>الجودة</t>
        </is>
      </c>
      <c r="C119" s="21" t="inlineStr">
        <is>
          <t>نسبة مراجعة وتحديث الإجراءات والسياسات حسب الخطة</t>
        </is>
      </c>
      <c r="D119" s="55" t="n">
        <v>0.859</v>
      </c>
      <c r="E119" s="55" t="n">
        <v>0.95</v>
      </c>
      <c r="F119" s="56" t="n">
        <v>0.9042105263157895</v>
      </c>
      <c r="G119" s="12" t="n">
        <v>0.09578947368421054</v>
      </c>
      <c r="H119" s="55" t="n">
        <v>0.859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الجودة</t>
        </is>
      </c>
      <c r="M119" s="57" t="n"/>
    </row>
    <row r="120">
      <c r="A120" s="15" t="n">
        <v>118</v>
      </c>
      <c r="B120" s="13" t="inlineStr">
        <is>
          <t>الإدارة التنفيذية</t>
        </is>
      </c>
      <c r="C120" s="21" t="inlineStr">
        <is>
          <t>نسبة إنجاز مشاريع الخارطة التنفيذية</t>
        </is>
      </c>
      <c r="D120" s="55" t="n">
        <v>0.906</v>
      </c>
      <c r="E120" s="55" t="n">
        <v>1</v>
      </c>
      <c r="F120" s="56" t="n">
        <v>0.906</v>
      </c>
      <c r="G120" s="12" t="n">
        <v>0.09399999999999997</v>
      </c>
      <c r="H120" s="55" t="n">
        <v>0.906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الرئيس التنفيذي</t>
        </is>
      </c>
      <c r="M120" s="57" t="n"/>
    </row>
    <row r="121">
      <c r="A121" s="15" t="n">
        <v>119</v>
      </c>
      <c r="B121" s="13" t="inlineStr">
        <is>
          <t>التشغيل والمحطات</t>
        </is>
      </c>
      <c r="C121" s="21" t="inlineStr">
        <is>
          <t>مؤشر الالتزام بمتطلبات السلامة</t>
        </is>
      </c>
      <c r="D121" s="55" t="n">
        <v>86.09999999999999</v>
      </c>
      <c r="E121" s="55" t="n">
        <v>95</v>
      </c>
      <c r="F121" s="56" t="n">
        <v>0.9063157894736842</v>
      </c>
      <c r="G121" s="12" t="n">
        <v>0.09368421052631581</v>
      </c>
      <c r="H121" s="55" t="n">
        <v>86.09999999999999</v>
      </c>
      <c r="I121" s="15" t="inlineStr">
        <is>
          <t>🔴 تحت الهدف</t>
        </is>
      </c>
      <c r="J121" s="11" t="inlineStr">
        <is>
          <t>انحراف جوهري — أولوية عاجلة.</t>
        </is>
      </c>
      <c r="K121" s="11" t="inlineStr">
        <is>
          <t>إجراء تصحيحي خلال 30 يوماً.</t>
        </is>
      </c>
      <c r="L121" s="15" t="inlineStr">
        <is>
          <t>مدير التشغيل</t>
        </is>
      </c>
      <c r="M121" s="57" t="n"/>
    </row>
    <row r="122">
      <c r="A122" s="15" t="n">
        <v>120</v>
      </c>
      <c r="B122" s="13" t="inlineStr">
        <is>
          <t>العقار</t>
        </is>
      </c>
      <c r="C122" s="21" t="inlineStr">
        <is>
          <t>نسبة إشغال الوحدات</t>
        </is>
      </c>
      <c r="D122" s="55" t="n">
        <v>0.545</v>
      </c>
      <c r="E122" s="55" t="n">
        <v>0.6</v>
      </c>
      <c r="F122" s="56" t="n">
        <v>0.9083333333333334</v>
      </c>
      <c r="G122" s="12" t="n">
        <v>0.09166666666666656</v>
      </c>
      <c r="H122" s="55" t="n">
        <v>0.545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العقار</t>
        </is>
      </c>
      <c r="M122" s="57" t="n"/>
    </row>
    <row r="123">
      <c r="A123" s="15" t="n">
        <v>121</v>
      </c>
      <c r="B123" s="13" t="inlineStr">
        <is>
          <t>العقار</t>
        </is>
      </c>
      <c r="C123" s="21" t="inlineStr">
        <is>
          <t>نسبة المتأخرات في السداد</t>
        </is>
      </c>
      <c r="D123" s="55" t="n">
        <v>0.055</v>
      </c>
      <c r="E123" s="55" t="n">
        <v>0.05</v>
      </c>
      <c r="F123" s="56" t="n">
        <v>0.9090909090909092</v>
      </c>
      <c r="G123" s="12" t="n">
        <v>0.09090909090909083</v>
      </c>
      <c r="H123" s="55" t="n">
        <v>0.055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العقار</t>
        </is>
      </c>
      <c r="M123" s="57" t="n"/>
    </row>
    <row r="124">
      <c r="A124" s="15" t="n">
        <v>122</v>
      </c>
      <c r="B124" s="13" t="inlineStr">
        <is>
          <t>إدارة المشاريع</t>
        </is>
      </c>
      <c r="C124" s="21" t="inlineStr">
        <is>
          <t>نسبة المشاريع المنفّذة ضمن الميزانية</t>
        </is>
      </c>
      <c r="D124" s="55" t="n">
        <v>0.774</v>
      </c>
      <c r="E124" s="55" t="n">
        <v>0.85</v>
      </c>
      <c r="F124" s="56" t="n">
        <v>0.9105882352941177</v>
      </c>
      <c r="G124" s="12" t="n">
        <v>0.0894117647058823</v>
      </c>
      <c r="H124" s="55" t="n">
        <v>0.774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نسبة المحطات المستوفية لمعايير السلامة</t>
        </is>
      </c>
      <c r="D125" s="55" t="n">
        <v>0.911</v>
      </c>
      <c r="E125" s="55" t="n">
        <v>1</v>
      </c>
      <c r="F125" s="56" t="n">
        <v>0.911</v>
      </c>
      <c r="G125" s="12" t="n">
        <v>0.08899999999999997</v>
      </c>
      <c r="H125" s="55" t="n">
        <v>0.911</v>
      </c>
      <c r="I125" s="15" t="inlineStr">
        <is>
          <t>🔴 تحت الهدف</t>
        </is>
      </c>
      <c r="J125" s="11" t="inlineStr">
        <is>
          <t>انحراف جوهري — أولوية عاجلة.</t>
        </is>
      </c>
      <c r="K125" s="11" t="inlineStr">
        <is>
          <t>إجراء تصحيحي خلال 30 يوماً.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نسبة انخفاض الشكاوى التشغيلية والإدارية</t>
        </is>
      </c>
      <c r="D126" s="55" t="n">
        <v>0.274</v>
      </c>
      <c r="E126" s="55" t="n">
        <v>0.3</v>
      </c>
      <c r="F126" s="56" t="n">
        <v>0.9133333333333334</v>
      </c>
      <c r="G126" s="12" t="n">
        <v>0.08666666666666656</v>
      </c>
      <c r="H126" s="55" t="n">
        <v>0.274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متوسط وقت معالجة البلاغات التشغيلية</t>
        </is>
      </c>
      <c r="D127" s="55" t="n">
        <v>26.2</v>
      </c>
      <c r="E127" s="55" t="n">
        <v>24</v>
      </c>
      <c r="F127" s="56" t="n">
        <v>0.916030534351145</v>
      </c>
      <c r="G127" s="12" t="n">
        <v>0.08396946564885499</v>
      </c>
      <c r="H127" s="55" t="n">
        <v>26.2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التشغيل والمحطات</t>
        </is>
      </c>
      <c r="C128" s="21" t="inlineStr">
        <is>
          <t>نسبة ترشيد استهلاك المياه بالمحطات</t>
        </is>
      </c>
      <c r="D128" s="55" t="n">
        <v>0.046</v>
      </c>
      <c r="E128" s="55" t="n">
        <v>0.05</v>
      </c>
      <c r="F128" s="56" t="n">
        <v>0.9199999999999999</v>
      </c>
      <c r="G128" s="12" t="n">
        <v>0.08000000000000007</v>
      </c>
      <c r="H128" s="55" t="n">
        <v>0.046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التشغيل</t>
        </is>
      </c>
      <c r="M128" s="57" t="n"/>
    </row>
    <row r="129">
      <c r="A129" s="15" t="n">
        <v>127</v>
      </c>
      <c r="B129" s="13" t="inlineStr">
        <is>
          <t>سلاسل الإمداد</t>
        </is>
      </c>
      <c r="C129" s="21" t="inlineStr">
        <is>
          <t>دقة أوامر الشراء ومستنداتها</t>
        </is>
      </c>
      <c r="D129" s="55" t="n">
        <v>0.905</v>
      </c>
      <c r="E129" s="55" t="n">
        <v>0.98</v>
      </c>
      <c r="F129" s="56" t="n">
        <v>0.9234693877551021</v>
      </c>
      <c r="G129" s="12" t="n">
        <v>0.07653061224489788</v>
      </c>
      <c r="H129" s="55" t="n">
        <v>0.905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سلاسل الإمداد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نسبة إغلاق ملاحظات الجودة الميدانية</t>
        </is>
      </c>
      <c r="D130" s="55" t="n">
        <v>0.879</v>
      </c>
      <c r="E130" s="55" t="n">
        <v>0.95</v>
      </c>
      <c r="F130" s="56" t="n">
        <v>0.9252631578947369</v>
      </c>
      <c r="G130" s="12" t="n">
        <v>0.0747368421052631</v>
      </c>
      <c r="H130" s="55" t="n">
        <v>0.879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الجودة</t>
        </is>
      </c>
      <c r="C131" s="21" t="inlineStr">
        <is>
          <t>نسبة اكتمال سجل مخاطر وملاحظات الجودة</t>
        </is>
      </c>
      <c r="D131" s="55" t="n">
        <v>0.879</v>
      </c>
      <c r="E131" s="55" t="n">
        <v>0.95</v>
      </c>
      <c r="F131" s="56" t="n">
        <v>0.9252631578947369</v>
      </c>
      <c r="G131" s="12" t="n">
        <v>0.0747368421052631</v>
      </c>
      <c r="H131" s="55" t="n">
        <v>0.879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الجودة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متوسط مدة إغلاق قائمة الملاحظات النهائية</t>
        </is>
      </c>
      <c r="D132" s="55" t="n">
        <v>32.4</v>
      </c>
      <c r="E132" s="55" t="n">
        <v>30</v>
      </c>
      <c r="F132" s="56" t="n">
        <v>0.9259259259259259</v>
      </c>
      <c r="G132" s="12" t="n">
        <v>0.07407407407407407</v>
      </c>
      <c r="H132" s="55" t="n">
        <v>32.4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الامتياز التجاري</t>
        </is>
      </c>
      <c r="C133" s="21" t="inlineStr">
        <is>
          <t>متوسط درجة تقييم جودة المحطة (قائمة التحقق)</t>
        </is>
      </c>
      <c r="D133" s="55" t="n">
        <v>78.8</v>
      </c>
      <c r="E133" s="55" t="n">
        <v>85</v>
      </c>
      <c r="F133" s="56" t="n">
        <v>0.9270588235294117</v>
      </c>
      <c r="G133" s="12" t="n">
        <v>0.07294117647058829</v>
      </c>
      <c r="H133" s="55" t="n">
        <v>78.8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الامتياز</t>
        </is>
      </c>
      <c r="M133" s="57" t="n"/>
    </row>
    <row r="134">
      <c r="A134" s="15" t="n">
        <v>132</v>
      </c>
      <c r="B134" s="13" t="inlineStr">
        <is>
          <t>التشغيل والمحطات</t>
        </is>
      </c>
      <c r="C134" s="21" t="inlineStr">
        <is>
          <t>انخفاض معدل الشكاوى التشغيلية</t>
        </is>
      </c>
      <c r="D134" s="55" t="n">
        <v>0.187</v>
      </c>
      <c r="E134" s="55" t="n">
        <v>0.2</v>
      </c>
      <c r="F134" s="56" t="n">
        <v>0.9349999999999999</v>
      </c>
      <c r="G134" s="12" t="n">
        <v>0.06500000000000006</v>
      </c>
      <c r="H134" s="55" t="n">
        <v>0.187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التشغيل</t>
        </is>
      </c>
      <c r="M134" s="57" t="n"/>
    </row>
    <row r="135">
      <c r="A135" s="15" t="n">
        <v>133</v>
      </c>
      <c r="B135" s="13" t="inlineStr">
        <is>
          <t>إدارة المشاريع</t>
        </is>
      </c>
      <c r="C135" s="21" t="inlineStr">
        <is>
          <t>عدد محطات الشركة المُسلَّمة</t>
        </is>
      </c>
      <c r="D135" s="55" t="n">
        <v>18.8</v>
      </c>
      <c r="E135" s="55" t="n">
        <v>20</v>
      </c>
      <c r="F135" s="56" t="n">
        <v>0.9400000000000001</v>
      </c>
      <c r="G135" s="12" t="n">
        <v>0.05999999999999994</v>
      </c>
      <c r="H135" s="55" t="n">
        <v>37.6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إدارة المشاريع</t>
        </is>
      </c>
      <c r="M135" s="57" t="n"/>
    </row>
    <row r="136">
      <c r="A136" s="15" t="n">
        <v>134</v>
      </c>
      <c r="B136" s="13" t="inlineStr">
        <is>
          <t>الإدارة القانونية</t>
        </is>
      </c>
      <c r="C136" s="21" t="inlineStr">
        <is>
          <t>متوسط زمن إغلاق قضية التحقيق</t>
        </is>
      </c>
      <c r="D136" s="55" t="n">
        <v>31.9</v>
      </c>
      <c r="E136" s="55" t="n">
        <v>30</v>
      </c>
      <c r="F136" s="56" t="n">
        <v>0.9404388714733543</v>
      </c>
      <c r="G136" s="12" t="n">
        <v>0.05956112852664575</v>
      </c>
      <c r="H136" s="55" t="n">
        <v>31.9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المدير القانوني</t>
        </is>
      </c>
      <c r="M136" s="57" t="n"/>
    </row>
    <row r="137">
      <c r="A137" s="15" t="n">
        <v>135</v>
      </c>
      <c r="B137" s="13" t="inlineStr">
        <is>
          <t>سلاسل الإمداد</t>
        </is>
      </c>
      <c r="C137" s="21" t="inlineStr">
        <is>
          <t>نسبة تغطية مخزون الوقود بالأيام</t>
        </is>
      </c>
      <c r="D137" s="55" t="n">
        <v>4.706</v>
      </c>
      <c r="E137" s="55" t="n">
        <v>5</v>
      </c>
      <c r="F137" s="56" t="n">
        <v>0.9412</v>
      </c>
      <c r="G137" s="12" t="n">
        <v>0.05879999999999996</v>
      </c>
      <c r="H137" s="55" t="n">
        <v>4.706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سلاسل الإمداد</t>
        </is>
      </c>
      <c r="M137" s="57" t="n"/>
    </row>
    <row r="138">
      <c r="A138" s="15" t="n">
        <v>136</v>
      </c>
      <c r="B138" s="13" t="inlineStr">
        <is>
          <t>الصيانة والأتمتة</t>
        </is>
      </c>
      <c r="C138" s="21" t="inlineStr">
        <is>
          <t>نسبة استمرارية تشغيل المحطات دون توقف فني</t>
        </is>
      </c>
      <c r="D138" s="55" t="n">
        <v>0.9320000000000001</v>
      </c>
      <c r="E138" s="55" t="n">
        <v>0.99</v>
      </c>
      <c r="F138" s="56" t="n">
        <v>0.9414141414141415</v>
      </c>
      <c r="G138" s="12" t="n">
        <v>0.05858585858585852</v>
      </c>
      <c r="H138" s="55" t="n">
        <v>0.9320000000000001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الصيانة والأتمتة</t>
        </is>
      </c>
      <c r="M138" s="57" t="n"/>
    </row>
    <row r="139">
      <c r="A139" s="15" t="n">
        <v>137</v>
      </c>
      <c r="B139" s="13" t="inlineStr">
        <is>
          <t>التسويق</t>
        </is>
      </c>
      <c r="C139" s="21" t="inlineStr">
        <is>
          <t>معدل احتفاظ مستخدمي تطبيق درب</t>
        </is>
      </c>
      <c r="D139" s="55" t="n">
        <v>0.377</v>
      </c>
      <c r="E139" s="55" t="n">
        <v>0.4</v>
      </c>
      <c r="F139" s="56" t="n">
        <v>0.9425</v>
      </c>
      <c r="G139" s="12" t="n">
        <v>0.0575</v>
      </c>
      <c r="H139" s="55" t="n">
        <v>0.377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التسويق</t>
        </is>
      </c>
      <c r="M139" s="57" t="n"/>
    </row>
    <row r="140">
      <c r="A140" s="15" t="n">
        <v>138</v>
      </c>
      <c r="B140" s="13" t="inlineStr">
        <is>
          <t>الامتياز التجاري</t>
        </is>
      </c>
      <c r="C140" s="21" t="inlineStr">
        <is>
          <t>نسبة استدامة أصحاب الامتياز</t>
        </is>
      </c>
      <c r="D140" s="55" t="n">
        <v>0.853</v>
      </c>
      <c r="E140" s="55" t="n">
        <v>0.9</v>
      </c>
      <c r="F140" s="56" t="n">
        <v>0.9477777777777777</v>
      </c>
      <c r="G140" s="12" t="n">
        <v>0.05222222222222228</v>
      </c>
      <c r="H140" s="55" t="n">
        <v>0.853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الامتياز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اعتماد النماذج والإجراءات الجديدة أو المحدثة</t>
        </is>
      </c>
      <c r="D141" s="55" t="n">
        <v>0.902</v>
      </c>
      <c r="E141" s="55" t="n">
        <v>0.95</v>
      </c>
      <c r="F141" s="56" t="n">
        <v>0.9494736842105264</v>
      </c>
      <c r="G141" s="12" t="n">
        <v>0.05052631578947364</v>
      </c>
      <c r="H141" s="55" t="n">
        <v>0.902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الموارد البشرية</t>
        </is>
      </c>
      <c r="C142" s="21" t="inlineStr">
        <is>
          <t>نسبة جاهزية وتغطية عمالة المحطات حسب خطة التشغيل والافتتاحات</t>
        </is>
      </c>
      <c r="D142" s="55" t="n">
        <v>0.903</v>
      </c>
      <c r="E142" s="55" t="n">
        <v>0.95</v>
      </c>
      <c r="F142" s="56" t="n">
        <v>0.9505263157894738</v>
      </c>
      <c r="G142" s="12" t="n">
        <v>0.04947368421052623</v>
      </c>
      <c r="H142" s="55" t="n">
        <v>0.903</v>
      </c>
      <c r="I142" s="15" t="inlineStr">
        <is>
          <t>🔴 تحت الهدف</t>
        </is>
      </c>
      <c r="J142" s="11" t="inlineStr">
        <is>
          <t>انحراف جوهري — أولوية عاجلة.</t>
        </is>
      </c>
      <c r="K142" s="11" t="inlineStr">
        <is>
          <t>إجراء تصحيحي خلال 30 يوماً.</t>
        </is>
      </c>
      <c r="L142" s="15" t="inlineStr">
        <is>
          <t>مدير الموارد البشرية</t>
        </is>
      </c>
      <c r="M142" s="57" t="n"/>
    </row>
    <row r="143">
      <c r="A143" s="15" t="n">
        <v>141</v>
      </c>
      <c r="B143" s="13" t="inlineStr">
        <is>
          <t>سلاسل الإمداد</t>
        </is>
      </c>
      <c r="C143" s="21" t="inlineStr">
        <is>
          <t>نسبة جاهزية الإمداد للمحطات الجديدة وخطط الافتتاح</t>
        </is>
      </c>
      <c r="D143" s="55" t="n">
        <v>0.952</v>
      </c>
      <c r="E143" s="55" t="n">
        <v>1</v>
      </c>
      <c r="F143" s="56" t="n">
        <v>0.952</v>
      </c>
      <c r="G143" s="12" t="n">
        <v>0.04800000000000004</v>
      </c>
      <c r="H143" s="55" t="n">
        <v>0.952</v>
      </c>
      <c r="I143" s="15" t="inlineStr">
        <is>
          <t>🔴 تحت الهدف</t>
        </is>
      </c>
      <c r="J143" s="11" t="inlineStr">
        <is>
          <t>انحراف جوهري — أولوية عاجلة.</t>
        </is>
      </c>
      <c r="K143" s="11" t="inlineStr">
        <is>
          <t>إجراء تصحيحي خلال 30 يوماً.</t>
        </is>
      </c>
      <c r="L143" s="15" t="inlineStr">
        <is>
          <t>مدير سلاسل الإمداد</t>
        </is>
      </c>
      <c r="M143" s="57" t="n"/>
    </row>
    <row r="144">
      <c r="A144" s="15" t="n">
        <v>142</v>
      </c>
      <c r="B144" s="13" t="inlineStr">
        <is>
          <t>الجودة</t>
        </is>
      </c>
      <c r="C144" s="21" t="inlineStr">
        <is>
          <t>نسبة إصدار تقارير الزيارات خلال المدة المحددة</t>
        </is>
      </c>
      <c r="D144" s="55" t="n">
        <v>0.907</v>
      </c>
      <c r="E144" s="55" t="n">
        <v>0.95</v>
      </c>
      <c r="F144" s="56" t="n">
        <v>0.9547368421052632</v>
      </c>
      <c r="G144" s="12" t="n">
        <v>0.04526315789473678</v>
      </c>
      <c r="H144" s="55" t="n">
        <v>0.907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الجودة</t>
        </is>
      </c>
      <c r="M144" s="57" t="n"/>
    </row>
    <row r="145">
      <c r="A145" s="15" t="n">
        <v>143</v>
      </c>
      <c r="B145" s="13" t="inlineStr">
        <is>
          <t>الجودة</t>
        </is>
      </c>
      <c r="C145" s="21" t="inlineStr">
        <is>
          <t>نسبة إغلاق الملاحظات ضمن المدة المحددة</t>
        </is>
      </c>
      <c r="D145" s="55" t="n">
        <v>0.907</v>
      </c>
      <c r="E145" s="55" t="n">
        <v>0.95</v>
      </c>
      <c r="F145" s="56" t="n">
        <v>0.9547368421052632</v>
      </c>
      <c r="G145" s="12" t="n">
        <v>0.04526315789473678</v>
      </c>
      <c r="H145" s="55" t="n">
        <v>0.907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الجودة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الالتزام بالميزانية المعتمدة</t>
        </is>
      </c>
      <c r="D146" s="55" t="n">
        <v>0.96</v>
      </c>
      <c r="E146" s="55" t="n">
        <v>1</v>
      </c>
      <c r="F146" s="56" t="n">
        <v>0.96</v>
      </c>
      <c r="G146" s="12" t="n">
        <v>0.04000000000000004</v>
      </c>
      <c r="H146" s="55" t="n">
        <v>0.96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إدارة المشاريع</t>
        </is>
      </c>
      <c r="C147" s="21" t="inlineStr">
        <is>
          <t>عدد مخالفات المقاولين (سنوي)</t>
        </is>
      </c>
      <c r="D147" s="55" t="n">
        <v>10.4</v>
      </c>
      <c r="E147" s="55" t="n">
        <v>10</v>
      </c>
      <c r="F147" s="56" t="n">
        <v>0.9615384615384615</v>
      </c>
      <c r="G147" s="12" t="n">
        <v>0.03846153846153855</v>
      </c>
      <c r="H147" s="55" t="n">
        <v>20.8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إدارة المشاريع</t>
        </is>
      </c>
      <c r="M147" s="57" t="n"/>
    </row>
    <row r="148">
      <c r="A148" s="15" t="n">
        <v>146</v>
      </c>
      <c r="B148" s="13" t="inlineStr">
        <is>
          <t>الموارد البشرية</t>
        </is>
      </c>
      <c r="C148" s="21" t="inlineStr">
        <is>
          <t>نسبة كفاءة تكلفة القوى العاملة</t>
        </is>
      </c>
      <c r="D148" s="55" t="n">
        <v>0.917</v>
      </c>
      <c r="E148" s="55" t="n">
        <v>0.95</v>
      </c>
      <c r="F148" s="56" t="n">
        <v>0.9652631578947369</v>
      </c>
      <c r="G148" s="12" t="n">
        <v>0.03473684210526307</v>
      </c>
      <c r="H148" s="55" t="n">
        <v>0.917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الموارد البشرية</t>
        </is>
      </c>
      <c r="M148" s="57" t="n"/>
    </row>
    <row r="149">
      <c r="A149" s="15" t="n">
        <v>147</v>
      </c>
      <c r="B149" s="13" t="inlineStr">
        <is>
          <t>إدارة المشاريع</t>
        </is>
      </c>
      <c r="C149" s="21" t="inlineStr">
        <is>
          <t>نسبة إنجاز محفظة مشاريع التوسع</t>
        </is>
      </c>
      <c r="D149" s="55" t="n">
        <v>0.676</v>
      </c>
      <c r="E149" s="55" t="n">
        <v>0.7</v>
      </c>
      <c r="F149" s="56" t="n">
        <v>0.9657142857142859</v>
      </c>
      <c r="G149" s="12" t="n">
        <v>0.03428571428571414</v>
      </c>
      <c r="H149" s="55" t="n">
        <v>0.676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إدارة المشاريع</t>
        </is>
      </c>
      <c r="M149" s="57" t="n"/>
    </row>
    <row r="150">
      <c r="A150" s="15" t="n">
        <v>148</v>
      </c>
      <c r="B150" s="13" t="inlineStr">
        <is>
          <t>الجودة</t>
        </is>
      </c>
      <c r="C150" s="21" t="inlineStr">
        <is>
          <t>نسبة انخفاض تكرار الملاحظات بعد التحسين</t>
        </is>
      </c>
      <c r="D150" s="55" t="n">
        <v>0.918</v>
      </c>
      <c r="E150" s="55" t="n">
        <v>0.95</v>
      </c>
      <c r="F150" s="56" t="n">
        <v>0.9663157894736844</v>
      </c>
      <c r="G150" s="12" t="n">
        <v>0.03368421052631565</v>
      </c>
      <c r="H150" s="55" t="n">
        <v>0.918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الجودة</t>
        </is>
      </c>
      <c r="M150" s="57" t="n"/>
    </row>
    <row r="151">
      <c r="A151" s="15" t="n">
        <v>149</v>
      </c>
      <c r="B151" s="13" t="inlineStr">
        <is>
          <t>الامتياز التجاري</t>
        </is>
      </c>
      <c r="C151" s="21" t="inlineStr">
        <is>
          <t>نسبة حل الشكاوى خلال المدة المحددة</t>
        </is>
      </c>
      <c r="D151" s="55" t="n">
        <v>0.922</v>
      </c>
      <c r="E151" s="55" t="n">
        <v>0.95</v>
      </c>
      <c r="F151" s="56" t="n">
        <v>0.9705263157894738</v>
      </c>
      <c r="G151" s="12" t="n">
        <v>0.02947368421052621</v>
      </c>
      <c r="H151" s="55" t="n">
        <v>0.922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الامتياز</t>
        </is>
      </c>
      <c r="M151" s="57" t="n"/>
    </row>
    <row r="152">
      <c r="A152" s="15" t="n">
        <v>150</v>
      </c>
      <c r="B152" s="13" t="inlineStr">
        <is>
          <t>الإدارة التنفيذية</t>
        </is>
      </c>
      <c r="C152" s="21" t="inlineStr">
        <is>
          <t>إجمالي العقود الجديدة — الشركة</t>
        </is>
      </c>
      <c r="D152" s="55" t="n">
        <v>346.6</v>
      </c>
      <c r="E152" s="55" t="n">
        <v>357</v>
      </c>
      <c r="F152" s="56" t="n">
        <v>0.9708683473389357</v>
      </c>
      <c r="G152" s="12" t="n">
        <v>0.02913165266106432</v>
      </c>
      <c r="H152" s="55" t="n">
        <v>693.2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الرئيس التنفيذي</t>
        </is>
      </c>
      <c r="M152" s="57" t="n"/>
    </row>
    <row r="153">
      <c r="A153" s="15" t="n">
        <v>151</v>
      </c>
      <c r="B153" s="13" t="inlineStr">
        <is>
          <t>الإدارة القانونية</t>
        </is>
      </c>
      <c r="C153" s="21" t="inlineStr">
        <is>
          <t>نسبة العقود الخالية من الملاحظات والمخاطر القانونية</t>
        </is>
      </c>
      <c r="D153" s="55" t="n">
        <v>0.924</v>
      </c>
      <c r="E153" s="55" t="n">
        <v>0.95</v>
      </c>
      <c r="F153" s="56" t="n">
        <v>0.9726315789473685</v>
      </c>
      <c r="G153" s="12" t="n">
        <v>0.02736842105263149</v>
      </c>
      <c r="H153" s="55" t="n">
        <v>0.924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المدير القانوني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اكتمال تقارير الزيارة الميدانية بالصور والأدلة</t>
        </is>
      </c>
      <c r="D154" s="55" t="n">
        <v>0.925</v>
      </c>
      <c r="E154" s="55" t="n">
        <v>0.95</v>
      </c>
      <c r="F154" s="56" t="n">
        <v>0.9736842105263159</v>
      </c>
      <c r="G154" s="12" t="n">
        <v>0.02631578947368407</v>
      </c>
      <c r="H154" s="55" t="n">
        <v>0.925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سلاسل الإمداد</t>
        </is>
      </c>
      <c r="C155" s="21" t="inlineStr">
        <is>
          <t>كفاءة إدارة الموردين</t>
        </is>
      </c>
      <c r="D155" s="55" t="n">
        <v>0.881</v>
      </c>
      <c r="E155" s="55" t="n">
        <v>0.9</v>
      </c>
      <c r="F155" s="56" t="n">
        <v>0.9788888888888889</v>
      </c>
      <c r="G155" s="12" t="n">
        <v>0.02111111111111108</v>
      </c>
      <c r="H155" s="55" t="n">
        <v>0.881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سلاسل الإمداد</t>
        </is>
      </c>
      <c r="M155" s="57" t="n"/>
    </row>
    <row r="156">
      <c r="A156" s="15" t="n">
        <v>154</v>
      </c>
      <c r="B156" s="13" t="inlineStr">
        <is>
          <t>سلاسل الإمداد</t>
        </is>
      </c>
      <c r="C156" s="21" t="inlineStr">
        <is>
          <t>نسبة إنجاز أوامر الشراء خلال المدة المستهدفة</t>
        </is>
      </c>
      <c r="D156" s="55" t="n">
        <v>0.9320000000000001</v>
      </c>
      <c r="E156" s="55" t="n">
        <v>0.95</v>
      </c>
      <c r="F156" s="56" t="n">
        <v>0.9810526315789475</v>
      </c>
      <c r="G156" s="12" t="n">
        <v>0.01894736842105249</v>
      </c>
      <c r="H156" s="55" t="n">
        <v>0.9320000000000001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سلاسل الإمداد</t>
        </is>
      </c>
      <c r="M156" s="57" t="n"/>
    </row>
    <row r="157">
      <c r="A157" s="15" t="n">
        <v>155</v>
      </c>
      <c r="B157" s="13" t="inlineStr">
        <is>
          <t>الجودة</t>
        </is>
      </c>
      <c r="C157" s="21" t="inlineStr">
        <is>
          <t>نسبة التحقق من إغلاق الملاحظات ميدانيًا أو بالصور</t>
        </is>
      </c>
      <c r="D157" s="55" t="n">
        <v>0.9370000000000001</v>
      </c>
      <c r="E157" s="55" t="n">
        <v>0.95</v>
      </c>
      <c r="F157" s="56" t="n">
        <v>0.9863157894736844</v>
      </c>
      <c r="G157" s="12" t="n">
        <v>0.01368421052631563</v>
      </c>
      <c r="H157" s="55" t="n">
        <v>0.9370000000000001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الجودة</t>
        </is>
      </c>
      <c r="M157" s="57" t="n"/>
    </row>
    <row r="158">
      <c r="A158" s="15" t="n">
        <v>156</v>
      </c>
      <c r="B158" s="13" t="inlineStr">
        <is>
          <t>الجودة</t>
        </is>
      </c>
      <c r="C158" s="21" t="inlineStr">
        <is>
          <t>نسبة إغلاق ملاحظات التدقيق الداخلي ضمن المدة</t>
        </is>
      </c>
      <c r="D158" s="55" t="n">
        <v>0.9389999999999999</v>
      </c>
      <c r="E158" s="55" t="n">
        <v>0.95</v>
      </c>
      <c r="F158" s="56" t="n">
        <v>0.988421052631579</v>
      </c>
      <c r="G158" s="12" t="n">
        <v>0.01157894736842102</v>
      </c>
      <c r="H158" s="55" t="n">
        <v>0.9389999999999999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الجودة</t>
        </is>
      </c>
      <c r="M158" s="57" t="n"/>
    </row>
    <row r="159">
      <c r="A159" s="15" t="n">
        <v>157</v>
      </c>
      <c r="B159" s="13" t="inlineStr">
        <is>
          <t>التقنية الرقمية</t>
        </is>
      </c>
      <c r="C159" s="21" t="inlineStr">
        <is>
          <t>نسبة إنجاز مشاريع التحول الرقمي والمشاريع التقنية حسب الخطة</t>
        </is>
      </c>
      <c r="D159" s="55" t="n">
        <v>0.89</v>
      </c>
      <c r="E159" s="55" t="n">
        <v>0.9</v>
      </c>
      <c r="F159" s="56" t="n">
        <v>0.9888888888888889</v>
      </c>
      <c r="G159" s="12" t="n">
        <v>0.01111111111111107</v>
      </c>
      <c r="H159" s="55" t="n">
        <v>0.89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التقنية</t>
        </is>
      </c>
      <c r="M159" s="57" t="n"/>
    </row>
    <row r="160">
      <c r="A160" s="15" t="n">
        <v>158</v>
      </c>
      <c r="B160" s="13" t="inlineStr">
        <is>
          <t>الإدارة المالية</t>
        </is>
      </c>
      <c r="C160" s="21" t="inlineStr">
        <is>
          <t>انحراف الموازنة</t>
        </is>
      </c>
      <c r="D160" s="55" t="n">
        <v>0.101</v>
      </c>
      <c r="E160" s="55" t="n">
        <v>0.1</v>
      </c>
      <c r="F160" s="56" t="n">
        <v>0.9900990099009901</v>
      </c>
      <c r="G160" s="12" t="n">
        <v>0.00990099009900991</v>
      </c>
      <c r="H160" s="55" t="n">
        <v>0.101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المدير المالي</t>
        </is>
      </c>
      <c r="M160" s="57" t="n"/>
    </row>
    <row r="161">
      <c r="A161" s="15" t="n">
        <v>159</v>
      </c>
      <c r="B161" s="13" t="inlineStr">
        <is>
          <t>الصيانة والأتمتة</t>
        </is>
      </c>
      <c r="C161" s="21" t="inlineStr">
        <is>
          <t>نسبة استعادة أنظمة الأتمتة ضمن الزمن المحدد</t>
        </is>
      </c>
      <c r="D161" s="55" t="n">
        <v>0.9419999999999999</v>
      </c>
      <c r="E161" s="55" t="n">
        <v>0.95</v>
      </c>
      <c r="F161" s="56" t="n">
        <v>0.991578947368421</v>
      </c>
      <c r="G161" s="12" t="n">
        <v>0.008421052631578996</v>
      </c>
      <c r="H161" s="55" t="n">
        <v>0.9419999999999999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الصيانة والأتمتة</t>
        </is>
      </c>
      <c r="M161" s="57" t="n"/>
    </row>
    <row r="162">
      <c r="A162" s="15" t="n">
        <v>160</v>
      </c>
      <c r="B162" s="13" t="inlineStr">
        <is>
          <t>التسويق</t>
        </is>
      </c>
      <c r="C162" s="21" t="inlineStr">
        <is>
          <t>نسبة المشاعر الإيجابية للعلامة</t>
        </is>
      </c>
      <c r="D162" s="55" t="n">
        <v>0.795</v>
      </c>
      <c r="E162" s="55" t="n">
        <v>0.8</v>
      </c>
      <c r="F162" s="56" t="n">
        <v>0.99375</v>
      </c>
      <c r="G162" s="12" t="n">
        <v>0.006249999999999978</v>
      </c>
      <c r="H162" s="55" t="n">
        <v>0.795</v>
      </c>
      <c r="I162" s="15" t="inlineStr">
        <is>
          <t>🟡 قريب</t>
        </is>
      </c>
      <c r="J162" s="11" t="inlineStr">
        <is>
          <t>فجوة محدودة — متابعة.</t>
        </is>
      </c>
      <c r="K162" s="11" t="inlineStr">
        <is>
          <t>متابعة أسبوعية لإغلاق الفجوة.</t>
        </is>
      </c>
      <c r="L162" s="15" t="inlineStr">
        <is>
          <t>مدير التسويق</t>
        </is>
      </c>
      <c r="M162" s="57" t="n"/>
    </row>
    <row r="163">
      <c r="A163" s="15" t="n">
        <v>161</v>
      </c>
      <c r="B163" s="13" t="inlineStr">
        <is>
          <t>الامتياز التجاري</t>
        </is>
      </c>
      <c r="C163" s="21" t="inlineStr">
        <is>
          <t>نسبة تطبيق المعيار الشامل داخل المحطات</t>
        </is>
      </c>
      <c r="D163" s="55" t="n">
        <v>0.299</v>
      </c>
      <c r="E163" s="55" t="n">
        <v>0.3</v>
      </c>
      <c r="F163" s="56" t="n">
        <v>0.9966666666666667</v>
      </c>
      <c r="G163" s="12" t="n">
        <v>0.003333333333333299</v>
      </c>
      <c r="H163" s="55" t="n">
        <v>0.299</v>
      </c>
      <c r="I163" s="15" t="inlineStr">
        <is>
          <t>🟡 قريب</t>
        </is>
      </c>
      <c r="J163" s="11" t="inlineStr">
        <is>
          <t>فجوة محدودة — متابعة.</t>
        </is>
      </c>
      <c r="K163" s="11" t="inlineStr">
        <is>
          <t>متابعة أسبوعية لإغلاق الفجوة.</t>
        </is>
      </c>
      <c r="L163" s="15" t="inlineStr">
        <is>
          <t>مدير الامتياز</t>
        </is>
      </c>
      <c r="M163" s="57" t="n"/>
    </row>
    <row r="164">
      <c r="A164" s="15" t="n">
        <v>162</v>
      </c>
      <c r="B164" s="13" t="inlineStr">
        <is>
          <t>الجودة</t>
        </is>
      </c>
      <c r="C164" s="21" t="inlineStr">
        <is>
          <t>نسبة نشر وتعميم الإجراءات المعتمدة</t>
        </is>
      </c>
      <c r="D164" s="55" t="n">
        <v>0.949</v>
      </c>
      <c r="E164" s="55" t="n">
        <v>0.95</v>
      </c>
      <c r="F164" s="56" t="n">
        <v>0.9989473684210526</v>
      </c>
      <c r="G164" s="12" t="n">
        <v>0.001052631578947416</v>
      </c>
      <c r="H164" s="55" t="n">
        <v>0.949</v>
      </c>
      <c r="I164" s="15" t="inlineStr">
        <is>
          <t>🟡 قريب</t>
        </is>
      </c>
      <c r="J164" s="11" t="inlineStr">
        <is>
          <t>فجوة محدودة — متابعة.</t>
        </is>
      </c>
      <c r="K164" s="11" t="inlineStr">
        <is>
          <t>متابعة أسبوعية لإغلاق الفجوة.</t>
        </is>
      </c>
      <c r="L164" s="15" t="inlineStr">
        <is>
          <t>مدير الجودة</t>
        </is>
      </c>
      <c r="M164" s="57" t="n"/>
    </row>
  </sheetData>
  <autoFilter ref="A2:M164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27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العائد على حقوق الملكية</t>
        </is>
      </c>
      <c r="D7" s="15" t="inlineStr">
        <is>
          <t>ربعي</t>
        </is>
      </c>
      <c r="E7" s="15" t="inlineStr">
        <is>
          <t>معدل</t>
        </is>
      </c>
      <c r="F7" s="55" t="inlineStr">
        <is>
          <t>↑</t>
        </is>
      </c>
      <c r="G7" s="64" t="n">
        <v>0.1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IF(COUNT($H7:$S7)=0,"",SUM($H7:$S7)/COUNT($H7:$S7))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الالتزام بمعايير وزارة الطاقة (تغطية 13 منطقة)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إنجاز مشاريع الخارطة التنفيذية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1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نسبة التحول الرقمي على مستوى الشركة</t>
        </is>
      </c>
      <c r="D10" s="15" t="inlineStr">
        <is>
          <t>شهري</t>
        </is>
      </c>
      <c r="E10" s="15" t="inlineStr">
        <is>
          <t>لقطة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IFERROR(LOOKUP(2,1/($H10:$S10&lt;&gt;""),$H10:$S10),"")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هدف",IF($U10&gt;=1.0,"✅ محقق",IF($U10&gt;=0.85,"🟡 قريب","🔴 تحت الهدف")))</f>
        <v/>
      </c>
      <c r="W10" s="66">
        <f>IF($G10="","",$G10)</f>
        <v/>
      </c>
      <c r="X10" s="59">
        <f>IF($U10="","—",IF($U10&gt;=0.85,"🟢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العملاء العام (الشركة)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4" t="n">
        <v>0.9</v>
      </c>
      <c r="H11" s="65" t="n"/>
      <c r="I11" s="65" t="n"/>
      <c r="J11" s="65" t="n"/>
      <c r="K11" s="65" t="n"/>
      <c r="L11" s="65" t="n"/>
      <c r="M11" s="65" t="n"/>
      <c r="N11" s="65" t="n"/>
      <c r="O11" s="65" t="n"/>
      <c r="P11" s="65" t="n"/>
      <c r="Q11" s="65" t="n"/>
      <c r="R11" s="65" t="n"/>
      <c r="S11" s="65" t="n"/>
      <c r="T11" s="56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66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مؤشر رضا الموظفين العام</t>
        </is>
      </c>
      <c r="D12" s="15" t="inlineStr">
        <is>
          <t>ربعي</t>
        </is>
      </c>
      <c r="E12" s="15" t="inlineStr">
        <is>
          <t>معدل</t>
        </is>
      </c>
      <c r="F12" s="55" t="inlineStr">
        <is>
          <t>↑</t>
        </is>
      </c>
      <c r="G12" s="67" t="n">
        <v>30</v>
      </c>
      <c r="H12" s="68" t="n"/>
      <c r="I12" s="68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9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هدف",IF($U12&gt;=0.9,"✅ محقق",IF($U12&gt;=0.75,"🟡 قريب","🔴 تحت الهدف")))</f>
        <v/>
      </c>
      <c r="W12" s="70">
        <f>IF($G12="","",$G12)</f>
        <v/>
      </c>
      <c r="X12" s="59">
        <f>IF($U12="","—",IF($U12&gt;=0.75,"🟢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تحقيق المستهدفات الاستراتيجية العامة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1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محقق",IF($U13&gt;=0.85,"🟡 قريب","🔴 تحت الهدف")))</f>
        <v/>
      </c>
      <c r="W13" s="66">
        <f>IF($G13="","",$G13)</f>
        <v/>
      </c>
      <c r="X13" s="59">
        <f>IF($U13="","—",IF($U13&gt;=0.85,"🟢 على المسار","🟠 متأخّر"))</f>
        <v/>
      </c>
    </row>
    <row r="14" ht="22" customHeight="1">
      <c r="A14" s="59" t="n">
        <v>11</v>
      </c>
      <c r="B14" s="13" t="inlineStr">
        <is>
          <t>الإدارة التنفيذية</t>
        </is>
      </c>
      <c r="C14" s="11" t="inlineStr">
        <is>
          <t>نسبة الالتزام بإطار الحوكمة المؤسسية والامتثال التنظيمي</t>
        </is>
      </c>
      <c r="D14" s="15" t="inlineStr">
        <is>
          <t>شهري</t>
        </is>
      </c>
      <c r="E14" s="15" t="inlineStr">
        <is>
          <t>معدل</t>
        </is>
      </c>
      <c r="F14" s="55" t="inlineStr">
        <is>
          <t>↑</t>
        </is>
      </c>
      <c r="G14" s="64" t="n">
        <v>0.95</v>
      </c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56">
        <f>IF(COUNT($H14:$S14)=0,"",SUM($H14:$S14)/COUNT($H14:$S14))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محقق",IF($U14&gt;=0.97,"🟡 قريب","🔴 تحت الهدف")))</f>
        <v/>
      </c>
      <c r="W14" s="66">
        <f>IF($G14="","",$G14)</f>
        <v/>
      </c>
      <c r="X14" s="59">
        <f>IF($U14="","—",IF($U14&gt;=0.97,"🟢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عدد محطات الامتياز المشغّلة (تراكمي)</t>
        </is>
      </c>
      <c r="D15" s="15" t="inlineStr">
        <is>
          <t>شهري</t>
        </is>
      </c>
      <c r="E15" s="15" t="inlineStr">
        <is>
          <t>لقطة</t>
        </is>
      </c>
      <c r="F15" s="55" t="inlineStr">
        <is>
          <t>↑</t>
        </is>
      </c>
      <c r="G15" s="60" t="n">
        <v>150</v>
      </c>
      <c r="H15" s="61" t="n"/>
      <c r="I15" s="61" t="n"/>
      <c r="J15" s="61" t="n"/>
      <c r="K15" s="61" t="n"/>
      <c r="L15" s="61" t="n"/>
      <c r="M15" s="61" t="n"/>
      <c r="N15" s="61" t="n"/>
      <c r="O15" s="61" t="n"/>
      <c r="P15" s="61" t="n"/>
      <c r="Q15" s="61" t="n"/>
      <c r="R15" s="61" t="n"/>
      <c r="S15" s="61" t="n"/>
      <c r="T15" s="62">
        <f>IFERROR(LOOKUP(2,1/($H15:$S15&lt;&gt;""),$H15:$S15),"")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3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نسبة فرص الامتياز التي حققت عائداً للمستثمر</t>
        </is>
      </c>
      <c r="D16" s="15" t="inlineStr">
        <is>
          <t>شهري</t>
        </is>
      </c>
      <c r="E16" s="15" t="inlineStr">
        <is>
          <t>معدل</t>
        </is>
      </c>
      <c r="F16" s="55" t="inlineStr">
        <is>
          <t>↑</t>
        </is>
      </c>
      <c r="G16" s="64" t="n">
        <v>0.8</v>
      </c>
      <c r="H16" s="65" t="n"/>
      <c r="I16" s="65" t="n"/>
      <c r="J16" s="65" t="n"/>
      <c r="K16" s="65" t="n"/>
      <c r="L16" s="65" t="n"/>
      <c r="M16" s="65" t="n"/>
      <c r="N16" s="65" t="n"/>
      <c r="O16" s="65" t="n"/>
      <c r="P16" s="65" t="n"/>
      <c r="Q16" s="65" t="n"/>
      <c r="R16" s="65" t="n"/>
      <c r="S16" s="65" t="n"/>
      <c r="T16" s="56">
        <f>IF(COUNT($H16:$S16)=0,"",SUM($H16:$S16)/COUNT($H16:$S16))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6">
        <f>IF($G16="","",$G16)</f>
        <v/>
      </c>
      <c r="X16" s="59">
        <f>IF($U16="","—",IF($U16&gt;=0.85,"🟢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إجمالي مبيعات وقود محطات الامتياز</t>
        </is>
      </c>
      <c r="D17" s="15" t="inlineStr">
        <is>
          <t>شهري</t>
        </is>
      </c>
      <c r="E17" s="15" t="inlineStr">
        <is>
          <t>تراكمي</t>
        </is>
      </c>
      <c r="F17" s="55" t="inlineStr">
        <is>
          <t>↑</t>
        </is>
      </c>
      <c r="G17" s="60" t="n">
        <v>718838077</v>
      </c>
      <c r="H17" s="61" t="n"/>
      <c r="I17" s="61" t="n"/>
      <c r="J17" s="61" t="n"/>
      <c r="K17" s="61" t="n"/>
      <c r="L17" s="61" t="n"/>
      <c r="M17" s="61" t="n"/>
      <c r="N17" s="61" t="n"/>
      <c r="O17" s="61" t="n"/>
      <c r="P17" s="61" t="n"/>
      <c r="Q17" s="61" t="n"/>
      <c r="R17" s="61" t="n"/>
      <c r="S17" s="61" t="n"/>
      <c r="T17" s="62">
        <f>IF(COUNT($H17:$S17)=0,"",SUM($H17:$S17))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3">
        <f>IF($G17="","",$G17*COUNT($H17:$S17)/12)</f>
        <v/>
      </c>
      <c r="X17" s="59">
        <f>IF($U17="","—",IF($U17&gt;=COUNT($H17:$S17)/12,"🟢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نسبة تأجير وحدات الامتياز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4" t="n">
        <v>0.7</v>
      </c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56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66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رفع هامش الربحية للامتياز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7" t="n">
        <v>1.8</v>
      </c>
      <c r="H19" s="68" t="n"/>
      <c r="I19" s="68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9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70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نسبة التحصيل المالي من شركاء الامتياز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↑</t>
        </is>
      </c>
      <c r="G20" s="64" t="n">
        <v>0.95</v>
      </c>
      <c r="H20" s="65" t="n"/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  <c r="R20" s="65" t="n"/>
      <c r="S20" s="65" t="n"/>
      <c r="T20" s="56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66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متوسط أيام تحصيل شركاء الامتياز (أيام التحصيل)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↓</t>
        </is>
      </c>
      <c r="G21" s="67" t="n">
        <v>30</v>
      </c>
      <c r="H21" s="68" t="n"/>
      <c r="I21" s="68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9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70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نسبة الشركاء الملتزمين بمواعيد السداد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↑</t>
        </is>
      </c>
      <c r="G22" s="64" t="n">
        <v>0.9</v>
      </c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56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66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معدل دوران رأس المال (أيام الدورة)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↓</t>
        </is>
      </c>
      <c r="G23" s="67" t="n">
        <v>5</v>
      </c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9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70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التحصيل خلال 5 أيام عمل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محقق",IF($U24&gt;=0.85,"🟡 قريب","🔴 تحت الهدف")))</f>
        <v/>
      </c>
      <c r="W24" s="66">
        <f>IF($G24="","",$G24)</f>
        <v/>
      </c>
      <c r="X24" s="59">
        <f>IF($U24="","—",IF($U24&gt;=0.85,"🟢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جاهزية محطات الامتياز (صفر انقطاع)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0.99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محقق",IF($U25&gt;=0.97,"🟡 قريب","🔴 تحت الهدف")))</f>
        <v/>
      </c>
      <c r="W25" s="66">
        <f>IF($G25="","",$G25)</f>
        <v/>
      </c>
      <c r="X25" s="59">
        <f>IF($U25="","—",IF($U25&gt;=0.97,"🟢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نسبة إغلاق ملاحظات الجودة الميدانية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4" t="n">
        <v>0.95</v>
      </c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56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66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متوسط درجة تقييم جودة المحطة (قائمة التحقق)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7" t="n">
        <v>85</v>
      </c>
      <c r="H27" s="68" t="n"/>
      <c r="I27" s="68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9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70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تنفيذ الزيارات الميدانية المجدولة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محقق",IF($U28&gt;=0.85,"🟡 قريب","🔴 تحت الهدف")))</f>
        <v/>
      </c>
      <c r="W28" s="66">
        <f>IF($G28="","",$G28)</f>
        <v/>
      </c>
      <c r="X28" s="59">
        <f>IF($U28="","—",IF($U28&gt;=0.85,"🟢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نسبة المحطات المستوفية لمعايير السلامة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↑</t>
        </is>
      </c>
      <c r="G29" s="64" t="n">
        <v>1</v>
      </c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  <c r="Q29" s="65" t="n"/>
      <c r="R29" s="65" t="n"/>
      <c r="S29" s="65" t="n"/>
      <c r="T29" s="56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محقق",IF($U29&gt;=0.97,"🟡 قريب","🔴 تحت الهدف")))</f>
        <v/>
      </c>
      <c r="W29" s="66">
        <f>IF($G29="","",$G29)</f>
        <v/>
      </c>
      <c r="X29" s="59">
        <f>IF($U29="","—",IF($U29&gt;=0.97,"🟢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متوسط وقت معالجة البلاغات التشغيلية</t>
        </is>
      </c>
      <c r="D30" s="15" t="inlineStr">
        <is>
          <t>شهري</t>
        </is>
      </c>
      <c r="E30" s="15" t="inlineStr">
        <is>
          <t>معدل</t>
        </is>
      </c>
      <c r="F30" s="55" t="inlineStr">
        <is>
          <t>↓</t>
        </is>
      </c>
      <c r="G30" s="67" t="n">
        <v>24</v>
      </c>
      <c r="H30" s="68" t="n"/>
      <c r="I30" s="68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9">
        <f>IF(COUNT($H30:$S30)=0,"",SUM($H30:$S30)/COUNT($H30:$S30))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70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أتمتة محطات الامتياز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0.9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تطبيق المعيار الشامل داخل المحطات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0.3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نسبة التزام المحطات بالهوية المؤسسية</t>
        </is>
      </c>
      <c r="D33" s="15" t="inlineStr">
        <is>
          <t>شهري</t>
        </is>
      </c>
      <c r="E33" s="15" t="inlineStr">
        <is>
          <t>لقطة</t>
        </is>
      </c>
      <c r="F33" s="55" t="inlineStr">
        <is>
          <t>↑</t>
        </is>
      </c>
      <c r="G33" s="64" t="n">
        <v>0.55</v>
      </c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  <c r="Q33" s="65" t="n"/>
      <c r="R33" s="65" t="n"/>
      <c r="S33" s="65" t="n"/>
      <c r="T33" s="56">
        <f>IFERROR(LOOKUP(2,1/($H33:$S33&lt;&gt;""),$H33:$S33),"")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66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متوسط تقييم المحطات على خرائط قوقل</t>
        </is>
      </c>
      <c r="D34" s="15" t="inlineStr">
        <is>
          <t>شهري</t>
        </is>
      </c>
      <c r="E34" s="15" t="inlineStr">
        <is>
          <t>معدل</t>
        </is>
      </c>
      <c r="F34" s="55" t="inlineStr">
        <is>
          <t>↑</t>
        </is>
      </c>
      <c r="G34" s="67" t="n">
        <v>4.7</v>
      </c>
      <c r="H34" s="68" t="n"/>
      <c r="I34" s="68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9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هدف",IF($U34&gt;=1.0,"✅ محقق",IF($U34&gt;=0.85,"🟡 قريب","🔴 تحت الهدف")))</f>
        <v/>
      </c>
      <c r="W34" s="70">
        <f>IF($G34="","",$G34)</f>
        <v/>
      </c>
      <c r="X34" s="59">
        <f>IF($U34="","—",IF($U34&gt;=0.85,"🟢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معدل رضا شركاء الامتياز (رضا الشركاء)</t>
        </is>
      </c>
      <c r="D35" s="15" t="inlineStr">
        <is>
          <t>ربعي</t>
        </is>
      </c>
      <c r="E35" s="15" t="inlineStr">
        <is>
          <t>معدل</t>
        </is>
      </c>
      <c r="F35" s="55" t="inlineStr">
        <is>
          <t>↑</t>
        </is>
      </c>
      <c r="G35" s="64" t="n">
        <v>0.9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هدف",IF($U35&gt;=0.9,"✅ محقق",IF($U35&gt;=0.75,"🟡 قريب","🔴 تحت الهدف")))</f>
        <v/>
      </c>
      <c r="W35" s="66">
        <f>IF($G35="","",$G35)</f>
        <v/>
      </c>
      <c r="X35" s="59">
        <f>IF($U35="","—",IF($U35&gt;=0.75,"🟢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حل الشكاوى خلال المدة المحددة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0.95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انخفاض الشكاوى التشغيلية والإدارية</t>
        </is>
      </c>
      <c r="D37" s="15" t="inlineStr">
        <is>
          <t>شهري</t>
        </is>
      </c>
      <c r="E37" s="15" t="inlineStr">
        <is>
          <t>معدل</t>
        </is>
      </c>
      <c r="F37" s="55" t="inlineStr">
        <is>
          <t>↑</t>
        </is>
      </c>
      <c r="G37" s="64" t="n">
        <v>0.3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IF(COUNT($H37:$S37)=0,"",SUM($H37:$S37)/COUNT($H37:$S37))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استدامة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0.9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نسبة زيادة عدد أصحاب الامتياز</t>
        </is>
      </c>
      <c r="D39" s="15" t="inlineStr">
        <is>
          <t>شهري</t>
        </is>
      </c>
      <c r="E39" s="15" t="inlineStr">
        <is>
          <t>لقطة</t>
        </is>
      </c>
      <c r="F39" s="55" t="inlineStr">
        <is>
          <t>↑</t>
        </is>
      </c>
      <c r="G39" s="64" t="n">
        <v>1</v>
      </c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  <c r="Q39" s="65" t="n"/>
      <c r="R39" s="65" t="n"/>
      <c r="S39" s="65" t="n"/>
      <c r="T39" s="56">
        <f>IFERROR(LOOKUP(2,1/($H39:$S39&lt;&gt;""),$H39:$S39),"")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66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الامتياز التجاري</t>
        </is>
      </c>
      <c r="C40" s="11" t="inlineStr">
        <is>
          <t>متوسط مدة إغلاق عقد الامتياز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↓</t>
        </is>
      </c>
      <c r="G40" s="67" t="n">
        <v>1</v>
      </c>
      <c r="H40" s="68" t="n"/>
      <c r="I40" s="68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9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70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عدد محطات الشركة المشغّلة (تراكمي)</t>
        </is>
      </c>
      <c r="D41" s="15" t="inlineStr">
        <is>
          <t>شهري</t>
        </is>
      </c>
      <c r="E41" s="15" t="inlineStr">
        <is>
          <t>لقطة</t>
        </is>
      </c>
      <c r="F41" s="55" t="inlineStr">
        <is>
          <t>↑</t>
        </is>
      </c>
      <c r="G41" s="60" t="n">
        <v>85</v>
      </c>
      <c r="H41" s="61" t="n"/>
      <c r="I41" s="61" t="n"/>
      <c r="J41" s="61" t="n"/>
      <c r="K41" s="61" t="n"/>
      <c r="L41" s="61" t="n"/>
      <c r="M41" s="61" t="n"/>
      <c r="N41" s="61" t="n"/>
      <c r="O41" s="61" t="n"/>
      <c r="P41" s="61" t="n"/>
      <c r="Q41" s="61" t="n"/>
      <c r="R41" s="61" t="n"/>
      <c r="S41" s="61" t="n"/>
      <c r="T41" s="62">
        <f>IFERROR(LOOKUP(2,1/($H41:$S41&lt;&gt;""),$H41:$S41),"")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3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تحقيق مستهدف مبيعات الوقود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1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نسبة تشغيل المحطات الجديدة وفق الخطة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4" t="n">
        <v>0.95</v>
      </c>
      <c r="H43" s="65" t="n"/>
      <c r="I43" s="65" t="n"/>
      <c r="J43" s="65" t="n"/>
      <c r="K43" s="65" t="n"/>
      <c r="L43" s="65" t="n"/>
      <c r="M43" s="65" t="n"/>
      <c r="N43" s="65" t="n"/>
      <c r="O43" s="65" t="n"/>
      <c r="P43" s="65" t="n"/>
      <c r="Q43" s="65" t="n"/>
      <c r="R43" s="65" t="n"/>
      <c r="S43" s="65" t="n"/>
      <c r="T43" s="56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66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تكلفة التشغيل لكل لتر مبيع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↓</t>
        </is>
      </c>
      <c r="G44" s="55" t="n"/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مؤشر جودة التشغيل بالمحطات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7" t="n">
        <v>95</v>
      </c>
      <c r="H45" s="68" t="n"/>
      <c r="I45" s="68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9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70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الالتزام بإجراءات التشغيل القياسية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إغلاق الملاحظات التشغيلية ضمن المدة المحددة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0.95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مؤشر الالتزام بمتطلبات السلامة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7" t="n">
        <v>95</v>
      </c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9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محقق",IF($U48&gt;=0.97,"🟡 قريب","🔴 تحت الهدف")))</f>
        <v/>
      </c>
      <c r="W48" s="70">
        <f>IF($G48="","",$G48)</f>
        <v/>
      </c>
      <c r="X48" s="59">
        <f>IF($U48="","—",IF($U48&gt;=0.97,"🟢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معدل تكرار الإصابات المسجّلة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↓</t>
        </is>
      </c>
      <c r="G50" s="60" t="n">
        <v>0</v>
      </c>
      <c r="H50" s="61" t="n"/>
      <c r="I50" s="61" t="n"/>
      <c r="J50" s="61" t="n"/>
      <c r="K50" s="61" t="n"/>
      <c r="L50" s="61" t="n"/>
      <c r="M50" s="61" t="n"/>
      <c r="N50" s="61" t="n"/>
      <c r="O50" s="61" t="n"/>
      <c r="P50" s="61" t="n"/>
      <c r="Q50" s="61" t="n"/>
      <c r="R50" s="61" t="n"/>
      <c r="S50" s="61" t="n"/>
      <c r="T50" s="62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63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تنفيذ خطة تفتيش السلامة الدوري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محقق",IF($U51&gt;=0.97,"🟡 قريب","🔴 تحت الهدف")))</f>
        <v/>
      </c>
      <c r="W51" s="66">
        <f>IF($G51="","",$G51)</f>
        <v/>
      </c>
      <c r="X51" s="59">
        <f>IF($U51="","—",IF($U51&gt;=0.97,"🟢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إغلاق ملاحظات السلامة ضمن المدة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محقق",IF($U52&gt;=0.97,"🟡 قريب","🔴 تحت الهدف")))</f>
        <v/>
      </c>
      <c r="W52" s="66">
        <f>IF($G52="","",$G52)</f>
        <v/>
      </c>
      <c r="X52" s="59">
        <f>IF($U52="","—",IF($U52&gt;=0.97,"🟢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المحطات ذات التراخيص والتصاريح السارية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1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خفض استهلاك الطاقة بالمحطات</t>
        </is>
      </c>
      <c r="D54" s="15" t="inlineStr">
        <is>
          <t>ربعي</t>
        </is>
      </c>
      <c r="E54" s="15" t="inlineStr">
        <is>
          <t>معدل</t>
        </is>
      </c>
      <c r="F54" s="55" t="inlineStr">
        <is>
          <t>↑</t>
        </is>
      </c>
      <c r="G54" s="64" t="n">
        <v>0.05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عدد الحوادث والتسربات البيئية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↓</t>
        </is>
      </c>
      <c r="G55" s="60" t="n">
        <v>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التشغيل والمحطات</t>
        </is>
      </c>
      <c r="C56" s="11" t="inlineStr">
        <is>
          <t>نسبة الالتزام بإدارة النفايات وإعادة التدوير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0.9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التشغيل والمحطات</t>
        </is>
      </c>
      <c r="C57" s="11" t="inlineStr">
        <is>
          <t>نسبة ترشيد استهلاك المياه بالمحطات</t>
        </is>
      </c>
      <c r="D57" s="15" t="inlineStr">
        <is>
          <t>ربعي</t>
        </is>
      </c>
      <c r="E57" s="15" t="inlineStr">
        <is>
          <t>معدل</t>
        </is>
      </c>
      <c r="F57" s="55" t="inlineStr">
        <is>
          <t>↑</t>
        </is>
      </c>
      <c r="G57" s="64" t="n">
        <v>0.05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التشغيل والمحطات</t>
        </is>
      </c>
      <c r="C58" s="11" t="inlineStr">
        <is>
          <t>مؤشر النظافة بالمحطات</t>
        </is>
      </c>
      <c r="D58" s="15" t="inlineStr">
        <is>
          <t>شهري</t>
        </is>
      </c>
      <c r="E58" s="15" t="inlineStr">
        <is>
          <t>معدل</t>
        </is>
      </c>
      <c r="F58" s="55" t="inlineStr">
        <is>
          <t>↑</t>
        </is>
      </c>
      <c r="G58" s="67" t="n">
        <v>95</v>
      </c>
      <c r="H58" s="68" t="n"/>
      <c r="I58" s="68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9">
        <f>IF(COUNT($H58:$S58)=0,"",SUM($H58:$S58)/COUNT($H58:$S58))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70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التشغيل والمحطات</t>
        </is>
      </c>
      <c r="C59" s="11" t="inlineStr">
        <is>
          <t>مؤشر الالتزام بالهوية البصرية والمظهر العام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7" t="n">
        <v>95</v>
      </c>
      <c r="H59" s="68" t="n"/>
      <c r="I59" s="68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9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70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التشغيل والمحطات</t>
        </is>
      </c>
      <c r="C60" s="11" t="inlineStr">
        <is>
          <t>نسبة الالتزام بمظهر وانضباط العاملين بالمحطات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0.95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التشغيل والمحطات</t>
        </is>
      </c>
      <c r="C61" s="11" t="inlineStr">
        <is>
          <t>انخفاض معدل الشكاوى التشغيلية</t>
        </is>
      </c>
      <c r="D61" s="15" t="inlineStr">
        <is>
          <t>ربعي</t>
        </is>
      </c>
      <c r="E61" s="15" t="inlineStr">
        <is>
          <t>معدل</t>
        </is>
      </c>
      <c r="F61" s="55" t="inlineStr">
        <is>
          <t>↑</t>
        </is>
      </c>
      <c r="G61" s="64" t="n">
        <v>0.2</v>
      </c>
      <c r="H61" s="65" t="n"/>
      <c r="I61" s="65" t="n"/>
      <c r="J61" s="65" t="n"/>
      <c r="K61" s="65" t="n"/>
      <c r="L61" s="65" t="n"/>
      <c r="M61" s="65" t="n"/>
      <c r="N61" s="65" t="n"/>
      <c r="O61" s="65" t="n"/>
      <c r="P61" s="65" t="n"/>
      <c r="Q61" s="65" t="n"/>
      <c r="R61" s="65" t="n"/>
      <c r="S61" s="65" t="n"/>
      <c r="T61" s="56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66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التشغيل والمحطات</t>
        </is>
      </c>
      <c r="C62" s="11" t="inlineStr">
        <is>
          <t>نسبة حل الشكاوى التشغيلية خلال المدة المحددة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0.95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التشغيل والمحطات</t>
        </is>
      </c>
      <c r="C63" s="11" t="inlineStr">
        <is>
          <t>متوسط تقييم المحطات على خرائط قوقل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7" t="n">
        <v>4.5</v>
      </c>
      <c r="H63" s="68" t="n"/>
      <c r="I63" s="68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9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70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عدد فرص الاستثمار المدروسة</t>
        </is>
      </c>
      <c r="D64" s="15" t="inlineStr">
        <is>
          <t>شهري</t>
        </is>
      </c>
      <c r="E64" s="15" t="inlineStr">
        <is>
          <t>تراكمي</t>
        </is>
      </c>
      <c r="F64" s="55" t="inlineStr">
        <is>
          <t>↑</t>
        </is>
      </c>
      <c r="G64" s="60" t="n">
        <v>30</v>
      </c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 t="n"/>
      <c r="S64" s="61" t="n"/>
      <c r="T64" s="62">
        <f>IF(COUNT($H64:$S64)=0,"",SUM($H64:$S64))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3">
        <f>IF($G64="","",$G64*COUNT($H64:$S64)/12)</f>
        <v/>
      </c>
      <c r="X64" s="59">
        <f>IF($U64="","—",IF($U64&gt;=COUNT($H64:$S64)/12,"🟢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الفرص المحوَّلة إلى عقود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0.4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عدد عقود الاستثمار الجديدة (كل النماذج)</t>
        </is>
      </c>
      <c r="D66" s="15" t="inlineStr">
        <is>
          <t>شهري</t>
        </is>
      </c>
      <c r="E66" s="15" t="inlineStr">
        <is>
          <t>تراكمي</t>
        </is>
      </c>
      <c r="F66" s="55" t="inlineStr">
        <is>
          <t>↑</t>
        </is>
      </c>
      <c r="G66" s="60" t="n">
        <v>190</v>
      </c>
      <c r="H66" s="61" t="n"/>
      <c r="I66" s="61" t="n"/>
      <c r="J66" s="61" t="n"/>
      <c r="K66" s="61" t="n"/>
      <c r="L66" s="61" t="n"/>
      <c r="M66" s="61" t="n"/>
      <c r="N66" s="61" t="n"/>
      <c r="O66" s="61" t="n"/>
      <c r="P66" s="61" t="n"/>
      <c r="Q66" s="61" t="n"/>
      <c r="R66" s="61" t="n"/>
      <c r="S66" s="61" t="n"/>
      <c r="T66" s="62">
        <f>IF(COUNT($H66:$S66)=0,"",SUM($H66:$S66))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3">
        <f>IF($G66="","",$G66*COUNT($H66:$S66)/12)</f>
        <v/>
      </c>
      <c r="X66" s="59">
        <f>IF($U66="","—",IF($U66&gt;=COUNT($H66:$S66)/12,"🟢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المحطات المستحوَذ عليها المشغّلة (تراكمي)</t>
        </is>
      </c>
      <c r="D67" s="15" t="inlineStr">
        <is>
          <t>شهري</t>
        </is>
      </c>
      <c r="E67" s="15" t="inlineStr">
        <is>
          <t>لقطة</t>
        </is>
      </c>
      <c r="F67" s="55" t="inlineStr">
        <is>
          <t>↑</t>
        </is>
      </c>
      <c r="G67" s="60" t="n">
        <v>120</v>
      </c>
      <c r="H67" s="61" t="n"/>
      <c r="I67" s="61" t="n"/>
      <c r="J67" s="61" t="n"/>
      <c r="K67" s="61" t="n"/>
      <c r="L67" s="61" t="n"/>
      <c r="M67" s="61" t="n"/>
      <c r="N67" s="61" t="n"/>
      <c r="O67" s="61" t="n"/>
      <c r="P67" s="61" t="n"/>
      <c r="Q67" s="61" t="n"/>
      <c r="R67" s="61" t="n"/>
      <c r="S67" s="61" t="n"/>
      <c r="T67" s="62">
        <f>IFERROR(LOOKUP(2,1/($H67:$S67&lt;&gt;""),$H67:$S67),"")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3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الاستثمار</t>
        </is>
      </c>
      <c r="C68" s="11" t="inlineStr">
        <is>
          <t>نسبة المواقع ذات العائد المجدي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0.8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الاستثمار</t>
        </is>
      </c>
      <c r="C69" s="11" t="inlineStr">
        <is>
          <t>متوسط فترة استرداد رأس المال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↓</t>
        </is>
      </c>
      <c r="G69" s="67" t="n">
        <v>5</v>
      </c>
      <c r="H69" s="68" t="n"/>
      <c r="I69" s="68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9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70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الاستثمار</t>
        </is>
      </c>
      <c r="C70" s="11" t="inlineStr">
        <is>
          <t>متوسط مدة إغلاق عقد الاستثمار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↓</t>
        </is>
      </c>
      <c r="G70" s="67" t="n">
        <v>1</v>
      </c>
      <c r="H70" s="68" t="n"/>
      <c r="I70" s="68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9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70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الاستثمار</t>
        </is>
      </c>
      <c r="C71" s="11" t="inlineStr">
        <is>
          <t>نسبة العقود المتحوّلة إلى محطات مشغّلة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↑</t>
        </is>
      </c>
      <c r="G71" s="64" t="n">
        <v>0.3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الاستثمار</t>
        </is>
      </c>
      <c r="C72" s="11" t="inlineStr">
        <is>
          <t>نسبة التغطية الإقليمية (13 منطقة)</t>
        </is>
      </c>
      <c r="D72" s="15" t="inlineStr">
        <is>
          <t>شهري</t>
        </is>
      </c>
      <c r="E72" s="15" t="inlineStr">
        <is>
          <t>لقطة</t>
        </is>
      </c>
      <c r="F72" s="55" t="inlineStr">
        <is>
          <t>↑</t>
        </is>
      </c>
      <c r="G72" s="64" t="n">
        <v>1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IFERROR(LOOKUP(2,1/($H72:$S72&lt;&gt;""),$H72:$S72),"")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الاستثمار</t>
        </is>
      </c>
      <c r="C73" s="11" t="inlineStr">
        <is>
          <t>نسبة اكتمال المستندات النظامية قبل التوقيع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1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الاستثمار</t>
        </is>
      </c>
      <c r="C74" s="11" t="inlineStr">
        <is>
          <t>نسبة العقود المؤرشفة إلكترونياً خلال 48 ساعة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↑</t>
        </is>
      </c>
      <c r="G74" s="64" t="n">
        <v>0.95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الاستثمار</t>
        </is>
      </c>
      <c r="C75" s="11" t="inlineStr">
        <is>
          <t>مدى رضا المستثمرين وشركاء الاستثمار</t>
        </is>
      </c>
      <c r="D75" s="15" t="inlineStr">
        <is>
          <t>ربعي</t>
        </is>
      </c>
      <c r="E75" s="15" t="inlineStr">
        <is>
          <t>معدل</t>
        </is>
      </c>
      <c r="F75" s="55" t="inlineStr">
        <is>
          <t>↑</t>
        </is>
      </c>
      <c r="G75" s="64" t="n">
        <v>0.85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هدف",IF($U75&gt;=0.9,"✅ محقق",IF($U75&gt;=0.75,"🟡 قريب","🔴 تحت الهدف")))</f>
        <v/>
      </c>
      <c r="W75" s="66">
        <f>IF($G75="","",$G75)</f>
        <v/>
      </c>
      <c r="X75" s="59">
        <f>IF($U75="","—",IF($U75&gt;=0.75,"🟢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إشغال الوحدات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0.6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نمو العلامات التجارية (تراكمي — كل الوحدات)</t>
        </is>
      </c>
      <c r="D77" s="15" t="inlineStr">
        <is>
          <t>شهري</t>
        </is>
      </c>
      <c r="E77" s="15" t="inlineStr">
        <is>
          <t>لقطة</t>
        </is>
      </c>
      <c r="F77" s="55" t="inlineStr">
        <is>
          <t>↑</t>
        </is>
      </c>
      <c r="G77" s="60" t="n">
        <v>246</v>
      </c>
      <c r="H77" s="61" t="n"/>
      <c r="I77" s="61" t="n"/>
      <c r="J77" s="61" t="n"/>
      <c r="K77" s="61" t="n"/>
      <c r="L77" s="61" t="n"/>
      <c r="M77" s="61" t="n"/>
      <c r="N77" s="61" t="n"/>
      <c r="O77" s="61" t="n"/>
      <c r="P77" s="61" t="n"/>
      <c r="Q77" s="61" t="n"/>
      <c r="R77" s="61" t="n"/>
      <c r="S77" s="61" t="n"/>
      <c r="T77" s="62">
        <f>IFERROR(LOOKUP(2,1/($H77:$S77&lt;&gt;""),$H77:$S77),"")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3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تحويل فرص التأجير إلى عقود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0.2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نمو الإيرادات الإيجارية</t>
        </is>
      </c>
      <c r="D79" s="15" t="inlineStr">
        <is>
          <t>ربعي</t>
        </is>
      </c>
      <c r="E79" s="15" t="inlineStr">
        <is>
          <t>معدل</t>
        </is>
      </c>
      <c r="F79" s="55" t="inlineStr">
        <is>
          <t>↑</t>
        </is>
      </c>
      <c r="G79" s="64" t="n">
        <v>0.08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عدد الأنشطة الجديدة على القطاع (دخلت المحطات لأول مرة)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5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متوسط مدة تأجير الوحدة الشاغرة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↓</t>
        </is>
      </c>
      <c r="G81" s="67" t="n">
        <v>30</v>
      </c>
      <c r="H81" s="68" t="n"/>
      <c r="I81" s="68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9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70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المستأجرين المخفَّض لهم الإيجار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↓</t>
        </is>
      </c>
      <c r="G82" s="64" t="n">
        <v>0.1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نسبة عبء الإيجار إلى مبيعات المستأجر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↓</t>
        </is>
      </c>
      <c r="G83" s="64" t="n">
        <v>0.15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العقار</t>
        </is>
      </c>
      <c r="C84" s="11" t="inlineStr">
        <is>
          <t>نسبة تحصيل الإيجارات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0.95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العقار</t>
        </is>
      </c>
      <c r="C85" s="11" t="inlineStr">
        <is>
          <t>نسبة المتأخرات في السداد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↓</t>
        </is>
      </c>
      <c r="G85" s="64" t="n">
        <v>0.05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العقار</t>
        </is>
      </c>
      <c r="C86" s="11" t="inlineStr">
        <is>
          <t>متوسط زمن تسليم الوحدة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↓</t>
        </is>
      </c>
      <c r="G86" s="67" t="n">
        <v>7</v>
      </c>
      <c r="H86" s="68" t="n"/>
      <c r="I86" s="68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9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70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العقار</t>
        </is>
      </c>
      <c r="C87" s="11" t="inlineStr">
        <is>
          <t>سرعة الاستجابة لطلبات خدمة المستأجرين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العقار</t>
        </is>
      </c>
      <c r="C88" s="11" t="inlineStr">
        <is>
          <t>معدل رضا المستأجرين (استبيان ربعي)</t>
        </is>
      </c>
      <c r="D88" s="15" t="inlineStr">
        <is>
          <t>ربعي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هدف",IF($U88&gt;=0.9,"✅ محقق",IF($U88&gt;=0.75,"🟡 قريب","🔴 تحت الهدف")))</f>
        <v/>
      </c>
      <c r="W88" s="66">
        <f>IF($G88="","",$G88)</f>
        <v/>
      </c>
      <c r="X88" s="59">
        <f>IF($U88="","—",IF($U88&gt;=0.75,"🟢 على المسار","🟠 متأخّر"))</f>
        <v/>
      </c>
    </row>
    <row r="89" ht="22" customHeight="1">
      <c r="A89" s="59" t="n">
        <v>86</v>
      </c>
      <c r="B89" s="13" t="inlineStr">
        <is>
          <t>العقار</t>
        </is>
      </c>
      <c r="C89" s="11" t="inlineStr">
        <is>
          <t>معدل استبقاء المستأجرين (تجديد وبلا إنهاء مبكر)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0.85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العقار</t>
        </is>
      </c>
      <c r="C90" s="11" t="inlineStr">
        <is>
          <t>نسبة تأجير ساحة درب</t>
        </is>
      </c>
      <c r="D90" s="15" t="inlineStr">
        <is>
          <t>شهري</t>
        </is>
      </c>
      <c r="E90" s="15" t="inlineStr">
        <is>
          <t>لقطة</t>
        </is>
      </c>
      <c r="F90" s="55" t="inlineStr">
        <is>
          <t>↑</t>
        </is>
      </c>
      <c r="G90" s="64" t="n">
        <v>0.8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IFERROR(LOOKUP(2,1/($H90:$S90&lt;&gt;""),$H90:$S90),"")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العقار</t>
        </is>
      </c>
      <c r="C91" s="11" t="inlineStr">
        <is>
          <t>عدد العلامات التجارية الجديدة بالساحة</t>
        </is>
      </c>
      <c r="D91" s="15" t="inlineStr">
        <is>
          <t>شهري</t>
        </is>
      </c>
      <c r="E91" s="15" t="inlineStr">
        <is>
          <t>تراكمي</t>
        </is>
      </c>
      <c r="F91" s="55" t="inlineStr">
        <is>
          <t>↑</t>
        </is>
      </c>
      <c r="G91" s="60" t="n">
        <v>6</v>
      </c>
      <c r="H91" s="61" t="n"/>
      <c r="I91" s="61" t="n"/>
      <c r="J91" s="61" t="n"/>
      <c r="K91" s="61" t="n"/>
      <c r="L91" s="61" t="n"/>
      <c r="M91" s="61" t="n"/>
      <c r="N91" s="61" t="n"/>
      <c r="O91" s="61" t="n"/>
      <c r="P91" s="61" t="n"/>
      <c r="Q91" s="61" t="n"/>
      <c r="R91" s="61" t="n"/>
      <c r="S91" s="61" t="n"/>
      <c r="T91" s="62">
        <f>IF(COUNT($H91:$S91)=0,"",SUM($H91:$S91))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3">
        <f>IF($G91="","",$G91*COUNT($H91:$S91)/12)</f>
        <v/>
      </c>
      <c r="X91" s="59">
        <f>IF($U91="","—",IF($U91&gt;=COUNT($H91:$S91)/12,"🟢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عدد محطات الشركة المُسلَّمة</t>
        </is>
      </c>
      <c r="D92" s="15" t="inlineStr">
        <is>
          <t>شهري</t>
        </is>
      </c>
      <c r="E92" s="15" t="inlineStr">
        <is>
          <t>تراكمي</t>
        </is>
      </c>
      <c r="F92" s="55" t="inlineStr">
        <is>
          <t>↑</t>
        </is>
      </c>
      <c r="G92" s="60" t="n">
        <v>20</v>
      </c>
      <c r="H92" s="61" t="n"/>
      <c r="I92" s="61" t="n"/>
      <c r="J92" s="61" t="n"/>
      <c r="K92" s="61" t="n"/>
      <c r="L92" s="61" t="n"/>
      <c r="M92" s="61" t="n"/>
      <c r="N92" s="61" t="n"/>
      <c r="O92" s="61" t="n"/>
      <c r="P92" s="61" t="n"/>
      <c r="Q92" s="61" t="n"/>
      <c r="R92" s="61" t="n"/>
      <c r="S92" s="61" t="n"/>
      <c r="T92" s="62">
        <f>IF(COUNT($H92:$S92)=0,"",SUM($H92:$S92))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3">
        <f>IF($G92="","",$G92*COUNT($H92:$S92)/12)</f>
        <v/>
      </c>
      <c r="X92" s="59">
        <f>IF($U92="","—",IF($U92&gt;=COUNT($H92:$S92)/12,"🟢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إنجاز محفظة مشاريع التوسع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0.7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تسليم المحطات في الموعد المخطط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المشاريع المنفّذة ضمن الميزانية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0.85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عدد محطات الامتياز المُسلَّمة بالهوية</t>
        </is>
      </c>
      <c r="D96" s="15" t="inlineStr">
        <is>
          <t>شهري</t>
        </is>
      </c>
      <c r="E96" s="15" t="inlineStr">
        <is>
          <t>تراكمي</t>
        </is>
      </c>
      <c r="F96" s="55" t="inlineStr">
        <is>
          <t>↑</t>
        </is>
      </c>
      <c r="G96" s="60" t="n">
        <v>40</v>
      </c>
      <c r="H96" s="61" t="n"/>
      <c r="I96" s="61" t="n"/>
      <c r="J96" s="61" t="n"/>
      <c r="K96" s="61" t="n"/>
      <c r="L96" s="61" t="n"/>
      <c r="M96" s="61" t="n"/>
      <c r="N96" s="61" t="n"/>
      <c r="O96" s="61" t="n"/>
      <c r="P96" s="61" t="n"/>
      <c r="Q96" s="61" t="n"/>
      <c r="R96" s="61" t="n"/>
      <c r="S96" s="61" t="n"/>
      <c r="T96" s="62">
        <f>IF(COUNT($H96:$S96)=0,"",SUM($H96:$S96))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3">
        <f>IF($G96="","",$G96*COUNT($H96:$S96)/12)</f>
        <v/>
      </c>
      <c r="X96" s="59">
        <f>IF($U96="","—",IF($U96&gt;=COUNT($H96:$S96)/12,"🟢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نسبة تنفيذ زيارات الإشراف المجدولة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إدارة المشاريع</t>
        </is>
      </c>
      <c r="C98" s="11" t="inlineStr">
        <is>
          <t>نسبة التزام المطوّرين بالجدول الزمني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0.75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إدارة المشاريع</t>
        </is>
      </c>
      <c r="C99" s="11" t="inlineStr">
        <is>
          <t>نسبة إغلاق ملاحظات الجودة على المطوّرين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إدارة المشاريع</t>
        </is>
      </c>
      <c r="C100" s="11" t="inlineStr">
        <is>
          <t>نسبة المشاريع الخالية من مخالفات الجودة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إدارة المشاريع</t>
        </is>
      </c>
      <c r="C101" s="11" t="inlineStr">
        <is>
          <t>عدد مخالفات المقاولين (سنوي)</t>
        </is>
      </c>
      <c r="D101" s="15" t="inlineStr">
        <is>
          <t>شهري</t>
        </is>
      </c>
      <c r="E101" s="15" t="inlineStr">
        <is>
          <t>تراكمي</t>
        </is>
      </c>
      <c r="F101" s="55" t="inlineStr">
        <is>
          <t>↓</t>
        </is>
      </c>
      <c r="G101" s="60" t="n">
        <v>10</v>
      </c>
      <c r="H101" s="61" t="n"/>
      <c r="I101" s="61" t="n"/>
      <c r="J101" s="61" t="n"/>
      <c r="K101" s="61" t="n"/>
      <c r="L101" s="61" t="n"/>
      <c r="M101" s="61" t="n"/>
      <c r="N101" s="61" t="n"/>
      <c r="O101" s="61" t="n"/>
      <c r="P101" s="61" t="n"/>
      <c r="Q101" s="61" t="n"/>
      <c r="R101" s="61" t="n"/>
      <c r="S101" s="61" t="n"/>
      <c r="T101" s="62">
        <f>IF(COUNT($H101:$S101)=0,"",SUM($H101:$S101))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3">
        <f>IF($G101="","",$G101*COUNT($H101:$S101)/12)</f>
        <v/>
      </c>
      <c r="X101" s="59">
        <f>IF($U101="","—",IF($U101&gt;=COUNT($H101:$S101)/12,"🟢 على المسار","🟠 متأخّر"))</f>
        <v/>
      </c>
    </row>
    <row r="102" ht="22" customHeight="1">
      <c r="A102" s="59" t="n">
        <v>99</v>
      </c>
      <c r="B102" s="13" t="inlineStr">
        <is>
          <t>إدارة المشاريع</t>
        </is>
      </c>
      <c r="C102" s="11" t="inlineStr">
        <is>
          <t>نسبة التزام المقاولين بمعايير السلامة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محقق",IF($U102&gt;=0.97,"🟡 قريب","🔴 تحت الهدف")))</f>
        <v/>
      </c>
      <c r="W102" s="66">
        <f>IF($G102="","",$G102)</f>
        <v/>
      </c>
      <c r="X102" s="59">
        <f>IF($U102="","—",IF($U102&gt;=0.97,"🟢 على المسار","🟠 متأخّر"))</f>
        <v/>
      </c>
    </row>
    <row r="103" ht="22" customHeight="1">
      <c r="A103" s="59" t="n">
        <v>100</v>
      </c>
      <c r="B103" s="13" t="inlineStr">
        <is>
          <t>إدارة المشاريع</t>
        </is>
      </c>
      <c r="C103" s="11" t="inlineStr">
        <is>
          <t>نسبة الالتزام بالميزانية المعتمدة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1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إدارة المشاريع</t>
        </is>
      </c>
      <c r="C104" s="11" t="inlineStr">
        <is>
          <t>نسبة الالتزام بالجدول الزمني العام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1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إدارة المشاريع</t>
        </is>
      </c>
      <c r="C105" s="11" t="inlineStr">
        <is>
          <t>متوسط مدة إغلاق قائمة الملاحظات النهائية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↓</t>
        </is>
      </c>
      <c r="G105" s="67" t="n">
        <v>30</v>
      </c>
      <c r="H105" s="68" t="n"/>
      <c r="I105" s="68" t="n"/>
      <c r="J105" s="68" t="n"/>
      <c r="K105" s="68" t="n"/>
      <c r="L105" s="68" t="n"/>
      <c r="M105" s="68" t="n"/>
      <c r="N105" s="68" t="n"/>
      <c r="O105" s="68" t="n"/>
      <c r="P105" s="68" t="n"/>
      <c r="Q105" s="68" t="n"/>
      <c r="R105" s="68" t="n"/>
      <c r="S105" s="68" t="n"/>
      <c r="T105" s="69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70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تلبية طلبات المحطات من الوقود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0.98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محقق",IF($U106&gt;=0.85,"🟡 قريب","🔴 تحت الهدف")))</f>
        <v/>
      </c>
      <c r="W106" s="66">
        <f>IF($G106="","",$G106)</f>
        <v/>
      </c>
      <c r="X106" s="59">
        <f>IF($U106="","—",IF($U106&gt;=0.85,"🟢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عدد انقطاعات التوريد المؤثرة شهريًا</t>
        </is>
      </c>
      <c r="D107" s="15" t="inlineStr">
        <is>
          <t>شهري</t>
        </is>
      </c>
      <c r="E107" s="15" t="inlineStr">
        <is>
          <t>تراكمي</t>
        </is>
      </c>
      <c r="F107" s="55" t="inlineStr">
        <is>
          <t>↓</t>
        </is>
      </c>
      <c r="G107" s="60" t="n">
        <v>0</v>
      </c>
      <c r="H107" s="61" t="n"/>
      <c r="I107" s="61" t="n"/>
      <c r="J107" s="61" t="n"/>
      <c r="K107" s="61" t="n"/>
      <c r="L107" s="61" t="n"/>
      <c r="M107" s="61" t="n"/>
      <c r="N107" s="61" t="n"/>
      <c r="O107" s="61" t="n"/>
      <c r="P107" s="61" t="n"/>
      <c r="Q107" s="61" t="n"/>
      <c r="R107" s="61" t="n"/>
      <c r="S107" s="61" t="n"/>
      <c r="T107" s="62">
        <f>IF(COUNT($H107:$S107)=0,"",SUM($H107:$S107))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3">
        <f>IF($G107="","",$G107*COUNT($H107:$S107)/12)</f>
        <v/>
      </c>
      <c r="X107" s="59">
        <f>IF($U107="","—",IF($U107&gt;=COUNT($H107:$S107)/12,"🟢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نسبة تغطية مخزون الوقود بالأيام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7" t="n">
        <v>5</v>
      </c>
      <c r="H108" s="68" t="n"/>
      <c r="I108" s="68" t="n"/>
      <c r="J108" s="68" t="n"/>
      <c r="K108" s="68" t="n"/>
      <c r="L108" s="68" t="n"/>
      <c r="M108" s="68" t="n"/>
      <c r="N108" s="68" t="n"/>
      <c r="O108" s="68" t="n"/>
      <c r="P108" s="68" t="n"/>
      <c r="Q108" s="68" t="n"/>
      <c r="R108" s="68" t="n"/>
      <c r="S108" s="68" t="n"/>
      <c r="T108" s="69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70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نسبة توفر المواد المخزنية والحرجة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0.98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سلاسل الإمداد</t>
        </is>
      </c>
      <c r="C110" s="11" t="inlineStr">
        <is>
          <t>نسبة المواد الراكدة من المخزون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4" t="n">
        <v>0.05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66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سلاسل الإمداد</t>
        </is>
      </c>
      <c r="C111" s="11" t="inlineStr">
        <is>
          <t>دقة أوامر الشراء ومستنداتها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0.98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سلاسل الإمداد</t>
        </is>
      </c>
      <c r="C112" s="11" t="inlineStr">
        <is>
          <t>نسبة إنجاز أوامر الشراء خلال المدة المستهدفة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سلاسل الإمداد</t>
        </is>
      </c>
      <c r="C113" s="11" t="inlineStr">
        <is>
          <t>نسبة الالتزام بزمن التسليم والتوريد للمحطات والإدارات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0.95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سلاسل الإمداد</t>
        </is>
      </c>
      <c r="C114" s="11" t="inlineStr">
        <is>
          <t>نسبة جاهزية الإمداد للمحطات الجديدة وخطط الافتتاح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1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محقق",IF($U114&gt;=0.97,"🟡 قريب","🔴 تحت الهدف")))</f>
        <v/>
      </c>
      <c r="W114" s="66">
        <f>IF($G114="","",$G114)</f>
        <v/>
      </c>
      <c r="X114" s="59">
        <f>IF($U114="","—",IF($U114&gt;=0.97,"🟢 على المسار","🟠 متأخّر"))</f>
        <v/>
      </c>
    </row>
    <row r="115" ht="22" customHeight="1">
      <c r="A115" s="59" t="n">
        <v>112</v>
      </c>
      <c r="B115" s="13" t="inlineStr">
        <is>
          <t>سلاسل الإمداد</t>
        </is>
      </c>
      <c r="C115" s="11" t="inlineStr">
        <is>
          <t>نسبة الالتزام بجدول النقل واستخدام الأسطول بكفاءة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سلاسل الإمداد</t>
        </is>
      </c>
      <c r="C116" s="11" t="inlineStr">
        <is>
          <t>كفاءة إدارة الموردين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سلاسل الإمداد</t>
        </is>
      </c>
      <c r="C117" s="11" t="inlineStr">
        <is>
          <t>مستوى رضا الإدارات عن خدمات سلاسل الإمداد</t>
        </is>
      </c>
      <c r="D117" s="15" t="inlineStr">
        <is>
          <t>ربعي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0.85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هدف",IF($U117&gt;=0.9,"✅ محقق",IF($U117&gt;=0.75,"🟡 قريب","🔴 تحت الهدف")))</f>
        <v/>
      </c>
      <c r="W117" s="66">
        <f>IF($G117="","",$G117)</f>
        <v/>
      </c>
      <c r="X117" s="59">
        <f>IF($U117="","—",IF($U117&gt;=0.75,"🟢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الجاهزية الفنية للأصول والمعدات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0.98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محقق",IF($U118&gt;=0.97,"🟡 قريب","🔴 تحت الهدف")))</f>
        <v/>
      </c>
      <c r="W118" s="66">
        <f>IF($G118="","",$G118)</f>
        <v/>
      </c>
      <c r="X118" s="59">
        <f>IF($U118="","—",IF($U118&gt;=0.97,"🟢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نسبة تنفيذ الصيانة الوقائية في موعدها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الصيانة والأتمتة</t>
        </is>
      </c>
      <c r="C120" s="11" t="inlineStr">
        <is>
          <t>نسبة إغلاق بلاغات الصيانة ضمن اتفاقية الخدمة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0.95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الصيانة والأتمتة</t>
        </is>
      </c>
      <c r="C121" s="11" t="inlineStr">
        <is>
          <t>متوسط زمن الاستجابة للبلاغات الطارئة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↓</t>
        </is>
      </c>
      <c r="G121" s="67" t="n">
        <v>30</v>
      </c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68" t="n"/>
      <c r="Q121" s="68" t="n"/>
      <c r="R121" s="68" t="n"/>
      <c r="S121" s="68" t="n"/>
      <c r="T121" s="69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70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الصيانة والأتمتة</t>
        </is>
      </c>
      <c r="C122" s="11" t="inlineStr">
        <is>
          <t>متوسط زمن إصلاح الأعطال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↓</t>
        </is>
      </c>
      <c r="G122" s="67" t="n">
        <v>4</v>
      </c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68" t="n"/>
      <c r="Q122" s="68" t="n"/>
      <c r="R122" s="68" t="n"/>
      <c r="S122" s="68" t="n"/>
      <c r="T122" s="69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70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الصيانة والأتمتة</t>
        </is>
      </c>
      <c r="C123" s="11" t="inlineStr">
        <is>
          <t>معدل تكرار الأعطال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↓</t>
        </is>
      </c>
      <c r="G123" s="64" t="n">
        <v>0.05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الصيانة والأتمتة</t>
        </is>
      </c>
      <c r="C124" s="11" t="inlineStr">
        <is>
          <t>نسبة استمرارية تشغيل المحطات دون توقف فني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الصيانة والأتمتة</t>
        </is>
      </c>
      <c r="C125" s="11" t="inlineStr">
        <is>
          <t>نسبة التشغيل السليم لأنظمة الأتمتة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0.99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محقق",IF($U125&gt;=0.97,"🟡 قريب","🔴 تحت الهدف")))</f>
        <v/>
      </c>
      <c r="W125" s="66">
        <f>IF($G125="","",$G125)</f>
        <v/>
      </c>
      <c r="X125" s="59">
        <f>IF($U125="","—",IF($U125&gt;=0.97,"🟢 على المسار","🟠 متأخّر"))</f>
        <v/>
      </c>
    </row>
    <row r="126" ht="22" customHeight="1">
      <c r="A126" s="59" t="n">
        <v>123</v>
      </c>
      <c r="B126" s="13" t="inlineStr">
        <is>
          <t>الصيانة والأتمتة</t>
        </is>
      </c>
      <c r="C126" s="11" t="inlineStr">
        <is>
          <t>نسبة استعادة أنظمة الأتمتة ضمن الزمن المحدد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الصيانة والأتمتة</t>
        </is>
      </c>
      <c r="C127" s="11" t="inlineStr">
        <is>
          <t>كفاءة تكاليف الصيانة (الالتزام بالميزانية)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توفر الأنظمة والخدمات التقنية المركزية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0.99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معالجة الأعطال وطلبات الدعم الفني ضمن المدة المستهدفة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استقرار التشغيل التقني للمحطات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0.99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نسبة إنجاز مشاريع التحول الرقمي والمشاريع التقنية حسب الخطة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التقنية الرقمية</t>
        </is>
      </c>
      <c r="C132" s="11" t="inlineStr">
        <is>
          <t>نسبة تسليم المشاريع التقنية ضمن الوقت والميزانية ونطاق العمل المعتمد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التقنية الرقمية</t>
        </is>
      </c>
      <c r="C133" s="11" t="inlineStr">
        <is>
          <t>نسبة الالتزام بإدارة صلاحيات المستخدمين والحسابات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التقنية الرقمية</t>
        </is>
      </c>
      <c r="C134" s="11" t="inlineStr">
        <is>
          <t>نسبة نجاح النسخ الاحتياطي واختبارات استعادة البيانات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التقنية الرقمية</t>
        </is>
      </c>
      <c r="C135" s="11" t="inlineStr">
        <is>
          <t>نسبة الامتثال لضوابط الأمن السيبراني الأساسية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محقق",IF($U135&gt;=0.97,"🟡 قريب","🔴 تحت الهدف")))</f>
        <v/>
      </c>
      <c r="W135" s="66">
        <f>IF($G135="","",$G135)</f>
        <v/>
      </c>
      <c r="X135" s="59">
        <f>IF($U135="","—",IF($U135&gt;=0.97,"🟢 على المسار","🟠 متأخّر"))</f>
        <v/>
      </c>
    </row>
    <row r="136" ht="22" customHeight="1">
      <c r="A136" s="59" t="n">
        <v>133</v>
      </c>
      <c r="B136" s="13" t="inlineStr">
        <is>
          <t>التقنية الرقمية</t>
        </is>
      </c>
      <c r="C136" s="11" t="inlineStr">
        <is>
          <t>نسبة دقة وتكامل البيانات بين الأنظمة الرقمية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0.98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التقنية الرقمية</t>
        </is>
      </c>
      <c r="C137" s="11" t="inlineStr">
        <is>
          <t>نسبة الالتزام بتحديث وتوثيق أصول تقنية المعلومات والتراخيص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التقنية الرقمية</t>
        </is>
      </c>
      <c r="C138" s="11" t="inlineStr">
        <is>
          <t>نسبة تنفيذ الصيانة الوقائية للأجهزة والبنية التقنية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0.95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التقنية الرقمية</t>
        </is>
      </c>
      <c r="C139" s="11" t="inlineStr">
        <is>
          <t>مستوى رضا الإدارات والمستخدمين عن خدمات تقنية المعلومات</t>
        </is>
      </c>
      <c r="D139" s="15" t="inlineStr">
        <is>
          <t>ربعي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0.85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هدف",IF($U139&gt;=0.9,"✅ محقق",IF($U139&gt;=0.75,"🟡 قريب","🔴 تحت الهدف")))</f>
        <v/>
      </c>
      <c r="W139" s="66">
        <f>IF($G139="","",$G139)</f>
        <v/>
      </c>
      <c r="X139" s="59">
        <f>IF($U139="","—",IF($U139&gt;=0.75,"🟢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الالتزام بالتوطين والامتثال الحكومي دون مخالفات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1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محقق",IF($U140&gt;=0.97,"🟡 قريب","🔴 تحت الهدف")))</f>
        <v/>
      </c>
      <c r="W140" s="66">
        <f>IF($G140="","",$G140)</f>
        <v/>
      </c>
      <c r="X140" s="59">
        <f>IF($U140="","—",IF($U140&gt;=0.97,"🟢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نسبة الالتزام بنظام العمل واللوائح وخطة القوى العاملة المعتمدة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↑</t>
        </is>
      </c>
      <c r="G141" s="64" t="n">
        <v>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الالتزام بتجديد الوثائق واكتمال ملفات الموظفين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1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إنجاز معاملات شؤون الموظفين ضمن المدة المستهدفة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نسبة جاهزية وتغطية عمالة المحطات حسب خطة التشغيل والافتتاحات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0.95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محقق",IF($U144&gt;=0.97,"🟡 قريب","🔴 تحت الهدف")))</f>
        <v/>
      </c>
      <c r="W144" s="66">
        <f>IF($G144="","",$G144)</f>
        <v/>
      </c>
      <c r="X144" s="59">
        <f>IF($U144="","—",IF($U144&gt;=0.97,"🟢 على المسار","🟠 متأخّر"))</f>
        <v/>
      </c>
    </row>
    <row r="145" ht="22" customHeight="1">
      <c r="A145" s="59" t="n">
        <v>142</v>
      </c>
      <c r="B145" s="13" t="inlineStr">
        <is>
          <t>الموارد البشرية</t>
        </is>
      </c>
      <c r="C145" s="11" t="inlineStr">
        <is>
          <t>متوسط مدة إغلاق الشواغر المعتمدة</t>
        </is>
      </c>
      <c r="D145" s="15" t="inlineStr">
        <is>
          <t>شهري</t>
        </is>
      </c>
      <c r="E145" s="15" t="inlineStr">
        <is>
          <t>معدل</t>
        </is>
      </c>
      <c r="F145" s="55" t="inlineStr">
        <is>
          <t>↓</t>
        </is>
      </c>
      <c r="G145" s="67" t="n">
        <v>30</v>
      </c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68" t="n"/>
      <c r="Q145" s="68" t="n"/>
      <c r="R145" s="68" t="n"/>
      <c r="S145" s="68" t="n"/>
      <c r="T145" s="69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70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الموارد البشرية</t>
        </is>
      </c>
      <c r="C146" s="11" t="inlineStr">
        <is>
          <t>نسبة نجاح التعيينات الجديدة خلال فترة التجربة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0.9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6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الموارد البشرية</t>
        </is>
      </c>
      <c r="C147" s="11" t="inlineStr">
        <is>
          <t>نسبة كفاءة تكلفة القوى العاملة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0.95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الموارد البشرية</t>
        </is>
      </c>
      <c r="C148" s="11" t="inlineStr">
        <is>
          <t>نسبة دقة الرواتب والمستحقات الشهرية</t>
        </is>
      </c>
      <c r="D148" s="15" t="inlineStr">
        <is>
          <t>شهري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0.995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الموارد البشرية</t>
        </is>
      </c>
      <c r="C149" s="11" t="inlineStr">
        <is>
          <t>معدل دوران الموظفين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↓</t>
        </is>
      </c>
      <c r="G149" s="64" t="n">
        <v>0.1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الموارد البشرية</t>
        </is>
      </c>
      <c r="C150" s="11" t="inlineStr">
        <is>
          <t>نسبة تنفيذ برامج التدريب والتأهيل المعتمدة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0.9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الموارد البشرية</t>
        </is>
      </c>
      <c r="C151" s="11" t="inlineStr">
        <is>
          <t>نسبة إغلاق تقييمات الأداء وخطط الإحلال للوظائف الحرجة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0.95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الموارد البشرية</t>
        </is>
      </c>
      <c r="C152" s="11" t="inlineStr">
        <is>
          <t>معدل رضا الموظفين (استبيان دوري)</t>
        </is>
      </c>
      <c r="D152" s="15" t="inlineStr">
        <is>
          <t>ربعي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0.85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هدف",IF($U152&gt;=0.9,"✅ محقق",IF($U152&gt;=0.75,"🟡 قريب","🔴 تحت الهدف")))</f>
        <v/>
      </c>
      <c r="W152" s="66">
        <f>IF($G152="","",$G152)</f>
        <v/>
      </c>
      <c r="X152" s="59">
        <f>IF($U152="","—",IF($U152&gt;=0.75,"🟢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عملاء تجاريون جدد</t>
        </is>
      </c>
      <c r="D153" s="15" t="inlineStr">
        <is>
          <t>شهري</t>
        </is>
      </c>
      <c r="E153" s="15" t="inlineStr">
        <is>
          <t>تراكمي</t>
        </is>
      </c>
      <c r="F153" s="55" t="inlineStr">
        <is>
          <t>↑</t>
        </is>
      </c>
      <c r="G153" s="60" t="n">
        <v>200</v>
      </c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IF(COUNT($H153:$S153)=0,"",SUM($H153:$S153))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IF($G153="","",$G153*COUNT($H153:$S153)/12)</f>
        <v/>
      </c>
      <c r="X153" s="59">
        <f>IF($U153="","—",IF($U153&gt;=COUNT($H153:$S153)/12,"🟢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تكلفة اكتساب العميل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↓</t>
        </is>
      </c>
      <c r="G154" s="55" t="n"/>
      <c r="H154" s="68" t="n"/>
      <c r="I154" s="68" t="n"/>
      <c r="J154" s="68" t="n"/>
      <c r="K154" s="68" t="n"/>
      <c r="L154" s="68" t="n"/>
      <c r="M154" s="68" t="n"/>
      <c r="N154" s="68" t="n"/>
      <c r="O154" s="68" t="n"/>
      <c r="P154" s="68" t="n"/>
      <c r="Q154" s="68" t="n"/>
      <c r="R154" s="68" t="n"/>
      <c r="S154" s="68" t="n"/>
      <c r="T154" s="69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70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تحويل الفرص التسويقية إلى عقود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0.25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التسويق</t>
        </is>
      </c>
      <c r="C156" s="11" t="inlineStr">
        <is>
          <t>الوصول الرقمي السنوي (مشاهدات وانطباعات)</t>
        </is>
      </c>
      <c r="D156" s="15" t="inlineStr">
        <is>
          <t>شهري</t>
        </is>
      </c>
      <c r="E156" s="15" t="inlineStr">
        <is>
          <t>تراكمي</t>
        </is>
      </c>
      <c r="F156" s="55" t="inlineStr">
        <is>
          <t>↑</t>
        </is>
      </c>
      <c r="G156" s="60" t="n">
        <v>50000000</v>
      </c>
      <c r="H156" s="61" t="n"/>
      <c r="I156" s="61" t="n"/>
      <c r="J156" s="61" t="n"/>
      <c r="K156" s="61" t="n"/>
      <c r="L156" s="61" t="n"/>
      <c r="M156" s="61" t="n"/>
      <c r="N156" s="61" t="n"/>
      <c r="O156" s="61" t="n"/>
      <c r="P156" s="61" t="n"/>
      <c r="Q156" s="61" t="n"/>
      <c r="R156" s="61" t="n"/>
      <c r="S156" s="61" t="n"/>
      <c r="T156" s="62">
        <f>IF(COUNT($H156:$S156)=0,"",SUM($H156:$S156))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هدف",IF($U156&gt;=0.9,"✅ محقق",IF($U156&gt;=0.75,"🟡 قريب","🔴 تحت الهدف")))</f>
        <v/>
      </c>
      <c r="W156" s="63">
        <f>IF($G156="","",$G156*COUNT($H156:$S156)/12)</f>
        <v/>
      </c>
      <c r="X156" s="59">
        <f>IF($U156="","—",IF($U156&gt;=COUNT($H156:$S156)/12,"🟢 على المسار","🟠 متأخّر"))</f>
        <v/>
      </c>
    </row>
    <row r="157" ht="22" customHeight="1">
      <c r="A157" s="59" t="n">
        <v>154</v>
      </c>
      <c r="B157" s="13" t="inlineStr">
        <is>
          <t>التسويق</t>
        </is>
      </c>
      <c r="C157" s="11" t="inlineStr">
        <is>
          <t>عدد الظهورات الإعلامية (تغطيات صحفية)</t>
        </is>
      </c>
      <c r="D157" s="15" t="inlineStr">
        <is>
          <t>شهري</t>
        </is>
      </c>
      <c r="E157" s="15" t="inlineStr">
        <is>
          <t>تراكمي</t>
        </is>
      </c>
      <c r="F157" s="55" t="inlineStr">
        <is>
          <t>↑</t>
        </is>
      </c>
      <c r="G157" s="60" t="n">
        <v>50</v>
      </c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IF($G157="","",$G157*COUNT($H157:$S157)/12)</f>
        <v/>
      </c>
      <c r="X157" s="59">
        <f>IF($U157="","—",IF($U157&gt;=COUNT($H157:$S157)/12,"🟢 على المسار","🟠 متأخّر"))</f>
        <v/>
      </c>
    </row>
    <row r="158" ht="22" customHeight="1">
      <c r="A158" s="59" t="n">
        <v>155</v>
      </c>
      <c r="B158" s="13" t="inlineStr">
        <is>
          <t>التسويق</t>
        </is>
      </c>
      <c r="C158" s="11" t="inlineStr">
        <is>
          <t>معدل التفاعل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هدف",IF($U158&gt;=0.9,"✅ محقق",IF($U158&gt;=0.75,"🟡 قريب","🔴 تحت الهدف")))</f>
        <v/>
      </c>
      <c r="W158" s="66">
        <f>IF($G158="","",$G158)</f>
        <v/>
      </c>
      <c r="X158" s="59">
        <f>IF($U158="","—",IF($U158&gt;=0.75,"🟢 على المسار","🟠 متأخّر"))</f>
        <v/>
      </c>
    </row>
    <row r="159" ht="22" customHeight="1">
      <c r="A159" s="59" t="n">
        <v>156</v>
      </c>
      <c r="B159" s="13" t="inlineStr">
        <is>
          <t>التسويق</t>
        </is>
      </c>
      <c r="C159" s="11" t="inlineStr">
        <is>
          <t>نمو المتابعين النشطين</t>
        </is>
      </c>
      <c r="D159" s="15" t="inlineStr">
        <is>
          <t>ربعي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0.2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هدف",IF($U159&gt;=0.9,"✅ محقق",IF($U159&gt;=0.75,"🟡 قريب","🔴 تحت الهدف")))</f>
        <v/>
      </c>
      <c r="W159" s="66">
        <f>IF($G159="","",$G159)</f>
        <v/>
      </c>
      <c r="X159" s="59">
        <f>IF($U159="","—",IF($U159&gt;=0.75,"🟢 على المسار","🟠 متأخّر"))</f>
        <v/>
      </c>
    </row>
    <row r="160" ht="22" customHeight="1">
      <c r="A160" s="59" t="n">
        <v>157</v>
      </c>
      <c r="B160" s="13" t="inlineStr">
        <is>
          <t>التسويق</t>
        </is>
      </c>
      <c r="C160" s="11" t="inlineStr">
        <is>
          <t>اتساق الهوية البصرية عبر القنوات التسويقية</t>
        </is>
      </c>
      <c r="D160" s="15" t="inlineStr">
        <is>
          <t>شهري</t>
        </is>
      </c>
      <c r="E160" s="15" t="inlineStr">
        <is>
          <t>لقطة</t>
        </is>
      </c>
      <c r="F160" s="55" t="inlineStr">
        <is>
          <t>↑</t>
        </is>
      </c>
      <c r="G160" s="64" t="n">
        <v>1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IFERROR(LOOKUP(2,1/($H160:$S160&lt;&gt;""),$H160:$S160),"")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التسويق</t>
        </is>
      </c>
      <c r="C161" s="11" t="inlineStr">
        <is>
          <t>نسبة المشاعر الإيجابية للعلامة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0.8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التسويق</t>
        </is>
      </c>
      <c r="C162" s="11" t="inlineStr">
        <is>
          <t>المستخدمون النشطون شهرياً</t>
        </is>
      </c>
      <c r="D162" s="15" t="inlineStr">
        <is>
          <t>شهري</t>
        </is>
      </c>
      <c r="E162" s="15" t="inlineStr">
        <is>
          <t>لقطة</t>
        </is>
      </c>
      <c r="F162" s="55" t="inlineStr">
        <is>
          <t>↑</t>
        </is>
      </c>
      <c r="G162" s="60" t="n">
        <v>100000</v>
      </c>
      <c r="H162" s="61" t="n"/>
      <c r="I162" s="61" t="n"/>
      <c r="J162" s="61" t="n"/>
      <c r="K162" s="61" t="n"/>
      <c r="L162" s="61" t="n"/>
      <c r="M162" s="61" t="n"/>
      <c r="N162" s="61" t="n"/>
      <c r="O162" s="61" t="n"/>
      <c r="P162" s="61" t="n"/>
      <c r="Q162" s="61" t="n"/>
      <c r="R162" s="61" t="n"/>
      <c r="S162" s="61" t="n"/>
      <c r="T162" s="62">
        <f>IFERROR(LOOKUP(2,1/($H162:$S162&lt;&gt;""),$H162:$S162),"")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3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التسويق</t>
        </is>
      </c>
      <c r="C163" s="11" t="inlineStr">
        <is>
          <t>معدل احتفاظ مستخدمي تطبيق درب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0.4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تنفيذ خطة الزيارات الميدانية للمحطات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عدد الملاحظات الميدانية المرصودة والمصنفة حسب الخطورة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↑</t>
        </is>
      </c>
      <c r="G165" s="55" t="n"/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3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تغطية المحطات بالزيارات الشهرية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اكتمال تقارير الزيارة الميدانية بالصور والأدلة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إصدار تقارير الزيارات خلال المدة المحددة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الزيارات المفاجئة من إجمالي الزيارات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إغلاق الملاحظات ضمن المدة المحددة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التحقق من إغلاق الملاحظات ميدانيًا أو بالصور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الملاحظات المتأخرة عن الإغلاق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4" t="n">
        <v>0.05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الملاحظات المتكررة في نفس المحطة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↓</t>
        </is>
      </c>
      <c r="G173" s="64" t="n">
        <v>0.05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متوسط زمن إغلاق الملاحظات الحرجة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↓</t>
        </is>
      </c>
      <c r="G174" s="67" t="n">
        <v>7</v>
      </c>
      <c r="H174" s="68" t="n"/>
      <c r="I174" s="68" t="n"/>
      <c r="J174" s="68" t="n"/>
      <c r="K174" s="68" t="n"/>
      <c r="L174" s="68" t="n"/>
      <c r="M174" s="68" t="n"/>
      <c r="N174" s="68" t="n"/>
      <c r="O174" s="68" t="n"/>
      <c r="P174" s="68" t="n"/>
      <c r="Q174" s="68" t="n"/>
      <c r="R174" s="68" t="n"/>
      <c r="S174" s="68" t="n"/>
      <c r="T174" s="69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70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تنفيذ خطة التدقيق الداخلي</t>
        </is>
      </c>
      <c r="D175" s="15" t="inlineStr">
        <is>
          <t>ربعي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إغلاق ملاحظات التدقيق الداخلي ضمن المدة</t>
        </is>
      </c>
      <c r="D176" s="15" t="inlineStr">
        <is>
          <t>ربعي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حالات عدم المطابقة المتكررة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↓</t>
        </is>
      </c>
      <c r="G177" s="60" t="n">
        <v>0</v>
      </c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محقق",IF($U177&gt;=0.97,"🟡 قريب","🔴 تحت الهدف")))</f>
        <v/>
      </c>
      <c r="W177" s="63">
        <f>IF($G177="","",$G177)</f>
        <v/>
      </c>
      <c r="X177" s="59">
        <f>IF($U177="","—",IF($U177&gt;=0.97,"🟢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فاعلية الإجراءات التصحيحية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متوسط زمن إغلاق حالات عدم المطابقة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↓</t>
        </is>
      </c>
      <c r="G179" s="67" t="n">
        <v>7</v>
      </c>
      <c r="H179" s="68" t="n"/>
      <c r="I179" s="68" t="n"/>
      <c r="J179" s="68" t="n"/>
      <c r="K179" s="68" t="n"/>
      <c r="L179" s="68" t="n"/>
      <c r="M179" s="68" t="n"/>
      <c r="N179" s="68" t="n"/>
      <c r="O179" s="68" t="n"/>
      <c r="P179" s="68" t="n"/>
      <c r="Q179" s="68" t="n"/>
      <c r="R179" s="68" t="n"/>
      <c r="S179" s="68" t="n"/>
      <c r="T179" s="69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محقق",IF($U179&gt;=0.97,"🟡 قريب","🔴 تحت الهدف")))</f>
        <v/>
      </c>
      <c r="W179" s="70">
        <f>IF($G179="","",$G179)</f>
        <v/>
      </c>
      <c r="X179" s="59">
        <f>IF($U179="","—",IF($U179&gt;=0.97,"🟢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مراجعة وتحديث الإجراءات والسياسات حسب الخطة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اكتمال توثيق إجراءات الإدارات المستهدفة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اعتماد النماذج والإجراءات الجديدة أو المحدثة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عدد حالات استخدام نماذج أو إجراءات غير معتمدة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↓</t>
        </is>
      </c>
      <c r="G183" s="60" t="n">
        <v>0</v>
      </c>
      <c r="H183" s="61" t="n"/>
      <c r="I183" s="61" t="n"/>
      <c r="J183" s="61" t="n"/>
      <c r="K183" s="61" t="n"/>
      <c r="L183" s="61" t="n"/>
      <c r="M183" s="61" t="n"/>
      <c r="N183" s="61" t="n"/>
      <c r="O183" s="61" t="n"/>
      <c r="P183" s="61" t="n"/>
      <c r="Q183" s="61" t="n"/>
      <c r="R183" s="61" t="n"/>
      <c r="S183" s="61" t="n"/>
      <c r="T183" s="62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3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نشر وتعميم الإجراءات المعتمدة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عدد فرص التحسين المستخرجة من الزيارات والتدقيق</t>
        </is>
      </c>
      <c r="D185" s="15" t="inlineStr">
        <is>
          <t>ربعي</t>
        </is>
      </c>
      <c r="E185" s="15" t="inlineStr">
        <is>
          <t>معدل</t>
        </is>
      </c>
      <c r="F185" s="55" t="inlineStr">
        <is>
          <t>↑</t>
        </is>
      </c>
      <c r="G185" s="55" t="n"/>
      <c r="H185" s="61" t="n"/>
      <c r="I185" s="61" t="n"/>
      <c r="J185" s="61" t="n"/>
      <c r="K185" s="61" t="n"/>
      <c r="L185" s="61" t="n"/>
      <c r="M185" s="61" t="n"/>
      <c r="N185" s="61" t="n"/>
      <c r="O185" s="61" t="n"/>
      <c r="P185" s="61" t="n"/>
      <c r="Q185" s="61" t="n"/>
      <c r="R185" s="61" t="n"/>
      <c r="S185" s="61" t="n"/>
      <c r="T185" s="62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3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الجودة</t>
        </is>
      </c>
      <c r="C186" s="11" t="inlineStr">
        <is>
          <t>نسبة تنفيذ مبادرات التحسين المعتمدة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0.95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الجودة</t>
        </is>
      </c>
      <c r="C187" s="11" t="inlineStr">
        <is>
          <t>نسبة انخفاض تكرار الملاحظات بعد التحسين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0.95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الجودة</t>
        </is>
      </c>
      <c r="C188" s="11" t="inlineStr">
        <is>
          <t>عدد التقارير التحليلية الشهرية للجودة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55" t="n"/>
      <c r="H188" s="61" t="n"/>
      <c r="I188" s="61" t="n"/>
      <c r="J188" s="61" t="n"/>
      <c r="K188" s="61" t="n"/>
      <c r="L188" s="61" t="n"/>
      <c r="M188" s="61" t="n"/>
      <c r="N188" s="61" t="n"/>
      <c r="O188" s="61" t="n"/>
      <c r="P188" s="61" t="n"/>
      <c r="Q188" s="61" t="n"/>
      <c r="R188" s="61" t="n"/>
      <c r="S188" s="61" t="n"/>
      <c r="T188" s="62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3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الجودة</t>
        </is>
      </c>
      <c r="C189" s="11" t="inlineStr">
        <is>
          <t>عدد الدروس المستفادة المعممة على الإدارات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55" t="n"/>
      <c r="H189" s="61" t="n"/>
      <c r="I189" s="61" t="n"/>
      <c r="J189" s="61" t="n"/>
      <c r="K189" s="61" t="n"/>
      <c r="L189" s="61" t="n"/>
      <c r="M189" s="61" t="n"/>
      <c r="N189" s="61" t="n"/>
      <c r="O189" s="61" t="n"/>
      <c r="P189" s="61" t="n"/>
      <c r="Q189" s="61" t="n"/>
      <c r="R189" s="61" t="n"/>
      <c r="S189" s="61" t="n"/>
      <c r="T189" s="62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3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الجودة</t>
        </is>
      </c>
      <c r="C190" s="11" t="inlineStr">
        <is>
          <t>نسبة أتمتة قوائم الفحص وتقارير الزيارات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0.95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الجودة</t>
        </is>
      </c>
      <c r="C191" s="11" t="inlineStr">
        <is>
          <t>نسبة تحديث لوحة مؤشرات الجودة شهريًا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الجودة</t>
        </is>
      </c>
      <c r="C192" s="11" t="inlineStr">
        <is>
          <t>نسبة جاهزية متطلبات الأيزو 9001 / 14001 / 45001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محقق",IF($U192&gt;=0.97,"🟡 قريب","🔴 تحت الهدف")))</f>
        <v/>
      </c>
      <c r="W192" s="66">
        <f>IF($G192="","",$G192)</f>
        <v/>
      </c>
      <c r="X192" s="59">
        <f>IF($U192="","—",IF($U192&gt;=0.97,"🟢 على المسار","🟠 متأخّر"))</f>
        <v/>
      </c>
    </row>
    <row r="193" ht="22" customHeight="1">
      <c r="A193" s="59" t="n">
        <v>190</v>
      </c>
      <c r="B193" s="13" t="inlineStr">
        <is>
          <t>الجودة</t>
        </is>
      </c>
      <c r="C193" s="11" t="inlineStr">
        <is>
          <t>نسبة اكتمال سجل مخاطر وملاحظات الجودة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العقود المُراجَعة قانونياً قبل التوقيع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1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متوسط زمن صياغة ومراجعة العقد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↓</t>
        </is>
      </c>
      <c r="G195" s="67" t="n">
        <v>3</v>
      </c>
      <c r="H195" s="68" t="n"/>
      <c r="I195" s="68" t="n"/>
      <c r="J195" s="68" t="n"/>
      <c r="K195" s="68" t="n"/>
      <c r="L195" s="68" t="n"/>
      <c r="M195" s="68" t="n"/>
      <c r="N195" s="68" t="n"/>
      <c r="O195" s="68" t="n"/>
      <c r="P195" s="68" t="n"/>
      <c r="Q195" s="68" t="n"/>
      <c r="R195" s="68" t="n"/>
      <c r="S195" s="68" t="n"/>
      <c r="T195" s="69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70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نسبة العقود الخالية من الملاحظات والمخاطر القانونية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0.95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القضايا المُغلقة لصالح الشركة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0.8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تقديم المذكرات والردود في المواعيد النظامية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القانونية</t>
        </is>
      </c>
      <c r="C199" s="11" t="inlineStr">
        <is>
          <t>متوسط زمن إعداد المذكرة القانونية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↓</t>
        </is>
      </c>
      <c r="G199" s="67" t="n">
        <v>5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القانونية</t>
        </is>
      </c>
      <c r="C200" s="11" t="inlineStr">
        <is>
          <t>نسبة الاستشارات المُنجزة ضمن المدة المستهدفة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0.9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القانونية</t>
        </is>
      </c>
      <c r="C201" s="11" t="inlineStr">
        <is>
          <t>مستوى رضا الإدارات عن الدعم القانوني</t>
        </is>
      </c>
      <c r="D201" s="15" t="inlineStr">
        <is>
          <t>ربعي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0.85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هدف",IF($U201&gt;=0.9,"✅ محقق",IF($U201&gt;=0.75,"🟡 قريب","🔴 تحت الهدف")))</f>
        <v/>
      </c>
      <c r="W201" s="66">
        <f>IF($G201="","",$G201)</f>
        <v/>
      </c>
      <c r="X201" s="59">
        <f>IF($U201="","—",IF($U201&gt;=0.75,"🟢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القانونية</t>
        </is>
      </c>
      <c r="C202" s="11" t="inlineStr">
        <is>
          <t>نسبة إنجاز التحقيقات ضمن المدة المحددة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0.9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القانونية</t>
        </is>
      </c>
      <c r="C203" s="11" t="inlineStr">
        <is>
          <t>نسبة التحقيقات المُغلقة من إجمالي المُحالة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0.95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القانونية</t>
        </is>
      </c>
      <c r="C204" s="11" t="inlineStr">
        <is>
          <t>متوسط زمن إغلاق قضية التحقيق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7" t="n">
        <v>30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القانونية</t>
        </is>
      </c>
      <c r="C205" s="11" t="inlineStr">
        <is>
          <t>نسبة تنفيذ التوصيات الصادرة عن التحقيقات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0.9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القانونية</t>
        </is>
      </c>
      <c r="C206" s="11" t="inlineStr">
        <is>
          <t>نسبة التزام التحقيقات بالإجراءات النظامية والعدالة الإجرائية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1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نمو الإيرادات السنوي</t>
        </is>
      </c>
      <c r="D207" s="15" t="inlineStr">
        <is>
          <t>ربعي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0.2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هامش إبيتدا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0.08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هامش صافي الربح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0.01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نسبة التدفق النقدي التشغيلي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7" t="n">
        <v>1</v>
      </c>
      <c r="H210" s="68" t="n"/>
      <c r="I210" s="68" t="n"/>
      <c r="J210" s="68" t="n"/>
      <c r="K210" s="68" t="n"/>
      <c r="L210" s="68" t="n"/>
      <c r="M210" s="68" t="n"/>
      <c r="N210" s="68" t="n"/>
      <c r="O210" s="68" t="n"/>
      <c r="P210" s="68" t="n"/>
      <c r="Q210" s="68" t="n"/>
      <c r="R210" s="68" t="n"/>
      <c r="S210" s="68" t="n"/>
      <c r="T210" s="69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70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النسبة الجارية</t>
        </is>
      </c>
      <c r="D211" s="15" t="inlineStr">
        <is>
          <t>شهري</t>
        </is>
      </c>
      <c r="E211" s="15" t="inlineStr">
        <is>
          <t>لقطة</t>
        </is>
      </c>
      <c r="F211" s="55" t="inlineStr">
        <is>
          <t>↑</t>
        </is>
      </c>
      <c r="G211" s="67" t="n">
        <v>1</v>
      </c>
      <c r="H211" s="68" t="n"/>
      <c r="I211" s="68" t="n"/>
      <c r="J211" s="68" t="n"/>
      <c r="K211" s="68" t="n"/>
      <c r="L211" s="68" t="n"/>
      <c r="M211" s="68" t="n"/>
      <c r="N211" s="68" t="n"/>
      <c r="O211" s="68" t="n"/>
      <c r="P211" s="68" t="n"/>
      <c r="Q211" s="68" t="n"/>
      <c r="R211" s="68" t="n"/>
      <c r="S211" s="68" t="n"/>
      <c r="T211" s="69">
        <f>IFERROR(LOOKUP(2,1/($H211:$S211&lt;&gt;""),$H211:$S211),"")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70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دورة التحويل النقدي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7" t="n">
        <v>20</v>
      </c>
      <c r="H212" s="68" t="n"/>
      <c r="I212" s="68" t="n"/>
      <c r="J212" s="68" t="n"/>
      <c r="K212" s="68" t="n"/>
      <c r="L212" s="68" t="n"/>
      <c r="M212" s="68" t="n"/>
      <c r="N212" s="68" t="n"/>
      <c r="O212" s="68" t="n"/>
      <c r="P212" s="68" t="n"/>
      <c r="Q212" s="68" t="n"/>
      <c r="R212" s="68" t="n"/>
      <c r="S212" s="68" t="n"/>
      <c r="T212" s="69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70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نسبة التحصيل العام (الشركة)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0.95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نسبة الذمم المتأخرة</t>
        </is>
      </c>
      <c r="D214" s="15" t="inlineStr">
        <is>
          <t>شهري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نسبة الديون المعدومة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4" t="n">
        <v>0.01</v>
      </c>
      <c r="H215" s="65" t="n"/>
      <c r="I215" s="65" t="n"/>
      <c r="J215" s="65" t="n"/>
      <c r="K215" s="65" t="n"/>
      <c r="L215" s="65" t="n"/>
      <c r="M215" s="65" t="n"/>
      <c r="N215" s="65" t="n"/>
      <c r="O215" s="65" t="n"/>
      <c r="P215" s="65" t="n"/>
      <c r="Q215" s="65" t="n"/>
      <c r="R215" s="65" t="n"/>
      <c r="S215" s="65" t="n"/>
      <c r="T215" s="56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66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سداد الموردين في الموعد</t>
        </is>
      </c>
      <c r="D216" s="15" t="inlineStr">
        <is>
          <t>شهري</t>
        </is>
      </c>
      <c r="E216" s="15" t="inlineStr">
        <is>
          <t>معدل</t>
        </is>
      </c>
      <c r="F216" s="55" t="inlineStr">
        <is>
          <t>↑</t>
        </is>
      </c>
      <c r="G216" s="64" t="n">
        <v>0.98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  <row r="217" ht="22" customHeight="1">
      <c r="A217" s="59" t="n">
        <v>214</v>
      </c>
      <c r="B217" s="13" t="inlineStr">
        <is>
          <t>الإدارة المالية</t>
        </is>
      </c>
      <c r="C217" s="11" t="inlineStr">
        <is>
          <t>دقة مطابقة حسابات الموردين</t>
        </is>
      </c>
      <c r="D217" s="15" t="inlineStr">
        <is>
          <t>شهري</t>
        </is>
      </c>
      <c r="E217" s="15" t="inlineStr">
        <is>
          <t>معدل</t>
        </is>
      </c>
      <c r="F217" s="55" t="inlineStr">
        <is>
          <t>↑</t>
        </is>
      </c>
      <c r="G217" s="64" t="n">
        <v>0.95</v>
      </c>
      <c r="H217" s="65" t="n"/>
      <c r="I217" s="65" t="n"/>
      <c r="J217" s="65" t="n"/>
      <c r="K217" s="65" t="n"/>
      <c r="L217" s="65" t="n"/>
      <c r="M217" s="65" t="n"/>
      <c r="N217" s="65" t="n"/>
      <c r="O217" s="65" t="n"/>
      <c r="P217" s="65" t="n"/>
      <c r="Q217" s="65" t="n"/>
      <c r="R217" s="65" t="n"/>
      <c r="S217" s="65" t="n"/>
      <c r="T217" s="56">
        <f>IF(COUNT($H217:$S217)=0,"",SUM($H217:$S217)/COUNT($H217:$S217))</f>
        <v/>
      </c>
      <c r="U217" s="56">
        <f>IF($G217="","",IF($T217="","",MIN(1,IF($G217=0,IF($T217&lt;=0,1,0),IF($F217="↓",IFERROR($G217/$T217,0),IFERROR($T217/$G217,0))))))</f>
        <v/>
      </c>
      <c r="V217" s="59">
        <f>IF($U217="","⏳ بانتظار هدف",IF($U217&gt;=1.0,"✅ محقق",IF($U217&gt;=0.97,"🟡 قريب","🔴 تحت الهدف")))</f>
        <v/>
      </c>
      <c r="W217" s="66">
        <f>IF($G217="","",$G217)</f>
        <v/>
      </c>
      <c r="X217" s="59">
        <f>IF($U217="","—",IF($U217&gt;=0.97,"🟢 على المسار","🟠 متأخّر"))</f>
        <v/>
      </c>
    </row>
    <row r="218" ht="22" customHeight="1">
      <c r="A218" s="59" t="n">
        <v>215</v>
      </c>
      <c r="B218" s="13" t="inlineStr">
        <is>
          <t>الإدارة المالية</t>
        </is>
      </c>
      <c r="C218" s="11" t="inlineStr">
        <is>
          <t>دقة التنبؤ النقدي</t>
        </is>
      </c>
      <c r="D218" s="15" t="inlineStr">
        <is>
          <t>شهري</t>
        </is>
      </c>
      <c r="E218" s="15" t="inlineStr">
        <is>
          <t>معدل</t>
        </is>
      </c>
      <c r="F218" s="55" t="inlineStr">
        <is>
          <t>↑</t>
        </is>
      </c>
      <c r="G218" s="64" t="n">
        <v>0.9</v>
      </c>
      <c r="H218" s="65" t="n"/>
      <c r="I218" s="65" t="n"/>
      <c r="J218" s="65" t="n"/>
      <c r="K218" s="65" t="n"/>
      <c r="L218" s="65" t="n"/>
      <c r="M218" s="65" t="n"/>
      <c r="N218" s="65" t="n"/>
      <c r="O218" s="65" t="n"/>
      <c r="P218" s="65" t="n"/>
      <c r="Q218" s="65" t="n"/>
      <c r="R218" s="65" t="n"/>
      <c r="S218" s="65" t="n"/>
      <c r="T218" s="56">
        <f>IF(COUNT($H218:$S218)=0,"",SUM($H218:$S218)/COUNT($H218:$S218))</f>
        <v/>
      </c>
      <c r="U218" s="56">
        <f>IF($G218="","",IF($T218="","",MIN(1,IF($G218=0,IF($T218&lt;=0,1,0),IF($F218="↓",IFERROR($G218/$T218,0),IFERROR($T218/$G218,0))))))</f>
        <v/>
      </c>
      <c r="V218" s="59">
        <f>IF($U218="","⏳ بانتظار هدف",IF($U218&gt;=1.0,"✅ محقق",IF($U218&gt;=0.85,"🟡 قريب","🔴 تحت الهدف")))</f>
        <v/>
      </c>
      <c r="W218" s="66">
        <f>IF($G218="","",$G218)</f>
        <v/>
      </c>
      <c r="X218" s="59">
        <f>IF($U218="","—",IF($U218&gt;=0.85,"🟢 على المسار","🟠 متأخّر"))</f>
        <v/>
      </c>
    </row>
    <row r="219" ht="22" customHeight="1">
      <c r="A219" s="59" t="n">
        <v>216</v>
      </c>
      <c r="B219" s="13" t="inlineStr">
        <is>
          <t>الإدارة المالية</t>
        </is>
      </c>
      <c r="C219" s="11" t="inlineStr">
        <is>
          <t>نسبة توظيف الفائض النقدي في الاستثمارات</t>
        </is>
      </c>
      <c r="D219" s="15" t="inlineStr">
        <is>
          <t>شهري</t>
        </is>
      </c>
      <c r="E219" s="15" t="inlineStr">
        <is>
          <t>معدل</t>
        </is>
      </c>
      <c r="F219" s="55" t="inlineStr">
        <is>
          <t>↑</t>
        </is>
      </c>
      <c r="G219" s="64" t="n">
        <v>0.7</v>
      </c>
      <c r="H219" s="65" t="n"/>
      <c r="I219" s="65" t="n"/>
      <c r="J219" s="65" t="n"/>
      <c r="K219" s="65" t="n"/>
      <c r="L219" s="65" t="n"/>
      <c r="M219" s="65" t="n"/>
      <c r="N219" s="65" t="n"/>
      <c r="O219" s="65" t="n"/>
      <c r="P219" s="65" t="n"/>
      <c r="Q219" s="65" t="n"/>
      <c r="R219" s="65" t="n"/>
      <c r="S219" s="65" t="n"/>
      <c r="T219" s="56">
        <f>IF(COUNT($H219:$S219)=0,"",SUM($H219:$S219)/COUNT($H219:$S219))</f>
        <v/>
      </c>
      <c r="U219" s="56">
        <f>IF($G219="","",IF($T219="","",MIN(1,IF($G219=0,IF($T219&lt;=0,1,0),IF($F219="↓",IFERROR($G219/$T219,0),IFERROR($T219/$G219,0))))))</f>
        <v/>
      </c>
      <c r="V219" s="59">
        <f>IF($U219="","⏳ بانتظار هدف",IF($U219&gt;=1.0,"✅ محقق",IF($U219&gt;=0.85,"🟡 قريب","🔴 تحت الهدف")))</f>
        <v/>
      </c>
      <c r="W219" s="66">
        <f>IF($G219="","",$G219)</f>
        <v/>
      </c>
      <c r="X219" s="59">
        <f>IF($U219="","—",IF($U219&gt;=0.85,"🟢 على المسار","🟠 متأخّر"))</f>
        <v/>
      </c>
    </row>
    <row r="220" ht="22" customHeight="1">
      <c r="A220" s="59" t="n">
        <v>217</v>
      </c>
      <c r="B220" s="13" t="inlineStr">
        <is>
          <t>الإدارة المالية</t>
        </is>
      </c>
      <c r="C220" s="11" t="inlineStr">
        <is>
          <t>العائد على المحفظة الاستثمارية للفائض النقدي</t>
        </is>
      </c>
      <c r="D220" s="15" t="inlineStr">
        <is>
          <t>ربعي</t>
        </is>
      </c>
      <c r="E220" s="15" t="inlineStr">
        <is>
          <t>معدل</t>
        </is>
      </c>
      <c r="F220" s="55" t="inlineStr">
        <is>
          <t>↑</t>
        </is>
      </c>
      <c r="G220" s="64" t="n">
        <v>0.08</v>
      </c>
      <c r="H220" s="65" t="n"/>
      <c r="I220" s="65" t="n"/>
      <c r="J220" s="65" t="n"/>
      <c r="K220" s="65" t="n"/>
      <c r="L220" s="65" t="n"/>
      <c r="M220" s="65" t="n"/>
      <c r="N220" s="65" t="n"/>
      <c r="O220" s="65" t="n"/>
      <c r="P220" s="65" t="n"/>
      <c r="Q220" s="65" t="n"/>
      <c r="R220" s="65" t="n"/>
      <c r="S220" s="65" t="n"/>
      <c r="T220" s="56">
        <f>IF(COUNT($H220:$S220)=0,"",SUM($H220:$S220)/COUNT($H220:$S220))</f>
        <v/>
      </c>
      <c r="U220" s="56">
        <f>IF($G220="","",IF($T220="","",MIN(1,IF($G220=0,IF($T220&lt;=0,1,0),IF($F220="↓",IFERROR($G220/$T220,0),IFERROR($T220/$G220,0))))))</f>
        <v/>
      </c>
      <c r="V220" s="59">
        <f>IF($U220="","⏳ بانتظار هدف",IF($U220&gt;=1.0,"✅ محقق",IF($U220&gt;=0.85,"🟡 قريب","🔴 تحت الهدف")))</f>
        <v/>
      </c>
      <c r="W220" s="66">
        <f>IF($G220="","",$G220)</f>
        <v/>
      </c>
      <c r="X220" s="59">
        <f>IF($U220="","—",IF($U220&gt;=0.85,"🟢 على المسار","🟠 متأخّر"))</f>
        <v/>
      </c>
    </row>
    <row r="221" ht="22" customHeight="1">
      <c r="A221" s="59" t="n">
        <v>218</v>
      </c>
      <c r="B221" s="13" t="inlineStr">
        <is>
          <t>الإدارة المالية</t>
        </is>
      </c>
      <c r="C221" s="11" t="inlineStr">
        <is>
          <t>نسبة مساهمة دخل الاستثمار في صافي الربح</t>
        </is>
      </c>
      <c r="D221" s="15" t="inlineStr">
        <is>
          <t>شهري</t>
        </is>
      </c>
      <c r="E221" s="15" t="inlineStr">
        <is>
          <t>معدل</t>
        </is>
      </c>
      <c r="F221" s="55" t="inlineStr">
        <is>
          <t>↑</t>
        </is>
      </c>
      <c r="G221" s="64" t="n">
        <v>0.15</v>
      </c>
      <c r="H221" s="65" t="n"/>
      <c r="I221" s="65" t="n"/>
      <c r="J221" s="65" t="n"/>
      <c r="K221" s="65" t="n"/>
      <c r="L221" s="65" t="n"/>
      <c r="M221" s="65" t="n"/>
      <c r="N221" s="65" t="n"/>
      <c r="O221" s="65" t="n"/>
      <c r="P221" s="65" t="n"/>
      <c r="Q221" s="65" t="n"/>
      <c r="R221" s="65" t="n"/>
      <c r="S221" s="65" t="n"/>
      <c r="T221" s="56">
        <f>IF(COUNT($H221:$S221)=0,"",SUM($H221:$S221)/COUNT($H221:$S221))</f>
        <v/>
      </c>
      <c r="U221" s="56">
        <f>IF($G221="","",IF($T221="","",MIN(1,IF($G221=0,IF($T221&lt;=0,1,0),IF($F221="↓",IFERROR($G221/$T221,0),IFERROR($T221/$G221,0))))))</f>
        <v/>
      </c>
      <c r="V221" s="59">
        <f>IF($U221="","⏳ بانتظار هدف",IF($U221&gt;=1.0,"✅ محقق",IF($U221&gt;=0.85,"🟡 قريب","🔴 تحت الهدف")))</f>
        <v/>
      </c>
      <c r="W221" s="66">
        <f>IF($G221="","",$G221)</f>
        <v/>
      </c>
      <c r="X221" s="59">
        <f>IF($U221="","—",IF($U221&gt;=0.85,"🟢 على المسار","🟠 متأخّر"))</f>
        <v/>
      </c>
    </row>
    <row r="222" ht="22" customHeight="1">
      <c r="A222" s="59" t="n">
        <v>219</v>
      </c>
      <c r="B222" s="13" t="inlineStr">
        <is>
          <t>الإدارة المالية</t>
        </is>
      </c>
      <c r="C222" s="11" t="inlineStr">
        <is>
          <t>صافي الفارق بين عائد الاستثمار وتكلفة رأس المال</t>
        </is>
      </c>
      <c r="D222" s="15" t="inlineStr">
        <is>
          <t>شهري</t>
        </is>
      </c>
      <c r="E222" s="15" t="inlineStr">
        <is>
          <t>معدل</t>
        </is>
      </c>
      <c r="F222" s="55" t="inlineStr">
        <is>
          <t>↑</t>
        </is>
      </c>
      <c r="G222" s="67" t="n">
        <v>3</v>
      </c>
      <c r="H222" s="68" t="n"/>
      <c r="I222" s="68" t="n"/>
      <c r="J222" s="68" t="n"/>
      <c r="K222" s="68" t="n"/>
      <c r="L222" s="68" t="n"/>
      <c r="M222" s="68" t="n"/>
      <c r="N222" s="68" t="n"/>
      <c r="O222" s="68" t="n"/>
      <c r="P222" s="68" t="n"/>
      <c r="Q222" s="68" t="n"/>
      <c r="R222" s="68" t="n"/>
      <c r="S222" s="68" t="n"/>
      <c r="T222" s="69">
        <f>IF(COUNT($H222:$S222)=0,"",SUM($H222:$S222)/COUNT($H222:$S222))</f>
        <v/>
      </c>
      <c r="U222" s="56">
        <f>IF($G222="","",IF($T222="","",MIN(1,IF($G222=0,IF($T222&lt;=0,1,0),IF($F222="↓",IFERROR($G222/$T222,0),IFERROR($T222/$G222,0))))))</f>
        <v/>
      </c>
      <c r="V222" s="59">
        <f>IF($U222="","⏳ بانتظار هدف",IF($U222&gt;=1.0,"✅ محقق",IF($U222&gt;=0.85,"🟡 قريب","🔴 تحت الهدف")))</f>
        <v/>
      </c>
      <c r="W222" s="70">
        <f>IF($G222="","",$G222)</f>
        <v/>
      </c>
      <c r="X222" s="59">
        <f>IF($U222="","—",IF($U222&gt;=0.85,"🟢 على المسار","🟠 متأخّر"))</f>
        <v/>
      </c>
    </row>
    <row r="223" ht="22" customHeight="1">
      <c r="A223" s="59" t="n">
        <v>220</v>
      </c>
      <c r="B223" s="13" t="inlineStr">
        <is>
          <t>الإدارة المالية</t>
        </is>
      </c>
      <c r="C223" s="11" t="inlineStr">
        <is>
          <t>دقة المطابقة المحاسبية لمخزون الوقود (الدفتري مقابل الفعلي)</t>
        </is>
      </c>
      <c r="D223" s="15" t="inlineStr">
        <is>
          <t>شهري</t>
        </is>
      </c>
      <c r="E223" s="15" t="inlineStr">
        <is>
          <t>معدل</t>
        </is>
      </c>
      <c r="F223" s="55" t="inlineStr">
        <is>
          <t>↑</t>
        </is>
      </c>
      <c r="G223" s="64" t="n">
        <v>0.995</v>
      </c>
      <c r="H223" s="65" t="n"/>
      <c r="I223" s="65" t="n"/>
      <c r="J223" s="65" t="n"/>
      <c r="K223" s="65" t="n"/>
      <c r="L223" s="65" t="n"/>
      <c r="M223" s="65" t="n"/>
      <c r="N223" s="65" t="n"/>
      <c r="O223" s="65" t="n"/>
      <c r="P223" s="65" t="n"/>
      <c r="Q223" s="65" t="n"/>
      <c r="R223" s="65" t="n"/>
      <c r="S223" s="65" t="n"/>
      <c r="T223" s="56">
        <f>IF(COUNT($H223:$S223)=0,"",SUM($H223:$S223)/COUNT($H223:$S223))</f>
        <v/>
      </c>
      <c r="U223" s="56">
        <f>IF($G223="","",IF($T223="","",MIN(1,IF($G223=0,IF($T223&lt;=0,1,0),IF($F223="↓",IFERROR($G223/$T223,0),IFERROR($T223/$G223,0))))))</f>
        <v/>
      </c>
      <c r="V223" s="59">
        <f>IF($U223="","⏳ بانتظار هدف",IF($U223&gt;=1.0,"✅ محقق",IF($U223&gt;=0.97,"🟡 قريب","🔴 تحت الهدف")))</f>
        <v/>
      </c>
      <c r="W223" s="66">
        <f>IF($G223="","",$G223)</f>
        <v/>
      </c>
      <c r="X223" s="59">
        <f>IF($U223="","—",IF($U223&gt;=0.97,"🟢 على المسار","🟠 متأخّر"))</f>
        <v/>
      </c>
    </row>
    <row r="224" ht="22" customHeight="1">
      <c r="A224" s="59" t="n">
        <v>221</v>
      </c>
      <c r="B224" s="13" t="inlineStr">
        <is>
          <t>الإدارة المالية</t>
        </is>
      </c>
      <c r="C224" s="11" t="inlineStr">
        <is>
          <t>دقة تسوية أرامكو</t>
        </is>
      </c>
      <c r="D224" s="15" t="inlineStr">
        <is>
          <t>شهري</t>
        </is>
      </c>
      <c r="E224" s="15" t="inlineStr">
        <is>
          <t>معدل</t>
        </is>
      </c>
      <c r="F224" s="55" t="inlineStr">
        <is>
          <t>↑</t>
        </is>
      </c>
      <c r="G224" s="64" t="n">
        <v>1</v>
      </c>
      <c r="H224" s="65" t="n"/>
      <c r="I224" s="65" t="n"/>
      <c r="J224" s="65" t="n"/>
      <c r="K224" s="65" t="n"/>
      <c r="L224" s="65" t="n"/>
      <c r="M224" s="65" t="n"/>
      <c r="N224" s="65" t="n"/>
      <c r="O224" s="65" t="n"/>
      <c r="P224" s="65" t="n"/>
      <c r="Q224" s="65" t="n"/>
      <c r="R224" s="65" t="n"/>
      <c r="S224" s="65" t="n"/>
      <c r="T224" s="56">
        <f>IF(COUNT($H224:$S224)=0,"",SUM($H224:$S224)/COUNT($H224:$S224))</f>
        <v/>
      </c>
      <c r="U224" s="56">
        <f>IF($G224="","",IF($T224="","",MIN(1,IF($G224=0,IF($T224&lt;=0,1,0),IF($F224="↓",IFERROR($G224/$T224,0),IFERROR($T224/$G224,0))))))</f>
        <v/>
      </c>
      <c r="V224" s="59">
        <f>IF($U224="","⏳ بانتظار هدف",IF($U224&gt;=1.0,"✅ محقق",IF($U224&gt;=0.97,"🟡 قريب","🔴 تحت الهدف")))</f>
        <v/>
      </c>
      <c r="W224" s="66">
        <f>IF($G224="","",$G224)</f>
        <v/>
      </c>
      <c r="X224" s="59">
        <f>IF($U224="","—",IF($U224&gt;=0.97,"🟢 على المسار","🟠 متأخّر"))</f>
        <v/>
      </c>
    </row>
    <row r="225" ht="22" customHeight="1">
      <c r="A225" s="59" t="n">
        <v>222</v>
      </c>
      <c r="B225" s="13" t="inlineStr">
        <is>
          <t>الإدارة المالية</t>
        </is>
      </c>
      <c r="C225" s="11" t="inlineStr">
        <is>
          <t>انحراف الموازنة</t>
        </is>
      </c>
      <c r="D225" s="15" t="inlineStr">
        <is>
          <t>ربعي</t>
        </is>
      </c>
      <c r="E225" s="15" t="inlineStr">
        <is>
          <t>معدل</t>
        </is>
      </c>
      <c r="F225" s="55" t="inlineStr">
        <is>
          <t>↓</t>
        </is>
      </c>
      <c r="G225" s="64" t="n">
        <v>0.1</v>
      </c>
      <c r="H225" s="65" t="n"/>
      <c r="I225" s="65" t="n"/>
      <c r="J225" s="65" t="n"/>
      <c r="K225" s="65" t="n"/>
      <c r="L225" s="65" t="n"/>
      <c r="M225" s="65" t="n"/>
      <c r="N225" s="65" t="n"/>
      <c r="O225" s="65" t="n"/>
      <c r="P225" s="65" t="n"/>
      <c r="Q225" s="65" t="n"/>
      <c r="R225" s="65" t="n"/>
      <c r="S225" s="65" t="n"/>
      <c r="T225" s="56">
        <f>IF(COUNT($H225:$S225)=0,"",SUM($H225:$S225)/COUNT($H225:$S225))</f>
        <v/>
      </c>
      <c r="U225" s="56">
        <f>IF($G225="","",IF($T225="","",MIN(1,IF($G225=0,IF($T225&lt;=0,1,0),IF($F225="↓",IFERROR($G225/$T225,0),IFERROR($T225/$G225,0))))))</f>
        <v/>
      </c>
      <c r="V225" s="59">
        <f>IF($U225="","⏳ بانتظار هدف",IF($U225&gt;=1.0,"✅ محقق",IF($U225&gt;=0.85,"🟡 قريب","🔴 تحت الهدف")))</f>
        <v/>
      </c>
      <c r="W225" s="66">
        <f>IF($G225="","",$G225)</f>
        <v/>
      </c>
      <c r="X225" s="59">
        <f>IF($U225="","—",IF($U225&gt;=0.85,"🟢 على المسار","🟠 متأخّر"))</f>
        <v/>
      </c>
    </row>
    <row r="226" ht="22" customHeight="1">
      <c r="A226" s="59" t="n">
        <v>223</v>
      </c>
      <c r="B226" s="13" t="inlineStr">
        <is>
          <t>الإدارة المالية</t>
        </is>
      </c>
      <c r="C226" s="11" t="inlineStr">
        <is>
          <t>أيام الإقفال الشهري</t>
        </is>
      </c>
      <c r="D226" s="15" t="inlineStr">
        <is>
          <t>شهري</t>
        </is>
      </c>
      <c r="E226" s="15" t="inlineStr">
        <is>
          <t>معدل</t>
        </is>
      </c>
      <c r="F226" s="55" t="inlineStr">
        <is>
          <t>↓</t>
        </is>
      </c>
      <c r="G226" s="67" t="n">
        <v>6</v>
      </c>
      <c r="H226" s="68" t="n"/>
      <c r="I226" s="68" t="n"/>
      <c r="J226" s="68" t="n"/>
      <c r="K226" s="68" t="n"/>
      <c r="L226" s="68" t="n"/>
      <c r="M226" s="68" t="n"/>
      <c r="N226" s="68" t="n"/>
      <c r="O226" s="68" t="n"/>
      <c r="P226" s="68" t="n"/>
      <c r="Q226" s="68" t="n"/>
      <c r="R226" s="68" t="n"/>
      <c r="S226" s="68" t="n"/>
      <c r="T226" s="69">
        <f>IF(COUNT($H226:$S226)=0,"",SUM($H226:$S226)/COUNT($H226:$S226))</f>
        <v/>
      </c>
      <c r="U226" s="56">
        <f>IF($G226="","",IF($T226="","",MIN(1,IF($G226=0,IF($T226&lt;=0,1,0),IF($F226="↓",IFERROR($G226/$T226,0),IFERROR($T226/$G226,0))))))</f>
        <v/>
      </c>
      <c r="V226" s="59">
        <f>IF($U226="","⏳ بانتظار هدف",IF($U226&gt;=1.0,"✅ محقق",IF($U226&gt;=0.85,"🟡 قريب","🔴 تحت الهدف")))</f>
        <v/>
      </c>
      <c r="W226" s="70">
        <f>IF($G226="","",$G226)</f>
        <v/>
      </c>
      <c r="X226" s="59">
        <f>IF($U226="","—",IF($U226&gt;=0.85,"🟢 على المسار","🟠 متأخّر"))</f>
        <v/>
      </c>
    </row>
    <row r="227" ht="22" customHeight="1">
      <c r="A227" s="59" t="n">
        <v>224</v>
      </c>
      <c r="B227" s="13" t="inlineStr">
        <is>
          <t>الإدارة المالية</t>
        </is>
      </c>
      <c r="C227" s="11" t="inlineStr">
        <is>
          <t>نسبة تسويات التدقيق</t>
        </is>
      </c>
      <c r="D227" s="15" t="inlineStr">
        <is>
          <t>ربعي</t>
        </is>
      </c>
      <c r="E227" s="15" t="inlineStr">
        <is>
          <t>معدل</t>
        </is>
      </c>
      <c r="F227" s="55" t="inlineStr">
        <is>
          <t>↓</t>
        </is>
      </c>
      <c r="G227" s="64" t="n">
        <v>0.02</v>
      </c>
      <c r="H227" s="65" t="n"/>
      <c r="I227" s="65" t="n"/>
      <c r="J227" s="65" t="n"/>
      <c r="K227" s="65" t="n"/>
      <c r="L227" s="65" t="n"/>
      <c r="M227" s="65" t="n"/>
      <c r="N227" s="65" t="n"/>
      <c r="O227" s="65" t="n"/>
      <c r="P227" s="65" t="n"/>
      <c r="Q227" s="65" t="n"/>
      <c r="R227" s="65" t="n"/>
      <c r="S227" s="65" t="n"/>
      <c r="T227" s="56">
        <f>IF(COUNT($H227:$S227)=0,"",SUM($H227:$S227)/COUNT($H227:$S227))</f>
        <v/>
      </c>
      <c r="U227" s="56">
        <f>IF($G227="","",IF($T227="","",MIN(1,IF($G227=0,IF($T227&lt;=0,1,0),IF($F227="↓",IFERROR($G227/$T227,0),IFERROR($T227/$G227,0))))))</f>
        <v/>
      </c>
      <c r="V227" s="59">
        <f>IF($U227="","⏳ بانتظار هدف",IF($U227&gt;=1.0,"✅ محقق",IF($U227&gt;=0.85,"🟡 قريب","🔴 تحت الهدف")))</f>
        <v/>
      </c>
      <c r="W227" s="66">
        <f>IF($G227="","",$G227)</f>
        <v/>
      </c>
      <c r="X227" s="59">
        <f>IF($U227="","—",IF($U227&gt;=0.85,"🟢 على المسار","🟠 متأخّر"))</f>
        <v/>
      </c>
    </row>
  </sheetData>
  <autoFilter ref="A3:X227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11</v>
      </c>
      <c r="D5" s="72" t="n">
        <v>1</v>
      </c>
      <c r="E5" s="15" t="n">
        <v>6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23</v>
      </c>
      <c r="D7" s="72" t="n">
        <v>1</v>
      </c>
      <c r="E7" s="15" t="n">
        <v>13</v>
      </c>
      <c r="F7" s="15" t="n">
        <v>3</v>
      </c>
      <c r="G7" s="15" t="n">
        <v>7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2</v>
      </c>
      <c r="F15" s="15" t="n">
        <v>1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21</v>
      </c>
      <c r="D18" s="72" t="n">
        <v>1</v>
      </c>
      <c r="E18" s="15" t="n">
        <v>10</v>
      </c>
      <c r="F18" s="15" t="n">
        <v>0</v>
      </c>
      <c r="G18" s="15" t="n">
        <v>11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29</v>
      </c>
      <c r="D22" s="24" t="n">
        <v>0.129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</v>
      </c>
    </row>
    <row r="24">
      <c r="A24" s="15" t="n">
        <v>3</v>
      </c>
      <c r="B24" s="13" t="inlineStr">
        <is>
          <t>العمليات الداخلية</t>
        </is>
      </c>
      <c r="C24" s="15" t="n">
        <v>150</v>
      </c>
      <c r="D24" s="24" t="n">
        <v>0.67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0.121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5</v>
      </c>
      <c r="E32" s="15" t="inlineStr">
        <is>
          <t>🟢 كافية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112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26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0.11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0.11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0.11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العائد على حقوق الملكية</t>
        </is>
      </c>
      <c r="D6" s="73" t="inlineStr">
        <is>
          <t>يقيس العائد على حقوق الملكية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4" t="n">
        <v>0.11</v>
      </c>
      <c r="J6" s="15" t="inlineStr">
        <is>
          <t>الرئيس التنفيذي</t>
        </is>
      </c>
      <c r="K6" s="11" t="inlineStr">
        <is>
          <t>نظام المحاسبة / تخطيط الموارد (نظام دايناميكس)</t>
        </is>
      </c>
      <c r="L6" s="15" t="inlineStr">
        <is>
          <t>ربعي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الالتزام بمعايير وزارة الطاقة (تغطية 13 منطقة)</t>
        </is>
      </c>
      <c r="D7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7" s="11" t="inlineStr">
        <is>
          <t>(المتحقّق ÷ الإجمالي) × 100٪</t>
        </is>
      </c>
      <c r="F7" s="15" t="inlineStr">
        <is>
          <t>🎯 نتيجة</t>
        </is>
      </c>
      <c r="G7" s="11" t="inlineStr">
        <is>
          <t>النمو · التوسع في المواقع</t>
        </is>
      </c>
      <c r="H7" s="15" t="inlineStr">
        <is>
          <t>العمليات الداخلية</t>
        </is>
      </c>
      <c r="I7" s="64" t="n">
        <v>0.07000000000000001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إنجاز مشاريع الخارطة التنفيذية</t>
        </is>
      </c>
      <c r="D8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⚙️ نشاط</t>
        </is>
      </c>
      <c r="G8" s="11" t="inlineStr">
        <is>
          <t>الابتكار · إطلاق مشاريع جديدة</t>
        </is>
      </c>
      <c r="H8" s="15" t="inlineStr">
        <is>
          <t>العمليات الداخلية</t>
        </is>
      </c>
      <c r="I8" s="64" t="n">
        <v>0.07000000000000001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نسبة التحول الرقمي على مستوى الشركة</t>
        </is>
      </c>
      <c r="D9" s="73" t="inlineStr">
        <is>
          <t>يقيس نسبة التحول الرقمي على مستوى الشركة ضمن محور «الابتكار»، ويعكس مساهمة الإدارة في ركيزة الابتكار.</t>
        </is>
      </c>
      <c r="E9" s="11" t="inlineStr">
        <is>
          <t>(المتحقّق ÷ الإجمالي) × 100٪</t>
        </is>
      </c>
      <c r="F9" s="15" t="inlineStr">
        <is>
          <t>🔧 تشغيلي</t>
        </is>
      </c>
      <c r="G9" s="11" t="inlineStr">
        <is>
          <t>الابتكار · التحول التقني</t>
        </is>
      </c>
      <c r="H9" s="15" t="inlineStr">
        <is>
          <t>التعلّم والنمو</t>
        </is>
      </c>
      <c r="I9" s="64" t="n">
        <v>0.07000000000000001</v>
      </c>
      <c r="J9" s="15" t="inlineStr">
        <is>
          <t>الرئيس التنفيذي</t>
        </is>
      </c>
      <c r="K9" s="11" t="inlineStr">
        <is>
          <t>سجلات الإدارة</t>
        </is>
      </c>
      <c r="L9" s="15" t="inlineStr">
        <is>
          <t>شهري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العملاء العام (الشركة)</t>
        </is>
      </c>
      <c r="D10" s="73" t="inlineStr">
        <is>
          <t>يقيس مؤشر رضا العملاء العام (الشركة) ضمن محور «الاستدامة»، ويعكس مساهمة الإدارة في ركيزة الاستدامة.</t>
        </is>
      </c>
      <c r="E10" s="11" t="inlineStr">
        <is>
          <t>(المتحقّق ÷ الإجمالي) × 100٪</t>
        </is>
      </c>
      <c r="F10" s="15" t="inlineStr">
        <is>
          <t>🎯 نتيجة</t>
        </is>
      </c>
      <c r="G10" s="11" t="inlineStr">
        <is>
          <t>الاستدامة · تعزيز تجربة العملاء</t>
        </is>
      </c>
      <c r="H10" s="15" t="inlineStr">
        <is>
          <t>العملاء</t>
        </is>
      </c>
      <c r="I10" s="6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مؤشر رضا الموظفين العام</t>
        </is>
      </c>
      <c r="D11" s="73" t="inlineStr">
        <is>
          <t>يقيس مؤشر رضا الموظفين العام ضمن محور «الاستدامة»، ويعكس مساهمة الإدارة في ركيزة الاستدامة.</t>
        </is>
      </c>
      <c r="E11" s="11" t="inlineStr">
        <is>
          <t>٪ المروّجين − ٪ المنتقدين</t>
        </is>
      </c>
      <c r="F11" s="15" t="inlineStr">
        <is>
          <t>🎯 نتيجة</t>
        </is>
      </c>
      <c r="G11" s="11" t="inlineStr">
        <is>
          <t>الاستدامة · الاستثمار في الموظفين</t>
        </is>
      </c>
      <c r="H11" s="15" t="inlineStr">
        <is>
          <t>التعلّم والنمو</t>
        </is>
      </c>
      <c r="I11" s="64" t="n">
        <v>0.1</v>
      </c>
      <c r="J11" s="15" t="inlineStr">
        <is>
          <t>الرئيس التنفيذي</t>
        </is>
      </c>
      <c r="K11" s="11" t="inlineStr">
        <is>
          <t>استبيان دوري</t>
        </is>
      </c>
      <c r="L11" s="15" t="inlineStr">
        <is>
          <t>ربعي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تحقيق المستهدفات الاستراتيجية العامة</t>
        </is>
      </c>
      <c r="D12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🔧 تشغيلي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0.07000000000000001</v>
      </c>
      <c r="J12" s="15" t="inlineStr">
        <is>
          <t>الرئيس التنفيذي</t>
        </is>
      </c>
      <c r="K12" s="11" t="inlineStr">
        <is>
          <t>نظام إدارة القضايا والتحقيقات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الإدارة التنفيذية</t>
        </is>
      </c>
      <c r="C13" s="21" t="inlineStr">
        <is>
          <t>نسبة الالتزام بإطار الحوكمة المؤسسية والامتثال التنظيمي</t>
        </is>
      </c>
      <c r="D13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3" s="11" t="inlineStr">
        <is>
          <t>(المتحقّق ÷ الإجمالي) × 100٪</t>
        </is>
      </c>
      <c r="F13" s="15" t="inlineStr">
        <is>
          <t>🎯 نتيجة</t>
        </is>
      </c>
      <c r="G13" s="11" t="inlineStr">
        <is>
          <t>الاستدامة · جودة التشغيل</t>
        </is>
      </c>
      <c r="H13" s="15" t="inlineStr">
        <is>
          <t>العمليات الداخلية</t>
        </is>
      </c>
      <c r="I13" s="64" t="n">
        <v>0.07000000000000001</v>
      </c>
      <c r="J13" s="15" t="inlineStr">
        <is>
          <t>الرئيس التنفيذي</t>
        </is>
      </c>
      <c r="K13" s="11" t="inlineStr">
        <is>
          <t>نظام إدارة الجودة (نظام إدارة الجودة)</t>
        </is>
      </c>
      <c r="L13" s="15" t="inlineStr">
        <is>
          <t>شهري</t>
        </is>
      </c>
      <c r="M13" s="15" t="inlineStr">
        <is>
          <t>اللجنة التنفيذية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التوسع في المواقع</t>
        </is>
      </c>
      <c r="H14" s="15" t="inlineStr">
        <is>
          <t>العمليات الداخلية</t>
        </is>
      </c>
      <c r="I14" s="64" t="n">
        <v>0.05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نسبة فرص الامتياز التي حققت عائداً للمستثمر</t>
        </is>
      </c>
      <c r="D15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5" s="11" t="inlineStr">
        <is>
          <t>(المتحقّق ÷ الإجمالي) × 100٪</t>
        </is>
      </c>
      <c r="F15" s="15" t="inlineStr">
        <is>
          <t>🔧 تشغيلي</t>
        </is>
      </c>
      <c r="G15" s="11" t="inlineStr">
        <is>
          <t>النمو · الامتياز التجاري</t>
        </is>
      </c>
      <c r="H15" s="15" t="inlineStr">
        <is>
          <t>مالي</t>
        </is>
      </c>
      <c r="I15" s="64" t="n">
        <v>0.03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إجمالي مبيعات وقود محطات الامتياز</t>
        </is>
      </c>
      <c r="D16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6" s="11" t="inlineStr">
        <is>
          <t>إجمالي العدد خلال الفترة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4" t="n">
        <v>0.05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نسبة تأجير وحدات الامتياز</t>
        </is>
      </c>
      <c r="D17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7" s="11" t="inlineStr">
        <is>
          <t>(المتحقّق ÷ الإجمالي) × 100٪</t>
        </is>
      </c>
      <c r="F17" s="15" t="inlineStr">
        <is>
          <t>🔧 تشغيلي</t>
        </is>
      </c>
      <c r="G17" s="11" t="inlineStr">
        <is>
          <t>الاستدامة · منظومة التأجير</t>
        </is>
      </c>
      <c r="H17" s="15" t="inlineStr">
        <is>
          <t>العمليات الداخلية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إدارة العقود</t>
        </is>
      </c>
      <c r="L17" s="15" t="inlineStr">
        <is>
          <t>شهري</t>
        </is>
      </c>
      <c r="M17" s="15" t="inlineStr">
        <is>
          <t>مدير الامتياز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رفع هامش الربحية للامتياز</t>
        </is>
      </c>
      <c r="D18" s="73" t="inlineStr">
        <is>
          <t>يقيس رفع هامش الربحية للامتياز ضمن محور «الأداء المالي»، ويعكس مساهمة الإدارة في ركيزة النمو.</t>
        </is>
      </c>
      <c r="E18" s="11" t="inlineStr">
        <is>
          <t>إجمالي العدد خلال الفترة</t>
        </is>
      </c>
      <c r="F18" s="15" t="inlineStr">
        <is>
          <t>🎯 نتيجة</t>
        </is>
      </c>
      <c r="G18" s="11" t="inlineStr">
        <is>
          <t>النمو · الامتياز التجاري</t>
        </is>
      </c>
      <c r="H18" s="15" t="inlineStr">
        <is>
          <t>مالي</t>
        </is>
      </c>
      <c r="I18" s="64" t="n">
        <v>0.03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نسبة التحصيل المالي من شركاء الامتياز</t>
        </is>
      </c>
      <c r="D19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9" s="11" t="inlineStr">
        <is>
          <t>(المتحقّق ÷ الإجمالي) × 100٪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متوسط أيام تحصيل شركاء الامتياز (أيام التحصيل)</t>
        </is>
      </c>
      <c r="D20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20" s="11" t="inlineStr">
        <is>
          <t>متوسط يوم خلال الفترة</t>
        </is>
      </c>
      <c r="F20" s="15" t="inlineStr">
        <is>
          <t>🎯 نتيجة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0.05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نسبة الشركاء الملتزمين بمواعيد السداد</t>
        </is>
      </c>
      <c r="D21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المحاسبة / تخطيط الموارد (نظام دايناميكس)</t>
        </is>
      </c>
      <c r="L21" s="15" t="inlineStr">
        <is>
          <t>شهري</t>
        </is>
      </c>
      <c r="M21" s="15" t="inlineStr">
        <is>
          <t>الإدارة المالية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معدل دوران رأس المال (أيام الدورة)</t>
        </is>
      </c>
      <c r="D22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🔧 تشغيلي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4" t="n">
        <v>0.03</v>
      </c>
      <c r="J22" s="15" t="inlineStr">
        <is>
          <t>مدير الامتياز</t>
        </is>
      </c>
      <c r="K22" s="11" t="inlineStr">
        <is>
          <t>نظام الموارد البشرية</t>
        </is>
      </c>
      <c r="L22" s="15" t="inlineStr">
        <is>
          <t>شهري</t>
        </is>
      </c>
      <c r="M22" s="15" t="inlineStr">
        <is>
          <t>مدير الامتياز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التحصيل خلال 5 أيام عمل</t>
        </is>
      </c>
      <c r="D23" s="73" t="inlineStr">
        <is>
          <t>يقيس نسبة التحصيل خلال 5 أيام عمل ضمن محور «الأداء المالي»،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الامتياز التجاري</t>
        </is>
      </c>
      <c r="H23" s="15" t="inlineStr">
        <is>
          <t>مالي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المحاسبة / تخطيط الموارد (نظام دايناميكس)</t>
        </is>
      </c>
      <c r="L23" s="15" t="inlineStr">
        <is>
          <t>شهري</t>
        </is>
      </c>
      <c r="M23" s="15" t="inlineStr">
        <is>
          <t>الإدارة المالية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جاهزية محطات الامتياز (صفر انقطاع)</t>
        </is>
      </c>
      <c r="D24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0.05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نسبة إغلاق ملاحظات الجودة الميدانية</t>
        </is>
      </c>
      <c r="D25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5" s="11" t="inlineStr">
        <is>
          <t>(المتحقّق ÷ الإجمالي) × 100٪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0.03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متوسط درجة تقييم جودة المحطة (قائمة التحقق)</t>
        </is>
      </c>
      <c r="D26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6" s="11" t="inlineStr">
        <is>
          <t>إجمالي العدد خلال الفترة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0.05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تنفيذ الزيارات الميدانية المجدولة</t>
        </is>
      </c>
      <c r="D27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0.03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نسبة المحطات المستوفية لمعايير السلامة</t>
        </is>
      </c>
      <c r="D28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0.05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متوسط وقت معالجة البلاغات التشغيلية</t>
        </is>
      </c>
      <c r="D29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9" s="11" t="inlineStr">
        <is>
          <t>متوسط ساعة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4" t="n">
        <v>0.03</v>
      </c>
      <c r="J29" s="15" t="inlineStr">
        <is>
          <t>مدير الامتياز</t>
        </is>
      </c>
      <c r="K29" s="11" t="inlineStr">
        <is>
          <t>نظام إدارة الجودة (نظام إدارة الجودة)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أتمتة محطات الامتياز</t>
        </is>
      </c>
      <c r="D30" s="73" t="inlineStr">
        <is>
          <t>يقيس نسبة أتمتة محطات الامتياز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0.05</v>
      </c>
      <c r="J30" s="15" t="inlineStr">
        <is>
          <t>مدير الامتياز</t>
        </is>
      </c>
      <c r="K30" s="11" t="inlineStr">
        <is>
          <t>مكتب إدارة المشاريع (مكتب إدارة المشاريع)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تطبيق المعيار الشامل داخل المحطات</t>
        </is>
      </c>
      <c r="D31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🔧 تشغيلي</t>
        </is>
      </c>
      <c r="G31" s="11" t="inlineStr">
        <is>
          <t>الابتكار · التحول التقني</t>
        </is>
      </c>
      <c r="H31" s="15" t="inlineStr">
        <is>
          <t>التعلّم والنمو</t>
        </is>
      </c>
      <c r="I31" s="64" t="n">
        <v>0.01</v>
      </c>
      <c r="J31" s="15" t="inlineStr">
        <is>
          <t>مدير الامتياز</t>
        </is>
      </c>
      <c r="K31" s="11" t="inlineStr">
        <is>
          <t>نظام إدارة الجودة (نظام إدارة الجودة)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نسبة التزام المحطات بالهوية المؤسسية</t>
        </is>
      </c>
      <c r="D32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2" s="11" t="inlineStr">
        <is>
          <t>(المتحقّق ÷ الإجمالي) × 100٪</t>
        </is>
      </c>
      <c r="F32" s="15" t="inlineStr">
        <is>
          <t>🎯 نتيجة</t>
        </is>
      </c>
      <c r="G32" s="11" t="inlineStr">
        <is>
          <t>الابتكار · تطوير التصاميم والهوية</t>
        </is>
      </c>
      <c r="H32" s="15" t="inlineStr">
        <is>
          <t>التعلّم والنمو</t>
        </is>
      </c>
      <c r="I32" s="64" t="n">
        <v>0.05</v>
      </c>
      <c r="J32" s="15" t="inlineStr">
        <is>
          <t>مدير الامتياز</t>
        </is>
      </c>
      <c r="K32" s="11" t="inlineStr">
        <is>
          <t>نظام تشغيل المحطات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متوسط تقييم المحطات على خرائط قوقل</t>
        </is>
      </c>
      <c r="D33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3" s="11" t="inlineStr">
        <is>
          <t>متوسط التقييم (من 5)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0.05</v>
      </c>
      <c r="J33" s="15" t="inlineStr">
        <is>
          <t>مدير الامتياز</t>
        </is>
      </c>
      <c r="K33" s="11" t="inlineStr">
        <is>
          <t>تقييمات خرائط قوقل</t>
        </is>
      </c>
      <c r="L33" s="15" t="inlineStr">
        <is>
          <t>شهري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معدل رضا شركاء الامتياز (رضا الشركاء)</t>
        </is>
      </c>
      <c r="D34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0.04</v>
      </c>
      <c r="J34" s="15" t="inlineStr">
        <is>
          <t>مدير الامتياز</t>
        </is>
      </c>
      <c r="K34" s="11" t="inlineStr">
        <is>
          <t>استبيان دوري</t>
        </is>
      </c>
      <c r="L34" s="15" t="inlineStr">
        <is>
          <t>ربعي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حل الشكاوى خلال المدة المحددة</t>
        </is>
      </c>
      <c r="D35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انخفاض الشكاوى التشغيلية والإدارية</t>
        </is>
      </c>
      <c r="D36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4" t="n">
        <v>0.03</v>
      </c>
      <c r="J36" s="15" t="inlineStr">
        <is>
          <t>مدير الامتياز</t>
        </is>
      </c>
      <c r="K36" s="11" t="inlineStr">
        <is>
          <t>سجلات الإدارة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استدامة أصحاب الامتياز</t>
        </is>
      </c>
      <c r="D37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نسبة زيادة عدد أصحاب الامتياز</t>
        </is>
      </c>
      <c r="D38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⚙️ نشاط</t>
        </is>
      </c>
      <c r="G38" s="11" t="inlineStr">
        <is>
          <t>الاستدامة · تعزيز تجربة العملاء</t>
        </is>
      </c>
      <c r="H38" s="15" t="inlineStr">
        <is>
          <t>العمليات الداخلية</t>
        </is>
      </c>
      <c r="I38" s="64" t="n">
        <v>0.03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الامتياز التجاري</t>
        </is>
      </c>
      <c r="C39" s="21" t="inlineStr">
        <is>
          <t>متوسط مدة إغلاق عقد الامتياز</t>
        </is>
      </c>
      <c r="D39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9" s="11" t="inlineStr">
        <is>
          <t>متوسط أسبوع خلال الفترة</t>
        </is>
      </c>
      <c r="F39" s="15" t="inlineStr">
        <is>
          <t>🎯 نتيجة</t>
        </is>
      </c>
      <c r="G39" s="11" t="inlineStr">
        <is>
          <t>النمو · الامتياز التجاري</t>
        </is>
      </c>
      <c r="H39" s="15" t="inlineStr">
        <is>
          <t>العمليات الداخلية</t>
        </is>
      </c>
      <c r="I39" s="64" t="n">
        <v>0.04</v>
      </c>
      <c r="J39" s="15" t="inlineStr">
        <is>
          <t>مدير الامتياز</t>
        </is>
      </c>
      <c r="K39" s="11" t="inlineStr">
        <is>
          <t>نظام إدارة الجودة (نظام إدارة الجودة)</t>
        </is>
      </c>
      <c r="L39" s="15" t="inlineStr">
        <is>
          <t>شهري</t>
        </is>
      </c>
      <c r="M39" s="15" t="inlineStr">
        <is>
          <t>مدير الامتياز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عدد محطات الشركة المشغّلة (تراكمي)</t>
        </is>
      </c>
      <c r="D40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40" s="11" t="inlineStr">
        <is>
          <t>إجمالي العدد خلال الفترة</t>
        </is>
      </c>
      <c r="F40" s="15" t="inlineStr">
        <is>
          <t>⚙️ نشاط</t>
        </is>
      </c>
      <c r="G40" s="11" t="inlineStr">
        <is>
          <t>النمو · التوسع في المواقع</t>
        </is>
      </c>
      <c r="H40" s="15" t="inlineStr">
        <is>
          <t>العمليات الداخلية</t>
        </is>
      </c>
      <c r="I40" s="64" t="n">
        <v>0.05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تحقيق مستهدف مبيعات الوقود</t>
        </is>
      </c>
      <c r="D41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🎯 نتيجة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0.05</v>
      </c>
      <c r="J41" s="15" t="inlineStr">
        <is>
          <t>مدير التشغيل</t>
        </is>
      </c>
      <c r="K41" s="11" t="inlineStr">
        <is>
          <t>نظام إدارة القضايا والتحقيقات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نسبة تشغيل المحطات الجديدة وفق الخطة</t>
        </is>
      </c>
      <c r="D42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2" s="11" t="inlineStr">
        <is>
          <t>(المتحقّق ÷ الإجمالي) × 100٪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العمليات الداخلية</t>
        </is>
      </c>
      <c r="I42" s="64" t="n">
        <v>0.03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تكلفة التشغيل لكل لتر مبيع</t>
        </is>
      </c>
      <c r="D43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النمو · زيادة وصول العملاء</t>
        </is>
      </c>
      <c r="H43" s="15" t="inlineStr">
        <is>
          <t>مالي</t>
        </is>
      </c>
      <c r="I43" s="64" t="n">
        <v>0.03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مؤشر جودة التشغيل بالمحطات</t>
        </is>
      </c>
      <c r="D44" s="73" t="inlineStr">
        <is>
          <t>يقيس مؤشر جودة التشغيل بالمحطات ضمن محور «جودة التشغيل»، ويعكس مساهمة الإدارة في ركيزة الاستدامة.</t>
        </is>
      </c>
      <c r="E44" s="11" t="inlineStr">
        <is>
          <t>إجمالي العدد خلال الفترة</t>
        </is>
      </c>
      <c r="F44" s="15" t="inlineStr">
        <is>
          <t>🔧 تشغيلي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0.12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الالتزام بإجراءات التشغيل القياسية</t>
        </is>
      </c>
      <c r="D45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0.08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إغلاق الملاحظات التشغيلية ضمن المدة المحددة</t>
        </is>
      </c>
      <c r="D46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0.04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مؤشر الالتزام بمتطلبات السلامة</t>
        </is>
      </c>
      <c r="D47" s="73" t="inlineStr">
        <is>
          <t>يقيس مؤشر الالتزام بمتطلبات السلامة ضمن محور «السلامة والصحة المهنية»،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0.08</v>
      </c>
      <c r="J47" s="15" t="inlineStr">
        <is>
          <t>مدير التشغيل</t>
        </is>
      </c>
      <c r="K47" s="11" t="inlineStr">
        <is>
          <t>نظام تشغيل المحطات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والصحة المهنية»،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0.04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معدل تكرار الإصابات المسجّلة</t>
        </is>
      </c>
      <c r="D49" s="73" t="inlineStr">
        <is>
          <t>يقيس معدل تكرار الإصابات المسجّلة ضمن محور «السلامة والصحة المهنية»،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0.04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تنفيذ خطة تفتيش السلامة الدوري</t>
        </is>
      </c>
      <c r="D50" s="73" t="inlineStr">
        <is>
          <t>يقيس نسبة تنفيذ خطة تفتيش السلامة الدوري ضمن محور «السلامة والصحة المهنية»،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⚙️ نشاط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0.03</v>
      </c>
      <c r="J50" s="15" t="inlineStr">
        <is>
          <t>مدير التشغيل</t>
        </is>
      </c>
      <c r="K50" s="11" t="inlineStr">
        <is>
          <t>نظام إدارة الجودة (نظام إدارة الجودة)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إغلاق ملاحظات السلامة ضمن المدة</t>
        </is>
      </c>
      <c r="D51" s="73" t="inlineStr">
        <is>
          <t>يقيس نسبة إغلاق ملاحظات السلامة ضمن المدة ضمن محور «السلامة والصحة المهنية»،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0.03</v>
      </c>
      <c r="J51" s="15" t="inlineStr">
        <is>
          <t>مدير التشغيل</t>
        </is>
      </c>
      <c r="K51" s="11" t="inlineStr">
        <is>
          <t>نظام إدارة الجودة (نظام إدارة الجودة)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المحطات ذات التراخيص والتصاريح السارية</t>
        </is>
      </c>
      <c r="D52" s="73" t="inlineStr">
        <is>
          <t>يقيس نسبة المحطات ذات التراخيص والتصاريح السارية ضمن محور «التراخيص والامتثال»،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🔧 تشغيلي</t>
        </is>
      </c>
      <c r="G52" s="11" t="inlineStr">
        <is>
          <t>الاستدامة · جودة التشغيل</t>
        </is>
      </c>
      <c r="H52" s="15" t="inlineStr">
        <is>
          <t>العمليات الداخلية</t>
        </is>
      </c>
      <c r="I52" s="64" t="n">
        <v>0.05</v>
      </c>
      <c r="J52" s="15" t="inlineStr">
        <is>
          <t>مدير التشغيل</t>
        </is>
      </c>
      <c r="K52" s="11" t="inlineStr">
        <is>
          <t>نظام إدارة الجودة (نظام إدارة الجودة)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خفض استهلاك الطاقة بالمحطات</t>
        </is>
      </c>
      <c r="D53" s="73" t="inlineStr">
        <is>
          <t>يقيس نسبة خفض استهلاك الطاقة بالمحطات ضمن محور «البيئة والاستدامة»،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جودة التشغيل</t>
        </is>
      </c>
      <c r="H53" s="15" t="inlineStr">
        <is>
          <t>العمليات الداخلية</t>
        </is>
      </c>
      <c r="I53" s="64" t="n">
        <v>0.02</v>
      </c>
      <c r="J53" s="15" t="inlineStr">
        <is>
          <t>مدير التشغيل</t>
        </is>
      </c>
      <c r="K53" s="11" t="inlineStr">
        <is>
          <t>نظام تشغيل المحطات</t>
        </is>
      </c>
      <c r="L53" s="15" t="inlineStr">
        <is>
          <t>ربعي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عدد الحوادث والتسربات البيئية</t>
        </is>
      </c>
      <c r="D54" s="73" t="inlineStr">
        <is>
          <t>يقيس عدد الحوادث والتسربات البيئية ضمن محور «البيئة والاستدامة»،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الاستدامة · جودة التشغيل</t>
        </is>
      </c>
      <c r="H54" s="15" t="inlineStr">
        <is>
          <t>العمليات الداخلية</t>
        </is>
      </c>
      <c r="I54" s="64" t="n">
        <v>0.02</v>
      </c>
      <c r="J54" s="15" t="inlineStr">
        <is>
          <t>مدير التشغيل</t>
        </is>
      </c>
      <c r="K54" s="11" t="inlineStr">
        <is>
          <t>سجلات الإدارة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التشغيل والمحطات</t>
        </is>
      </c>
      <c r="C55" s="21" t="inlineStr">
        <is>
          <t>نسبة الالتزام بإدارة النفايات وإعادة التدوير</t>
        </is>
      </c>
      <c r="D55" s="73" t="inlineStr">
        <is>
          <t>يقيس نسبة الالتزام بإدارة النفايات وإعادة التدوير ضمن محور «البيئة والاستدامة»،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4" t="n">
        <v>0.02</v>
      </c>
      <c r="J55" s="15" t="inlineStr">
        <is>
          <t>مدير التشغيل</t>
        </is>
      </c>
      <c r="K55" s="11" t="inlineStr">
        <is>
          <t>سجلات الإدارة</t>
        </is>
      </c>
      <c r="L55" s="15" t="inlineStr">
        <is>
          <t>شهري</t>
        </is>
      </c>
      <c r="M55" s="15" t="inlineStr">
        <is>
          <t>مدير التشغيل</t>
        </is>
      </c>
      <c r="N55" s="57" t="n"/>
    </row>
    <row r="56" ht="30" customHeight="1">
      <c r="A56" s="15" t="n">
        <v>54</v>
      </c>
      <c r="B56" s="13" t="inlineStr">
        <is>
          <t>التشغيل والمحطات</t>
        </is>
      </c>
      <c r="C56" s="21" t="inlineStr">
        <is>
          <t>نسبة ترشيد استهلاك المياه بالمحطات</t>
        </is>
      </c>
      <c r="D56" s="73" t="inlineStr">
        <is>
          <t>يقيس نسبة ترشيد استهلاك المياه بالمحطات ضمن محور «البيئة والاستدامة»، ويعكس مساهمة الإدارة في ركيزة الاستدامة.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الاستدامة · جودة التشغيل</t>
        </is>
      </c>
      <c r="H56" s="15" t="inlineStr">
        <is>
          <t>العمليات الداخلية</t>
        </is>
      </c>
      <c r="I56" s="64" t="n">
        <v>0.01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ربعي</t>
        </is>
      </c>
      <c r="M56" s="15" t="inlineStr">
        <is>
          <t>مدير التشغيل</t>
        </is>
      </c>
      <c r="N56" s="57" t="n"/>
    </row>
    <row r="57" ht="30" customHeight="1">
      <c r="A57" s="15" t="n">
        <v>55</v>
      </c>
      <c r="B57" s="13" t="inlineStr">
        <is>
          <t>التشغيل والمحطات</t>
        </is>
      </c>
      <c r="C57" s="21" t="inlineStr">
        <is>
          <t>مؤشر النظافة بالمحطات</t>
        </is>
      </c>
      <c r="D57" s="73" t="inlineStr">
        <is>
          <t>يقيس مؤشر النظافة بالمحطات ضمن محور «النظافة والهوية البصرية»، ويعكس مساهمة الإدارة في ركيزة الاستدامة.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4" t="n">
        <v>0.06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57" t="n"/>
    </row>
    <row r="58" ht="30" customHeight="1">
      <c r="A58" s="15" t="n">
        <v>56</v>
      </c>
      <c r="B58" s="13" t="inlineStr">
        <is>
          <t>التشغيل والمحطات</t>
        </is>
      </c>
      <c r="C58" s="21" t="inlineStr">
        <is>
          <t>مؤشر الالتزام بالهوية البصرية والمظهر العام</t>
        </is>
      </c>
      <c r="D58" s="73" t="inlineStr">
        <is>
          <t>يقيس مؤشر الالتزام بالهوية البصرية والمظهر العام ضمن محور «النظافة والهوية البصرية»، ويعكس مساهمة الإدارة في ركيزة الاستدامة.</t>
        </is>
      </c>
      <c r="E58" s="11" t="inlineStr">
        <is>
          <t>إجمالي العدد خلال الفترة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التعلّم والنمو</t>
        </is>
      </c>
      <c r="I58" s="64" t="n">
        <v>0.05</v>
      </c>
      <c r="J58" s="15" t="inlineStr">
        <is>
          <t>مدير التشغيل</t>
        </is>
      </c>
      <c r="K58" s="11" t="inlineStr">
        <is>
          <t>سجلات الإدارة</t>
        </is>
      </c>
      <c r="L58" s="15" t="inlineStr">
        <is>
          <t>شهري</t>
        </is>
      </c>
      <c r="M58" s="15" t="inlineStr">
        <is>
          <t>مدير التشغيل</t>
        </is>
      </c>
      <c r="N58" s="57" t="n"/>
    </row>
    <row r="59" ht="30" customHeight="1">
      <c r="A59" s="15" t="n">
        <v>57</v>
      </c>
      <c r="B59" s="13" t="inlineStr">
        <is>
          <t>التشغيل والمحطات</t>
        </is>
      </c>
      <c r="C59" s="21" t="inlineStr">
        <is>
          <t>نسبة الالتزام بمظهر وانضباط العاملين بالمحطات</t>
        </is>
      </c>
      <c r="D59" s="73" t="inlineStr">
        <is>
          <t>يقيس نسبة الالتزام بمظهر وانضباط العاملين بالمحطات ضمن محور «النظافة والهوية البصرية»،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العمليات الداخلية</t>
        </is>
      </c>
      <c r="I59" s="64" t="n">
        <v>0.03</v>
      </c>
      <c r="J59" s="15" t="inlineStr">
        <is>
          <t>مدير التشغيل</t>
        </is>
      </c>
      <c r="K59" s="11" t="inlineStr">
        <is>
          <t>نظام تشغيل المحطات</t>
        </is>
      </c>
      <c r="L59" s="15" t="inlineStr">
        <is>
          <t>شهري</t>
        </is>
      </c>
      <c r="M59" s="15" t="inlineStr">
        <is>
          <t>مدير التشغيل</t>
        </is>
      </c>
      <c r="N59" s="57" t="n"/>
    </row>
    <row r="60" ht="30" customHeight="1">
      <c r="A60" s="15" t="n">
        <v>58</v>
      </c>
      <c r="B60" s="13" t="inlineStr">
        <is>
          <t>التشغيل والمحطات</t>
        </is>
      </c>
      <c r="C60" s="21" t="inlineStr">
        <is>
          <t>انخفاض معدل الشكاوى التشغيلية</t>
        </is>
      </c>
      <c r="D60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60" s="11" t="inlineStr">
        <is>
          <t>(المتحقّق ÷ الإجمالي) × 100٪</t>
        </is>
      </c>
      <c r="F60" s="15" t="inlineStr">
        <is>
          <t>🎯 نتيجة</t>
        </is>
      </c>
      <c r="G60" s="11" t="inlineStr">
        <is>
          <t>الاستدامة · تعزيز تجربة العملاء</t>
        </is>
      </c>
      <c r="H60" s="15" t="inlineStr">
        <is>
          <t>العملاء</t>
        </is>
      </c>
      <c r="I60" s="64" t="n">
        <v>0.05</v>
      </c>
      <c r="J60" s="15" t="inlineStr">
        <is>
          <t>مدير التشغيل</t>
        </is>
      </c>
      <c r="K60" s="11" t="inlineStr">
        <is>
          <t>استبيان دوري</t>
        </is>
      </c>
      <c r="L60" s="15" t="inlineStr">
        <is>
          <t>ربعي</t>
        </is>
      </c>
      <c r="M60" s="15" t="inlineStr">
        <is>
          <t>مدير التشغيل</t>
        </is>
      </c>
      <c r="N60" s="57" t="n"/>
    </row>
    <row r="61" ht="30" customHeight="1">
      <c r="A61" s="15" t="n">
        <v>59</v>
      </c>
      <c r="B61" s="13" t="inlineStr">
        <is>
          <t>التشغيل والمحطات</t>
        </is>
      </c>
      <c r="C61" s="21" t="inlineStr">
        <is>
          <t>نسبة حل الشكاوى التشغيلية خلال المدة المحددة</t>
        </is>
      </c>
      <c r="D61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61" s="11" t="inlineStr">
        <is>
          <t>(المتحقّق ÷ الإجمالي) × 100٪</t>
        </is>
      </c>
      <c r="F61" s="15" t="inlineStr">
        <is>
          <t>🎯 نتيجة</t>
        </is>
      </c>
      <c r="G61" s="11" t="inlineStr">
        <is>
          <t>الاستدامة · تعزيز تجربة العملاء</t>
        </is>
      </c>
      <c r="H61" s="15" t="inlineStr">
        <is>
          <t>العملاء</t>
        </is>
      </c>
      <c r="I61" s="64" t="n">
        <v>0.04</v>
      </c>
      <c r="J61" s="15" t="inlineStr">
        <is>
          <t>مدير التشغيل</t>
        </is>
      </c>
      <c r="K61" s="11" t="inlineStr">
        <is>
          <t>استبيان دوري</t>
        </is>
      </c>
      <c r="L61" s="15" t="inlineStr">
        <is>
          <t>شهري</t>
        </is>
      </c>
      <c r="M61" s="15" t="inlineStr">
        <is>
          <t>مدير التشغيل</t>
        </is>
      </c>
      <c r="N61" s="57" t="n"/>
    </row>
    <row r="62" ht="30" customHeight="1">
      <c r="A62" s="15" t="n">
        <v>60</v>
      </c>
      <c r="B62" s="13" t="inlineStr">
        <is>
          <t>التشغيل والمحطات</t>
        </is>
      </c>
      <c r="C62" s="21" t="inlineStr">
        <is>
          <t>متوسط تقييم المحطات على خرائط قوقل</t>
        </is>
      </c>
      <c r="D62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62" s="11" t="inlineStr">
        <is>
          <t>إجمالي العدد خلال الفترة</t>
        </is>
      </c>
      <c r="F62" s="15" t="inlineStr">
        <is>
          <t>🎯 نتيجة</t>
        </is>
      </c>
      <c r="G62" s="11" t="inlineStr">
        <is>
          <t>الاستدامة · تعزيز تجربة العملاء</t>
        </is>
      </c>
      <c r="H62" s="15" t="inlineStr">
        <is>
          <t>العملاء</t>
        </is>
      </c>
      <c r="I62" s="64" t="n">
        <v>0.03</v>
      </c>
      <c r="J62" s="15" t="inlineStr">
        <is>
          <t>مدير التشغيل</t>
        </is>
      </c>
      <c r="K62" s="11" t="inlineStr">
        <is>
          <t>تقييمات خرائط قوقل</t>
        </is>
      </c>
      <c r="L62" s="15" t="inlineStr">
        <is>
          <t>شهري</t>
        </is>
      </c>
      <c r="M62" s="15" t="inlineStr">
        <is>
          <t>مدير التشغيل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عدد فرص الاستثمار المدروسة</t>
        </is>
      </c>
      <c r="D63" s="73" t="inlineStr">
        <is>
          <t>يقيس عدد فرص الاستثمار المدروسة ضمن محور «الفرص والنمو»،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⚙️ نشاط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نظام إدارة العقود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الفرص المحوَّلة إلى عقود</t>
        </is>
      </c>
      <c r="D64" s="73" t="inlineStr">
        <is>
          <t>يقيس نسبة الفرص المحوَّلة إلى عقود ضمن محور «الفرص والنمو»، ويعكس مساهمة الإدارة في ركيزة النمو.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العقود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عدد عقود الاستثمار الجديدة (كل النماذج)</t>
        </is>
      </c>
      <c r="D65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⚙️ نشاط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العقود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المحطات المستحوَذ عليها المشغّلة (تراكمي)</t>
        </is>
      </c>
      <c r="D66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66" s="11" t="inlineStr">
        <is>
          <t>إجمالي العدد خلال الفترة</t>
        </is>
      </c>
      <c r="F66" s="15" t="inlineStr">
        <is>
          <t>🔧 تشغيلي</t>
        </is>
      </c>
      <c r="G66" s="11" t="inlineStr">
        <is>
          <t>النمو · التوسع في المواقع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الاستثمار</t>
        </is>
      </c>
      <c r="K66" s="11" t="inlineStr">
        <is>
          <t>نظام تشغيل المحطات</t>
        </is>
      </c>
      <c r="L66" s="15" t="inlineStr">
        <is>
          <t>شهري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الاستثمار</t>
        </is>
      </c>
      <c r="C67" s="21" t="inlineStr">
        <is>
          <t>نسبة المواقع ذات العائد المجدي</t>
        </is>
      </c>
      <c r="D67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4" t="n">
        <v>0.1</v>
      </c>
      <c r="J67" s="15" t="inlineStr">
        <is>
          <t>مدير الاستثمار</t>
        </is>
      </c>
      <c r="K67" s="11" t="inlineStr">
        <is>
          <t>نظام المحاسبة / تخطيط الموارد (نظام دايناميكس)</t>
        </is>
      </c>
      <c r="L67" s="15" t="inlineStr">
        <is>
          <t>شهري</t>
        </is>
      </c>
      <c r="M67" s="15" t="inlineStr">
        <is>
          <t>الإدارة المالية</t>
        </is>
      </c>
      <c r="N67" s="57" t="n"/>
    </row>
    <row r="68" ht="30" customHeight="1">
      <c r="A68" s="15" t="n">
        <v>66</v>
      </c>
      <c r="B68" s="13" t="inlineStr">
        <is>
          <t>الاستثمار</t>
        </is>
      </c>
      <c r="C68" s="21" t="inlineStr">
        <is>
          <t>متوسط فترة استرداد رأس المال</t>
        </is>
      </c>
      <c r="D68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8" s="11" t="inlineStr">
        <is>
          <t>متوسط سنة خلال الفترة</t>
        </is>
      </c>
      <c r="F68" s="15" t="inlineStr">
        <is>
          <t>🔧 تشغيلي</t>
        </is>
      </c>
      <c r="G68" s="11" t="inlineStr">
        <is>
          <t>الاستدامة · جودة التشغيل</t>
        </is>
      </c>
      <c r="H68" s="15" t="inlineStr">
        <is>
          <t>مالي</t>
        </is>
      </c>
      <c r="I68" s="64" t="n">
        <v>0.06</v>
      </c>
      <c r="J68" s="15" t="inlineStr">
        <is>
          <t>مدير الاستثمار</t>
        </is>
      </c>
      <c r="K68" s="11" t="inlineStr">
        <is>
          <t>نظام المحاسبة / تخطيط الموارد (نظام دايناميكس)</t>
        </is>
      </c>
      <c r="L68" s="15" t="inlineStr">
        <is>
          <t>شهري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الاستثمار</t>
        </is>
      </c>
      <c r="C69" s="21" t="inlineStr">
        <is>
          <t>متوسط مدة إغلاق عقد الاستثمار</t>
        </is>
      </c>
      <c r="D69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9" s="11" t="inlineStr">
        <is>
          <t>متوسط أسبوع خلال الفترة</t>
        </is>
      </c>
      <c r="F69" s="15" t="inlineStr">
        <is>
          <t>🎯 نتيجة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4" t="n">
        <v>0.1</v>
      </c>
      <c r="J69" s="15" t="inlineStr">
        <is>
          <t>مدير الاستثمار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الاستثمار</t>
        </is>
      </c>
      <c r="N69" s="57" t="n"/>
    </row>
    <row r="70" ht="30" customHeight="1">
      <c r="A70" s="15" t="n">
        <v>68</v>
      </c>
      <c r="B70" s="13" t="inlineStr">
        <is>
          <t>الاستثمار</t>
        </is>
      </c>
      <c r="C70" s="21" t="inlineStr">
        <is>
          <t>نسبة العقود المتحوّلة إلى محطات مشغّلة</t>
        </is>
      </c>
      <c r="D70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4" t="n">
        <v>0.1</v>
      </c>
      <c r="J70" s="15" t="inlineStr">
        <is>
          <t>مدير الاستثمار</t>
        </is>
      </c>
      <c r="K70" s="11" t="inlineStr">
        <is>
          <t>نظام إدارة العقود</t>
        </is>
      </c>
      <c r="L70" s="15" t="inlineStr">
        <is>
          <t>شهري</t>
        </is>
      </c>
      <c r="M70" s="15" t="inlineStr">
        <is>
          <t>مدير الاستثمار</t>
        </is>
      </c>
      <c r="N70" s="57" t="n"/>
    </row>
    <row r="71" ht="30" customHeight="1">
      <c r="A71" s="15" t="n">
        <v>69</v>
      </c>
      <c r="B71" s="13" t="inlineStr">
        <is>
          <t>الاستثمار</t>
        </is>
      </c>
      <c r="C71" s="21" t="inlineStr">
        <is>
          <t>نسبة التغطية الإقليمية (13 منطقة)</t>
        </is>
      </c>
      <c r="D71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4" t="n">
        <v>0.06</v>
      </c>
      <c r="J71" s="15" t="inlineStr">
        <is>
          <t>مدير الاستثمار</t>
        </is>
      </c>
      <c r="K71" s="11" t="inlineStr">
        <is>
          <t>سجلات الإدارة</t>
        </is>
      </c>
      <c r="L71" s="15" t="inlineStr">
        <is>
          <t>شهري</t>
        </is>
      </c>
      <c r="M71" s="15" t="inlineStr">
        <is>
          <t>مدير الاستثمار</t>
        </is>
      </c>
      <c r="N71" s="57" t="n"/>
    </row>
    <row r="72" ht="30" customHeight="1">
      <c r="A72" s="15" t="n">
        <v>70</v>
      </c>
      <c r="B72" s="13" t="inlineStr">
        <is>
          <t>الاستثمار</t>
        </is>
      </c>
      <c r="C72" s="21" t="inlineStr">
        <is>
          <t>نسبة اكتمال المستندات النظامية قبل التوقيع</t>
        </is>
      </c>
      <c r="D72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⚙️ نشاط</t>
        </is>
      </c>
      <c r="G72" s="11" t="inlineStr">
        <is>
          <t>الاستدامة · جودة التشغيل</t>
        </is>
      </c>
      <c r="H72" s="15" t="inlineStr">
        <is>
          <t>العمليات الداخلية</t>
        </is>
      </c>
      <c r="I72" s="64" t="n">
        <v>0.03</v>
      </c>
      <c r="J72" s="15" t="inlineStr">
        <is>
          <t>مدير الاستثمار</t>
        </is>
      </c>
      <c r="K72" s="11" t="inlineStr">
        <is>
          <t>نظام إدارة الجودة (نظام إدارة الجودة)</t>
        </is>
      </c>
      <c r="L72" s="15" t="inlineStr">
        <is>
          <t>شهري</t>
        </is>
      </c>
      <c r="M72" s="15" t="inlineStr">
        <is>
          <t>مدير الاستثمار</t>
        </is>
      </c>
      <c r="N72" s="57" t="n"/>
    </row>
    <row r="73" ht="30" customHeight="1">
      <c r="A73" s="15" t="n">
        <v>71</v>
      </c>
      <c r="B73" s="13" t="inlineStr">
        <is>
          <t>الاستثمار</t>
        </is>
      </c>
      <c r="C73" s="21" t="inlineStr">
        <is>
          <t>نسبة العقود المؤرشفة إلكترونياً خلال 48 ساعة</t>
        </is>
      </c>
      <c r="D73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0.1</v>
      </c>
      <c r="J73" s="15" t="inlineStr">
        <is>
          <t>مدير الاستثمار</t>
        </is>
      </c>
      <c r="K73" s="11" t="inlineStr">
        <is>
          <t>نظام إدارة الجودة (نظام إدارة الجودة)</t>
        </is>
      </c>
      <c r="L73" s="15" t="inlineStr">
        <is>
          <t>شهري</t>
        </is>
      </c>
      <c r="M73" s="15" t="inlineStr">
        <is>
          <t>مدير الاستثمار</t>
        </is>
      </c>
      <c r="N73" s="57" t="n"/>
    </row>
    <row r="74" ht="30" customHeight="1">
      <c r="A74" s="15" t="n">
        <v>72</v>
      </c>
      <c r="B74" s="13" t="inlineStr">
        <is>
          <t>الاستثمار</t>
        </is>
      </c>
      <c r="C74" s="21" t="inlineStr">
        <is>
          <t>مدى رضا المستثمرين وشركاء الاستثمار</t>
        </is>
      </c>
      <c r="D74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تعزيز تجربة العملاء</t>
        </is>
      </c>
      <c r="H74" s="15" t="inlineStr">
        <is>
          <t>العملاء</t>
        </is>
      </c>
      <c r="I74" s="64" t="n">
        <v>0.09</v>
      </c>
      <c r="J74" s="15" t="inlineStr">
        <is>
          <t>مدير الاستثمار</t>
        </is>
      </c>
      <c r="K74" s="11" t="inlineStr">
        <is>
          <t>استبيان دوري</t>
        </is>
      </c>
      <c r="L74" s="15" t="inlineStr">
        <is>
          <t>ربعي</t>
        </is>
      </c>
      <c r="M74" s="15" t="inlineStr">
        <is>
          <t>مدير الاستثمار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إشغال الوحدات</t>
        </is>
      </c>
      <c r="D75" s="73" t="inlineStr">
        <is>
          <t>يقيس نسبة إشغال الوحدات ضمن محور «التأجير والإشغال»،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العمليات الداخلية</t>
        </is>
      </c>
      <c r="I75" s="64" t="n">
        <v>0.05</v>
      </c>
      <c r="J75" s="15" t="inlineStr">
        <is>
          <t>مدير العقار</t>
        </is>
      </c>
      <c r="K75" s="11" t="inlineStr">
        <is>
          <t>نظام إدارة العقود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نمو العلامات التجارية (تراكمي — كل الوحدات)</t>
        </is>
      </c>
      <c r="D76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76" s="11" t="inlineStr">
        <is>
          <t>إجمالي العدد خلال الفترة</t>
        </is>
      </c>
      <c r="F76" s="15" t="inlineStr">
        <is>
          <t>🎯 نتيجة</t>
        </is>
      </c>
      <c r="G76" s="11" t="inlineStr">
        <is>
          <t>النمو · منظومة التأجير</t>
        </is>
      </c>
      <c r="H76" s="15" t="inlineStr">
        <is>
          <t>العمليات الداخلية</t>
        </is>
      </c>
      <c r="I76" s="64" t="n">
        <v>0.08</v>
      </c>
      <c r="J76" s="15" t="inlineStr">
        <is>
          <t>مدير العقار</t>
        </is>
      </c>
      <c r="K76" s="11" t="inlineStr">
        <is>
          <t>نظام إدارة العقود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تحويل فرص التأجير إلى عقود</t>
        </is>
      </c>
      <c r="D77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النمو · منظومة التأجير</t>
        </is>
      </c>
      <c r="H77" s="15" t="inlineStr">
        <is>
          <t>العمليات الداخلية</t>
        </is>
      </c>
      <c r="I77" s="64" t="n">
        <v>0.08</v>
      </c>
      <c r="J77" s="15" t="inlineStr">
        <is>
          <t>مدير العقار</t>
        </is>
      </c>
      <c r="K77" s="11" t="inlineStr">
        <is>
          <t>نظام إدارة العقود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نمو الإيرادات الإيجارية</t>
        </is>
      </c>
      <c r="D78" s="73" t="inlineStr">
        <is>
          <t>يقيس نمو الإيرادات الإيجارية ضمن محور «التأجير والإشغال»،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🎯 نتيجة</t>
        </is>
      </c>
      <c r="G78" s="11" t="inlineStr">
        <is>
          <t>الاستدامة · منظومة التأجير</t>
        </is>
      </c>
      <c r="H78" s="15" t="inlineStr">
        <is>
          <t>مالي</t>
        </is>
      </c>
      <c r="I78" s="64" t="n">
        <v>0.07000000000000001</v>
      </c>
      <c r="J78" s="15" t="inlineStr">
        <is>
          <t>مدير العقار</t>
        </is>
      </c>
      <c r="K78" s="11" t="inlineStr">
        <is>
          <t>نظام المحاسبة / تخطيط الموارد (نظام دايناميكس)</t>
        </is>
      </c>
      <c r="L78" s="15" t="inlineStr">
        <is>
          <t>ربعي</t>
        </is>
      </c>
      <c r="M78" s="15" t="inlineStr">
        <is>
          <t>الإدارة المالية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عدد الأنشطة الجديدة على القطاع (دخلت المحطات لأول مرة)</t>
        </is>
      </c>
      <c r="D79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الابتكار · منظومة التأجير</t>
        </is>
      </c>
      <c r="H79" s="15" t="inlineStr">
        <is>
          <t>العمليات الداخلية</t>
        </is>
      </c>
      <c r="I79" s="64" t="n">
        <v>0.07000000000000001</v>
      </c>
      <c r="J79" s="15" t="inlineStr">
        <is>
          <t>مدير العقار</t>
        </is>
      </c>
      <c r="K79" s="11" t="inlineStr">
        <is>
          <t>نظام إدارة العقود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متوسط مدة تأجير الوحدة الشاغرة</t>
        </is>
      </c>
      <c r="D80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80" s="11" t="inlineStr">
        <is>
          <t>متوسط يوم خلال الفترة</t>
        </is>
      </c>
      <c r="F80" s="15" t="inlineStr">
        <is>
          <t>🔧 تشغيلي</t>
        </is>
      </c>
      <c r="G80" s="11" t="inlineStr">
        <is>
          <t>الاستدامة · منظومة التأجير</t>
        </is>
      </c>
      <c r="H80" s="15" t="inlineStr">
        <is>
          <t>العمليات الداخلية</t>
        </is>
      </c>
      <c r="I80" s="64" t="n">
        <v>0.05</v>
      </c>
      <c r="J80" s="15" t="inlineStr">
        <is>
          <t>مدير العقار</t>
        </is>
      </c>
      <c r="K80" s="11" t="inlineStr">
        <is>
          <t>نظام إدارة العقود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المستأجرين المخفَّض لهم الإيجار</t>
        </is>
      </c>
      <c r="D81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الاستدامة · منظومة التأجير</t>
        </is>
      </c>
      <c r="H81" s="15" t="inlineStr">
        <is>
          <t>العملاء</t>
        </is>
      </c>
      <c r="I81" s="64" t="n">
        <v>0.07000000000000001</v>
      </c>
      <c r="J81" s="15" t="inlineStr">
        <is>
          <t>مدير العقار</t>
        </is>
      </c>
      <c r="K81" s="11" t="inlineStr">
        <is>
          <t>نظام إدارة العقود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نسبة عبء الإيجار إلى مبيعات المستأجر</t>
        </is>
      </c>
      <c r="D82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🎯 نتيجة</t>
        </is>
      </c>
      <c r="G82" s="11" t="inlineStr">
        <is>
          <t>الاستدامة · منظومة التأجير</t>
        </is>
      </c>
      <c r="H82" s="15" t="inlineStr">
        <is>
          <t>مالي</t>
        </is>
      </c>
      <c r="I82" s="64" t="n">
        <v>0.07000000000000001</v>
      </c>
      <c r="J82" s="15" t="inlineStr">
        <is>
          <t>مدير العقار</t>
        </is>
      </c>
      <c r="K82" s="11" t="inlineStr">
        <is>
          <t>نظام إدارة العقود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73" t="inlineStr">
        <is>
          <t>يقيس نسبة تحصيل الإيجارات ضمن محور «كفاءة التحصيل»،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4" t="n">
        <v>0.07000000000000001</v>
      </c>
      <c r="J83" s="15" t="inlineStr">
        <is>
          <t>مدير العقار</t>
        </is>
      </c>
      <c r="K83" s="11" t="inlineStr">
        <is>
          <t>نظام المحاسبة / تخطيط الموارد (نظام دايناميكس)</t>
        </is>
      </c>
      <c r="L83" s="15" t="inlineStr">
        <is>
          <t>شهري</t>
        </is>
      </c>
      <c r="M83" s="15" t="inlineStr">
        <is>
          <t>الإدارة المالية</t>
        </is>
      </c>
      <c r="N83" s="57" t="n"/>
    </row>
    <row r="84" ht="30" customHeight="1">
      <c r="A84" s="15" t="n">
        <v>82</v>
      </c>
      <c r="B84" s="13" t="inlineStr">
        <is>
          <t>العقار</t>
        </is>
      </c>
      <c r="C84" s="21" t="inlineStr">
        <is>
          <t>نسبة المتأخرات في السداد</t>
        </is>
      </c>
      <c r="D84" s="73" t="inlineStr">
        <is>
          <t>يقيس نسبة المتأخرات في السداد ضمن محور «كفاءة التحصيل»،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🔧 تشغيلي</t>
        </is>
      </c>
      <c r="G84" s="11" t="inlineStr">
        <is>
          <t>الاستدامة · منظومة التأجير</t>
        </is>
      </c>
      <c r="H84" s="15" t="inlineStr">
        <is>
          <t>مالي</t>
        </is>
      </c>
      <c r="I84" s="64" t="n">
        <v>0.05</v>
      </c>
      <c r="J84" s="15" t="inlineStr">
        <is>
          <t>مدير العقار</t>
        </is>
      </c>
      <c r="K84" s="11" t="inlineStr">
        <is>
          <t>نظام المحاسبة / تخطيط الموارد (نظام دايناميكس)</t>
        </is>
      </c>
      <c r="L84" s="15" t="inlineStr">
        <is>
          <t>شهري</t>
        </is>
      </c>
      <c r="M84" s="15" t="inlineStr">
        <is>
          <t>الإدارة المالية</t>
        </is>
      </c>
      <c r="N84" s="57" t="n"/>
    </row>
    <row r="85" ht="30" customHeight="1">
      <c r="A85" s="15" t="n">
        <v>83</v>
      </c>
      <c r="B85" s="13" t="inlineStr">
        <is>
          <t>العقار</t>
        </is>
      </c>
      <c r="C85" s="21" t="inlineStr">
        <is>
          <t>متوسط زمن تسليم الوحدة</t>
        </is>
      </c>
      <c r="D85" s="73" t="inlineStr">
        <is>
          <t>يقيس متوسط زمن تسليم الوحدة ضمن محور «تشغيل وخدمة الوحدات»، ويعكس مساهمة الإدارة في ركيزة الاستدامة.</t>
        </is>
      </c>
      <c r="E85" s="11" t="inlineStr">
        <is>
          <t>متوسط يوم خلال الفترة</t>
        </is>
      </c>
      <c r="F85" s="15" t="inlineStr">
        <is>
          <t>🔧 تشغيلي</t>
        </is>
      </c>
      <c r="G85" s="11" t="inlineStr">
        <is>
          <t>الاستدامة · جودة التشغيل</t>
        </is>
      </c>
      <c r="H85" s="15" t="inlineStr">
        <is>
          <t>العمليات الداخلية</t>
        </is>
      </c>
      <c r="I85" s="64" t="n">
        <v>0.05</v>
      </c>
      <c r="J85" s="15" t="inlineStr">
        <is>
          <t>مدير العقار</t>
        </is>
      </c>
      <c r="K85" s="11" t="inlineStr">
        <is>
          <t>سجلات الإدارة</t>
        </is>
      </c>
      <c r="L85" s="15" t="inlineStr">
        <is>
          <t>شهري</t>
        </is>
      </c>
      <c r="M85" s="15" t="inlineStr">
        <is>
          <t>مدير العقار</t>
        </is>
      </c>
      <c r="N85" s="57" t="n"/>
    </row>
    <row r="86" ht="30" customHeight="1">
      <c r="A86" s="15" t="n">
        <v>84</v>
      </c>
      <c r="B86" s="13" t="inlineStr">
        <is>
          <t>العقار</t>
        </is>
      </c>
      <c r="C86" s="21" t="inlineStr">
        <is>
          <t>سرعة الاستجابة لطلبات خدمة المستأجرين</t>
        </is>
      </c>
      <c r="D86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العملاء</t>
        </is>
      </c>
      <c r="I86" s="64" t="n">
        <v>0.05</v>
      </c>
      <c r="J86" s="15" t="inlineStr">
        <is>
          <t>مدير العقار</t>
        </is>
      </c>
      <c r="K86" s="11" t="inlineStr">
        <is>
          <t>سجلات الإدارة</t>
        </is>
      </c>
      <c r="L86" s="15" t="inlineStr">
        <is>
          <t>شهري</t>
        </is>
      </c>
      <c r="M86" s="15" t="inlineStr">
        <is>
          <t>مدير العقار</t>
        </is>
      </c>
      <c r="N86" s="57" t="n"/>
    </row>
    <row r="87" ht="30" customHeight="1">
      <c r="A87" s="15" t="n">
        <v>85</v>
      </c>
      <c r="B87" s="13" t="inlineStr">
        <is>
          <t>العقار</t>
        </is>
      </c>
      <c r="C87" s="21" t="inlineStr">
        <is>
          <t>معدل رضا المستأجرين (استبيان ربعي)</t>
        </is>
      </c>
      <c r="D87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تعزيز تجربة العملاء</t>
        </is>
      </c>
      <c r="H87" s="15" t="inlineStr">
        <is>
          <t>العملاء</t>
        </is>
      </c>
      <c r="I87" s="64" t="n">
        <v>0.07000000000000001</v>
      </c>
      <c r="J87" s="15" t="inlineStr">
        <is>
          <t>مدير العقار</t>
        </is>
      </c>
      <c r="K87" s="11" t="inlineStr">
        <is>
          <t>استبيان دوري</t>
        </is>
      </c>
      <c r="L87" s="15" t="inlineStr">
        <is>
          <t>ربعي</t>
        </is>
      </c>
      <c r="M87" s="15" t="inlineStr">
        <is>
          <t>مدير العقار</t>
        </is>
      </c>
      <c r="N87" s="57" t="n"/>
    </row>
    <row r="88" ht="30" customHeight="1">
      <c r="A88" s="15" t="n">
        <v>86</v>
      </c>
      <c r="B88" s="13" t="inlineStr">
        <is>
          <t>العقار</t>
        </is>
      </c>
      <c r="C88" s="21" t="inlineStr">
        <is>
          <t>معدل استبقاء المستأجرين (تجديد وبلا إنهاء مبكر)</t>
        </is>
      </c>
      <c r="D88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🎯 نتيجة</t>
        </is>
      </c>
      <c r="G88" s="11" t="inlineStr">
        <is>
          <t>الاستدامة · تعزيز تجربة العملاء</t>
        </is>
      </c>
      <c r="H88" s="15" t="inlineStr">
        <is>
          <t>التعلّم والنمو</t>
        </is>
      </c>
      <c r="I88" s="64" t="n">
        <v>0.07000000000000001</v>
      </c>
      <c r="J88" s="15" t="inlineStr">
        <is>
          <t>مدير العقار</t>
        </is>
      </c>
      <c r="K88" s="11" t="inlineStr">
        <is>
          <t>استبيان دوري</t>
        </is>
      </c>
      <c r="L88" s="15" t="inlineStr">
        <is>
          <t>شهري</t>
        </is>
      </c>
      <c r="M88" s="15" t="inlineStr">
        <is>
          <t>مدير العقار</t>
        </is>
      </c>
      <c r="N88" s="57" t="n"/>
    </row>
    <row r="89" ht="30" customHeight="1">
      <c r="A89" s="15" t="n">
        <v>87</v>
      </c>
      <c r="B89" s="13" t="inlineStr">
        <is>
          <t>العقار</t>
        </is>
      </c>
      <c r="C89" s="21" t="inlineStr">
        <is>
          <t>نسبة تأجير ساحة درب</t>
        </is>
      </c>
      <c r="D89" s="73" t="inlineStr">
        <is>
          <t>يقيس نسبة تأجير ساحة درب ضمن محور «ساحات درب»، ويعكس مساهمة الإدارة في ركيزة الابتكار.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الابتكار · ساحات درب</t>
        </is>
      </c>
      <c r="H89" s="15" t="inlineStr">
        <is>
          <t>العمليات الداخلية</t>
        </is>
      </c>
      <c r="I89" s="64" t="n">
        <v>0.05</v>
      </c>
      <c r="J89" s="15" t="inlineStr">
        <is>
          <t>مدير العقار</t>
        </is>
      </c>
      <c r="K89" s="11" t="inlineStr">
        <is>
          <t>نظام إدارة العقود</t>
        </is>
      </c>
      <c r="L89" s="15" t="inlineStr">
        <is>
          <t>شهري</t>
        </is>
      </c>
      <c r="M89" s="15" t="inlineStr">
        <is>
          <t>مدير العقار</t>
        </is>
      </c>
      <c r="N89" s="57" t="n"/>
    </row>
    <row r="90" ht="30" customHeight="1">
      <c r="A90" s="15" t="n">
        <v>88</v>
      </c>
      <c r="B90" s="13" t="inlineStr">
        <is>
          <t>العقار</t>
        </is>
      </c>
      <c r="C90" s="21" t="inlineStr">
        <is>
          <t>عدد العلامات التجارية الجديدة بالساحة</t>
        </is>
      </c>
      <c r="D90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الابتكار · ساحات درب</t>
        </is>
      </c>
      <c r="H90" s="15" t="inlineStr">
        <is>
          <t>العمليات الداخلية</t>
        </is>
      </c>
      <c r="I90" s="64" t="n">
        <v>0.05</v>
      </c>
      <c r="J90" s="15" t="inlineStr">
        <is>
          <t>مدير العقار</t>
        </is>
      </c>
      <c r="K90" s="11" t="inlineStr">
        <is>
          <t>سجلات الإدارة</t>
        </is>
      </c>
      <c r="L90" s="15" t="inlineStr">
        <is>
          <t>شهري</t>
        </is>
      </c>
      <c r="M90" s="15" t="inlineStr">
        <is>
          <t>مدير العقار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عدد محطات الشركة المُسلَّمة</t>
        </is>
      </c>
      <c r="D91" s="73" t="inlineStr">
        <is>
          <t>يقيس عدد محطات الشركة المُسلَّمة ضمن محور «تسليم محطات الشركة»، ويعكس مساهمة الإدارة في ركيزة النمو.</t>
        </is>
      </c>
      <c r="E91" s="11" t="inlineStr">
        <is>
          <t>إجمالي العدد خلال الفترة</t>
        </is>
      </c>
      <c r="F91" s="15" t="inlineStr">
        <is>
          <t>⚙️ نشاط</t>
        </is>
      </c>
      <c r="G91" s="11" t="inlineStr">
        <is>
          <t>النمو · التوسع في المواقع</t>
        </is>
      </c>
      <c r="H91" s="15" t="inlineStr">
        <is>
          <t>العمليات الداخلية</t>
        </is>
      </c>
      <c r="I91" s="64" t="n">
        <v>0.1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إنجاز محفظة مشاريع التوسع</t>
        </is>
      </c>
      <c r="D92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النمو · التوسع في المواقع</t>
        </is>
      </c>
      <c r="H92" s="15" t="inlineStr">
        <is>
          <t>العمليات الداخلية</t>
        </is>
      </c>
      <c r="I92" s="64" t="n">
        <v>0.09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تسليم المحطات في الموعد المخطط</t>
        </is>
      </c>
      <c r="D93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التوسع في المواقع</t>
        </is>
      </c>
      <c r="H93" s="15" t="inlineStr">
        <is>
          <t>العمليات الداخلية</t>
        </is>
      </c>
      <c r="I93" s="64" t="n">
        <v>0.09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المشاريع المنفّذة ضمن الميزانية</t>
        </is>
      </c>
      <c r="D94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95" s="11" t="inlineStr">
        <is>
          <t>إجمالي العدد خلال الفترة</t>
        </is>
      </c>
      <c r="F95" s="15" t="inlineStr">
        <is>
          <t>⚙️ نشاط</t>
        </is>
      </c>
      <c r="G95" s="11" t="inlineStr">
        <is>
          <t>النمو · الامتياز التجاري</t>
        </is>
      </c>
      <c r="H95" s="15" t="inlineStr">
        <is>
          <t>التعلّم والنمو</t>
        </is>
      </c>
      <c r="I95" s="64" t="n">
        <v>0.09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نسبة تنفيذ زيارات الإشراف المجدولة</t>
        </is>
      </c>
      <c r="D96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⚙️ نشاط</t>
        </is>
      </c>
      <c r="G96" s="11" t="inlineStr">
        <is>
          <t>الاستدامة · الامتياز التجاري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الامتياز التجاري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إدارة المشاريع</t>
        </is>
      </c>
      <c r="K97" s="11" t="inlineStr">
        <is>
          <t>نظام إدارة المشاريع (مكتب إدارة المشاريع وبريمافيرا)</t>
        </is>
      </c>
      <c r="L97" s="15" t="inlineStr">
        <is>
          <t>شهري</t>
        </is>
      </c>
      <c r="M97" s="15" t="inlineStr">
        <is>
          <t>مدير إدارة المشاريع</t>
        </is>
      </c>
      <c r="N97" s="57" t="n"/>
    </row>
    <row r="98" ht="30" customHeight="1">
      <c r="A98" s="15" t="n">
        <v>96</v>
      </c>
      <c r="B98" s="13" t="inlineStr">
        <is>
          <t>إدارة المشاريع</t>
        </is>
      </c>
      <c r="C98" s="21" t="inlineStr">
        <is>
          <t>نسبة إغلاق ملاحظات الجودة على المطوّرين</t>
        </is>
      </c>
      <c r="D98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الامتياز التجاري</t>
        </is>
      </c>
      <c r="H98" s="15" t="inlineStr">
        <is>
          <t>العمليات الداخلية</t>
        </is>
      </c>
      <c r="I98" s="64" t="n">
        <v>0.06</v>
      </c>
      <c r="J98" s="15" t="inlineStr">
        <is>
          <t>مدير إدارة المشاريع</t>
        </is>
      </c>
      <c r="K98" s="11" t="inlineStr">
        <is>
          <t>نظام إدارة المشاريع (مكتب إدارة المشاريع وبريمافيرا)</t>
        </is>
      </c>
      <c r="L98" s="15" t="inlineStr">
        <is>
          <t>شهري</t>
        </is>
      </c>
      <c r="M98" s="15" t="inlineStr">
        <is>
          <t>مدير إدارة المشاريع</t>
        </is>
      </c>
      <c r="N98" s="57" t="n"/>
    </row>
    <row r="99" ht="30" customHeight="1">
      <c r="A99" s="15" t="n">
        <v>97</v>
      </c>
      <c r="B99" s="13" t="inlineStr">
        <is>
          <t>إدارة المشاريع</t>
        </is>
      </c>
      <c r="C99" s="21" t="inlineStr">
        <is>
          <t>نسبة المشاريع الخالية من مخالفات الجودة</t>
        </is>
      </c>
      <c r="D99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0.06</v>
      </c>
      <c r="J99" s="15" t="inlineStr">
        <is>
          <t>مدير إدارة المشاريع</t>
        </is>
      </c>
      <c r="K99" s="11" t="inlineStr">
        <is>
          <t>نظام إدارة المشاريع (مكتب إدارة المشاريع وبريمافيرا)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57" t="n"/>
    </row>
    <row r="100" ht="30" customHeight="1">
      <c r="A100" s="15" t="n">
        <v>98</v>
      </c>
      <c r="B100" s="13" t="inlineStr">
        <is>
          <t>إدارة المشاريع</t>
        </is>
      </c>
      <c r="C100" s="21" t="inlineStr">
        <is>
          <t>عدد مخالفات المقاولين (سنوي)</t>
        </is>
      </c>
      <c r="D100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100" s="11" t="inlineStr">
        <is>
          <t>إجمالي العدد خلال الفترة</t>
        </is>
      </c>
      <c r="F100" s="15" t="inlineStr">
        <is>
          <t>⚙️ نشاط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0.06</v>
      </c>
      <c r="J100" s="15" t="inlineStr">
        <is>
          <t>مدير إدارة المشاريع</t>
        </is>
      </c>
      <c r="K100" s="11" t="inlineStr">
        <is>
          <t>نظام إدارة المشاريع (مكتب إدارة المشاريع وبريمافيرا)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57" t="n"/>
    </row>
    <row r="101" ht="30" customHeight="1">
      <c r="A101" s="15" t="n">
        <v>99</v>
      </c>
      <c r="B101" s="13" t="inlineStr">
        <is>
          <t>إدارة المشاريع</t>
        </is>
      </c>
      <c r="C101" s="21" t="inlineStr">
        <is>
          <t>نسبة التزام المقاولين بمعايير السلامة</t>
        </is>
      </c>
      <c r="D101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0.09</v>
      </c>
      <c r="J101" s="15" t="inlineStr">
        <is>
          <t>مدير إدارة المشاريع</t>
        </is>
      </c>
      <c r="K101" s="11" t="inlineStr">
        <is>
          <t>نظام إدارة المشاريع (مكتب إدارة المشاريع وبريمافيرا)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57" t="n"/>
    </row>
    <row r="102" ht="30" customHeight="1">
      <c r="A102" s="15" t="n">
        <v>100</v>
      </c>
      <c r="B102" s="13" t="inlineStr">
        <is>
          <t>إدارة المشاريع</t>
        </is>
      </c>
      <c r="C102" s="21" t="inlineStr">
        <is>
          <t>نسبة الالتزام بالميزانية المعتمدة</t>
        </is>
      </c>
      <c r="D102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0.06</v>
      </c>
      <c r="J102" s="15" t="inlineStr">
        <is>
          <t>مدير إدارة المشاريع</t>
        </is>
      </c>
      <c r="K102" s="11" t="inlineStr">
        <is>
          <t>نظام إدارة المشاريع (مكتب إدارة المشاريع وبريمافيرا)</t>
        </is>
      </c>
      <c r="L102" s="15" t="inlineStr">
        <is>
          <t>شهري</t>
        </is>
      </c>
      <c r="M102" s="15" t="inlineStr">
        <is>
          <t>مدير إدارة المشاريع</t>
        </is>
      </c>
      <c r="N102" s="57" t="n"/>
    </row>
    <row r="103" ht="30" customHeight="1">
      <c r="A103" s="15" t="n">
        <v>101</v>
      </c>
      <c r="B103" s="13" t="inlineStr">
        <is>
          <t>إدارة المشاريع</t>
        </is>
      </c>
      <c r="C103" s="21" t="inlineStr">
        <is>
          <t>نسبة الالتزام بالجدول الزمني العام</t>
        </is>
      </c>
      <c r="D103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إدارة المشاريع</t>
        </is>
      </c>
      <c r="K103" s="11" t="inlineStr">
        <is>
          <t>نظام إدارة المشاريع (مكتب إدارة المشاريع وبريمافيرا)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57" t="n"/>
    </row>
    <row r="104" ht="30" customHeight="1">
      <c r="A104" s="15" t="n">
        <v>102</v>
      </c>
      <c r="B104" s="13" t="inlineStr">
        <is>
          <t>إدارة المشاريع</t>
        </is>
      </c>
      <c r="C104" s="21" t="inlineStr">
        <is>
          <t>متوسط مدة إغلاق قائمة الملاحظات النهائية</t>
        </is>
      </c>
      <c r="D104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04" s="11" t="inlineStr">
        <is>
          <t>متوسط يوم خلال الفترة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إدارة المشاريع</t>
        </is>
      </c>
      <c r="K104" s="11" t="inlineStr">
        <is>
          <t>نظام إدارة المشاريع (مكتب إدارة المشاريع وبريمافيرا)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تلبية طلبات المحطات من الوقود</t>
        </is>
      </c>
      <c r="D105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105" s="11" t="inlineStr">
        <is>
          <t>(المتحقّق ÷ الإجمالي) × 100٪</t>
        </is>
      </c>
      <c r="F105" s="15" t="inlineStr">
        <is>
          <t>🔧 تشغيلي</t>
        </is>
      </c>
      <c r="G105" s="11" t="inlineStr">
        <is>
          <t>النمو · زيادة وصول العملاء</t>
        </is>
      </c>
      <c r="H105" s="15" t="inlineStr">
        <is>
          <t>العمليات الداخلية</t>
        </is>
      </c>
      <c r="I105" s="64" t="n">
        <v>0.13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عدد انقطاعات التوريد المؤثرة شهريًا</t>
        </is>
      </c>
      <c r="D106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106" s="11" t="inlineStr">
        <is>
          <t>إجمالي العدد خلال الفترة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نسبة تغطية مخزون الوقود بالأيام</t>
        </is>
      </c>
      <c r="D107" s="73" t="inlineStr">
        <is>
          <t>يقيس نسبة تغطية مخزون الوقود بالأيام ضمن محور «المخزون»،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0.09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نسبة توفر المواد المخزنية والحرجة</t>
        </is>
      </c>
      <c r="D108" s="73" t="inlineStr">
        <is>
          <t>يقيس نسبة توفر المواد المخزنية والحرجة ضمن محور «المخزون»،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0.09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شهري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سلاسل الإمداد</t>
        </is>
      </c>
      <c r="C109" s="21" t="inlineStr">
        <is>
          <t>نسبة المواد الراكدة من المخزون</t>
        </is>
      </c>
      <c r="D109" s="73" t="inlineStr">
        <is>
          <t>يقيس نسبة المواد الراكدة من المخزون ضمن محور «المخزون»،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0.06</v>
      </c>
      <c r="J109" s="15" t="inlineStr">
        <is>
          <t>مدير سلاسل الإمداد</t>
        </is>
      </c>
      <c r="K109" s="11" t="inlineStr">
        <is>
          <t>نظام سلاسل الإمداد والمخزون</t>
        </is>
      </c>
      <c r="L109" s="15" t="inlineStr">
        <is>
          <t>شهري</t>
        </is>
      </c>
      <c r="M109" s="15" t="inlineStr">
        <is>
          <t>مدير سلاسل الإمداد</t>
        </is>
      </c>
      <c r="N109" s="57" t="n"/>
    </row>
    <row r="110" ht="30" customHeight="1">
      <c r="A110" s="15" t="n">
        <v>108</v>
      </c>
      <c r="B110" s="13" t="inlineStr">
        <is>
          <t>سلاسل الإمداد</t>
        </is>
      </c>
      <c r="C110" s="21" t="inlineStr">
        <is>
          <t>دقة أوامر الشراء ومستنداتها</t>
        </is>
      </c>
      <c r="D110" s="73" t="inlineStr">
        <is>
          <t>يقيس دقة أوامر الشراء ومستنداتها ضمن محور «المشتريات»،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سلاسل الإمداد</t>
        </is>
      </c>
      <c r="K110" s="11" t="inlineStr">
        <is>
          <t>نظام سلاسل الإمداد والمخزون</t>
        </is>
      </c>
      <c r="L110" s="15" t="inlineStr">
        <is>
          <t>شهري</t>
        </is>
      </c>
      <c r="M110" s="15" t="inlineStr">
        <is>
          <t>مدير سلاسل الإمداد</t>
        </is>
      </c>
      <c r="N110" s="57" t="n"/>
    </row>
    <row r="111" ht="30" customHeight="1">
      <c r="A111" s="15" t="n">
        <v>109</v>
      </c>
      <c r="B111" s="13" t="inlineStr">
        <is>
          <t>سلاسل الإمداد</t>
        </is>
      </c>
      <c r="C111" s="21" t="inlineStr">
        <is>
          <t>نسبة إنجاز أوامر الشراء خلال المدة المستهدفة</t>
        </is>
      </c>
      <c r="D111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0.08</v>
      </c>
      <c r="J111" s="15" t="inlineStr">
        <is>
          <t>مدير سلاسل الإمداد</t>
        </is>
      </c>
      <c r="K111" s="11" t="inlineStr">
        <is>
          <t>نظام سلاسل الإمداد والمخزون</t>
        </is>
      </c>
      <c r="L111" s="15" t="inlineStr">
        <is>
          <t>شهري</t>
        </is>
      </c>
      <c r="M111" s="15" t="inlineStr">
        <is>
          <t>مدير سلاسل الإمداد</t>
        </is>
      </c>
      <c r="N111" s="57" t="n"/>
    </row>
    <row r="112" ht="30" customHeight="1">
      <c r="A112" s="15" t="n">
        <v>110</v>
      </c>
      <c r="B112" s="13" t="inlineStr">
        <is>
          <t>سلاسل الإمداد</t>
        </is>
      </c>
      <c r="C112" s="21" t="inlineStr">
        <is>
          <t>نسبة الالتزام بزمن التسليم والتوريد للمحطات والإدارات</t>
        </is>
      </c>
      <c r="D112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</v>
      </c>
      <c r="J112" s="15" t="inlineStr">
        <is>
          <t>مدير سلاسل الإمداد</t>
        </is>
      </c>
      <c r="K112" s="11" t="inlineStr">
        <is>
          <t>نظام سلاسل الإمداد والمخزون</t>
        </is>
      </c>
      <c r="L112" s="15" t="inlineStr">
        <is>
          <t>شهري</t>
        </is>
      </c>
      <c r="M112" s="15" t="inlineStr">
        <is>
          <t>مدير سلاسل الإمداد</t>
        </is>
      </c>
      <c r="N112" s="57" t="n"/>
    </row>
    <row r="113" ht="30" customHeight="1">
      <c r="A113" s="15" t="n">
        <v>111</v>
      </c>
      <c r="B113" s="13" t="inlineStr">
        <is>
          <t>سلاسل الإمداد</t>
        </is>
      </c>
      <c r="C113" s="21" t="inlineStr">
        <is>
          <t>نسبة جاهزية الإمداد للمحطات الجديدة وخطط الافتتاح</t>
        </is>
      </c>
      <c r="D113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النمو · التوسع في المواقع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سلاسل الإمداد</t>
        </is>
      </c>
      <c r="K113" s="11" t="inlineStr">
        <is>
          <t>نظام سلاسل الإمداد والمخزون</t>
        </is>
      </c>
      <c r="L113" s="15" t="inlineStr">
        <is>
          <t>شهري</t>
        </is>
      </c>
      <c r="M113" s="15" t="inlineStr">
        <is>
          <t>مدير سلاسل الإمداد</t>
        </is>
      </c>
      <c r="N113" s="57" t="n"/>
    </row>
    <row r="114" ht="30" customHeight="1">
      <c r="A114" s="15" t="n">
        <v>112</v>
      </c>
      <c r="B114" s="13" t="inlineStr">
        <is>
          <t>سلاسل الإمداد</t>
        </is>
      </c>
      <c r="C114" s="21" t="inlineStr">
        <is>
          <t>نسبة الالتزام بجدول النقل واستخدام الأسطول بكفاءة</t>
        </is>
      </c>
      <c r="D114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0.07000000000000001</v>
      </c>
      <c r="J114" s="15" t="inlineStr">
        <is>
          <t>مدير سلاسل الإمداد</t>
        </is>
      </c>
      <c r="K114" s="11" t="inlineStr">
        <is>
          <t>نظام سلاسل الإمداد والمخزون</t>
        </is>
      </c>
      <c r="L114" s="15" t="inlineStr">
        <is>
          <t>شهري</t>
        </is>
      </c>
      <c r="M114" s="15" t="inlineStr">
        <is>
          <t>مدير سلاسل الإمداد</t>
        </is>
      </c>
      <c r="N114" s="57" t="n"/>
    </row>
    <row r="115" ht="30" customHeight="1">
      <c r="A115" s="15" t="n">
        <v>113</v>
      </c>
      <c r="B115" s="13" t="inlineStr">
        <is>
          <t>سلاسل الإمداد</t>
        </is>
      </c>
      <c r="C115" s="21" t="inlineStr">
        <is>
          <t>كفاءة إدارة الموردين</t>
        </is>
      </c>
      <c r="D115" s="73" t="inlineStr">
        <is>
          <t>يقيس كفاءة إدارة الموردين ضمن محور «الموردون والرضا»،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0.06</v>
      </c>
      <c r="J115" s="15" t="inlineStr">
        <is>
          <t>مدير سلاسل الإمداد</t>
        </is>
      </c>
      <c r="K115" s="11" t="inlineStr">
        <is>
          <t>نظام سلاسل الإمداد والمخزون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57" t="n"/>
    </row>
    <row r="116" ht="30" customHeight="1">
      <c r="A116" s="15" t="n">
        <v>114</v>
      </c>
      <c r="B116" s="13" t="inlineStr">
        <is>
          <t>سلاسل الإمداد</t>
        </is>
      </c>
      <c r="C116" s="21" t="inlineStr">
        <is>
          <t>مستوى رضا الإدارات عن خدمات سلاسل الإمداد</t>
        </is>
      </c>
      <c r="D116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الاستدامة · جودة التشغيل</t>
        </is>
      </c>
      <c r="H116" s="15" t="inlineStr">
        <is>
          <t>العملاء</t>
        </is>
      </c>
      <c r="I116" s="64" t="n">
        <v>0.04</v>
      </c>
      <c r="J116" s="15" t="inlineStr">
        <is>
          <t>مدير سلاسل الإمداد</t>
        </is>
      </c>
      <c r="K116" s="11" t="inlineStr">
        <is>
          <t>نظام سلاسل الإمداد والمخزون</t>
        </is>
      </c>
      <c r="L116" s="15" t="inlineStr">
        <is>
          <t>ربعي</t>
        </is>
      </c>
      <c r="M116" s="15" t="inlineStr">
        <is>
          <t>مدير سلاسل الإمداد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الجاهزية الفنية للأصول والمعدات</t>
        </is>
      </c>
      <c r="D117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4" t="n">
        <v>0.15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نسبة تنفيذ الصيانة الوقائية في موعدها</t>
        </is>
      </c>
      <c r="D118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⚙️ نشاط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0.12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الصيانة والأتمتة</t>
        </is>
      </c>
      <c r="C119" s="21" t="inlineStr">
        <is>
          <t>نسبة إغلاق بلاغات الصيانة ضمن اتفاقية الخدمة</t>
        </is>
      </c>
      <c r="D119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9" s="11" t="inlineStr">
        <is>
          <t>(المتحقّق ÷ الإجمالي) × 100٪</t>
        </is>
      </c>
      <c r="F119" s="15" t="inlineStr">
        <is>
          <t>🎯 نتيجة</t>
        </is>
      </c>
      <c r="G119" s="11" t="inlineStr">
        <is>
          <t>الاستدامة · جودة التشغيل</t>
        </is>
      </c>
      <c r="H119" s="15" t="inlineStr">
        <is>
          <t>العمليات الداخلية</t>
        </is>
      </c>
      <c r="I119" s="64" t="n">
        <v>0.1</v>
      </c>
      <c r="J119" s="15" t="inlineStr">
        <is>
          <t>مدير الصيانة والأتمتة</t>
        </is>
      </c>
      <c r="K119" s="11" t="inlineStr">
        <is>
          <t>نظام إدارة الصيانة وأنظمة الأتمتة الإشرافية</t>
        </is>
      </c>
      <c r="L119" s="15" t="inlineStr">
        <is>
          <t>شهري</t>
        </is>
      </c>
      <c r="M119" s="15" t="inlineStr">
        <is>
          <t>مدير الصيانة والأتمتة</t>
        </is>
      </c>
      <c r="N119" s="57" t="n"/>
    </row>
    <row r="120" ht="30" customHeight="1">
      <c r="A120" s="15" t="n">
        <v>118</v>
      </c>
      <c r="B120" s="13" t="inlineStr">
        <is>
          <t>الصيانة والأتمتة</t>
        </is>
      </c>
      <c r="C120" s="21" t="inlineStr">
        <is>
          <t>متوسط زمن الاستجابة للبلاغات الطارئة</t>
        </is>
      </c>
      <c r="D120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20" s="11" t="inlineStr">
        <is>
          <t>متوسط دقيقة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4" t="n">
        <v>0.08</v>
      </c>
      <c r="J120" s="15" t="inlineStr">
        <is>
          <t>مدير الصيانة والأتمتة</t>
        </is>
      </c>
      <c r="K120" s="11" t="inlineStr">
        <is>
          <t>نظام إدارة الصيانة وأنظمة الأتمتة الإشرافية</t>
        </is>
      </c>
      <c r="L120" s="15" t="inlineStr">
        <is>
          <t>شهري</t>
        </is>
      </c>
      <c r="M120" s="15" t="inlineStr">
        <is>
          <t>مدير الصيانة والأتمتة</t>
        </is>
      </c>
      <c r="N120" s="57" t="n"/>
    </row>
    <row r="121" ht="30" customHeight="1">
      <c r="A121" s="15" t="n">
        <v>119</v>
      </c>
      <c r="B121" s="13" t="inlineStr">
        <is>
          <t>الصيانة والأتمتة</t>
        </is>
      </c>
      <c r="C121" s="21" t="inlineStr">
        <is>
          <t>متوسط زمن إصلاح الأعطال</t>
        </is>
      </c>
      <c r="D121" s="73" t="inlineStr">
        <is>
          <t>يقيس متوسط زمن إصلاح الأعطال ضمن محور «الاستجابة والإصلاح»، ويعكس مساهمة الإدارة في ركيزة الاستدامة.</t>
        </is>
      </c>
      <c r="E121" s="11" t="inlineStr">
        <is>
          <t>متوسط ساعة خلال الفترة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الصيانة والأتمتة</t>
        </is>
      </c>
      <c r="K121" s="11" t="inlineStr">
        <is>
          <t>نظام إدارة الصيانة وأنظمة الأتمتة الإشرافية</t>
        </is>
      </c>
      <c r="L121" s="15" t="inlineStr">
        <is>
          <t>شهري</t>
        </is>
      </c>
      <c r="M121" s="15" t="inlineStr">
        <is>
          <t>مدير الصيانة والأتمتة</t>
        </is>
      </c>
      <c r="N121" s="57" t="n"/>
    </row>
    <row r="122" ht="30" customHeight="1">
      <c r="A122" s="15" t="n">
        <v>120</v>
      </c>
      <c r="B122" s="13" t="inlineStr">
        <is>
          <t>الصيانة والأتمتة</t>
        </is>
      </c>
      <c r="C122" s="21" t="inlineStr">
        <is>
          <t>معدل تكرار الأعطال</t>
        </is>
      </c>
      <c r="D122" s="73" t="inlineStr">
        <is>
          <t>يقيس معدل تكرار الأعطال ضمن محور «الاستجابة والإصلاح»،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4" t="n">
        <v>0.1</v>
      </c>
      <c r="J122" s="15" t="inlineStr">
        <is>
          <t>مدير الصيانة والأتمتة</t>
        </is>
      </c>
      <c r="K122" s="11" t="inlineStr">
        <is>
          <t>نظام إدارة الصيانة وأنظمة الأتمتة الإشرافية</t>
        </is>
      </c>
      <c r="L122" s="15" t="inlineStr">
        <is>
          <t>شهري</t>
        </is>
      </c>
      <c r="M122" s="15" t="inlineStr">
        <is>
          <t>مدير الصيانة والأتمتة</t>
        </is>
      </c>
      <c r="N122" s="57" t="n"/>
    </row>
    <row r="123" ht="30" customHeight="1">
      <c r="A123" s="15" t="n">
        <v>121</v>
      </c>
      <c r="B123" s="13" t="inlineStr">
        <is>
          <t>الصيانة والأتمتة</t>
        </is>
      </c>
      <c r="C123" s="21" t="inlineStr">
        <is>
          <t>نسبة استمرارية تشغيل المحطات دون توقف فني</t>
        </is>
      </c>
      <c r="D123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4" t="n">
        <v>0.15</v>
      </c>
      <c r="J123" s="15" t="inlineStr">
        <is>
          <t>مدير الصيانة والأتمتة</t>
        </is>
      </c>
      <c r="K123" s="11" t="inlineStr">
        <is>
          <t>نظام إدارة الصيانة وأنظمة الأتمتة الإشرافية</t>
        </is>
      </c>
      <c r="L123" s="15" t="inlineStr">
        <is>
          <t>شهري</t>
        </is>
      </c>
      <c r="M123" s="15" t="inlineStr">
        <is>
          <t>مدير الصيانة والأتمتة</t>
        </is>
      </c>
      <c r="N123" s="57" t="n"/>
    </row>
    <row r="124" ht="30" customHeight="1">
      <c r="A124" s="15" t="n">
        <v>122</v>
      </c>
      <c r="B124" s="13" t="inlineStr">
        <is>
          <t>الصيانة والأتمتة</t>
        </is>
      </c>
      <c r="C124" s="21" t="inlineStr">
        <is>
          <t>نسبة التشغيل السليم لأنظمة الأتمتة</t>
        </is>
      </c>
      <c r="D124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0.1</v>
      </c>
      <c r="J124" s="15" t="inlineStr">
        <is>
          <t>مدير الصيانة والأتمتة</t>
        </is>
      </c>
      <c r="K124" s="11" t="inlineStr">
        <is>
          <t>نظام إدارة الصيانة وأنظمة الأتمتة الإشرافية</t>
        </is>
      </c>
      <c r="L124" s="15" t="inlineStr">
        <is>
          <t>شهري</t>
        </is>
      </c>
      <c r="M124" s="15" t="inlineStr">
        <is>
          <t>مدير الصيانة والأتمتة</t>
        </is>
      </c>
      <c r="N124" s="57" t="n"/>
    </row>
    <row r="125" ht="30" customHeight="1">
      <c r="A125" s="15" t="n">
        <v>123</v>
      </c>
      <c r="B125" s="13" t="inlineStr">
        <is>
          <t>الصيانة والأتمتة</t>
        </is>
      </c>
      <c r="C125" s="21" t="inlineStr">
        <is>
          <t>نسبة استعادة أنظمة الأتمتة ضمن الزمن المحدد</t>
        </is>
      </c>
      <c r="D125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التعلّم والنمو</t>
        </is>
      </c>
      <c r="I125" s="64" t="n">
        <v>0.08</v>
      </c>
      <c r="J125" s="15" t="inlineStr">
        <is>
          <t>مدير الصيانة والأتمتة</t>
        </is>
      </c>
      <c r="K125" s="11" t="inlineStr">
        <is>
          <t>نظام إدارة الصيانة وأنظمة الأتمتة الإشرافية</t>
        </is>
      </c>
      <c r="L125" s="15" t="inlineStr">
        <is>
          <t>شهري</t>
        </is>
      </c>
      <c r="M125" s="15" t="inlineStr">
        <is>
          <t>مدير الصيانة والأتمتة</t>
        </is>
      </c>
      <c r="N125" s="57" t="n"/>
    </row>
    <row r="126" ht="30" customHeight="1">
      <c r="A126" s="15" t="n">
        <v>124</v>
      </c>
      <c r="B126" s="13" t="inlineStr">
        <is>
          <t>الصيانة والأتمتة</t>
        </is>
      </c>
      <c r="C126" s="21" t="inlineStr">
        <is>
          <t>كفاءة تكاليف الصيانة (الالتزام بالميزانية)</t>
        </is>
      </c>
      <c r="D126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4" t="n">
        <v>0.04</v>
      </c>
      <c r="J126" s="15" t="inlineStr">
        <is>
          <t>مدير الصيانة والأتمتة</t>
        </is>
      </c>
      <c r="K126" s="11" t="inlineStr">
        <is>
          <t>نظام إدارة الصيانة وأنظمة الأتمتة الإشرافية</t>
        </is>
      </c>
      <c r="L126" s="15" t="inlineStr">
        <is>
          <t>شهري</t>
        </is>
      </c>
      <c r="M126" s="15" t="inlineStr">
        <is>
          <t>مدير الصيانة والأتمتة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توفر الأنظمة والخدمات التقنية المركزية</t>
        </is>
      </c>
      <c r="D127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0.13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معالجة الأعطال وطلبات الدعم الفني ضمن المدة المستهدفة</t>
        </is>
      </c>
      <c r="D128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0.12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استقرار التشغيل التقني للمحطات</t>
        </is>
      </c>
      <c r="D129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0.1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نسبة إنجاز مشاريع التحول الرقمي والمشاريع التقنية حسب الخطة</t>
        </is>
      </c>
      <c r="D130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0.1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شهري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التقنية الرقمية</t>
        </is>
      </c>
      <c r="C131" s="21" t="inlineStr">
        <is>
          <t>نسبة تسليم المشاريع التقنية ضمن الوقت والميزانية ونطاق العمل المعتمد</t>
        </is>
      </c>
      <c r="D131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الابتكار · التحول التقني</t>
        </is>
      </c>
      <c r="H131" s="15" t="inlineStr">
        <is>
          <t>العمليات الداخلية</t>
        </is>
      </c>
      <c r="I131" s="64" t="n">
        <v>0.09</v>
      </c>
      <c r="J131" s="15" t="inlineStr">
        <is>
          <t>مدير التقنية</t>
        </is>
      </c>
      <c r="K131" s="11" t="inlineStr">
        <is>
          <t>أنظمة تقنية المعلومات (تخطيط الموارد وإدارة الخدمات ومراقبة الأمن)</t>
        </is>
      </c>
      <c r="L131" s="15" t="inlineStr">
        <is>
          <t>شهري</t>
        </is>
      </c>
      <c r="M131" s="15" t="inlineStr">
        <is>
          <t>مدير التقنية</t>
        </is>
      </c>
      <c r="N131" s="57" t="n"/>
    </row>
    <row r="132" ht="30" customHeight="1">
      <c r="A132" s="15" t="n">
        <v>130</v>
      </c>
      <c r="B132" s="13" t="inlineStr">
        <is>
          <t>التقنية الرقمية</t>
        </is>
      </c>
      <c r="C132" s="21" t="inlineStr">
        <is>
          <t>نسبة الالتزام بإدارة صلاحيات المستخدمين والحسابات</t>
        </is>
      </c>
      <c r="D132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التحول التقني</t>
        </is>
      </c>
      <c r="H132" s="15" t="inlineStr">
        <is>
          <t>التعلّم والنمو</t>
        </is>
      </c>
      <c r="I132" s="64" t="n">
        <v>0.1</v>
      </c>
      <c r="J132" s="15" t="inlineStr">
        <is>
          <t>مدير التقنية</t>
        </is>
      </c>
      <c r="K132" s="11" t="inlineStr">
        <is>
          <t>أنظمة تقنية المعلومات (تخطيط الموارد وإدارة الخدمات ومراقبة الأمن)</t>
        </is>
      </c>
      <c r="L132" s="15" t="inlineStr">
        <is>
          <t>شهري</t>
        </is>
      </c>
      <c r="M132" s="15" t="inlineStr">
        <is>
          <t>مدير التقنية</t>
        </is>
      </c>
      <c r="N132" s="57" t="n"/>
    </row>
    <row r="133" ht="30" customHeight="1">
      <c r="A133" s="15" t="n">
        <v>131</v>
      </c>
      <c r="B133" s="13" t="inlineStr">
        <is>
          <t>التقنية الرقمية</t>
        </is>
      </c>
      <c r="C133" s="21" t="inlineStr">
        <is>
          <t>نسبة نجاح النسخ الاحتياطي واختبارات استعادة البيانات</t>
        </is>
      </c>
      <c r="D133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الابتكار · التحول التقني</t>
        </is>
      </c>
      <c r="H133" s="15" t="inlineStr">
        <is>
          <t>العمليات الداخلية</t>
        </is>
      </c>
      <c r="I133" s="64" t="n">
        <v>0.08</v>
      </c>
      <c r="J133" s="15" t="inlineStr">
        <is>
          <t>مدير التقنية</t>
        </is>
      </c>
      <c r="K133" s="11" t="inlineStr">
        <is>
          <t>أنظمة تقنية المعلومات (تخطيط الموارد وإدارة الخدمات ومراقبة الأمن)</t>
        </is>
      </c>
      <c r="L133" s="15" t="inlineStr">
        <is>
          <t>شهري</t>
        </is>
      </c>
      <c r="M133" s="15" t="inlineStr">
        <is>
          <t>مدير التقنية</t>
        </is>
      </c>
      <c r="N133" s="57" t="n"/>
    </row>
    <row r="134" ht="30" customHeight="1">
      <c r="A134" s="15" t="n">
        <v>132</v>
      </c>
      <c r="B134" s="13" t="inlineStr">
        <is>
          <t>التقنية الرقمية</t>
        </is>
      </c>
      <c r="C134" s="21" t="inlineStr">
        <is>
          <t>نسبة الامتثال لضوابط الأمن السيبراني الأساسية</t>
        </is>
      </c>
      <c r="D134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الابتكار · التحول التقني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التقنية</t>
        </is>
      </c>
      <c r="K134" s="11" t="inlineStr">
        <is>
          <t>أنظمة تقنية المعلومات (تخطيط الموارد وإدارة الخدمات ومراقبة الأمن)</t>
        </is>
      </c>
      <c r="L134" s="15" t="inlineStr">
        <is>
          <t>شهري</t>
        </is>
      </c>
      <c r="M134" s="15" t="inlineStr">
        <is>
          <t>مدير التقنية</t>
        </is>
      </c>
      <c r="N134" s="57" t="n"/>
    </row>
    <row r="135" ht="30" customHeight="1">
      <c r="A135" s="15" t="n">
        <v>133</v>
      </c>
      <c r="B135" s="13" t="inlineStr">
        <is>
          <t>التقنية الرقمية</t>
        </is>
      </c>
      <c r="C135" s="21" t="inlineStr">
        <is>
          <t>نسبة دقة وتكامل البيانات بين الأنظمة الرقمية</t>
        </is>
      </c>
      <c r="D135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الابتكار · التحول التقني</t>
        </is>
      </c>
      <c r="H135" s="15" t="inlineStr">
        <is>
          <t>التعلّم والنمو</t>
        </is>
      </c>
      <c r="I135" s="64" t="n">
        <v>0.06</v>
      </c>
      <c r="J135" s="15" t="inlineStr">
        <is>
          <t>مدير التقنية</t>
        </is>
      </c>
      <c r="K135" s="11" t="inlineStr">
        <is>
          <t>أنظمة تقنية المعلومات (تخطيط الموارد وإدارة الخدمات ومراقبة الأمن)</t>
        </is>
      </c>
      <c r="L135" s="15" t="inlineStr">
        <is>
          <t>شهري</t>
        </is>
      </c>
      <c r="M135" s="15" t="inlineStr">
        <is>
          <t>مدير التقنية</t>
        </is>
      </c>
      <c r="N135" s="57" t="n"/>
    </row>
    <row r="136" ht="30" customHeight="1">
      <c r="A136" s="15" t="n">
        <v>134</v>
      </c>
      <c r="B136" s="13" t="inlineStr">
        <is>
          <t>التقنية الرقمية</t>
        </is>
      </c>
      <c r="C136" s="21" t="inlineStr">
        <is>
          <t>نسبة الالتزام بتحديث وتوثيق أصول تقنية المعلومات والتراخيص</t>
        </is>
      </c>
      <c r="D136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الابتكار · التحول التقني</t>
        </is>
      </c>
      <c r="H136" s="15" t="inlineStr">
        <is>
          <t>العمليات الداخلية</t>
        </is>
      </c>
      <c r="I136" s="64" t="n">
        <v>0.05</v>
      </c>
      <c r="J136" s="15" t="inlineStr">
        <is>
          <t>مدير التقنية</t>
        </is>
      </c>
      <c r="K136" s="11" t="inlineStr">
        <is>
          <t>أنظمة تقنية المعلومات (تخطيط الموارد وإدارة الخدمات ومراقبة الأمن)</t>
        </is>
      </c>
      <c r="L136" s="15" t="inlineStr">
        <is>
          <t>شهري</t>
        </is>
      </c>
      <c r="M136" s="15" t="inlineStr">
        <is>
          <t>مدير التقنية</t>
        </is>
      </c>
      <c r="N136" s="57" t="n"/>
    </row>
    <row r="137" ht="30" customHeight="1">
      <c r="A137" s="15" t="n">
        <v>135</v>
      </c>
      <c r="B137" s="13" t="inlineStr">
        <is>
          <t>التقنية الرقمية</t>
        </is>
      </c>
      <c r="C137" s="21" t="inlineStr">
        <is>
          <t>نسبة تنفيذ الصيانة الوقائية للأجهزة والبنية التقنية</t>
        </is>
      </c>
      <c r="D137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37" s="11" t="inlineStr">
        <is>
          <t>(المتحقّق ÷ الإجمالي) × 100٪</t>
        </is>
      </c>
      <c r="F137" s="15" t="inlineStr">
        <is>
          <t>⚙️ نشاط</t>
        </is>
      </c>
      <c r="G137" s="11" t="inlineStr">
        <is>
          <t>الابتكار · التحول التقني</t>
        </is>
      </c>
      <c r="H137" s="15" t="inlineStr">
        <is>
          <t>العمليات الداخلية</t>
        </is>
      </c>
      <c r="I137" s="64" t="n">
        <v>0.05</v>
      </c>
      <c r="J137" s="15" t="inlineStr">
        <is>
          <t>مدير التقنية</t>
        </is>
      </c>
      <c r="K137" s="11" t="inlineStr">
        <is>
          <t>أنظمة تقنية المعلومات (تخطيط الموارد وإدارة الخدمات ومراقبة الأمن)</t>
        </is>
      </c>
      <c r="L137" s="15" t="inlineStr">
        <is>
          <t>شهري</t>
        </is>
      </c>
      <c r="M137" s="15" t="inlineStr">
        <is>
          <t>مدير التقنية</t>
        </is>
      </c>
      <c r="N137" s="57" t="n"/>
    </row>
    <row r="138" ht="30" customHeight="1">
      <c r="A138" s="15" t="n">
        <v>136</v>
      </c>
      <c r="B138" s="13" t="inlineStr">
        <is>
          <t>التقنية الرقمية</t>
        </is>
      </c>
      <c r="C138" s="21" t="inlineStr">
        <is>
          <t>مستوى رضا الإدارات والمستخدمين عن خدمات تقنية المعلومات</t>
        </is>
      </c>
      <c r="D138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الابتكار · التحول التقني</t>
        </is>
      </c>
      <c r="H138" s="15" t="inlineStr">
        <is>
          <t>التعلّم والنمو</t>
        </is>
      </c>
      <c r="I138" s="64" t="n">
        <v>0.04</v>
      </c>
      <c r="J138" s="15" t="inlineStr">
        <is>
          <t>مدير التقنية</t>
        </is>
      </c>
      <c r="K138" s="11" t="inlineStr">
        <is>
          <t>أنظمة تقنية المعلومات (تخطيط الموارد وإدارة الخدمات ومراقبة الأمن)</t>
        </is>
      </c>
      <c r="L138" s="15" t="inlineStr">
        <is>
          <t>ربعي</t>
        </is>
      </c>
      <c r="M138" s="15" t="inlineStr">
        <is>
          <t>مدير التقنية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الالتزام بالتوطين والامتثال الحكومي دون مخالفات</t>
        </is>
      </c>
      <c r="D139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64" t="n">
        <v>0.1</v>
      </c>
      <c r="J139" s="15" t="inlineStr">
        <is>
          <t>مدير الموارد البشرية</t>
        </is>
      </c>
      <c r="K139" s="11" t="inlineStr">
        <is>
          <t>نظام الموارد البشرية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نسبة الالتزام بنظام العمل واللوائح وخطة القوى العاملة المعتمدة</t>
        </is>
      </c>
      <c r="D140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العمليات الداخلية</t>
        </is>
      </c>
      <c r="I140" s="64" t="n">
        <v>0.1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الالتزام بتجديد الوثائق واكتمال ملفات الموظفين</t>
        </is>
      </c>
      <c r="D141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0.08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إنجاز معاملات شؤون الموظفين ضمن المدة المستهدفة</t>
        </is>
      </c>
      <c r="D142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الاستدامة · الاستثمار في الموظفين</t>
        </is>
      </c>
      <c r="H142" s="15" t="inlineStr">
        <is>
          <t>التعلّم والنمو</t>
        </is>
      </c>
      <c r="I142" s="64" t="n">
        <v>0.08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نسبة جاهزية وتغطية عمالة المحطات حسب خطة التشغيل والافتتاحات</t>
        </is>
      </c>
      <c r="D143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العمليات الداخلية</t>
        </is>
      </c>
      <c r="I143" s="64" t="n">
        <v>0.1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الموارد البشرية</t>
        </is>
      </c>
      <c r="C144" s="21" t="inlineStr">
        <is>
          <t>متوسط مدة إغلاق الشواغر المعتمدة</t>
        </is>
      </c>
      <c r="D144" s="73" t="inlineStr">
        <is>
          <t>يقيس متوسط مدة إغلاق الشواغر المعتمدة ضمن محور «الاستقطاب»، ويعكس مساهمة الإدارة في ركيزة الاستدامة.</t>
        </is>
      </c>
      <c r="E144" s="11" t="inlineStr">
        <is>
          <t>متوسط يوم خلال الفترة</t>
        </is>
      </c>
      <c r="F144" s="15" t="inlineStr">
        <is>
          <t>🎯 نتيجة</t>
        </is>
      </c>
      <c r="G144" s="11" t="inlineStr">
        <is>
          <t>الاستدامة · الاستثمار في الموظفين</t>
        </is>
      </c>
      <c r="H144" s="15" t="inlineStr">
        <is>
          <t>العمليات الداخلية</t>
        </is>
      </c>
      <c r="I144" s="64" t="n">
        <v>0.08</v>
      </c>
      <c r="J144" s="15" t="inlineStr">
        <is>
          <t>مدير الموارد البشرية</t>
        </is>
      </c>
      <c r="K144" s="11" t="inlineStr">
        <is>
          <t>نظام الموارد البشرية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57" t="n"/>
    </row>
    <row r="145" ht="30" customHeight="1">
      <c r="A145" s="15" t="n">
        <v>143</v>
      </c>
      <c r="B145" s="13" t="inlineStr">
        <is>
          <t>الموارد البشرية</t>
        </is>
      </c>
      <c r="C145" s="21" t="inlineStr">
        <is>
          <t>نسبة نجاح التعيينات الجديدة خلال فترة التجربة</t>
        </is>
      </c>
      <c r="D145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الاستدامة · الاستثمار في الموظفين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الموارد البشرية</t>
        </is>
      </c>
      <c r="K145" s="11" t="inlineStr">
        <is>
          <t>نظام الموارد البشرية</t>
        </is>
      </c>
      <c r="L145" s="15" t="inlineStr">
        <is>
          <t>شهري</t>
        </is>
      </c>
      <c r="M145" s="15" t="inlineStr">
        <is>
          <t>مدير الموارد البشرية</t>
        </is>
      </c>
      <c r="N145" s="57" t="n"/>
    </row>
    <row r="146" ht="30" customHeight="1">
      <c r="A146" s="15" t="n">
        <v>144</v>
      </c>
      <c r="B146" s="13" t="inlineStr">
        <is>
          <t>الموارد البشرية</t>
        </is>
      </c>
      <c r="C146" s="21" t="inlineStr">
        <is>
          <t>نسبة كفاءة تكلفة القوى العاملة</t>
        </is>
      </c>
      <c r="D146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الاستدامة · الاستثمار في الموظفين</t>
        </is>
      </c>
      <c r="H146" s="15" t="inlineStr">
        <is>
          <t>مالي</t>
        </is>
      </c>
      <c r="I146" s="64" t="n">
        <v>0.08</v>
      </c>
      <c r="J146" s="15" t="inlineStr">
        <is>
          <t>مدير الموارد البشرية</t>
        </is>
      </c>
      <c r="K146" s="11" t="inlineStr">
        <is>
          <t>نظام الرواتب / حماية الأجور</t>
        </is>
      </c>
      <c r="L146" s="15" t="inlineStr">
        <is>
          <t>شهري</t>
        </is>
      </c>
      <c r="M146" s="15" t="inlineStr">
        <is>
          <t>مدير الموارد البشرية</t>
        </is>
      </c>
      <c r="N146" s="57" t="n"/>
    </row>
    <row r="147" ht="30" customHeight="1">
      <c r="A147" s="15" t="n">
        <v>145</v>
      </c>
      <c r="B147" s="13" t="inlineStr">
        <is>
          <t>الموارد البشرية</t>
        </is>
      </c>
      <c r="C147" s="21" t="inlineStr">
        <is>
          <t>نسبة دقة الرواتب والمستحقات الشهرية</t>
        </is>
      </c>
      <c r="D147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الاستدامة · الاستثمار في الموظفين</t>
        </is>
      </c>
      <c r="H147" s="15" t="inlineStr">
        <is>
          <t>مالي</t>
        </is>
      </c>
      <c r="I147" s="64" t="n">
        <v>0.08</v>
      </c>
      <c r="J147" s="15" t="inlineStr">
        <is>
          <t>مدير الموارد البشرية</t>
        </is>
      </c>
      <c r="K147" s="11" t="inlineStr">
        <is>
          <t>نظام الرواتب / حماية الأجور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57" t="n"/>
    </row>
    <row r="148" ht="30" customHeight="1">
      <c r="A148" s="15" t="n">
        <v>146</v>
      </c>
      <c r="B148" s="13" t="inlineStr">
        <is>
          <t>الموارد البشرية</t>
        </is>
      </c>
      <c r="C148" s="21" t="inlineStr">
        <is>
          <t>معدل دوران الموظفين</t>
        </is>
      </c>
      <c r="D148" s="73" t="inlineStr">
        <is>
          <t>يقيس معدل دوران الموظفين ضمن محور «الاستقرار والتطوير»،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الاستدامة · الاستثمار في الموظفين</t>
        </is>
      </c>
      <c r="H148" s="15" t="inlineStr">
        <is>
          <t>التعلّم والنمو</t>
        </is>
      </c>
      <c r="I148" s="64" t="n">
        <v>0.06</v>
      </c>
      <c r="J148" s="15" t="inlineStr">
        <is>
          <t>مدير الموارد البشرية</t>
        </is>
      </c>
      <c r="K148" s="11" t="inlineStr">
        <is>
          <t>نظام الموارد البشرية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57" t="n"/>
    </row>
    <row r="149" ht="30" customHeight="1">
      <c r="A149" s="15" t="n">
        <v>147</v>
      </c>
      <c r="B149" s="13" t="inlineStr">
        <is>
          <t>الموارد البشرية</t>
        </is>
      </c>
      <c r="C149" s="21" t="inlineStr">
        <is>
          <t>نسبة تنفيذ برامج التدريب والتأهيل المعتمدة</t>
        </is>
      </c>
      <c r="D149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⚙️ نشاط</t>
        </is>
      </c>
      <c r="G149" s="11" t="inlineStr">
        <is>
          <t>الاستدامة · الاستثمار في الموظفين</t>
        </is>
      </c>
      <c r="H149" s="15" t="inlineStr">
        <is>
          <t>التعلّم والنمو</t>
        </is>
      </c>
      <c r="I149" s="64" t="n">
        <v>0.06</v>
      </c>
      <c r="J149" s="15" t="inlineStr">
        <is>
          <t>مدير الموارد البشرية</t>
        </is>
      </c>
      <c r="K149" s="11" t="inlineStr">
        <is>
          <t>نظام الموارد البشرية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57" t="n"/>
    </row>
    <row r="150" ht="30" customHeight="1">
      <c r="A150" s="15" t="n">
        <v>148</v>
      </c>
      <c r="B150" s="13" t="inlineStr">
        <is>
          <t>الموارد البشرية</t>
        </is>
      </c>
      <c r="C150" s="21" t="inlineStr">
        <is>
          <t>نسبة إغلاق تقييمات الأداء وخطط الإحلال للوظائف الحرجة</t>
        </is>
      </c>
      <c r="D150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الاستدامة · الاستثمار في الموظفين</t>
        </is>
      </c>
      <c r="H150" s="15" t="inlineStr">
        <is>
          <t>العمليات الداخلية</t>
        </is>
      </c>
      <c r="I150" s="64" t="n">
        <v>0.04</v>
      </c>
      <c r="J150" s="15" t="inlineStr">
        <is>
          <t>مدير الموارد البشرية</t>
        </is>
      </c>
      <c r="K150" s="11" t="inlineStr">
        <is>
          <t>نظام الموارد البشرية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57" t="n"/>
    </row>
    <row r="151" ht="30" customHeight="1">
      <c r="A151" s="15" t="n">
        <v>149</v>
      </c>
      <c r="B151" s="13" t="inlineStr">
        <is>
          <t>الموارد البشرية</t>
        </is>
      </c>
      <c r="C151" s="21" t="inlineStr">
        <is>
          <t>معدل رضا الموظفين (استبيان دوري)</t>
        </is>
      </c>
      <c r="D151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الاستدامة · الاستثمار في الموظفين</t>
        </is>
      </c>
      <c r="H151" s="15" t="inlineStr">
        <is>
          <t>التعلّم والنمو</t>
        </is>
      </c>
      <c r="I151" s="64" t="n">
        <v>0.06</v>
      </c>
      <c r="J151" s="15" t="inlineStr">
        <is>
          <t>مدير الموارد البشرية</t>
        </is>
      </c>
      <c r="K151" s="11" t="inlineStr">
        <is>
          <t>نظام الموارد البشرية</t>
        </is>
      </c>
      <c r="L151" s="15" t="inlineStr">
        <is>
          <t>ربعي</t>
        </is>
      </c>
      <c r="M151" s="15" t="inlineStr">
        <is>
          <t>مدير الموارد البشرية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عملاء تجاريون جدد</t>
        </is>
      </c>
      <c r="D152" s="73" t="inlineStr">
        <is>
          <t>يقيس عملاء تجاريون جدد ضمن محور «الاكتساب والعائد»، ويعكس مساهمة الإدارة في ركيزة النمو.</t>
        </is>
      </c>
      <c r="E152" s="11" t="inlineStr">
        <is>
          <t>إجمالي العدد خلال الفترة</t>
        </is>
      </c>
      <c r="F152" s="15" t="inlineStr">
        <is>
          <t>🔧 تشغيلي</t>
        </is>
      </c>
      <c r="G152" s="11" t="inlineStr">
        <is>
          <t>النمو · زيادة وصول العملاء</t>
        </is>
      </c>
      <c r="H152" s="15" t="inlineStr">
        <is>
          <t>العملاء</t>
        </is>
      </c>
      <c r="I152" s="64" t="n">
        <v>0.12</v>
      </c>
      <c r="J152" s="15" t="inlineStr">
        <is>
          <t>مدير التسويق</t>
        </is>
      </c>
      <c r="K152" s="11" t="inlineStr">
        <is>
          <t>نظام المحاسبة / تخطيط الموارد (نظام دايناميكس)</t>
        </is>
      </c>
      <c r="L152" s="15" t="inlineStr">
        <is>
          <t>شهري</t>
        </is>
      </c>
      <c r="M152" s="15" t="inlineStr">
        <is>
          <t>الإدارة المالية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تكلفة اكتساب العميل</t>
        </is>
      </c>
      <c r="D153" s="73" t="inlineStr">
        <is>
          <t>يقيس تكلفة اكتساب العميل ضمن محور «الاكتساب والعائد»، ويعكس مساهمة الإدارة في ركيزة النمو.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النمو · زيادة وصول العملاء</t>
        </is>
      </c>
      <c r="H153" s="15" t="inlineStr">
        <is>
          <t>مالي</t>
        </is>
      </c>
      <c r="I153" s="64" t="n">
        <v>0.11</v>
      </c>
      <c r="J153" s="15" t="inlineStr">
        <is>
          <t>مدير التسويق</t>
        </is>
      </c>
      <c r="K153" s="11" t="inlineStr">
        <is>
          <t>نظام المحاسبة / تخطيط الموارد (نظام دايناميكس)</t>
        </is>
      </c>
      <c r="L153" s="15" t="inlineStr">
        <is>
          <t>شهري</t>
        </is>
      </c>
      <c r="M153" s="15" t="inlineStr">
        <is>
          <t>الإدارة المالية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تحويل الفرص التسويقية إلى عقود</t>
        </is>
      </c>
      <c r="D154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النمو · زيادة وصول العملاء</t>
        </is>
      </c>
      <c r="H154" s="15" t="inlineStr">
        <is>
          <t>العمليات الداخلية</t>
        </is>
      </c>
      <c r="I154" s="64" t="n">
        <v>0.11</v>
      </c>
      <c r="J154" s="15" t="inlineStr">
        <is>
          <t>مدير التسويق</t>
        </is>
      </c>
      <c r="K154" s="11" t="inlineStr">
        <is>
          <t>نظام المحاسبة / تخطيط الموارد (نظام دايناميكس)</t>
        </is>
      </c>
      <c r="L154" s="15" t="inlineStr">
        <is>
          <t>شهري</t>
        </is>
      </c>
      <c r="M154" s="15" t="inlineStr">
        <is>
          <t>الإدارة المالية</t>
        </is>
      </c>
      <c r="N154" s="57" t="n"/>
    </row>
    <row r="155" ht="30" customHeight="1">
      <c r="A155" s="15" t="n">
        <v>153</v>
      </c>
      <c r="B155" s="13" t="inlineStr">
        <is>
          <t>التسويق</t>
        </is>
      </c>
      <c r="C155" s="21" t="inlineStr">
        <is>
          <t>الوصول الرقمي السنوي (مشاهدات وانطباعات)</t>
        </is>
      </c>
      <c r="D155" s="73" t="inlineStr">
        <is>
          <t>يقيس الوصول الرقمي السنوي (مشاهدات وانطباعات) ضمن محور «الوعي والوصول»، ويعكس مساهمة الإدارة في ركيزة النمو.</t>
        </is>
      </c>
      <c r="E155" s="11" t="inlineStr">
        <is>
          <t>إجمالي العدد خلال الفترة</t>
        </is>
      </c>
      <c r="F155" s="15" t="inlineStr">
        <is>
          <t>🎯 نتيجة</t>
        </is>
      </c>
      <c r="G155" s="11" t="inlineStr">
        <is>
          <t>النمو · زيادة وصول العملاء</t>
        </is>
      </c>
      <c r="H155" s="15" t="inlineStr">
        <is>
          <t>التعلّم والنمو</t>
        </is>
      </c>
      <c r="I155" s="64" t="n">
        <v>0.09</v>
      </c>
      <c r="J155" s="15" t="inlineStr">
        <is>
          <t>مدير التسويق</t>
        </is>
      </c>
      <c r="K155" s="11" t="inlineStr">
        <is>
          <t>أنظمة التسويق الرقمي / درب</t>
        </is>
      </c>
      <c r="L155" s="15" t="inlineStr">
        <is>
          <t>شهري</t>
        </is>
      </c>
      <c r="M155" s="15" t="inlineStr">
        <is>
          <t>مدير التسويق</t>
        </is>
      </c>
      <c r="N155" s="57" t="n"/>
    </row>
    <row r="156" ht="30" customHeight="1">
      <c r="A156" s="15" t="n">
        <v>154</v>
      </c>
      <c r="B156" s="13" t="inlineStr">
        <is>
          <t>التسويق</t>
        </is>
      </c>
      <c r="C156" s="21" t="inlineStr">
        <is>
          <t>عدد الظهورات الإعلامية (تغطيات صحفية)</t>
        </is>
      </c>
      <c r="D156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النمو · زيادة وصول العملاء</t>
        </is>
      </c>
      <c r="H156" s="15" t="inlineStr">
        <is>
          <t>العمليات الداخلية</t>
        </is>
      </c>
      <c r="I156" s="64" t="n">
        <v>0.06</v>
      </c>
      <c r="J156" s="15" t="inlineStr">
        <is>
          <t>مدير التسويق</t>
        </is>
      </c>
      <c r="K156" s="11" t="inlineStr">
        <is>
          <t>أنظمة التسويق الرقمي / درب</t>
        </is>
      </c>
      <c r="L156" s="15" t="inlineStr">
        <is>
          <t>شهري</t>
        </is>
      </c>
      <c r="M156" s="15" t="inlineStr">
        <is>
          <t>مدير التسويق</t>
        </is>
      </c>
      <c r="N156" s="57" t="n"/>
    </row>
    <row r="157" ht="30" customHeight="1">
      <c r="A157" s="15" t="n">
        <v>155</v>
      </c>
      <c r="B157" s="13" t="inlineStr">
        <is>
          <t>التسويق</t>
        </is>
      </c>
      <c r="C157" s="21" t="inlineStr">
        <is>
          <t>معدل التفاعل</t>
        </is>
      </c>
      <c r="D157" s="73" t="inlineStr">
        <is>
          <t>يقيس معدل التفاعل ضمن محور «التفاعل والمجتمع»، ويعكس مساهمة الإدارة في ركيزة النمو.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4" t="n">
        <v>0.09</v>
      </c>
      <c r="J157" s="15" t="inlineStr">
        <is>
          <t>مدير التسويق</t>
        </is>
      </c>
      <c r="K157" s="11" t="inlineStr">
        <is>
          <t>أنظمة التسويق الرقمي / درب</t>
        </is>
      </c>
      <c r="L157" s="15" t="inlineStr">
        <is>
          <t>شهري</t>
        </is>
      </c>
      <c r="M157" s="15" t="inlineStr">
        <is>
          <t>مدير التسويق</t>
        </is>
      </c>
      <c r="N157" s="57" t="n"/>
    </row>
    <row r="158" ht="30" customHeight="1">
      <c r="A158" s="15" t="n">
        <v>156</v>
      </c>
      <c r="B158" s="13" t="inlineStr">
        <is>
          <t>التسويق</t>
        </is>
      </c>
      <c r="C158" s="21" t="inlineStr">
        <is>
          <t>نمو المتابعين النشطين</t>
        </is>
      </c>
      <c r="D158" s="73" t="inlineStr">
        <is>
          <t>يقيس نمو المتابعين النشطين ضمن محور «التفاعل والمجتمع»، ويعكس مساهمة الإدارة في ركيزة النمو.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النمو · زيادة وصول العملاء</t>
        </is>
      </c>
      <c r="H158" s="15" t="inlineStr">
        <is>
          <t>العملاء</t>
        </is>
      </c>
      <c r="I158" s="64" t="n">
        <v>0.07000000000000001</v>
      </c>
      <c r="J158" s="15" t="inlineStr">
        <is>
          <t>مدير التسويق</t>
        </is>
      </c>
      <c r="K158" s="11" t="inlineStr">
        <is>
          <t>أنظمة التسويق الرقمي / درب</t>
        </is>
      </c>
      <c r="L158" s="15" t="inlineStr">
        <is>
          <t>ربعي</t>
        </is>
      </c>
      <c r="M158" s="15" t="inlineStr">
        <is>
          <t>مدير التسويق</t>
        </is>
      </c>
      <c r="N158" s="57" t="n"/>
    </row>
    <row r="159" ht="30" customHeight="1">
      <c r="A159" s="15" t="n">
        <v>157</v>
      </c>
      <c r="B159" s="13" t="inlineStr">
        <is>
          <t>التسويق</t>
        </is>
      </c>
      <c r="C159" s="21" t="inlineStr">
        <is>
          <t>اتساق الهوية البصرية عبر القنوات التسويقية</t>
        </is>
      </c>
      <c r="D159" s="73" t="inlineStr">
        <is>
          <t>يقيس اتساق الهوية البصرية عبر القنوات التسويقية ضمن محور «السمعة وتجربة العلامة»، ويعكس مساهمة الإدارة في ركيزة الابتكار.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الابتكار · تطوير التصاميم والهوية</t>
        </is>
      </c>
      <c r="H159" s="15" t="inlineStr">
        <is>
          <t>التعلّم والنمو</t>
        </is>
      </c>
      <c r="I159" s="64" t="n">
        <v>0.07000000000000001</v>
      </c>
      <c r="J159" s="15" t="inlineStr">
        <is>
          <t>مدير التسويق</t>
        </is>
      </c>
      <c r="K159" s="11" t="inlineStr">
        <is>
          <t>سجلات الإدارة</t>
        </is>
      </c>
      <c r="L159" s="15" t="inlineStr">
        <is>
          <t>شهري</t>
        </is>
      </c>
      <c r="M159" s="15" t="inlineStr">
        <is>
          <t>مدير التسويق</t>
        </is>
      </c>
      <c r="N159" s="57" t="n"/>
    </row>
    <row r="160" ht="30" customHeight="1">
      <c r="A160" s="15" t="n">
        <v>158</v>
      </c>
      <c r="B160" s="13" t="inlineStr">
        <is>
          <t>التسويق</t>
        </is>
      </c>
      <c r="C160" s="21" t="inlineStr">
        <is>
          <t>نسبة المشاعر الإيجابية للعلامة</t>
        </is>
      </c>
      <c r="D160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تعزيز تجربة العملاء</t>
        </is>
      </c>
      <c r="H160" s="15" t="inlineStr">
        <is>
          <t>العمليات الداخلية</t>
        </is>
      </c>
      <c r="I160" s="64" t="n">
        <v>0.08</v>
      </c>
      <c r="J160" s="15" t="inlineStr">
        <is>
          <t>مدير التسويق</t>
        </is>
      </c>
      <c r="K160" s="11" t="inlineStr">
        <is>
          <t>سجلات الإدارة</t>
        </is>
      </c>
      <c r="L160" s="15" t="inlineStr">
        <is>
          <t>شهري</t>
        </is>
      </c>
      <c r="M160" s="15" t="inlineStr">
        <is>
          <t>مدير التسويق</t>
        </is>
      </c>
      <c r="N160" s="57" t="n"/>
    </row>
    <row r="161" ht="30" customHeight="1">
      <c r="A161" s="15" t="n">
        <v>159</v>
      </c>
      <c r="B161" s="13" t="inlineStr">
        <is>
          <t>التسويق</t>
        </is>
      </c>
      <c r="C161" s="21" t="inlineStr">
        <is>
          <t>المستخدمون النشطون شهرياً</t>
        </is>
      </c>
      <c r="D161" s="73" t="inlineStr">
        <is>
          <t>يقيس المستخدمون النشطون شهرياً ضمن محور «نمو تطبيق درب»، ويعكس مساهمة الإدارة في ركيزة الابتكار.</t>
        </is>
      </c>
      <c r="E161" s="11" t="inlineStr">
        <is>
          <t>إجمالي العدد خلال الفترة</t>
        </is>
      </c>
      <c r="F161" s="15" t="inlineStr">
        <is>
          <t>🔧 تشغيلي</t>
        </is>
      </c>
      <c r="G161" s="11" t="inlineStr">
        <is>
          <t>الابتكار · تطبيق «درب»</t>
        </is>
      </c>
      <c r="H161" s="15" t="inlineStr">
        <is>
          <t>التعلّم والنمو</t>
        </is>
      </c>
      <c r="I161" s="64" t="n">
        <v>0.11</v>
      </c>
      <c r="J161" s="15" t="inlineStr">
        <is>
          <t>مدير التسويق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التسويق</t>
        </is>
      </c>
      <c r="N161" s="57" t="n"/>
    </row>
    <row r="162" ht="30" customHeight="1">
      <c r="A162" s="15" t="n">
        <v>160</v>
      </c>
      <c r="B162" s="13" t="inlineStr">
        <is>
          <t>التسويق</t>
        </is>
      </c>
      <c r="C162" s="21" t="inlineStr">
        <is>
          <t>معدل احتفاظ مستخدمي تطبيق درب</t>
        </is>
      </c>
      <c r="D162" s="73" t="inlineStr">
        <is>
          <t>يقيس معدل احتفاظ مستخدمي تطبيق درب ضمن محور «نمو تطبيق درب»، ويعكس مساهمة الإدارة في ركيزة الابتكار.</t>
        </is>
      </c>
      <c r="E162" s="11" t="inlineStr">
        <is>
          <t>(المتحقّق ÷ الإجمالي) × 100٪</t>
        </is>
      </c>
      <c r="F162" s="15" t="inlineStr">
        <is>
          <t>🔧 تشغيلي</t>
        </is>
      </c>
      <c r="G162" s="11" t="inlineStr">
        <is>
          <t>الابتكار · تطبيق «درب»</t>
        </is>
      </c>
      <c r="H162" s="15" t="inlineStr">
        <is>
          <t>التعلّم والنمو</t>
        </is>
      </c>
      <c r="I162" s="64" t="n">
        <v>0.09</v>
      </c>
      <c r="J162" s="15" t="inlineStr">
        <is>
          <t>مدير التسويق</t>
        </is>
      </c>
      <c r="K162" s="11" t="inlineStr">
        <is>
          <t>سجلات الإدارة</t>
        </is>
      </c>
      <c r="L162" s="15" t="inlineStr">
        <is>
          <t>شهري</t>
        </is>
      </c>
      <c r="M162" s="15" t="inlineStr">
        <is>
          <t>مدير التسويق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تنفيذ خطة الزيارات الميدانية للمحطات</t>
        </is>
      </c>
      <c r="D163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⚙️ نشاط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0.08</v>
      </c>
      <c r="J163" s="15" t="inlineStr">
        <is>
          <t>مدير الجودة</t>
        </is>
      </c>
      <c r="K163" s="11" t="inlineStr">
        <is>
          <t>نظام إدارة الجودة (نظام إدارة الجودة)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عدد الملاحظات الميدانية المرصودة والمصنفة حسب الخطورة</t>
        </is>
      </c>
      <c r="D164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إدارة الجودة (نظام إدارة الجودة)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تغطية المحطات بالزيارات الشهرية</t>
        </is>
      </c>
      <c r="D165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0.06</v>
      </c>
      <c r="J165" s="15" t="inlineStr">
        <is>
          <t>مدير الجودة</t>
        </is>
      </c>
      <c r="K165" s="11" t="inlineStr">
        <is>
          <t>نظام إدارة الجودة (نظام إدارة الجودة)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اكتمال تقارير الزيارة الميدانية بالصور والأدلة</t>
        </is>
      </c>
      <c r="D166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إدارة الجودة (نظام إدارة الجودة)</t>
        </is>
      </c>
      <c r="L166" s="15" t="inlineStr">
        <is>
          <t>شهري</t>
        </is>
      </c>
      <c r="M166" s="15" t="inlineStr">
        <is>
          <t>مدير الجودة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إصدار تقارير الزيارات خلال المدة المحددة</t>
        </is>
      </c>
      <c r="D167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⚙️ نشاط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0.04</v>
      </c>
      <c r="J167" s="15" t="inlineStr">
        <is>
          <t>مدير الجودة</t>
        </is>
      </c>
      <c r="K167" s="11" t="inlineStr">
        <is>
          <t>نظام إدارة الجودة (نظام إدارة الجودة)</t>
        </is>
      </c>
      <c r="L167" s="15" t="inlineStr">
        <is>
          <t>شهري</t>
        </is>
      </c>
      <c r="M167" s="15" t="inlineStr">
        <is>
          <t>مدير الجودة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الزيارات المفاجئة من إجمالي الزيارات</t>
        </is>
      </c>
      <c r="D168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0.02</v>
      </c>
      <c r="J168" s="15" t="inlineStr">
        <is>
          <t>مدير الجودة</t>
        </is>
      </c>
      <c r="K168" s="11" t="inlineStr">
        <is>
          <t>نظام إدارة الجودة (نظام إدارة الجودة)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إغلاق الملاحظات ضمن المدة المحددة</t>
        </is>
      </c>
      <c r="D169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0.06</v>
      </c>
      <c r="J169" s="15" t="inlineStr">
        <is>
          <t>مدير الجودة</t>
        </is>
      </c>
      <c r="K169" s="11" t="inlineStr">
        <is>
          <t>أنظمة التسويق الرقمي / درب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التحقق من إغلاق الملاحظات ميدانيًا أو بالصور</t>
        </is>
      </c>
      <c r="D170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0.05</v>
      </c>
      <c r="J170" s="15" t="inlineStr">
        <is>
          <t>مدير الجودة</t>
        </is>
      </c>
      <c r="K170" s="11" t="inlineStr">
        <is>
          <t>أنظمة التسويق الرقمي / درب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الملاحظات المتأخرة عن الإغلاق</t>
        </is>
      </c>
      <c r="D171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0.03</v>
      </c>
      <c r="J171" s="15" t="inlineStr">
        <is>
          <t>مدير الجودة</t>
        </is>
      </c>
      <c r="K171" s="11" t="inlineStr">
        <is>
          <t>أنظمة التسويق الرقمي / درب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الملاحظات المتكررة في نفس المحطة</t>
        </is>
      </c>
      <c r="D172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أنظمة التسويق الرقمي / درب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متوسط زمن إغلاق الملاحظات الحرجة</t>
        </is>
      </c>
      <c r="D173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73" s="11" t="inlineStr">
        <is>
          <t>متوسط يوم خلال الفترة</t>
        </is>
      </c>
      <c r="F173" s="15" t="inlineStr">
        <is>
          <t>🎯 نتيجة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أنظمة التسويق الرقمي / درب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تنفيذ خطة التدقيق الداخلي</t>
        </is>
      </c>
      <c r="D174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0.05</v>
      </c>
      <c r="J174" s="15" t="inlineStr">
        <is>
          <t>مدير الجودة</t>
        </is>
      </c>
      <c r="K174" s="11" t="inlineStr">
        <is>
          <t>نظام المحاسبة / تخطيط الموارد (نظام دايناميكس)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إغلاق ملاحظات التدقيق الداخلي ضمن المدة</t>
        </is>
      </c>
      <c r="D175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0.05</v>
      </c>
      <c r="J175" s="15" t="inlineStr">
        <is>
          <t>مدير الجودة</t>
        </is>
      </c>
      <c r="K175" s="11" t="inlineStr">
        <is>
          <t>نظام المحاسبة / تخطيط الموارد (نظام دايناميكس)</t>
        </is>
      </c>
      <c r="L175" s="15" t="inlineStr">
        <is>
          <t>ربعي</t>
        </is>
      </c>
      <c r="M175" s="15" t="inlineStr">
        <is>
          <t>الإدارة المالية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حالات عدم المطابقة المتكررة</t>
        </is>
      </c>
      <c r="D176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0.03</v>
      </c>
      <c r="J176" s="15" t="inlineStr">
        <is>
          <t>مدير الجودة</t>
        </is>
      </c>
      <c r="K176" s="11" t="inlineStr">
        <is>
          <t>نظام المحاسبة / تخطيط الموارد (نظام دايناميكس)</t>
        </is>
      </c>
      <c r="L176" s="15" t="inlineStr">
        <is>
          <t>شهري</t>
        </is>
      </c>
      <c r="M176" s="15" t="inlineStr">
        <is>
          <t>الإدارة المالية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فاعلية الإجراءات التصحيحية</t>
        </is>
      </c>
      <c r="D177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🔧 تشغيلي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0.03</v>
      </c>
      <c r="J177" s="15" t="inlineStr">
        <is>
          <t>مدير الجودة</t>
        </is>
      </c>
      <c r="K177" s="11" t="inlineStr">
        <is>
          <t>نظام المحاسبة / تخطيط الموارد (نظام دايناميكس)</t>
        </is>
      </c>
      <c r="L177" s="15" t="inlineStr">
        <is>
          <t>شهري</t>
        </is>
      </c>
      <c r="M177" s="15" t="inlineStr">
        <is>
          <t>الإدارة المالية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متوسط زمن إغلاق حالات عدم المطابقة</t>
        </is>
      </c>
      <c r="D178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8" s="11" t="inlineStr">
        <is>
          <t>متوسط يوم خلال الفترة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المحاسبة / تخطيط الموارد (نظام دايناميكس)</t>
        </is>
      </c>
      <c r="L178" s="15" t="inlineStr">
        <is>
          <t>شهري</t>
        </is>
      </c>
      <c r="M178" s="15" t="inlineStr">
        <is>
          <t>الإدارة المالية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مراجعة وتحديث الإجراءات والسياسات حسب الخطة</t>
        </is>
      </c>
      <c r="D179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0.04</v>
      </c>
      <c r="J179" s="15" t="inlineStr">
        <is>
          <t>مدير الجودة</t>
        </is>
      </c>
      <c r="K179" s="11" t="inlineStr">
        <is>
          <t>سجلات الإدارة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اكتمال توثيق إجراءات الإدارات المستهدفة</t>
        </is>
      </c>
      <c r="D180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0.04</v>
      </c>
      <c r="J180" s="15" t="inlineStr">
        <is>
          <t>مدير الجودة</t>
        </is>
      </c>
      <c r="K180" s="11" t="inlineStr">
        <is>
          <t>سجلات الإدارة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اعتماد النماذج والإجراءات الجديدة أو المحدثة</t>
        </is>
      </c>
      <c r="D181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0.03</v>
      </c>
      <c r="J181" s="15" t="inlineStr">
        <is>
          <t>مدير الجودة</t>
        </is>
      </c>
      <c r="K181" s="11" t="inlineStr">
        <is>
          <t>سجلات الإدارة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عدد حالات استخدام نماذج أو إجراءات غير معتمدة</t>
        </is>
      </c>
      <c r="D182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0.02</v>
      </c>
      <c r="J182" s="15" t="inlineStr">
        <is>
          <t>مدير الجودة</t>
        </is>
      </c>
      <c r="K182" s="11" t="inlineStr">
        <is>
          <t>سجلات الإدارة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نشر وتعميم الإجراءات المعتمدة</t>
        </is>
      </c>
      <c r="D183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0.01</v>
      </c>
      <c r="J183" s="15" t="inlineStr">
        <is>
          <t>مدير الجودة</t>
        </is>
      </c>
      <c r="K183" s="11" t="inlineStr">
        <is>
          <t>سجلات الإدارة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عدد فرص التحسين المستخرجة من الزيارات والتدقيق</t>
        </is>
      </c>
      <c r="D184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84" s="11" t="inlineStr">
        <is>
          <t>إجمالي العدد خلال الفترة</t>
        </is>
      </c>
      <c r="F184" s="15" t="inlineStr">
        <is>
          <t>⚙️ نشاط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0.03</v>
      </c>
      <c r="J184" s="15" t="inlineStr">
        <is>
          <t>مدير الجودة</t>
        </is>
      </c>
      <c r="K184" s="11" t="inlineStr">
        <is>
          <t>نظام المحاسبة / تخطيط الموارد (نظام دايناميكس)</t>
        </is>
      </c>
      <c r="L184" s="15" t="inlineStr">
        <is>
          <t>ربعي</t>
        </is>
      </c>
      <c r="M184" s="15" t="inlineStr">
        <is>
          <t>الإدارة المالية</t>
        </is>
      </c>
      <c r="N184" s="57" t="n"/>
    </row>
    <row r="185" ht="30" customHeight="1">
      <c r="A185" s="15" t="n">
        <v>183</v>
      </c>
      <c r="B185" s="13" t="inlineStr">
        <is>
          <t>الجودة</t>
        </is>
      </c>
      <c r="C185" s="21" t="inlineStr">
        <is>
          <t>نسبة تنفيذ مبادرات التحسين المعتمدة</t>
        </is>
      </c>
      <c r="D185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⚙️ نشاط</t>
        </is>
      </c>
      <c r="G185" s="11" t="inlineStr">
        <is>
          <t>الاستدامة · جودة التشغيل</t>
        </is>
      </c>
      <c r="H185" s="15" t="inlineStr">
        <is>
          <t>التعلّم والنمو</t>
        </is>
      </c>
      <c r="I185" s="64" t="n">
        <v>0.03</v>
      </c>
      <c r="J185" s="15" t="inlineStr">
        <is>
          <t>مدير الجودة</t>
        </is>
      </c>
      <c r="K185" s="11" t="inlineStr">
        <is>
          <t>سجلات الإدارة</t>
        </is>
      </c>
      <c r="L185" s="15" t="inlineStr">
        <is>
          <t>شهري</t>
        </is>
      </c>
      <c r="M185" s="15" t="inlineStr">
        <is>
          <t>مدير الجودة</t>
        </is>
      </c>
      <c r="N185" s="57" t="n"/>
    </row>
    <row r="186" ht="30" customHeight="1">
      <c r="A186" s="15" t="n">
        <v>184</v>
      </c>
      <c r="B186" s="13" t="inlineStr">
        <is>
          <t>الجودة</t>
        </is>
      </c>
      <c r="C186" s="21" t="inlineStr">
        <is>
          <t>نسبة انخفاض تكرار الملاحظات بعد التحسين</t>
        </is>
      </c>
      <c r="D186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🎯 نتيجة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0.02</v>
      </c>
      <c r="J186" s="15" t="inlineStr">
        <is>
          <t>مدير الجودة</t>
        </is>
      </c>
      <c r="K186" s="11" t="inlineStr">
        <is>
          <t>نظام إدارة الجودة (نظام إدارة الجودة)</t>
        </is>
      </c>
      <c r="L186" s="15" t="inlineStr">
        <is>
          <t>شهري</t>
        </is>
      </c>
      <c r="M186" s="15" t="inlineStr">
        <is>
          <t>مدير الجودة</t>
        </is>
      </c>
      <c r="N186" s="57" t="n"/>
    </row>
    <row r="187" ht="30" customHeight="1">
      <c r="A187" s="15" t="n">
        <v>185</v>
      </c>
      <c r="B187" s="13" t="inlineStr">
        <is>
          <t>الجودة</t>
        </is>
      </c>
      <c r="C187" s="21" t="inlineStr">
        <is>
          <t>عدد التقارير التحليلية الشهرية للجودة</t>
        </is>
      </c>
      <c r="D187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87" s="11" t="inlineStr">
        <is>
          <t>إجمالي العدد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0.01</v>
      </c>
      <c r="J187" s="15" t="inlineStr">
        <is>
          <t>مدير الجودة</t>
        </is>
      </c>
      <c r="K187" s="11" t="inlineStr">
        <is>
          <t>نظام إدارة الجودة (نظام إدارة الجودة)</t>
        </is>
      </c>
      <c r="L187" s="15" t="inlineStr">
        <is>
          <t>شهري</t>
        </is>
      </c>
      <c r="M187" s="15" t="inlineStr">
        <is>
          <t>مدير الجودة</t>
        </is>
      </c>
      <c r="N187" s="57" t="n"/>
    </row>
    <row r="188" ht="30" customHeight="1">
      <c r="A188" s="15" t="n">
        <v>186</v>
      </c>
      <c r="B188" s="13" t="inlineStr">
        <is>
          <t>الجودة</t>
        </is>
      </c>
      <c r="C188" s="21" t="inlineStr">
        <is>
          <t>عدد الدروس المستفادة المعممة على الإدارات</t>
        </is>
      </c>
      <c r="D188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8" s="11" t="inlineStr">
        <is>
          <t>إجمالي العدد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0.01</v>
      </c>
      <c r="J188" s="15" t="inlineStr">
        <is>
          <t>مدير الجودة</t>
        </is>
      </c>
      <c r="K188" s="11" t="inlineStr">
        <is>
          <t>سجلات الإدارة</t>
        </is>
      </c>
      <c r="L188" s="15" t="inlineStr">
        <is>
          <t>شهري</t>
        </is>
      </c>
      <c r="M188" s="15" t="inlineStr">
        <is>
          <t>مدير الجودة</t>
        </is>
      </c>
      <c r="N188" s="57" t="n"/>
    </row>
    <row r="189" ht="30" customHeight="1">
      <c r="A189" s="15" t="n">
        <v>187</v>
      </c>
      <c r="B189" s="13" t="inlineStr">
        <is>
          <t>الجودة</t>
        </is>
      </c>
      <c r="C189" s="21" t="inlineStr">
        <is>
          <t>نسبة أتمتة قوائم الفحص وتقارير الزيارات</t>
        </is>
      </c>
      <c r="D189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9" s="11" t="inlineStr">
        <is>
          <t>(المتحقّق ÷ الإجمالي) × 100٪</t>
        </is>
      </c>
      <c r="F189" s="15" t="inlineStr">
        <is>
          <t>⚙️ نشاط</t>
        </is>
      </c>
      <c r="G189" s="11" t="inlineStr">
        <is>
          <t>الابتكار · التحول التقني</t>
        </is>
      </c>
      <c r="H189" s="15" t="inlineStr">
        <is>
          <t>التعلّم والنمو</t>
        </is>
      </c>
      <c r="I189" s="64" t="n">
        <v>0.02</v>
      </c>
      <c r="J189" s="15" t="inlineStr">
        <is>
          <t>مدير الجودة</t>
        </is>
      </c>
      <c r="K189" s="11" t="inlineStr">
        <is>
          <t>مكتب إدارة المشاريع (مكتب إدارة المشاريع)</t>
        </is>
      </c>
      <c r="L189" s="15" t="inlineStr">
        <is>
          <t>شهري</t>
        </is>
      </c>
      <c r="M189" s="15" t="inlineStr">
        <is>
          <t>مدير الجودة</t>
        </is>
      </c>
      <c r="N189" s="57" t="n"/>
    </row>
    <row r="190" ht="30" customHeight="1">
      <c r="A190" s="15" t="n">
        <v>188</v>
      </c>
      <c r="B190" s="13" t="inlineStr">
        <is>
          <t>الجودة</t>
        </is>
      </c>
      <c r="C190" s="21" t="inlineStr">
        <is>
          <t>نسبة تحديث لوحة مؤشرات الجودة شهريًا</t>
        </is>
      </c>
      <c r="D190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الابتكار · التحول التقني</t>
        </is>
      </c>
      <c r="H190" s="15" t="inlineStr">
        <is>
          <t>العمليات الداخلية</t>
        </is>
      </c>
      <c r="I190" s="64" t="n">
        <v>0.02</v>
      </c>
      <c r="J190" s="15" t="inlineStr">
        <is>
          <t>مدير الجودة</t>
        </is>
      </c>
      <c r="K190" s="11" t="inlineStr">
        <is>
          <t>نظام إدارة الجودة (نظام إدارة الجودة)</t>
        </is>
      </c>
      <c r="L190" s="15" t="inlineStr">
        <is>
          <t>شهري</t>
        </is>
      </c>
      <c r="M190" s="15" t="inlineStr">
        <is>
          <t>مدير الجودة</t>
        </is>
      </c>
      <c r="N190" s="57" t="n"/>
    </row>
    <row r="191" ht="30" customHeight="1">
      <c r="A191" s="15" t="n">
        <v>189</v>
      </c>
      <c r="B191" s="13" t="inlineStr">
        <is>
          <t>الجودة</t>
        </is>
      </c>
      <c r="C191" s="21" t="inlineStr">
        <is>
          <t>نسبة جاهزية متطلبات الأيزو 9001 / 14001 / 45001</t>
        </is>
      </c>
      <c r="D191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الابتكار · التحول التقني</t>
        </is>
      </c>
      <c r="H191" s="15" t="inlineStr">
        <is>
          <t>العمليات الداخلية</t>
        </is>
      </c>
      <c r="I191" s="64" t="n">
        <v>0.03</v>
      </c>
      <c r="J191" s="15" t="inlineStr">
        <is>
          <t>مدير الجودة</t>
        </is>
      </c>
      <c r="K191" s="11" t="inlineStr">
        <is>
          <t>نظام إدارة الجودة (نظام إدارة الجودة)</t>
        </is>
      </c>
      <c r="L191" s="15" t="inlineStr">
        <is>
          <t>شهري</t>
        </is>
      </c>
      <c r="M191" s="15" t="inlineStr">
        <is>
          <t>مدير الجودة</t>
        </is>
      </c>
      <c r="N191" s="57" t="n"/>
    </row>
    <row r="192" ht="30" customHeight="1">
      <c r="A192" s="15" t="n">
        <v>190</v>
      </c>
      <c r="B192" s="13" t="inlineStr">
        <is>
          <t>الجودة</t>
        </is>
      </c>
      <c r="C192" s="21" t="inlineStr">
        <is>
          <t>نسبة اكتمال سجل مخاطر وملاحظات الجودة</t>
        </is>
      </c>
      <c r="D192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الابتكار · التحول التقني</t>
        </is>
      </c>
      <c r="H192" s="15" t="inlineStr">
        <is>
          <t>العمليات الداخلية</t>
        </is>
      </c>
      <c r="I192" s="64" t="n">
        <v>0.01</v>
      </c>
      <c r="J192" s="15" t="inlineStr">
        <is>
          <t>مدير الجودة</t>
        </is>
      </c>
      <c r="K192" s="11" t="inlineStr">
        <is>
          <t>نظام إدارة الجودة (نظام إدارة الجودة)</t>
        </is>
      </c>
      <c r="L192" s="15" t="inlineStr">
        <is>
          <t>شهري</t>
        </is>
      </c>
      <c r="M192" s="15" t="inlineStr">
        <is>
          <t>مدير الجودة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العقود المُراجَعة قانونياً قبل التوقيع</t>
        </is>
      </c>
      <c r="D193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0.1</v>
      </c>
      <c r="J193" s="15" t="inlineStr">
        <is>
          <t>المدير القانوني</t>
        </is>
      </c>
      <c r="K193" s="11" t="inlineStr">
        <is>
          <t>نظام إدارة العقود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متوسط زمن صياغة ومراجعة العقد</t>
        </is>
      </c>
      <c r="D194" s="73" t="inlineStr">
        <is>
          <t>يقيس متوسط زمن صياغة ومراجعة العقد ضمن محور «أعمال العقود»، ويعكس مساهمة الإدارة في ركيزة الاستدامة.</t>
        </is>
      </c>
      <c r="E194" s="11" t="inlineStr">
        <is>
          <t>متوسط يوم خلال الفترة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نسبة العقود الخالية من الملاحظات والمخاطر القانونية</t>
        </is>
      </c>
      <c r="D195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0.1</v>
      </c>
      <c r="J195" s="15" t="inlineStr">
        <is>
          <t>المدير القانوني</t>
        </is>
      </c>
      <c r="K195" s="11" t="inlineStr">
        <is>
          <t>نظام إدارة الجودة (نظام إدارة الجودة)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القضايا المُغلقة لصالح الشركة</t>
        </is>
      </c>
      <c r="D196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0.07000000000000001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تقديم المذكرات والردود في المواعيد النظامية</t>
        </is>
      </c>
      <c r="D197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0.07000000000000001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القانونية</t>
        </is>
      </c>
      <c r="C198" s="21" t="inlineStr">
        <is>
          <t>متوسط زمن إعداد المذكرة القانونية</t>
        </is>
      </c>
      <c r="D198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⚙️ نشاط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0.07000000000000001</v>
      </c>
      <c r="J198" s="15" t="inlineStr">
        <is>
          <t>المدير القانوني</t>
        </is>
      </c>
      <c r="K198" s="11" t="inlineStr">
        <is>
          <t>نظام إدارة القضايا والتحقيقات</t>
        </is>
      </c>
      <c r="L198" s="15" t="inlineStr">
        <is>
          <t>شهري</t>
        </is>
      </c>
      <c r="M198" s="15" t="inlineStr">
        <is>
          <t>المدير القانوني</t>
        </is>
      </c>
      <c r="N198" s="57" t="n"/>
    </row>
    <row r="199" ht="30" customHeight="1">
      <c r="A199" s="15" t="n">
        <v>197</v>
      </c>
      <c r="B199" s="13" t="inlineStr">
        <is>
          <t>الإدارة القانونية</t>
        </is>
      </c>
      <c r="C199" s="21" t="inlineStr">
        <is>
          <t>نسبة الاستشارات المُنجزة ضمن المدة المستهدفة</t>
        </is>
      </c>
      <c r="D199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0.07000000000000001</v>
      </c>
      <c r="J199" s="15" t="inlineStr">
        <is>
          <t>المدير القانوني</t>
        </is>
      </c>
      <c r="K199" s="11" t="inlineStr">
        <is>
          <t>نظام إدارة القضايا والتحقيقات</t>
        </is>
      </c>
      <c r="L199" s="15" t="inlineStr">
        <is>
          <t>شهري</t>
        </is>
      </c>
      <c r="M199" s="15" t="inlineStr">
        <is>
          <t>المدير القانوني</t>
        </is>
      </c>
      <c r="N199" s="57" t="n"/>
    </row>
    <row r="200" ht="30" customHeight="1">
      <c r="A200" s="15" t="n">
        <v>198</v>
      </c>
      <c r="B200" s="13" t="inlineStr">
        <is>
          <t>الإدارة القانونية</t>
        </is>
      </c>
      <c r="C200" s="21" t="inlineStr">
        <is>
          <t>مستوى رضا الإدارات عن الدعم القانوني</t>
        </is>
      </c>
      <c r="D200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الاستدامة · جودة التشغيل</t>
        </is>
      </c>
      <c r="H200" s="15" t="inlineStr">
        <is>
          <t>العملاء</t>
        </is>
      </c>
      <c r="I200" s="64" t="n">
        <v>0.1</v>
      </c>
      <c r="J200" s="15" t="inlineStr">
        <is>
          <t>المدير القانوني</t>
        </is>
      </c>
      <c r="K200" s="11" t="inlineStr">
        <is>
          <t>استبيان دوري</t>
        </is>
      </c>
      <c r="L200" s="15" t="inlineStr">
        <is>
          <t>ربعي</t>
        </is>
      </c>
      <c r="M200" s="15" t="inlineStr">
        <is>
          <t>المدير القانوني</t>
        </is>
      </c>
      <c r="N200" s="57" t="n"/>
    </row>
    <row r="201" ht="30" customHeight="1">
      <c r="A201" s="15" t="n">
        <v>199</v>
      </c>
      <c r="B201" s="13" t="inlineStr">
        <is>
          <t>الإدارة القانونية</t>
        </is>
      </c>
      <c r="C201" s="21" t="inlineStr">
        <is>
          <t>نسبة إنجاز التحقيقات ضمن المدة المحددة</t>
        </is>
      </c>
      <c r="D201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0.07000000000000001</v>
      </c>
      <c r="J201" s="15" t="inlineStr">
        <is>
          <t>المدير القانوني</t>
        </is>
      </c>
      <c r="K201" s="11" t="inlineStr">
        <is>
          <t>نظام إدارة القضايا والتحقيقات</t>
        </is>
      </c>
      <c r="L201" s="15" t="inlineStr">
        <is>
          <t>شهري</t>
        </is>
      </c>
      <c r="M201" s="15" t="inlineStr">
        <is>
          <t>المدير القانوني</t>
        </is>
      </c>
      <c r="N201" s="57" t="n"/>
    </row>
    <row r="202" ht="30" customHeight="1">
      <c r="A202" s="15" t="n">
        <v>200</v>
      </c>
      <c r="B202" s="13" t="inlineStr">
        <is>
          <t>الإدارة القانونية</t>
        </is>
      </c>
      <c r="C202" s="21" t="inlineStr">
        <is>
          <t>نسبة التحقيقات المُغلقة من إجمالي المُحالة</t>
        </is>
      </c>
      <c r="D202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0.07000000000000001</v>
      </c>
      <c r="J202" s="15" t="inlineStr">
        <is>
          <t>المدير القانوني</t>
        </is>
      </c>
      <c r="K202" s="11" t="inlineStr">
        <is>
          <t>نظام إدارة القضايا والتحقيقات</t>
        </is>
      </c>
      <c r="L202" s="15" t="inlineStr">
        <is>
          <t>شهري</t>
        </is>
      </c>
      <c r="M202" s="15" t="inlineStr">
        <is>
          <t>المدير القانوني</t>
        </is>
      </c>
      <c r="N202" s="57" t="n"/>
    </row>
    <row r="203" ht="30" customHeight="1">
      <c r="A203" s="15" t="n">
        <v>201</v>
      </c>
      <c r="B203" s="13" t="inlineStr">
        <is>
          <t>الإدارة القانونية</t>
        </is>
      </c>
      <c r="C203" s="21" t="inlineStr">
        <is>
          <t>متوسط زمن إغلاق قضية التحقيق</t>
        </is>
      </c>
      <c r="D203" s="73" t="inlineStr">
        <is>
          <t>يقيس متوسط زمن إغلاق قضية التحقيق ضمن محور «التحقيق»، ويعكس مساهمة الإدارة في ركيزة الاستدامة.</t>
        </is>
      </c>
      <c r="E203" s="11" t="inlineStr">
        <is>
          <t>متوسط يوم خلال الفترة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0.06</v>
      </c>
      <c r="J203" s="15" t="inlineStr">
        <is>
          <t>المدير القانوني</t>
        </is>
      </c>
      <c r="K203" s="11" t="inlineStr">
        <is>
          <t>نظام إدارة القضايا والتحقيقات</t>
        </is>
      </c>
      <c r="L203" s="15" t="inlineStr">
        <is>
          <t>شهري</t>
        </is>
      </c>
      <c r="M203" s="15" t="inlineStr">
        <is>
          <t>المدير القانوني</t>
        </is>
      </c>
      <c r="N203" s="57" t="n"/>
    </row>
    <row r="204" ht="30" customHeight="1">
      <c r="A204" s="15" t="n">
        <v>202</v>
      </c>
      <c r="B204" s="13" t="inlineStr">
        <is>
          <t>الإدارة القانونية</t>
        </is>
      </c>
      <c r="C204" s="21" t="inlineStr">
        <is>
          <t>نسبة تنفيذ التوصيات الصادرة عن التحقيقات</t>
        </is>
      </c>
      <c r="D204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⚙️ نشاط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0.06</v>
      </c>
      <c r="J204" s="15" t="inlineStr">
        <is>
          <t>المدير القانوني</t>
        </is>
      </c>
      <c r="K204" s="11" t="inlineStr">
        <is>
          <t>نظام إدارة القضايا والتحقيقات</t>
        </is>
      </c>
      <c r="L204" s="15" t="inlineStr">
        <is>
          <t>شهري</t>
        </is>
      </c>
      <c r="M204" s="15" t="inlineStr">
        <is>
          <t>المدير القانوني</t>
        </is>
      </c>
      <c r="N204" s="57" t="n"/>
    </row>
    <row r="205" ht="30" customHeight="1">
      <c r="A205" s="15" t="n">
        <v>203</v>
      </c>
      <c r="B205" s="13" t="inlineStr">
        <is>
          <t>الإدارة القانونية</t>
        </is>
      </c>
      <c r="C205" s="21" t="inlineStr">
        <is>
          <t>نسبة التزام التحقيقات بالإجراءات النظامية والعدالة الإجرائية</t>
        </is>
      </c>
      <c r="D205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0.06</v>
      </c>
      <c r="J205" s="15" t="inlineStr">
        <is>
          <t>المدير القانوني</t>
        </is>
      </c>
      <c r="K205" s="11" t="inlineStr">
        <is>
          <t>نظام إدارة القضايا والتحقيقات</t>
        </is>
      </c>
      <c r="L205" s="15" t="inlineStr">
        <is>
          <t>شهري</t>
        </is>
      </c>
      <c r="M205" s="15" t="inlineStr">
        <is>
          <t>المدير القانوني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نمو الإيرادات السنوي</t>
        </is>
      </c>
      <c r="D206" s="73" t="inlineStr">
        <is>
          <t>يقيس نمو الإيرادات السنوي ضمن محور «المالية الاستراتيجية»، ويعكس مساهمة الإدارة في ركيزة النمو.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النمو · زيادة وصول العملاء</t>
        </is>
      </c>
      <c r="H206" s="15" t="inlineStr">
        <is>
          <t>مالي</t>
        </is>
      </c>
      <c r="I206" s="64" t="n">
        <v>0.07000000000000001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ربعي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هامش إبيتدا</t>
        </is>
      </c>
      <c r="D207" s="73" t="inlineStr">
        <is>
          <t>يقيس هامش إبيتدا ضمن محور «المالية الاستراتيجية»، ويعكس مساهمة الإدارة في ركيزة النمو.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النمو · زيادة وصول العملاء</t>
        </is>
      </c>
      <c r="H207" s="15" t="inlineStr">
        <is>
          <t>مالي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هامش صافي الربح</t>
        </is>
      </c>
      <c r="D208" s="73" t="inlineStr">
        <is>
          <t>يقيس هامش صافي الربح ضمن محور «المالية الاستراتيجية»، ويعكس مساهمة الإدارة في ركيزة النمو.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النمو · زيادة وصول العملاء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نسبة التدفق النقدي التشغيلي</t>
        </is>
      </c>
      <c r="D209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النسبة الجارية</t>
        </is>
      </c>
      <c r="D210" s="73" t="inlineStr">
        <is>
          <t>يقيس النسبة الجارية ضمن محور «السيولة ورأس المال»،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سجلات الإدارة</t>
        </is>
      </c>
      <c r="L210" s="15" t="inlineStr">
        <is>
          <t>شهري</t>
        </is>
      </c>
      <c r="M210" s="15" t="inlineStr">
        <is>
          <t>المدير المالي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دورة التحويل النقدي</t>
        </is>
      </c>
      <c r="D211" s="73" t="inlineStr">
        <is>
          <t>يقيس دورة التحويل النقدي ضمن محور «السيولة ورأس المال»، ويعكس مساهمة الإدارة في ركيزة الاستدامة.</t>
        </is>
      </c>
      <c r="E211" s="11" t="inlineStr">
        <is>
          <t>متوسط يوم خلال الفترة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0.07000000000000001</v>
      </c>
      <c r="J211" s="15" t="inlineStr">
        <is>
          <t>المدير المالي</t>
        </is>
      </c>
      <c r="K211" s="11" t="inlineStr">
        <is>
          <t>نظام المحاسبة / تخطيط الموارد (نظام دايناميكس)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نسبة التحصيل العام (الشركة)</t>
        </is>
      </c>
      <c r="D212" s="73" t="inlineStr">
        <is>
          <t>يقيس نسبة التحصيل العام (الشركة) ضمن محور «الذمم المدينة»،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مالي</t>
        </is>
      </c>
      <c r="I212" s="64" t="n">
        <v>0.07000000000000001</v>
      </c>
      <c r="J212" s="15" t="inlineStr">
        <is>
          <t>المدير المالي</t>
        </is>
      </c>
      <c r="K212" s="11" t="inlineStr">
        <is>
          <t>نظام المحاسبة / تخطيط الموارد (نظام دايناميكس)</t>
        </is>
      </c>
      <c r="L212" s="15" t="inlineStr">
        <is>
          <t>شهري</t>
        </is>
      </c>
      <c r="M212" s="15" t="inlineStr">
        <is>
          <t>الإدارة المالية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نسبة الذمم المتأخرة</t>
        </is>
      </c>
      <c r="D213" s="73" t="inlineStr">
        <is>
          <t>يقيس نسبة الذمم المتأخرة ضمن محور «الذمم المدينة»،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0.04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نسبة الديون المعدومة</t>
        </is>
      </c>
      <c r="D214" s="73" t="inlineStr">
        <is>
          <t>يقيس نسبة الديون المعدومة ضمن محور «الذمم المدينة»،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0.04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سداد الموردين في الموعد</t>
        </is>
      </c>
      <c r="D215" s="73" t="inlineStr">
        <is>
          <t>يقيس سداد الموردين في الموعد ضمن محور «الذمم الدائنة»،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مالي</t>
        </is>
      </c>
      <c r="I215" s="64" t="n">
        <v>0.04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شهري</t>
        </is>
      </c>
      <c r="M215" s="15" t="inlineStr">
        <is>
          <t>الإدارة المالية</t>
        </is>
      </c>
      <c r="N215" s="57" t="n"/>
    </row>
    <row r="216" ht="30" customHeight="1">
      <c r="A216" s="15" t="n">
        <v>214</v>
      </c>
      <c r="B216" s="13" t="inlineStr">
        <is>
          <t>الإدارة المالية</t>
        </is>
      </c>
      <c r="C216" s="21" t="inlineStr">
        <is>
          <t>دقة مطابقة حسابات الموردين</t>
        </is>
      </c>
      <c r="D216" s="73" t="inlineStr">
        <is>
          <t>يقيس دقة مطابقة حسابات الموردين ضمن محور «الذمم الدائنة»، ويعكس مساهمة الإدارة في ركيزة الاستدامة.</t>
        </is>
      </c>
      <c r="E216" s="11" t="inlineStr">
        <is>
          <t>(المتحقّق ÷ الإجمالي) × 100٪</t>
        </is>
      </c>
      <c r="F216" s="15" t="inlineStr">
        <is>
          <t>🎯 نتيجة</t>
        </is>
      </c>
      <c r="G216" s="11" t="inlineStr">
        <is>
          <t>الاستدامة · جودة التشغيل</t>
        </is>
      </c>
      <c r="H216" s="15" t="inlineStr">
        <is>
          <t>العمليات الداخلية</t>
        </is>
      </c>
      <c r="I216" s="64" t="n">
        <v>0.04</v>
      </c>
      <c r="J216" s="15" t="inlineStr">
        <is>
          <t>المدير المالي</t>
        </is>
      </c>
      <c r="K216" s="11" t="inlineStr">
        <is>
          <t>نظام المحاسبة / تخطيط الموارد (نظام دايناميكس)</t>
        </is>
      </c>
      <c r="L216" s="15" t="inlineStr">
        <is>
          <t>شهري</t>
        </is>
      </c>
      <c r="M216" s="15" t="inlineStr">
        <is>
          <t>الإدارة المالية</t>
        </is>
      </c>
      <c r="N216" s="57" t="n"/>
    </row>
    <row r="217" ht="30" customHeight="1">
      <c r="A217" s="15" t="n">
        <v>215</v>
      </c>
      <c r="B217" s="13" t="inlineStr">
        <is>
          <t>الإدارة المالية</t>
        </is>
      </c>
      <c r="C217" s="21" t="inlineStr">
        <is>
          <t>دقة التنبؤ النقدي</t>
        </is>
      </c>
      <c r="D217" s="73" t="inlineStr">
        <is>
          <t>يقيس دقة التنبؤ النقدي ضمن محور «الخزينة واستثمار الفائض النقدي»، ويعكس مساهمة الإدارة في ركيزة الاستدامة.</t>
        </is>
      </c>
      <c r="E217" s="11" t="inlineStr">
        <is>
          <t>(المتحقّق ÷ الإجمالي) × 100٪</t>
        </is>
      </c>
      <c r="F217" s="15" t="inlineStr">
        <is>
          <t>🎯 نتيجة</t>
        </is>
      </c>
      <c r="G217" s="11" t="inlineStr">
        <is>
          <t>الاستدامة · جودة التشغيل</t>
        </is>
      </c>
      <c r="H217" s="15" t="inlineStr">
        <is>
          <t>العمليات الداخلية</t>
        </is>
      </c>
      <c r="I217" s="64" t="n">
        <v>0.04</v>
      </c>
      <c r="J217" s="15" t="inlineStr">
        <is>
          <t>المدير المالي</t>
        </is>
      </c>
      <c r="K217" s="11" t="inlineStr">
        <is>
          <t>نظام المحاسبة / تخطيط الموارد (نظام دايناميكس)</t>
        </is>
      </c>
      <c r="L217" s="15" t="inlineStr">
        <is>
          <t>شهري</t>
        </is>
      </c>
      <c r="M217" s="15" t="inlineStr">
        <is>
          <t>الإدارة المالية</t>
        </is>
      </c>
      <c r="N217" s="57" t="n"/>
    </row>
    <row r="218" ht="30" customHeight="1">
      <c r="A218" s="15" t="n">
        <v>216</v>
      </c>
      <c r="B218" s="13" t="inlineStr">
        <is>
          <t>الإدارة المالية</t>
        </is>
      </c>
      <c r="C218" s="21" t="inlineStr">
        <is>
          <t>نسبة توظيف الفائض النقدي في الاستثمارات</t>
        </is>
      </c>
      <c r="D218" s="73" t="inlineStr">
        <is>
          <t>يقيس نسبة توظيف الفائض النقدي في الاستثمارات ضمن محور «الخزينة واستثمار الفائض النقدي»، ويعكس مساهمة الإدارة في ركيزة الابتكار.</t>
        </is>
      </c>
      <c r="E218" s="11" t="inlineStr">
        <is>
          <t>(المتحقّق ÷ الإجمالي) × 100٪</t>
        </is>
      </c>
      <c r="F218" s="15" t="inlineStr">
        <is>
          <t>🔧 تشغيلي</t>
        </is>
      </c>
      <c r="G218" s="11" t="inlineStr">
        <is>
          <t>الابتكار · إطلاق مشاريع جديدة</t>
        </is>
      </c>
      <c r="H218" s="15" t="inlineStr">
        <is>
          <t>العمليات الداخلية</t>
        </is>
      </c>
      <c r="I218" s="64" t="n">
        <v>0.04</v>
      </c>
      <c r="J218" s="15" t="inlineStr">
        <is>
          <t>المدير المالي</t>
        </is>
      </c>
      <c r="K218" s="11" t="inlineStr">
        <is>
          <t>نظام المحاسبة / تخطيط الموارد (نظام دايناميكس)</t>
        </is>
      </c>
      <c r="L218" s="15" t="inlineStr">
        <is>
          <t>شهري</t>
        </is>
      </c>
      <c r="M218" s="15" t="inlineStr">
        <is>
          <t>الإدارة المالية</t>
        </is>
      </c>
      <c r="N218" s="57" t="n"/>
    </row>
    <row r="219" ht="30" customHeight="1">
      <c r="A219" s="15" t="n">
        <v>217</v>
      </c>
      <c r="B219" s="13" t="inlineStr">
        <is>
          <t>الإدارة المالية</t>
        </is>
      </c>
      <c r="C219" s="21" t="inlineStr">
        <is>
          <t>العائد على المحفظة الاستثمارية للفائض النقدي</t>
        </is>
      </c>
      <c r="D219" s="73" t="inlineStr">
        <is>
          <t>يقيس العائد على المحفظة الاستثمارية للفائض النقدي ضمن محور «الخزينة واستثمار الفائض النقدي»، ويعكس مساهمة الإدارة في ركيزة الابتكار.</t>
        </is>
      </c>
      <c r="E219" s="11" t="inlineStr">
        <is>
          <t>(المتحقّق ÷ الإجمالي) × 100٪</t>
        </is>
      </c>
      <c r="F219" s="15" t="inlineStr">
        <is>
          <t>🎯 نتيجة</t>
        </is>
      </c>
      <c r="G219" s="11" t="inlineStr">
        <is>
          <t>الابتكار · إطلاق مشاريع جديدة</t>
        </is>
      </c>
      <c r="H219" s="15" t="inlineStr">
        <is>
          <t>مالي</t>
        </is>
      </c>
      <c r="I219" s="64" t="n">
        <v>0.07000000000000001</v>
      </c>
      <c r="J219" s="15" t="inlineStr">
        <is>
          <t>المدير المالي</t>
        </is>
      </c>
      <c r="K219" s="11" t="inlineStr">
        <is>
          <t>نظام المحاسبة / تخطيط الموارد (نظام دايناميكس)</t>
        </is>
      </c>
      <c r="L219" s="15" t="inlineStr">
        <is>
          <t>ربعي</t>
        </is>
      </c>
      <c r="M219" s="15" t="inlineStr">
        <is>
          <t>الإدارة المالية</t>
        </is>
      </c>
      <c r="N219" s="57" t="n"/>
    </row>
    <row r="220" ht="30" customHeight="1">
      <c r="A220" s="15" t="n">
        <v>218</v>
      </c>
      <c r="B220" s="13" t="inlineStr">
        <is>
          <t>الإدارة المالية</t>
        </is>
      </c>
      <c r="C220" s="21" t="inlineStr">
        <is>
          <t>نسبة مساهمة دخل الاستثمار في صافي الربح</t>
        </is>
      </c>
      <c r="D220" s="73" t="inlineStr">
        <is>
          <t>يقيس نسبة مساهمة دخل الاستثمار في صافي الربح ضمن محور «الخزينة واستثمار الفائض النقدي»، ويعكس مساهمة الإدارة في ركيزة الابتكار.</t>
        </is>
      </c>
      <c r="E220" s="11" t="inlineStr">
        <is>
          <t>(المتحقّق ÷ الإجمالي) × 100٪</t>
        </is>
      </c>
      <c r="F220" s="15" t="inlineStr">
        <is>
          <t>🎯 نتيجة</t>
        </is>
      </c>
      <c r="G220" s="11" t="inlineStr">
        <is>
          <t>الابتكار · إطلاق مشاريع جديدة</t>
        </is>
      </c>
      <c r="H220" s="15" t="inlineStr">
        <is>
          <t>مالي</t>
        </is>
      </c>
      <c r="I220" s="64" t="n">
        <v>0.04</v>
      </c>
      <c r="J220" s="15" t="inlineStr">
        <is>
          <t>المدير المالي</t>
        </is>
      </c>
      <c r="K220" s="11" t="inlineStr">
        <is>
          <t>نظام المحاسبة / تخطيط الموارد (نظام دايناميكس)</t>
        </is>
      </c>
      <c r="L220" s="15" t="inlineStr">
        <is>
          <t>شهري</t>
        </is>
      </c>
      <c r="M220" s="15" t="inlineStr">
        <is>
          <t>الإدارة المالية</t>
        </is>
      </c>
      <c r="N220" s="57" t="n"/>
    </row>
    <row r="221" ht="30" customHeight="1">
      <c r="A221" s="15" t="n">
        <v>219</v>
      </c>
      <c r="B221" s="13" t="inlineStr">
        <is>
          <t>الإدارة المالية</t>
        </is>
      </c>
      <c r="C221" s="21" t="inlineStr">
        <is>
          <t>صافي الفارق بين عائد الاستثمار وتكلفة رأس المال</t>
        </is>
      </c>
      <c r="D221" s="73" t="inlineStr">
        <is>
          <t>يقيس صافي الفارق بين عائد الاستثمار وتكلفة رأس المال ضمن محور «الخزينة واستثمار الفائض النقدي»، ويعكس مساهمة الإدارة في ركيزة الابتكار.</t>
        </is>
      </c>
      <c r="E221" s="11" t="inlineStr">
        <is>
          <t>٪ المروّجين − ٪ المنتقدين</t>
        </is>
      </c>
      <c r="F221" s="15" t="inlineStr">
        <is>
          <t>🔧 تشغيلي</t>
        </is>
      </c>
      <c r="G221" s="11" t="inlineStr">
        <is>
          <t>الابتكار · إطلاق مشاريع جديدة</t>
        </is>
      </c>
      <c r="H221" s="15" t="inlineStr">
        <is>
          <t>مالي</t>
        </is>
      </c>
      <c r="I221" s="64" t="n">
        <v>0.04</v>
      </c>
      <c r="J221" s="15" t="inlineStr">
        <is>
          <t>المدير المالي</t>
        </is>
      </c>
      <c r="K221" s="11" t="inlineStr">
        <is>
          <t>نظام المحاسبة / تخطيط الموارد (نظام دايناميكس)</t>
        </is>
      </c>
      <c r="L221" s="15" t="inlineStr">
        <is>
          <t>شهري</t>
        </is>
      </c>
      <c r="M221" s="15" t="inlineStr">
        <is>
          <t>الإدارة المالية</t>
        </is>
      </c>
      <c r="N221" s="57" t="n"/>
    </row>
    <row r="222" ht="30" customHeight="1">
      <c r="A222" s="15" t="n">
        <v>220</v>
      </c>
      <c r="B222" s="13" t="inlineStr">
        <is>
          <t>الإدارة المالية</t>
        </is>
      </c>
      <c r="C222" s="21" t="inlineStr">
        <is>
          <t>دقة المطابقة المحاسبية لمخزون الوقود (الدفتري مقابل الفعلي)</t>
        </is>
      </c>
      <c r="D222" s="73" t="inlineStr">
        <is>
          <t>يقيس دقة المطابقة المحاسبية لمخزون الوقود (الدفتري مقابل الفعلي) ضمن محور «صناعة الوقود»، ويعكس مساهمة الإدارة في ركيزة الاستدامة.</t>
        </is>
      </c>
      <c r="E222" s="11" t="inlineStr">
        <is>
          <t>(المتحقّق ÷ الإجمالي) × 100٪</t>
        </is>
      </c>
      <c r="F222" s="15" t="inlineStr">
        <is>
          <t>🎯 نتيجة</t>
        </is>
      </c>
      <c r="G222" s="11" t="inlineStr">
        <is>
          <t>الاستدامة · جودة التشغيل</t>
        </is>
      </c>
      <c r="H222" s="15" t="inlineStr">
        <is>
          <t>العمليات الداخلية</t>
        </is>
      </c>
      <c r="I222" s="64" t="n">
        <v>0.04</v>
      </c>
      <c r="J222" s="15" t="inlineStr">
        <is>
          <t>المدير المالي</t>
        </is>
      </c>
      <c r="K222" s="11" t="inlineStr">
        <is>
          <t>نظام إدارة الجودة (نظام إدارة الجودة)</t>
        </is>
      </c>
      <c r="L222" s="15" t="inlineStr">
        <is>
          <t>شهري</t>
        </is>
      </c>
      <c r="M222" s="15" t="inlineStr">
        <is>
          <t>المدير المالي</t>
        </is>
      </c>
      <c r="N222" s="57" t="n"/>
    </row>
    <row r="223" ht="30" customHeight="1">
      <c r="A223" s="15" t="n">
        <v>221</v>
      </c>
      <c r="B223" s="13" t="inlineStr">
        <is>
          <t>الإدارة المالية</t>
        </is>
      </c>
      <c r="C223" s="21" t="inlineStr">
        <is>
          <t>دقة تسوية أرامكو</t>
        </is>
      </c>
      <c r="D223" s="73" t="inlineStr">
        <is>
          <t>يقيس دقة تسوية أرامكو ضمن محور «صناعة الوقود»، ويعكس مساهمة الإدارة في ركيزة الاستدامة.</t>
        </is>
      </c>
      <c r="E223" s="11" t="inlineStr">
        <is>
          <t>(المتحقّق ÷ الإجمالي) × 100٪</t>
        </is>
      </c>
      <c r="F223" s="15" t="inlineStr">
        <is>
          <t>🎯 نتيجة</t>
        </is>
      </c>
      <c r="G223" s="11" t="inlineStr">
        <is>
          <t>الاستدامة · جودة التشغيل</t>
        </is>
      </c>
      <c r="H223" s="15" t="inlineStr">
        <is>
          <t>العمليات الداخلية</t>
        </is>
      </c>
      <c r="I223" s="64" t="n">
        <v>0.04</v>
      </c>
      <c r="J223" s="15" t="inlineStr">
        <is>
          <t>المدير المالي</t>
        </is>
      </c>
      <c r="K223" s="11" t="inlineStr">
        <is>
          <t>نظام تشغيل المحطات</t>
        </is>
      </c>
      <c r="L223" s="15" t="inlineStr">
        <is>
          <t>شهري</t>
        </is>
      </c>
      <c r="M223" s="15" t="inlineStr">
        <is>
          <t>المدير المالي</t>
        </is>
      </c>
      <c r="N223" s="57" t="n"/>
    </row>
    <row r="224" ht="30" customHeight="1">
      <c r="A224" s="15" t="n">
        <v>222</v>
      </c>
      <c r="B224" s="13" t="inlineStr">
        <is>
          <t>الإدارة المالية</t>
        </is>
      </c>
      <c r="C224" s="21" t="inlineStr">
        <is>
          <t>انحراف الموازنة</t>
        </is>
      </c>
      <c r="D224" s="73" t="inlineStr">
        <is>
          <t>يقيس انحراف الموازنة ضمن محور «الموازنة والتقارير»، ويعكس مساهمة الإدارة في ركيزة الاستدامة.</t>
        </is>
      </c>
      <c r="E224" s="11" t="inlineStr">
        <is>
          <t>(المتحقّق ÷ الإجمالي) × 100٪</t>
        </is>
      </c>
      <c r="F224" s="15" t="inlineStr">
        <is>
          <t>🔧 تشغيلي</t>
        </is>
      </c>
      <c r="G224" s="11" t="inlineStr">
        <is>
          <t>الاستدامة · جودة التشغيل</t>
        </is>
      </c>
      <c r="H224" s="15" t="inlineStr">
        <is>
          <t>العمليات الداخلية</t>
        </is>
      </c>
      <c r="I224" s="64" t="n">
        <v>0.04</v>
      </c>
      <c r="J224" s="15" t="inlineStr">
        <is>
          <t>المدير المالي</t>
        </is>
      </c>
      <c r="K224" s="11" t="inlineStr">
        <is>
          <t>نظام المحاسبة / تخطيط الموارد (نظام دايناميكس)</t>
        </is>
      </c>
      <c r="L224" s="15" t="inlineStr">
        <is>
          <t>ربعي</t>
        </is>
      </c>
      <c r="M224" s="15" t="inlineStr">
        <is>
          <t>الإدارة المالية</t>
        </is>
      </c>
      <c r="N224" s="57" t="n"/>
    </row>
    <row r="225" ht="30" customHeight="1">
      <c r="A225" s="15" t="n">
        <v>223</v>
      </c>
      <c r="B225" s="13" t="inlineStr">
        <is>
          <t>الإدارة المالية</t>
        </is>
      </c>
      <c r="C225" s="21" t="inlineStr">
        <is>
          <t>أيام الإقفال الشهري</t>
        </is>
      </c>
      <c r="D225" s="73" t="inlineStr">
        <is>
          <t>يقيس أيام الإقفال الشهري ضمن محور «الموازنة والتقارير»، ويعكس مساهمة الإدارة في ركيزة الاستدامة.</t>
        </is>
      </c>
      <c r="E225" s="11" t="inlineStr">
        <is>
          <t>متوسط يوم خلال الفترة</t>
        </is>
      </c>
      <c r="F225" s="15" t="inlineStr">
        <is>
          <t>🔧 تشغيلي</t>
        </is>
      </c>
      <c r="G225" s="11" t="inlineStr">
        <is>
          <t>الاستدامة · جودة التشغيل</t>
        </is>
      </c>
      <c r="H225" s="15" t="inlineStr">
        <is>
          <t>العمليات الداخلية</t>
        </is>
      </c>
      <c r="I225" s="64" t="n">
        <v>0.04</v>
      </c>
      <c r="J225" s="15" t="inlineStr">
        <is>
          <t>المدير المالي</t>
        </is>
      </c>
      <c r="K225" s="11" t="inlineStr">
        <is>
          <t>نظام المحاسبة / تخطيط الموارد (نظام دايناميكس)</t>
        </is>
      </c>
      <c r="L225" s="15" t="inlineStr">
        <is>
          <t>شهري</t>
        </is>
      </c>
      <c r="M225" s="15" t="inlineStr">
        <is>
          <t>الإدارة المالية</t>
        </is>
      </c>
      <c r="N225" s="57" t="n"/>
    </row>
    <row r="226" ht="30" customHeight="1">
      <c r="A226" s="15" t="n">
        <v>224</v>
      </c>
      <c r="B226" s="13" t="inlineStr">
        <is>
          <t>الإدارة المالية</t>
        </is>
      </c>
      <c r="C226" s="21" t="inlineStr">
        <is>
          <t>نسبة تسويات التدقيق</t>
        </is>
      </c>
      <c r="D226" s="73" t="inlineStr">
        <is>
          <t>يقيس نسبة تسويات التدقيق ضمن محور «الموازنة والتقارير»، ويعكس مساهمة الإدارة في ركيزة الاستدامة.</t>
        </is>
      </c>
      <c r="E226" s="11" t="inlineStr">
        <is>
          <t>(المتحقّق ÷ الإجمالي) × 100٪</t>
        </is>
      </c>
      <c r="F226" s="15" t="inlineStr">
        <is>
          <t>🔧 تشغيلي</t>
        </is>
      </c>
      <c r="G226" s="11" t="inlineStr">
        <is>
          <t>الاستدامة · جودة التشغيل</t>
        </is>
      </c>
      <c r="H226" s="15" t="inlineStr">
        <is>
          <t>العمليات الداخلية</t>
        </is>
      </c>
      <c r="I226" s="64" t="n">
        <v>0.04</v>
      </c>
      <c r="J226" s="15" t="inlineStr">
        <is>
          <t>المدير المالي</t>
        </is>
      </c>
      <c r="K226" s="11" t="inlineStr">
        <is>
          <t>نظام المحاسبة / تخطيط الموارد (نظام دايناميكس)</t>
        </is>
      </c>
      <c r="L226" s="15" t="inlineStr">
        <is>
          <t>ربعي</t>
        </is>
      </c>
      <c r="M226" s="15" t="inlineStr">
        <is>
          <t>الإدارة المالية</t>
        </is>
      </c>
      <c r="N226" s="57" t="n"/>
    </row>
  </sheetData>
  <autoFilter ref="A2:N226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T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0.51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0.11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  <c r="S5" s="57" t="n"/>
      <c r="T5" s="15" t="inlineStr">
        <is>
          <t>الرئيس التنفيذي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0.11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الرئيس التنفيذي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الرئيس التنفيذي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0.11</v>
      </c>
      <c r="H8" s="64" t="n">
        <v>0.1</v>
      </c>
      <c r="I8" s="22" t="inlineStr">
        <is>
          <t>≥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  <c r="S8" s="57" t="n"/>
      <c r="T8" s="15" t="inlineStr">
        <is>
          <t>الرئيس التنفيذي</t>
        </is>
      </c>
    </row>
    <row r="9" outlineLevel="1" ht="26" customHeight="1">
      <c r="A9" s="20" t="n">
        <v>5</v>
      </c>
      <c r="B9" s="21" t="inlineStr">
        <is>
          <t>النمو</t>
        </is>
      </c>
      <c r="C9" s="21" t="inlineStr">
        <is>
          <t>الالتزام بمعايير وزارة الطاقة (تغطية 13 منطقة)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1</v>
      </c>
      <c r="I9" s="22" t="inlineStr">
        <is>
          <t>100%</t>
        </is>
      </c>
      <c r="J9" s="82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5" t="n">
        <v>0.749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«الالتزام بمعايير وزارة الطاقة» ÷ المستهدف × 100٪</t>
        </is>
      </c>
      <c r="Q9" s="83" t="inlineStr">
        <is>
          <t>سجلات الإدارة</t>
        </is>
      </c>
      <c r="R9" s="15" t="inlineStr">
        <is>
          <t>شهري</t>
        </is>
      </c>
      <c r="S9" s="57" t="n"/>
      <c r="T9" s="15" t="inlineStr">
        <is>
          <t>الرئيس التنفيذي</t>
        </is>
      </c>
    </row>
    <row r="10" ht="24" customHeight="1">
      <c r="B10" s="75" t="inlineStr">
        <is>
          <t>الابتكار</t>
        </is>
      </c>
      <c r="C10" s="76" t="inlineStr">
        <is>
          <t>📊 التحول الرقمي وإنجاز المشاريع</t>
        </is>
      </c>
      <c r="D10" s="77" t="n"/>
      <c r="E10" s="77" t="n"/>
      <c r="F10" s="78" t="inlineStr">
        <is>
          <t>🔷 أساسي</t>
        </is>
      </c>
      <c r="G10" s="79" t="n">
        <v>0.14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إنجاز مشاريع الخارطة التنفيذية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0.07000000000000001</v>
      </c>
      <c r="H11" s="64" t="n">
        <v>1</v>
      </c>
      <c r="I11" s="22" t="inlineStr">
        <is>
          <t>100%</t>
        </is>
      </c>
      <c r="J11" s="82" t="inlineStr">
        <is>
          <t>الابتكار</t>
        </is>
      </c>
      <c r="K11" s="11" t="inlineStr">
        <is>
          <t>إطلاق مشاريع جديدة</t>
        </is>
      </c>
      <c r="L11" s="15" t="inlineStr">
        <is>
          <t>العمليات الداخلية</t>
        </is>
      </c>
      <c r="M11" s="65" t="n">
        <v>0.906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«إنجاز مشاريع الخارطة التنفيذية»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  <c r="S11" s="57" t="n"/>
      <c r="T11" s="15" t="inlineStr">
        <is>
          <t>الرئيس التنفيذي</t>
        </is>
      </c>
    </row>
    <row r="12" outlineLevel="1" ht="26" customHeight="1">
      <c r="A12" s="20" t="n">
        <v>7</v>
      </c>
      <c r="B12" s="21" t="inlineStr">
        <is>
          <t>الابتكار</t>
        </is>
      </c>
      <c r="C12" s="21" t="inlineStr">
        <is>
          <t>نسبة التحول الرقمي على مستوى الشركة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0.07000000000000001</v>
      </c>
      <c r="H12" s="64" t="n">
        <v>0.9</v>
      </c>
      <c r="I12" s="22" t="inlineStr">
        <is>
          <t>≥ 90%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0.9389999999999999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«التحول الرقمي على مستوى الشركة» ÷ الإجمالي المستهدف لنفس البند × 100٪</t>
        </is>
      </c>
      <c r="Q12" s="83" t="inlineStr">
        <is>
          <t>سجلات الإدارة</t>
        </is>
      </c>
      <c r="R12" s="15" t="inlineStr">
        <is>
          <t>شهري</t>
        </is>
      </c>
      <c r="S12" s="57" t="n"/>
      <c r="T12" s="15" t="inlineStr">
        <is>
          <t>الرئيس التنفيذي</t>
        </is>
      </c>
    </row>
    <row r="13" ht="24" customHeight="1">
      <c r="B13" s="75" t="inlineStr">
        <is>
          <t>الاستدامة</t>
        </is>
      </c>
      <c r="C13" s="76" t="inlineStr">
        <is>
          <t>📊 الاستدامة ورضا المستفيدين</t>
        </is>
      </c>
      <c r="D13" s="77" t="n"/>
      <c r="E13" s="77" t="n"/>
      <c r="F13" s="78" t="inlineStr">
        <is>
          <t>🔷 أساسي</t>
        </is>
      </c>
      <c r="G13" s="79" t="n">
        <v>0.28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العملاء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0.11</v>
      </c>
      <c r="H14" s="64" t="n">
        <v>0.9</v>
      </c>
      <c r="I14" s="22" t="inlineStr">
        <is>
          <t>≥ 90%</t>
        </is>
      </c>
      <c r="J14" s="82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5" t="n">
        <v>0.922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«مؤشر رضا العملاء العام»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  <c r="S14" s="57" t="n"/>
      <c r="T14" s="15" t="inlineStr">
        <is>
          <t>الرئيس التنفيذي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مؤشر رضا الموظفين العام</t>
        </is>
      </c>
      <c r="D15" s="55" t="inlineStr">
        <is>
          <t>نقطة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7" t="n">
        <v>30</v>
      </c>
      <c r="I15" s="22" t="inlineStr">
        <is>
          <t>≥ 30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التعلّم والنمو</t>
        </is>
      </c>
      <c r="M15" s="68" t="n">
        <v>22.5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هدف",IF($N15&gt;=0.9,"✅ محقق",IF($N15&gt;=0.75,"🟡 قريب","🔴 تحت الهدف")))</f>
        <v/>
      </c>
      <c r="P15" s="83" t="inlineStr">
        <is>
          <t>٪ الموظفين المروّجين − ٪ المنتقدين (مقياس صافي ترشيح الموظفين)</t>
        </is>
      </c>
      <c r="Q15" s="83" t="inlineStr">
        <is>
          <t>استبيان دوري</t>
        </is>
      </c>
      <c r="R15" s="15" t="inlineStr">
        <is>
          <t>ربعي</t>
        </is>
      </c>
      <c r="S15" s="57" t="n"/>
      <c r="T15" s="15" t="inlineStr">
        <is>
          <t>الرئيس التنفيذي</t>
        </is>
      </c>
    </row>
    <row r="16" outlineLevel="1" ht="26" customHeight="1">
      <c r="A16" s="20" t="n">
        <v>10</v>
      </c>
      <c r="B16" s="21" t="inlineStr">
        <is>
          <t>الاستدامة</t>
        </is>
      </c>
      <c r="C16" s="21" t="inlineStr">
        <is>
          <t>نسبة تحقيق المستهدفات الاستراتيجية العامة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1</v>
      </c>
      <c r="I16" s="22" t="inlineStr">
        <is>
          <t>100%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«تحقيق المستهدفات الاستراتيجية العامة»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  <c r="S16" s="57" t="n"/>
      <c r="T16" s="15" t="inlineStr">
        <is>
          <t>الرئيس التنفيذي</t>
        </is>
      </c>
    </row>
    <row r="17" ht="26" customHeight="1">
      <c r="A17" s="20" t="n">
        <v>11</v>
      </c>
      <c r="B17" s="21" t="inlineStr">
        <is>
          <t>الحوكمة</t>
        </is>
      </c>
      <c r="C17" s="21" t="inlineStr">
        <is>
          <t>نسبة الالتزام بإطار الحوكمة المؤسسية والامتثال التنظيمي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0.729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  <c r="S17" s="57" t="n"/>
      <c r="T17" s="15" t="inlineStr">
        <is>
          <t>الرئيس التنفيذي</t>
        </is>
      </c>
    </row>
  </sheetData>
  <autoFilter ref="A3:T17"/>
  <mergeCells count="2">
    <mergeCell ref="A1:T1"/>
    <mergeCell ref="A2:T2"/>
  </mergeCells>
  <dataValidations count="1">
    <dataValidation sqref="M5 M6 M7 M8 M9 M11 M12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T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الامتياز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الامتياز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  <c r="S8" s="57" t="n"/>
      <c r="T8" s="15" t="inlineStr">
        <is>
          <t>مدير الامتياز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  <c r="S9" s="57" t="n"/>
      <c r="T9" s="15" t="inlineStr">
        <is>
          <t>مدير الامتياز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مدير الامتياز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  <c r="S12" s="57" t="n"/>
      <c r="T12" s="15" t="inlineStr">
        <is>
          <t>مدير الامتياز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  <c r="S13" s="57" t="n"/>
      <c r="T13" s="15" t="inlineStr">
        <is>
          <t>مدير الامتياز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مدير الامتياز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  <c r="S15" s="57" t="n"/>
      <c r="T15" s="15" t="inlineStr">
        <is>
          <t>مدير الامتياز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  <c r="S16" s="57" t="n"/>
      <c r="T16" s="15" t="inlineStr">
        <is>
          <t>مدير الامتياز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  <c r="S18" s="57" t="n"/>
      <c r="T18" s="15" t="inlineStr">
        <is>
          <t>مدير الامتياز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  <c r="S19" s="57" t="n"/>
      <c r="T19" s="15" t="inlineStr">
        <is>
          <t>مدير الامتياز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  <c r="S20" s="57" t="n"/>
      <c r="T20" s="15" t="inlineStr">
        <is>
          <t>مدير الامتياز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  <c r="S21" s="57" t="n"/>
      <c r="T21" s="15" t="inlineStr">
        <is>
          <t>مدير الامتياز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  <c r="S22" s="57" t="n"/>
      <c r="T22" s="15" t="inlineStr">
        <is>
          <t>مدير الامتياز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  <c r="S23" s="57" t="n"/>
      <c r="T23" s="15" t="inlineStr">
        <is>
          <t>مدير الامتياز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  <c r="S24" s="57" t="n"/>
      <c r="T24" s="15" t="inlineStr">
        <is>
          <t>مدير الامتياز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  <c r="S25" s="57" t="n"/>
      <c r="T25" s="15" t="inlineStr">
        <is>
          <t>مدير الامتياز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  <c r="S26" s="57" t="n"/>
      <c r="T26" s="15" t="inlineStr">
        <is>
          <t>مدير الامتياز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  <c r="S27" s="77" t="n"/>
      <c r="T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  <c r="S28" s="57" t="n"/>
      <c r="T28" s="15" t="inlineStr">
        <is>
          <t>مدير الامتياز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  <c r="S29" s="57" t="n"/>
      <c r="T29" s="15" t="inlineStr">
        <is>
          <t>مدير الامتياز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  <c r="S30" s="57" t="n"/>
      <c r="T30" s="15" t="inlineStr">
        <is>
          <t>مدير الامتياز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  <c r="S31" s="57" t="n"/>
      <c r="T31" s="15" t="inlineStr">
        <is>
          <t>مدير الامتياز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  <c r="S32" s="77" t="n"/>
      <c r="T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  <c r="S33" s="57" t="n"/>
      <c r="T33" s="15" t="inlineStr">
        <is>
          <t>مدير الامتياز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  <c r="S34" s="57" t="n"/>
      <c r="T34" s="15" t="inlineStr">
        <is>
          <t>مدير الامتياز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  <c r="S35" s="57" t="n"/>
      <c r="T35" s="15" t="inlineStr">
        <is>
          <t>مدير الامتياز</t>
        </is>
      </c>
    </row>
  </sheetData>
  <autoFilter ref="A3:T35"/>
  <mergeCells count="2">
    <mergeCell ref="A1:T1"/>
    <mergeCell ref="A2:T2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T3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  <c r="S5" s="57" t="n"/>
      <c r="T5" s="15" t="inlineStr">
        <is>
          <t>مدير التشغيل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0.05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  <c r="S6" s="57" t="n"/>
      <c r="T6" s="15" t="inlineStr">
        <is>
          <t>مدير التشغيل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0.03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  <c r="S7" s="57" t="n"/>
      <c r="T7" s="15" t="inlineStr">
        <is>
          <t>مدير التشغيل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0.03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  <c r="S8" s="57" t="n"/>
      <c r="T8" s="15" t="inlineStr">
        <is>
          <t>مدير التشغيل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0.24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0.12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  <c r="S10" s="57" t="n"/>
      <c r="T10" s="15" t="inlineStr">
        <is>
          <t>مدير التشغيل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  <c r="S11" s="57" t="n"/>
      <c r="T11" s="15" t="inlineStr">
        <is>
          <t>مدير التشغيل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0.04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  <c r="S12" s="57" t="n"/>
      <c r="T12" s="15" t="inlineStr">
        <is>
          <t>مدير التشغيل</t>
        </is>
      </c>
    </row>
    <row r="13" ht="24" customHeight="1">
      <c r="B13" s="75" t="inlineStr">
        <is>
          <t>السلامة والصحة المهنية</t>
        </is>
      </c>
      <c r="C13" s="76" t="inlineStr">
        <is>
          <t>📊 السلامة والصحة المهنية</t>
        </is>
      </c>
      <c r="D13" s="77" t="n"/>
      <c r="E13" s="77" t="n"/>
      <c r="F13" s="78" t="inlineStr">
        <is>
          <t>🔷 أساسي</t>
        </is>
      </c>
      <c r="G13" s="79" t="n">
        <v>0.22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والصحة المهنية")/SUMIFS('قاعدة المؤشرات'!$K:$K,'قاعدة المؤشرات'!$B:$B,"التشغيل والمحطات",'قاعدة المؤشرات'!$L:$L,"السلامة والصحة المهنية"),"")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السلامة والصحة المهنية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0.08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تشغيل المحطات</t>
        </is>
      </c>
      <c r="R14" s="15" t="inlineStr">
        <is>
          <t>شهري</t>
        </is>
      </c>
      <c r="S14" s="57" t="n"/>
      <c r="T14" s="15" t="inlineStr">
        <is>
          <t>مدير التشغيل</t>
        </is>
      </c>
    </row>
    <row r="15" outlineLevel="1" ht="26" customHeight="1">
      <c r="A15" s="20" t="n">
        <v>9</v>
      </c>
      <c r="B15" s="21" t="inlineStr">
        <is>
          <t>السلامة والصحة المهنية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0.04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تشغيل المحطات</t>
        </is>
      </c>
      <c r="R15" s="15" t="inlineStr">
        <is>
          <t>شهري</t>
        </is>
      </c>
      <c r="S15" s="57" t="n"/>
      <c r="T15" s="15" t="inlineStr">
        <is>
          <t>مدير التشغيل</t>
        </is>
      </c>
    </row>
    <row r="16" outlineLevel="1" ht="26" customHeight="1">
      <c r="A16" s="20" t="n">
        <v>10</v>
      </c>
      <c r="B16" s="21" t="inlineStr">
        <is>
          <t>السلامة والصحة المهنية</t>
        </is>
      </c>
      <c r="C16" s="21" t="inlineStr">
        <is>
          <t>معدل تكرار الإصابات المسجّلة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🟠 مهم</t>
        </is>
      </c>
      <c r="G16" s="64" t="n">
        <v>0.04</v>
      </c>
      <c r="H16" s="60" t="n">
        <v>0</v>
      </c>
      <c r="I16" s="22" t="inlineStr">
        <is>
          <t>صفر إصابة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«تكرار الإصابات المسجّلة» خلال الفترة ÷ إجمالي الحالات القابلة للقياس × 100٪</t>
        </is>
      </c>
      <c r="Q16" s="83" t="inlineStr">
        <is>
          <t>نظام تشغيل المحطات</t>
        </is>
      </c>
      <c r="R16" s="15" t="inlineStr">
        <is>
          <t>شهري</t>
        </is>
      </c>
      <c r="S16" s="57" t="n"/>
      <c r="T16" s="15" t="inlineStr">
        <is>
          <t>مدير التشغيل</t>
        </is>
      </c>
    </row>
    <row r="17" outlineLevel="1" ht="26" customHeight="1">
      <c r="A17" s="20" t="n">
        <v>11</v>
      </c>
      <c r="B17" s="21" t="inlineStr">
        <is>
          <t>السلامة والصحة المهنية</t>
        </is>
      </c>
      <c r="C17" s="21" t="inlineStr">
        <is>
          <t>نسبة تنفيذ خطة تفتيش السلامة الدوري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0.03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0.774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«تنفيذ خطة تفتيش السلامة الدوري»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  <c r="S17" s="57" t="n"/>
      <c r="T17" s="15" t="inlineStr">
        <is>
          <t>مدير التشغيل</t>
        </is>
      </c>
    </row>
    <row r="18" outlineLevel="1" ht="26" customHeight="1">
      <c r="A18" s="20" t="n">
        <v>12</v>
      </c>
      <c r="B18" s="21" t="inlineStr">
        <is>
          <t>السلامة والصحة المهنية</t>
        </is>
      </c>
      <c r="C18" s="21" t="inlineStr">
        <is>
          <t>نسبة إغلاق ملاحظات السلامة ضمن المدة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0.03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0.83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«إغلاق ملاحظات السلامة ضمن المدة»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  <c r="S18" s="57" t="n"/>
      <c r="T18" s="15" t="inlineStr">
        <is>
          <t>مدير التشغيل</t>
        </is>
      </c>
    </row>
    <row r="19" ht="26" customHeight="1">
      <c r="A19" s="20" t="n">
        <v>13</v>
      </c>
      <c r="B19" s="21" t="inlineStr">
        <is>
          <t>التراخيص والامتثال</t>
        </is>
      </c>
      <c r="C19" s="21" t="inlineStr">
        <is>
          <t>نسبة المحطات ذات التراخيص والتصاريح السارية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0.05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0.849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«المحطات ذات التراخيص والتصاريح السارية»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  <c r="S19" s="57" t="n"/>
      <c r="T19" s="15" t="inlineStr">
        <is>
          <t>مدير التشغيل</t>
        </is>
      </c>
    </row>
    <row r="20" ht="24" customHeight="1">
      <c r="B20" s="75" t="inlineStr">
        <is>
          <t>البيئة والاستدامة</t>
        </is>
      </c>
      <c r="C20" s="76" t="inlineStr">
        <is>
          <t>📊 البيئة والاستدامة</t>
        </is>
      </c>
      <c r="D20" s="77" t="n"/>
      <c r="E20" s="77" t="n"/>
      <c r="F20" s="78" t="inlineStr">
        <is>
          <t>🔷 أساسي</t>
        </is>
      </c>
      <c r="G20" s="79" t="n">
        <v>0.07000000000000001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المؤشرات'!$L:$L,"البيئة والاستدامة")/SUMIFS('قاعدة المؤشرات'!$K:$K,'قاعدة المؤشرات'!$B:$B,"التشغيل والمحطات",'قاعدة المؤشرات'!$L:$L,"البيئة والاستدامة"),"")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  <c r="S20" s="77" t="n"/>
      <c r="T20" s="77" t="n"/>
    </row>
    <row r="21" outlineLevel="1" ht="26" customHeight="1">
      <c r="A21" s="20" t="n">
        <v>14</v>
      </c>
      <c r="B21" s="21" t="inlineStr">
        <is>
          <t>البيئة والاستدامة</t>
        </is>
      </c>
      <c r="C21" s="21" t="inlineStr">
        <is>
          <t>نسبة خفض استهلاك الطاقة بالمحطات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0.02</v>
      </c>
      <c r="H21" s="64" t="n">
        <v>0.05</v>
      </c>
      <c r="I21" s="22" t="inlineStr">
        <is>
          <t>≥ 5% خفض سنوي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0.05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«خفض استهلاك الطاقة بالمحطات» ÷ الإجمالي المستهدف لنفس البند × 100٪</t>
        </is>
      </c>
      <c r="Q21" s="83" t="inlineStr">
        <is>
          <t>نظام تشغيل المحطات</t>
        </is>
      </c>
      <c r="R21" s="15" t="inlineStr">
        <is>
          <t>ربعي</t>
        </is>
      </c>
      <c r="S21" s="57" t="n"/>
      <c r="T21" s="15" t="inlineStr">
        <is>
          <t>مدير التشغيل</t>
        </is>
      </c>
    </row>
    <row r="22" outlineLevel="1" ht="26" customHeight="1">
      <c r="A22" s="20" t="n">
        <v>15</v>
      </c>
      <c r="B22" s="21" t="inlineStr">
        <is>
          <t>البيئة والاستدامة</t>
        </is>
      </c>
      <c r="C22" s="21" t="inlineStr">
        <is>
          <t>عدد الحوادث والتسربات البيئية</t>
        </is>
      </c>
      <c r="D22" s="55" t="inlineStr">
        <is>
          <t>عدد</t>
        </is>
      </c>
      <c r="E22" s="55" t="inlineStr">
        <is>
          <t>↓</t>
        </is>
      </c>
      <c r="F22" s="15" t="inlineStr">
        <is>
          <t>🔴 رئيسي</t>
        </is>
      </c>
      <c r="G22" s="64" t="n">
        <v>0.02</v>
      </c>
      <c r="H22" s="60" t="n">
        <v>0</v>
      </c>
      <c r="I22" s="22" t="inlineStr">
        <is>
          <t>صفر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1" t="n"/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«الحوادث والتسربات البيئية»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  <c r="S22" s="57" t="n"/>
      <c r="T22" s="15" t="inlineStr">
        <is>
          <t>مدير التشغيل</t>
        </is>
      </c>
    </row>
    <row r="23" outlineLevel="1" ht="26" customHeight="1">
      <c r="A23" s="20" t="n">
        <v>16</v>
      </c>
      <c r="B23" s="21" t="inlineStr">
        <is>
          <t>البيئة والاستدامة</t>
        </is>
      </c>
      <c r="C23" s="21" t="inlineStr">
        <is>
          <t>نسبة الالتزام بإدارة النفايات وإعادة التدوير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0.02</v>
      </c>
      <c r="H23" s="64" t="n">
        <v>0.9</v>
      </c>
      <c r="I23" s="22" t="inlineStr">
        <is>
          <t>≥ 90%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0.913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«الالتزام بإدارة النفايات وإعادة التدوير» ÷ الإجمالي المستهدف لنفس البند × 100٪</t>
        </is>
      </c>
      <c r="Q23" s="83" t="inlineStr">
        <is>
          <t>سجلات الإدارة</t>
        </is>
      </c>
      <c r="R23" s="15" t="inlineStr">
        <is>
          <t>شهري</t>
        </is>
      </c>
      <c r="S23" s="57" t="n"/>
      <c r="T23" s="15" t="inlineStr">
        <is>
          <t>مدير التشغيل</t>
        </is>
      </c>
    </row>
    <row r="24" outlineLevel="1" ht="26" customHeight="1">
      <c r="A24" s="20" t="n">
        <v>17</v>
      </c>
      <c r="B24" s="21" t="inlineStr">
        <is>
          <t>البيئة والاستدامة</t>
        </is>
      </c>
      <c r="C24" s="21" t="inlineStr">
        <is>
          <t>نسبة ترشيد استهلاك المياه بالمحطات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0.01</v>
      </c>
      <c r="H24" s="64" t="n">
        <v>0.05</v>
      </c>
      <c r="I24" s="22" t="inlineStr">
        <is>
          <t>≥ 5% خفض سنوي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0.046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«ترشيد استهلاك المياه بالمحطات» ÷ الإجمالي المستهدف لنفس البند × 100٪</t>
        </is>
      </c>
      <c r="Q24" s="83" t="inlineStr">
        <is>
          <t>نظام تشغيل المحطات</t>
        </is>
      </c>
      <c r="R24" s="15" t="inlineStr">
        <is>
          <t>ربعي</t>
        </is>
      </c>
      <c r="S24" s="57" t="n"/>
      <c r="T24" s="15" t="inlineStr">
        <is>
          <t>مدير التشغيل</t>
        </is>
      </c>
    </row>
    <row r="25" ht="24" customHeight="1">
      <c r="B25" s="75" t="inlineStr">
        <is>
          <t>النظافة والهوية البصرية</t>
        </is>
      </c>
      <c r="C25" s="76" t="inlineStr">
        <is>
          <t>📊 النظافة والهوية البصرية</t>
        </is>
      </c>
      <c r="D25" s="77" t="n"/>
      <c r="E25" s="77" t="n"/>
      <c r="F25" s="78" t="inlineStr">
        <is>
          <t>🔷 أساسي</t>
        </is>
      </c>
      <c r="G25" s="79" t="n">
        <v>0.14</v>
      </c>
      <c r="H25" s="77" t="n"/>
      <c r="I25" s="77" t="n"/>
      <c r="J25" s="77" t="n"/>
      <c r="K25" s="77" t="n"/>
      <c r="L25" s="77" t="n"/>
      <c r="M25" s="77" t="n"/>
      <c r="N25" s="80">
        <f>IFERROR(SUMIFS('قاعدة المؤشرات'!$J:$J,'قاعدة المؤشرات'!$B:$B,"التشغيل والمحطات",'قاعدة المؤشرات'!$L:$L,"النظافة والهوية البصرية")/SUMIFS('قاعدة المؤشرات'!$K:$K,'قاعدة المؤشرات'!$B:$B,"التشغيل والمحطات",'قاعدة المؤشرات'!$L:$L,"النظافة والهوية البصرية"),"")</f>
        <v/>
      </c>
      <c r="O25" s="81">
        <f>IF($N25="","⏳ بانتظار هدف",IF($N25&gt;=1,"✅ محقق",IF($N25&gt;=0.85,"🟡 قريب","🔴 تحت الهدف")))</f>
        <v/>
      </c>
      <c r="P25" s="77" t="n"/>
      <c r="Q25" s="77" t="n"/>
      <c r="R25" s="77" t="n"/>
      <c r="S25" s="77" t="n"/>
      <c r="T25" s="77" t="n"/>
    </row>
    <row r="26" outlineLevel="1" ht="26" customHeight="1">
      <c r="A26" s="20" t="n">
        <v>18</v>
      </c>
      <c r="B26" s="21" t="inlineStr">
        <is>
          <t>النظافة والهوية البصرية</t>
        </is>
      </c>
      <c r="C26" s="21" t="inlineStr">
        <is>
          <t>مؤشر النظافة بالمحطات</t>
        </is>
      </c>
      <c r="D26" s="55" t="inlineStr">
        <is>
          <t>درجة من 100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0.06</v>
      </c>
      <c r="H26" s="67" t="n">
        <v>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97.5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تقييم «مؤشر النظافة بالمحطات» على مقياسه المعتمد</t>
        </is>
      </c>
      <c r="Q26" s="83" t="inlineStr">
        <is>
          <t>نظام تشغيل المحطات</t>
        </is>
      </c>
      <c r="R26" s="15" t="inlineStr">
        <is>
          <t>شهري</t>
        </is>
      </c>
      <c r="S26" s="57" t="n"/>
      <c r="T26" s="15" t="inlineStr">
        <is>
          <t>مدير التشغيل</t>
        </is>
      </c>
    </row>
    <row r="27" outlineLevel="1" ht="26" customHeight="1">
      <c r="A27" s="20" t="n">
        <v>19</v>
      </c>
      <c r="B27" s="21" t="inlineStr">
        <is>
          <t>النظافة والهوية البصرية</t>
        </is>
      </c>
      <c r="C27" s="21" t="inlineStr">
        <is>
          <t>مؤشر الالتزام بالهوية البصرية والمظهر العام</t>
        </is>
      </c>
      <c r="D27" s="55" t="inlineStr">
        <is>
          <t>درجة من 100</t>
        </is>
      </c>
      <c r="E27" s="55" t="inlineStr">
        <is>
          <t>↑</t>
        </is>
      </c>
      <c r="F27" s="15" t="inlineStr">
        <is>
          <t>🟠 مهم</t>
        </is>
      </c>
      <c r="G27" s="64" t="n">
        <v>0.05</v>
      </c>
      <c r="H27" s="67" t="n">
        <v>95</v>
      </c>
      <c r="I27" s="22" t="inlineStr">
        <is>
          <t>≥ 95%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التعلّم والنمو</t>
        </is>
      </c>
      <c r="M27" s="68" t="n">
        <v>85.59999999999999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متوسط تقييم «مؤشر الالتزام بالهوية البصرية والمظهر العام» على مقياسه المعتمد</t>
        </is>
      </c>
      <c r="Q27" s="83" t="inlineStr">
        <is>
          <t>سجلات الإدارة</t>
        </is>
      </c>
      <c r="R27" s="15" t="inlineStr">
        <is>
          <t>شهري</t>
        </is>
      </c>
      <c r="S27" s="57" t="n"/>
      <c r="T27" s="15" t="inlineStr">
        <is>
          <t>مدير التشغيل</t>
        </is>
      </c>
    </row>
    <row r="28" outlineLevel="1" ht="26" customHeight="1">
      <c r="A28" s="20" t="n">
        <v>20</v>
      </c>
      <c r="B28" s="21" t="inlineStr">
        <is>
          <t>النظافة والهوية البصرية</t>
        </is>
      </c>
      <c r="C28" s="21" t="inlineStr">
        <is>
          <t>نسبة الالتزام بمظهر وانضباط العاملين بالمحطات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0.03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0.761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«الالتزام بمظهر وانضباط العاملين بالمحطات» ÷ الإجمالي المستهدف لنفس البند × 100٪</t>
        </is>
      </c>
      <c r="Q28" s="83" t="inlineStr">
        <is>
          <t>نظام تشغيل المحطات</t>
        </is>
      </c>
      <c r="R28" s="15" t="inlineStr">
        <is>
          <t>شهري</t>
        </is>
      </c>
      <c r="S28" s="57" t="n"/>
      <c r="T28" s="15" t="inlineStr">
        <is>
          <t>مدير التشغيل</t>
        </is>
      </c>
    </row>
    <row r="29" ht="24" customHeight="1">
      <c r="B29" s="75" t="inlineStr">
        <is>
          <t>تجربة العميل والرضا</t>
        </is>
      </c>
      <c r="C29" s="76" t="inlineStr">
        <is>
          <t>📊 تجربة العميل والرضا</t>
        </is>
      </c>
      <c r="D29" s="77" t="n"/>
      <c r="E29" s="77" t="n"/>
      <c r="F29" s="78" t="inlineStr">
        <is>
          <t>🔷 أساسي</t>
        </is>
      </c>
      <c r="G29" s="79" t="n">
        <v>0.12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  <c r="S29" s="77" t="n"/>
      <c r="T29" s="77" t="n"/>
    </row>
    <row r="30" outlineLevel="1" ht="26" customHeight="1">
      <c r="A30" s="20" t="n">
        <v>21</v>
      </c>
      <c r="B30" s="21" t="inlineStr">
        <is>
          <t>تجربة العميل والرضا</t>
        </is>
      </c>
      <c r="C30" s="21" t="inlineStr">
        <is>
          <t>انخفاض معدل الشكاوى التشغيلية</t>
        </is>
      </c>
      <c r="D30" s="55" t="inlineStr">
        <is>
          <t>% انخفاض</t>
        </is>
      </c>
      <c r="E30" s="55" t="inlineStr">
        <is>
          <t>↑</t>
        </is>
      </c>
      <c r="F30" s="15" t="inlineStr">
        <is>
          <t>🟠 مهم</t>
        </is>
      </c>
      <c r="G30" s="64" t="n">
        <v>0.05</v>
      </c>
      <c r="H30" s="64" t="n">
        <v>0.2</v>
      </c>
      <c r="I30" s="22" t="inlineStr">
        <is>
          <t>≥ 20% انخفاض سنوي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0.187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القيمة المتحقّقة من «انخفاض معدل الشكاوى التشغيلية» ÷ المستهدف × 100٪</t>
        </is>
      </c>
      <c r="Q30" s="83" t="inlineStr">
        <is>
          <t>استبيان دوري</t>
        </is>
      </c>
      <c r="R30" s="15" t="inlineStr">
        <is>
          <t>ربعي</t>
        </is>
      </c>
      <c r="S30" s="57" t="n"/>
      <c r="T30" s="15" t="inlineStr">
        <is>
          <t>مدير التشغيل</t>
        </is>
      </c>
    </row>
    <row r="31" outlineLevel="1" ht="26" customHeight="1">
      <c r="A31" s="20" t="n">
        <v>22</v>
      </c>
      <c r="B31" s="21" t="inlineStr">
        <is>
          <t>تجربة العميل والرضا</t>
        </is>
      </c>
      <c r="C31" s="21" t="inlineStr">
        <is>
          <t>نسبة حل الشكاوى التشغيلية خلال المدة المحددة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0.04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0.751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«حل الشكاوى التشغيلية خلال المدة المحددة» ÷ الإجمالي المستهدف لنفس البند × 100٪</t>
        </is>
      </c>
      <c r="Q31" s="83" t="inlineStr">
        <is>
          <t>استبيان دوري</t>
        </is>
      </c>
      <c r="R31" s="15" t="inlineStr">
        <is>
          <t>شهري</t>
        </is>
      </c>
      <c r="S31" s="57" t="n"/>
      <c r="T31" s="15" t="inlineStr">
        <is>
          <t>مدير التشغيل</t>
        </is>
      </c>
    </row>
    <row r="32" outlineLevel="1" ht="26" customHeight="1">
      <c r="A32" s="20" t="n">
        <v>23</v>
      </c>
      <c r="B32" s="21" t="inlineStr">
        <is>
          <t>تجربة العميل والرضا</t>
        </is>
      </c>
      <c r="C32" s="21" t="inlineStr">
        <is>
          <t>متوسط تقييم المحطات على خرائط قوقل</t>
        </is>
      </c>
      <c r="D32" s="55" t="inlineStr">
        <is>
          <t>درجة من 5</t>
        </is>
      </c>
      <c r="E32" s="55" t="inlineStr">
        <is>
          <t>↑</t>
        </is>
      </c>
      <c r="F32" s="15" t="inlineStr">
        <is>
          <t>🔴 رئيسي</t>
        </is>
      </c>
      <c r="G32" s="64" t="n">
        <v>0.03</v>
      </c>
      <c r="H32" s="67" t="n">
        <v>4.5</v>
      </c>
      <c r="I32" s="22" t="inlineStr">
        <is>
          <t>≥ 4.5 / 5</t>
        </is>
      </c>
      <c r="J32" s="82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العملاء</t>
        </is>
      </c>
      <c r="M32" s="68" t="n">
        <v>3.602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مجموع قيم «تقييم المحطات على خرائط قوقل» ÷ عدد المفردات المقيسة</t>
        </is>
      </c>
      <c r="Q32" s="83" t="inlineStr">
        <is>
          <t>تقييمات خرائط قوقل</t>
        </is>
      </c>
      <c r="R32" s="15" t="inlineStr">
        <is>
          <t>شهري</t>
        </is>
      </c>
      <c r="S32" s="57" t="n"/>
      <c r="T32" s="15" t="inlineStr">
        <is>
          <t>مدير التشغيل</t>
        </is>
      </c>
    </row>
  </sheetData>
  <autoFilter ref="A3:T32"/>
  <mergeCells count="2">
    <mergeCell ref="A1:T1"/>
    <mergeCell ref="A2:T2"/>
  </mergeCells>
  <dataValidations count="1">
    <dataValidation sqref="M5 M6 M7 M8 M10 M11 M12 M14 M15 M16 M17 M18 M19 M21 M22 M23 M24 M26 M27 M28 M30 M31 M3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T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الاستثمار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الاستثمار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  <c r="S7" s="57" t="n"/>
      <c r="T7" s="15" t="inlineStr">
        <is>
          <t>مدير الاستثمار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  <c r="S8" s="57" t="n"/>
      <c r="T8" s="15" t="inlineStr">
        <is>
          <t>مدير الاستثمار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  <c r="S10" s="57" t="n"/>
      <c r="T10" s="15" t="inlineStr">
        <is>
          <t>مدير الاستثمار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مدير الاستثمار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  <c r="S13" s="57" t="n"/>
      <c r="T13" s="15" t="inlineStr">
        <is>
          <t>مدير الاستثمار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  <c r="S14" s="57" t="n"/>
      <c r="T14" s="15" t="inlineStr">
        <is>
          <t>مدير الاستثمار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  <c r="S15" s="57" t="n"/>
      <c r="T15" s="15" t="inlineStr">
        <is>
          <t>مدير الاستثمار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  <c r="S17" s="57" t="n"/>
      <c r="T17" s="15" t="inlineStr">
        <is>
          <t>مدير الاستثمار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  <c r="S18" s="57" t="n"/>
      <c r="T18" s="15" t="inlineStr">
        <is>
          <t>مدير الاستثمار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  <c r="S19" s="57" t="n"/>
      <c r="T19" s="15" t="inlineStr">
        <is>
          <t>مدير الاستثمار</t>
        </is>
      </c>
    </row>
  </sheetData>
  <autoFilter ref="A3:T19"/>
  <mergeCells count="2">
    <mergeCell ref="A1:T1"/>
    <mergeCell ref="A2:T2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T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مدير العقار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  <c r="S6" s="57" t="n"/>
      <c r="T6" s="15" t="inlineStr">
        <is>
          <t>مدير العقار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  <c r="S7" s="57" t="n"/>
      <c r="T7" s="15" t="inlineStr">
        <is>
          <t>مدير العقار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  <c r="S8" s="57" t="n"/>
      <c r="T8" s="15" t="inlineStr">
        <is>
          <t>مدير العقار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  <c r="S9" s="57" t="n"/>
      <c r="T9" s="15" t="inlineStr">
        <is>
          <t>مدير العقار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  <c r="S10" s="57" t="n"/>
      <c r="T10" s="15" t="inlineStr">
        <is>
          <t>مدير العقار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  <c r="S11" s="57" t="n"/>
      <c r="T11" s="15" t="inlineStr">
        <is>
          <t>مدير العقار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  <c r="S12" s="57" t="n"/>
      <c r="T12" s="15" t="inlineStr">
        <is>
          <t>مدير العقار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مدير العقار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  <c r="S15" s="57" t="n"/>
      <c r="T15" s="15" t="inlineStr">
        <is>
          <t>مدير العقار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  <c r="S17" s="57" t="n"/>
      <c r="T17" s="15" t="inlineStr">
        <is>
          <t>مدير العقار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  <c r="S18" s="57" t="n"/>
      <c r="T18" s="15" t="inlineStr">
        <is>
          <t>مدير العقار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  <c r="S19" s="77" t="n"/>
      <c r="T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  <c r="S20" s="57" t="n"/>
      <c r="T20" s="15" t="inlineStr">
        <is>
          <t>مدير العقار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  <c r="S21" s="57" t="n"/>
      <c r="T21" s="15" t="inlineStr">
        <is>
          <t>مدير العقار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  <c r="S22" s="77" t="n"/>
      <c r="T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  <c r="S23" s="57" t="n"/>
      <c r="T23" s="15" t="inlineStr">
        <is>
          <t>مدير العقار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  <c r="S24" s="57" t="n"/>
      <c r="T24" s="15" t="inlineStr">
        <is>
          <t>مدير العقار</t>
        </is>
      </c>
    </row>
  </sheetData>
  <autoFilter ref="A3:T24"/>
  <mergeCells count="2">
    <mergeCell ref="A1:T1"/>
    <mergeCell ref="A2:T2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T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  <c r="S5" s="57" t="n"/>
      <c r="T5" s="15" t="inlineStr">
        <is>
          <t>مدير إدارة المشاريع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  <c r="S6" s="57" t="n"/>
      <c r="T6" s="15" t="inlineStr">
        <is>
          <t>مدير إدارة المشاريع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  <c r="S7" s="57" t="n"/>
      <c r="T7" s="15" t="inlineStr">
        <is>
          <t>مدير إدارة المشاريع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  <c r="S8" s="57" t="n"/>
      <c r="T8" s="15" t="inlineStr">
        <is>
          <t>مدير إدارة المشاريع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  <c r="S10" s="57" t="n"/>
      <c r="T10" s="15" t="inlineStr">
        <is>
          <t>مدير إدارة المشاريع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  <c r="S11" s="57" t="n"/>
      <c r="T11" s="15" t="inlineStr">
        <is>
          <t>مدير إدارة المشاريع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  <c r="S12" s="57" t="n"/>
      <c r="T12" s="15" t="inlineStr">
        <is>
          <t>مدير إدارة المشاريع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  <c r="S13" s="57" t="n"/>
      <c r="T13" s="15" t="inlineStr">
        <is>
          <t>مدير إدارة المشاريع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  <c r="S15" s="57" t="n"/>
      <c r="T15" s="15" t="inlineStr">
        <is>
          <t>مدير إدارة المشاريع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  <c r="S16" s="57" t="n"/>
      <c r="T16" s="15" t="inlineStr">
        <is>
          <t>مدير إدارة المشاريع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  <c r="S17" s="57" t="n"/>
      <c r="T17" s="15" t="inlineStr">
        <is>
          <t>مدير إدارة المشاريع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  <c r="S19" s="57" t="n"/>
      <c r="T19" s="15" t="inlineStr">
        <is>
          <t>مدير إدارة المشاريع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  <c r="S20" s="57" t="n"/>
      <c r="T20" s="15" t="inlineStr">
        <is>
          <t>مدير إدارة المشاريع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  <c r="S21" s="57" t="n"/>
      <c r="T21" s="15" t="inlineStr">
        <is>
          <t>مدير إدارة المشاريع</t>
        </is>
      </c>
    </row>
  </sheetData>
  <autoFilter ref="A3:T21"/>
  <mergeCells count="2">
    <mergeCell ref="A1:T1"/>
    <mergeCell ref="A2:T2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  <c r="S5" s="57" t="n"/>
      <c r="T5" s="15" t="inlineStr">
        <is>
          <t>مدير سلاسل الإمداد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  <c r="S6" s="57" t="n"/>
      <c r="T6" s="15" t="inlineStr">
        <is>
          <t>مدير سلاسل الإمداد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  <c r="S8" s="57" t="n"/>
      <c r="T8" s="15" t="inlineStr">
        <is>
          <t>مدير سلاسل الإمداد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  <c r="S9" s="57" t="n"/>
      <c r="T9" s="15" t="inlineStr">
        <is>
          <t>مدير سلاسل الإمداد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  <c r="S10" s="57" t="n"/>
      <c r="T10" s="15" t="inlineStr">
        <is>
          <t>مدير سلاسل الإمداد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  <c r="S12" s="57" t="n"/>
      <c r="T12" s="15" t="inlineStr">
        <is>
          <t>مدير سلاسل الإمداد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  <c r="S13" s="57" t="n"/>
      <c r="T13" s="15" t="inlineStr">
        <is>
          <t>مدير سلاسل الإمداد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  <c r="S15" s="57" t="n"/>
      <c r="T15" s="15" t="inlineStr">
        <is>
          <t>مدير سلاسل الإمداد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  <c r="S16" s="57" t="n"/>
      <c r="T16" s="15" t="inlineStr">
        <is>
          <t>مدير سلاسل الإمداد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  <c r="S17" s="57" t="n"/>
      <c r="T17" s="15" t="inlineStr">
        <is>
          <t>مدير سلاسل الإمداد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  <c r="S19" s="57" t="n"/>
      <c r="T19" s="15" t="inlineStr">
        <is>
          <t>مدير سلاسل الإمداد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  <c r="S20" s="57" t="n"/>
      <c r="T20" s="15" t="inlineStr">
        <is>
          <t>مدير سلاسل الإمداد</t>
        </is>
      </c>
    </row>
  </sheetData>
  <autoFilter ref="A3:T20"/>
  <mergeCells count="2">
    <mergeCell ref="A1:T1"/>
    <mergeCell ref="A2:T2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T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  <c r="S5" s="57" t="n"/>
      <c r="T5" s="15" t="inlineStr">
        <is>
          <t>مدير الصيانة والأتمتة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  <c r="S6" s="57" t="n"/>
      <c r="T6" s="15" t="inlineStr">
        <is>
          <t>مدير الصيانة والأتمتة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  <c r="S7" s="77" t="n"/>
      <c r="T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  <c r="S8" s="57" t="n"/>
      <c r="T8" s="15" t="inlineStr">
        <is>
          <t>مدير الصيانة والأتمتة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  <c r="S9" s="57" t="n"/>
      <c r="T9" s="15" t="inlineStr">
        <is>
          <t>مدير الصيانة والأتمتة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  <c r="S10" s="57" t="n"/>
      <c r="T10" s="15" t="inlineStr">
        <is>
          <t>مدير الصيانة والأتمتة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  <c r="S11" s="57" t="n"/>
      <c r="T11" s="15" t="inlineStr">
        <is>
          <t>مدير الصيانة والأتمتة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  <c r="S12" s="57" t="n"/>
      <c r="T12" s="15" t="inlineStr">
        <is>
          <t>مدير الصيانة والأتمتة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  <c r="S14" s="57" t="n"/>
      <c r="T14" s="15" t="inlineStr">
        <is>
          <t>مدير الصيانة والأتمتة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  <c r="S15" s="57" t="n"/>
      <c r="T15" s="15" t="inlineStr">
        <is>
          <t>مدير الصيانة والأتمتة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  <c r="S16" s="57" t="n"/>
      <c r="T16" s="15" t="inlineStr">
        <is>
          <t>مدير الصيانة والأتمتة</t>
        </is>
      </c>
    </row>
  </sheetData>
  <autoFilter ref="A3:T16"/>
  <mergeCells count="2">
    <mergeCell ref="A1:T1"/>
    <mergeCell ref="A2:T2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  <c r="S5" s="57" t="n"/>
      <c r="T5" s="15" t="inlineStr">
        <is>
          <t>مدير التقنية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  <c r="S6" s="57" t="n"/>
      <c r="T6" s="15" t="inlineStr">
        <is>
          <t>مدير التقنية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  <c r="S7" s="57" t="n"/>
      <c r="T7" s="15" t="inlineStr">
        <is>
          <t>مدير التقنية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  <c r="S9" s="57" t="n"/>
      <c r="T9" s="15" t="inlineStr">
        <is>
          <t>مدير التقنية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  <c r="S10" s="57" t="n"/>
      <c r="T10" s="15" t="inlineStr">
        <is>
          <t>مدير التقنية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  <c r="S12" s="57" t="n"/>
      <c r="T12" s="15" t="inlineStr">
        <is>
          <t>مدير التقنية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  <c r="S13" s="57" t="n"/>
      <c r="T13" s="15" t="inlineStr">
        <is>
          <t>مدير التقنية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  <c r="S14" s="57" t="n"/>
      <c r="T14" s="15" t="inlineStr">
        <is>
          <t>مدير التقنية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  <c r="S15" s="77" t="n"/>
      <c r="T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  <c r="S16" s="57" t="n"/>
      <c r="T16" s="15" t="inlineStr">
        <is>
          <t>مدير التقنية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  <c r="S17" s="57" t="n"/>
      <c r="T17" s="15" t="inlineStr">
        <is>
          <t>مدير التقنية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  <c r="S18" s="77" t="n"/>
      <c r="T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  <c r="S19" s="57" t="n"/>
      <c r="T19" s="15" t="inlineStr">
        <is>
          <t>مدير التقنية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  <c r="S20" s="57" t="n"/>
      <c r="T20" s="15" t="inlineStr">
        <is>
          <t>مدير التقنية</t>
        </is>
      </c>
    </row>
  </sheetData>
  <autoFilter ref="A3:T20"/>
  <mergeCells count="2">
    <mergeCell ref="A1:T1"/>
    <mergeCell ref="A2:T2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  <c r="S5" s="57" t="n"/>
      <c r="T5" s="15" t="inlineStr">
        <is>
          <t>مدير الموارد البشرية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  <c r="S6" s="57" t="n"/>
      <c r="T6" s="15" t="inlineStr">
        <is>
          <t>مدير الموارد البشرية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  <c r="S7" s="57" t="n"/>
      <c r="T7" s="15" t="inlineStr">
        <is>
          <t>مدير الموارد البشرية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  <c r="S8" s="57" t="n"/>
      <c r="T8" s="15" t="inlineStr">
        <is>
          <t>مدير الموارد البشرية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  <c r="S9" s="57" t="n"/>
      <c r="T9" s="15" t="inlineStr">
        <is>
          <t>مدير الموارد البشرية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  <c r="S10" s="77" t="n"/>
      <c r="T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  <c r="S11" s="57" t="n"/>
      <c r="T11" s="15" t="inlineStr">
        <is>
          <t>مدير الموارد البشرية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  <c r="S12" s="57" t="n"/>
      <c r="T12" s="15" t="inlineStr">
        <is>
          <t>مدير الموارد البشرية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  <c r="S13" s="77" t="n"/>
      <c r="T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  <c r="S14" s="57" t="n"/>
      <c r="T14" s="15" t="inlineStr">
        <is>
          <t>مدير الموارد البشرية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  <c r="S15" s="57" t="n"/>
      <c r="T15" s="15" t="inlineStr">
        <is>
          <t>مدير الموارد البشرية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  <c r="S17" s="57" t="n"/>
      <c r="T17" s="15" t="inlineStr">
        <is>
          <t>مدير الموارد البشرية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  <c r="S18" s="57" t="n"/>
      <c r="T18" s="15" t="inlineStr">
        <is>
          <t>مدير الموارد البشرية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  <c r="S19" s="57" t="n"/>
      <c r="T19" s="15" t="inlineStr">
        <is>
          <t>مدير الموارد البشرية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  <c r="S20" s="57" t="n"/>
      <c r="T20" s="15" t="inlineStr">
        <is>
          <t>مدير الموارد البشرية</t>
        </is>
      </c>
    </row>
  </sheetData>
  <autoFilter ref="A3:T20"/>
  <mergeCells count="2">
    <mergeCell ref="A1:T1"/>
    <mergeCell ref="A2:T2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T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  <c r="S5" s="57" t="n"/>
      <c r="T5" s="15" t="inlineStr">
        <is>
          <t>مدير التسويق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  <c r="S6" s="57" t="n"/>
      <c r="T6" s="15" t="inlineStr">
        <is>
          <t>مدير التسويق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مدير التسويق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الوصول الرقمي السنوي (مشاهدات وانطباعات)</t>
        </is>
      </c>
      <c r="D9" s="55" t="inlineStr">
        <is>
          <t>وصول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0" t="n">
        <v>50000000</v>
      </c>
      <c r="I9" s="22" t="inlineStr">
        <is>
          <t>50 مليون وصول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1" t="n">
        <v>38161500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إجمالي عدد «الوصول الرقمي السنوي» المُسجّل خلال الفترة</t>
        </is>
      </c>
      <c r="Q9" s="83" t="inlineStr">
        <is>
          <t>أنظمة التسويق الرقمي / درب</t>
        </is>
      </c>
      <c r="R9" s="15" t="inlineStr">
        <is>
          <t>شهري</t>
        </is>
      </c>
      <c r="S9" s="57" t="n"/>
      <c r="T9" s="15" t="inlineStr">
        <is>
          <t>مدير التسويق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  <c r="S10" s="57" t="n"/>
      <c r="T10" s="15" t="inlineStr">
        <is>
          <t>مدير التسويق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  <c r="S12" s="57" t="n"/>
      <c r="T12" s="15" t="inlineStr">
        <is>
          <t>مدير التسويق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  <c r="S13" s="57" t="n"/>
      <c r="T13" s="15" t="inlineStr">
        <is>
          <t>مدير التسويق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  <c r="S14" s="77" t="n"/>
      <c r="T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اتساق الهوية البصرية عبر القنوات التسويقية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0.819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القيمة المتحقّقة من «اتساق الهوية البصرية عبر القنوات التسويقية» ÷ المستهدف × 100٪</t>
        </is>
      </c>
      <c r="Q15" s="83" t="inlineStr">
        <is>
          <t>سجلات الإدارة</t>
        </is>
      </c>
      <c r="R15" s="15" t="inlineStr">
        <is>
          <t>شهري</t>
        </is>
      </c>
      <c r="S15" s="57" t="n"/>
      <c r="T15" s="15" t="inlineStr">
        <is>
          <t>مدير التسويق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  <c r="S16" s="57" t="n"/>
      <c r="T16" s="15" t="inlineStr">
        <is>
          <t>مدير التسويق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  <c r="S18" s="57" t="n"/>
      <c r="T18" s="15" t="inlineStr">
        <is>
          <t>مدير التسويق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  <c r="S19" s="57" t="n"/>
      <c r="T19" s="15" t="inlineStr">
        <is>
          <t>مدير التسويق</t>
        </is>
      </c>
    </row>
  </sheetData>
  <autoFilter ref="A3:T19"/>
  <mergeCells count="2">
    <mergeCell ref="A1:T1"/>
    <mergeCell ref="A2:T2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T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  <c r="S5" s="57" t="n"/>
      <c r="T5" s="15" t="inlineStr">
        <is>
          <t>مدير الجودة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  <c r="S6" s="57" t="n"/>
      <c r="T6" s="15" t="inlineStr">
        <is>
          <t>مدير الجودة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  <c r="S7" s="57" t="n"/>
      <c r="T7" s="15" t="inlineStr">
        <is>
          <t>مدير الجودة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  <c r="S8" s="57" t="n"/>
      <c r="T8" s="15" t="inlineStr">
        <is>
          <t>مدير الجودة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  <c r="S9" s="57" t="n"/>
      <c r="T9" s="15" t="inlineStr">
        <is>
          <t>مدير الجودة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  <c r="S10" s="57" t="n"/>
      <c r="T10" s="15" t="inlineStr">
        <is>
          <t>مدير الجودة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  <c r="S11" s="77" t="n"/>
      <c r="T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  <c r="S12" s="57" t="n"/>
      <c r="T12" s="15" t="inlineStr">
        <is>
          <t>مدير الجودة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  <c r="S13" s="57" t="n"/>
      <c r="T13" s="15" t="inlineStr">
        <is>
          <t>مدير الجودة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  <c r="S14" s="57" t="n"/>
      <c r="T14" s="15" t="inlineStr">
        <is>
          <t>مدير الجودة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  <c r="S15" s="57" t="n"/>
      <c r="T15" s="15" t="inlineStr">
        <is>
          <t>مدير الجودة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  <c r="S16" s="57" t="n"/>
      <c r="T16" s="15" t="inlineStr">
        <is>
          <t>مدير الجودة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  <c r="S17" s="77" t="n"/>
      <c r="T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  <c r="S18" s="57" t="n"/>
      <c r="T18" s="15" t="inlineStr">
        <is>
          <t>مدير الجودة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  <c r="S19" s="57" t="n"/>
      <c r="T19" s="15" t="inlineStr">
        <is>
          <t>مدير الجودة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  <c r="S20" s="57" t="n"/>
      <c r="T20" s="15" t="inlineStr">
        <is>
          <t>مدير الجودة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  <c r="S21" s="57" t="n"/>
      <c r="T21" s="15" t="inlineStr">
        <is>
          <t>مدير الجودة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  <c r="S22" s="57" t="n"/>
      <c r="T22" s="15" t="inlineStr">
        <is>
          <t>مدير الجودة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  <c r="S23" s="77" t="n"/>
      <c r="T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  <c r="S24" s="57" t="n"/>
      <c r="T24" s="15" t="inlineStr">
        <is>
          <t>مدير الجودة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  <c r="S25" s="57" t="n"/>
      <c r="T25" s="15" t="inlineStr">
        <is>
          <t>مدير الجودة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  <c r="S26" s="57" t="n"/>
      <c r="T26" s="15" t="inlineStr">
        <is>
          <t>مدير الجودة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  <c r="S27" s="57" t="n"/>
      <c r="T27" s="15" t="inlineStr">
        <is>
          <t>مدير الجودة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  <c r="S28" s="57" t="n"/>
      <c r="T28" s="15" t="inlineStr">
        <is>
          <t>مدير الجودة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  <c r="S29" s="77" t="n"/>
      <c r="T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  <c r="S30" s="57" t="n"/>
      <c r="T30" s="15" t="inlineStr">
        <is>
          <t>مدير الجودة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  <c r="S31" s="57" t="n"/>
      <c r="T31" s="15" t="inlineStr">
        <is>
          <t>مدير الجودة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  <c r="S32" s="57" t="n"/>
      <c r="T32" s="15" t="inlineStr">
        <is>
          <t>مدير الجودة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  <c r="S33" s="57" t="n"/>
      <c r="T33" s="15" t="inlineStr">
        <is>
          <t>مدير الجودة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  <c r="S34" s="57" t="n"/>
      <c r="T34" s="15" t="inlineStr">
        <is>
          <t>مدير الجودة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  <c r="S35" s="77" t="n"/>
      <c r="T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  <c r="S36" s="57" t="n"/>
      <c r="T36" s="15" t="inlineStr">
        <is>
          <t>مدير الجودة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  <c r="S37" s="57" t="n"/>
      <c r="T37" s="15" t="inlineStr">
        <is>
          <t>مدير الجودة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  <c r="S38" s="57" t="n"/>
      <c r="T38" s="15" t="inlineStr">
        <is>
          <t>مدير الجودة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  <c r="S39" s="57" t="n"/>
      <c r="T39" s="15" t="inlineStr">
        <is>
          <t>مدير الجودة</t>
        </is>
      </c>
    </row>
  </sheetData>
  <autoFilter ref="A3:T39"/>
  <mergeCells count="2">
    <mergeCell ref="A1:T1"/>
    <mergeCell ref="A2:T2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T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  <c r="S5" s="57" t="n"/>
      <c r="T5" s="15" t="inlineStr">
        <is>
          <t>المدير القانوني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  <c r="S6" s="57" t="n"/>
      <c r="T6" s="15" t="inlineStr">
        <is>
          <t>المدير القانوني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  <c r="S7" s="57" t="n"/>
      <c r="T7" s="15" t="inlineStr">
        <is>
          <t>المدير القانوني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  <c r="S8" s="77" t="n"/>
      <c r="T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  <c r="S9" s="57" t="n"/>
      <c r="T9" s="15" t="inlineStr">
        <is>
          <t>المدير القانوني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  <c r="S10" s="57" t="n"/>
      <c r="T10" s="15" t="inlineStr">
        <is>
          <t>المدير القانوني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  <c r="S11" s="57" t="n"/>
      <c r="T11" s="15" t="inlineStr">
        <is>
          <t>المدير القانوني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  <c r="S13" s="57" t="n"/>
      <c r="T13" s="15" t="inlineStr">
        <is>
          <t>المدير القانوني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  <c r="S14" s="57" t="n"/>
      <c r="T14" s="15" t="inlineStr">
        <is>
          <t>المدير القانوني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  <c r="S15" s="77" t="n"/>
      <c r="T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  <c r="S16" s="57" t="n"/>
      <c r="T16" s="15" t="inlineStr">
        <is>
          <t>المدير القانوني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  <c r="S17" s="57" t="n"/>
      <c r="T17" s="15" t="inlineStr">
        <is>
          <t>المدير القانوني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  <c r="S18" s="57" t="n"/>
      <c r="T18" s="15" t="inlineStr">
        <is>
          <t>المدير القانوني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  <c r="S19" s="57" t="n"/>
      <c r="T19" s="15" t="inlineStr">
        <is>
          <t>المدير القانوني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  <c r="S20" s="57" t="n"/>
      <c r="T20" s="15" t="inlineStr">
        <is>
          <t>المدير القانوني</t>
        </is>
      </c>
    </row>
  </sheetData>
  <autoFilter ref="A3:T20"/>
  <mergeCells count="2">
    <mergeCell ref="A1:T1"/>
    <mergeCell ref="A2:T2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T3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  <col width="14" customWidth="1" min="19" max="19"/>
    <col width="20" customWidth="1" min="20" max="20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  <c r="S3" s="18" t="inlineStr">
        <is>
          <t>خط الأساس 2025</t>
        </is>
      </c>
      <c r="T3" s="18" t="inlineStr">
        <is>
          <t>مالك المؤشر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0.22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  <c r="S4" s="77" t="n"/>
      <c r="T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  <c r="S5" s="57" t="n"/>
      <c r="T5" s="15" t="inlineStr">
        <is>
          <t>المدير المالي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  <c r="S6" s="57" t="n"/>
      <c r="T6" s="15" t="inlineStr">
        <is>
          <t>المدير المالي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  <c r="S7" s="57" t="n"/>
      <c r="T7" s="15" t="inlineStr">
        <is>
          <t>المدير المالي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نسبة التدفق النقدي التشغيلي</t>
        </is>
      </c>
      <c r="D8" s="55" t="inlineStr">
        <is>
          <t>نسبة</t>
        </is>
      </c>
      <c r="E8" s="55" t="inlineStr">
        <is>
          <t>↑</t>
        </is>
      </c>
      <c r="F8" s="15" t="inlineStr">
        <is>
          <t>🟠 مهم</t>
        </is>
      </c>
      <c r="G8" s="64" t="n">
        <v>0.05</v>
      </c>
      <c r="H8" s="67" t="n">
        <v>1</v>
      </c>
      <c r="I8" s="22" t="inlineStr">
        <is>
          <t>&gt; 1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0.902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«التدفق النقدي التشغيلي» ÷ الإجمالي المستهدف لنفس البند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شهري</t>
        </is>
      </c>
      <c r="S8" s="57" t="n"/>
      <c r="T8" s="15" t="inlineStr">
        <is>
          <t>المدير المالي</t>
        </is>
      </c>
    </row>
    <row r="9" ht="24" customHeight="1">
      <c r="B9" s="75" t="inlineStr">
        <is>
          <t>السيولة ورأس المال</t>
        </is>
      </c>
      <c r="C9" s="76" t="inlineStr">
        <is>
          <t>📊 السيولة ورأس المال العامل</t>
        </is>
      </c>
      <c r="D9" s="77" t="n"/>
      <c r="E9" s="77" t="n"/>
      <c r="F9" s="78" t="inlineStr">
        <is>
          <t>🔷 أساسي</t>
        </is>
      </c>
      <c r="G9" s="79" t="n">
        <v>0.12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  <c r="S9" s="77" t="n"/>
      <c r="T9" s="77" t="n"/>
    </row>
    <row r="10" outlineLevel="1" ht="26" customHeight="1">
      <c r="A10" s="20" t="n">
        <v>5</v>
      </c>
      <c r="B10" s="21" t="inlineStr">
        <is>
          <t>السيولة ورأس المال</t>
        </is>
      </c>
      <c r="C10" s="21" t="inlineStr">
        <is>
          <t>النسبة الجارية</t>
        </is>
      </c>
      <c r="D10" s="55" t="inlineStr">
        <is>
          <t>نسبة</t>
        </is>
      </c>
      <c r="E10" s="55" t="inlineStr">
        <is>
          <t>↑</t>
        </is>
      </c>
      <c r="F10" s="15" t="inlineStr">
        <is>
          <t>🟠 مهم</t>
        </is>
      </c>
      <c r="G10" s="64" t="n">
        <v>0.05</v>
      </c>
      <c r="H10" s="67" t="n">
        <v>1</v>
      </c>
      <c r="I10" s="22" t="inlineStr">
        <is>
          <t>0.8 – 1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0.852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قياس «النسبة الجارية» مقابل مستهدفه المعتمد خلال الفترة</t>
        </is>
      </c>
      <c r="Q10" s="83" t="inlineStr">
        <is>
          <t>سجلات الإدارة</t>
        </is>
      </c>
      <c r="R10" s="15" t="inlineStr">
        <is>
          <t>شهري</t>
        </is>
      </c>
      <c r="S10" s="57" t="n"/>
      <c r="T10" s="15" t="inlineStr">
        <is>
          <t>المدير المالي</t>
        </is>
      </c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دورة التحويل النقدي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7" t="n">
        <v>20</v>
      </c>
      <c r="I11" s="22" t="inlineStr">
        <is>
          <t>&lt; 20 يوم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19.3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متوسط عدد أيام «دورة التحويل النقدي»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  <c r="S11" s="57" t="n"/>
      <c r="T11" s="15" t="inlineStr">
        <is>
          <t>المدير المالي</t>
        </is>
      </c>
    </row>
    <row r="12" ht="24" customHeight="1">
      <c r="B12" s="75" t="inlineStr">
        <is>
          <t>الذمم المدينة</t>
        </is>
      </c>
      <c r="C12" s="76" t="inlineStr">
        <is>
          <t>📊 التحصيل وإدارة المدينين</t>
        </is>
      </c>
      <c r="D12" s="77" t="n"/>
      <c r="E12" s="77" t="n"/>
      <c r="F12" s="78" t="inlineStr">
        <is>
          <t>🔷 أساسي</t>
        </is>
      </c>
      <c r="G12" s="79" t="n">
        <v>0.15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  <c r="S12" s="77" t="n"/>
      <c r="T12" s="77" t="n"/>
    </row>
    <row r="13" outlineLevel="1" ht="26" customHeight="1">
      <c r="A13" s="20" t="n">
        <v>7</v>
      </c>
      <c r="B13" s="21" t="inlineStr">
        <is>
          <t>الذمم المدينة</t>
        </is>
      </c>
      <c r="C13" s="21" t="inlineStr">
        <is>
          <t>نسبة التحصيل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0.95</v>
      </c>
      <c r="I13" s="22" t="inlineStr">
        <is>
          <t>&gt;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5" t="n">
        <v>0.699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«التحصيل العام» ÷ الإجمالي المستهدف لنفس البند × 100٪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  <c r="S13" s="57" t="n"/>
      <c r="T13" s="15" t="inlineStr">
        <is>
          <t>المدير المالي</t>
        </is>
      </c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الذمم المتأخرة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0.04</v>
      </c>
      <c r="H14" s="64" t="n">
        <v>0.1</v>
      </c>
      <c r="I14" s="22" t="inlineStr">
        <is>
          <t>&lt; 10%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«الذمم المتأخرة»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  <c r="S14" s="57" t="n"/>
      <c r="T14" s="15" t="inlineStr">
        <is>
          <t>المدير المالي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الديون المعدومة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0.04</v>
      </c>
      <c r="H15" s="64" t="n">
        <v>0.01</v>
      </c>
      <c r="I15" s="22" t="inlineStr">
        <is>
          <t>&lt; 1%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0.008999999999999999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«الديون المعدومة»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  <c r="S15" s="57" t="n"/>
      <c r="T15" s="15" t="inlineStr">
        <is>
          <t>المدير المالي</t>
        </is>
      </c>
    </row>
    <row r="16" ht="24" customHeight="1">
      <c r="B16" s="75" t="inlineStr">
        <is>
          <t>الذمم الدائنة</t>
        </is>
      </c>
      <c r="C16" s="76" t="inlineStr">
        <is>
          <t>📊 إدارة الدائنين</t>
        </is>
      </c>
      <c r="D16" s="77" t="n"/>
      <c r="E16" s="77" t="n"/>
      <c r="F16" s="78" t="inlineStr">
        <is>
          <t>🔷 أساسي</t>
        </is>
      </c>
      <c r="G16" s="79" t="n">
        <v>0.08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  <c r="S16" s="77" t="n"/>
      <c r="T16" s="77" t="n"/>
    </row>
    <row r="17" outlineLevel="1" ht="26" customHeight="1">
      <c r="A17" s="20" t="n">
        <v>10</v>
      </c>
      <c r="B17" s="21" t="inlineStr">
        <is>
          <t>الذمم الدائنة</t>
        </is>
      </c>
      <c r="C17" s="21" t="inlineStr">
        <is>
          <t>سداد الموردين في الموعد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0.04</v>
      </c>
      <c r="H17" s="64" t="n">
        <v>0.98</v>
      </c>
      <c r="I17" s="22" t="inlineStr">
        <is>
          <t>&gt; 98%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مالي</t>
        </is>
      </c>
      <c r="M17" s="65" t="n">
        <v>0.754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القيمة المتحقّقة من «سداد الموردين في الموعد» ÷ المستهدف × 100٪</t>
        </is>
      </c>
      <c r="Q17" s="83" t="inlineStr">
        <is>
          <t>نظام المحاسبة / تخطيط الموارد (نظام دايناميكس)</t>
        </is>
      </c>
      <c r="R17" s="15" t="inlineStr">
        <is>
          <t>شهري</t>
        </is>
      </c>
      <c r="S17" s="57" t="n"/>
      <c r="T17" s="15" t="inlineStr">
        <is>
          <t>المدير المالي</t>
        </is>
      </c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دقة مطابقة حسابات الموردين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0.04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القيمة المتحقّقة من «دقة مطابقة حسابات الموردين»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  <c r="S18" s="57" t="n"/>
      <c r="T18" s="15" t="inlineStr">
        <is>
          <t>المدير المالي</t>
        </is>
      </c>
    </row>
    <row r="19" ht="24" customHeight="1">
      <c r="B19" s="75" t="inlineStr">
        <is>
          <t>الخزينة واستثمار الفائض النقدي</t>
        </is>
      </c>
      <c r="C19" s="76" t="inlineStr">
        <is>
          <t>📊 الخزينة واستثمار الفائض النقدي</t>
        </is>
      </c>
      <c r="D19" s="77" t="n"/>
      <c r="E19" s="77" t="n"/>
      <c r="F19" s="78" t="inlineStr">
        <is>
          <t>🔷 أساسي</t>
        </is>
      </c>
      <c r="G19" s="79" t="n">
        <v>0.23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المؤشرات'!$B:$B,"الإدارة المالية",'قاعدة المؤشرات'!$L:$L,"الخزينة واستثمار الفائض النقدي")/SUMIFS('قاعدة المؤشرات'!$K:$K,'قاعدة المؤشرات'!$B:$B,"الإدارة المالية",'قاعدة المؤشرات'!$L:$L,"الخزينة واستثمار الفائض النقدي"),"")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  <c r="S19" s="77" t="n"/>
      <c r="T19" s="77" t="n"/>
    </row>
    <row r="20" outlineLevel="1" ht="26" customHeight="1">
      <c r="A20" s="20" t="n">
        <v>12</v>
      </c>
      <c r="B20" s="21" t="inlineStr">
        <is>
          <t>الخزينة واستثمار الفائض النقدي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0.04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  <c r="S20" s="57" t="n"/>
      <c r="T20" s="15" t="inlineStr">
        <is>
          <t>المدير المالي</t>
        </is>
      </c>
    </row>
    <row r="21" outlineLevel="1" ht="26" customHeight="1">
      <c r="A21" s="20" t="n">
        <v>13</v>
      </c>
      <c r="B21" s="21" t="inlineStr">
        <is>
          <t>الخزينة واستثمار الفائض النقدي</t>
        </is>
      </c>
      <c r="C21" s="21" t="inlineStr">
        <is>
          <t>نسبة توظيف الفائض النقدي في الاستثمارات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0.04</v>
      </c>
      <c r="H21" s="64" t="n">
        <v>0.7</v>
      </c>
      <c r="I21" s="22" t="inlineStr">
        <is>
          <t>≥ 70%</t>
        </is>
      </c>
      <c r="J21" s="82" t="inlineStr">
        <is>
          <t>الابتكار</t>
        </is>
      </c>
      <c r="K21" s="11" t="inlineStr">
        <is>
          <t>إطلاق مشاريع جديدة</t>
        </is>
      </c>
      <c r="L21" s="15" t="inlineStr">
        <is>
          <t>العمليات الداخلية</t>
        </is>
      </c>
      <c r="M21" s="65" t="n">
        <v>0.708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«توظيف الفائض النقدي في الاستثمارات»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  <c r="S21" s="57" t="n"/>
      <c r="T21" s="15" t="inlineStr">
        <is>
          <t>المدير المالي</t>
        </is>
      </c>
    </row>
    <row r="22" outlineLevel="1" ht="26" customHeight="1">
      <c r="A22" s="20" t="n">
        <v>14</v>
      </c>
      <c r="B22" s="21" t="inlineStr">
        <is>
          <t>الخزينة واستثمار الفائض النقدي</t>
        </is>
      </c>
      <c r="C22" s="21" t="inlineStr">
        <is>
          <t>العائد على المحفظة الاستثمارية للفائض النقدي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0.07000000000000001</v>
      </c>
      <c r="H22" s="64" t="n">
        <v>0.08</v>
      </c>
      <c r="I22" s="22" t="inlineStr">
        <is>
          <t>≥ 8% سنوياً</t>
        </is>
      </c>
      <c r="J22" s="82" t="inlineStr">
        <is>
          <t>الابتكار</t>
        </is>
      </c>
      <c r="K22" s="11" t="inlineStr">
        <is>
          <t>إطلاق مشاريع جديدة</t>
        </is>
      </c>
      <c r="L22" s="15" t="inlineStr">
        <is>
          <t>مالي</t>
        </is>
      </c>
      <c r="M22" s="65" t="n">
        <v>0.081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«العائد على المحفظة الاستثمارية للفائض النقدي» ÷ المستهدف × 100٪</t>
        </is>
      </c>
      <c r="Q22" s="83" t="inlineStr">
        <is>
          <t>نظام المحاسبة / تخطيط الموارد (نظام دايناميكس)</t>
        </is>
      </c>
      <c r="R22" s="15" t="inlineStr">
        <is>
          <t>ربعي</t>
        </is>
      </c>
      <c r="S22" s="57" t="n"/>
      <c r="T22" s="15" t="inlineStr">
        <is>
          <t>المدير المالي</t>
        </is>
      </c>
    </row>
    <row r="23" outlineLevel="1" ht="26" customHeight="1">
      <c r="A23" s="20" t="n">
        <v>15</v>
      </c>
      <c r="B23" s="21" t="inlineStr">
        <is>
          <t>الخزينة واستثمار الفائض النقدي</t>
        </is>
      </c>
      <c r="C23" s="21" t="inlineStr">
        <is>
          <t>نسبة مساهمة دخل الاستثمار في صافي الربح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0.04</v>
      </c>
      <c r="H23" s="64" t="n">
        <v>0.15</v>
      </c>
      <c r="I23" s="22" t="inlineStr">
        <is>
          <t>≥ 15%</t>
        </is>
      </c>
      <c r="J23" s="82" t="inlineStr">
        <is>
          <t>الابتكار</t>
        </is>
      </c>
      <c r="K23" s="11" t="inlineStr">
        <is>
          <t>إطلاق مشاريع جديدة</t>
        </is>
      </c>
      <c r="L23" s="15" t="inlineStr">
        <is>
          <t>مالي</t>
        </is>
      </c>
      <c r="M23" s="65" t="n">
        <v>0.122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«مساهمة دخل الاستثمار في صافي الربح» ÷ الإجمالي المستهدف لنفس البند × 100٪</t>
        </is>
      </c>
      <c r="Q23" s="83" t="inlineStr">
        <is>
          <t>نظام المحاسبة / تخطيط الموارد (نظام دايناميكس)</t>
        </is>
      </c>
      <c r="R23" s="15" t="inlineStr">
        <is>
          <t>شهري</t>
        </is>
      </c>
      <c r="S23" s="57" t="n"/>
      <c r="T23" s="15" t="inlineStr">
        <is>
          <t>المدير المالي</t>
        </is>
      </c>
    </row>
    <row r="24" outlineLevel="1" ht="26" customHeight="1">
      <c r="A24" s="20" t="n">
        <v>16</v>
      </c>
      <c r="B24" s="21" t="inlineStr">
        <is>
          <t>الخزينة واستثمار الفائض النقدي</t>
        </is>
      </c>
      <c r="C24" s="21" t="inlineStr">
        <is>
          <t>صافي الفارق بين عائد الاستثمار وتكلفة رأس المال</t>
        </is>
      </c>
      <c r="D24" s="55" t="inlineStr">
        <is>
          <t>نقطة مئوية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0.04</v>
      </c>
      <c r="H24" s="67" t="n">
        <v>3</v>
      </c>
      <c r="I24" s="22" t="inlineStr">
        <is>
          <t>≥ +3 نقاط</t>
        </is>
      </c>
      <c r="J24" s="82" t="inlineStr">
        <is>
          <t>الابتكار</t>
        </is>
      </c>
      <c r="K24" s="11" t="inlineStr">
        <is>
          <t>إطلاق مشاريع جديدة</t>
        </is>
      </c>
      <c r="L24" s="15" t="inlineStr">
        <is>
          <t>مالي</t>
        </is>
      </c>
      <c r="M24" s="68" t="n">
        <v>2.395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٪ الموظفين المروّجين − ٪ المنتقدين (مقياس صافي ترشيح الموظفين)</t>
        </is>
      </c>
      <c r="Q24" s="83" t="inlineStr">
        <is>
          <t>نظام المحاسبة / تخطيط الموارد (نظام دايناميكس)</t>
        </is>
      </c>
      <c r="R24" s="15" t="inlineStr">
        <is>
          <t>شهري</t>
        </is>
      </c>
      <c r="S24" s="57" t="n"/>
      <c r="T24" s="15" t="inlineStr">
        <is>
          <t>المدير المالي</t>
        </is>
      </c>
    </row>
    <row r="25" ht="24" customHeight="1">
      <c r="B25" s="75" t="inlineStr">
        <is>
          <t>صناعة الوقود</t>
        </is>
      </c>
      <c r="C25" s="76" t="inlineStr">
        <is>
          <t>📊 دقة مخزون وتسويات الوقود</t>
        </is>
      </c>
      <c r="D25" s="77" t="n"/>
      <c r="E25" s="77" t="n"/>
      <c r="F25" s="78" t="inlineStr">
        <is>
          <t>🔷 أساسي</t>
        </is>
      </c>
      <c r="G25" s="79" t="n">
        <v>0.08</v>
      </c>
      <c r="H25" s="77" t="n"/>
      <c r="I25" s="77" t="n"/>
      <c r="J25" s="77" t="n"/>
      <c r="K25" s="77" t="n"/>
      <c r="L25" s="77" t="n"/>
      <c r="M25" s="77" t="n"/>
      <c r="N25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5" s="81">
        <f>IF($N25="","⏳ بانتظار هدف",IF($N25&gt;=1,"✅ محقق",IF($N25&gt;=0.85,"🟡 قريب","🔴 تحت الهدف")))</f>
        <v/>
      </c>
      <c r="P25" s="77" t="n"/>
      <c r="Q25" s="77" t="n"/>
      <c r="R25" s="77" t="n"/>
      <c r="S25" s="77" t="n"/>
      <c r="T25" s="77" t="n"/>
    </row>
    <row r="26" outlineLevel="1" ht="26" customHeight="1">
      <c r="A26" s="20" t="n">
        <v>17</v>
      </c>
      <c r="B26" s="21" t="inlineStr">
        <is>
          <t>صناعة الوقود</t>
        </is>
      </c>
      <c r="C26" s="21" t="inlineStr">
        <is>
          <t>دقة المطابقة المحاسبية لمخزون الوقود (الدفتري مقابل الفعلي)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0.04</v>
      </c>
      <c r="H26" s="64" t="n">
        <v>0.995</v>
      </c>
      <c r="I26" s="22" t="inlineStr">
        <is>
          <t>&gt; 99.5%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1.026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محقق",IF($N26&gt;=0.97,"🟡 قريب","🔴 تحت الهدف")))</f>
        <v/>
      </c>
      <c r="P26" s="83" t="inlineStr">
        <is>
          <t>القيمة المتحقّقة من «دقة المطابقة المحاسبية لمخزون الوقود» ÷ المستهدف × 100٪</t>
        </is>
      </c>
      <c r="Q26" s="83" t="inlineStr">
        <is>
          <t>نظام إدارة الجودة (نظام إدارة الجودة)</t>
        </is>
      </c>
      <c r="R26" s="15" t="inlineStr">
        <is>
          <t>شهري</t>
        </is>
      </c>
      <c r="S26" s="57" t="n"/>
      <c r="T26" s="15" t="inlineStr">
        <is>
          <t>المدير المالي</t>
        </is>
      </c>
    </row>
    <row r="27" outlineLevel="1" ht="26" customHeight="1">
      <c r="A27" s="20" t="n">
        <v>18</v>
      </c>
      <c r="B27" s="21" t="inlineStr">
        <is>
          <t>صناعة الوقود</t>
        </is>
      </c>
      <c r="C27" s="21" t="inlineStr">
        <is>
          <t>دقة تسوية أرامكو</t>
        </is>
      </c>
      <c r="D27" s="55" t="inlineStr">
        <is>
          <t>%</t>
        </is>
      </c>
      <c r="E27" s="55" t="inlineStr">
        <is>
          <t>↑</t>
        </is>
      </c>
      <c r="F27" s="15" t="inlineStr">
        <is>
          <t>🟠 مهم</t>
        </is>
      </c>
      <c r="G27" s="64" t="n">
        <v>0.04</v>
      </c>
      <c r="H27" s="64" t="n">
        <v>1</v>
      </c>
      <c r="I27" s="22" t="inlineStr">
        <is>
          <t>100%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0.76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محقق",IF($N27&gt;=0.97,"🟡 قريب","🔴 تحت الهدف")))</f>
        <v/>
      </c>
      <c r="P27" s="83" t="inlineStr">
        <is>
          <t>القيمة المتحقّقة من «دقة تسوية أرامكو» ÷ المستهدف × 100٪</t>
        </is>
      </c>
      <c r="Q27" s="83" t="inlineStr">
        <is>
          <t>نظام تشغيل المحطات</t>
        </is>
      </c>
      <c r="R27" s="15" t="inlineStr">
        <is>
          <t>شهري</t>
        </is>
      </c>
      <c r="S27" s="57" t="n"/>
      <c r="T27" s="15" t="inlineStr">
        <is>
          <t>المدير المالي</t>
        </is>
      </c>
    </row>
    <row r="28" ht="24" customHeight="1">
      <c r="B28" s="75" t="inlineStr">
        <is>
          <t>الموازنة والتقارير</t>
        </is>
      </c>
      <c r="C28" s="76" t="inlineStr">
        <is>
          <t>📊 انضباط الموازنة</t>
        </is>
      </c>
      <c r="D28" s="77" t="n"/>
      <c r="E28" s="77" t="n"/>
      <c r="F28" s="78" t="inlineStr">
        <is>
          <t>🔷 أساسي</t>
        </is>
      </c>
      <c r="G28" s="79" t="n">
        <v>0.12</v>
      </c>
      <c r="H28" s="77" t="n"/>
      <c r="I28" s="77" t="n"/>
      <c r="J28" s="77" t="n"/>
      <c r="K28" s="77" t="n"/>
      <c r="L28" s="77" t="n"/>
      <c r="M28" s="77" t="n"/>
      <c r="N28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8" s="81">
        <f>IF($N28="","⏳ بانتظار هدف",IF($N28&gt;=1,"✅ محقق",IF($N28&gt;=0.85,"🟡 قريب","🔴 تحت الهدف")))</f>
        <v/>
      </c>
      <c r="P28" s="77" t="n"/>
      <c r="Q28" s="77" t="n"/>
      <c r="R28" s="77" t="n"/>
      <c r="S28" s="77" t="n"/>
      <c r="T28" s="77" t="n"/>
    </row>
    <row r="29" outlineLevel="1" ht="26" customHeight="1">
      <c r="A29" s="20" t="n">
        <v>19</v>
      </c>
      <c r="B29" s="21" t="inlineStr">
        <is>
          <t>الموازنة والتقارير</t>
        </is>
      </c>
      <c r="C29" s="21" t="inlineStr">
        <is>
          <t>انحراف الموازنة</t>
        </is>
      </c>
      <c r="D29" s="55" t="inlineStr">
        <is>
          <t>%</t>
        </is>
      </c>
      <c r="E29" s="55" t="inlineStr">
        <is>
          <t>↓</t>
        </is>
      </c>
      <c r="F29" s="15" t="inlineStr">
        <is>
          <t>🟠 مهم</t>
        </is>
      </c>
      <c r="G29" s="64" t="n">
        <v>0.04</v>
      </c>
      <c r="H29" s="64" t="n">
        <v>0.1</v>
      </c>
      <c r="I29" s="22" t="inlineStr">
        <is>
          <t>≤ ±10%</t>
        </is>
      </c>
      <c r="J29" s="82" t="inlineStr">
        <is>
          <t>الاستدامة</t>
        </is>
      </c>
      <c r="K29" s="11" t="inlineStr">
        <is>
          <t>جودة التشغيل</t>
        </is>
      </c>
      <c r="L29" s="15" t="inlineStr">
        <is>
          <t>العمليات الداخلية</t>
        </is>
      </c>
      <c r="M29" s="65" t="n">
        <v>0.101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هدف",IF($N29&gt;=1.0,"✅ محقق",IF($N29&gt;=0.85,"🟡 قريب","🔴 تحت الهدف")))</f>
        <v/>
      </c>
      <c r="P29" s="83" t="inlineStr">
        <is>
          <t>القيمة المتحقّقة من «انحراف الموازنة» ÷ المستهدف × 100٪</t>
        </is>
      </c>
      <c r="Q29" s="83" t="inlineStr">
        <is>
          <t>نظام المحاسبة / تخطيط الموارد (نظام دايناميكس)</t>
        </is>
      </c>
      <c r="R29" s="15" t="inlineStr">
        <is>
          <t>ربعي</t>
        </is>
      </c>
      <c r="S29" s="57" t="n"/>
      <c r="T29" s="15" t="inlineStr">
        <is>
          <t>المدير المالي</t>
        </is>
      </c>
    </row>
    <row r="30" outlineLevel="1" ht="26" customHeight="1">
      <c r="A30" s="20" t="n">
        <v>20</v>
      </c>
      <c r="B30" s="21" t="inlineStr">
        <is>
          <t>الموازنة والتقارير</t>
        </is>
      </c>
      <c r="C30" s="21" t="inlineStr">
        <is>
          <t>أيام الإقفال الشهري</t>
        </is>
      </c>
      <c r="D30" s="55" t="inlineStr">
        <is>
          <t>يوم</t>
        </is>
      </c>
      <c r="E30" s="55" t="inlineStr">
        <is>
          <t>↓</t>
        </is>
      </c>
      <c r="F30" s="15" t="inlineStr">
        <is>
          <t>🟠 مهم</t>
        </is>
      </c>
      <c r="G30" s="64" t="n">
        <v>0.04</v>
      </c>
      <c r="H30" s="67" t="n">
        <v>6</v>
      </c>
      <c r="I30" s="22" t="inlineStr">
        <is>
          <t>≤ 6 أيام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8" t="n">
        <v>7.044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متوسط عدد أيام «أيام الإقفال الشهري»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شهري</t>
        </is>
      </c>
      <c r="S30" s="57" t="n"/>
      <c r="T30" s="15" t="inlineStr">
        <is>
          <t>المدير المالي</t>
        </is>
      </c>
    </row>
    <row r="31" outlineLevel="1" ht="26" customHeight="1">
      <c r="A31" s="20" t="n">
        <v>21</v>
      </c>
      <c r="B31" s="21" t="inlineStr">
        <is>
          <t>الموازنة والتقارير</t>
        </is>
      </c>
      <c r="C31" s="21" t="inlineStr">
        <is>
          <t>نسبة تسويات التدقيق</t>
        </is>
      </c>
      <c r="D31" s="55" t="inlineStr">
        <is>
          <t>%</t>
        </is>
      </c>
      <c r="E31" s="55" t="inlineStr">
        <is>
          <t>↓</t>
        </is>
      </c>
      <c r="F31" s="15" t="inlineStr">
        <is>
          <t>🟠 مهم</t>
        </is>
      </c>
      <c r="G31" s="64" t="n">
        <v>0.04</v>
      </c>
      <c r="H31" s="64" t="n">
        <v>0.02</v>
      </c>
      <c r="I31" s="22" t="inlineStr">
        <is>
          <t>&lt; 2%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العمليات الداخلية</t>
        </is>
      </c>
      <c r="M31" s="65" t="n">
        <v>0.02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«تسويات التدقيق» ÷ الإجمالي المستهدف لنفس البند × 100٪</t>
        </is>
      </c>
      <c r="Q31" s="83" t="inlineStr">
        <is>
          <t>نظام المحاسبة / تخطيط الموارد (نظام دايناميكس)</t>
        </is>
      </c>
      <c r="R31" s="15" t="inlineStr">
        <is>
          <t>ربعي</t>
        </is>
      </c>
      <c r="S31" s="57" t="n"/>
      <c r="T31" s="15" t="inlineStr">
        <is>
          <t>المدير المالي</t>
        </is>
      </c>
    </row>
  </sheetData>
  <autoFilter ref="A3:T31"/>
  <mergeCells count="2">
    <mergeCell ref="A1:T1"/>
    <mergeCell ref="A2:T2"/>
  </mergeCells>
  <dataValidations count="1">
    <dataValidation sqref="M5 M6 M7 M8 M10 M11 M13 M14 M15 M17 M18 M20 M21 M22 M23 M24 M26 M27 M29 M30 M3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2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التنفيذية'!C9</f>
        <v/>
      </c>
      <c r="D6" s="15">
        <f>'الإدارة التنفيذية'!J9</f>
        <v/>
      </c>
      <c r="E6" s="13">
        <f>'الإدارة التنفيذية'!K9</f>
        <v/>
      </c>
      <c r="F6" s="15">
        <f>'الإدارة التنفيذية'!L9</f>
        <v/>
      </c>
      <c r="G6" s="56">
        <f>'الإدارة التنفيذية'!N9</f>
        <v/>
      </c>
      <c r="H6" s="15">
        <f>'الإدارة التنفيذية'!O9</f>
        <v/>
      </c>
      <c r="I6" s="24">
        <f>'الإدارة التنفيذية'!G9</f>
        <v/>
      </c>
      <c r="J6" s="15">
        <f>IF($G6="",0,$G6*$I6)</f>
        <v/>
      </c>
      <c r="K6" s="15">
        <f>IF($G6="",0,$I6)</f>
        <v/>
      </c>
      <c r="L6" s="13">
        <f>'الإدارة التنفيذية'!B9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التنفيذية'!C12</f>
        <v/>
      </c>
      <c r="D8" s="15">
        <f>'الإدارة التنفيذية'!J12</f>
        <v/>
      </c>
      <c r="E8" s="13">
        <f>'الإدارة التنفيذية'!K12</f>
        <v/>
      </c>
      <c r="F8" s="15">
        <f>'الإدارة التنفيذية'!L12</f>
        <v/>
      </c>
      <c r="G8" s="56">
        <f>'الإدارة التنفيذية'!N12</f>
        <v/>
      </c>
      <c r="H8" s="15">
        <f>'الإدارة التنفيذية'!O12</f>
        <v/>
      </c>
      <c r="I8" s="24">
        <f>'الإدارة التنفيذية'!G12</f>
        <v/>
      </c>
      <c r="J8" s="15">
        <f>IF($G8="",0,$G8*$I8)</f>
        <v/>
      </c>
      <c r="K8" s="15">
        <f>IF($G8="",0,$I8)</f>
        <v/>
      </c>
      <c r="L8" s="13">
        <f>'الإدارة التنفيذية'!B12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الإدارة التنفيذية</t>
        </is>
      </c>
      <c r="C12" s="13">
        <f>'الإدارة التنفيذية'!C17</f>
        <v/>
      </c>
      <c r="D12" s="15">
        <f>'الإدارة التنفيذية'!J17</f>
        <v/>
      </c>
      <c r="E12" s="13">
        <f>'الإدارة التنفيذية'!K17</f>
        <v/>
      </c>
      <c r="F12" s="15">
        <f>'الإدارة التنفيذية'!L17</f>
        <v/>
      </c>
      <c r="G12" s="56">
        <f>'الإدارة التنفيذية'!N17</f>
        <v/>
      </c>
      <c r="H12" s="15">
        <f>'الإدارة التنفيذية'!O17</f>
        <v/>
      </c>
      <c r="I12" s="24">
        <f>'الإدارة التنفيذية'!G17</f>
        <v/>
      </c>
      <c r="J12" s="15">
        <f>IF($G12="",0,$G12*$I12)</f>
        <v/>
      </c>
      <c r="K12" s="15">
        <f>IF($G12="",0,$I12)</f>
        <v/>
      </c>
      <c r="L12" s="13">
        <f>'الإدارة التنفيذية'!B17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56">
        <f>'الامتياز التجاري'!N5</f>
        <v/>
      </c>
      <c r="H13" s="15">
        <f>'الامتياز التجاري'!O5</f>
        <v/>
      </c>
      <c r="I13" s="24">
        <f>'الامتياز التجاري'!G5</f>
        <v/>
      </c>
      <c r="J13" s="15">
        <f>IF($G13="",0,$G13*$I13)</f>
        <v/>
      </c>
      <c r="K13" s="15">
        <f>IF($G13="",0,$I13)</f>
        <v/>
      </c>
      <c r="L13" s="13">
        <f>'الامتياز التجاري'!B5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56">
        <f>'الامتياز التجاري'!N6</f>
        <v/>
      </c>
      <c r="H14" s="15">
        <f>'الامتياز التجاري'!O6</f>
        <v/>
      </c>
      <c r="I14" s="24">
        <f>'الامتياز التجاري'!G6</f>
        <v/>
      </c>
      <c r="J14" s="15">
        <f>IF($G14="",0,$G14*$I14)</f>
        <v/>
      </c>
      <c r="K14" s="15">
        <f>IF($G14="",0,$I14)</f>
        <v/>
      </c>
      <c r="L14" s="13">
        <f>'الامتياز التجاري'!B6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التجاري'!C8</f>
        <v/>
      </c>
      <c r="D15" s="15">
        <f>'الامتياز التجاري'!J8</f>
        <v/>
      </c>
      <c r="E15" s="13">
        <f>'الامتياز التجاري'!K8</f>
        <v/>
      </c>
      <c r="F15" s="15">
        <f>'الامتياز التجاري'!L8</f>
        <v/>
      </c>
      <c r="G15" s="56">
        <f>'الامتياز التجاري'!N8</f>
        <v/>
      </c>
      <c r="H15" s="15">
        <f>'الامتياز التجاري'!O8</f>
        <v/>
      </c>
      <c r="I15" s="24">
        <f>'الامتياز التجاري'!G8</f>
        <v/>
      </c>
      <c r="J15" s="15">
        <f>IF($G15="",0,$G15*$I15)</f>
        <v/>
      </c>
      <c r="K15" s="15">
        <f>IF($G15="",0,$I15)</f>
        <v/>
      </c>
      <c r="L15" s="13">
        <f>'الامتياز التجاري'!B8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التجاري'!C9</f>
        <v/>
      </c>
      <c r="D16" s="15">
        <f>'الامتياز التجاري'!J9</f>
        <v/>
      </c>
      <c r="E16" s="13">
        <f>'الامتياز التجاري'!K9</f>
        <v/>
      </c>
      <c r="F16" s="15">
        <f>'الامتياز التجاري'!L9</f>
        <v/>
      </c>
      <c r="G16" s="56">
        <f>'الامتياز التجاري'!N9</f>
        <v/>
      </c>
      <c r="H16" s="15">
        <f>'الامتياز التجاري'!O9</f>
        <v/>
      </c>
      <c r="I16" s="24">
        <f>'الامتياز التجاري'!G9</f>
        <v/>
      </c>
      <c r="J16" s="15">
        <f>IF($G16="",0,$G16*$I16)</f>
        <v/>
      </c>
      <c r="K16" s="15">
        <f>IF($G16="",0,$I16)</f>
        <v/>
      </c>
      <c r="L16" s="13">
        <f>'الامتياز التجاري'!B9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التجاري'!C11</f>
        <v/>
      </c>
      <c r="D17" s="15">
        <f>'الامتياز التجاري'!J11</f>
        <v/>
      </c>
      <c r="E17" s="13">
        <f>'الامتياز التجاري'!K11</f>
        <v/>
      </c>
      <c r="F17" s="15">
        <f>'الامتياز التجاري'!L11</f>
        <v/>
      </c>
      <c r="G17" s="56">
        <f>'الامتياز التجاري'!N11</f>
        <v/>
      </c>
      <c r="H17" s="15">
        <f>'الامتياز التجاري'!O11</f>
        <v/>
      </c>
      <c r="I17" s="24">
        <f>'الامتياز التجاري'!G11</f>
        <v/>
      </c>
      <c r="J17" s="15">
        <f>IF($G17="",0,$G17*$I17)</f>
        <v/>
      </c>
      <c r="K17" s="15">
        <f>IF($G17="",0,$I17)</f>
        <v/>
      </c>
      <c r="L17" s="13">
        <f>'الامتياز التجاري'!B11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التجاري'!C12</f>
        <v/>
      </c>
      <c r="D18" s="15">
        <f>'الامتياز التجاري'!J12</f>
        <v/>
      </c>
      <c r="E18" s="13">
        <f>'الامتياز التجاري'!K12</f>
        <v/>
      </c>
      <c r="F18" s="15">
        <f>'الامتياز التجاري'!L12</f>
        <v/>
      </c>
      <c r="G18" s="56">
        <f>'الامتياز التجاري'!N12</f>
        <v/>
      </c>
      <c r="H18" s="15">
        <f>'الامتياز التجاري'!O12</f>
        <v/>
      </c>
      <c r="I18" s="24">
        <f>'الامتياز التجاري'!G12</f>
        <v/>
      </c>
      <c r="J18" s="15">
        <f>IF($G18="",0,$G18*$I18)</f>
        <v/>
      </c>
      <c r="K18" s="15">
        <f>IF($G18="",0,$I18)</f>
        <v/>
      </c>
      <c r="L18" s="13">
        <f>'الامتياز التجاري'!B12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التجاري'!C13</f>
        <v/>
      </c>
      <c r="D19" s="15">
        <f>'الامتياز التجاري'!J13</f>
        <v/>
      </c>
      <c r="E19" s="13">
        <f>'الامتياز التجاري'!K13</f>
        <v/>
      </c>
      <c r="F19" s="15">
        <f>'الامتياز التجاري'!L13</f>
        <v/>
      </c>
      <c r="G19" s="56">
        <f>'الامتياز التجاري'!N13</f>
        <v/>
      </c>
      <c r="H19" s="15">
        <f>'الامتياز التجاري'!O13</f>
        <v/>
      </c>
      <c r="I19" s="24">
        <f>'الامتياز التجاري'!G13</f>
        <v/>
      </c>
      <c r="J19" s="15">
        <f>IF($G19="",0,$G19*$I19)</f>
        <v/>
      </c>
      <c r="K19" s="15">
        <f>IF($G19="",0,$I19)</f>
        <v/>
      </c>
      <c r="L19" s="13">
        <f>'الامتياز التجاري'!B13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التجاري'!C14</f>
        <v/>
      </c>
      <c r="D20" s="15">
        <f>'الامتياز التجاري'!J14</f>
        <v/>
      </c>
      <c r="E20" s="13">
        <f>'الامتياز التجاري'!K14</f>
        <v/>
      </c>
      <c r="F20" s="15">
        <f>'الامتياز التجاري'!L14</f>
        <v/>
      </c>
      <c r="G20" s="56">
        <f>'الامتياز التجاري'!N14</f>
        <v/>
      </c>
      <c r="H20" s="15">
        <f>'الامتياز التجاري'!O14</f>
        <v/>
      </c>
      <c r="I20" s="24">
        <f>'الامتياز التجاري'!G14</f>
        <v/>
      </c>
      <c r="J20" s="15">
        <f>IF($G20="",0,$G20*$I20)</f>
        <v/>
      </c>
      <c r="K20" s="15">
        <f>IF($G20="",0,$I20)</f>
        <v/>
      </c>
      <c r="L20" s="13">
        <f>'الامتياز التجاري'!B14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التجاري'!C15</f>
        <v/>
      </c>
      <c r="D21" s="15">
        <f>'الامتياز التجاري'!J15</f>
        <v/>
      </c>
      <c r="E21" s="13">
        <f>'الامتياز التجاري'!K15</f>
        <v/>
      </c>
      <c r="F21" s="15">
        <f>'الامتياز التجاري'!L15</f>
        <v/>
      </c>
      <c r="G21" s="56">
        <f>'الامتياز التجاري'!N15</f>
        <v/>
      </c>
      <c r="H21" s="15">
        <f>'الامتياز التجاري'!O15</f>
        <v/>
      </c>
      <c r="I21" s="24">
        <f>'الامتياز التجاري'!G15</f>
        <v/>
      </c>
      <c r="J21" s="15">
        <f>IF($G21="",0,$G21*$I21)</f>
        <v/>
      </c>
      <c r="K21" s="15">
        <f>IF($G21="",0,$I21)</f>
        <v/>
      </c>
      <c r="L21" s="13">
        <f>'الامتياز التجاري'!B15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التجاري'!C16</f>
        <v/>
      </c>
      <c r="D22" s="15">
        <f>'الامتياز التجاري'!J16</f>
        <v/>
      </c>
      <c r="E22" s="13">
        <f>'الامتياز التجاري'!K16</f>
        <v/>
      </c>
      <c r="F22" s="15">
        <f>'الامتياز التجاري'!L16</f>
        <v/>
      </c>
      <c r="G22" s="56">
        <f>'الامتياز التجاري'!N16</f>
        <v/>
      </c>
      <c r="H22" s="15">
        <f>'الامتياز التجاري'!O16</f>
        <v/>
      </c>
      <c r="I22" s="24">
        <f>'الامتياز التجاري'!G16</f>
        <v/>
      </c>
      <c r="J22" s="15">
        <f>IF($G22="",0,$G22*$I22)</f>
        <v/>
      </c>
      <c r="K22" s="15">
        <f>IF($G22="",0,$I22)</f>
        <v/>
      </c>
      <c r="L22" s="13">
        <f>'الامتياز التجاري'!B16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التجاري'!C18</f>
        <v/>
      </c>
      <c r="D23" s="15">
        <f>'الامتياز التجاري'!J18</f>
        <v/>
      </c>
      <c r="E23" s="13">
        <f>'الامتياز التجاري'!K18</f>
        <v/>
      </c>
      <c r="F23" s="15">
        <f>'الامتياز التجاري'!L18</f>
        <v/>
      </c>
      <c r="G23" s="56">
        <f>'الامتياز التجاري'!N18</f>
        <v/>
      </c>
      <c r="H23" s="15">
        <f>'الامتياز التجاري'!O18</f>
        <v/>
      </c>
      <c r="I23" s="24">
        <f>'الامتياز التجاري'!G18</f>
        <v/>
      </c>
      <c r="J23" s="15">
        <f>IF($G23="",0,$G23*$I23)</f>
        <v/>
      </c>
      <c r="K23" s="15">
        <f>IF($G23="",0,$I23)</f>
        <v/>
      </c>
      <c r="L23" s="13">
        <f>'الامتياز التجاري'!B18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التجاري'!C19</f>
        <v/>
      </c>
      <c r="D24" s="15">
        <f>'الامتياز التجاري'!J19</f>
        <v/>
      </c>
      <c r="E24" s="13">
        <f>'الامتياز التجاري'!K19</f>
        <v/>
      </c>
      <c r="F24" s="15">
        <f>'الامتياز التجاري'!L19</f>
        <v/>
      </c>
      <c r="G24" s="56">
        <f>'الامتياز التجاري'!N19</f>
        <v/>
      </c>
      <c r="H24" s="15">
        <f>'الامتياز التجاري'!O19</f>
        <v/>
      </c>
      <c r="I24" s="24">
        <f>'الامتياز التجاري'!G19</f>
        <v/>
      </c>
      <c r="J24" s="15">
        <f>IF($G24="",0,$G24*$I24)</f>
        <v/>
      </c>
      <c r="K24" s="15">
        <f>IF($G24="",0,$I24)</f>
        <v/>
      </c>
      <c r="L24" s="13">
        <f>'الامتياز التجاري'!B19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التجاري'!C20</f>
        <v/>
      </c>
      <c r="D25" s="15">
        <f>'الامتياز التجاري'!J20</f>
        <v/>
      </c>
      <c r="E25" s="13">
        <f>'الامتياز التجاري'!K20</f>
        <v/>
      </c>
      <c r="F25" s="15">
        <f>'الامتياز التجاري'!L20</f>
        <v/>
      </c>
      <c r="G25" s="56">
        <f>'الامتياز التجاري'!N20</f>
        <v/>
      </c>
      <c r="H25" s="15">
        <f>'الامتياز التجاري'!O20</f>
        <v/>
      </c>
      <c r="I25" s="24">
        <f>'الامتياز التجاري'!G20</f>
        <v/>
      </c>
      <c r="J25" s="15">
        <f>IF($G25="",0,$G25*$I25)</f>
        <v/>
      </c>
      <c r="K25" s="15">
        <f>IF($G25="",0,$I25)</f>
        <v/>
      </c>
      <c r="L25" s="13">
        <f>'الامتياز التجاري'!B20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التجاري'!C21</f>
        <v/>
      </c>
      <c r="D26" s="15">
        <f>'الامتياز التجاري'!J21</f>
        <v/>
      </c>
      <c r="E26" s="13">
        <f>'الامتياز التجاري'!K21</f>
        <v/>
      </c>
      <c r="F26" s="15">
        <f>'الامتياز التجاري'!L21</f>
        <v/>
      </c>
      <c r="G26" s="56">
        <f>'الامتياز التجاري'!N21</f>
        <v/>
      </c>
      <c r="H26" s="15">
        <f>'الامتياز التجاري'!O21</f>
        <v/>
      </c>
      <c r="I26" s="24">
        <f>'الامتياز التجاري'!G21</f>
        <v/>
      </c>
      <c r="J26" s="15">
        <f>IF($G26="",0,$G26*$I26)</f>
        <v/>
      </c>
      <c r="K26" s="15">
        <f>IF($G26="",0,$I26)</f>
        <v/>
      </c>
      <c r="L26" s="13">
        <f>'الامتياز التجاري'!B21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التجاري'!C22</f>
        <v/>
      </c>
      <c r="D27" s="15">
        <f>'الامتياز التجاري'!J22</f>
        <v/>
      </c>
      <c r="E27" s="13">
        <f>'الامتياز التجاري'!K22</f>
        <v/>
      </c>
      <c r="F27" s="15">
        <f>'الامتياز التجاري'!L22</f>
        <v/>
      </c>
      <c r="G27" s="56">
        <f>'الامتياز التجاري'!N22</f>
        <v/>
      </c>
      <c r="H27" s="15">
        <f>'الامتياز التجاري'!O22</f>
        <v/>
      </c>
      <c r="I27" s="24">
        <f>'الامتياز التجاري'!G22</f>
        <v/>
      </c>
      <c r="J27" s="15">
        <f>IF($G27="",0,$G27*$I27)</f>
        <v/>
      </c>
      <c r="K27" s="15">
        <f>IF($G27="",0,$I27)</f>
        <v/>
      </c>
      <c r="L27" s="13">
        <f>'الامتياز التجاري'!B22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التجاري'!C23</f>
        <v/>
      </c>
      <c r="D28" s="15">
        <f>'الامتياز التجاري'!J23</f>
        <v/>
      </c>
      <c r="E28" s="13">
        <f>'الامتياز التجاري'!K23</f>
        <v/>
      </c>
      <c r="F28" s="15">
        <f>'الامتياز التجاري'!L23</f>
        <v/>
      </c>
      <c r="G28" s="56">
        <f>'الامتياز التجاري'!N23</f>
        <v/>
      </c>
      <c r="H28" s="15">
        <f>'الامتياز التجاري'!O23</f>
        <v/>
      </c>
      <c r="I28" s="24">
        <f>'الامتياز التجاري'!G23</f>
        <v/>
      </c>
      <c r="J28" s="15">
        <f>IF($G28="",0,$G28*$I28)</f>
        <v/>
      </c>
      <c r="K28" s="15">
        <f>IF($G28="",0,$I28)</f>
        <v/>
      </c>
      <c r="L28" s="13">
        <f>'الامتياز التجاري'!B23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التجاري'!C24</f>
        <v/>
      </c>
      <c r="D29" s="15">
        <f>'الامتياز التجاري'!J24</f>
        <v/>
      </c>
      <c r="E29" s="13">
        <f>'الامتياز التجاري'!K24</f>
        <v/>
      </c>
      <c r="F29" s="15">
        <f>'الامتياز التجاري'!L24</f>
        <v/>
      </c>
      <c r="G29" s="56">
        <f>'الامتياز التجاري'!N24</f>
        <v/>
      </c>
      <c r="H29" s="15">
        <f>'الامتياز التجاري'!O24</f>
        <v/>
      </c>
      <c r="I29" s="24">
        <f>'الامتياز التجاري'!G24</f>
        <v/>
      </c>
      <c r="J29" s="15">
        <f>IF($G29="",0,$G29*$I29)</f>
        <v/>
      </c>
      <c r="K29" s="15">
        <f>IF($G29="",0,$I29)</f>
        <v/>
      </c>
      <c r="L29" s="13">
        <f>'الامتياز التجاري'!B24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التجاري'!C25</f>
        <v/>
      </c>
      <c r="D30" s="15">
        <f>'الامتياز التجاري'!J25</f>
        <v/>
      </c>
      <c r="E30" s="13">
        <f>'الامتياز التجاري'!K25</f>
        <v/>
      </c>
      <c r="F30" s="15">
        <f>'الامتياز التجاري'!L25</f>
        <v/>
      </c>
      <c r="G30" s="56">
        <f>'الامتياز التجاري'!N25</f>
        <v/>
      </c>
      <c r="H30" s="15">
        <f>'الامتياز التجاري'!O25</f>
        <v/>
      </c>
      <c r="I30" s="24">
        <f>'الامتياز التجاري'!G25</f>
        <v/>
      </c>
      <c r="J30" s="15">
        <f>IF($G30="",0,$G30*$I30)</f>
        <v/>
      </c>
      <c r="K30" s="15">
        <f>IF($G30="",0,$I30)</f>
        <v/>
      </c>
      <c r="L30" s="13">
        <f>'الامتياز التجاري'!B25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التجاري'!C26</f>
        <v/>
      </c>
      <c r="D31" s="15">
        <f>'الامتياز التجاري'!J26</f>
        <v/>
      </c>
      <c r="E31" s="13">
        <f>'الامتياز التجاري'!K26</f>
        <v/>
      </c>
      <c r="F31" s="15">
        <f>'الامتياز التجاري'!L26</f>
        <v/>
      </c>
      <c r="G31" s="56">
        <f>'الامتياز التجاري'!N26</f>
        <v/>
      </c>
      <c r="H31" s="15">
        <f>'الامتياز التجاري'!O26</f>
        <v/>
      </c>
      <c r="I31" s="24">
        <f>'الامتياز التجاري'!G26</f>
        <v/>
      </c>
      <c r="J31" s="15">
        <f>IF($G31="",0,$G31*$I31)</f>
        <v/>
      </c>
      <c r="K31" s="15">
        <f>IF($G31="",0,$I31)</f>
        <v/>
      </c>
      <c r="L31" s="13">
        <f>'الامتياز التجاري'!B26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التجاري'!C28</f>
        <v/>
      </c>
      <c r="D32" s="15">
        <f>'الامتياز التجاري'!J28</f>
        <v/>
      </c>
      <c r="E32" s="13">
        <f>'الامتياز التجاري'!K28</f>
        <v/>
      </c>
      <c r="F32" s="15">
        <f>'الامتياز التجاري'!L28</f>
        <v/>
      </c>
      <c r="G32" s="56">
        <f>'الامتياز التجاري'!N28</f>
        <v/>
      </c>
      <c r="H32" s="15">
        <f>'الامتياز التجاري'!O28</f>
        <v/>
      </c>
      <c r="I32" s="24">
        <f>'الامتياز التجاري'!G28</f>
        <v/>
      </c>
      <c r="J32" s="15">
        <f>IF($G32="",0,$G32*$I32)</f>
        <v/>
      </c>
      <c r="K32" s="15">
        <f>IF($G32="",0,$I32)</f>
        <v/>
      </c>
      <c r="L32" s="13">
        <f>'الامتياز التجاري'!B28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التجاري'!C29</f>
        <v/>
      </c>
      <c r="D33" s="15">
        <f>'الامتياز التجاري'!J29</f>
        <v/>
      </c>
      <c r="E33" s="13">
        <f>'الامتياز التجاري'!K29</f>
        <v/>
      </c>
      <c r="F33" s="15">
        <f>'الامتياز التجاري'!L29</f>
        <v/>
      </c>
      <c r="G33" s="56">
        <f>'الامتياز التجاري'!N29</f>
        <v/>
      </c>
      <c r="H33" s="15">
        <f>'الامتياز التجاري'!O29</f>
        <v/>
      </c>
      <c r="I33" s="24">
        <f>'الامتياز التجاري'!G29</f>
        <v/>
      </c>
      <c r="J33" s="15">
        <f>IF($G33="",0,$G33*$I33)</f>
        <v/>
      </c>
      <c r="K33" s="15">
        <f>IF($G33="",0,$I33)</f>
        <v/>
      </c>
      <c r="L33" s="13">
        <f>'الامتياز التجاري'!B29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التجاري'!C30</f>
        <v/>
      </c>
      <c r="D34" s="15">
        <f>'الامتياز التجاري'!J30</f>
        <v/>
      </c>
      <c r="E34" s="13">
        <f>'الامتياز التجاري'!K30</f>
        <v/>
      </c>
      <c r="F34" s="15">
        <f>'الامتياز التجاري'!L30</f>
        <v/>
      </c>
      <c r="G34" s="56">
        <f>'الامتياز التجاري'!N30</f>
        <v/>
      </c>
      <c r="H34" s="15">
        <f>'الامتياز التجاري'!O30</f>
        <v/>
      </c>
      <c r="I34" s="24">
        <f>'الامتياز التجاري'!G30</f>
        <v/>
      </c>
      <c r="J34" s="15">
        <f>IF($G34="",0,$G34*$I34)</f>
        <v/>
      </c>
      <c r="K34" s="15">
        <f>IF($G34="",0,$I34)</f>
        <v/>
      </c>
      <c r="L34" s="13">
        <f>'الامتياز التجاري'!B30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التجاري'!C31</f>
        <v/>
      </c>
      <c r="D35" s="15">
        <f>'الامتياز التجاري'!J31</f>
        <v/>
      </c>
      <c r="E35" s="13">
        <f>'الامتياز التجاري'!K31</f>
        <v/>
      </c>
      <c r="F35" s="15">
        <f>'الامتياز التجاري'!L31</f>
        <v/>
      </c>
      <c r="G35" s="56">
        <f>'الامتياز التجاري'!N31</f>
        <v/>
      </c>
      <c r="H35" s="15">
        <f>'الامتياز التجاري'!O31</f>
        <v/>
      </c>
      <c r="I35" s="24">
        <f>'الامتياز التجاري'!G31</f>
        <v/>
      </c>
      <c r="J35" s="15">
        <f>IF($G35="",0,$G35*$I35)</f>
        <v/>
      </c>
      <c r="K35" s="15">
        <f>IF($G35="",0,$I35)</f>
        <v/>
      </c>
      <c r="L35" s="13">
        <f>'الامتياز التجاري'!B31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التجاري'!C33</f>
        <v/>
      </c>
      <c r="D36" s="15">
        <f>'الامتياز التجاري'!J33</f>
        <v/>
      </c>
      <c r="E36" s="13">
        <f>'الامتياز التجاري'!K33</f>
        <v/>
      </c>
      <c r="F36" s="15">
        <f>'الامتياز التجاري'!L33</f>
        <v/>
      </c>
      <c r="G36" s="56">
        <f>'الامتياز التجاري'!N33</f>
        <v/>
      </c>
      <c r="H36" s="15">
        <f>'الامتياز التجاري'!O33</f>
        <v/>
      </c>
      <c r="I36" s="24">
        <f>'الامتياز التجاري'!G33</f>
        <v/>
      </c>
      <c r="J36" s="15">
        <f>IF($G36="",0,$G36*$I36)</f>
        <v/>
      </c>
      <c r="K36" s="15">
        <f>IF($G36="",0,$I36)</f>
        <v/>
      </c>
      <c r="L36" s="13">
        <f>'الامتياز التجاري'!B33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التجاري'!C34</f>
        <v/>
      </c>
      <c r="D37" s="15">
        <f>'الامتياز التجاري'!J34</f>
        <v/>
      </c>
      <c r="E37" s="13">
        <f>'الامتياز التجاري'!K34</f>
        <v/>
      </c>
      <c r="F37" s="15">
        <f>'الامتياز التجاري'!L34</f>
        <v/>
      </c>
      <c r="G37" s="56">
        <f>'الامتياز التجاري'!N34</f>
        <v/>
      </c>
      <c r="H37" s="15">
        <f>'الامتياز التجاري'!O34</f>
        <v/>
      </c>
      <c r="I37" s="24">
        <f>'الامتياز التجاري'!G34</f>
        <v/>
      </c>
      <c r="J37" s="15">
        <f>IF($G37="",0,$G37*$I37)</f>
        <v/>
      </c>
      <c r="K37" s="15">
        <f>IF($G37="",0,$I37)</f>
        <v/>
      </c>
      <c r="L37" s="13">
        <f>'الامتياز التجاري'!B34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التجاري'!C35</f>
        <v/>
      </c>
      <c r="D38" s="15">
        <f>'الامتياز التجاري'!J35</f>
        <v/>
      </c>
      <c r="E38" s="13">
        <f>'الامتياز التجاري'!K35</f>
        <v/>
      </c>
      <c r="F38" s="15">
        <f>'الامتياز التجاري'!L35</f>
        <v/>
      </c>
      <c r="G38" s="56">
        <f>'الامتياز التجاري'!N35</f>
        <v/>
      </c>
      <c r="H38" s="15">
        <f>'الامتياز التجاري'!O35</f>
        <v/>
      </c>
      <c r="I38" s="24">
        <f>'الامتياز التجاري'!G35</f>
        <v/>
      </c>
      <c r="J38" s="15">
        <f>IF($G38="",0,$G38*$I38)</f>
        <v/>
      </c>
      <c r="K38" s="15">
        <f>IF($G38="",0,$I38)</f>
        <v/>
      </c>
      <c r="L38" s="13">
        <f>'الامتياز التجاري'!B35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والمحطات'!C5</f>
        <v/>
      </c>
      <c r="D39" s="15">
        <f>'التشغيل والمحطات'!J5</f>
        <v/>
      </c>
      <c r="E39" s="13">
        <f>'التشغيل والمحطات'!K5</f>
        <v/>
      </c>
      <c r="F39" s="15">
        <f>'التشغيل والمحطات'!L5</f>
        <v/>
      </c>
      <c r="G39" s="56">
        <f>'التشغيل والمحطات'!N5</f>
        <v/>
      </c>
      <c r="H39" s="15">
        <f>'التشغيل والمحطات'!O5</f>
        <v/>
      </c>
      <c r="I39" s="24">
        <f>'التشغيل والمحطات'!G5</f>
        <v/>
      </c>
      <c r="J39" s="15">
        <f>IF($G39="",0,$G39*$I39)</f>
        <v/>
      </c>
      <c r="K39" s="15">
        <f>IF($G39="",0,$I39)</f>
        <v/>
      </c>
      <c r="L39" s="13">
        <f>'التشغيل والمحطات'!B5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والمحطات'!C6</f>
        <v/>
      </c>
      <c r="D40" s="15">
        <f>'التشغيل والمحطات'!J6</f>
        <v/>
      </c>
      <c r="E40" s="13">
        <f>'التشغيل والمحطات'!K6</f>
        <v/>
      </c>
      <c r="F40" s="15">
        <f>'التشغيل والمحطات'!L6</f>
        <v/>
      </c>
      <c r="G40" s="56">
        <f>'التشغيل والمحطات'!N6</f>
        <v/>
      </c>
      <c r="H40" s="15">
        <f>'التشغيل والمحطات'!O6</f>
        <v/>
      </c>
      <c r="I40" s="24">
        <f>'التشغيل والمحطات'!G6</f>
        <v/>
      </c>
      <c r="J40" s="15">
        <f>IF($G40="",0,$G40*$I40)</f>
        <v/>
      </c>
      <c r="K40" s="15">
        <f>IF($G40="",0,$I40)</f>
        <v/>
      </c>
      <c r="L40" s="13">
        <f>'التشغيل والمحطات'!B6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والمحطات'!C7</f>
        <v/>
      </c>
      <c r="D41" s="15">
        <f>'التشغيل والمحطات'!J7</f>
        <v/>
      </c>
      <c r="E41" s="13">
        <f>'التشغيل والمحطات'!K7</f>
        <v/>
      </c>
      <c r="F41" s="15">
        <f>'التشغيل والمحطات'!L7</f>
        <v/>
      </c>
      <c r="G41" s="56">
        <f>'التشغيل والمحطات'!N7</f>
        <v/>
      </c>
      <c r="H41" s="15">
        <f>'التشغيل والمحطات'!O7</f>
        <v/>
      </c>
      <c r="I41" s="24">
        <f>'التشغيل والمحطات'!G7</f>
        <v/>
      </c>
      <c r="J41" s="15">
        <f>IF($G41="",0,$G41*$I41)</f>
        <v/>
      </c>
      <c r="K41" s="15">
        <f>IF($G41="",0,$I41)</f>
        <v/>
      </c>
      <c r="L41" s="13">
        <f>'التشغيل والمحطات'!B7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والمحطات'!C8</f>
        <v/>
      </c>
      <c r="D42" s="15">
        <f>'التشغيل والمحطات'!J8</f>
        <v/>
      </c>
      <c r="E42" s="13">
        <f>'التشغيل والمحطات'!K8</f>
        <v/>
      </c>
      <c r="F42" s="15">
        <f>'التشغيل والمحطات'!L8</f>
        <v/>
      </c>
      <c r="G42" s="56">
        <f>'التشغيل والمحطات'!N8</f>
        <v/>
      </c>
      <c r="H42" s="15">
        <f>'التشغيل والمحطات'!O8</f>
        <v/>
      </c>
      <c r="I42" s="24">
        <f>'التشغيل والمحطات'!G8</f>
        <v/>
      </c>
      <c r="J42" s="15">
        <f>IF($G42="",0,$G42*$I42)</f>
        <v/>
      </c>
      <c r="K42" s="15">
        <f>IF($G42="",0,$I42)</f>
        <v/>
      </c>
      <c r="L42" s="13">
        <f>'التشغيل والمحطات'!B8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والمحطات'!C10</f>
        <v/>
      </c>
      <c r="D43" s="15">
        <f>'التشغيل والمحطات'!J10</f>
        <v/>
      </c>
      <c r="E43" s="13">
        <f>'التشغيل والمحطات'!K10</f>
        <v/>
      </c>
      <c r="F43" s="15">
        <f>'التشغيل والمحطات'!L10</f>
        <v/>
      </c>
      <c r="G43" s="56">
        <f>'التشغيل والمحطات'!N10</f>
        <v/>
      </c>
      <c r="H43" s="15">
        <f>'التشغيل والمحطات'!O10</f>
        <v/>
      </c>
      <c r="I43" s="24">
        <f>'التشغيل والمحطات'!G10</f>
        <v/>
      </c>
      <c r="J43" s="15">
        <f>IF($G43="",0,$G43*$I43)</f>
        <v/>
      </c>
      <c r="K43" s="15">
        <f>IF($G43="",0,$I43)</f>
        <v/>
      </c>
      <c r="L43" s="13">
        <f>'التشغيل والمحطات'!B10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والمحطات'!C11</f>
        <v/>
      </c>
      <c r="D44" s="15">
        <f>'التشغيل والمحطات'!J11</f>
        <v/>
      </c>
      <c r="E44" s="13">
        <f>'التشغيل والمحطات'!K11</f>
        <v/>
      </c>
      <c r="F44" s="15">
        <f>'التشغيل والمحطات'!L11</f>
        <v/>
      </c>
      <c r="G44" s="56">
        <f>'التشغيل والمحطات'!N11</f>
        <v/>
      </c>
      <c r="H44" s="15">
        <f>'التشغيل والمحطات'!O11</f>
        <v/>
      </c>
      <c r="I44" s="24">
        <f>'التشغيل والمحطات'!G11</f>
        <v/>
      </c>
      <c r="J44" s="15">
        <f>IF($G44="",0,$G44*$I44)</f>
        <v/>
      </c>
      <c r="K44" s="15">
        <f>IF($G44="",0,$I44)</f>
        <v/>
      </c>
      <c r="L44" s="13">
        <f>'التشغيل والمحطات'!B11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والمحطات'!C12</f>
        <v/>
      </c>
      <c r="D45" s="15">
        <f>'التشغيل والمحطات'!J12</f>
        <v/>
      </c>
      <c r="E45" s="13">
        <f>'التشغيل والمحطات'!K12</f>
        <v/>
      </c>
      <c r="F45" s="15">
        <f>'التشغيل والمحطات'!L12</f>
        <v/>
      </c>
      <c r="G45" s="56">
        <f>'التشغيل والمحطات'!N12</f>
        <v/>
      </c>
      <c r="H45" s="15">
        <f>'التشغيل والمحطات'!O12</f>
        <v/>
      </c>
      <c r="I45" s="24">
        <f>'التشغيل والمحطات'!G12</f>
        <v/>
      </c>
      <c r="J45" s="15">
        <f>IF($G45="",0,$G45*$I45)</f>
        <v/>
      </c>
      <c r="K45" s="15">
        <f>IF($G45="",0,$I45)</f>
        <v/>
      </c>
      <c r="L45" s="13">
        <f>'التشغيل والمحطات'!B12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والمحطات'!C14</f>
        <v/>
      </c>
      <c r="D46" s="15">
        <f>'التشغيل والمحطات'!J14</f>
        <v/>
      </c>
      <c r="E46" s="13">
        <f>'التشغيل والمحطات'!K14</f>
        <v/>
      </c>
      <c r="F46" s="15">
        <f>'التشغيل والمحطات'!L14</f>
        <v/>
      </c>
      <c r="G46" s="56">
        <f>'التشغيل والمحطات'!N14</f>
        <v/>
      </c>
      <c r="H46" s="15">
        <f>'التشغيل والمحطات'!O14</f>
        <v/>
      </c>
      <c r="I46" s="24">
        <f>'التشغيل والمحطات'!G14</f>
        <v/>
      </c>
      <c r="J46" s="15">
        <f>IF($G46="",0,$G46*$I46)</f>
        <v/>
      </c>
      <c r="K46" s="15">
        <f>IF($G46="",0,$I46)</f>
        <v/>
      </c>
      <c r="L46" s="13">
        <f>'التشغيل والمحطات'!B14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والمحطات'!C15</f>
        <v/>
      </c>
      <c r="D47" s="15">
        <f>'التشغيل والمحطات'!J15</f>
        <v/>
      </c>
      <c r="E47" s="13">
        <f>'التشغيل والمحطات'!K15</f>
        <v/>
      </c>
      <c r="F47" s="15">
        <f>'التشغيل والمحطات'!L15</f>
        <v/>
      </c>
      <c r="G47" s="56">
        <f>'التشغيل والمحطات'!N15</f>
        <v/>
      </c>
      <c r="H47" s="15">
        <f>'التشغيل والمحطات'!O15</f>
        <v/>
      </c>
      <c r="I47" s="24">
        <f>'التشغيل والمحطات'!G15</f>
        <v/>
      </c>
      <c r="J47" s="15">
        <f>IF($G47="",0,$G47*$I47)</f>
        <v/>
      </c>
      <c r="K47" s="15">
        <f>IF($G47="",0,$I47)</f>
        <v/>
      </c>
      <c r="L47" s="13">
        <f>'التشغيل والمحطات'!B15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والمحطات'!C16</f>
        <v/>
      </c>
      <c r="D48" s="15">
        <f>'التشغيل والمحطات'!J16</f>
        <v/>
      </c>
      <c r="E48" s="13">
        <f>'التشغيل والمحطات'!K16</f>
        <v/>
      </c>
      <c r="F48" s="15">
        <f>'التشغيل والمحطات'!L16</f>
        <v/>
      </c>
      <c r="G48" s="56">
        <f>'التشغيل والمحطات'!N16</f>
        <v/>
      </c>
      <c r="H48" s="15">
        <f>'التشغيل والمحطات'!O16</f>
        <v/>
      </c>
      <c r="I48" s="24">
        <f>'التشغيل والمحطات'!G16</f>
        <v/>
      </c>
      <c r="J48" s="15">
        <f>IF($G48="",0,$G48*$I48)</f>
        <v/>
      </c>
      <c r="K48" s="15">
        <f>IF($G48="",0,$I48)</f>
        <v/>
      </c>
      <c r="L48" s="13">
        <f>'التشغيل والمحطات'!B16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والمحطات'!C17</f>
        <v/>
      </c>
      <c r="D49" s="15">
        <f>'التشغيل والمحطات'!J17</f>
        <v/>
      </c>
      <c r="E49" s="13">
        <f>'التشغيل والمحطات'!K17</f>
        <v/>
      </c>
      <c r="F49" s="15">
        <f>'التشغيل والمحطات'!L17</f>
        <v/>
      </c>
      <c r="G49" s="56">
        <f>'التشغيل والمحطات'!N17</f>
        <v/>
      </c>
      <c r="H49" s="15">
        <f>'التشغيل والمحطات'!O17</f>
        <v/>
      </c>
      <c r="I49" s="24">
        <f>'التشغيل والمحطات'!G17</f>
        <v/>
      </c>
      <c r="J49" s="15">
        <f>IF($G49="",0,$G49*$I49)</f>
        <v/>
      </c>
      <c r="K49" s="15">
        <f>IF($G49="",0,$I49)</f>
        <v/>
      </c>
      <c r="L49" s="13">
        <f>'التشغيل والمحطات'!B17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والمحطات'!C18</f>
        <v/>
      </c>
      <c r="D50" s="15">
        <f>'التشغيل والمحطات'!J18</f>
        <v/>
      </c>
      <c r="E50" s="13">
        <f>'التشغيل والمحطات'!K18</f>
        <v/>
      </c>
      <c r="F50" s="15">
        <f>'التشغيل والمحطات'!L18</f>
        <v/>
      </c>
      <c r="G50" s="56">
        <f>'التشغيل والمحطات'!N18</f>
        <v/>
      </c>
      <c r="H50" s="15">
        <f>'التشغيل والمحطات'!O18</f>
        <v/>
      </c>
      <c r="I50" s="24">
        <f>'التشغيل والمحطات'!G18</f>
        <v/>
      </c>
      <c r="J50" s="15">
        <f>IF($G50="",0,$G50*$I50)</f>
        <v/>
      </c>
      <c r="K50" s="15">
        <f>IF($G50="",0,$I50)</f>
        <v/>
      </c>
      <c r="L50" s="13">
        <f>'التشغيل والمحطات'!B18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والمحطات'!C19</f>
        <v/>
      </c>
      <c r="D51" s="15">
        <f>'التشغيل والمحطات'!J19</f>
        <v/>
      </c>
      <c r="E51" s="13">
        <f>'التشغيل والمحطات'!K19</f>
        <v/>
      </c>
      <c r="F51" s="15">
        <f>'التشغيل والمحطات'!L19</f>
        <v/>
      </c>
      <c r="G51" s="56">
        <f>'التشغيل والمحطات'!N19</f>
        <v/>
      </c>
      <c r="H51" s="15">
        <f>'التشغيل والمحطات'!O19</f>
        <v/>
      </c>
      <c r="I51" s="24">
        <f>'التشغيل والمحطات'!G19</f>
        <v/>
      </c>
      <c r="J51" s="15">
        <f>IF($G51="",0,$G51*$I51)</f>
        <v/>
      </c>
      <c r="K51" s="15">
        <f>IF($G51="",0,$I51)</f>
        <v/>
      </c>
      <c r="L51" s="13">
        <f>'التشغيل والمحطات'!B19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والمحطات'!C21</f>
        <v/>
      </c>
      <c r="D52" s="15">
        <f>'التشغيل والمحطات'!J21</f>
        <v/>
      </c>
      <c r="E52" s="13">
        <f>'التشغيل والمحطات'!K21</f>
        <v/>
      </c>
      <c r="F52" s="15">
        <f>'التشغيل والمحطات'!L21</f>
        <v/>
      </c>
      <c r="G52" s="56">
        <f>'التشغيل والمحطات'!N21</f>
        <v/>
      </c>
      <c r="H52" s="15">
        <f>'التشغيل والمحطات'!O21</f>
        <v/>
      </c>
      <c r="I52" s="24">
        <f>'التشغيل والمحطات'!G21</f>
        <v/>
      </c>
      <c r="J52" s="15">
        <f>IF($G52="",0,$G52*$I52)</f>
        <v/>
      </c>
      <c r="K52" s="15">
        <f>IF($G52="",0,$I52)</f>
        <v/>
      </c>
      <c r="L52" s="13">
        <f>'التشغيل والمحطات'!B21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والمحطات'!C22</f>
        <v/>
      </c>
      <c r="D53" s="15">
        <f>'التشغيل والمحطات'!J22</f>
        <v/>
      </c>
      <c r="E53" s="13">
        <f>'التشغيل والمحطات'!K22</f>
        <v/>
      </c>
      <c r="F53" s="15">
        <f>'التشغيل والمحطات'!L22</f>
        <v/>
      </c>
      <c r="G53" s="56">
        <f>'التشغيل والمحطات'!N22</f>
        <v/>
      </c>
      <c r="H53" s="15">
        <f>'التشغيل والمحطات'!O22</f>
        <v/>
      </c>
      <c r="I53" s="24">
        <f>'التشغيل والمحطات'!G22</f>
        <v/>
      </c>
      <c r="J53" s="15">
        <f>IF($G53="",0,$G53*$I53)</f>
        <v/>
      </c>
      <c r="K53" s="15">
        <f>IF($G53="",0,$I53)</f>
        <v/>
      </c>
      <c r="L53" s="13">
        <f>'التشغيل والمحطات'!B22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والمحطات'!C23</f>
        <v/>
      </c>
      <c r="D54" s="15">
        <f>'التشغيل والمحطات'!J23</f>
        <v/>
      </c>
      <c r="E54" s="13">
        <f>'التشغيل والمحطات'!K23</f>
        <v/>
      </c>
      <c r="F54" s="15">
        <f>'التشغيل والمحطات'!L23</f>
        <v/>
      </c>
      <c r="G54" s="56">
        <f>'التشغيل والمحطات'!N23</f>
        <v/>
      </c>
      <c r="H54" s="15">
        <f>'التشغيل والمحطات'!O23</f>
        <v/>
      </c>
      <c r="I54" s="24">
        <f>'التشغيل والمحطات'!G23</f>
        <v/>
      </c>
      <c r="J54" s="15">
        <f>IF($G54="",0,$G54*$I54)</f>
        <v/>
      </c>
      <c r="K54" s="15">
        <f>IF($G54="",0,$I54)</f>
        <v/>
      </c>
      <c r="L54" s="13">
        <f>'التشغيل والمحطات'!B23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والمحطات'!C24</f>
        <v/>
      </c>
      <c r="D55" s="15">
        <f>'التشغيل والمحطات'!J24</f>
        <v/>
      </c>
      <c r="E55" s="13">
        <f>'التشغيل والمحطات'!K24</f>
        <v/>
      </c>
      <c r="F55" s="15">
        <f>'التشغيل والمحطات'!L24</f>
        <v/>
      </c>
      <c r="G55" s="56">
        <f>'التشغيل والمحطات'!N24</f>
        <v/>
      </c>
      <c r="H55" s="15">
        <f>'التشغيل والمحطات'!O24</f>
        <v/>
      </c>
      <c r="I55" s="24">
        <f>'التشغيل والمحطات'!G24</f>
        <v/>
      </c>
      <c r="J55" s="15">
        <f>IF($G55="",0,$G55*$I55)</f>
        <v/>
      </c>
      <c r="K55" s="15">
        <f>IF($G55="",0,$I55)</f>
        <v/>
      </c>
      <c r="L55" s="13">
        <f>'التشغيل والمحطات'!B24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والمحطات'!C26</f>
        <v/>
      </c>
      <c r="D56" s="15">
        <f>'التشغيل والمحطات'!J26</f>
        <v/>
      </c>
      <c r="E56" s="13">
        <f>'التشغيل والمحطات'!K26</f>
        <v/>
      </c>
      <c r="F56" s="15">
        <f>'التشغيل والمحطات'!L26</f>
        <v/>
      </c>
      <c r="G56" s="56">
        <f>'التشغيل والمحطات'!N26</f>
        <v/>
      </c>
      <c r="H56" s="15">
        <f>'التشغيل والمحطات'!O26</f>
        <v/>
      </c>
      <c r="I56" s="24">
        <f>'التشغيل والمحطات'!G26</f>
        <v/>
      </c>
      <c r="J56" s="15">
        <f>IF($G56="",0,$G56*$I56)</f>
        <v/>
      </c>
      <c r="K56" s="15">
        <f>IF($G56="",0,$I56)</f>
        <v/>
      </c>
      <c r="L56" s="13">
        <f>'التشغيل والمحطات'!B26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والمحطات'!C27</f>
        <v/>
      </c>
      <c r="D57" s="15">
        <f>'التشغيل والمحطات'!J27</f>
        <v/>
      </c>
      <c r="E57" s="13">
        <f>'التشغيل والمحطات'!K27</f>
        <v/>
      </c>
      <c r="F57" s="15">
        <f>'التشغيل والمحطات'!L27</f>
        <v/>
      </c>
      <c r="G57" s="56">
        <f>'التشغيل والمحطات'!N27</f>
        <v/>
      </c>
      <c r="H57" s="15">
        <f>'التشغيل والمحطات'!O27</f>
        <v/>
      </c>
      <c r="I57" s="24">
        <f>'التشغيل والمحطات'!G27</f>
        <v/>
      </c>
      <c r="J57" s="15">
        <f>IF($G57="",0,$G57*$I57)</f>
        <v/>
      </c>
      <c r="K57" s="15">
        <f>IF($G57="",0,$I57)</f>
        <v/>
      </c>
      <c r="L57" s="13">
        <f>'التشغيل والمحطات'!B27</f>
        <v/>
      </c>
    </row>
    <row r="58">
      <c r="A58" s="15" t="n">
        <v>57</v>
      </c>
      <c r="B58" s="13" t="inlineStr">
        <is>
          <t>التشغيل والمحطات</t>
        </is>
      </c>
      <c r="C58" s="13">
        <f>'التشغيل والمحطات'!C28</f>
        <v/>
      </c>
      <c r="D58" s="15">
        <f>'التشغيل والمحطات'!J28</f>
        <v/>
      </c>
      <c r="E58" s="13">
        <f>'التشغيل والمحطات'!K28</f>
        <v/>
      </c>
      <c r="F58" s="15">
        <f>'التشغيل والمحطات'!L28</f>
        <v/>
      </c>
      <c r="G58" s="56">
        <f>'التشغيل والمحطات'!N28</f>
        <v/>
      </c>
      <c r="H58" s="15">
        <f>'التشغيل والمحطات'!O28</f>
        <v/>
      </c>
      <c r="I58" s="24">
        <f>'التشغيل والمحطات'!G28</f>
        <v/>
      </c>
      <c r="J58" s="15">
        <f>IF($G58="",0,$G58*$I58)</f>
        <v/>
      </c>
      <c r="K58" s="15">
        <f>IF($G58="",0,$I58)</f>
        <v/>
      </c>
      <c r="L58" s="13">
        <f>'التشغيل والمحطات'!B28</f>
        <v/>
      </c>
    </row>
    <row r="59">
      <c r="A59" s="15" t="n">
        <v>58</v>
      </c>
      <c r="B59" s="13" t="inlineStr">
        <is>
          <t>التشغيل والمحطات</t>
        </is>
      </c>
      <c r="C59" s="13">
        <f>'التشغيل والمحطات'!C30</f>
        <v/>
      </c>
      <c r="D59" s="15">
        <f>'التشغيل والمحطات'!J30</f>
        <v/>
      </c>
      <c r="E59" s="13">
        <f>'التشغيل والمحطات'!K30</f>
        <v/>
      </c>
      <c r="F59" s="15">
        <f>'التشغيل والمحطات'!L30</f>
        <v/>
      </c>
      <c r="G59" s="56">
        <f>'التشغيل والمحطات'!N30</f>
        <v/>
      </c>
      <c r="H59" s="15">
        <f>'التشغيل والمحطات'!O30</f>
        <v/>
      </c>
      <c r="I59" s="24">
        <f>'التشغيل والمحطات'!G30</f>
        <v/>
      </c>
      <c r="J59" s="15">
        <f>IF($G59="",0,$G59*$I59)</f>
        <v/>
      </c>
      <c r="K59" s="15">
        <f>IF($G59="",0,$I59)</f>
        <v/>
      </c>
      <c r="L59" s="13">
        <f>'التشغيل والمحطات'!B30</f>
        <v/>
      </c>
    </row>
    <row r="60">
      <c r="A60" s="15" t="n">
        <v>59</v>
      </c>
      <c r="B60" s="13" t="inlineStr">
        <is>
          <t>التشغيل والمحطات</t>
        </is>
      </c>
      <c r="C60" s="13">
        <f>'التشغيل والمحطات'!C31</f>
        <v/>
      </c>
      <c r="D60" s="15">
        <f>'التشغيل والمحطات'!J31</f>
        <v/>
      </c>
      <c r="E60" s="13">
        <f>'التشغيل والمحطات'!K31</f>
        <v/>
      </c>
      <c r="F60" s="15">
        <f>'التشغيل والمحطات'!L31</f>
        <v/>
      </c>
      <c r="G60" s="56">
        <f>'التشغيل والمحطات'!N31</f>
        <v/>
      </c>
      <c r="H60" s="15">
        <f>'التشغيل والمحطات'!O31</f>
        <v/>
      </c>
      <c r="I60" s="24">
        <f>'التشغيل والمحطات'!G31</f>
        <v/>
      </c>
      <c r="J60" s="15">
        <f>IF($G60="",0,$G60*$I60)</f>
        <v/>
      </c>
      <c r="K60" s="15">
        <f>IF($G60="",0,$I60)</f>
        <v/>
      </c>
      <c r="L60" s="13">
        <f>'التشغيل والمحطات'!B31</f>
        <v/>
      </c>
    </row>
    <row r="61">
      <c r="A61" s="15" t="n">
        <v>60</v>
      </c>
      <c r="B61" s="13" t="inlineStr">
        <is>
          <t>التشغيل والمحطات</t>
        </is>
      </c>
      <c r="C61" s="13">
        <f>'التشغيل والمحطات'!C32</f>
        <v/>
      </c>
      <c r="D61" s="15">
        <f>'التشغيل والمحطات'!J32</f>
        <v/>
      </c>
      <c r="E61" s="13">
        <f>'التشغيل والمحطات'!K32</f>
        <v/>
      </c>
      <c r="F61" s="15">
        <f>'التشغيل والمحطات'!L32</f>
        <v/>
      </c>
      <c r="G61" s="56">
        <f>'التشغيل والمحطات'!N32</f>
        <v/>
      </c>
      <c r="H61" s="15">
        <f>'التشغيل والمحطات'!O32</f>
        <v/>
      </c>
      <c r="I61" s="24">
        <f>'التشغيل والمحطات'!G32</f>
        <v/>
      </c>
      <c r="J61" s="15">
        <f>IF($G61="",0,$G61*$I61)</f>
        <v/>
      </c>
      <c r="K61" s="15">
        <f>IF($G61="",0,$I61)</f>
        <v/>
      </c>
      <c r="L61" s="13">
        <f>'التشغيل والمحطات'!B32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'الاستثمار'!C5</f>
        <v/>
      </c>
      <c r="D62" s="15">
        <f>'الاستثمار'!J5</f>
        <v/>
      </c>
      <c r="E62" s="13">
        <f>'الاستثمار'!K5</f>
        <v/>
      </c>
      <c r="F62" s="15">
        <f>'الاستثمار'!L5</f>
        <v/>
      </c>
      <c r="G62" s="56">
        <f>'الاستثمار'!N5</f>
        <v/>
      </c>
      <c r="H62" s="15">
        <f>'الاستثمار'!O5</f>
        <v/>
      </c>
      <c r="I62" s="24">
        <f>'الاستثمار'!G5</f>
        <v/>
      </c>
      <c r="J62" s="15">
        <f>IF($G62="",0,$G62*$I62)</f>
        <v/>
      </c>
      <c r="K62" s="15">
        <f>IF($G62="",0,$I62)</f>
        <v/>
      </c>
      <c r="L62" s="13">
        <f>'الاستثمار'!B5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'الاستثمار'!C6</f>
        <v/>
      </c>
      <c r="D63" s="15">
        <f>'الاستثمار'!J6</f>
        <v/>
      </c>
      <c r="E63" s="13">
        <f>'الاستثمار'!K6</f>
        <v/>
      </c>
      <c r="F63" s="15">
        <f>'الاستثمار'!L6</f>
        <v/>
      </c>
      <c r="G63" s="56">
        <f>'الاستثمار'!N6</f>
        <v/>
      </c>
      <c r="H63" s="15">
        <f>'الاستثمار'!O6</f>
        <v/>
      </c>
      <c r="I63" s="24">
        <f>'الاستثمار'!G6</f>
        <v/>
      </c>
      <c r="J63" s="15">
        <f>IF($G63="",0,$G63*$I63)</f>
        <v/>
      </c>
      <c r="K63" s="15">
        <f>IF($G63="",0,$I63)</f>
        <v/>
      </c>
      <c r="L63" s="13">
        <f>'الاستثمار'!B6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'الاستثمار'!C7</f>
        <v/>
      </c>
      <c r="D64" s="15">
        <f>'الاستثمار'!J7</f>
        <v/>
      </c>
      <c r="E64" s="13">
        <f>'الاستثمار'!K7</f>
        <v/>
      </c>
      <c r="F64" s="15">
        <f>'الاستثمار'!L7</f>
        <v/>
      </c>
      <c r="G64" s="56">
        <f>'الاستثمار'!N7</f>
        <v/>
      </c>
      <c r="H64" s="15">
        <f>'الاستثمار'!O7</f>
        <v/>
      </c>
      <c r="I64" s="24">
        <f>'الاستثمار'!G7</f>
        <v/>
      </c>
      <c r="J64" s="15">
        <f>IF($G64="",0,$G64*$I64)</f>
        <v/>
      </c>
      <c r="K64" s="15">
        <f>IF($G64="",0,$I64)</f>
        <v/>
      </c>
      <c r="L64" s="13">
        <f>'الاستثمار'!B7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'الاستثمار'!C8</f>
        <v/>
      </c>
      <c r="D65" s="15">
        <f>'الاستثمار'!J8</f>
        <v/>
      </c>
      <c r="E65" s="13">
        <f>'الاستثمار'!K8</f>
        <v/>
      </c>
      <c r="F65" s="15">
        <f>'الاستثمار'!L8</f>
        <v/>
      </c>
      <c r="G65" s="56">
        <f>'الاستثمار'!N8</f>
        <v/>
      </c>
      <c r="H65" s="15">
        <f>'الاستثمار'!O8</f>
        <v/>
      </c>
      <c r="I65" s="24">
        <f>'الاستثمار'!G8</f>
        <v/>
      </c>
      <c r="J65" s="15">
        <f>IF($G65="",0,$G65*$I65)</f>
        <v/>
      </c>
      <c r="K65" s="15">
        <f>IF($G65="",0,$I65)</f>
        <v/>
      </c>
      <c r="L65" s="13">
        <f>'الاستثمار'!B8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'الاستثمار'!C10</f>
        <v/>
      </c>
      <c r="D66" s="15">
        <f>'الاستثمار'!J10</f>
        <v/>
      </c>
      <c r="E66" s="13">
        <f>'الاستثمار'!K10</f>
        <v/>
      </c>
      <c r="F66" s="15">
        <f>'الاستثمار'!L10</f>
        <v/>
      </c>
      <c r="G66" s="56">
        <f>'الاستثمار'!N10</f>
        <v/>
      </c>
      <c r="H66" s="15">
        <f>'الاستثمار'!O10</f>
        <v/>
      </c>
      <c r="I66" s="24">
        <f>'الاستثمار'!G10</f>
        <v/>
      </c>
      <c r="J66" s="15">
        <f>IF($G66="",0,$G66*$I66)</f>
        <v/>
      </c>
      <c r="K66" s="15">
        <f>IF($G66="",0,$I66)</f>
        <v/>
      </c>
      <c r="L66" s="13">
        <f>'الاستثمار'!B10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'الاستثمار'!C11</f>
        <v/>
      </c>
      <c r="D67" s="15">
        <f>'الاستثمار'!J11</f>
        <v/>
      </c>
      <c r="E67" s="13">
        <f>'الاستثمار'!K11</f>
        <v/>
      </c>
      <c r="F67" s="15">
        <f>'الاستثمار'!L11</f>
        <v/>
      </c>
      <c r="G67" s="56">
        <f>'الاستثمار'!N11</f>
        <v/>
      </c>
      <c r="H67" s="15">
        <f>'الاستثمار'!O11</f>
        <v/>
      </c>
      <c r="I67" s="24">
        <f>'الاستثمار'!G11</f>
        <v/>
      </c>
      <c r="J67" s="15">
        <f>IF($G67="",0,$G67*$I67)</f>
        <v/>
      </c>
      <c r="K67" s="15">
        <f>IF($G67="",0,$I67)</f>
        <v/>
      </c>
      <c r="L67" s="13">
        <f>'الاستثمار'!B11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'الاستثمار'!C13</f>
        <v/>
      </c>
      <c r="D68" s="15">
        <f>'الاستثمار'!J13</f>
        <v/>
      </c>
      <c r="E68" s="13">
        <f>'الاستثمار'!K13</f>
        <v/>
      </c>
      <c r="F68" s="15">
        <f>'الاستثمار'!L13</f>
        <v/>
      </c>
      <c r="G68" s="56">
        <f>'الاستثمار'!N13</f>
        <v/>
      </c>
      <c r="H68" s="15">
        <f>'الاستثمار'!O13</f>
        <v/>
      </c>
      <c r="I68" s="24">
        <f>'الاستثمار'!G13</f>
        <v/>
      </c>
      <c r="J68" s="15">
        <f>IF($G68="",0,$G68*$I68)</f>
        <v/>
      </c>
      <c r="K68" s="15">
        <f>IF($G68="",0,$I68)</f>
        <v/>
      </c>
      <c r="L68" s="13">
        <f>'الاستثمار'!B13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'الاستثمار'!C14</f>
        <v/>
      </c>
      <c r="D69" s="15">
        <f>'الاستثمار'!J14</f>
        <v/>
      </c>
      <c r="E69" s="13">
        <f>'الاستثمار'!K14</f>
        <v/>
      </c>
      <c r="F69" s="15">
        <f>'الاستثمار'!L14</f>
        <v/>
      </c>
      <c r="G69" s="56">
        <f>'الاستثمار'!N14</f>
        <v/>
      </c>
      <c r="H69" s="15">
        <f>'الاستثمار'!O14</f>
        <v/>
      </c>
      <c r="I69" s="24">
        <f>'الاستثمار'!G14</f>
        <v/>
      </c>
      <c r="J69" s="15">
        <f>IF($G69="",0,$G69*$I69)</f>
        <v/>
      </c>
      <c r="K69" s="15">
        <f>IF($G69="",0,$I69)</f>
        <v/>
      </c>
      <c r="L69" s="13">
        <f>'الاستثمار'!B14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'الاستثمار'!C15</f>
        <v/>
      </c>
      <c r="D70" s="15">
        <f>'الاستثمار'!J15</f>
        <v/>
      </c>
      <c r="E70" s="13">
        <f>'الاستثمار'!K15</f>
        <v/>
      </c>
      <c r="F70" s="15">
        <f>'الاستثمار'!L15</f>
        <v/>
      </c>
      <c r="G70" s="56">
        <f>'الاستثمار'!N15</f>
        <v/>
      </c>
      <c r="H70" s="15">
        <f>'الاستثمار'!O15</f>
        <v/>
      </c>
      <c r="I70" s="24">
        <f>'الاستثمار'!G15</f>
        <v/>
      </c>
      <c r="J70" s="15">
        <f>IF($G70="",0,$G70*$I70)</f>
        <v/>
      </c>
      <c r="K70" s="15">
        <f>IF($G70="",0,$I70)</f>
        <v/>
      </c>
      <c r="L70" s="13">
        <f>'الاستثمار'!B15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56">
        <f>'الاستثمار'!N17</f>
        <v/>
      </c>
      <c r="H71" s="15">
        <f>'الاستثمار'!O17</f>
        <v/>
      </c>
      <c r="I71" s="24">
        <f>'الاستثمار'!G17</f>
        <v/>
      </c>
      <c r="J71" s="15">
        <f>IF($G71="",0,$G71*$I71)</f>
        <v/>
      </c>
      <c r="K71" s="15">
        <f>IF($G71="",0,$I71)</f>
        <v/>
      </c>
      <c r="L71" s="13">
        <f>'الاستثمار'!B17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56">
        <f>'الاستثمار'!N18</f>
        <v/>
      </c>
      <c r="H72" s="15">
        <f>'الاستثمار'!O18</f>
        <v/>
      </c>
      <c r="I72" s="24">
        <f>'الاستثمار'!G18</f>
        <v/>
      </c>
      <c r="J72" s="15">
        <f>IF($G72="",0,$G72*$I72)</f>
        <v/>
      </c>
      <c r="K72" s="15">
        <f>IF($G72="",0,$I72)</f>
        <v/>
      </c>
      <c r="L72" s="13">
        <f>'الاستثمار'!B18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56">
        <f>'الاستثمار'!N19</f>
        <v/>
      </c>
      <c r="H73" s="15">
        <f>'الاستثمار'!O19</f>
        <v/>
      </c>
      <c r="I73" s="24">
        <f>'الاستثمار'!G19</f>
        <v/>
      </c>
      <c r="J73" s="15">
        <f>IF($G73="",0,$G73*$I73)</f>
        <v/>
      </c>
      <c r="K73" s="15">
        <f>IF($G73="",0,$I73)</f>
        <v/>
      </c>
      <c r="L73" s="13">
        <f>'الاستثمار'!B19</f>
        <v/>
      </c>
    </row>
    <row r="74">
      <c r="A74" s="15" t="n">
        <v>73</v>
      </c>
      <c r="B74" s="13" t="inlineStr">
        <is>
          <t>العقار</t>
        </is>
      </c>
      <c r="C74" s="13">
        <f>'العقار'!C5</f>
        <v/>
      </c>
      <c r="D74" s="15">
        <f>'العقار'!J5</f>
        <v/>
      </c>
      <c r="E74" s="13">
        <f>'العقار'!K5</f>
        <v/>
      </c>
      <c r="F74" s="15">
        <f>'العقار'!L5</f>
        <v/>
      </c>
      <c r="G74" s="56">
        <f>'العقار'!N5</f>
        <v/>
      </c>
      <c r="H74" s="15">
        <f>'العقار'!O5</f>
        <v/>
      </c>
      <c r="I74" s="24">
        <f>'العقار'!G5</f>
        <v/>
      </c>
      <c r="J74" s="15">
        <f>IF($G74="",0,$G74*$I74)</f>
        <v/>
      </c>
      <c r="K74" s="15">
        <f>IF($G74="",0,$I74)</f>
        <v/>
      </c>
      <c r="L74" s="13">
        <f>'العقار'!B5</f>
        <v/>
      </c>
    </row>
    <row r="75">
      <c r="A75" s="15" t="n">
        <v>74</v>
      </c>
      <c r="B75" s="13" t="inlineStr">
        <is>
          <t>العقار</t>
        </is>
      </c>
      <c r="C75" s="13">
        <f>'العقار'!C6</f>
        <v/>
      </c>
      <c r="D75" s="15">
        <f>'العقار'!J6</f>
        <v/>
      </c>
      <c r="E75" s="13">
        <f>'العقار'!K6</f>
        <v/>
      </c>
      <c r="F75" s="15">
        <f>'العقار'!L6</f>
        <v/>
      </c>
      <c r="G75" s="56">
        <f>'العقار'!N6</f>
        <v/>
      </c>
      <c r="H75" s="15">
        <f>'العقار'!O6</f>
        <v/>
      </c>
      <c r="I75" s="24">
        <f>'العقار'!G6</f>
        <v/>
      </c>
      <c r="J75" s="15">
        <f>IF($G75="",0,$G75*$I75)</f>
        <v/>
      </c>
      <c r="K75" s="15">
        <f>IF($G75="",0,$I75)</f>
        <v/>
      </c>
      <c r="L75" s="13">
        <f>'العقار'!B6</f>
        <v/>
      </c>
    </row>
    <row r="76">
      <c r="A76" s="15" t="n">
        <v>75</v>
      </c>
      <c r="B76" s="13" t="inlineStr">
        <is>
          <t>العقار</t>
        </is>
      </c>
      <c r="C76" s="13">
        <f>'العقار'!C7</f>
        <v/>
      </c>
      <c r="D76" s="15">
        <f>'العقار'!J7</f>
        <v/>
      </c>
      <c r="E76" s="13">
        <f>'العقار'!K7</f>
        <v/>
      </c>
      <c r="F76" s="15">
        <f>'العقار'!L7</f>
        <v/>
      </c>
      <c r="G76" s="56">
        <f>'العقار'!N7</f>
        <v/>
      </c>
      <c r="H76" s="15">
        <f>'العقار'!O7</f>
        <v/>
      </c>
      <c r="I76" s="24">
        <f>'العقار'!G7</f>
        <v/>
      </c>
      <c r="J76" s="15">
        <f>IF($G76="",0,$G76*$I76)</f>
        <v/>
      </c>
      <c r="K76" s="15">
        <f>IF($G76="",0,$I76)</f>
        <v/>
      </c>
      <c r="L76" s="13">
        <f>'العقار'!B7</f>
        <v/>
      </c>
    </row>
    <row r="77">
      <c r="A77" s="15" t="n">
        <v>76</v>
      </c>
      <c r="B77" s="13" t="inlineStr">
        <is>
          <t>العقار</t>
        </is>
      </c>
      <c r="C77" s="13">
        <f>'العقار'!C8</f>
        <v/>
      </c>
      <c r="D77" s="15">
        <f>'العقار'!J8</f>
        <v/>
      </c>
      <c r="E77" s="13">
        <f>'العقار'!K8</f>
        <v/>
      </c>
      <c r="F77" s="15">
        <f>'العقار'!L8</f>
        <v/>
      </c>
      <c r="G77" s="56">
        <f>'العقار'!N8</f>
        <v/>
      </c>
      <c r="H77" s="15">
        <f>'العقار'!O8</f>
        <v/>
      </c>
      <c r="I77" s="24">
        <f>'العقار'!G8</f>
        <v/>
      </c>
      <c r="J77" s="15">
        <f>IF($G77="",0,$G77*$I77)</f>
        <v/>
      </c>
      <c r="K77" s="15">
        <f>IF($G77="",0,$I77)</f>
        <v/>
      </c>
      <c r="L77" s="13">
        <f>'العقار'!B8</f>
        <v/>
      </c>
    </row>
    <row r="78">
      <c r="A78" s="15" t="n">
        <v>77</v>
      </c>
      <c r="B78" s="13" t="inlineStr">
        <is>
          <t>العقار</t>
        </is>
      </c>
      <c r="C78" s="13">
        <f>'العقار'!C9</f>
        <v/>
      </c>
      <c r="D78" s="15">
        <f>'العقار'!J9</f>
        <v/>
      </c>
      <c r="E78" s="13">
        <f>'العقار'!K9</f>
        <v/>
      </c>
      <c r="F78" s="15">
        <f>'العقار'!L9</f>
        <v/>
      </c>
      <c r="G78" s="56">
        <f>'العقار'!N9</f>
        <v/>
      </c>
      <c r="H78" s="15">
        <f>'العقار'!O9</f>
        <v/>
      </c>
      <c r="I78" s="24">
        <f>'العقار'!G9</f>
        <v/>
      </c>
      <c r="J78" s="15">
        <f>IF($G78="",0,$G78*$I78)</f>
        <v/>
      </c>
      <c r="K78" s="15">
        <f>IF($G78="",0,$I78)</f>
        <v/>
      </c>
      <c r="L78" s="13">
        <f>'العقار'!B9</f>
        <v/>
      </c>
    </row>
    <row r="79">
      <c r="A79" s="15" t="n">
        <v>78</v>
      </c>
      <c r="B79" s="13" t="inlineStr">
        <is>
          <t>العقار</t>
        </is>
      </c>
      <c r="C79" s="13">
        <f>'العقار'!C10</f>
        <v/>
      </c>
      <c r="D79" s="15">
        <f>'العقار'!J10</f>
        <v/>
      </c>
      <c r="E79" s="13">
        <f>'العقار'!K10</f>
        <v/>
      </c>
      <c r="F79" s="15">
        <f>'العقار'!L10</f>
        <v/>
      </c>
      <c r="G79" s="56">
        <f>'العقار'!N10</f>
        <v/>
      </c>
      <c r="H79" s="15">
        <f>'العقار'!O10</f>
        <v/>
      </c>
      <c r="I79" s="24">
        <f>'العقار'!G10</f>
        <v/>
      </c>
      <c r="J79" s="15">
        <f>IF($G79="",0,$G79*$I79)</f>
        <v/>
      </c>
      <c r="K79" s="15">
        <f>IF($G79="",0,$I79)</f>
        <v/>
      </c>
      <c r="L79" s="13">
        <f>'العقار'!B10</f>
        <v/>
      </c>
    </row>
    <row r="80">
      <c r="A80" s="15" t="n">
        <v>79</v>
      </c>
      <c r="B80" s="13" t="inlineStr">
        <is>
          <t>العقار</t>
        </is>
      </c>
      <c r="C80" s="13">
        <f>'العقار'!C11</f>
        <v/>
      </c>
      <c r="D80" s="15">
        <f>'العقار'!J11</f>
        <v/>
      </c>
      <c r="E80" s="13">
        <f>'العقار'!K11</f>
        <v/>
      </c>
      <c r="F80" s="15">
        <f>'العقار'!L11</f>
        <v/>
      </c>
      <c r="G80" s="56">
        <f>'العقار'!N11</f>
        <v/>
      </c>
      <c r="H80" s="15">
        <f>'العقار'!O11</f>
        <v/>
      </c>
      <c r="I80" s="24">
        <f>'العقار'!G11</f>
        <v/>
      </c>
      <c r="J80" s="15">
        <f>IF($G80="",0,$G80*$I80)</f>
        <v/>
      </c>
      <c r="K80" s="15">
        <f>IF($G80="",0,$I80)</f>
        <v/>
      </c>
      <c r="L80" s="13">
        <f>'العقار'!B11</f>
        <v/>
      </c>
    </row>
    <row r="81">
      <c r="A81" s="15" t="n">
        <v>80</v>
      </c>
      <c r="B81" s="13" t="inlineStr">
        <is>
          <t>العقار</t>
        </is>
      </c>
      <c r="C81" s="13">
        <f>'العقار'!C12</f>
        <v/>
      </c>
      <c r="D81" s="15">
        <f>'العقار'!J12</f>
        <v/>
      </c>
      <c r="E81" s="13">
        <f>'العقار'!K12</f>
        <v/>
      </c>
      <c r="F81" s="15">
        <f>'العقار'!L12</f>
        <v/>
      </c>
      <c r="G81" s="56">
        <f>'العقار'!N12</f>
        <v/>
      </c>
      <c r="H81" s="15">
        <f>'العقار'!O12</f>
        <v/>
      </c>
      <c r="I81" s="24">
        <f>'العقار'!G12</f>
        <v/>
      </c>
      <c r="J81" s="15">
        <f>IF($G81="",0,$G81*$I81)</f>
        <v/>
      </c>
      <c r="K81" s="15">
        <f>IF($G81="",0,$I81)</f>
        <v/>
      </c>
      <c r="L81" s="13">
        <f>'العقار'!B12</f>
        <v/>
      </c>
    </row>
    <row r="82">
      <c r="A82" s="15" t="n">
        <v>81</v>
      </c>
      <c r="B82" s="13" t="inlineStr">
        <is>
          <t>العقار</t>
        </is>
      </c>
      <c r="C82" s="13">
        <f>'العقار'!C14</f>
        <v/>
      </c>
      <c r="D82" s="15">
        <f>'العقار'!J14</f>
        <v/>
      </c>
      <c r="E82" s="13">
        <f>'العقار'!K14</f>
        <v/>
      </c>
      <c r="F82" s="15">
        <f>'العقار'!L14</f>
        <v/>
      </c>
      <c r="G82" s="56">
        <f>'العقار'!N14</f>
        <v/>
      </c>
      <c r="H82" s="15">
        <f>'العقار'!O14</f>
        <v/>
      </c>
      <c r="I82" s="24">
        <f>'العقار'!G14</f>
        <v/>
      </c>
      <c r="J82" s="15">
        <f>IF($G82="",0,$G82*$I82)</f>
        <v/>
      </c>
      <c r="K82" s="15">
        <f>IF($G82="",0,$I82)</f>
        <v/>
      </c>
      <c r="L82" s="13">
        <f>'العقار'!B14</f>
        <v/>
      </c>
    </row>
    <row r="83">
      <c r="A83" s="15" t="n">
        <v>82</v>
      </c>
      <c r="B83" s="13" t="inlineStr">
        <is>
          <t>العقار</t>
        </is>
      </c>
      <c r="C83" s="13">
        <f>'العقار'!C15</f>
        <v/>
      </c>
      <c r="D83" s="15">
        <f>'العقار'!J15</f>
        <v/>
      </c>
      <c r="E83" s="13">
        <f>'العقار'!K15</f>
        <v/>
      </c>
      <c r="F83" s="15">
        <f>'العقار'!L15</f>
        <v/>
      </c>
      <c r="G83" s="56">
        <f>'العقار'!N15</f>
        <v/>
      </c>
      <c r="H83" s="15">
        <f>'العقار'!O15</f>
        <v/>
      </c>
      <c r="I83" s="24">
        <f>'العقار'!G15</f>
        <v/>
      </c>
      <c r="J83" s="15">
        <f>IF($G83="",0,$G83*$I83)</f>
        <v/>
      </c>
      <c r="K83" s="15">
        <f>IF($G83="",0,$I83)</f>
        <v/>
      </c>
      <c r="L83" s="13">
        <f>'العقار'!B15</f>
        <v/>
      </c>
    </row>
    <row r="84">
      <c r="A84" s="15" t="n">
        <v>83</v>
      </c>
      <c r="B84" s="13" t="inlineStr">
        <is>
          <t>العقار</t>
        </is>
      </c>
      <c r="C84" s="13">
        <f>'العقار'!C17</f>
        <v/>
      </c>
      <c r="D84" s="15">
        <f>'العقار'!J17</f>
        <v/>
      </c>
      <c r="E84" s="13">
        <f>'العقار'!K17</f>
        <v/>
      </c>
      <c r="F84" s="15">
        <f>'العقار'!L17</f>
        <v/>
      </c>
      <c r="G84" s="56">
        <f>'العقار'!N17</f>
        <v/>
      </c>
      <c r="H84" s="15">
        <f>'العقار'!O17</f>
        <v/>
      </c>
      <c r="I84" s="24">
        <f>'العقار'!G17</f>
        <v/>
      </c>
      <c r="J84" s="15">
        <f>IF($G84="",0,$G84*$I84)</f>
        <v/>
      </c>
      <c r="K84" s="15">
        <f>IF($G84="",0,$I84)</f>
        <v/>
      </c>
      <c r="L84" s="13">
        <f>'العقار'!B17</f>
        <v/>
      </c>
    </row>
    <row r="85">
      <c r="A85" s="15" t="n">
        <v>84</v>
      </c>
      <c r="B85" s="13" t="inlineStr">
        <is>
          <t>العقار</t>
        </is>
      </c>
      <c r="C85" s="13">
        <f>'العقار'!C18</f>
        <v/>
      </c>
      <c r="D85" s="15">
        <f>'العقار'!J18</f>
        <v/>
      </c>
      <c r="E85" s="13">
        <f>'العقار'!K18</f>
        <v/>
      </c>
      <c r="F85" s="15">
        <f>'العقار'!L18</f>
        <v/>
      </c>
      <c r="G85" s="56">
        <f>'العقار'!N18</f>
        <v/>
      </c>
      <c r="H85" s="15">
        <f>'العقار'!O18</f>
        <v/>
      </c>
      <c r="I85" s="24">
        <f>'العقار'!G18</f>
        <v/>
      </c>
      <c r="J85" s="15">
        <f>IF($G85="",0,$G85*$I85)</f>
        <v/>
      </c>
      <c r="K85" s="15">
        <f>IF($G85="",0,$I85)</f>
        <v/>
      </c>
      <c r="L85" s="13">
        <f>'العقار'!B18</f>
        <v/>
      </c>
    </row>
    <row r="86">
      <c r="A86" s="15" t="n">
        <v>85</v>
      </c>
      <c r="B86" s="13" t="inlineStr">
        <is>
          <t>العقار</t>
        </is>
      </c>
      <c r="C86" s="13">
        <f>'العقار'!C20</f>
        <v/>
      </c>
      <c r="D86" s="15">
        <f>'العقار'!J20</f>
        <v/>
      </c>
      <c r="E86" s="13">
        <f>'العقار'!K20</f>
        <v/>
      </c>
      <c r="F86" s="15">
        <f>'العقار'!L20</f>
        <v/>
      </c>
      <c r="G86" s="56">
        <f>'العقار'!N20</f>
        <v/>
      </c>
      <c r="H86" s="15">
        <f>'العقار'!O20</f>
        <v/>
      </c>
      <c r="I86" s="24">
        <f>'العقار'!G20</f>
        <v/>
      </c>
      <c r="J86" s="15">
        <f>IF($G86="",0,$G86*$I86)</f>
        <v/>
      </c>
      <c r="K86" s="15">
        <f>IF($G86="",0,$I86)</f>
        <v/>
      </c>
      <c r="L86" s="13">
        <f>'العقار'!B20</f>
        <v/>
      </c>
    </row>
    <row r="87">
      <c r="A87" s="15" t="n">
        <v>86</v>
      </c>
      <c r="B87" s="13" t="inlineStr">
        <is>
          <t>العقار</t>
        </is>
      </c>
      <c r="C87" s="13">
        <f>'العقار'!C21</f>
        <v/>
      </c>
      <c r="D87" s="15">
        <f>'العقار'!J21</f>
        <v/>
      </c>
      <c r="E87" s="13">
        <f>'العقار'!K21</f>
        <v/>
      </c>
      <c r="F87" s="15">
        <f>'العقار'!L21</f>
        <v/>
      </c>
      <c r="G87" s="56">
        <f>'العقار'!N21</f>
        <v/>
      </c>
      <c r="H87" s="15">
        <f>'العقار'!O21</f>
        <v/>
      </c>
      <c r="I87" s="24">
        <f>'العقار'!G21</f>
        <v/>
      </c>
      <c r="J87" s="15">
        <f>IF($G87="",0,$G87*$I87)</f>
        <v/>
      </c>
      <c r="K87" s="15">
        <f>IF($G87="",0,$I87)</f>
        <v/>
      </c>
      <c r="L87" s="13">
        <f>'العقار'!B21</f>
        <v/>
      </c>
    </row>
    <row r="88">
      <c r="A88" s="15" t="n">
        <v>87</v>
      </c>
      <c r="B88" s="13" t="inlineStr">
        <is>
          <t>العقار</t>
        </is>
      </c>
      <c r="C88" s="13">
        <f>'العقار'!C23</f>
        <v/>
      </c>
      <c r="D88" s="15">
        <f>'العقار'!J23</f>
        <v/>
      </c>
      <c r="E88" s="13">
        <f>'العقار'!K23</f>
        <v/>
      </c>
      <c r="F88" s="15">
        <f>'العقار'!L23</f>
        <v/>
      </c>
      <c r="G88" s="56">
        <f>'العقار'!N23</f>
        <v/>
      </c>
      <c r="H88" s="15">
        <f>'العقار'!O23</f>
        <v/>
      </c>
      <c r="I88" s="24">
        <f>'العقار'!G23</f>
        <v/>
      </c>
      <c r="J88" s="15">
        <f>IF($G88="",0,$G88*$I88)</f>
        <v/>
      </c>
      <c r="K88" s="15">
        <f>IF($G88="",0,$I88)</f>
        <v/>
      </c>
      <c r="L88" s="13">
        <f>'العقار'!B23</f>
        <v/>
      </c>
    </row>
    <row r="89">
      <c r="A89" s="15" t="n">
        <v>88</v>
      </c>
      <c r="B89" s="13" t="inlineStr">
        <is>
          <t>العقار</t>
        </is>
      </c>
      <c r="C89" s="13">
        <f>'العقار'!C24</f>
        <v/>
      </c>
      <c r="D89" s="15">
        <f>'العقار'!J24</f>
        <v/>
      </c>
      <c r="E89" s="13">
        <f>'العقار'!K24</f>
        <v/>
      </c>
      <c r="F89" s="15">
        <f>'العقار'!L24</f>
        <v/>
      </c>
      <c r="G89" s="56">
        <f>'العقار'!N24</f>
        <v/>
      </c>
      <c r="H89" s="15">
        <f>'العقار'!O24</f>
        <v/>
      </c>
      <c r="I89" s="24">
        <f>'العقار'!G24</f>
        <v/>
      </c>
      <c r="J89" s="15">
        <f>IF($G89="",0,$G89*$I89)</f>
        <v/>
      </c>
      <c r="K89" s="15">
        <f>IF($G89="",0,$I89)</f>
        <v/>
      </c>
      <c r="L89" s="13">
        <f>'العقار'!B24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المشاريع'!C5</f>
        <v/>
      </c>
      <c r="D90" s="15">
        <f>'إدارة المشاريع'!J5</f>
        <v/>
      </c>
      <c r="E90" s="13">
        <f>'إدارة المشاريع'!K5</f>
        <v/>
      </c>
      <c r="F90" s="15">
        <f>'إدارة المشاريع'!L5</f>
        <v/>
      </c>
      <c r="G90" s="56">
        <f>'إدارة المشاريع'!N5</f>
        <v/>
      </c>
      <c r="H90" s="15">
        <f>'إدارة المشاريع'!O5</f>
        <v/>
      </c>
      <c r="I90" s="24">
        <f>'إدارة المشاريع'!G5</f>
        <v/>
      </c>
      <c r="J90" s="15">
        <f>IF($G90="",0,$G90*$I90)</f>
        <v/>
      </c>
      <c r="K90" s="15">
        <f>IF($G90="",0,$I90)</f>
        <v/>
      </c>
      <c r="L90" s="13">
        <f>'إدارة المشاريع'!B5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المشاريع'!C6</f>
        <v/>
      </c>
      <c r="D91" s="15">
        <f>'إدارة المشاريع'!J6</f>
        <v/>
      </c>
      <c r="E91" s="13">
        <f>'إدارة المشاريع'!K6</f>
        <v/>
      </c>
      <c r="F91" s="15">
        <f>'إدارة المشاريع'!L6</f>
        <v/>
      </c>
      <c r="G91" s="56">
        <f>'إدارة المشاريع'!N6</f>
        <v/>
      </c>
      <c r="H91" s="15">
        <f>'إدارة المشاريع'!O6</f>
        <v/>
      </c>
      <c r="I91" s="24">
        <f>'إدارة المشاريع'!G6</f>
        <v/>
      </c>
      <c r="J91" s="15">
        <f>IF($G91="",0,$G91*$I91)</f>
        <v/>
      </c>
      <c r="K91" s="15">
        <f>IF($G91="",0,$I91)</f>
        <v/>
      </c>
      <c r="L91" s="13">
        <f>'إدارة المشاريع'!B6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المشاريع'!C7</f>
        <v/>
      </c>
      <c r="D92" s="15">
        <f>'إدارة المشاريع'!J7</f>
        <v/>
      </c>
      <c r="E92" s="13">
        <f>'إدارة المشاريع'!K7</f>
        <v/>
      </c>
      <c r="F92" s="15">
        <f>'إدارة المشاريع'!L7</f>
        <v/>
      </c>
      <c r="G92" s="56">
        <f>'إدارة المشاريع'!N7</f>
        <v/>
      </c>
      <c r="H92" s="15">
        <f>'إدارة المشاريع'!O7</f>
        <v/>
      </c>
      <c r="I92" s="24">
        <f>'إدارة المشاريع'!G7</f>
        <v/>
      </c>
      <c r="J92" s="15">
        <f>IF($G92="",0,$G92*$I92)</f>
        <v/>
      </c>
      <c r="K92" s="15">
        <f>IF($G92="",0,$I92)</f>
        <v/>
      </c>
      <c r="L92" s="13">
        <f>'إدارة المشاريع'!B7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المشاريع'!C8</f>
        <v/>
      </c>
      <c r="D93" s="15">
        <f>'إدارة المشاريع'!J8</f>
        <v/>
      </c>
      <c r="E93" s="13">
        <f>'إدارة المشاريع'!K8</f>
        <v/>
      </c>
      <c r="F93" s="15">
        <f>'إدارة المشاريع'!L8</f>
        <v/>
      </c>
      <c r="G93" s="56">
        <f>'إدارة المشاريع'!N8</f>
        <v/>
      </c>
      <c r="H93" s="15">
        <f>'إدارة المشاريع'!O8</f>
        <v/>
      </c>
      <c r="I93" s="24">
        <f>'إدارة المشاريع'!G8</f>
        <v/>
      </c>
      <c r="J93" s="15">
        <f>IF($G93="",0,$G93*$I93)</f>
        <v/>
      </c>
      <c r="K93" s="15">
        <f>IF($G93="",0,$I93)</f>
        <v/>
      </c>
      <c r="L93" s="13">
        <f>'إدارة المشاريع'!B8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المشاريع'!C10</f>
        <v/>
      </c>
      <c r="D94" s="15">
        <f>'إدارة المشاريع'!J10</f>
        <v/>
      </c>
      <c r="E94" s="13">
        <f>'إدارة المشاريع'!K10</f>
        <v/>
      </c>
      <c r="F94" s="15">
        <f>'إدارة المشاريع'!L10</f>
        <v/>
      </c>
      <c r="G94" s="56">
        <f>'إدارة المشاريع'!N10</f>
        <v/>
      </c>
      <c r="H94" s="15">
        <f>'إدارة المشاريع'!O10</f>
        <v/>
      </c>
      <c r="I94" s="24">
        <f>'إدارة المشاريع'!G10</f>
        <v/>
      </c>
      <c r="J94" s="15">
        <f>IF($G94="",0,$G94*$I94)</f>
        <v/>
      </c>
      <c r="K94" s="15">
        <f>IF($G94="",0,$I94)</f>
        <v/>
      </c>
      <c r="L94" s="13">
        <f>'إدارة المشاريع'!B10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المشاريع'!C11</f>
        <v/>
      </c>
      <c r="D95" s="15">
        <f>'إدارة المشاريع'!J11</f>
        <v/>
      </c>
      <c r="E95" s="13">
        <f>'إدارة المشاريع'!K11</f>
        <v/>
      </c>
      <c r="F95" s="15">
        <f>'إدارة المشاريع'!L11</f>
        <v/>
      </c>
      <c r="G95" s="56">
        <f>'إدارة المشاريع'!N11</f>
        <v/>
      </c>
      <c r="H95" s="15">
        <f>'إدارة المشاريع'!O11</f>
        <v/>
      </c>
      <c r="I95" s="24">
        <f>'إدارة المشاريع'!G11</f>
        <v/>
      </c>
      <c r="J95" s="15">
        <f>IF($G95="",0,$G95*$I95)</f>
        <v/>
      </c>
      <c r="K95" s="15">
        <f>IF($G95="",0,$I95)</f>
        <v/>
      </c>
      <c r="L95" s="13">
        <f>'إدارة المشاريع'!B11</f>
        <v/>
      </c>
    </row>
    <row r="96">
      <c r="A96" s="15" t="n">
        <v>95</v>
      </c>
      <c r="B96" s="13" t="inlineStr">
        <is>
          <t>إدارة المشاريع</t>
        </is>
      </c>
      <c r="C96" s="13">
        <f>'إدارة المشاريع'!C12</f>
        <v/>
      </c>
      <c r="D96" s="15">
        <f>'إدارة المشاريع'!J12</f>
        <v/>
      </c>
      <c r="E96" s="13">
        <f>'إدارة المشاريع'!K12</f>
        <v/>
      </c>
      <c r="F96" s="15">
        <f>'إدارة المشاريع'!L12</f>
        <v/>
      </c>
      <c r="G96" s="56">
        <f>'إدارة المشاريع'!N12</f>
        <v/>
      </c>
      <c r="H96" s="15">
        <f>'إدارة المشاريع'!O12</f>
        <v/>
      </c>
      <c r="I96" s="24">
        <f>'إدارة المشاريع'!G12</f>
        <v/>
      </c>
      <c r="J96" s="15">
        <f>IF($G96="",0,$G96*$I96)</f>
        <v/>
      </c>
      <c r="K96" s="15">
        <f>IF($G96="",0,$I96)</f>
        <v/>
      </c>
      <c r="L96" s="13">
        <f>'إدارة المشاريع'!B12</f>
        <v/>
      </c>
    </row>
    <row r="97">
      <c r="A97" s="15" t="n">
        <v>96</v>
      </c>
      <c r="B97" s="13" t="inlineStr">
        <is>
          <t>إدارة المشاريع</t>
        </is>
      </c>
      <c r="C97" s="13">
        <f>'إدارة المشاريع'!C13</f>
        <v/>
      </c>
      <c r="D97" s="15">
        <f>'إدارة المشاريع'!J13</f>
        <v/>
      </c>
      <c r="E97" s="13">
        <f>'إدارة المشاريع'!K13</f>
        <v/>
      </c>
      <c r="F97" s="15">
        <f>'إدارة المشاريع'!L13</f>
        <v/>
      </c>
      <c r="G97" s="56">
        <f>'إدارة المشاريع'!N13</f>
        <v/>
      </c>
      <c r="H97" s="15">
        <f>'إدارة المشاريع'!O13</f>
        <v/>
      </c>
      <c r="I97" s="24">
        <f>'إدارة المشاريع'!G13</f>
        <v/>
      </c>
      <c r="J97" s="15">
        <f>IF($G97="",0,$G97*$I97)</f>
        <v/>
      </c>
      <c r="K97" s="15">
        <f>IF($G97="",0,$I97)</f>
        <v/>
      </c>
      <c r="L97" s="13">
        <f>'إدارة المشاريع'!B13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المشاريع'!C15</f>
        <v/>
      </c>
      <c r="D98" s="15">
        <f>'إدارة المشاريع'!J15</f>
        <v/>
      </c>
      <c r="E98" s="13">
        <f>'إدارة المشاريع'!K15</f>
        <v/>
      </c>
      <c r="F98" s="15">
        <f>'إدارة المشاريع'!L15</f>
        <v/>
      </c>
      <c r="G98" s="56">
        <f>'إدارة المشاريع'!N15</f>
        <v/>
      </c>
      <c r="H98" s="15">
        <f>'إدارة المشاريع'!O15</f>
        <v/>
      </c>
      <c r="I98" s="24">
        <f>'إدارة المشاريع'!G15</f>
        <v/>
      </c>
      <c r="J98" s="15">
        <f>IF($G98="",0,$G98*$I98)</f>
        <v/>
      </c>
      <c r="K98" s="15">
        <f>IF($G98="",0,$I98)</f>
        <v/>
      </c>
      <c r="L98" s="13">
        <f>'إدارة المشاريع'!B15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المشاريع'!C16</f>
        <v/>
      </c>
      <c r="D99" s="15">
        <f>'إدارة المشاريع'!J16</f>
        <v/>
      </c>
      <c r="E99" s="13">
        <f>'إدارة المشاريع'!K16</f>
        <v/>
      </c>
      <c r="F99" s="15">
        <f>'إدارة المشاريع'!L16</f>
        <v/>
      </c>
      <c r="G99" s="56">
        <f>'إدارة المشاريع'!N16</f>
        <v/>
      </c>
      <c r="H99" s="15">
        <f>'إدارة المشاريع'!O16</f>
        <v/>
      </c>
      <c r="I99" s="24">
        <f>'إدارة المشاريع'!G16</f>
        <v/>
      </c>
      <c r="J99" s="15">
        <f>IF($G99="",0,$G99*$I99)</f>
        <v/>
      </c>
      <c r="K99" s="15">
        <f>IF($G99="",0,$I99)</f>
        <v/>
      </c>
      <c r="L99" s="13">
        <f>'إدارة المشاريع'!B16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المشاريع'!C17</f>
        <v/>
      </c>
      <c r="D100" s="15">
        <f>'إدارة المشاريع'!J17</f>
        <v/>
      </c>
      <c r="E100" s="13">
        <f>'إدارة المشاريع'!K17</f>
        <v/>
      </c>
      <c r="F100" s="15">
        <f>'إدارة المشاريع'!L17</f>
        <v/>
      </c>
      <c r="G100" s="56">
        <f>'إدارة المشاريع'!N17</f>
        <v/>
      </c>
      <c r="H100" s="15">
        <f>'إدارة المشاريع'!O17</f>
        <v/>
      </c>
      <c r="I100" s="24">
        <f>'إدارة المشاريع'!G17</f>
        <v/>
      </c>
      <c r="J100" s="15">
        <f>IF($G100="",0,$G100*$I100)</f>
        <v/>
      </c>
      <c r="K100" s="15">
        <f>IF($G100="",0,$I100)</f>
        <v/>
      </c>
      <c r="L100" s="13">
        <f>'إدارة المشاريع'!B17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المشاريع'!C19</f>
        <v/>
      </c>
      <c r="D101" s="15">
        <f>'إدارة المشاريع'!J19</f>
        <v/>
      </c>
      <c r="E101" s="13">
        <f>'إدارة المشاريع'!K19</f>
        <v/>
      </c>
      <c r="F101" s="15">
        <f>'إدارة المشاريع'!L19</f>
        <v/>
      </c>
      <c r="G101" s="56">
        <f>'إدارة المشاريع'!N19</f>
        <v/>
      </c>
      <c r="H101" s="15">
        <f>'إدارة المشاريع'!O19</f>
        <v/>
      </c>
      <c r="I101" s="24">
        <f>'إدارة المشاريع'!G19</f>
        <v/>
      </c>
      <c r="J101" s="15">
        <f>IF($G101="",0,$G101*$I101)</f>
        <v/>
      </c>
      <c r="K101" s="15">
        <f>IF($G101="",0,$I101)</f>
        <v/>
      </c>
      <c r="L101" s="13">
        <f>'إدارة المشاريع'!B19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المشاريع'!C20</f>
        <v/>
      </c>
      <c r="D102" s="15">
        <f>'إدارة المشاريع'!J20</f>
        <v/>
      </c>
      <c r="E102" s="13">
        <f>'إدارة المشاريع'!K20</f>
        <v/>
      </c>
      <c r="F102" s="15">
        <f>'إدارة المشاريع'!L20</f>
        <v/>
      </c>
      <c r="G102" s="56">
        <f>'إدارة المشاريع'!N20</f>
        <v/>
      </c>
      <c r="H102" s="15">
        <f>'إدارة المشاريع'!O20</f>
        <v/>
      </c>
      <c r="I102" s="24">
        <f>'إدارة المشاريع'!G20</f>
        <v/>
      </c>
      <c r="J102" s="15">
        <f>IF($G102="",0,$G102*$I102)</f>
        <v/>
      </c>
      <c r="K102" s="15">
        <f>IF($G102="",0,$I102)</f>
        <v/>
      </c>
      <c r="L102" s="13">
        <f>'إدارة المشاريع'!B20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المشاريع'!C21</f>
        <v/>
      </c>
      <c r="D103" s="15">
        <f>'إدارة المشاريع'!J21</f>
        <v/>
      </c>
      <c r="E103" s="13">
        <f>'إدارة المشاريع'!K21</f>
        <v/>
      </c>
      <c r="F103" s="15">
        <f>'إدارة المشاريع'!L21</f>
        <v/>
      </c>
      <c r="G103" s="56">
        <f>'إدارة المشاريع'!N21</f>
        <v/>
      </c>
      <c r="H103" s="15">
        <f>'إدارة المشاريع'!O21</f>
        <v/>
      </c>
      <c r="I103" s="24">
        <f>'إدارة المشاريع'!G21</f>
        <v/>
      </c>
      <c r="J103" s="15">
        <f>IF($G103="",0,$G103*$I103)</f>
        <v/>
      </c>
      <c r="K103" s="15">
        <f>IF($G103="",0,$I103)</f>
        <v/>
      </c>
      <c r="L103" s="13">
        <f>'إدارة المشاريع'!B21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الإمداد'!C5</f>
        <v/>
      </c>
      <c r="D104" s="15">
        <f>'سلاسل الإمداد'!J5</f>
        <v/>
      </c>
      <c r="E104" s="13">
        <f>'سلاسل الإمداد'!K5</f>
        <v/>
      </c>
      <c r="F104" s="15">
        <f>'سلاسل الإمداد'!L5</f>
        <v/>
      </c>
      <c r="G104" s="56">
        <f>'سلاسل الإمداد'!N5</f>
        <v/>
      </c>
      <c r="H104" s="15">
        <f>'سلاسل الإمداد'!O5</f>
        <v/>
      </c>
      <c r="I104" s="24">
        <f>'سلاسل الإمداد'!G5</f>
        <v/>
      </c>
      <c r="J104" s="15">
        <f>IF($G104="",0,$G104*$I104)</f>
        <v/>
      </c>
      <c r="K104" s="15">
        <f>IF($G104="",0,$I104)</f>
        <v/>
      </c>
      <c r="L104" s="13">
        <f>'سلاسل الإمداد'!B5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الإمداد'!C6</f>
        <v/>
      </c>
      <c r="D105" s="15">
        <f>'سلاسل الإمداد'!J6</f>
        <v/>
      </c>
      <c r="E105" s="13">
        <f>'سلاسل الإمداد'!K6</f>
        <v/>
      </c>
      <c r="F105" s="15">
        <f>'سلاسل الإمداد'!L6</f>
        <v/>
      </c>
      <c r="G105" s="56">
        <f>'سلاسل الإمداد'!N6</f>
        <v/>
      </c>
      <c r="H105" s="15">
        <f>'سلاسل الإمداد'!O6</f>
        <v/>
      </c>
      <c r="I105" s="24">
        <f>'سلاسل الإمداد'!G6</f>
        <v/>
      </c>
      <c r="J105" s="15">
        <f>IF($G105="",0,$G105*$I105)</f>
        <v/>
      </c>
      <c r="K105" s="15">
        <f>IF($G105="",0,$I105)</f>
        <v/>
      </c>
      <c r="L105" s="13">
        <f>'سلاسل الإمداد'!B6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الإمداد'!C8</f>
        <v/>
      </c>
      <c r="D106" s="15">
        <f>'سلاسل الإمداد'!J8</f>
        <v/>
      </c>
      <c r="E106" s="13">
        <f>'سلاسل الإمداد'!K8</f>
        <v/>
      </c>
      <c r="F106" s="15">
        <f>'سلاسل الإمداد'!L8</f>
        <v/>
      </c>
      <c r="G106" s="56">
        <f>'سلاسل الإمداد'!N8</f>
        <v/>
      </c>
      <c r="H106" s="15">
        <f>'سلاسل الإمداد'!O8</f>
        <v/>
      </c>
      <c r="I106" s="24">
        <f>'سلاسل الإمداد'!G8</f>
        <v/>
      </c>
      <c r="J106" s="15">
        <f>IF($G106="",0,$G106*$I106)</f>
        <v/>
      </c>
      <c r="K106" s="15">
        <f>IF($G106="",0,$I106)</f>
        <v/>
      </c>
      <c r="L106" s="13">
        <f>'سلاسل الإمداد'!B8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الإمداد'!C9</f>
        <v/>
      </c>
      <c r="D107" s="15">
        <f>'سلاسل الإمداد'!J9</f>
        <v/>
      </c>
      <c r="E107" s="13">
        <f>'سلاسل الإمداد'!K9</f>
        <v/>
      </c>
      <c r="F107" s="15">
        <f>'سلاسل الإمداد'!L9</f>
        <v/>
      </c>
      <c r="G107" s="56">
        <f>'سلاسل الإمداد'!N9</f>
        <v/>
      </c>
      <c r="H107" s="15">
        <f>'سلاسل الإمداد'!O9</f>
        <v/>
      </c>
      <c r="I107" s="24">
        <f>'سلاسل الإمداد'!G9</f>
        <v/>
      </c>
      <c r="J107" s="15">
        <f>IF($G107="",0,$G107*$I107)</f>
        <v/>
      </c>
      <c r="K107" s="15">
        <f>IF($G107="",0,$I107)</f>
        <v/>
      </c>
      <c r="L107" s="13">
        <f>'سلاسل الإمداد'!B9</f>
        <v/>
      </c>
    </row>
    <row r="108">
      <c r="A108" s="15" t="n">
        <v>107</v>
      </c>
      <c r="B108" s="13" t="inlineStr">
        <is>
          <t>سلاسل الإمداد</t>
        </is>
      </c>
      <c r="C108" s="13">
        <f>'سلاسل الإمداد'!C10</f>
        <v/>
      </c>
      <c r="D108" s="15">
        <f>'سلاسل الإمداد'!J10</f>
        <v/>
      </c>
      <c r="E108" s="13">
        <f>'سلاسل الإمداد'!K10</f>
        <v/>
      </c>
      <c r="F108" s="15">
        <f>'سلاسل الإمداد'!L10</f>
        <v/>
      </c>
      <c r="G108" s="56">
        <f>'سلاسل الإمداد'!N10</f>
        <v/>
      </c>
      <c r="H108" s="15">
        <f>'سلاسل الإمداد'!O10</f>
        <v/>
      </c>
      <c r="I108" s="24">
        <f>'سلاسل الإمداد'!G10</f>
        <v/>
      </c>
      <c r="J108" s="15">
        <f>IF($G108="",0,$G108*$I108)</f>
        <v/>
      </c>
      <c r="K108" s="15">
        <f>IF($G108="",0,$I108)</f>
        <v/>
      </c>
      <c r="L108" s="13">
        <f>'سلاسل الإمداد'!B10</f>
        <v/>
      </c>
    </row>
    <row r="109">
      <c r="A109" s="15" t="n">
        <v>108</v>
      </c>
      <c r="B109" s="13" t="inlineStr">
        <is>
          <t>سلاسل الإمداد</t>
        </is>
      </c>
      <c r="C109" s="13">
        <f>'سلاسل الإمداد'!C12</f>
        <v/>
      </c>
      <c r="D109" s="15">
        <f>'سلاسل الإمداد'!J12</f>
        <v/>
      </c>
      <c r="E109" s="13">
        <f>'سلاسل الإمداد'!K12</f>
        <v/>
      </c>
      <c r="F109" s="15">
        <f>'سلاسل الإمداد'!L12</f>
        <v/>
      </c>
      <c r="G109" s="56">
        <f>'سلاسل الإمداد'!N12</f>
        <v/>
      </c>
      <c r="H109" s="15">
        <f>'سلاسل الإمداد'!O12</f>
        <v/>
      </c>
      <c r="I109" s="24">
        <f>'سلاسل الإمداد'!G12</f>
        <v/>
      </c>
      <c r="J109" s="15">
        <f>IF($G109="",0,$G109*$I109)</f>
        <v/>
      </c>
      <c r="K109" s="15">
        <f>IF($G109="",0,$I109)</f>
        <v/>
      </c>
      <c r="L109" s="13">
        <f>'سلاسل الإمداد'!B12</f>
        <v/>
      </c>
    </row>
    <row r="110">
      <c r="A110" s="15" t="n">
        <v>109</v>
      </c>
      <c r="B110" s="13" t="inlineStr">
        <is>
          <t>سلاسل الإمداد</t>
        </is>
      </c>
      <c r="C110" s="13">
        <f>'سلاسل الإمداد'!C13</f>
        <v/>
      </c>
      <c r="D110" s="15">
        <f>'سلاسل الإمداد'!J13</f>
        <v/>
      </c>
      <c r="E110" s="13">
        <f>'سلاسل الإمداد'!K13</f>
        <v/>
      </c>
      <c r="F110" s="15">
        <f>'سلاسل الإمداد'!L13</f>
        <v/>
      </c>
      <c r="G110" s="56">
        <f>'سلاسل الإمداد'!N13</f>
        <v/>
      </c>
      <c r="H110" s="15">
        <f>'سلاسل الإمداد'!O13</f>
        <v/>
      </c>
      <c r="I110" s="24">
        <f>'سلاسل الإمداد'!G13</f>
        <v/>
      </c>
      <c r="J110" s="15">
        <f>IF($G110="",0,$G110*$I110)</f>
        <v/>
      </c>
      <c r="K110" s="15">
        <f>IF($G110="",0,$I110)</f>
        <v/>
      </c>
      <c r="L110" s="13">
        <f>'سلاسل الإمداد'!B13</f>
        <v/>
      </c>
    </row>
    <row r="111">
      <c r="A111" s="15" t="n">
        <v>110</v>
      </c>
      <c r="B111" s="13" t="inlineStr">
        <is>
          <t>سلاسل الإمداد</t>
        </is>
      </c>
      <c r="C111" s="13">
        <f>'سلاسل الإمداد'!C15</f>
        <v/>
      </c>
      <c r="D111" s="15">
        <f>'سلاسل الإمداد'!J15</f>
        <v/>
      </c>
      <c r="E111" s="13">
        <f>'سلاسل الإمداد'!K15</f>
        <v/>
      </c>
      <c r="F111" s="15">
        <f>'سلاسل الإمداد'!L15</f>
        <v/>
      </c>
      <c r="G111" s="56">
        <f>'سلاسل الإمداد'!N15</f>
        <v/>
      </c>
      <c r="H111" s="15">
        <f>'سلاسل الإمداد'!O15</f>
        <v/>
      </c>
      <c r="I111" s="24">
        <f>'سلاسل الإمداد'!G15</f>
        <v/>
      </c>
      <c r="J111" s="15">
        <f>IF($G111="",0,$G111*$I111)</f>
        <v/>
      </c>
      <c r="K111" s="15">
        <f>IF($G111="",0,$I111)</f>
        <v/>
      </c>
      <c r="L111" s="13">
        <f>'سلاسل الإمداد'!B15</f>
        <v/>
      </c>
    </row>
    <row r="112">
      <c r="A112" s="15" t="n">
        <v>111</v>
      </c>
      <c r="B112" s="13" t="inlineStr">
        <is>
          <t>سلاسل الإمداد</t>
        </is>
      </c>
      <c r="C112" s="13">
        <f>'سلاسل الإمداد'!C16</f>
        <v/>
      </c>
      <c r="D112" s="15">
        <f>'سلاسل الإمداد'!J16</f>
        <v/>
      </c>
      <c r="E112" s="13">
        <f>'سلاسل الإمداد'!K16</f>
        <v/>
      </c>
      <c r="F112" s="15">
        <f>'سلاسل الإمداد'!L16</f>
        <v/>
      </c>
      <c r="G112" s="56">
        <f>'سلاسل الإمداد'!N16</f>
        <v/>
      </c>
      <c r="H112" s="15">
        <f>'سلاسل الإمداد'!O16</f>
        <v/>
      </c>
      <c r="I112" s="24">
        <f>'سلاسل الإمداد'!G16</f>
        <v/>
      </c>
      <c r="J112" s="15">
        <f>IF($G112="",0,$G112*$I112)</f>
        <v/>
      </c>
      <c r="K112" s="15">
        <f>IF($G112="",0,$I112)</f>
        <v/>
      </c>
      <c r="L112" s="13">
        <f>'سلاسل الإمداد'!B16</f>
        <v/>
      </c>
    </row>
    <row r="113">
      <c r="A113" s="15" t="n">
        <v>112</v>
      </c>
      <c r="B113" s="13" t="inlineStr">
        <is>
          <t>سلاسل الإمداد</t>
        </is>
      </c>
      <c r="C113" s="13">
        <f>'سلاسل الإمداد'!C17</f>
        <v/>
      </c>
      <c r="D113" s="15">
        <f>'سلاسل الإمداد'!J17</f>
        <v/>
      </c>
      <c r="E113" s="13">
        <f>'سلاسل الإمداد'!K17</f>
        <v/>
      </c>
      <c r="F113" s="15">
        <f>'سلاسل الإمداد'!L17</f>
        <v/>
      </c>
      <c r="G113" s="56">
        <f>'سلاسل الإمداد'!N17</f>
        <v/>
      </c>
      <c r="H113" s="15">
        <f>'سلاسل الإمداد'!O17</f>
        <v/>
      </c>
      <c r="I113" s="24">
        <f>'سلاسل الإمداد'!G17</f>
        <v/>
      </c>
      <c r="J113" s="15">
        <f>IF($G113="",0,$G113*$I113)</f>
        <v/>
      </c>
      <c r="K113" s="15">
        <f>IF($G113="",0,$I113)</f>
        <v/>
      </c>
      <c r="L113" s="13">
        <f>'سلاسل الإمداد'!B17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الإمداد'!C19</f>
        <v/>
      </c>
      <c r="D114" s="15">
        <f>'سلاسل الإمداد'!J19</f>
        <v/>
      </c>
      <c r="E114" s="13">
        <f>'سلاسل الإمداد'!K19</f>
        <v/>
      </c>
      <c r="F114" s="15">
        <f>'سلاسل الإمداد'!L19</f>
        <v/>
      </c>
      <c r="G114" s="56">
        <f>'سلاسل الإمداد'!N19</f>
        <v/>
      </c>
      <c r="H114" s="15">
        <f>'سلاسل الإمداد'!O19</f>
        <v/>
      </c>
      <c r="I114" s="24">
        <f>'سلاسل الإمداد'!G19</f>
        <v/>
      </c>
      <c r="J114" s="15">
        <f>IF($G114="",0,$G114*$I114)</f>
        <v/>
      </c>
      <c r="K114" s="15">
        <f>IF($G114="",0,$I114)</f>
        <v/>
      </c>
      <c r="L114" s="13">
        <f>'سلاسل الإمداد'!B19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الإمداد'!C20</f>
        <v/>
      </c>
      <c r="D115" s="15">
        <f>'سلاسل الإمداد'!J20</f>
        <v/>
      </c>
      <c r="E115" s="13">
        <f>'سلاسل الإمداد'!K20</f>
        <v/>
      </c>
      <c r="F115" s="15">
        <f>'سلاسل الإمداد'!L20</f>
        <v/>
      </c>
      <c r="G115" s="56">
        <f>'سلاسل الإمداد'!N20</f>
        <v/>
      </c>
      <c r="H115" s="15">
        <f>'سلاسل الإمداد'!O20</f>
        <v/>
      </c>
      <c r="I115" s="24">
        <f>'سلاسل الإمداد'!G20</f>
        <v/>
      </c>
      <c r="J115" s="15">
        <f>IF($G115="",0,$G115*$I115)</f>
        <v/>
      </c>
      <c r="K115" s="15">
        <f>IF($G115="",0,$I115)</f>
        <v/>
      </c>
      <c r="L115" s="13">
        <f>'سلاسل الإمداد'!B20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والأتمتة'!C5</f>
        <v/>
      </c>
      <c r="D116" s="15">
        <f>'الصيانة والأتمتة'!J5</f>
        <v/>
      </c>
      <c r="E116" s="13">
        <f>'الصيانة والأتمتة'!K5</f>
        <v/>
      </c>
      <c r="F116" s="15">
        <f>'الصيانة والأتمتة'!L5</f>
        <v/>
      </c>
      <c r="G116" s="56">
        <f>'الصيانة والأتمتة'!N5</f>
        <v/>
      </c>
      <c r="H116" s="15">
        <f>'الصيانة والأتمتة'!O5</f>
        <v/>
      </c>
      <c r="I116" s="24">
        <f>'الصيانة والأتمتة'!G5</f>
        <v/>
      </c>
      <c r="J116" s="15">
        <f>IF($G116="",0,$G116*$I116)</f>
        <v/>
      </c>
      <c r="K116" s="15">
        <f>IF($G116="",0,$I116)</f>
        <v/>
      </c>
      <c r="L116" s="13">
        <f>'الصيانة والأتمتة'!B5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والأتمتة'!C6</f>
        <v/>
      </c>
      <c r="D117" s="15">
        <f>'الصيانة والأتمتة'!J6</f>
        <v/>
      </c>
      <c r="E117" s="13">
        <f>'الصيانة والأتمتة'!K6</f>
        <v/>
      </c>
      <c r="F117" s="15">
        <f>'الصيانة والأتمتة'!L6</f>
        <v/>
      </c>
      <c r="G117" s="56">
        <f>'الصيانة والأتمتة'!N6</f>
        <v/>
      </c>
      <c r="H117" s="15">
        <f>'الصيانة والأتمتة'!O6</f>
        <v/>
      </c>
      <c r="I117" s="24">
        <f>'الصيانة والأتمتة'!G6</f>
        <v/>
      </c>
      <c r="J117" s="15">
        <f>IF($G117="",0,$G117*$I117)</f>
        <v/>
      </c>
      <c r="K117" s="15">
        <f>IF($G117="",0,$I117)</f>
        <v/>
      </c>
      <c r="L117" s="13">
        <f>'الصيانة والأتمتة'!B6</f>
        <v/>
      </c>
    </row>
    <row r="118">
      <c r="A118" s="15" t="n">
        <v>117</v>
      </c>
      <c r="B118" s="13" t="inlineStr">
        <is>
          <t>الصيانة والأتمتة</t>
        </is>
      </c>
      <c r="C118" s="13">
        <f>'الصيانة والأتمتة'!C8</f>
        <v/>
      </c>
      <c r="D118" s="15">
        <f>'الصيانة والأتمتة'!J8</f>
        <v/>
      </c>
      <c r="E118" s="13">
        <f>'الصيانة والأتمتة'!K8</f>
        <v/>
      </c>
      <c r="F118" s="15">
        <f>'الصيانة والأتمتة'!L8</f>
        <v/>
      </c>
      <c r="G118" s="56">
        <f>'الصيانة والأتمتة'!N8</f>
        <v/>
      </c>
      <c r="H118" s="15">
        <f>'الصيانة والأتمتة'!O8</f>
        <v/>
      </c>
      <c r="I118" s="24">
        <f>'الصيانة والأتمتة'!G8</f>
        <v/>
      </c>
      <c r="J118" s="15">
        <f>IF($G118="",0,$G118*$I118)</f>
        <v/>
      </c>
      <c r="K118" s="15">
        <f>IF($G118="",0,$I118)</f>
        <v/>
      </c>
      <c r="L118" s="13">
        <f>'الصيانة والأتمتة'!B8</f>
        <v/>
      </c>
    </row>
    <row r="119">
      <c r="A119" s="15" t="n">
        <v>118</v>
      </c>
      <c r="B119" s="13" t="inlineStr">
        <is>
          <t>الصيانة والأتمتة</t>
        </is>
      </c>
      <c r="C119" s="13">
        <f>'الصيانة والأتمتة'!C9</f>
        <v/>
      </c>
      <c r="D119" s="15">
        <f>'الصيانة والأتمتة'!J9</f>
        <v/>
      </c>
      <c r="E119" s="13">
        <f>'الصيانة والأتمتة'!K9</f>
        <v/>
      </c>
      <c r="F119" s="15">
        <f>'الصيانة والأتمتة'!L9</f>
        <v/>
      </c>
      <c r="G119" s="56">
        <f>'الصيانة والأتمتة'!N9</f>
        <v/>
      </c>
      <c r="H119" s="15">
        <f>'الصيانة والأتمتة'!O9</f>
        <v/>
      </c>
      <c r="I119" s="24">
        <f>'الصيانة والأتمتة'!G9</f>
        <v/>
      </c>
      <c r="J119" s="15">
        <f>IF($G119="",0,$G119*$I119)</f>
        <v/>
      </c>
      <c r="K119" s="15">
        <f>IF($G119="",0,$I119)</f>
        <v/>
      </c>
      <c r="L119" s="13">
        <f>'الصيانة والأتمتة'!B9</f>
        <v/>
      </c>
    </row>
    <row r="120">
      <c r="A120" s="15" t="n">
        <v>119</v>
      </c>
      <c r="B120" s="13" t="inlineStr">
        <is>
          <t>الصيانة والأتمتة</t>
        </is>
      </c>
      <c r="C120" s="13">
        <f>'الصيانة والأتمتة'!C10</f>
        <v/>
      </c>
      <c r="D120" s="15">
        <f>'الصيانة والأتمتة'!J10</f>
        <v/>
      </c>
      <c r="E120" s="13">
        <f>'الصيانة والأتمتة'!K10</f>
        <v/>
      </c>
      <c r="F120" s="15">
        <f>'الصيانة والأتمتة'!L10</f>
        <v/>
      </c>
      <c r="G120" s="56">
        <f>'الصيانة والأتمتة'!N10</f>
        <v/>
      </c>
      <c r="H120" s="15">
        <f>'الصيانة والأتمتة'!O10</f>
        <v/>
      </c>
      <c r="I120" s="24">
        <f>'الصيانة والأتمتة'!G10</f>
        <v/>
      </c>
      <c r="J120" s="15">
        <f>IF($G120="",0,$G120*$I120)</f>
        <v/>
      </c>
      <c r="K120" s="15">
        <f>IF($G120="",0,$I120)</f>
        <v/>
      </c>
      <c r="L120" s="13">
        <f>'الصيانة والأتمتة'!B10</f>
        <v/>
      </c>
    </row>
    <row r="121">
      <c r="A121" s="15" t="n">
        <v>120</v>
      </c>
      <c r="B121" s="13" t="inlineStr">
        <is>
          <t>الصيانة والأتمتة</t>
        </is>
      </c>
      <c r="C121" s="13">
        <f>'الصيانة والأتمتة'!C11</f>
        <v/>
      </c>
      <c r="D121" s="15">
        <f>'الصيانة والأتمتة'!J11</f>
        <v/>
      </c>
      <c r="E121" s="13">
        <f>'الصيانة والأتمتة'!K11</f>
        <v/>
      </c>
      <c r="F121" s="15">
        <f>'الصيانة والأتمتة'!L11</f>
        <v/>
      </c>
      <c r="G121" s="56">
        <f>'الصيانة والأتمتة'!N11</f>
        <v/>
      </c>
      <c r="H121" s="15">
        <f>'الصيانة والأتمتة'!O11</f>
        <v/>
      </c>
      <c r="I121" s="24">
        <f>'الصيانة والأتمتة'!G11</f>
        <v/>
      </c>
      <c r="J121" s="15">
        <f>IF($G121="",0,$G121*$I121)</f>
        <v/>
      </c>
      <c r="K121" s="15">
        <f>IF($G121="",0,$I121)</f>
        <v/>
      </c>
      <c r="L121" s="13">
        <f>'الصيانة والأتمتة'!B11</f>
        <v/>
      </c>
    </row>
    <row r="122">
      <c r="A122" s="15" t="n">
        <v>121</v>
      </c>
      <c r="B122" s="13" t="inlineStr">
        <is>
          <t>الصيانة والأتمتة</t>
        </is>
      </c>
      <c r="C122" s="13">
        <f>'الصيانة والأتمتة'!C12</f>
        <v/>
      </c>
      <c r="D122" s="15">
        <f>'الصيانة والأتمتة'!J12</f>
        <v/>
      </c>
      <c r="E122" s="13">
        <f>'الصيانة والأتمتة'!K12</f>
        <v/>
      </c>
      <c r="F122" s="15">
        <f>'الصيانة والأتمتة'!L12</f>
        <v/>
      </c>
      <c r="G122" s="56">
        <f>'الصيانة والأتمتة'!N12</f>
        <v/>
      </c>
      <c r="H122" s="15">
        <f>'الصيانة والأتمتة'!O12</f>
        <v/>
      </c>
      <c r="I122" s="24">
        <f>'الصيانة والأتمتة'!G12</f>
        <v/>
      </c>
      <c r="J122" s="15">
        <f>IF($G122="",0,$G122*$I122)</f>
        <v/>
      </c>
      <c r="K122" s="15">
        <f>IF($G122="",0,$I122)</f>
        <v/>
      </c>
      <c r="L122" s="13">
        <f>'الصيانة والأتمتة'!B12</f>
        <v/>
      </c>
    </row>
    <row r="123">
      <c r="A123" s="15" t="n">
        <v>122</v>
      </c>
      <c r="B123" s="13" t="inlineStr">
        <is>
          <t>الصيانة والأتمتة</t>
        </is>
      </c>
      <c r="C123" s="13">
        <f>'الصيانة والأتمتة'!C14</f>
        <v/>
      </c>
      <c r="D123" s="15">
        <f>'الصيانة والأتمتة'!J14</f>
        <v/>
      </c>
      <c r="E123" s="13">
        <f>'الصيانة والأتمتة'!K14</f>
        <v/>
      </c>
      <c r="F123" s="15">
        <f>'الصيانة والأتمتة'!L14</f>
        <v/>
      </c>
      <c r="G123" s="56">
        <f>'الصيانة والأتمتة'!N14</f>
        <v/>
      </c>
      <c r="H123" s="15">
        <f>'الصيانة والأتمتة'!O14</f>
        <v/>
      </c>
      <c r="I123" s="24">
        <f>'الصيانة والأتمتة'!G14</f>
        <v/>
      </c>
      <c r="J123" s="15">
        <f>IF($G123="",0,$G123*$I123)</f>
        <v/>
      </c>
      <c r="K123" s="15">
        <f>IF($G123="",0,$I123)</f>
        <v/>
      </c>
      <c r="L123" s="13">
        <f>'الصيانة والأتمتة'!B14</f>
        <v/>
      </c>
    </row>
    <row r="124">
      <c r="A124" s="15" t="n">
        <v>123</v>
      </c>
      <c r="B124" s="13" t="inlineStr">
        <is>
          <t>الصيانة والأتمتة</t>
        </is>
      </c>
      <c r="C124" s="13">
        <f>'الصيانة والأتمتة'!C15</f>
        <v/>
      </c>
      <c r="D124" s="15">
        <f>'الصيانة والأتمتة'!J15</f>
        <v/>
      </c>
      <c r="E124" s="13">
        <f>'الصيانة والأتمتة'!K15</f>
        <v/>
      </c>
      <c r="F124" s="15">
        <f>'الصيانة والأتمتة'!L15</f>
        <v/>
      </c>
      <c r="G124" s="56">
        <f>'الصيانة والأتمتة'!N15</f>
        <v/>
      </c>
      <c r="H124" s="15">
        <f>'الصيانة والأتمتة'!O15</f>
        <v/>
      </c>
      <c r="I124" s="24">
        <f>'الصيانة والأتمتة'!G15</f>
        <v/>
      </c>
      <c r="J124" s="15">
        <f>IF($G124="",0,$G124*$I124)</f>
        <v/>
      </c>
      <c r="K124" s="15">
        <f>IF($G124="",0,$I124)</f>
        <v/>
      </c>
      <c r="L124" s="13">
        <f>'الصيانة والأتمتة'!B15</f>
        <v/>
      </c>
    </row>
    <row r="125">
      <c r="A125" s="15" t="n">
        <v>124</v>
      </c>
      <c r="B125" s="13" t="inlineStr">
        <is>
          <t>الصيانة والأتمتة</t>
        </is>
      </c>
      <c r="C125" s="13">
        <f>'الصيانة والأتمتة'!C16</f>
        <v/>
      </c>
      <c r="D125" s="15">
        <f>'الصيانة والأتمتة'!J16</f>
        <v/>
      </c>
      <c r="E125" s="13">
        <f>'الصيانة والأتمتة'!K16</f>
        <v/>
      </c>
      <c r="F125" s="15">
        <f>'الصيانة والأتمتة'!L16</f>
        <v/>
      </c>
      <c r="G125" s="56">
        <f>'الصيانة والأتمتة'!N16</f>
        <v/>
      </c>
      <c r="H125" s="15">
        <f>'الصيانة والأتمتة'!O16</f>
        <v/>
      </c>
      <c r="I125" s="24">
        <f>'الصيانة والأتمتة'!G16</f>
        <v/>
      </c>
      <c r="J125" s="15">
        <f>IF($G125="",0,$G125*$I125)</f>
        <v/>
      </c>
      <c r="K125" s="15">
        <f>IF($G125="",0,$I125)</f>
        <v/>
      </c>
      <c r="L125" s="13">
        <f>'الصيانة والأتمتة'!B16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الرقمية'!C5</f>
        <v/>
      </c>
      <c r="D126" s="15">
        <f>'التقنية الرقمية'!J5</f>
        <v/>
      </c>
      <c r="E126" s="13">
        <f>'التقنية الرقمية'!K5</f>
        <v/>
      </c>
      <c r="F126" s="15">
        <f>'التقنية الرقمية'!L5</f>
        <v/>
      </c>
      <c r="G126" s="56">
        <f>'التقنية الرقمية'!N5</f>
        <v/>
      </c>
      <c r="H126" s="15">
        <f>'التقنية الرقمية'!O5</f>
        <v/>
      </c>
      <c r="I126" s="24">
        <f>'التقنية الرقمية'!G5</f>
        <v/>
      </c>
      <c r="J126" s="15">
        <f>IF($G126="",0,$G126*$I126)</f>
        <v/>
      </c>
      <c r="K126" s="15">
        <f>IF($G126="",0,$I126)</f>
        <v/>
      </c>
      <c r="L126" s="13">
        <f>'التقنية الرقمية'!B5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الرقمية'!C6</f>
        <v/>
      </c>
      <c r="D127" s="15">
        <f>'التقنية الرقمية'!J6</f>
        <v/>
      </c>
      <c r="E127" s="13">
        <f>'التقنية الرقمية'!K6</f>
        <v/>
      </c>
      <c r="F127" s="15">
        <f>'التقنية الرقمية'!L6</f>
        <v/>
      </c>
      <c r="G127" s="56">
        <f>'التقنية الرقمية'!N6</f>
        <v/>
      </c>
      <c r="H127" s="15">
        <f>'التقنية الرقمية'!O6</f>
        <v/>
      </c>
      <c r="I127" s="24">
        <f>'التقنية الرقمية'!G6</f>
        <v/>
      </c>
      <c r="J127" s="15">
        <f>IF($G127="",0,$G127*$I127)</f>
        <v/>
      </c>
      <c r="K127" s="15">
        <f>IF($G127="",0,$I127)</f>
        <v/>
      </c>
      <c r="L127" s="13">
        <f>'التقنية الرقمية'!B6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الرقمية'!C7</f>
        <v/>
      </c>
      <c r="D128" s="15">
        <f>'التقنية الرقمية'!J7</f>
        <v/>
      </c>
      <c r="E128" s="13">
        <f>'التقنية الرقمية'!K7</f>
        <v/>
      </c>
      <c r="F128" s="15">
        <f>'التقنية الرقمية'!L7</f>
        <v/>
      </c>
      <c r="G128" s="56">
        <f>'التقنية الرقمية'!N7</f>
        <v/>
      </c>
      <c r="H128" s="15">
        <f>'التقنية الرقمية'!O7</f>
        <v/>
      </c>
      <c r="I128" s="24">
        <f>'التقنية الرقمية'!G7</f>
        <v/>
      </c>
      <c r="J128" s="15">
        <f>IF($G128="",0,$G128*$I128)</f>
        <v/>
      </c>
      <c r="K128" s="15">
        <f>IF($G128="",0,$I128)</f>
        <v/>
      </c>
      <c r="L128" s="13">
        <f>'التقنية الرقمية'!B7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الرقمية'!C9</f>
        <v/>
      </c>
      <c r="D129" s="15">
        <f>'التقنية الرقمية'!J9</f>
        <v/>
      </c>
      <c r="E129" s="13">
        <f>'التقنية الرقمية'!K9</f>
        <v/>
      </c>
      <c r="F129" s="15">
        <f>'التقنية الرقمية'!L9</f>
        <v/>
      </c>
      <c r="G129" s="56">
        <f>'التقنية الرقمية'!N9</f>
        <v/>
      </c>
      <c r="H129" s="15">
        <f>'التقنية الرقمية'!O9</f>
        <v/>
      </c>
      <c r="I129" s="24">
        <f>'التقنية الرقمية'!G9</f>
        <v/>
      </c>
      <c r="J129" s="15">
        <f>IF($G129="",0,$G129*$I129)</f>
        <v/>
      </c>
      <c r="K129" s="15">
        <f>IF($G129="",0,$I129)</f>
        <v/>
      </c>
      <c r="L129" s="13">
        <f>'التقنية الرقمية'!B9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الرقمية'!C10</f>
        <v/>
      </c>
      <c r="D130" s="15">
        <f>'التقنية الرقمية'!J10</f>
        <v/>
      </c>
      <c r="E130" s="13">
        <f>'التقنية الرقمية'!K10</f>
        <v/>
      </c>
      <c r="F130" s="15">
        <f>'التقنية الرقمية'!L10</f>
        <v/>
      </c>
      <c r="G130" s="56">
        <f>'التقنية الرقمية'!N10</f>
        <v/>
      </c>
      <c r="H130" s="15">
        <f>'التقنية الرقمية'!O10</f>
        <v/>
      </c>
      <c r="I130" s="24">
        <f>'التقنية الرقمية'!G10</f>
        <v/>
      </c>
      <c r="J130" s="15">
        <f>IF($G130="",0,$G130*$I130)</f>
        <v/>
      </c>
      <c r="K130" s="15">
        <f>IF($G130="",0,$I130)</f>
        <v/>
      </c>
      <c r="L130" s="13">
        <f>'التقنية الرقمية'!B10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الرقمية'!C12</f>
        <v/>
      </c>
      <c r="D131" s="15">
        <f>'التقنية الرقمية'!J12</f>
        <v/>
      </c>
      <c r="E131" s="13">
        <f>'التقنية الرقمية'!K12</f>
        <v/>
      </c>
      <c r="F131" s="15">
        <f>'التقنية الرقمية'!L12</f>
        <v/>
      </c>
      <c r="G131" s="56">
        <f>'التقنية الرقمية'!N12</f>
        <v/>
      </c>
      <c r="H131" s="15">
        <f>'التقنية الرقمية'!O12</f>
        <v/>
      </c>
      <c r="I131" s="24">
        <f>'التقنية الرقمية'!G12</f>
        <v/>
      </c>
      <c r="J131" s="15">
        <f>IF($G131="",0,$G131*$I131)</f>
        <v/>
      </c>
      <c r="K131" s="15">
        <f>IF($G131="",0,$I131)</f>
        <v/>
      </c>
      <c r="L131" s="13">
        <f>'التقنية الرقمية'!B12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الرقمية'!C13</f>
        <v/>
      </c>
      <c r="D132" s="15">
        <f>'التقنية الرقمية'!J13</f>
        <v/>
      </c>
      <c r="E132" s="13">
        <f>'التقنية الرقمية'!K13</f>
        <v/>
      </c>
      <c r="F132" s="15">
        <f>'التقنية الرقمية'!L13</f>
        <v/>
      </c>
      <c r="G132" s="56">
        <f>'التقنية الرقمية'!N13</f>
        <v/>
      </c>
      <c r="H132" s="15">
        <f>'التقنية الرقمية'!O13</f>
        <v/>
      </c>
      <c r="I132" s="24">
        <f>'التقنية الرقمية'!G13</f>
        <v/>
      </c>
      <c r="J132" s="15">
        <f>IF($G132="",0,$G132*$I132)</f>
        <v/>
      </c>
      <c r="K132" s="15">
        <f>IF($G132="",0,$I132)</f>
        <v/>
      </c>
      <c r="L132" s="13">
        <f>'التقنية الرقمية'!B13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الرقمية'!C14</f>
        <v/>
      </c>
      <c r="D133" s="15">
        <f>'التقنية الرقمية'!J14</f>
        <v/>
      </c>
      <c r="E133" s="13">
        <f>'التقنية الرقمية'!K14</f>
        <v/>
      </c>
      <c r="F133" s="15">
        <f>'التقنية الرقمية'!L14</f>
        <v/>
      </c>
      <c r="G133" s="56">
        <f>'التقنية الرقمية'!N14</f>
        <v/>
      </c>
      <c r="H133" s="15">
        <f>'التقنية الرقمية'!O14</f>
        <v/>
      </c>
      <c r="I133" s="24">
        <f>'التقنية الرقمية'!G14</f>
        <v/>
      </c>
      <c r="J133" s="15">
        <f>IF($G133="",0,$G133*$I133)</f>
        <v/>
      </c>
      <c r="K133" s="15">
        <f>IF($G133="",0,$I133)</f>
        <v/>
      </c>
      <c r="L133" s="13">
        <f>'التقنية الرقمية'!B14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الرقمية'!C16</f>
        <v/>
      </c>
      <c r="D134" s="15">
        <f>'التقنية الرقمية'!J16</f>
        <v/>
      </c>
      <c r="E134" s="13">
        <f>'التقنية الرقمية'!K16</f>
        <v/>
      </c>
      <c r="F134" s="15">
        <f>'التقنية الرقمية'!L16</f>
        <v/>
      </c>
      <c r="G134" s="56">
        <f>'التقنية الرقمية'!N16</f>
        <v/>
      </c>
      <c r="H134" s="15">
        <f>'التقنية الرقمية'!O16</f>
        <v/>
      </c>
      <c r="I134" s="24">
        <f>'التقنية الرقمية'!G16</f>
        <v/>
      </c>
      <c r="J134" s="15">
        <f>IF($G134="",0,$G134*$I134)</f>
        <v/>
      </c>
      <c r="K134" s="15">
        <f>IF($G134="",0,$I134)</f>
        <v/>
      </c>
      <c r="L134" s="13">
        <f>'التقنية الرقمية'!B16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الرقمية'!C17</f>
        <v/>
      </c>
      <c r="D135" s="15">
        <f>'التقنية الرقمية'!J17</f>
        <v/>
      </c>
      <c r="E135" s="13">
        <f>'التقنية الرقمية'!K17</f>
        <v/>
      </c>
      <c r="F135" s="15">
        <f>'التقنية الرقمية'!L17</f>
        <v/>
      </c>
      <c r="G135" s="56">
        <f>'التقنية الرقمية'!N17</f>
        <v/>
      </c>
      <c r="H135" s="15">
        <f>'التقنية الرقمية'!O17</f>
        <v/>
      </c>
      <c r="I135" s="24">
        <f>'التقنية الرقمية'!G17</f>
        <v/>
      </c>
      <c r="J135" s="15">
        <f>IF($G135="",0,$G135*$I135)</f>
        <v/>
      </c>
      <c r="K135" s="15">
        <f>IF($G135="",0,$I135)</f>
        <v/>
      </c>
      <c r="L135" s="13">
        <f>'التقنية الرقمية'!B17</f>
        <v/>
      </c>
    </row>
    <row r="136">
      <c r="A136" s="15" t="n">
        <v>135</v>
      </c>
      <c r="B136" s="13" t="inlineStr">
        <is>
          <t>التقنية الرقمية</t>
        </is>
      </c>
      <c r="C136" s="13">
        <f>'التقنية الرقمية'!C19</f>
        <v/>
      </c>
      <c r="D136" s="15">
        <f>'التقنية الرقمية'!J19</f>
        <v/>
      </c>
      <c r="E136" s="13">
        <f>'التقنية الرقمية'!K19</f>
        <v/>
      </c>
      <c r="F136" s="15">
        <f>'التقنية الرقمية'!L19</f>
        <v/>
      </c>
      <c r="G136" s="56">
        <f>'التقنية الرقمية'!N19</f>
        <v/>
      </c>
      <c r="H136" s="15">
        <f>'التقنية الرقمية'!O19</f>
        <v/>
      </c>
      <c r="I136" s="24">
        <f>'التقنية الرقمية'!G19</f>
        <v/>
      </c>
      <c r="J136" s="15">
        <f>IF($G136="",0,$G136*$I136)</f>
        <v/>
      </c>
      <c r="K136" s="15">
        <f>IF($G136="",0,$I136)</f>
        <v/>
      </c>
      <c r="L136" s="13">
        <f>'التقنية الرقمية'!B19</f>
        <v/>
      </c>
    </row>
    <row r="137">
      <c r="A137" s="15" t="n">
        <v>136</v>
      </c>
      <c r="B137" s="13" t="inlineStr">
        <is>
          <t>التقنية الرقمية</t>
        </is>
      </c>
      <c r="C137" s="13">
        <f>'التقنية الرقمية'!C20</f>
        <v/>
      </c>
      <c r="D137" s="15">
        <f>'التقنية الرقمية'!J20</f>
        <v/>
      </c>
      <c r="E137" s="13">
        <f>'التقنية الرقمية'!K20</f>
        <v/>
      </c>
      <c r="F137" s="15">
        <f>'التقنية الرقمية'!L20</f>
        <v/>
      </c>
      <c r="G137" s="56">
        <f>'التقنية الرقمية'!N20</f>
        <v/>
      </c>
      <c r="H137" s="15">
        <f>'التقنية الرقمية'!O20</f>
        <v/>
      </c>
      <c r="I137" s="24">
        <f>'التقنية الرقمية'!G20</f>
        <v/>
      </c>
      <c r="J137" s="15">
        <f>IF($G137="",0,$G137*$I137)</f>
        <v/>
      </c>
      <c r="K137" s="15">
        <f>IF($G137="",0,$I137)</f>
        <v/>
      </c>
      <c r="L137" s="13">
        <f>'التقنية الرقمية'!B20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البشرية'!C5</f>
        <v/>
      </c>
      <c r="D138" s="15">
        <f>'الموارد البشرية'!J5</f>
        <v/>
      </c>
      <c r="E138" s="13">
        <f>'الموارد البشرية'!K5</f>
        <v/>
      </c>
      <c r="F138" s="15">
        <f>'الموارد البشرية'!L5</f>
        <v/>
      </c>
      <c r="G138" s="56">
        <f>'الموارد البشرية'!N5</f>
        <v/>
      </c>
      <c r="H138" s="15">
        <f>'الموارد البشرية'!O5</f>
        <v/>
      </c>
      <c r="I138" s="24">
        <f>'الموارد البشرية'!G5</f>
        <v/>
      </c>
      <c r="J138" s="15">
        <f>IF($G138="",0,$G138*$I138)</f>
        <v/>
      </c>
      <c r="K138" s="15">
        <f>IF($G138="",0,$I138)</f>
        <v/>
      </c>
      <c r="L138" s="13">
        <f>'الموارد البشرية'!B5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البشرية'!C6</f>
        <v/>
      </c>
      <c r="D139" s="15">
        <f>'الموارد البشرية'!J6</f>
        <v/>
      </c>
      <c r="E139" s="13">
        <f>'الموارد البشرية'!K6</f>
        <v/>
      </c>
      <c r="F139" s="15">
        <f>'الموارد البشرية'!L6</f>
        <v/>
      </c>
      <c r="G139" s="56">
        <f>'الموارد البشرية'!N6</f>
        <v/>
      </c>
      <c r="H139" s="15">
        <f>'الموارد البشرية'!O6</f>
        <v/>
      </c>
      <c r="I139" s="24">
        <f>'الموارد البشرية'!G6</f>
        <v/>
      </c>
      <c r="J139" s="15">
        <f>IF($G139="",0,$G139*$I139)</f>
        <v/>
      </c>
      <c r="K139" s="15">
        <f>IF($G139="",0,$I139)</f>
        <v/>
      </c>
      <c r="L139" s="13">
        <f>'الموارد البشرية'!B6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البشرية'!C7</f>
        <v/>
      </c>
      <c r="D140" s="15">
        <f>'الموارد البشرية'!J7</f>
        <v/>
      </c>
      <c r="E140" s="13">
        <f>'الموارد البشرية'!K7</f>
        <v/>
      </c>
      <c r="F140" s="15">
        <f>'الموارد البشرية'!L7</f>
        <v/>
      </c>
      <c r="G140" s="56">
        <f>'الموارد البشرية'!N7</f>
        <v/>
      </c>
      <c r="H140" s="15">
        <f>'الموارد البشرية'!O7</f>
        <v/>
      </c>
      <c r="I140" s="24">
        <f>'الموارد البشرية'!G7</f>
        <v/>
      </c>
      <c r="J140" s="15">
        <f>IF($G140="",0,$G140*$I140)</f>
        <v/>
      </c>
      <c r="K140" s="15">
        <f>IF($G140="",0,$I140)</f>
        <v/>
      </c>
      <c r="L140" s="13">
        <f>'الموارد البشرية'!B7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البشرية'!C8</f>
        <v/>
      </c>
      <c r="D141" s="15">
        <f>'الموارد البشرية'!J8</f>
        <v/>
      </c>
      <c r="E141" s="13">
        <f>'الموارد البشرية'!K8</f>
        <v/>
      </c>
      <c r="F141" s="15">
        <f>'الموارد البشرية'!L8</f>
        <v/>
      </c>
      <c r="G141" s="56">
        <f>'الموارد البشرية'!N8</f>
        <v/>
      </c>
      <c r="H141" s="15">
        <f>'الموارد البشرية'!O8</f>
        <v/>
      </c>
      <c r="I141" s="24">
        <f>'الموارد البشرية'!G8</f>
        <v/>
      </c>
      <c r="J141" s="15">
        <f>IF($G141="",0,$G141*$I141)</f>
        <v/>
      </c>
      <c r="K141" s="15">
        <f>IF($G141="",0,$I141)</f>
        <v/>
      </c>
      <c r="L141" s="13">
        <f>'الموارد البشرية'!B8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البشرية'!C9</f>
        <v/>
      </c>
      <c r="D142" s="15">
        <f>'الموارد البشرية'!J9</f>
        <v/>
      </c>
      <c r="E142" s="13">
        <f>'الموارد البشرية'!K9</f>
        <v/>
      </c>
      <c r="F142" s="15">
        <f>'الموارد البشرية'!L9</f>
        <v/>
      </c>
      <c r="G142" s="56">
        <f>'الموارد البشرية'!N9</f>
        <v/>
      </c>
      <c r="H142" s="15">
        <f>'الموارد البشرية'!O9</f>
        <v/>
      </c>
      <c r="I142" s="24">
        <f>'الموارد البشرية'!G9</f>
        <v/>
      </c>
      <c r="J142" s="15">
        <f>IF($G142="",0,$G142*$I142)</f>
        <v/>
      </c>
      <c r="K142" s="15">
        <f>IF($G142="",0,$I142)</f>
        <v/>
      </c>
      <c r="L142" s="13">
        <f>'الموارد البشرية'!B9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البشرية'!C11</f>
        <v/>
      </c>
      <c r="D143" s="15">
        <f>'الموارد البشرية'!J11</f>
        <v/>
      </c>
      <c r="E143" s="13">
        <f>'الموارد البشرية'!K11</f>
        <v/>
      </c>
      <c r="F143" s="15">
        <f>'الموارد البشرية'!L11</f>
        <v/>
      </c>
      <c r="G143" s="56">
        <f>'الموارد البشرية'!N11</f>
        <v/>
      </c>
      <c r="H143" s="15">
        <f>'الموارد البشرية'!O11</f>
        <v/>
      </c>
      <c r="I143" s="24">
        <f>'الموارد البشرية'!G11</f>
        <v/>
      </c>
      <c r="J143" s="15">
        <f>IF($G143="",0,$G143*$I143)</f>
        <v/>
      </c>
      <c r="K143" s="15">
        <f>IF($G143="",0,$I143)</f>
        <v/>
      </c>
      <c r="L143" s="13">
        <f>'الموارد البشرية'!B11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البشرية'!C12</f>
        <v/>
      </c>
      <c r="D144" s="15">
        <f>'الموارد البشرية'!J12</f>
        <v/>
      </c>
      <c r="E144" s="13">
        <f>'الموارد البشرية'!K12</f>
        <v/>
      </c>
      <c r="F144" s="15">
        <f>'الموارد البشرية'!L12</f>
        <v/>
      </c>
      <c r="G144" s="56">
        <f>'الموارد البشرية'!N12</f>
        <v/>
      </c>
      <c r="H144" s="15">
        <f>'الموارد البشرية'!O12</f>
        <v/>
      </c>
      <c r="I144" s="24">
        <f>'الموارد البشرية'!G12</f>
        <v/>
      </c>
      <c r="J144" s="15">
        <f>IF($G144="",0,$G144*$I144)</f>
        <v/>
      </c>
      <c r="K144" s="15">
        <f>IF($G144="",0,$I144)</f>
        <v/>
      </c>
      <c r="L144" s="13">
        <f>'الموارد البشرية'!B12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البشرية'!C14</f>
        <v/>
      </c>
      <c r="D145" s="15">
        <f>'الموارد البشرية'!J14</f>
        <v/>
      </c>
      <c r="E145" s="13">
        <f>'الموارد البشرية'!K14</f>
        <v/>
      </c>
      <c r="F145" s="15">
        <f>'الموارد البشرية'!L14</f>
        <v/>
      </c>
      <c r="G145" s="56">
        <f>'الموارد البشرية'!N14</f>
        <v/>
      </c>
      <c r="H145" s="15">
        <f>'الموارد البشرية'!O14</f>
        <v/>
      </c>
      <c r="I145" s="24">
        <f>'الموارد البشرية'!G14</f>
        <v/>
      </c>
      <c r="J145" s="15">
        <f>IF($G145="",0,$G145*$I145)</f>
        <v/>
      </c>
      <c r="K145" s="15">
        <f>IF($G145="",0,$I145)</f>
        <v/>
      </c>
      <c r="L145" s="13">
        <f>'الموارد البشرية'!B14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البشرية'!C15</f>
        <v/>
      </c>
      <c r="D146" s="15">
        <f>'الموارد البشرية'!J15</f>
        <v/>
      </c>
      <c r="E146" s="13">
        <f>'الموارد البشرية'!K15</f>
        <v/>
      </c>
      <c r="F146" s="15">
        <f>'الموارد البشرية'!L15</f>
        <v/>
      </c>
      <c r="G146" s="56">
        <f>'الموارد البشرية'!N15</f>
        <v/>
      </c>
      <c r="H146" s="15">
        <f>'الموارد البشرية'!O15</f>
        <v/>
      </c>
      <c r="I146" s="24">
        <f>'الموارد البشرية'!G15</f>
        <v/>
      </c>
      <c r="J146" s="15">
        <f>IF($G146="",0,$G146*$I146)</f>
        <v/>
      </c>
      <c r="K146" s="15">
        <f>IF($G146="",0,$I146)</f>
        <v/>
      </c>
      <c r="L146" s="13">
        <f>'الموارد البشرية'!B15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البشرية'!C17</f>
        <v/>
      </c>
      <c r="D147" s="15">
        <f>'الموارد البشرية'!J17</f>
        <v/>
      </c>
      <c r="E147" s="13">
        <f>'الموارد البشرية'!K17</f>
        <v/>
      </c>
      <c r="F147" s="15">
        <f>'الموارد البشرية'!L17</f>
        <v/>
      </c>
      <c r="G147" s="56">
        <f>'الموارد البشرية'!N17</f>
        <v/>
      </c>
      <c r="H147" s="15">
        <f>'الموارد البشرية'!O17</f>
        <v/>
      </c>
      <c r="I147" s="24">
        <f>'الموارد البشرية'!G17</f>
        <v/>
      </c>
      <c r="J147" s="15">
        <f>IF($G147="",0,$G147*$I147)</f>
        <v/>
      </c>
      <c r="K147" s="15">
        <f>IF($G147="",0,$I147)</f>
        <v/>
      </c>
      <c r="L147" s="13">
        <f>'الموارد البشرية'!B17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البشرية'!C18</f>
        <v/>
      </c>
      <c r="D148" s="15">
        <f>'الموارد البشرية'!J18</f>
        <v/>
      </c>
      <c r="E148" s="13">
        <f>'الموارد البشرية'!K18</f>
        <v/>
      </c>
      <c r="F148" s="15">
        <f>'الموارد البشرية'!L18</f>
        <v/>
      </c>
      <c r="G148" s="56">
        <f>'الموارد البشرية'!N18</f>
        <v/>
      </c>
      <c r="H148" s="15">
        <f>'الموارد البشرية'!O18</f>
        <v/>
      </c>
      <c r="I148" s="24">
        <f>'الموارد البشرية'!G18</f>
        <v/>
      </c>
      <c r="J148" s="15">
        <f>IF($G148="",0,$G148*$I148)</f>
        <v/>
      </c>
      <c r="K148" s="15">
        <f>IF($G148="",0,$I148)</f>
        <v/>
      </c>
      <c r="L148" s="13">
        <f>'الموارد البشرية'!B18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البشرية'!C19</f>
        <v/>
      </c>
      <c r="D149" s="15">
        <f>'الموارد البشرية'!J19</f>
        <v/>
      </c>
      <c r="E149" s="13">
        <f>'الموارد البشرية'!K19</f>
        <v/>
      </c>
      <c r="F149" s="15">
        <f>'الموارد البشرية'!L19</f>
        <v/>
      </c>
      <c r="G149" s="56">
        <f>'الموارد البشرية'!N19</f>
        <v/>
      </c>
      <c r="H149" s="15">
        <f>'الموارد البشرية'!O19</f>
        <v/>
      </c>
      <c r="I149" s="24">
        <f>'الموارد البشرية'!G19</f>
        <v/>
      </c>
      <c r="J149" s="15">
        <f>IF($G149="",0,$G149*$I149)</f>
        <v/>
      </c>
      <c r="K149" s="15">
        <f>IF($G149="",0,$I149)</f>
        <v/>
      </c>
      <c r="L149" s="13">
        <f>'الموارد البشرية'!B19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البشرية'!C20</f>
        <v/>
      </c>
      <c r="D150" s="15">
        <f>'الموارد البشرية'!J20</f>
        <v/>
      </c>
      <c r="E150" s="13">
        <f>'الموارد البشرية'!K20</f>
        <v/>
      </c>
      <c r="F150" s="15">
        <f>'الموارد البشرية'!L20</f>
        <v/>
      </c>
      <c r="G150" s="56">
        <f>'الموارد البشرية'!N20</f>
        <v/>
      </c>
      <c r="H150" s="15">
        <f>'الموارد البشرية'!O20</f>
        <v/>
      </c>
      <c r="I150" s="24">
        <f>'الموارد البشرية'!G20</f>
        <v/>
      </c>
      <c r="J150" s="15">
        <f>IF($G150="",0,$G150*$I150)</f>
        <v/>
      </c>
      <c r="K150" s="15">
        <f>IF($G150="",0,$I150)</f>
        <v/>
      </c>
      <c r="L150" s="13">
        <f>'الموارد البشرية'!B20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'التسويق'!C5</f>
        <v/>
      </c>
      <c r="D151" s="15">
        <f>'التسويق'!J5</f>
        <v/>
      </c>
      <c r="E151" s="13">
        <f>'التسويق'!K5</f>
        <v/>
      </c>
      <c r="F151" s="15">
        <f>'التسويق'!L5</f>
        <v/>
      </c>
      <c r="G151" s="56">
        <f>'التسويق'!N5</f>
        <v/>
      </c>
      <c r="H151" s="15">
        <f>'التسويق'!O5</f>
        <v/>
      </c>
      <c r="I151" s="24">
        <f>'التسويق'!G5</f>
        <v/>
      </c>
      <c r="J151" s="15">
        <f>IF($G151="",0,$G151*$I151)</f>
        <v/>
      </c>
      <c r="K151" s="15">
        <f>IF($G151="",0,$I151)</f>
        <v/>
      </c>
      <c r="L151" s="13">
        <f>'التسويق'!B5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'التسويق'!C6</f>
        <v/>
      </c>
      <c r="D152" s="15">
        <f>'التسويق'!J6</f>
        <v/>
      </c>
      <c r="E152" s="13">
        <f>'التسويق'!K6</f>
        <v/>
      </c>
      <c r="F152" s="15">
        <f>'التسويق'!L6</f>
        <v/>
      </c>
      <c r="G152" s="56">
        <f>'التسويق'!N6</f>
        <v/>
      </c>
      <c r="H152" s="15">
        <f>'التسويق'!O6</f>
        <v/>
      </c>
      <c r="I152" s="24">
        <f>'التسويق'!G6</f>
        <v/>
      </c>
      <c r="J152" s="15">
        <f>IF($G152="",0,$G152*$I152)</f>
        <v/>
      </c>
      <c r="K152" s="15">
        <f>IF($G152="",0,$I152)</f>
        <v/>
      </c>
      <c r="L152" s="13">
        <f>'التسويق'!B6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'التسويق'!C7</f>
        <v/>
      </c>
      <c r="D153" s="15">
        <f>'التسويق'!J7</f>
        <v/>
      </c>
      <c r="E153" s="13">
        <f>'التسويق'!K7</f>
        <v/>
      </c>
      <c r="F153" s="15">
        <f>'التسويق'!L7</f>
        <v/>
      </c>
      <c r="G153" s="56">
        <f>'التسويق'!N7</f>
        <v/>
      </c>
      <c r="H153" s="15">
        <f>'التسويق'!O7</f>
        <v/>
      </c>
      <c r="I153" s="24">
        <f>'التسويق'!G7</f>
        <v/>
      </c>
      <c r="J153" s="15">
        <f>IF($G153="",0,$G153*$I153)</f>
        <v/>
      </c>
      <c r="K153" s="15">
        <f>IF($G153="",0,$I153)</f>
        <v/>
      </c>
      <c r="L153" s="13">
        <f>'التسويق'!B7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'التسويق'!C9</f>
        <v/>
      </c>
      <c r="D154" s="15">
        <f>'التسويق'!J9</f>
        <v/>
      </c>
      <c r="E154" s="13">
        <f>'التسويق'!K9</f>
        <v/>
      </c>
      <c r="F154" s="15">
        <f>'التسويق'!L9</f>
        <v/>
      </c>
      <c r="G154" s="56">
        <f>'التسويق'!N9</f>
        <v/>
      </c>
      <c r="H154" s="15">
        <f>'التسويق'!O9</f>
        <v/>
      </c>
      <c r="I154" s="24">
        <f>'التسويق'!G9</f>
        <v/>
      </c>
      <c r="J154" s="15">
        <f>IF($G154="",0,$G154*$I154)</f>
        <v/>
      </c>
      <c r="K154" s="15">
        <f>IF($G154="",0,$I154)</f>
        <v/>
      </c>
      <c r="L154" s="13">
        <f>'التسويق'!B9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'التسويق'!C10</f>
        <v/>
      </c>
      <c r="D155" s="15">
        <f>'التسويق'!J10</f>
        <v/>
      </c>
      <c r="E155" s="13">
        <f>'التسويق'!K10</f>
        <v/>
      </c>
      <c r="F155" s="15">
        <f>'التسويق'!L10</f>
        <v/>
      </c>
      <c r="G155" s="56">
        <f>'التسويق'!N10</f>
        <v/>
      </c>
      <c r="H155" s="15">
        <f>'التسويق'!O10</f>
        <v/>
      </c>
      <c r="I155" s="24">
        <f>'التسويق'!G10</f>
        <v/>
      </c>
      <c r="J155" s="15">
        <f>IF($G155="",0,$G155*$I155)</f>
        <v/>
      </c>
      <c r="K155" s="15">
        <f>IF($G155="",0,$I155)</f>
        <v/>
      </c>
      <c r="L155" s="13">
        <f>'التسويق'!B10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'التسويق'!C12</f>
        <v/>
      </c>
      <c r="D156" s="15">
        <f>'التسويق'!J12</f>
        <v/>
      </c>
      <c r="E156" s="13">
        <f>'التسويق'!K12</f>
        <v/>
      </c>
      <c r="F156" s="15">
        <f>'التسويق'!L12</f>
        <v/>
      </c>
      <c r="G156" s="56">
        <f>'التسويق'!N12</f>
        <v/>
      </c>
      <c r="H156" s="15">
        <f>'التسويق'!O12</f>
        <v/>
      </c>
      <c r="I156" s="24">
        <f>'التسويق'!G12</f>
        <v/>
      </c>
      <c r="J156" s="15">
        <f>IF($G156="",0,$G156*$I156)</f>
        <v/>
      </c>
      <c r="K156" s="15">
        <f>IF($G156="",0,$I156)</f>
        <v/>
      </c>
      <c r="L156" s="13">
        <f>'التسويق'!B12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'التسويق'!C13</f>
        <v/>
      </c>
      <c r="D157" s="15">
        <f>'التسويق'!J13</f>
        <v/>
      </c>
      <c r="E157" s="13">
        <f>'التسويق'!K13</f>
        <v/>
      </c>
      <c r="F157" s="15">
        <f>'التسويق'!L13</f>
        <v/>
      </c>
      <c r="G157" s="56">
        <f>'التسويق'!N13</f>
        <v/>
      </c>
      <c r="H157" s="15">
        <f>'التسويق'!O13</f>
        <v/>
      </c>
      <c r="I157" s="24">
        <f>'التسويق'!G13</f>
        <v/>
      </c>
      <c r="J157" s="15">
        <f>IF($G157="",0,$G157*$I157)</f>
        <v/>
      </c>
      <c r="K157" s="15">
        <f>IF($G157="",0,$I157)</f>
        <v/>
      </c>
      <c r="L157" s="13">
        <f>'التسويق'!B13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'التسويق'!C15</f>
        <v/>
      </c>
      <c r="D158" s="15">
        <f>'التسويق'!J15</f>
        <v/>
      </c>
      <c r="E158" s="13">
        <f>'التسويق'!K15</f>
        <v/>
      </c>
      <c r="F158" s="15">
        <f>'التسويق'!L15</f>
        <v/>
      </c>
      <c r="G158" s="56">
        <f>'التسويق'!N15</f>
        <v/>
      </c>
      <c r="H158" s="15">
        <f>'التسويق'!O15</f>
        <v/>
      </c>
      <c r="I158" s="24">
        <f>'التسويق'!G15</f>
        <v/>
      </c>
      <c r="J158" s="15">
        <f>IF($G158="",0,$G158*$I158)</f>
        <v/>
      </c>
      <c r="K158" s="15">
        <f>IF($G158="",0,$I158)</f>
        <v/>
      </c>
      <c r="L158" s="13">
        <f>'التسويق'!B15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'التسويق'!C16</f>
        <v/>
      </c>
      <c r="D159" s="15">
        <f>'التسويق'!J16</f>
        <v/>
      </c>
      <c r="E159" s="13">
        <f>'التسويق'!K16</f>
        <v/>
      </c>
      <c r="F159" s="15">
        <f>'التسويق'!L16</f>
        <v/>
      </c>
      <c r="G159" s="56">
        <f>'التسويق'!N16</f>
        <v/>
      </c>
      <c r="H159" s="15">
        <f>'التسويق'!O16</f>
        <v/>
      </c>
      <c r="I159" s="24">
        <f>'التسويق'!G16</f>
        <v/>
      </c>
      <c r="J159" s="15">
        <f>IF($G159="",0,$G159*$I159)</f>
        <v/>
      </c>
      <c r="K159" s="15">
        <f>IF($G159="",0,$I159)</f>
        <v/>
      </c>
      <c r="L159" s="13">
        <f>'التسويق'!B16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'التسويق'!C18</f>
        <v/>
      </c>
      <c r="D160" s="15">
        <f>'التسويق'!J18</f>
        <v/>
      </c>
      <c r="E160" s="13">
        <f>'التسويق'!K18</f>
        <v/>
      </c>
      <c r="F160" s="15">
        <f>'التسويق'!L18</f>
        <v/>
      </c>
      <c r="G160" s="56">
        <f>'التسويق'!N18</f>
        <v/>
      </c>
      <c r="H160" s="15">
        <f>'التسويق'!O18</f>
        <v/>
      </c>
      <c r="I160" s="24">
        <f>'التسويق'!G18</f>
        <v/>
      </c>
      <c r="J160" s="15">
        <f>IF($G160="",0,$G160*$I160)</f>
        <v/>
      </c>
      <c r="K160" s="15">
        <f>IF($G160="",0,$I160)</f>
        <v/>
      </c>
      <c r="L160" s="13">
        <f>'التسويق'!B18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'التسويق'!C19</f>
        <v/>
      </c>
      <c r="D161" s="15">
        <f>'التسويق'!J19</f>
        <v/>
      </c>
      <c r="E161" s="13">
        <f>'التسويق'!K19</f>
        <v/>
      </c>
      <c r="F161" s="15">
        <f>'التسويق'!L19</f>
        <v/>
      </c>
      <c r="G161" s="56">
        <f>'التسويق'!N19</f>
        <v/>
      </c>
      <c r="H161" s="15">
        <f>'التسويق'!O19</f>
        <v/>
      </c>
      <c r="I161" s="24">
        <f>'التسويق'!G19</f>
        <v/>
      </c>
      <c r="J161" s="15">
        <f>IF($G161="",0,$G161*$I161)</f>
        <v/>
      </c>
      <c r="K161" s="15">
        <f>IF($G161="",0,$I161)</f>
        <v/>
      </c>
      <c r="L161" s="13">
        <f>'التسويق'!B19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'الجودة'!C5</f>
        <v/>
      </c>
      <c r="D162" s="15">
        <f>'الجودة'!J5</f>
        <v/>
      </c>
      <c r="E162" s="13">
        <f>'الجودة'!K5</f>
        <v/>
      </c>
      <c r="F162" s="15">
        <f>'الجودة'!L5</f>
        <v/>
      </c>
      <c r="G162" s="56">
        <f>'الجودة'!N5</f>
        <v/>
      </c>
      <c r="H162" s="15">
        <f>'الجودة'!O5</f>
        <v/>
      </c>
      <c r="I162" s="24">
        <f>'الجودة'!G5</f>
        <v/>
      </c>
      <c r="J162" s="15">
        <f>IF($G162="",0,$G162*$I162)</f>
        <v/>
      </c>
      <c r="K162" s="15">
        <f>IF($G162="",0,$I162)</f>
        <v/>
      </c>
      <c r="L162" s="13">
        <f>'الجودة'!B5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'الجودة'!C6</f>
        <v/>
      </c>
      <c r="D163" s="15">
        <f>'الجودة'!J6</f>
        <v/>
      </c>
      <c r="E163" s="13">
        <f>'الجودة'!K6</f>
        <v/>
      </c>
      <c r="F163" s="15">
        <f>'الجودة'!L6</f>
        <v/>
      </c>
      <c r="G163" s="56">
        <f>'الجودة'!N6</f>
        <v/>
      </c>
      <c r="H163" s="15">
        <f>'الجودة'!O6</f>
        <v/>
      </c>
      <c r="I163" s="24">
        <f>'الجودة'!G6</f>
        <v/>
      </c>
      <c r="J163" s="15">
        <f>IF($G163="",0,$G163*$I163)</f>
        <v/>
      </c>
      <c r="K163" s="15">
        <f>IF($G163="",0,$I163)</f>
        <v/>
      </c>
      <c r="L163" s="13">
        <f>'الجودة'!B6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'الجودة'!C7</f>
        <v/>
      </c>
      <c r="D164" s="15">
        <f>'الجودة'!J7</f>
        <v/>
      </c>
      <c r="E164" s="13">
        <f>'الجودة'!K7</f>
        <v/>
      </c>
      <c r="F164" s="15">
        <f>'الجودة'!L7</f>
        <v/>
      </c>
      <c r="G164" s="56">
        <f>'الجودة'!N7</f>
        <v/>
      </c>
      <c r="H164" s="15">
        <f>'الجودة'!O7</f>
        <v/>
      </c>
      <c r="I164" s="24">
        <f>'الجودة'!G7</f>
        <v/>
      </c>
      <c r="J164" s="15">
        <f>IF($G164="",0,$G164*$I164)</f>
        <v/>
      </c>
      <c r="K164" s="15">
        <f>IF($G164="",0,$I164)</f>
        <v/>
      </c>
      <c r="L164" s="13">
        <f>'الجودة'!B7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'الجودة'!C8</f>
        <v/>
      </c>
      <c r="D165" s="15">
        <f>'الجودة'!J8</f>
        <v/>
      </c>
      <c r="E165" s="13">
        <f>'الجودة'!K8</f>
        <v/>
      </c>
      <c r="F165" s="15">
        <f>'الجودة'!L8</f>
        <v/>
      </c>
      <c r="G165" s="56">
        <f>'الجودة'!N8</f>
        <v/>
      </c>
      <c r="H165" s="15">
        <f>'الجودة'!O8</f>
        <v/>
      </c>
      <c r="I165" s="24">
        <f>'الجودة'!G8</f>
        <v/>
      </c>
      <c r="J165" s="15">
        <f>IF($G165="",0,$G165*$I165)</f>
        <v/>
      </c>
      <c r="K165" s="15">
        <f>IF($G165="",0,$I165)</f>
        <v/>
      </c>
      <c r="L165" s="13">
        <f>'الجودة'!B8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'الجودة'!C9</f>
        <v/>
      </c>
      <c r="D166" s="15">
        <f>'الجودة'!J9</f>
        <v/>
      </c>
      <c r="E166" s="13">
        <f>'الجودة'!K9</f>
        <v/>
      </c>
      <c r="F166" s="15">
        <f>'الجودة'!L9</f>
        <v/>
      </c>
      <c r="G166" s="56">
        <f>'الجودة'!N9</f>
        <v/>
      </c>
      <c r="H166" s="15">
        <f>'الجودة'!O9</f>
        <v/>
      </c>
      <c r="I166" s="24">
        <f>'الجودة'!G9</f>
        <v/>
      </c>
      <c r="J166" s="15">
        <f>IF($G166="",0,$G166*$I166)</f>
        <v/>
      </c>
      <c r="K166" s="15">
        <f>IF($G166="",0,$I166)</f>
        <v/>
      </c>
      <c r="L166" s="13">
        <f>'الجودة'!B9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'الجودة'!C10</f>
        <v/>
      </c>
      <c r="D167" s="15">
        <f>'الجودة'!J10</f>
        <v/>
      </c>
      <c r="E167" s="13">
        <f>'الجودة'!K10</f>
        <v/>
      </c>
      <c r="F167" s="15">
        <f>'الجودة'!L10</f>
        <v/>
      </c>
      <c r="G167" s="56">
        <f>'الجودة'!N10</f>
        <v/>
      </c>
      <c r="H167" s="15">
        <f>'الجودة'!O10</f>
        <v/>
      </c>
      <c r="I167" s="24">
        <f>'الجودة'!G10</f>
        <v/>
      </c>
      <c r="J167" s="15">
        <f>IF($G167="",0,$G167*$I167)</f>
        <v/>
      </c>
      <c r="K167" s="15">
        <f>IF($G167="",0,$I167)</f>
        <v/>
      </c>
      <c r="L167" s="13">
        <f>'الجودة'!B10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'الجودة'!C12</f>
        <v/>
      </c>
      <c r="D168" s="15">
        <f>'الجودة'!J12</f>
        <v/>
      </c>
      <c r="E168" s="13">
        <f>'الجودة'!K12</f>
        <v/>
      </c>
      <c r="F168" s="15">
        <f>'الجودة'!L12</f>
        <v/>
      </c>
      <c r="G168" s="56">
        <f>'الجودة'!N12</f>
        <v/>
      </c>
      <c r="H168" s="15">
        <f>'الجودة'!O12</f>
        <v/>
      </c>
      <c r="I168" s="24">
        <f>'الجودة'!G12</f>
        <v/>
      </c>
      <c r="J168" s="15">
        <f>IF($G168="",0,$G168*$I168)</f>
        <v/>
      </c>
      <c r="K168" s="15">
        <f>IF($G168="",0,$I168)</f>
        <v/>
      </c>
      <c r="L168" s="13">
        <f>'الجودة'!B12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'الجودة'!C13</f>
        <v/>
      </c>
      <c r="D169" s="15">
        <f>'الجودة'!J13</f>
        <v/>
      </c>
      <c r="E169" s="13">
        <f>'الجودة'!K13</f>
        <v/>
      </c>
      <c r="F169" s="15">
        <f>'الجودة'!L13</f>
        <v/>
      </c>
      <c r="G169" s="56">
        <f>'الجودة'!N13</f>
        <v/>
      </c>
      <c r="H169" s="15">
        <f>'الجودة'!O13</f>
        <v/>
      </c>
      <c r="I169" s="24">
        <f>'الجودة'!G13</f>
        <v/>
      </c>
      <c r="J169" s="15">
        <f>IF($G169="",0,$G169*$I169)</f>
        <v/>
      </c>
      <c r="K169" s="15">
        <f>IF($G169="",0,$I169)</f>
        <v/>
      </c>
      <c r="L169" s="13">
        <f>'الجودة'!B13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'الجودة'!C14</f>
        <v/>
      </c>
      <c r="D170" s="15">
        <f>'الجودة'!J14</f>
        <v/>
      </c>
      <c r="E170" s="13">
        <f>'الجودة'!K14</f>
        <v/>
      </c>
      <c r="F170" s="15">
        <f>'الجودة'!L14</f>
        <v/>
      </c>
      <c r="G170" s="56">
        <f>'الجودة'!N14</f>
        <v/>
      </c>
      <c r="H170" s="15">
        <f>'الجودة'!O14</f>
        <v/>
      </c>
      <c r="I170" s="24">
        <f>'الجودة'!G14</f>
        <v/>
      </c>
      <c r="J170" s="15">
        <f>IF($G170="",0,$G170*$I170)</f>
        <v/>
      </c>
      <c r="K170" s="15">
        <f>IF($G170="",0,$I170)</f>
        <v/>
      </c>
      <c r="L170" s="13">
        <f>'الجودة'!B14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'الجودة'!C15</f>
        <v/>
      </c>
      <c r="D171" s="15">
        <f>'الجودة'!J15</f>
        <v/>
      </c>
      <c r="E171" s="13">
        <f>'الجودة'!K15</f>
        <v/>
      </c>
      <c r="F171" s="15">
        <f>'الجودة'!L15</f>
        <v/>
      </c>
      <c r="G171" s="56">
        <f>'الجودة'!N15</f>
        <v/>
      </c>
      <c r="H171" s="15">
        <f>'الجودة'!O15</f>
        <v/>
      </c>
      <c r="I171" s="24">
        <f>'الجودة'!G15</f>
        <v/>
      </c>
      <c r="J171" s="15">
        <f>IF($G171="",0,$G171*$I171)</f>
        <v/>
      </c>
      <c r="K171" s="15">
        <f>IF($G171="",0,$I171)</f>
        <v/>
      </c>
      <c r="L171" s="13">
        <f>'الجودة'!B15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'الجودة'!C16</f>
        <v/>
      </c>
      <c r="D172" s="15">
        <f>'الجودة'!J16</f>
        <v/>
      </c>
      <c r="E172" s="13">
        <f>'الجودة'!K16</f>
        <v/>
      </c>
      <c r="F172" s="15">
        <f>'الجودة'!L16</f>
        <v/>
      </c>
      <c r="G172" s="56">
        <f>'الجودة'!N16</f>
        <v/>
      </c>
      <c r="H172" s="15">
        <f>'الجودة'!O16</f>
        <v/>
      </c>
      <c r="I172" s="24">
        <f>'الجودة'!G16</f>
        <v/>
      </c>
      <c r="J172" s="15">
        <f>IF($G172="",0,$G172*$I172)</f>
        <v/>
      </c>
      <c r="K172" s="15">
        <f>IF($G172="",0,$I172)</f>
        <v/>
      </c>
      <c r="L172" s="13">
        <f>'الجودة'!B16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'الجودة'!C18</f>
        <v/>
      </c>
      <c r="D173" s="15">
        <f>'الجودة'!J18</f>
        <v/>
      </c>
      <c r="E173" s="13">
        <f>'الجودة'!K18</f>
        <v/>
      </c>
      <c r="F173" s="15">
        <f>'الجودة'!L18</f>
        <v/>
      </c>
      <c r="G173" s="56">
        <f>'الجودة'!N18</f>
        <v/>
      </c>
      <c r="H173" s="15">
        <f>'الجودة'!O18</f>
        <v/>
      </c>
      <c r="I173" s="24">
        <f>'الجودة'!G18</f>
        <v/>
      </c>
      <c r="J173" s="15">
        <f>IF($G173="",0,$G173*$I173)</f>
        <v/>
      </c>
      <c r="K173" s="15">
        <f>IF($G173="",0,$I173)</f>
        <v/>
      </c>
      <c r="L173" s="13">
        <f>'الجودة'!B18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'الجودة'!C19</f>
        <v/>
      </c>
      <c r="D174" s="15">
        <f>'الجودة'!J19</f>
        <v/>
      </c>
      <c r="E174" s="13">
        <f>'الجودة'!K19</f>
        <v/>
      </c>
      <c r="F174" s="15">
        <f>'الجودة'!L19</f>
        <v/>
      </c>
      <c r="G174" s="56">
        <f>'الجودة'!N19</f>
        <v/>
      </c>
      <c r="H174" s="15">
        <f>'الجودة'!O19</f>
        <v/>
      </c>
      <c r="I174" s="24">
        <f>'الجودة'!G19</f>
        <v/>
      </c>
      <c r="J174" s="15">
        <f>IF($G174="",0,$G174*$I174)</f>
        <v/>
      </c>
      <c r="K174" s="15">
        <f>IF($G174="",0,$I174)</f>
        <v/>
      </c>
      <c r="L174" s="13">
        <f>'الجودة'!B19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'الجودة'!C20</f>
        <v/>
      </c>
      <c r="D175" s="15">
        <f>'الجودة'!J20</f>
        <v/>
      </c>
      <c r="E175" s="13">
        <f>'الجودة'!K20</f>
        <v/>
      </c>
      <c r="F175" s="15">
        <f>'الجودة'!L20</f>
        <v/>
      </c>
      <c r="G175" s="56">
        <f>'الجودة'!N20</f>
        <v/>
      </c>
      <c r="H175" s="15">
        <f>'الجودة'!O20</f>
        <v/>
      </c>
      <c r="I175" s="24">
        <f>'الجودة'!G20</f>
        <v/>
      </c>
      <c r="J175" s="15">
        <f>IF($G175="",0,$G175*$I175)</f>
        <v/>
      </c>
      <c r="K175" s="15">
        <f>IF($G175="",0,$I175)</f>
        <v/>
      </c>
      <c r="L175" s="13">
        <f>'الجودة'!B20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'الجودة'!C21</f>
        <v/>
      </c>
      <c r="D176" s="15">
        <f>'الجودة'!J21</f>
        <v/>
      </c>
      <c r="E176" s="13">
        <f>'الجودة'!K21</f>
        <v/>
      </c>
      <c r="F176" s="15">
        <f>'الجودة'!L21</f>
        <v/>
      </c>
      <c r="G176" s="56">
        <f>'الجودة'!N21</f>
        <v/>
      </c>
      <c r="H176" s="15">
        <f>'الجودة'!O21</f>
        <v/>
      </c>
      <c r="I176" s="24">
        <f>'الجودة'!G21</f>
        <v/>
      </c>
      <c r="J176" s="15">
        <f>IF($G176="",0,$G176*$I176)</f>
        <v/>
      </c>
      <c r="K176" s="15">
        <f>IF($G176="",0,$I176)</f>
        <v/>
      </c>
      <c r="L176" s="13">
        <f>'الجودة'!B21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'الجودة'!C22</f>
        <v/>
      </c>
      <c r="D177" s="15">
        <f>'الجودة'!J22</f>
        <v/>
      </c>
      <c r="E177" s="13">
        <f>'الجودة'!K22</f>
        <v/>
      </c>
      <c r="F177" s="15">
        <f>'الجودة'!L22</f>
        <v/>
      </c>
      <c r="G177" s="56">
        <f>'الجودة'!N22</f>
        <v/>
      </c>
      <c r="H177" s="15">
        <f>'الجودة'!O22</f>
        <v/>
      </c>
      <c r="I177" s="24">
        <f>'الجودة'!G22</f>
        <v/>
      </c>
      <c r="J177" s="15">
        <f>IF($G177="",0,$G177*$I177)</f>
        <v/>
      </c>
      <c r="K177" s="15">
        <f>IF($G177="",0,$I177)</f>
        <v/>
      </c>
      <c r="L177" s="13">
        <f>'الجودة'!B22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'الجودة'!C24</f>
        <v/>
      </c>
      <c r="D178" s="15">
        <f>'الجودة'!J24</f>
        <v/>
      </c>
      <c r="E178" s="13">
        <f>'الجودة'!K24</f>
        <v/>
      </c>
      <c r="F178" s="15">
        <f>'الجودة'!L24</f>
        <v/>
      </c>
      <c r="G178" s="56">
        <f>'الجودة'!N24</f>
        <v/>
      </c>
      <c r="H178" s="15">
        <f>'الجودة'!O24</f>
        <v/>
      </c>
      <c r="I178" s="24">
        <f>'الجودة'!G24</f>
        <v/>
      </c>
      <c r="J178" s="15">
        <f>IF($G178="",0,$G178*$I178)</f>
        <v/>
      </c>
      <c r="K178" s="15">
        <f>IF($G178="",0,$I178)</f>
        <v/>
      </c>
      <c r="L178" s="13">
        <f>'الجودة'!B24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'الجودة'!C25</f>
        <v/>
      </c>
      <c r="D179" s="15">
        <f>'الجودة'!J25</f>
        <v/>
      </c>
      <c r="E179" s="13">
        <f>'الجودة'!K25</f>
        <v/>
      </c>
      <c r="F179" s="15">
        <f>'الجودة'!L25</f>
        <v/>
      </c>
      <c r="G179" s="56">
        <f>'الجودة'!N25</f>
        <v/>
      </c>
      <c r="H179" s="15">
        <f>'الجودة'!O25</f>
        <v/>
      </c>
      <c r="I179" s="24">
        <f>'الجودة'!G25</f>
        <v/>
      </c>
      <c r="J179" s="15">
        <f>IF($G179="",0,$G179*$I179)</f>
        <v/>
      </c>
      <c r="K179" s="15">
        <f>IF($G179="",0,$I179)</f>
        <v/>
      </c>
      <c r="L179" s="13">
        <f>'الجودة'!B25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'الجودة'!C26</f>
        <v/>
      </c>
      <c r="D180" s="15">
        <f>'الجودة'!J26</f>
        <v/>
      </c>
      <c r="E180" s="13">
        <f>'الجودة'!K26</f>
        <v/>
      </c>
      <c r="F180" s="15">
        <f>'الجودة'!L26</f>
        <v/>
      </c>
      <c r="G180" s="56">
        <f>'الجودة'!N26</f>
        <v/>
      </c>
      <c r="H180" s="15">
        <f>'الجودة'!O26</f>
        <v/>
      </c>
      <c r="I180" s="24">
        <f>'الجودة'!G26</f>
        <v/>
      </c>
      <c r="J180" s="15">
        <f>IF($G180="",0,$G180*$I180)</f>
        <v/>
      </c>
      <c r="K180" s="15">
        <f>IF($G180="",0,$I180)</f>
        <v/>
      </c>
      <c r="L180" s="13">
        <f>'الجودة'!B26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'الجودة'!C27</f>
        <v/>
      </c>
      <c r="D181" s="15">
        <f>'الجودة'!J27</f>
        <v/>
      </c>
      <c r="E181" s="13">
        <f>'الجودة'!K27</f>
        <v/>
      </c>
      <c r="F181" s="15">
        <f>'الجودة'!L27</f>
        <v/>
      </c>
      <c r="G181" s="56">
        <f>'الجودة'!N27</f>
        <v/>
      </c>
      <c r="H181" s="15">
        <f>'الجودة'!O27</f>
        <v/>
      </c>
      <c r="I181" s="24">
        <f>'الجودة'!G27</f>
        <v/>
      </c>
      <c r="J181" s="15">
        <f>IF($G181="",0,$G181*$I181)</f>
        <v/>
      </c>
      <c r="K181" s="15">
        <f>IF($G181="",0,$I181)</f>
        <v/>
      </c>
      <c r="L181" s="13">
        <f>'الجودة'!B27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'الجودة'!C28</f>
        <v/>
      </c>
      <c r="D182" s="15">
        <f>'الجودة'!J28</f>
        <v/>
      </c>
      <c r="E182" s="13">
        <f>'الجودة'!K28</f>
        <v/>
      </c>
      <c r="F182" s="15">
        <f>'الجودة'!L28</f>
        <v/>
      </c>
      <c r="G182" s="56">
        <f>'الجودة'!N28</f>
        <v/>
      </c>
      <c r="H182" s="15">
        <f>'الجودة'!O28</f>
        <v/>
      </c>
      <c r="I182" s="24">
        <f>'الجودة'!G28</f>
        <v/>
      </c>
      <c r="J182" s="15">
        <f>IF($G182="",0,$G182*$I182)</f>
        <v/>
      </c>
      <c r="K182" s="15">
        <f>IF($G182="",0,$I182)</f>
        <v/>
      </c>
      <c r="L182" s="13">
        <f>'الجودة'!B28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'الجودة'!C30</f>
        <v/>
      </c>
      <c r="D183" s="15">
        <f>'الجودة'!J30</f>
        <v/>
      </c>
      <c r="E183" s="13">
        <f>'الجودة'!K30</f>
        <v/>
      </c>
      <c r="F183" s="15">
        <f>'الجودة'!L30</f>
        <v/>
      </c>
      <c r="G183" s="56">
        <f>'الجودة'!N30</f>
        <v/>
      </c>
      <c r="H183" s="15">
        <f>'الجودة'!O30</f>
        <v/>
      </c>
      <c r="I183" s="24">
        <f>'الجودة'!G30</f>
        <v/>
      </c>
      <c r="J183" s="15">
        <f>IF($G183="",0,$G183*$I183)</f>
        <v/>
      </c>
      <c r="K183" s="15">
        <f>IF($G183="",0,$I183)</f>
        <v/>
      </c>
      <c r="L183" s="13">
        <f>'الجودة'!B30</f>
        <v/>
      </c>
    </row>
    <row r="184">
      <c r="A184" s="15" t="n">
        <v>183</v>
      </c>
      <c r="B184" s="13" t="inlineStr">
        <is>
          <t>الجودة</t>
        </is>
      </c>
      <c r="C184" s="13">
        <f>'الجودة'!C31</f>
        <v/>
      </c>
      <c r="D184" s="15">
        <f>'الجودة'!J31</f>
        <v/>
      </c>
      <c r="E184" s="13">
        <f>'الجودة'!K31</f>
        <v/>
      </c>
      <c r="F184" s="15">
        <f>'الجودة'!L31</f>
        <v/>
      </c>
      <c r="G184" s="56">
        <f>'الجودة'!N31</f>
        <v/>
      </c>
      <c r="H184" s="15">
        <f>'الجودة'!O31</f>
        <v/>
      </c>
      <c r="I184" s="24">
        <f>'الجودة'!G31</f>
        <v/>
      </c>
      <c r="J184" s="15">
        <f>IF($G184="",0,$G184*$I184)</f>
        <v/>
      </c>
      <c r="K184" s="15">
        <f>IF($G184="",0,$I184)</f>
        <v/>
      </c>
      <c r="L184" s="13">
        <f>'الجودة'!B31</f>
        <v/>
      </c>
    </row>
    <row r="185">
      <c r="A185" s="15" t="n">
        <v>184</v>
      </c>
      <c r="B185" s="13" t="inlineStr">
        <is>
          <t>الجودة</t>
        </is>
      </c>
      <c r="C185" s="13">
        <f>'الجودة'!C32</f>
        <v/>
      </c>
      <c r="D185" s="15">
        <f>'الجودة'!J32</f>
        <v/>
      </c>
      <c r="E185" s="13">
        <f>'الجودة'!K32</f>
        <v/>
      </c>
      <c r="F185" s="15">
        <f>'الجودة'!L32</f>
        <v/>
      </c>
      <c r="G185" s="56">
        <f>'الجودة'!N32</f>
        <v/>
      </c>
      <c r="H185" s="15">
        <f>'الجودة'!O32</f>
        <v/>
      </c>
      <c r="I185" s="24">
        <f>'الجودة'!G32</f>
        <v/>
      </c>
      <c r="J185" s="15">
        <f>IF($G185="",0,$G185*$I185)</f>
        <v/>
      </c>
      <c r="K185" s="15">
        <f>IF($G185="",0,$I185)</f>
        <v/>
      </c>
      <c r="L185" s="13">
        <f>'الجودة'!B32</f>
        <v/>
      </c>
    </row>
    <row r="186">
      <c r="A186" s="15" t="n">
        <v>185</v>
      </c>
      <c r="B186" s="13" t="inlineStr">
        <is>
          <t>الجودة</t>
        </is>
      </c>
      <c r="C186" s="13">
        <f>'الجودة'!C33</f>
        <v/>
      </c>
      <c r="D186" s="15">
        <f>'الجودة'!J33</f>
        <v/>
      </c>
      <c r="E186" s="13">
        <f>'الجودة'!K33</f>
        <v/>
      </c>
      <c r="F186" s="15">
        <f>'الجودة'!L33</f>
        <v/>
      </c>
      <c r="G186" s="56">
        <f>'الجودة'!N33</f>
        <v/>
      </c>
      <c r="H186" s="15">
        <f>'الجودة'!O33</f>
        <v/>
      </c>
      <c r="I186" s="24">
        <f>'الجودة'!G33</f>
        <v/>
      </c>
      <c r="J186" s="15">
        <f>IF($G186="",0,$G186*$I186)</f>
        <v/>
      </c>
      <c r="K186" s="15">
        <f>IF($G186="",0,$I186)</f>
        <v/>
      </c>
      <c r="L186" s="13">
        <f>'الجودة'!B33</f>
        <v/>
      </c>
    </row>
    <row r="187">
      <c r="A187" s="15" t="n">
        <v>186</v>
      </c>
      <c r="B187" s="13" t="inlineStr">
        <is>
          <t>الجودة</t>
        </is>
      </c>
      <c r="C187" s="13">
        <f>'الجودة'!C34</f>
        <v/>
      </c>
      <c r="D187" s="15">
        <f>'الجودة'!J34</f>
        <v/>
      </c>
      <c r="E187" s="13">
        <f>'الجودة'!K34</f>
        <v/>
      </c>
      <c r="F187" s="15">
        <f>'الجودة'!L34</f>
        <v/>
      </c>
      <c r="G187" s="56">
        <f>'الجودة'!N34</f>
        <v/>
      </c>
      <c r="H187" s="15">
        <f>'الجودة'!O34</f>
        <v/>
      </c>
      <c r="I187" s="24">
        <f>'الجودة'!G34</f>
        <v/>
      </c>
      <c r="J187" s="15">
        <f>IF($G187="",0,$G187*$I187)</f>
        <v/>
      </c>
      <c r="K187" s="15">
        <f>IF($G187="",0,$I187)</f>
        <v/>
      </c>
      <c r="L187" s="13">
        <f>'الجودة'!B34</f>
        <v/>
      </c>
    </row>
    <row r="188">
      <c r="A188" s="15" t="n">
        <v>187</v>
      </c>
      <c r="B188" s="13" t="inlineStr">
        <is>
          <t>الجودة</t>
        </is>
      </c>
      <c r="C188" s="13">
        <f>'الجودة'!C36</f>
        <v/>
      </c>
      <c r="D188" s="15">
        <f>'الجودة'!J36</f>
        <v/>
      </c>
      <c r="E188" s="13">
        <f>'الجودة'!K36</f>
        <v/>
      </c>
      <c r="F188" s="15">
        <f>'الجودة'!L36</f>
        <v/>
      </c>
      <c r="G188" s="56">
        <f>'الجودة'!N36</f>
        <v/>
      </c>
      <c r="H188" s="15">
        <f>'الجودة'!O36</f>
        <v/>
      </c>
      <c r="I188" s="24">
        <f>'الجودة'!G36</f>
        <v/>
      </c>
      <c r="J188" s="15">
        <f>IF($G188="",0,$G188*$I188)</f>
        <v/>
      </c>
      <c r="K188" s="15">
        <f>IF($G188="",0,$I188)</f>
        <v/>
      </c>
      <c r="L188" s="13">
        <f>'الجودة'!B36</f>
        <v/>
      </c>
    </row>
    <row r="189">
      <c r="A189" s="15" t="n">
        <v>188</v>
      </c>
      <c r="B189" s="13" t="inlineStr">
        <is>
          <t>الجودة</t>
        </is>
      </c>
      <c r="C189" s="13">
        <f>'الجودة'!C37</f>
        <v/>
      </c>
      <c r="D189" s="15">
        <f>'الجودة'!J37</f>
        <v/>
      </c>
      <c r="E189" s="13">
        <f>'الجودة'!K37</f>
        <v/>
      </c>
      <c r="F189" s="15">
        <f>'الجودة'!L37</f>
        <v/>
      </c>
      <c r="G189" s="56">
        <f>'الجودة'!N37</f>
        <v/>
      </c>
      <c r="H189" s="15">
        <f>'الجودة'!O37</f>
        <v/>
      </c>
      <c r="I189" s="24">
        <f>'الجودة'!G37</f>
        <v/>
      </c>
      <c r="J189" s="15">
        <f>IF($G189="",0,$G189*$I189)</f>
        <v/>
      </c>
      <c r="K189" s="15">
        <f>IF($G189="",0,$I189)</f>
        <v/>
      </c>
      <c r="L189" s="13">
        <f>'الجودة'!B37</f>
        <v/>
      </c>
    </row>
    <row r="190">
      <c r="A190" s="15" t="n">
        <v>189</v>
      </c>
      <c r="B190" s="13" t="inlineStr">
        <is>
          <t>الجودة</t>
        </is>
      </c>
      <c r="C190" s="13">
        <f>'الجودة'!C38</f>
        <v/>
      </c>
      <c r="D190" s="15">
        <f>'الجودة'!J38</f>
        <v/>
      </c>
      <c r="E190" s="13">
        <f>'الجودة'!K38</f>
        <v/>
      </c>
      <c r="F190" s="15">
        <f>'الجودة'!L38</f>
        <v/>
      </c>
      <c r="G190" s="56">
        <f>'الجودة'!N38</f>
        <v/>
      </c>
      <c r="H190" s="15">
        <f>'الجودة'!O38</f>
        <v/>
      </c>
      <c r="I190" s="24">
        <f>'الجودة'!G38</f>
        <v/>
      </c>
      <c r="J190" s="15">
        <f>IF($G190="",0,$G190*$I190)</f>
        <v/>
      </c>
      <c r="K190" s="15">
        <f>IF($G190="",0,$I190)</f>
        <v/>
      </c>
      <c r="L190" s="13">
        <f>'الجودة'!B38</f>
        <v/>
      </c>
    </row>
    <row r="191">
      <c r="A191" s="15" t="n">
        <v>190</v>
      </c>
      <c r="B191" s="13" t="inlineStr">
        <is>
          <t>الجودة</t>
        </is>
      </c>
      <c r="C191" s="13">
        <f>'الجودة'!C39</f>
        <v/>
      </c>
      <c r="D191" s="15">
        <f>'الجودة'!J39</f>
        <v/>
      </c>
      <c r="E191" s="13">
        <f>'الجودة'!K39</f>
        <v/>
      </c>
      <c r="F191" s="15">
        <f>'الجودة'!L39</f>
        <v/>
      </c>
      <c r="G191" s="56">
        <f>'الجودة'!N39</f>
        <v/>
      </c>
      <c r="H191" s="15">
        <f>'الجودة'!O39</f>
        <v/>
      </c>
      <c r="I191" s="24">
        <f>'الجودة'!G39</f>
        <v/>
      </c>
      <c r="J191" s="15">
        <f>IF($G191="",0,$G191*$I191)</f>
        <v/>
      </c>
      <c r="K191" s="15">
        <f>IF($G191="",0,$I191)</f>
        <v/>
      </c>
      <c r="L191" s="13">
        <f>'الجودة'!B39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القانونية'!C5</f>
        <v/>
      </c>
      <c r="D192" s="15">
        <f>'الإدارة القانونية'!J5</f>
        <v/>
      </c>
      <c r="E192" s="13">
        <f>'الإدارة القانونية'!K5</f>
        <v/>
      </c>
      <c r="F192" s="15">
        <f>'الإدارة القانونية'!L5</f>
        <v/>
      </c>
      <c r="G192" s="56">
        <f>'الإدارة القانونية'!N5</f>
        <v/>
      </c>
      <c r="H192" s="15">
        <f>'الإدارة القانونية'!O5</f>
        <v/>
      </c>
      <c r="I192" s="24">
        <f>'الإدارة القانونية'!G5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القانونية'!B5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القانونية'!C6</f>
        <v/>
      </c>
      <c r="D193" s="15">
        <f>'الإدارة القانونية'!J6</f>
        <v/>
      </c>
      <c r="E193" s="13">
        <f>'الإدارة القانونية'!K6</f>
        <v/>
      </c>
      <c r="F193" s="15">
        <f>'الإدارة القانونية'!L6</f>
        <v/>
      </c>
      <c r="G193" s="56">
        <f>'الإدارة القانونية'!N6</f>
        <v/>
      </c>
      <c r="H193" s="15">
        <f>'الإدارة القانونية'!O6</f>
        <v/>
      </c>
      <c r="I193" s="24">
        <f>'الإدارة القانونية'!G6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القانونية'!B6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القانونية'!C7</f>
        <v/>
      </c>
      <c r="D194" s="15">
        <f>'الإدارة القانونية'!J7</f>
        <v/>
      </c>
      <c r="E194" s="13">
        <f>'الإدارة القانونية'!K7</f>
        <v/>
      </c>
      <c r="F194" s="15">
        <f>'الإدارة القانونية'!L7</f>
        <v/>
      </c>
      <c r="G194" s="56">
        <f>'الإدارة القانونية'!N7</f>
        <v/>
      </c>
      <c r="H194" s="15">
        <f>'الإدارة القانونية'!O7</f>
        <v/>
      </c>
      <c r="I194" s="24">
        <f>'الإدارة القانونية'!G7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القانونية'!B7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القانونية'!C9</f>
        <v/>
      </c>
      <c r="D195" s="15">
        <f>'الإدارة القانونية'!J9</f>
        <v/>
      </c>
      <c r="E195" s="13">
        <f>'الإدارة القانونية'!K9</f>
        <v/>
      </c>
      <c r="F195" s="15">
        <f>'الإدارة القانونية'!L9</f>
        <v/>
      </c>
      <c r="G195" s="56">
        <f>'الإدارة القانونية'!N9</f>
        <v/>
      </c>
      <c r="H195" s="15">
        <f>'الإدارة القانونية'!O9</f>
        <v/>
      </c>
      <c r="I195" s="24">
        <f>'الإدارة القانونية'!G9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القانونية'!B9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القانونية'!C10</f>
        <v/>
      </c>
      <c r="D196" s="15">
        <f>'الإدارة القانونية'!J10</f>
        <v/>
      </c>
      <c r="E196" s="13">
        <f>'الإدارة القانونية'!K10</f>
        <v/>
      </c>
      <c r="F196" s="15">
        <f>'الإدارة القانونية'!L10</f>
        <v/>
      </c>
      <c r="G196" s="56">
        <f>'الإدارة القانونية'!N10</f>
        <v/>
      </c>
      <c r="H196" s="15">
        <f>'الإدارة القانونية'!O10</f>
        <v/>
      </c>
      <c r="I196" s="24">
        <f>'الإدارة القانونية'!G10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القانونية'!B10</f>
        <v/>
      </c>
    </row>
    <row r="197">
      <c r="A197" s="15" t="n">
        <v>196</v>
      </c>
      <c r="B197" s="13" t="inlineStr">
        <is>
          <t>الإدارة القانونية</t>
        </is>
      </c>
      <c r="C197" s="13">
        <f>'الإدارة القانونية'!C11</f>
        <v/>
      </c>
      <c r="D197" s="15">
        <f>'الإدارة القانونية'!J11</f>
        <v/>
      </c>
      <c r="E197" s="13">
        <f>'الإدارة القانونية'!K11</f>
        <v/>
      </c>
      <c r="F197" s="15">
        <f>'الإدارة القانونية'!L11</f>
        <v/>
      </c>
      <c r="G197" s="56">
        <f>'الإدارة القانونية'!N11</f>
        <v/>
      </c>
      <c r="H197" s="15">
        <f>'الإدارة القانونية'!O11</f>
        <v/>
      </c>
      <c r="I197" s="24">
        <f>'الإدارة القانونية'!G11</f>
        <v/>
      </c>
      <c r="J197" s="15">
        <f>IF($G197="",0,$G197*$I197)</f>
        <v/>
      </c>
      <c r="K197" s="15">
        <f>IF($G197="",0,$I197)</f>
        <v/>
      </c>
      <c r="L197" s="13">
        <f>'الإدارة القانونية'!B11</f>
        <v/>
      </c>
    </row>
    <row r="198">
      <c r="A198" s="15" t="n">
        <v>197</v>
      </c>
      <c r="B198" s="13" t="inlineStr">
        <is>
          <t>الإدارة القانونية</t>
        </is>
      </c>
      <c r="C198" s="13">
        <f>'الإدارة القانونية'!C13</f>
        <v/>
      </c>
      <c r="D198" s="15">
        <f>'الإدارة القانونية'!J13</f>
        <v/>
      </c>
      <c r="E198" s="13">
        <f>'الإدارة القانونية'!K13</f>
        <v/>
      </c>
      <c r="F198" s="15">
        <f>'الإدارة القانونية'!L13</f>
        <v/>
      </c>
      <c r="G198" s="56">
        <f>'الإدارة القانونية'!N13</f>
        <v/>
      </c>
      <c r="H198" s="15">
        <f>'الإدارة القانونية'!O13</f>
        <v/>
      </c>
      <c r="I198" s="24">
        <f>'الإدارة القانونية'!G13</f>
        <v/>
      </c>
      <c r="J198" s="15">
        <f>IF($G198="",0,$G198*$I198)</f>
        <v/>
      </c>
      <c r="K198" s="15">
        <f>IF($G198="",0,$I198)</f>
        <v/>
      </c>
      <c r="L198" s="13">
        <f>'الإدارة القانونية'!B13</f>
        <v/>
      </c>
    </row>
    <row r="199">
      <c r="A199" s="15" t="n">
        <v>198</v>
      </c>
      <c r="B199" s="13" t="inlineStr">
        <is>
          <t>الإدارة القانونية</t>
        </is>
      </c>
      <c r="C199" s="13">
        <f>'الإدارة القانونية'!C14</f>
        <v/>
      </c>
      <c r="D199" s="15">
        <f>'الإدارة القانونية'!J14</f>
        <v/>
      </c>
      <c r="E199" s="13">
        <f>'الإدارة القانونية'!K14</f>
        <v/>
      </c>
      <c r="F199" s="15">
        <f>'الإدارة القانونية'!L14</f>
        <v/>
      </c>
      <c r="G199" s="56">
        <f>'الإدارة القانونية'!N14</f>
        <v/>
      </c>
      <c r="H199" s="15">
        <f>'الإدارة القانونية'!O14</f>
        <v/>
      </c>
      <c r="I199" s="24">
        <f>'الإدارة القانونية'!G14</f>
        <v/>
      </c>
      <c r="J199" s="15">
        <f>IF($G199="",0,$G199*$I199)</f>
        <v/>
      </c>
      <c r="K199" s="15">
        <f>IF($G199="",0,$I199)</f>
        <v/>
      </c>
      <c r="L199" s="13">
        <f>'الإدارة القانونية'!B14</f>
        <v/>
      </c>
    </row>
    <row r="200">
      <c r="A200" s="15" t="n">
        <v>199</v>
      </c>
      <c r="B200" s="13" t="inlineStr">
        <is>
          <t>الإدارة القانونية</t>
        </is>
      </c>
      <c r="C200" s="13">
        <f>'الإدارة القانونية'!C16</f>
        <v/>
      </c>
      <c r="D200" s="15">
        <f>'الإدارة القانونية'!J16</f>
        <v/>
      </c>
      <c r="E200" s="13">
        <f>'الإدارة القانونية'!K16</f>
        <v/>
      </c>
      <c r="F200" s="15">
        <f>'الإدارة القانونية'!L16</f>
        <v/>
      </c>
      <c r="G200" s="56">
        <f>'الإدارة القانونية'!N16</f>
        <v/>
      </c>
      <c r="H200" s="15">
        <f>'الإدارة القانونية'!O16</f>
        <v/>
      </c>
      <c r="I200" s="24">
        <f>'الإدارة القانونية'!G16</f>
        <v/>
      </c>
      <c r="J200" s="15">
        <f>IF($G200="",0,$G200*$I200)</f>
        <v/>
      </c>
      <c r="K200" s="15">
        <f>IF($G200="",0,$I200)</f>
        <v/>
      </c>
      <c r="L200" s="13">
        <f>'الإدارة القانونية'!B16</f>
        <v/>
      </c>
    </row>
    <row r="201">
      <c r="A201" s="15" t="n">
        <v>200</v>
      </c>
      <c r="B201" s="13" t="inlineStr">
        <is>
          <t>الإدارة القانونية</t>
        </is>
      </c>
      <c r="C201" s="13">
        <f>'الإدارة القانونية'!C17</f>
        <v/>
      </c>
      <c r="D201" s="15">
        <f>'الإدارة القانونية'!J17</f>
        <v/>
      </c>
      <c r="E201" s="13">
        <f>'الإدارة القانونية'!K17</f>
        <v/>
      </c>
      <c r="F201" s="15">
        <f>'الإدارة القانونية'!L17</f>
        <v/>
      </c>
      <c r="G201" s="56">
        <f>'الإدارة القانونية'!N17</f>
        <v/>
      </c>
      <c r="H201" s="15">
        <f>'الإدارة القانونية'!O17</f>
        <v/>
      </c>
      <c r="I201" s="24">
        <f>'الإدارة القانونية'!G17</f>
        <v/>
      </c>
      <c r="J201" s="15">
        <f>IF($G201="",0,$G201*$I201)</f>
        <v/>
      </c>
      <c r="K201" s="15">
        <f>IF($G201="",0,$I201)</f>
        <v/>
      </c>
      <c r="L201" s="13">
        <f>'الإدارة القانونية'!B17</f>
        <v/>
      </c>
    </row>
    <row r="202">
      <c r="A202" s="15" t="n">
        <v>201</v>
      </c>
      <c r="B202" s="13" t="inlineStr">
        <is>
          <t>الإدارة القانونية</t>
        </is>
      </c>
      <c r="C202" s="13">
        <f>'الإدارة القانونية'!C18</f>
        <v/>
      </c>
      <c r="D202" s="15">
        <f>'الإدارة القانونية'!J18</f>
        <v/>
      </c>
      <c r="E202" s="13">
        <f>'الإدارة القانونية'!K18</f>
        <v/>
      </c>
      <c r="F202" s="15">
        <f>'الإدارة القانونية'!L18</f>
        <v/>
      </c>
      <c r="G202" s="56">
        <f>'الإدارة القانونية'!N18</f>
        <v/>
      </c>
      <c r="H202" s="15">
        <f>'الإدارة القانونية'!O18</f>
        <v/>
      </c>
      <c r="I202" s="24">
        <f>'الإدارة القانونية'!G18</f>
        <v/>
      </c>
      <c r="J202" s="15">
        <f>IF($G202="",0,$G202*$I202)</f>
        <v/>
      </c>
      <c r="K202" s="15">
        <f>IF($G202="",0,$I202)</f>
        <v/>
      </c>
      <c r="L202" s="13">
        <f>'الإدارة القانونية'!B18</f>
        <v/>
      </c>
    </row>
    <row r="203">
      <c r="A203" s="15" t="n">
        <v>202</v>
      </c>
      <c r="B203" s="13" t="inlineStr">
        <is>
          <t>الإدارة القانونية</t>
        </is>
      </c>
      <c r="C203" s="13">
        <f>'الإدارة القانونية'!C19</f>
        <v/>
      </c>
      <c r="D203" s="15">
        <f>'الإدارة القانونية'!J19</f>
        <v/>
      </c>
      <c r="E203" s="13">
        <f>'الإدارة القانونية'!K19</f>
        <v/>
      </c>
      <c r="F203" s="15">
        <f>'الإدارة القانونية'!L19</f>
        <v/>
      </c>
      <c r="G203" s="56">
        <f>'الإدارة القانونية'!N19</f>
        <v/>
      </c>
      <c r="H203" s="15">
        <f>'الإدارة القانونية'!O19</f>
        <v/>
      </c>
      <c r="I203" s="24">
        <f>'الإدارة القانونية'!G19</f>
        <v/>
      </c>
      <c r="J203" s="15">
        <f>IF($G203="",0,$G203*$I203)</f>
        <v/>
      </c>
      <c r="K203" s="15">
        <f>IF($G203="",0,$I203)</f>
        <v/>
      </c>
      <c r="L203" s="13">
        <f>'الإدارة القانونية'!B19</f>
        <v/>
      </c>
    </row>
    <row r="204">
      <c r="A204" s="15" t="n">
        <v>203</v>
      </c>
      <c r="B204" s="13" t="inlineStr">
        <is>
          <t>الإدارة القانونية</t>
        </is>
      </c>
      <c r="C204" s="13">
        <f>'الإدارة القانونية'!C20</f>
        <v/>
      </c>
      <c r="D204" s="15">
        <f>'الإدارة القانونية'!J20</f>
        <v/>
      </c>
      <c r="E204" s="13">
        <f>'الإدارة القانونية'!K20</f>
        <v/>
      </c>
      <c r="F204" s="15">
        <f>'الإدارة القانونية'!L20</f>
        <v/>
      </c>
      <c r="G204" s="56">
        <f>'الإدارة القانونية'!N20</f>
        <v/>
      </c>
      <c r="H204" s="15">
        <f>'الإدارة القانونية'!O20</f>
        <v/>
      </c>
      <c r="I204" s="24">
        <f>'الإدارة القانونية'!G20</f>
        <v/>
      </c>
      <c r="J204" s="15">
        <f>IF($G204="",0,$G204*$I204)</f>
        <v/>
      </c>
      <c r="K204" s="15">
        <f>IF($G204="",0,$I204)</f>
        <v/>
      </c>
      <c r="L204" s="13">
        <f>'الإدارة القانونية'!B20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المالية'!C5</f>
        <v/>
      </c>
      <c r="D205" s="15">
        <f>'الإدارة المالية'!J5</f>
        <v/>
      </c>
      <c r="E205" s="13">
        <f>'الإدارة المالية'!K5</f>
        <v/>
      </c>
      <c r="F205" s="15">
        <f>'الإدارة المالية'!L5</f>
        <v/>
      </c>
      <c r="G205" s="56">
        <f>'الإدارة المالية'!N5</f>
        <v/>
      </c>
      <c r="H205" s="15">
        <f>'الإدارة المالية'!O5</f>
        <v/>
      </c>
      <c r="I205" s="24">
        <f>'الإدارة المالية'!G5</f>
        <v/>
      </c>
      <c r="J205" s="15">
        <f>IF($G205="",0,$G205*$I205)</f>
        <v/>
      </c>
      <c r="K205" s="15">
        <f>IF($G205="",0,$I205)</f>
        <v/>
      </c>
      <c r="L205" s="13">
        <f>'الإدارة المالية'!B5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المالية'!C6</f>
        <v/>
      </c>
      <c r="D206" s="15">
        <f>'الإدارة المالية'!J6</f>
        <v/>
      </c>
      <c r="E206" s="13">
        <f>'الإدارة المالية'!K6</f>
        <v/>
      </c>
      <c r="F206" s="15">
        <f>'الإدارة المالية'!L6</f>
        <v/>
      </c>
      <c r="G206" s="56">
        <f>'الإدارة المالية'!N6</f>
        <v/>
      </c>
      <c r="H206" s="15">
        <f>'الإدارة المالية'!O6</f>
        <v/>
      </c>
      <c r="I206" s="24">
        <f>'الإدارة المالية'!G6</f>
        <v/>
      </c>
      <c r="J206" s="15">
        <f>IF($G206="",0,$G206*$I206)</f>
        <v/>
      </c>
      <c r="K206" s="15">
        <f>IF($G206="",0,$I206)</f>
        <v/>
      </c>
      <c r="L206" s="13">
        <f>'الإدارة المالية'!B6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المالية'!C7</f>
        <v/>
      </c>
      <c r="D207" s="15">
        <f>'الإدارة المالية'!J7</f>
        <v/>
      </c>
      <c r="E207" s="13">
        <f>'الإدارة المالية'!K7</f>
        <v/>
      </c>
      <c r="F207" s="15">
        <f>'الإدارة المالية'!L7</f>
        <v/>
      </c>
      <c r="G207" s="56">
        <f>'الإدارة المالية'!N7</f>
        <v/>
      </c>
      <c r="H207" s="15">
        <f>'الإدارة المالية'!O7</f>
        <v/>
      </c>
      <c r="I207" s="24">
        <f>'الإدارة المالية'!G7</f>
        <v/>
      </c>
      <c r="J207" s="15">
        <f>IF($G207="",0,$G207*$I207)</f>
        <v/>
      </c>
      <c r="K207" s="15">
        <f>IF($G207="",0,$I207)</f>
        <v/>
      </c>
      <c r="L207" s="13">
        <f>'الإدارة المالية'!B7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المالية'!C8</f>
        <v/>
      </c>
      <c r="D208" s="15">
        <f>'الإدارة المالية'!J8</f>
        <v/>
      </c>
      <c r="E208" s="13">
        <f>'الإدارة المالية'!K8</f>
        <v/>
      </c>
      <c r="F208" s="15">
        <f>'الإدارة المالية'!L8</f>
        <v/>
      </c>
      <c r="G208" s="56">
        <f>'الإدارة المالية'!N8</f>
        <v/>
      </c>
      <c r="H208" s="15">
        <f>'الإدارة المالية'!O8</f>
        <v/>
      </c>
      <c r="I208" s="24">
        <f>'الإدارة المالية'!G8</f>
        <v/>
      </c>
      <c r="J208" s="15">
        <f>IF($G208="",0,$G208*$I208)</f>
        <v/>
      </c>
      <c r="K208" s="15">
        <f>IF($G208="",0,$I208)</f>
        <v/>
      </c>
      <c r="L208" s="13">
        <f>'الإدارة المالية'!B8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المالية'!C10</f>
        <v/>
      </c>
      <c r="D209" s="15">
        <f>'الإدارة المالية'!J10</f>
        <v/>
      </c>
      <c r="E209" s="13">
        <f>'الإدارة المالية'!K10</f>
        <v/>
      </c>
      <c r="F209" s="15">
        <f>'الإدارة المالية'!L10</f>
        <v/>
      </c>
      <c r="G209" s="56">
        <f>'الإدارة المالية'!N10</f>
        <v/>
      </c>
      <c r="H209" s="15">
        <f>'الإدارة المالية'!O10</f>
        <v/>
      </c>
      <c r="I209" s="24">
        <f>'الإدارة المالية'!G10</f>
        <v/>
      </c>
      <c r="J209" s="15">
        <f>IF($G209="",0,$G209*$I209)</f>
        <v/>
      </c>
      <c r="K209" s="15">
        <f>IF($G209="",0,$I209)</f>
        <v/>
      </c>
      <c r="L209" s="13">
        <f>'الإدارة المالية'!B10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المالية'!C11</f>
        <v/>
      </c>
      <c r="D210" s="15">
        <f>'الإدارة المالية'!J11</f>
        <v/>
      </c>
      <c r="E210" s="13">
        <f>'الإدارة المالية'!K11</f>
        <v/>
      </c>
      <c r="F210" s="15">
        <f>'الإدارة المالية'!L11</f>
        <v/>
      </c>
      <c r="G210" s="56">
        <f>'الإدارة المالية'!N11</f>
        <v/>
      </c>
      <c r="H210" s="15">
        <f>'الإدارة المالية'!O11</f>
        <v/>
      </c>
      <c r="I210" s="24">
        <f>'الإدارة المالية'!G11</f>
        <v/>
      </c>
      <c r="J210" s="15">
        <f>IF($G210="",0,$G210*$I210)</f>
        <v/>
      </c>
      <c r="K210" s="15">
        <f>IF($G210="",0,$I210)</f>
        <v/>
      </c>
      <c r="L210" s="13">
        <f>'الإدارة المالية'!B11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المالية'!C13</f>
        <v/>
      </c>
      <c r="D211" s="15">
        <f>'الإدارة المالية'!J13</f>
        <v/>
      </c>
      <c r="E211" s="13">
        <f>'الإدارة المالية'!K13</f>
        <v/>
      </c>
      <c r="F211" s="15">
        <f>'الإدارة المالية'!L13</f>
        <v/>
      </c>
      <c r="G211" s="56">
        <f>'الإدارة المالية'!N13</f>
        <v/>
      </c>
      <c r="H211" s="15">
        <f>'الإدارة المالية'!O13</f>
        <v/>
      </c>
      <c r="I211" s="24">
        <f>'الإدارة المالية'!G13</f>
        <v/>
      </c>
      <c r="J211" s="15">
        <f>IF($G211="",0,$G211*$I211)</f>
        <v/>
      </c>
      <c r="K211" s="15">
        <f>IF($G211="",0,$I211)</f>
        <v/>
      </c>
      <c r="L211" s="13">
        <f>'الإدارة المالية'!B13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المالية'!C14</f>
        <v/>
      </c>
      <c r="D212" s="15">
        <f>'الإدارة المالية'!J14</f>
        <v/>
      </c>
      <c r="E212" s="13">
        <f>'الإدارة المالية'!K14</f>
        <v/>
      </c>
      <c r="F212" s="15">
        <f>'الإدارة المالية'!L14</f>
        <v/>
      </c>
      <c r="G212" s="56">
        <f>'الإدارة المالية'!N14</f>
        <v/>
      </c>
      <c r="H212" s="15">
        <f>'الإدارة المالية'!O14</f>
        <v/>
      </c>
      <c r="I212" s="24">
        <f>'الإدارة المالية'!G14</f>
        <v/>
      </c>
      <c r="J212" s="15">
        <f>IF($G212="",0,$G212*$I212)</f>
        <v/>
      </c>
      <c r="K212" s="15">
        <f>IF($G212="",0,$I212)</f>
        <v/>
      </c>
      <c r="L212" s="13">
        <f>'الإدارة المالية'!B14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المالية'!C15</f>
        <v/>
      </c>
      <c r="D213" s="15">
        <f>'الإدارة المالية'!J15</f>
        <v/>
      </c>
      <c r="E213" s="13">
        <f>'الإدارة المالية'!K15</f>
        <v/>
      </c>
      <c r="F213" s="15">
        <f>'الإدارة المالية'!L15</f>
        <v/>
      </c>
      <c r="G213" s="56">
        <f>'الإدارة المالية'!N15</f>
        <v/>
      </c>
      <c r="H213" s="15">
        <f>'الإدارة المالية'!O15</f>
        <v/>
      </c>
      <c r="I213" s="24">
        <f>'الإدارة المالية'!G15</f>
        <v/>
      </c>
      <c r="J213" s="15">
        <f>IF($G213="",0,$G213*$I213)</f>
        <v/>
      </c>
      <c r="K213" s="15">
        <f>IF($G213="",0,$I213)</f>
        <v/>
      </c>
      <c r="L213" s="13">
        <f>'الإدارة المالية'!B15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المالية'!C17</f>
        <v/>
      </c>
      <c r="D214" s="15">
        <f>'الإدارة المالية'!J17</f>
        <v/>
      </c>
      <c r="E214" s="13">
        <f>'الإدارة المالية'!K17</f>
        <v/>
      </c>
      <c r="F214" s="15">
        <f>'الإدارة المالية'!L17</f>
        <v/>
      </c>
      <c r="G214" s="56">
        <f>'الإدارة المالية'!N17</f>
        <v/>
      </c>
      <c r="H214" s="15">
        <f>'الإدارة المالية'!O17</f>
        <v/>
      </c>
      <c r="I214" s="24">
        <f>'الإدارة المالية'!G17</f>
        <v/>
      </c>
      <c r="J214" s="15">
        <f>IF($G214="",0,$G214*$I214)</f>
        <v/>
      </c>
      <c r="K214" s="15">
        <f>IF($G214="",0,$I214)</f>
        <v/>
      </c>
      <c r="L214" s="13">
        <f>'الإدارة المالية'!B17</f>
        <v/>
      </c>
    </row>
    <row r="215">
      <c r="A215" s="15" t="n">
        <v>214</v>
      </c>
      <c r="B215" s="13" t="inlineStr">
        <is>
          <t>الإدارة المالية</t>
        </is>
      </c>
      <c r="C215" s="13">
        <f>'الإدارة المالية'!C18</f>
        <v/>
      </c>
      <c r="D215" s="15">
        <f>'الإدارة المالية'!J18</f>
        <v/>
      </c>
      <c r="E215" s="13">
        <f>'الإدارة المالية'!K18</f>
        <v/>
      </c>
      <c r="F215" s="15">
        <f>'الإدارة المالية'!L18</f>
        <v/>
      </c>
      <c r="G215" s="56">
        <f>'الإدارة المالية'!N18</f>
        <v/>
      </c>
      <c r="H215" s="15">
        <f>'الإدارة المالية'!O18</f>
        <v/>
      </c>
      <c r="I215" s="24">
        <f>'الإدارة المالية'!G18</f>
        <v/>
      </c>
      <c r="J215" s="15">
        <f>IF($G215="",0,$G215*$I215)</f>
        <v/>
      </c>
      <c r="K215" s="15">
        <f>IF($G215="",0,$I215)</f>
        <v/>
      </c>
      <c r="L215" s="13">
        <f>'الإدارة المالية'!B18</f>
        <v/>
      </c>
    </row>
    <row r="216">
      <c r="A216" s="15" t="n">
        <v>215</v>
      </c>
      <c r="B216" s="13" t="inlineStr">
        <is>
          <t>الإدارة المالية</t>
        </is>
      </c>
      <c r="C216" s="13">
        <f>'الإدارة المالية'!C20</f>
        <v/>
      </c>
      <c r="D216" s="15">
        <f>'الإدارة المالية'!J20</f>
        <v/>
      </c>
      <c r="E216" s="13">
        <f>'الإدارة المالية'!K20</f>
        <v/>
      </c>
      <c r="F216" s="15">
        <f>'الإدارة المالية'!L20</f>
        <v/>
      </c>
      <c r="G216" s="56">
        <f>'الإدارة المالية'!N20</f>
        <v/>
      </c>
      <c r="H216" s="15">
        <f>'الإدارة المالية'!O20</f>
        <v/>
      </c>
      <c r="I216" s="24">
        <f>'الإدارة المالية'!G20</f>
        <v/>
      </c>
      <c r="J216" s="15">
        <f>IF($G216="",0,$G216*$I216)</f>
        <v/>
      </c>
      <c r="K216" s="15">
        <f>IF($G216="",0,$I216)</f>
        <v/>
      </c>
      <c r="L216" s="13">
        <f>'الإدارة المالية'!B20</f>
        <v/>
      </c>
    </row>
    <row r="217">
      <c r="A217" s="15" t="n">
        <v>216</v>
      </c>
      <c r="B217" s="13" t="inlineStr">
        <is>
          <t>الإدارة المالية</t>
        </is>
      </c>
      <c r="C217" s="13">
        <f>'الإدارة المالية'!C21</f>
        <v/>
      </c>
      <c r="D217" s="15">
        <f>'الإدارة المالية'!J21</f>
        <v/>
      </c>
      <c r="E217" s="13">
        <f>'الإدارة المالية'!K21</f>
        <v/>
      </c>
      <c r="F217" s="15">
        <f>'الإدارة المالية'!L21</f>
        <v/>
      </c>
      <c r="G217" s="56">
        <f>'الإدارة المالية'!N21</f>
        <v/>
      </c>
      <c r="H217" s="15">
        <f>'الإدارة المالية'!O21</f>
        <v/>
      </c>
      <c r="I217" s="24">
        <f>'الإدارة المالية'!G21</f>
        <v/>
      </c>
      <c r="J217" s="15">
        <f>IF($G217="",0,$G217*$I217)</f>
        <v/>
      </c>
      <c r="K217" s="15">
        <f>IF($G217="",0,$I217)</f>
        <v/>
      </c>
      <c r="L217" s="13">
        <f>'الإدارة المالية'!B21</f>
        <v/>
      </c>
    </row>
    <row r="218">
      <c r="A218" s="15" t="n">
        <v>217</v>
      </c>
      <c r="B218" s="13" t="inlineStr">
        <is>
          <t>الإدارة المالية</t>
        </is>
      </c>
      <c r="C218" s="13">
        <f>'الإدارة المالية'!C22</f>
        <v/>
      </c>
      <c r="D218" s="15">
        <f>'الإدارة المالية'!J22</f>
        <v/>
      </c>
      <c r="E218" s="13">
        <f>'الإدارة المالية'!K22</f>
        <v/>
      </c>
      <c r="F218" s="15">
        <f>'الإدارة المالية'!L22</f>
        <v/>
      </c>
      <c r="G218" s="56">
        <f>'الإدارة المالية'!N22</f>
        <v/>
      </c>
      <c r="H218" s="15">
        <f>'الإدارة المالية'!O22</f>
        <v/>
      </c>
      <c r="I218" s="24">
        <f>'الإدارة المالية'!G22</f>
        <v/>
      </c>
      <c r="J218" s="15">
        <f>IF($G218="",0,$G218*$I218)</f>
        <v/>
      </c>
      <c r="K218" s="15">
        <f>IF($G218="",0,$I218)</f>
        <v/>
      </c>
      <c r="L218" s="13">
        <f>'الإدارة المالية'!B22</f>
        <v/>
      </c>
    </row>
    <row r="219">
      <c r="A219" s="15" t="n">
        <v>218</v>
      </c>
      <c r="B219" s="13" t="inlineStr">
        <is>
          <t>الإدارة المالية</t>
        </is>
      </c>
      <c r="C219" s="13">
        <f>'الإدارة المالية'!C23</f>
        <v/>
      </c>
      <c r="D219" s="15">
        <f>'الإدارة المالية'!J23</f>
        <v/>
      </c>
      <c r="E219" s="13">
        <f>'الإدارة المالية'!K23</f>
        <v/>
      </c>
      <c r="F219" s="15">
        <f>'الإدارة المالية'!L23</f>
        <v/>
      </c>
      <c r="G219" s="56">
        <f>'الإدارة المالية'!N23</f>
        <v/>
      </c>
      <c r="H219" s="15">
        <f>'الإدارة المالية'!O23</f>
        <v/>
      </c>
      <c r="I219" s="24">
        <f>'الإدارة المالية'!G23</f>
        <v/>
      </c>
      <c r="J219" s="15">
        <f>IF($G219="",0,$G219*$I219)</f>
        <v/>
      </c>
      <c r="K219" s="15">
        <f>IF($G219="",0,$I219)</f>
        <v/>
      </c>
      <c r="L219" s="13">
        <f>'الإدارة المالية'!B23</f>
        <v/>
      </c>
    </row>
    <row r="220">
      <c r="A220" s="15" t="n">
        <v>219</v>
      </c>
      <c r="B220" s="13" t="inlineStr">
        <is>
          <t>الإدارة المالية</t>
        </is>
      </c>
      <c r="C220" s="13">
        <f>'الإدارة المالية'!C24</f>
        <v/>
      </c>
      <c r="D220" s="15">
        <f>'الإدارة المالية'!J24</f>
        <v/>
      </c>
      <c r="E220" s="13">
        <f>'الإدارة المالية'!K24</f>
        <v/>
      </c>
      <c r="F220" s="15">
        <f>'الإدارة المالية'!L24</f>
        <v/>
      </c>
      <c r="G220" s="56">
        <f>'الإدارة المالية'!N24</f>
        <v/>
      </c>
      <c r="H220" s="15">
        <f>'الإدارة المالية'!O24</f>
        <v/>
      </c>
      <c r="I220" s="24">
        <f>'الإدارة المالية'!G24</f>
        <v/>
      </c>
      <c r="J220" s="15">
        <f>IF($G220="",0,$G220*$I220)</f>
        <v/>
      </c>
      <c r="K220" s="15">
        <f>IF($G220="",0,$I220)</f>
        <v/>
      </c>
      <c r="L220" s="13">
        <f>'الإدارة المالية'!B24</f>
        <v/>
      </c>
    </row>
    <row r="221">
      <c r="A221" s="15" t="n">
        <v>220</v>
      </c>
      <c r="B221" s="13" t="inlineStr">
        <is>
          <t>الإدارة المالية</t>
        </is>
      </c>
      <c r="C221" s="13">
        <f>'الإدارة المالية'!C26</f>
        <v/>
      </c>
      <c r="D221" s="15">
        <f>'الإدارة المالية'!J26</f>
        <v/>
      </c>
      <c r="E221" s="13">
        <f>'الإدارة المالية'!K26</f>
        <v/>
      </c>
      <c r="F221" s="15">
        <f>'الإدارة المالية'!L26</f>
        <v/>
      </c>
      <c r="G221" s="56">
        <f>'الإدارة المالية'!N26</f>
        <v/>
      </c>
      <c r="H221" s="15">
        <f>'الإدارة المالية'!O26</f>
        <v/>
      </c>
      <c r="I221" s="24">
        <f>'الإدارة المالية'!G26</f>
        <v/>
      </c>
      <c r="J221" s="15">
        <f>IF($G221="",0,$G221*$I221)</f>
        <v/>
      </c>
      <c r="K221" s="15">
        <f>IF($G221="",0,$I221)</f>
        <v/>
      </c>
      <c r="L221" s="13">
        <f>'الإدارة المالية'!B26</f>
        <v/>
      </c>
    </row>
    <row r="222">
      <c r="A222" s="15" t="n">
        <v>221</v>
      </c>
      <c r="B222" s="13" t="inlineStr">
        <is>
          <t>الإدارة المالية</t>
        </is>
      </c>
      <c r="C222" s="13">
        <f>'الإدارة المالية'!C27</f>
        <v/>
      </c>
      <c r="D222" s="15">
        <f>'الإدارة المالية'!J27</f>
        <v/>
      </c>
      <c r="E222" s="13">
        <f>'الإدارة المالية'!K27</f>
        <v/>
      </c>
      <c r="F222" s="15">
        <f>'الإدارة المالية'!L27</f>
        <v/>
      </c>
      <c r="G222" s="56">
        <f>'الإدارة المالية'!N27</f>
        <v/>
      </c>
      <c r="H222" s="15">
        <f>'الإدارة المالية'!O27</f>
        <v/>
      </c>
      <c r="I222" s="24">
        <f>'الإدارة المالية'!G27</f>
        <v/>
      </c>
      <c r="J222" s="15">
        <f>IF($G222="",0,$G222*$I222)</f>
        <v/>
      </c>
      <c r="K222" s="15">
        <f>IF($G222="",0,$I222)</f>
        <v/>
      </c>
      <c r="L222" s="13">
        <f>'الإدارة المالية'!B27</f>
        <v/>
      </c>
    </row>
    <row r="223">
      <c r="A223" s="15" t="n">
        <v>222</v>
      </c>
      <c r="B223" s="13" t="inlineStr">
        <is>
          <t>الإدارة المالية</t>
        </is>
      </c>
      <c r="C223" s="13">
        <f>'الإدارة المالية'!C29</f>
        <v/>
      </c>
      <c r="D223" s="15">
        <f>'الإدارة المالية'!J29</f>
        <v/>
      </c>
      <c r="E223" s="13">
        <f>'الإدارة المالية'!K29</f>
        <v/>
      </c>
      <c r="F223" s="15">
        <f>'الإدارة المالية'!L29</f>
        <v/>
      </c>
      <c r="G223" s="56">
        <f>'الإدارة المالية'!N29</f>
        <v/>
      </c>
      <c r="H223" s="15">
        <f>'الإدارة المالية'!O29</f>
        <v/>
      </c>
      <c r="I223" s="24">
        <f>'الإدارة المالية'!G29</f>
        <v/>
      </c>
      <c r="J223" s="15">
        <f>IF($G223="",0,$G223*$I223)</f>
        <v/>
      </c>
      <c r="K223" s="15">
        <f>IF($G223="",0,$I223)</f>
        <v/>
      </c>
      <c r="L223" s="13">
        <f>'الإدارة المالية'!B29</f>
        <v/>
      </c>
    </row>
    <row r="224">
      <c r="A224" s="15" t="n">
        <v>223</v>
      </c>
      <c r="B224" s="13" t="inlineStr">
        <is>
          <t>الإدارة المالية</t>
        </is>
      </c>
      <c r="C224" s="13">
        <f>'الإدارة المالية'!C30</f>
        <v/>
      </c>
      <c r="D224" s="15">
        <f>'الإدارة المالية'!J30</f>
        <v/>
      </c>
      <c r="E224" s="13">
        <f>'الإدارة المالية'!K30</f>
        <v/>
      </c>
      <c r="F224" s="15">
        <f>'الإدارة المالية'!L30</f>
        <v/>
      </c>
      <c r="G224" s="56">
        <f>'الإدارة المالية'!N30</f>
        <v/>
      </c>
      <c r="H224" s="15">
        <f>'الإدارة المالية'!O30</f>
        <v/>
      </c>
      <c r="I224" s="24">
        <f>'الإدارة المالية'!G30</f>
        <v/>
      </c>
      <c r="J224" s="15">
        <f>IF($G224="",0,$G224*$I224)</f>
        <v/>
      </c>
      <c r="K224" s="15">
        <f>IF($G224="",0,$I224)</f>
        <v/>
      </c>
      <c r="L224" s="13">
        <f>'الإدارة المالية'!B30</f>
        <v/>
      </c>
    </row>
    <row r="225">
      <c r="A225" s="15" t="n">
        <v>224</v>
      </c>
      <c r="B225" s="13" t="inlineStr">
        <is>
          <t>الإدارة المالية</t>
        </is>
      </c>
      <c r="C225" s="13">
        <f>'الإدارة المالية'!C31</f>
        <v/>
      </c>
      <c r="D225" s="15">
        <f>'الإدارة المالية'!J31</f>
        <v/>
      </c>
      <c r="E225" s="13">
        <f>'الإدارة المالية'!K31</f>
        <v/>
      </c>
      <c r="F225" s="15">
        <f>'الإدارة المالية'!L31</f>
        <v/>
      </c>
      <c r="G225" s="56">
        <f>'الإدارة المالية'!N31</f>
        <v/>
      </c>
      <c r="H225" s="15">
        <f>'الإدارة المالية'!O31</f>
        <v/>
      </c>
      <c r="I225" s="24">
        <f>'الإدارة المالية'!G31</f>
        <v/>
      </c>
      <c r="J225" s="15">
        <f>IF($G225="",0,$G225*$I225)</f>
        <v/>
      </c>
      <c r="K225" s="15">
        <f>IF($G225="",0,$I225)</f>
        <v/>
      </c>
      <c r="L225" s="13">
        <f>'الإدارة المالية'!B31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2026-08-15T13:36:09Z</dcterms:created>
  <dcterms:modified xsi:type="dcterms:W3CDTF">2026-08-15T13:36:12Z</dcterms:modified>
</cp:coreProperties>
</file>