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قرير المجلس" sheetId="1" state="visible" r:id="rId1"/>
    <sheet xmlns:r="http://schemas.openxmlformats.org/officeDocument/2006/relationships" name="أهم المؤشرات (Top 5)" sheetId="2" state="visible" r:id="rId2"/>
    <sheet xmlns:r="http://schemas.openxmlformats.org/officeDocument/2006/relationships" name="المؤشرات الجامعة" sheetId="3" state="visible" r:id="rId3"/>
    <sheet xmlns:r="http://schemas.openxmlformats.org/officeDocument/2006/relationships" name="الاستراتيجية والمستهدفات" sheetId="4" state="visible" r:id="rId4"/>
    <sheet xmlns:r="http://schemas.openxmlformats.org/officeDocument/2006/relationships" name="الخريطة الاستراتيجية" sheetId="5" state="visible" r:id="rId5"/>
    <sheet xmlns:r="http://schemas.openxmlformats.org/officeDocument/2006/relationships" name="اللوحة الموجزة" sheetId="6" state="visible" r:id="rId6"/>
    <sheet xmlns:r="http://schemas.openxmlformats.org/officeDocument/2006/relationships" name="تحليل الانحراف" sheetId="7" state="visible" r:id="rId7"/>
    <sheet xmlns:r="http://schemas.openxmlformats.org/officeDocument/2006/relationships" name="التتبّع الشهري" sheetId="8" state="visible" r:id="rId8"/>
    <sheet xmlns:r="http://schemas.openxmlformats.org/officeDocument/2006/relationships" name="سجل المخاطر" sheetId="9" state="visible" r:id="rId9"/>
    <sheet xmlns:r="http://schemas.openxmlformats.org/officeDocument/2006/relationships" name="ESG والاستدامة" sheetId="10" state="visible" r:id="rId10"/>
    <sheet xmlns:r="http://schemas.openxmlformats.org/officeDocument/2006/relationships" name="مراجعة وحوكمة المؤشرات" sheetId="11" state="visible" r:id="rId11"/>
    <sheet xmlns:r="http://schemas.openxmlformats.org/officeDocument/2006/relationships" name="بطاقة تعريف المؤشرات" sheetId="12" state="visible" r:id="rId12"/>
    <sheet xmlns:r="http://schemas.openxmlformats.org/officeDocument/2006/relationships" name="الإدارة التنفيذية" sheetId="13" state="visible" r:id="rId13"/>
    <sheet xmlns:r="http://schemas.openxmlformats.org/officeDocument/2006/relationships" name="الامتياز التجاري" sheetId="14" state="visible" r:id="rId14"/>
    <sheet xmlns:r="http://schemas.openxmlformats.org/officeDocument/2006/relationships" name="التشغيل والمحطات" sheetId="15" state="visible" r:id="rId15"/>
    <sheet xmlns:r="http://schemas.openxmlformats.org/officeDocument/2006/relationships" name="الاستثمار" sheetId="16" state="visible" r:id="rId16"/>
    <sheet xmlns:r="http://schemas.openxmlformats.org/officeDocument/2006/relationships" name="العقار" sheetId="17" state="visible" r:id="rId17"/>
    <sheet xmlns:r="http://schemas.openxmlformats.org/officeDocument/2006/relationships" name="إدارة المشاريع" sheetId="18" state="visible" r:id="rId18"/>
    <sheet xmlns:r="http://schemas.openxmlformats.org/officeDocument/2006/relationships" name="سلاسل الإمداد" sheetId="19" state="visible" r:id="rId19"/>
    <sheet xmlns:r="http://schemas.openxmlformats.org/officeDocument/2006/relationships" name="الصيانة والأتمتة" sheetId="20" state="visible" r:id="rId20"/>
    <sheet xmlns:r="http://schemas.openxmlformats.org/officeDocument/2006/relationships" name="التقنية الرقمية" sheetId="21" state="visible" r:id="rId21"/>
    <sheet xmlns:r="http://schemas.openxmlformats.org/officeDocument/2006/relationships" name="الموارد البشرية" sheetId="22" state="visible" r:id="rId22"/>
    <sheet xmlns:r="http://schemas.openxmlformats.org/officeDocument/2006/relationships" name="التسويق" sheetId="23" state="visible" r:id="rId23"/>
    <sheet xmlns:r="http://schemas.openxmlformats.org/officeDocument/2006/relationships" name="الجودة" sheetId="24" state="visible" r:id="rId24"/>
    <sheet xmlns:r="http://schemas.openxmlformats.org/officeDocument/2006/relationships" name="الإدارة القانونية" sheetId="25" state="visible" r:id="rId25"/>
    <sheet xmlns:r="http://schemas.openxmlformats.org/officeDocument/2006/relationships" name="الإدارة المالية" sheetId="26" state="visible" r:id="rId26"/>
    <sheet xmlns:r="http://schemas.openxmlformats.org/officeDocument/2006/relationships" name="سجل المشاريع" sheetId="27" state="visible" r:id="rId27"/>
    <sheet xmlns:r="http://schemas.openxmlformats.org/officeDocument/2006/relationships" name="قاعدة المؤشرات" sheetId="28" state="hidden" r:id="rId28"/>
  </sheets>
  <definedNames>
    <definedName name="_xlnm._FilterDatabase" localSheetId="2" hidden="1">'المؤشرات الجامعة'!$A$2:$I$93</definedName>
    <definedName name="_xlnm._FilterDatabase" localSheetId="6" hidden="1">'تحليل الانحراف'!$A$2:$M$169</definedName>
    <definedName name="_xlnm._FilterDatabase" localSheetId="7" hidden="1">'التتبّع الشهري'!$A$3:$X$225</definedName>
    <definedName name="_xlnm._FilterDatabase" localSheetId="8" hidden="1">'سجل المخاطر'!$A$2:$K$14</definedName>
    <definedName name="_xlnm._FilterDatabase" localSheetId="9" hidden="1">'ESG والاستدامة'!$A$2:$J$16</definedName>
    <definedName name="_xlnm._FilterDatabase" localSheetId="11" hidden="1">'بطاقة تعريف المؤشرات'!$A$2:$N$224</definedName>
    <definedName name="_xlnm._FilterDatabase" localSheetId="12" hidden="1">'الإدارة التنفيذية'!$A$3:$R$16</definedName>
    <definedName name="_xlnm._FilterDatabase" localSheetId="13" hidden="1">'الامتياز التجاري'!$A$3:$R$38</definedName>
    <definedName name="_xlnm._FilterDatabase" localSheetId="14" hidden="1">'التشغيل والمحطات'!$A$3:$R$22</definedName>
    <definedName name="_xlnm._FilterDatabase" localSheetId="15" hidden="1">'الاستثمار'!$A$3:$R$33</definedName>
    <definedName name="_xlnm._FilterDatabase" localSheetId="16" hidden="1">'العقار'!$A$3:$R$24</definedName>
    <definedName name="_xlnm._FilterDatabase" localSheetId="17" hidden="1">'إدارة المشاريع'!$A$3:$R$22</definedName>
    <definedName name="_xlnm._FilterDatabase" localSheetId="18" hidden="1">'سلاسل الإمداد'!$A$3:$R$20</definedName>
    <definedName name="_xlnm._FilterDatabase" localSheetId="19" hidden="1">'الصيانة والأتمتة'!$A$3:$R$16</definedName>
    <definedName name="_xlnm._FilterDatabase" localSheetId="20" hidden="1">'التقنية الرقمية'!$A$3:$R$20</definedName>
    <definedName name="_xlnm._FilterDatabase" localSheetId="21" hidden="1">'الموارد البشرية'!$A$3:$R$19</definedName>
    <definedName name="_xlnm._FilterDatabase" localSheetId="22" hidden="1">'التسويق'!$A$3:$R$24</definedName>
    <definedName name="_xlnm._FilterDatabase" localSheetId="23" hidden="1">'الجودة'!$A$3:$R$18</definedName>
    <definedName name="_xlnm._FilterDatabase" localSheetId="24" hidden="1">'الإدارة القانونية'!$A$3:$R$20</definedName>
    <definedName name="_xlnm._FilterDatabase" localSheetId="25" hidden="1">'الإدارة المالية'!$A$3:$R$35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 &quot;ر.س&quot;"/>
  </numFmts>
  <fonts count="40">
    <font>
      <name val="Calibri"/>
      <family val="2"/>
      <color theme="1"/>
      <sz val="11"/>
      <scheme val="minor"/>
    </font>
    <font>
      <name val="Tajawal"/>
      <b val="1"/>
      <color rgb="00FFFFFF"/>
      <sz val="13"/>
    </font>
    <font>
      <name val="Tajawal"/>
      <color rgb="0058595B"/>
      <sz val="9"/>
    </font>
    <font>
      <name val="Tajawal"/>
      <b val="1"/>
      <color rgb="00FFFFFF"/>
      <sz val="9"/>
    </font>
    <font>
      <name val="Tajawal"/>
      <b val="1"/>
      <color rgb="00FFFFFF"/>
      <sz val="10"/>
    </font>
    <font>
      <name val="Tajawal"/>
      <color rgb="00222222"/>
      <sz val="10"/>
    </font>
    <font>
      <name val="Tajawal"/>
      <b val="1"/>
      <color rgb="00FFFFFF"/>
      <sz val="8"/>
    </font>
    <font>
      <name val="Tajawal"/>
      <b val="1"/>
      <color rgb="00FFFFFF"/>
      <sz val="11"/>
    </font>
    <font>
      <name val="Tajawal"/>
      <b val="1"/>
      <color rgb="00222222"/>
      <sz val="9"/>
    </font>
    <font>
      <name val="Tajawal"/>
      <color rgb="00222222"/>
      <sz val="9"/>
    </font>
    <font>
      <name val="Tajawal"/>
      <color rgb="00222222"/>
      <sz val="8"/>
    </font>
    <font>
      <name val="Tajawal"/>
      <color rgb="00666666"/>
      <sz val="8"/>
    </font>
    <font>
      <name val="Tajawal"/>
      <color rgb="00F47A21"/>
      <sz val="9"/>
    </font>
    <font>
      <name val="Tajawal"/>
      <b val="1"/>
      <color rgb="0058595B"/>
      <sz val="9"/>
    </font>
    <font>
      <name val="Tajawal"/>
      <color rgb="00555555"/>
      <sz val="8"/>
    </font>
    <font>
      <name val="Tajawal"/>
      <b val="1"/>
      <color rgb="0058595B"/>
      <sz val="8"/>
    </font>
    <font>
      <name val="Tajawal"/>
      <b val="1"/>
      <color rgb="00FFFFFF"/>
      <sz val="12"/>
    </font>
    <font>
      <name val="Tajawal"/>
      <b val="1"/>
      <color rgb="00F47A21"/>
      <sz val="10"/>
    </font>
    <font>
      <name val="Tajawal"/>
      <b val="1"/>
      <color rgb="00C00000"/>
      <sz val="9"/>
    </font>
    <font>
      <name val="Tajawal"/>
      <b val="1"/>
      <color rgb="00FFFFFF"/>
      <sz val="15"/>
    </font>
    <font>
      <name val="Tajawal"/>
      <color rgb="00FFFFFF"/>
      <sz val="9"/>
    </font>
    <font>
      <name val="Tajawal"/>
      <b val="1"/>
      <color rgb="0058595B"/>
      <sz val="11"/>
    </font>
    <font>
      <name val="Tajawal"/>
      <b val="1"/>
      <color rgb="00F47A21"/>
      <sz val="9"/>
    </font>
    <font>
      <name val="Tajawal"/>
      <b val="1"/>
      <color rgb="00F47A21"/>
      <sz val="22"/>
    </font>
    <font>
      <name val="Tajawal"/>
      <b val="1"/>
      <color rgb="0058595B"/>
      <sz val="18"/>
    </font>
    <font>
      <name val="Tajawal"/>
      <b val="1"/>
      <color rgb="00FFFFFF"/>
      <sz val="14"/>
    </font>
    <font>
      <name val="Tajawal"/>
      <color rgb="009C6500"/>
      <sz val="8"/>
    </font>
    <font>
      <name val="Tajawal"/>
      <color rgb="00444444"/>
      <sz val="8"/>
    </font>
    <font>
      <name val="Tajawal"/>
      <color rgb="00F2C94C"/>
      <sz val="8"/>
    </font>
    <font>
      <name val="Tajawal"/>
      <color rgb="00C00000"/>
      <sz val="8"/>
    </font>
    <font>
      <name val="Tajawal"/>
      <color rgb="00EB5757"/>
      <sz val="8"/>
    </font>
    <font>
      <name val="Tajawal"/>
      <color rgb="002EAD6B"/>
      <sz val="8"/>
    </font>
    <font>
      <name val="Tajawal"/>
      <color rgb="00BDBDBD"/>
      <sz val="8"/>
    </font>
    <font>
      <name val="Tajawal"/>
      <b val="1"/>
      <color rgb="003FB27F"/>
      <sz val="8"/>
    </font>
    <font>
      <name val="Tajawal"/>
      <b val="1"/>
      <color rgb="00C00000"/>
      <sz val="8"/>
    </font>
    <font>
      <name val="Tajawal"/>
      <b val="1"/>
      <color rgb="00222222"/>
      <sz val="8"/>
    </font>
    <font>
      <name val="Tajawal"/>
      <b val="1"/>
      <color rgb="00FFFFFF"/>
      <sz val="16"/>
    </font>
    <font>
      <name val="Tajawal"/>
      <color rgb="00888888"/>
      <sz val="8"/>
    </font>
    <font>
      <name val="Tajawal"/>
      <b val="1"/>
      <color rgb="00AAAAAA"/>
      <sz val="11"/>
    </font>
    <font>
      <name val="Tajawal"/>
      <color rgb="0058595B"/>
      <sz val="8"/>
    </font>
  </fonts>
  <fills count="10">
    <fill>
      <patternFill/>
    </fill>
    <fill>
      <patternFill patternType="gray125"/>
    </fill>
    <fill>
      <patternFill patternType="solid">
        <fgColor rgb="0058595B"/>
      </patternFill>
    </fill>
    <fill>
      <patternFill patternType="solid">
        <fgColor rgb="00FDE3D1"/>
      </patternFill>
    </fill>
    <fill>
      <patternFill patternType="solid">
        <fgColor rgb="00808285"/>
      </patternFill>
    </fill>
    <fill>
      <patternFill patternType="solid">
        <fgColor rgb="00C6EFCE"/>
      </patternFill>
    </fill>
    <fill>
      <patternFill patternType="solid">
        <fgColor rgb="00F47A21"/>
      </patternFill>
    </fill>
    <fill>
      <patternFill patternType="solid">
        <fgColor rgb="00A7A9AC"/>
      </patternFill>
    </fill>
    <fill>
      <patternFill patternType="solid">
        <fgColor rgb="005B9BD5"/>
      </patternFill>
    </fill>
    <fill>
      <patternFill patternType="solid">
        <fgColor rgb="003FB27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36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9" fontId="23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9" fillId="0" borderId="1" applyAlignment="1" pivotButton="0" quotePrefix="0" xfId="0">
      <alignment horizontal="right" vertical="center"/>
    </xf>
    <xf numFmtId="9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 wrapText="1"/>
    </xf>
    <xf numFmtId="9" fontId="3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3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 wrapText="1"/>
    </xf>
    <xf numFmtId="0" fontId="11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9" fontId="10" fillId="0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 wrapText="1"/>
    </xf>
    <xf numFmtId="9" fontId="17" fillId="0" borderId="1" applyAlignment="1" pivotButton="0" quotePrefix="0" xfId="0">
      <alignment horizontal="center" vertical="center"/>
    </xf>
    <xf numFmtId="9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right" vertical="center" wrapText="1"/>
    </xf>
    <xf numFmtId="0" fontId="19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 wrapText="1"/>
    </xf>
    <xf numFmtId="0" fontId="20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right" vertical="center" wrapText="1"/>
    </xf>
    <xf numFmtId="0" fontId="22" fillId="0" borderId="1" applyAlignment="1" pivotButton="0" quotePrefix="0" xfId="0">
      <alignment horizontal="right" vertical="center" wrapText="1"/>
    </xf>
    <xf numFmtId="0" fontId="16" fillId="6" borderId="1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9" fontId="16" fillId="6" borderId="1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9" fontId="16" fillId="8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9" fontId="16" fillId="4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9" fontId="16" fillId="9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15" fillId="0" borderId="1" applyAlignment="1" pivotButton="0" quotePrefix="0" xfId="0">
      <alignment horizontal="center" vertical="center"/>
    </xf>
    <xf numFmtId="0" fontId="5" fillId="5" borderId="1" applyAlignment="1" applyProtection="1" pivotButton="0" quotePrefix="0" xfId="0">
      <alignment horizontal="center" vertical="center"/>
      <protection locked="0" hidden="0"/>
    </xf>
    <xf numFmtId="0" fontId="39" fillId="3" borderId="0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applyProtection="1" pivotButton="0" quotePrefix="0" xfId="0">
      <alignment horizontal="center" vertical="center"/>
      <protection locked="0" hidden="0"/>
    </xf>
    <xf numFmtId="3" fontId="15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9" fontId="5" fillId="5" borderId="1" applyAlignment="1" applyProtection="1" pivotButton="0" quotePrefix="0" xfId="0">
      <alignment horizontal="center" vertical="center"/>
      <protection locked="0" hidden="0"/>
    </xf>
    <xf numFmtId="9" fontId="11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5" fillId="5" borderId="1" applyAlignment="1" applyProtection="1" pivotButton="0" quotePrefix="0" xfId="0">
      <alignment horizontal="center" vertical="center"/>
      <protection locked="0" hidden="0"/>
    </xf>
    <xf numFmtId="164" fontId="15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5" fontId="5" fillId="5" borderId="1" applyAlignment="1" applyProtection="1" pivotButton="0" quotePrefix="0" xfId="0">
      <alignment horizontal="center" vertical="center"/>
      <protection locked="0" hidden="0"/>
    </xf>
    <xf numFmtId="165" fontId="15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9" fontId="33" fillId="0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9" fontId="4" fillId="2" borderId="1" applyAlignment="1" pivotButton="0" quotePrefix="0" xfId="0">
      <alignment horizontal="center" vertical="center"/>
    </xf>
    <xf numFmtId="9" fontId="7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/>
    </xf>
    <xf numFmtId="0" fontId="5" fillId="5" borderId="1" applyAlignment="1" applyProtection="1" pivotButton="0" quotePrefix="0" xfId="0">
      <alignment horizontal="right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 ht="28" customHeight="1">
      <c r="B2" s="1" t="inlineStr">
        <is>
          <t>تقرير الأداء التنفيذي — مجلس الإدارة · درب 2026</t>
        </is>
      </c>
    </row>
    <row r="4">
      <c r="B4" s="2" t="inlineStr">
        <is>
          <t>الإنجاز العام الموزون</t>
        </is>
      </c>
      <c r="C4" s="3" t="inlineStr">
        <is>
          <t>✅ محقق</t>
        </is>
      </c>
      <c r="D4" s="3" t="inlineStr">
        <is>
          <t>🟡 قريب</t>
        </is>
      </c>
      <c r="E4" s="3" t="inlineStr">
        <is>
          <t>🔴 تحت الهدف</t>
        </is>
      </c>
    </row>
    <row r="5">
      <c r="B5" s="4">
        <f>'اللوحة الموجزة'!B5</f>
        <v/>
      </c>
      <c r="C5" s="5">
        <f>'اللوحة الموجزة'!C5</f>
        <v/>
      </c>
      <c r="D5" s="5">
        <f>'اللوحة الموجزة'!D5</f>
        <v/>
      </c>
      <c r="E5" s="5">
        <f>'اللوحة الموجزة'!E5</f>
        <v/>
      </c>
    </row>
    <row r="7">
      <c r="B7" s="6" t="inlineStr">
        <is>
          <t>الأداء حسب الركيزة</t>
        </is>
      </c>
      <c r="C7" s="7" t="n"/>
      <c r="D7" s="6" t="inlineStr">
        <is>
          <t>أبرز 5 انحرافات</t>
        </is>
      </c>
      <c r="E7" s="8" t="n"/>
      <c r="F7" s="7" t="n"/>
    </row>
    <row r="8">
      <c r="B8" s="9" t="inlineStr">
        <is>
          <t>النمو</t>
        </is>
      </c>
      <c r="C8" s="10">
        <f>IFERROR(AVERAGEIFS('قاعدة المؤشرات'!$G$2:$G$223,'قاعدة المؤشرات'!$D$2:$D$223,"النمو"),"—")</f>
        <v/>
      </c>
      <c r="D8" s="11" t="inlineStr">
        <is>
          <t>معدل التفاعل (Engagement)</t>
        </is>
      </c>
      <c r="E8" s="7" t="n"/>
      <c r="F8" s="12" t="n">
        <v>0</v>
      </c>
    </row>
    <row r="9">
      <c r="B9" s="9" t="inlineStr">
        <is>
          <t>الابتكار</t>
        </is>
      </c>
      <c r="C9" s="10">
        <f>IFERROR(AVERAGEIFS('قاعدة المؤشرات'!$G$2:$G$223,'قاعدة المؤشرات'!$D$2:$D$223,"الابتكار"),"—")</f>
        <v/>
      </c>
      <c r="D9" s="11" t="inlineStr">
        <is>
          <t>عدد المعارض بالسنة</t>
        </is>
      </c>
      <c r="E9" s="7" t="n"/>
      <c r="F9" s="12" t="n">
        <v>0</v>
      </c>
    </row>
    <row r="10">
      <c r="B10" s="9" t="inlineStr">
        <is>
          <t>الاستدامة</t>
        </is>
      </c>
      <c r="C10" s="10">
        <f>IFERROR(AVERAGEIFS('قاعدة المؤشرات'!$G$2:$G$223,'قاعدة المؤشرات'!$D$2:$D$223,"الاستدامة"),"—")</f>
        <v/>
      </c>
      <c r="D10" s="11" t="inlineStr">
        <is>
          <t>اتفاقيات استراتيجية</t>
        </is>
      </c>
      <c r="E10" s="7" t="n"/>
      <c r="F10" s="12" t="n">
        <v>0</v>
      </c>
    </row>
    <row r="11">
      <c r="D11" s="11" t="inlineStr">
        <is>
          <t>عملاء تجاريون جدد</t>
        </is>
      </c>
      <c r="E11" s="7" t="n"/>
      <c r="F11" s="12" t="n">
        <v>0.005</v>
      </c>
    </row>
    <row r="12">
      <c r="D12" s="11" t="inlineStr">
        <is>
          <t>الوصول الكلي (Total Reach)</t>
        </is>
      </c>
      <c r="E12" s="7" t="n"/>
      <c r="F12" s="12" t="n">
        <v>0.1</v>
      </c>
    </row>
    <row r="14">
      <c r="B14" s="6" t="inlineStr">
        <is>
          <t>أعلى 5 مخاطر مؤسسية (الأثر × الاحتمال)</t>
        </is>
      </c>
      <c r="C14" s="8" t="n"/>
      <c r="D14" s="8" t="n"/>
      <c r="E14" s="8" t="n"/>
      <c r="F14" s="7" t="n"/>
    </row>
    <row r="15">
      <c r="B15" s="13" t="inlineStr">
        <is>
          <t>تقلّب أسعار الوقود وضغط الهامش</t>
        </is>
      </c>
      <c r="C15" s="8" t="n"/>
      <c r="D15" s="7" t="n"/>
      <c r="E15" s="14" t="inlineStr">
        <is>
          <t>4×5=20</t>
        </is>
      </c>
      <c r="F15" s="15" t="inlineStr">
        <is>
          <t>🔴 عالي</t>
        </is>
      </c>
    </row>
    <row r="16">
      <c r="B16" s="13" t="inlineStr">
        <is>
          <t>تأخّر مشاريع التحول الرقمي</t>
        </is>
      </c>
      <c r="C16" s="8" t="n"/>
      <c r="D16" s="7" t="n"/>
      <c r="E16" s="14" t="inlineStr">
        <is>
          <t>4×4=16</t>
        </is>
      </c>
      <c r="F16" s="15" t="inlineStr">
        <is>
          <t>🔴 عالي</t>
        </is>
      </c>
    </row>
    <row r="17">
      <c r="B17" s="13" t="inlineStr">
        <is>
          <t>اختراق/انقطاع الأنظمة الرقمية</t>
        </is>
      </c>
      <c r="C17" s="8" t="n"/>
      <c r="D17" s="7" t="n"/>
      <c r="E17" s="14" t="inlineStr">
        <is>
          <t>3×5=15</t>
        </is>
      </c>
      <c r="F17" s="15" t="inlineStr">
        <is>
          <t>🔴 عالي</t>
        </is>
      </c>
    </row>
    <row r="18">
      <c r="B18" s="13" t="inlineStr">
        <is>
          <t>تعثّر تحصيل المستحقات</t>
        </is>
      </c>
      <c r="C18" s="8" t="n"/>
      <c r="D18" s="7" t="n"/>
      <c r="E18" s="14" t="inlineStr">
        <is>
          <t>3×4=12</t>
        </is>
      </c>
      <c r="F18" s="15" t="inlineStr">
        <is>
          <t>🟠 متوسط</t>
        </is>
      </c>
    </row>
    <row r="19">
      <c r="B19" s="13" t="inlineStr">
        <is>
          <t>ضغط السيولة والتدفق النقدي</t>
        </is>
      </c>
      <c r="C19" s="8" t="n"/>
      <c r="D19" s="7" t="n"/>
      <c r="E19" s="14" t="inlineStr">
        <is>
          <t>3×4=12</t>
        </is>
      </c>
      <c r="F19" s="15" t="inlineStr">
        <is>
          <t>🟠 متوسط</t>
        </is>
      </c>
    </row>
    <row r="21">
      <c r="B21" s="16" t="inlineStr">
        <is>
          <t>يُحدَّث آلياً من اللوحة الموجزة وتحليل الانحراف وسجل المخاطر · سرّي — لأعضاء المجلس</t>
        </is>
      </c>
    </row>
  </sheetData>
  <mergeCells count="15">
    <mergeCell ref="D8:E8"/>
    <mergeCell ref="B21:F21"/>
    <mergeCell ref="B19:D19"/>
    <mergeCell ref="D10:E10"/>
    <mergeCell ref="B7:C7"/>
    <mergeCell ref="B2:F2"/>
    <mergeCell ref="B15:D15"/>
    <mergeCell ref="D11:E11"/>
    <mergeCell ref="B17:D17"/>
    <mergeCell ref="B18:D18"/>
    <mergeCell ref="B14:F14"/>
    <mergeCell ref="D7:F7"/>
    <mergeCell ref="D9:E9"/>
    <mergeCell ref="B16:D16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18" customWidth="1" min="3" max="3"/>
    <col width="12" customWidth="1" min="4" max="4"/>
    <col width="13" customWidth="1" min="5" max="5"/>
    <col width="14" customWidth="1" min="6" max="6"/>
    <col width="8" customWidth="1" min="7" max="7"/>
  </cols>
  <sheetData>
    <row r="1" ht="26" customHeight="1">
      <c r="A1" s="17" t="inlineStr">
        <is>
          <t>أهم 5 مؤشرات رئيسية لكل إدارة — لوحة المتابعة التنفيذية (قيَم حيّة مرتبطة بأوراق الإدارات)</t>
        </is>
      </c>
    </row>
    <row r="2" ht="24" customHeight="1">
      <c r="A2" s="18" t="inlineStr">
        <is>
          <t>#</t>
        </is>
      </c>
      <c r="B2" s="18" t="inlineStr">
        <is>
          <t>المؤشر</t>
        </is>
      </c>
      <c r="C2" s="18" t="inlineStr">
        <is>
          <t>المستهدف</t>
        </is>
      </c>
      <c r="D2" s="18" t="inlineStr">
        <is>
          <t>المُحقَّق</t>
        </is>
      </c>
      <c r="E2" s="18" t="inlineStr">
        <is>
          <t>نسبة التحقيق</t>
        </is>
      </c>
      <c r="F2" s="18" t="inlineStr">
        <is>
          <t>الحالة</t>
        </is>
      </c>
      <c r="G2" s="18" t="inlineStr">
        <is>
          <t>الوزن</t>
        </is>
      </c>
    </row>
    <row r="3" ht="22" customHeight="1">
      <c r="A3" s="19" t="inlineStr">
        <is>
          <t>▾ الإدارة التنفيذية · وزن الإدارة 0%</t>
        </is>
      </c>
    </row>
    <row r="4" ht="22" customHeight="1">
      <c r="A4" s="20" t="n">
        <v>1</v>
      </c>
      <c r="B4" s="21">
        <f>'الإدارة التنفيذية'!C5</f>
        <v/>
      </c>
      <c r="C4" s="22">
        <f>'الإدارة التنفيذية'!I5</f>
        <v/>
      </c>
      <c r="D4" s="23">
        <f>'الإدارة التنفيذية'!M5</f>
        <v/>
      </c>
      <c r="E4" s="10">
        <f>'الإدارة التنفيذية'!N5</f>
        <v/>
      </c>
      <c r="F4" s="20">
        <f>'الإدارة التنفيذية'!O5</f>
        <v/>
      </c>
      <c r="G4" s="24">
        <f>'الإدارة التنفيذية'!G5</f>
        <v/>
      </c>
    </row>
    <row r="5" ht="22" customHeight="1">
      <c r="A5" s="20" t="n">
        <v>2</v>
      </c>
      <c r="B5" s="21">
        <f>'الإدارة التنفيذية'!C6</f>
        <v/>
      </c>
      <c r="C5" s="22">
        <f>'الإدارة التنفيذية'!I6</f>
        <v/>
      </c>
      <c r="D5" s="23">
        <f>'الإدارة التنفيذية'!M6</f>
        <v/>
      </c>
      <c r="E5" s="10">
        <f>'الإدارة التنفيذية'!N6</f>
        <v/>
      </c>
      <c r="F5" s="20">
        <f>'الإدارة التنفيذية'!O6</f>
        <v/>
      </c>
      <c r="G5" s="24">
        <f>'الإدارة التنفيذية'!G6</f>
        <v/>
      </c>
    </row>
    <row r="6" ht="22" customHeight="1">
      <c r="A6" s="20" t="n">
        <v>3</v>
      </c>
      <c r="B6" s="21">
        <f>'الإدارة التنفيذية'!C7</f>
        <v/>
      </c>
      <c r="C6" s="22">
        <f>'الإدارة التنفيذية'!I7</f>
        <v/>
      </c>
      <c r="D6" s="23">
        <f>'الإدارة التنفيذية'!M7</f>
        <v/>
      </c>
      <c r="E6" s="10">
        <f>'الإدارة التنفيذية'!N7</f>
        <v/>
      </c>
      <c r="F6" s="20">
        <f>'الإدارة التنفيذية'!O7</f>
        <v/>
      </c>
      <c r="G6" s="24">
        <f>'الإدارة التنفيذية'!G7</f>
        <v/>
      </c>
    </row>
    <row r="7" ht="22" customHeight="1">
      <c r="A7" s="20" t="n">
        <v>4</v>
      </c>
      <c r="B7" s="21">
        <f>'الإدارة التنفيذية'!C12</f>
        <v/>
      </c>
      <c r="C7" s="22">
        <f>'الإدارة التنفيذية'!I12</f>
        <v/>
      </c>
      <c r="D7" s="23">
        <f>'الإدارة التنفيذية'!M12</f>
        <v/>
      </c>
      <c r="E7" s="10">
        <f>'الإدارة التنفيذية'!N12</f>
        <v/>
      </c>
      <c r="F7" s="20">
        <f>'الإدارة التنفيذية'!O12</f>
        <v/>
      </c>
      <c r="G7" s="24">
        <f>'الإدارة التنفيذية'!G12</f>
        <v/>
      </c>
    </row>
    <row r="8" ht="22" customHeight="1">
      <c r="A8" s="20" t="n">
        <v>5</v>
      </c>
      <c r="B8" s="21">
        <f>'الإدارة التنفيذية'!C13</f>
        <v/>
      </c>
      <c r="C8" s="22">
        <f>'الإدارة التنفيذية'!I13</f>
        <v/>
      </c>
      <c r="D8" s="23">
        <f>'الإدارة التنفيذية'!M13</f>
        <v/>
      </c>
      <c r="E8" s="10">
        <f>'الإدارة التنفيذية'!N13</f>
        <v/>
      </c>
      <c r="F8" s="20">
        <f>'الإدارة التنفيذية'!O13</f>
        <v/>
      </c>
      <c r="G8" s="24">
        <f>'الإدارة التنفيذية'!G13</f>
        <v/>
      </c>
    </row>
    <row r="9" ht="22" customHeight="1">
      <c r="A9" s="19" t="inlineStr">
        <is>
          <t>▾ الامتياز التجاري · وزن الإدارة 14%</t>
        </is>
      </c>
    </row>
    <row r="10" ht="22" customHeight="1">
      <c r="A10" s="20" t="n">
        <v>1</v>
      </c>
      <c r="B10" s="21">
        <f>'الامتياز التجاري'!C5</f>
        <v/>
      </c>
      <c r="C10" s="22">
        <f>'الامتياز التجاري'!I5</f>
        <v/>
      </c>
      <c r="D10" s="23">
        <f>'الامتياز التجاري'!M5</f>
        <v/>
      </c>
      <c r="E10" s="10">
        <f>'الامتياز التجاري'!N5</f>
        <v/>
      </c>
      <c r="F10" s="20">
        <f>'الامتياز التجاري'!O5</f>
        <v/>
      </c>
      <c r="G10" s="24">
        <f>'الامتياز التجاري'!G5</f>
        <v/>
      </c>
    </row>
    <row r="11" ht="22" customHeight="1">
      <c r="A11" s="20" t="n">
        <v>2</v>
      </c>
      <c r="B11" s="21">
        <f>'الامتياز التجاري'!C6</f>
        <v/>
      </c>
      <c r="C11" s="22">
        <f>'الامتياز التجاري'!I6</f>
        <v/>
      </c>
      <c r="D11" s="23">
        <f>'الامتياز التجاري'!M6</f>
        <v/>
      </c>
      <c r="E11" s="10">
        <f>'الامتياز التجاري'!N6</f>
        <v/>
      </c>
      <c r="F11" s="20">
        <f>'الامتياز التجاري'!O6</f>
        <v/>
      </c>
      <c r="G11" s="24">
        <f>'الامتياز التجاري'!G6</f>
        <v/>
      </c>
    </row>
    <row r="12" ht="22" customHeight="1">
      <c r="A12" s="20" t="n">
        <v>3</v>
      </c>
      <c r="B12" s="21">
        <f>'الامتياز التجاري'!C8</f>
        <v/>
      </c>
      <c r="C12" s="22">
        <f>'الامتياز التجاري'!I8</f>
        <v/>
      </c>
      <c r="D12" s="23">
        <f>'الامتياز التجاري'!M8</f>
        <v/>
      </c>
      <c r="E12" s="10">
        <f>'الامتياز التجاري'!N8</f>
        <v/>
      </c>
      <c r="F12" s="20">
        <f>'الامتياز التجاري'!O8</f>
        <v/>
      </c>
      <c r="G12" s="24">
        <f>'الامتياز التجاري'!G8</f>
        <v/>
      </c>
    </row>
    <row r="13" ht="22" customHeight="1">
      <c r="A13" s="20" t="n">
        <v>4</v>
      </c>
      <c r="B13" s="21">
        <f>'الامتياز التجاري'!C11</f>
        <v/>
      </c>
      <c r="C13" s="22">
        <f>'الامتياز التجاري'!I11</f>
        <v/>
      </c>
      <c r="D13" s="23">
        <f>'الامتياز التجاري'!M11</f>
        <v/>
      </c>
      <c r="E13" s="10">
        <f>'الامتياز التجاري'!N11</f>
        <v/>
      </c>
      <c r="F13" s="20">
        <f>'الامتياز التجاري'!O11</f>
        <v/>
      </c>
      <c r="G13" s="24">
        <f>'الامتياز التجاري'!G11</f>
        <v/>
      </c>
    </row>
    <row r="14" ht="22" customHeight="1">
      <c r="A14" s="20" t="n">
        <v>5</v>
      </c>
      <c r="B14" s="21">
        <f>'الامتياز التجاري'!C13</f>
        <v/>
      </c>
      <c r="C14" s="22">
        <f>'الامتياز التجاري'!I13</f>
        <v/>
      </c>
      <c r="D14" s="23">
        <f>'الامتياز التجاري'!M13</f>
        <v/>
      </c>
      <c r="E14" s="10">
        <f>'الامتياز التجاري'!N13</f>
        <v/>
      </c>
      <c r="F14" s="20">
        <f>'الامتياز التجاري'!O13</f>
        <v/>
      </c>
      <c r="G14" s="24">
        <f>'الامتياز التجاري'!G13</f>
        <v/>
      </c>
    </row>
    <row r="15" ht="22" customHeight="1">
      <c r="A15" s="19" t="inlineStr">
        <is>
          <t>▾ التشغيل والمحطات · وزن الإدارة 12%</t>
        </is>
      </c>
    </row>
    <row r="16" ht="22" customHeight="1">
      <c r="A16" s="20" t="n">
        <v>1</v>
      </c>
      <c r="B16" s="21">
        <f>'التشغيل والمحطات'!C4</f>
        <v/>
      </c>
      <c r="C16" s="22">
        <f>'التشغيل والمحطات'!I4</f>
        <v/>
      </c>
      <c r="D16" s="23">
        <f>'التشغيل والمحطات'!M4</f>
        <v/>
      </c>
      <c r="E16" s="10">
        <f>'التشغيل والمحطات'!N4</f>
        <v/>
      </c>
      <c r="F16" s="20">
        <f>'التشغيل والمحطات'!O4</f>
        <v/>
      </c>
      <c r="G16" s="24">
        <f>'التشغيل والمحطات'!G4</f>
        <v/>
      </c>
    </row>
    <row r="17" ht="22" customHeight="1">
      <c r="A17" s="20" t="n">
        <v>2</v>
      </c>
      <c r="B17" s="21">
        <f>'التشغيل والمحطات'!C6</f>
        <v/>
      </c>
      <c r="C17" s="22">
        <f>'التشغيل والمحطات'!I6</f>
        <v/>
      </c>
      <c r="D17" s="23">
        <f>'التشغيل والمحطات'!M6</f>
        <v/>
      </c>
      <c r="E17" s="10">
        <f>'التشغيل والمحطات'!N6</f>
        <v/>
      </c>
      <c r="F17" s="20">
        <f>'التشغيل والمحطات'!O6</f>
        <v/>
      </c>
      <c r="G17" s="24">
        <f>'التشغيل والمحطات'!G6</f>
        <v/>
      </c>
    </row>
    <row r="18" ht="22" customHeight="1">
      <c r="A18" s="20" t="n">
        <v>3</v>
      </c>
      <c r="B18" s="21">
        <f>'التشغيل والمحطات'!C7</f>
        <v/>
      </c>
      <c r="C18" s="22">
        <f>'التشغيل والمحطات'!I7</f>
        <v/>
      </c>
      <c r="D18" s="23">
        <f>'التشغيل والمحطات'!M7</f>
        <v/>
      </c>
      <c r="E18" s="10">
        <f>'التشغيل والمحطات'!N7</f>
        <v/>
      </c>
      <c r="F18" s="20">
        <f>'التشغيل والمحطات'!O7</f>
        <v/>
      </c>
      <c r="G18" s="24">
        <f>'التشغيل والمحطات'!G7</f>
        <v/>
      </c>
    </row>
    <row r="19" ht="22" customHeight="1">
      <c r="A19" s="20" t="n">
        <v>4</v>
      </c>
      <c r="B19" s="21">
        <f>'التشغيل والمحطات'!C8</f>
        <v/>
      </c>
      <c r="C19" s="22">
        <f>'التشغيل والمحطات'!I8</f>
        <v/>
      </c>
      <c r="D19" s="23">
        <f>'التشغيل والمحطات'!M8</f>
        <v/>
      </c>
      <c r="E19" s="10">
        <f>'التشغيل والمحطات'!N8</f>
        <v/>
      </c>
      <c r="F19" s="20">
        <f>'التشغيل والمحطات'!O8</f>
        <v/>
      </c>
      <c r="G19" s="24">
        <f>'التشغيل والمحطات'!G8</f>
        <v/>
      </c>
    </row>
    <row r="20" ht="22" customHeight="1">
      <c r="A20" s="20" t="n">
        <v>5</v>
      </c>
      <c r="B20" s="21">
        <f>'التشغيل والمحطات'!C9</f>
        <v/>
      </c>
      <c r="C20" s="22">
        <f>'التشغيل والمحطات'!I9</f>
        <v/>
      </c>
      <c r="D20" s="23">
        <f>'التشغيل والمحطات'!M9</f>
        <v/>
      </c>
      <c r="E20" s="10">
        <f>'التشغيل والمحطات'!N9</f>
        <v/>
      </c>
      <c r="F20" s="20">
        <f>'التشغيل والمحطات'!O9</f>
        <v/>
      </c>
      <c r="G20" s="24">
        <f>'التشغيل والمحطات'!G9</f>
        <v/>
      </c>
    </row>
    <row r="21" ht="22" customHeight="1">
      <c r="A21" s="19" t="inlineStr">
        <is>
          <t>▾ الاستثمار · وزن الإدارة 11%</t>
        </is>
      </c>
    </row>
    <row r="22" ht="22" customHeight="1">
      <c r="A22" s="20" t="n">
        <v>1</v>
      </c>
      <c r="B22" s="21">
        <f>'الاستثمار'!C5</f>
        <v/>
      </c>
      <c r="C22" s="22">
        <f>'الاستثمار'!I5</f>
        <v/>
      </c>
      <c r="D22" s="23">
        <f>'الاستثمار'!M5</f>
        <v/>
      </c>
      <c r="E22" s="10">
        <f>'الاستثمار'!N5</f>
        <v/>
      </c>
      <c r="F22" s="20">
        <f>'الاستثمار'!O5</f>
        <v/>
      </c>
      <c r="G22" s="24">
        <f>'الاستثمار'!G5</f>
        <v/>
      </c>
    </row>
    <row r="23" ht="22" customHeight="1">
      <c r="A23" s="20" t="n">
        <v>2</v>
      </c>
      <c r="B23" s="21">
        <f>'الاستثمار'!C6</f>
        <v/>
      </c>
      <c r="C23" s="22">
        <f>'الاستثمار'!I6</f>
        <v/>
      </c>
      <c r="D23" s="23">
        <f>'الاستثمار'!M6</f>
        <v/>
      </c>
      <c r="E23" s="10">
        <f>'الاستثمار'!N6</f>
        <v/>
      </c>
      <c r="F23" s="20">
        <f>'الاستثمار'!O6</f>
        <v/>
      </c>
      <c r="G23" s="24">
        <f>'الاستثمار'!G6</f>
        <v/>
      </c>
    </row>
    <row r="24" ht="22" customHeight="1">
      <c r="A24" s="20" t="n">
        <v>3</v>
      </c>
      <c r="B24" s="21">
        <f>'الاستثمار'!C7</f>
        <v/>
      </c>
      <c r="C24" s="22">
        <f>'الاستثمار'!I7</f>
        <v/>
      </c>
      <c r="D24" s="23">
        <f>'الاستثمار'!M7</f>
        <v/>
      </c>
      <c r="E24" s="10">
        <f>'الاستثمار'!N7</f>
        <v/>
      </c>
      <c r="F24" s="20">
        <f>'الاستثمار'!O7</f>
        <v/>
      </c>
      <c r="G24" s="24">
        <f>'الاستثمار'!G7</f>
        <v/>
      </c>
    </row>
    <row r="25" ht="22" customHeight="1">
      <c r="A25" s="20" t="n">
        <v>4</v>
      </c>
      <c r="B25" s="21">
        <f>'الاستثمار'!C8</f>
        <v/>
      </c>
      <c r="C25" s="22">
        <f>'الاستثمار'!I8</f>
        <v/>
      </c>
      <c r="D25" s="23">
        <f>'الاستثمار'!M8</f>
        <v/>
      </c>
      <c r="E25" s="10">
        <f>'الاستثمار'!N8</f>
        <v/>
      </c>
      <c r="F25" s="20">
        <f>'الاستثمار'!O8</f>
        <v/>
      </c>
      <c r="G25" s="24">
        <f>'الاستثمار'!G8</f>
        <v/>
      </c>
    </row>
    <row r="26" ht="22" customHeight="1">
      <c r="A26" s="20" t="n">
        <v>5</v>
      </c>
      <c r="B26" s="21">
        <f>'الاستثمار'!C9</f>
        <v/>
      </c>
      <c r="C26" s="22">
        <f>'الاستثمار'!I9</f>
        <v/>
      </c>
      <c r="D26" s="23">
        <f>'الاستثمار'!M9</f>
        <v/>
      </c>
      <c r="E26" s="10">
        <f>'الاستثمار'!N9</f>
        <v/>
      </c>
      <c r="F26" s="20">
        <f>'الاستثمار'!O9</f>
        <v/>
      </c>
      <c r="G26" s="24">
        <f>'الاستثمار'!G9</f>
        <v/>
      </c>
    </row>
    <row r="27" ht="22" customHeight="1">
      <c r="A27" s="19" t="inlineStr">
        <is>
          <t>▾ العقار · وزن الإدارة 9%</t>
        </is>
      </c>
    </row>
    <row r="28" ht="22" customHeight="1">
      <c r="A28" s="20" t="n">
        <v>1</v>
      </c>
      <c r="B28" s="21">
        <f>'العقار'!C5</f>
        <v/>
      </c>
      <c r="C28" s="22">
        <f>'العقار'!I5</f>
        <v/>
      </c>
      <c r="D28" s="23">
        <f>'العقار'!M5</f>
        <v/>
      </c>
      <c r="E28" s="10">
        <f>'العقار'!N5</f>
        <v/>
      </c>
      <c r="F28" s="20">
        <f>'العقار'!O5</f>
        <v/>
      </c>
      <c r="G28" s="24">
        <f>'العقار'!G5</f>
        <v/>
      </c>
    </row>
    <row r="29" ht="22" customHeight="1">
      <c r="A29" s="20" t="n">
        <v>2</v>
      </c>
      <c r="B29" s="21">
        <f>'العقار'!C6</f>
        <v/>
      </c>
      <c r="C29" s="22">
        <f>'العقار'!I6</f>
        <v/>
      </c>
      <c r="D29" s="23">
        <f>'العقار'!M6</f>
        <v/>
      </c>
      <c r="E29" s="10">
        <f>'العقار'!N6</f>
        <v/>
      </c>
      <c r="F29" s="20">
        <f>'العقار'!O6</f>
        <v/>
      </c>
      <c r="G29" s="24">
        <f>'العقار'!G6</f>
        <v/>
      </c>
    </row>
    <row r="30" ht="22" customHeight="1">
      <c r="A30" s="20" t="n">
        <v>3</v>
      </c>
      <c r="B30" s="21">
        <f>'العقار'!C7</f>
        <v/>
      </c>
      <c r="C30" s="22">
        <f>'العقار'!I7</f>
        <v/>
      </c>
      <c r="D30" s="23">
        <f>'العقار'!M7</f>
        <v/>
      </c>
      <c r="E30" s="10">
        <f>'العقار'!N7</f>
        <v/>
      </c>
      <c r="F30" s="20">
        <f>'العقار'!O7</f>
        <v/>
      </c>
      <c r="G30" s="24">
        <f>'العقار'!G7</f>
        <v/>
      </c>
    </row>
    <row r="31" ht="22" customHeight="1">
      <c r="A31" s="20" t="n">
        <v>4</v>
      </c>
      <c r="B31" s="21">
        <f>'العقار'!C9</f>
        <v/>
      </c>
      <c r="C31" s="22">
        <f>'العقار'!I9</f>
        <v/>
      </c>
      <c r="D31" s="23">
        <f>'العقار'!M9</f>
        <v/>
      </c>
      <c r="E31" s="10">
        <f>'العقار'!N9</f>
        <v/>
      </c>
      <c r="F31" s="20">
        <f>'العقار'!O9</f>
        <v/>
      </c>
      <c r="G31" s="24">
        <f>'العقار'!G9</f>
        <v/>
      </c>
    </row>
    <row r="32" ht="22" customHeight="1">
      <c r="A32" s="20" t="n">
        <v>5</v>
      </c>
      <c r="B32" s="21">
        <f>'العقار'!C12</f>
        <v/>
      </c>
      <c r="C32" s="22">
        <f>'العقار'!I12</f>
        <v/>
      </c>
      <c r="D32" s="23">
        <f>'العقار'!M12</f>
        <v/>
      </c>
      <c r="E32" s="10">
        <f>'العقار'!N12</f>
        <v/>
      </c>
      <c r="F32" s="20">
        <f>'العقار'!O12</f>
        <v/>
      </c>
      <c r="G32" s="24">
        <f>'العقار'!G12</f>
        <v/>
      </c>
    </row>
    <row r="33" ht="22" customHeight="1">
      <c r="A33" s="19" t="inlineStr">
        <is>
          <t>▾ إدارة المشاريع · وزن الإدارة 8%</t>
        </is>
      </c>
    </row>
    <row r="34" ht="22" customHeight="1">
      <c r="A34" s="20" t="n">
        <v>1</v>
      </c>
      <c r="B34" s="21">
        <f>'إدارة المشاريع'!C5</f>
        <v/>
      </c>
      <c r="C34" s="22">
        <f>'إدارة المشاريع'!I5</f>
        <v/>
      </c>
      <c r="D34" s="23">
        <f>'إدارة المشاريع'!M5</f>
        <v/>
      </c>
      <c r="E34" s="10">
        <f>'إدارة المشاريع'!N5</f>
        <v/>
      </c>
      <c r="F34" s="20">
        <f>'إدارة المشاريع'!O5</f>
        <v/>
      </c>
      <c r="G34" s="24">
        <f>'إدارة المشاريع'!G5</f>
        <v/>
      </c>
    </row>
    <row r="35" ht="22" customHeight="1">
      <c r="A35" s="20" t="n">
        <v>2</v>
      </c>
      <c r="B35" s="21">
        <f>'إدارة المشاريع'!C6</f>
        <v/>
      </c>
      <c r="C35" s="22">
        <f>'إدارة المشاريع'!I6</f>
        <v/>
      </c>
      <c r="D35" s="23">
        <f>'إدارة المشاريع'!M6</f>
        <v/>
      </c>
      <c r="E35" s="10">
        <f>'إدارة المشاريع'!N6</f>
        <v/>
      </c>
      <c r="F35" s="20">
        <f>'إدارة المشاريع'!O6</f>
        <v/>
      </c>
      <c r="G35" s="24">
        <f>'إدارة المشاريع'!G6</f>
        <v/>
      </c>
    </row>
    <row r="36" ht="22" customHeight="1">
      <c r="A36" s="20" t="n">
        <v>3</v>
      </c>
      <c r="B36" s="21">
        <f>'إدارة المشاريع'!C7</f>
        <v/>
      </c>
      <c r="C36" s="22">
        <f>'إدارة المشاريع'!I7</f>
        <v/>
      </c>
      <c r="D36" s="23">
        <f>'إدارة المشاريع'!M7</f>
        <v/>
      </c>
      <c r="E36" s="10">
        <f>'إدارة المشاريع'!N7</f>
        <v/>
      </c>
      <c r="F36" s="20">
        <f>'إدارة المشاريع'!O7</f>
        <v/>
      </c>
      <c r="G36" s="24">
        <f>'إدارة المشاريع'!G7</f>
        <v/>
      </c>
    </row>
    <row r="37" ht="22" customHeight="1">
      <c r="A37" s="20" t="n">
        <v>4</v>
      </c>
      <c r="B37" s="21">
        <f>'إدارة المشاريع'!C10</f>
        <v/>
      </c>
      <c r="C37" s="22">
        <f>'إدارة المشاريع'!I10</f>
        <v/>
      </c>
      <c r="D37" s="23">
        <f>'إدارة المشاريع'!M10</f>
        <v/>
      </c>
      <c r="E37" s="10">
        <f>'إدارة المشاريع'!N10</f>
        <v/>
      </c>
      <c r="F37" s="20">
        <f>'إدارة المشاريع'!O10</f>
        <v/>
      </c>
      <c r="G37" s="24">
        <f>'إدارة المشاريع'!G10</f>
        <v/>
      </c>
    </row>
    <row r="38" ht="22" customHeight="1">
      <c r="A38" s="20" t="n">
        <v>5</v>
      </c>
      <c r="B38" s="21">
        <f>'إدارة المشاريع'!C14</f>
        <v/>
      </c>
      <c r="C38" s="22">
        <f>'إدارة المشاريع'!I14</f>
        <v/>
      </c>
      <c r="D38" s="23">
        <f>'إدارة المشاريع'!M14</f>
        <v/>
      </c>
      <c r="E38" s="10">
        <f>'إدارة المشاريع'!N14</f>
        <v/>
      </c>
      <c r="F38" s="20">
        <f>'إدارة المشاريع'!O14</f>
        <v/>
      </c>
      <c r="G38" s="24">
        <f>'إدارة المشاريع'!G14</f>
        <v/>
      </c>
    </row>
    <row r="39" ht="22" customHeight="1">
      <c r="A39" s="19" t="inlineStr">
        <is>
          <t>▾ سلاسل الإمداد · وزن الإدارة 10%</t>
        </is>
      </c>
    </row>
    <row r="40" ht="22" customHeight="1">
      <c r="A40" s="20" t="n">
        <v>1</v>
      </c>
      <c r="B40" s="21">
        <f>'سلاسل الإمداد'!C5</f>
        <v/>
      </c>
      <c r="C40" s="22">
        <f>'سلاسل الإمداد'!I5</f>
        <v/>
      </c>
      <c r="D40" s="23">
        <f>'سلاسل الإمداد'!M5</f>
        <v/>
      </c>
      <c r="E40" s="10">
        <f>'سلاسل الإمداد'!N5</f>
        <v/>
      </c>
      <c r="F40" s="20">
        <f>'سلاسل الإمداد'!O5</f>
        <v/>
      </c>
      <c r="G40" s="24">
        <f>'سلاسل الإمداد'!G5</f>
        <v/>
      </c>
    </row>
    <row r="41" ht="22" customHeight="1">
      <c r="A41" s="20" t="n">
        <v>2</v>
      </c>
      <c r="B41" s="21">
        <f>'سلاسل الإمداد'!C6</f>
        <v/>
      </c>
      <c r="C41" s="22">
        <f>'سلاسل الإمداد'!I6</f>
        <v/>
      </c>
      <c r="D41" s="23">
        <f>'سلاسل الإمداد'!M6</f>
        <v/>
      </c>
      <c r="E41" s="10">
        <f>'سلاسل الإمداد'!N6</f>
        <v/>
      </c>
      <c r="F41" s="20">
        <f>'سلاسل الإمداد'!O6</f>
        <v/>
      </c>
      <c r="G41" s="24">
        <f>'سلاسل الإمداد'!G6</f>
        <v/>
      </c>
    </row>
    <row r="42" ht="22" customHeight="1">
      <c r="A42" s="20" t="n">
        <v>3</v>
      </c>
      <c r="B42" s="21">
        <f>'سلاسل الإمداد'!C12</f>
        <v/>
      </c>
      <c r="C42" s="22">
        <f>'سلاسل الإمداد'!I12</f>
        <v/>
      </c>
      <c r="D42" s="23">
        <f>'سلاسل الإمداد'!M12</f>
        <v/>
      </c>
      <c r="E42" s="10">
        <f>'سلاسل الإمداد'!N12</f>
        <v/>
      </c>
      <c r="F42" s="20">
        <f>'سلاسل الإمداد'!O12</f>
        <v/>
      </c>
      <c r="G42" s="24">
        <f>'سلاسل الإمداد'!G12</f>
        <v/>
      </c>
    </row>
    <row r="43" ht="22" customHeight="1">
      <c r="A43" s="20" t="n">
        <v>4</v>
      </c>
      <c r="B43" s="21">
        <f>'سلاسل الإمداد'!C15</f>
        <v/>
      </c>
      <c r="C43" s="22">
        <f>'سلاسل الإمداد'!I15</f>
        <v/>
      </c>
      <c r="D43" s="23">
        <f>'سلاسل الإمداد'!M15</f>
        <v/>
      </c>
      <c r="E43" s="10">
        <f>'سلاسل الإمداد'!N15</f>
        <v/>
      </c>
      <c r="F43" s="20">
        <f>'سلاسل الإمداد'!O15</f>
        <v/>
      </c>
      <c r="G43" s="24">
        <f>'سلاسل الإمداد'!G15</f>
        <v/>
      </c>
    </row>
    <row r="44" ht="22" customHeight="1">
      <c r="A44" s="20" t="n">
        <v>5</v>
      </c>
      <c r="B44" s="21">
        <f>'سلاسل الإمداد'!C8</f>
        <v/>
      </c>
      <c r="C44" s="22">
        <f>'سلاسل الإمداد'!I8</f>
        <v/>
      </c>
      <c r="D44" s="23">
        <f>'سلاسل الإمداد'!M8</f>
        <v/>
      </c>
      <c r="E44" s="10">
        <f>'سلاسل الإمداد'!N8</f>
        <v/>
      </c>
      <c r="F44" s="20">
        <f>'سلاسل الإمداد'!O8</f>
        <v/>
      </c>
      <c r="G44" s="24">
        <f>'سلاسل الإمداد'!G8</f>
        <v/>
      </c>
    </row>
    <row r="45" ht="22" customHeight="1">
      <c r="A45" s="19" t="inlineStr">
        <is>
          <t>▾ الصيانة والأتمتة · وزن الإدارة 7%</t>
        </is>
      </c>
    </row>
    <row r="46" ht="22" customHeight="1">
      <c r="A46" s="20" t="n">
        <v>1</v>
      </c>
      <c r="B46" s="21">
        <f>'الصيانة والأتمتة'!C5</f>
        <v/>
      </c>
      <c r="C46" s="22">
        <f>'الصيانة والأتمتة'!I5</f>
        <v/>
      </c>
      <c r="D46" s="23">
        <f>'الصيانة والأتمتة'!M5</f>
        <v/>
      </c>
      <c r="E46" s="10">
        <f>'الصيانة والأتمتة'!N5</f>
        <v/>
      </c>
      <c r="F46" s="20">
        <f>'الصيانة والأتمتة'!O5</f>
        <v/>
      </c>
      <c r="G46" s="24">
        <f>'الصيانة والأتمتة'!G5</f>
        <v/>
      </c>
    </row>
    <row r="47" ht="22" customHeight="1">
      <c r="A47" s="20" t="n">
        <v>2</v>
      </c>
      <c r="B47" s="21">
        <f>'الصيانة والأتمتة'!C12</f>
        <v/>
      </c>
      <c r="C47" s="22">
        <f>'الصيانة والأتمتة'!I12</f>
        <v/>
      </c>
      <c r="D47" s="23">
        <f>'الصيانة والأتمتة'!M12</f>
        <v/>
      </c>
      <c r="E47" s="10">
        <f>'الصيانة والأتمتة'!N12</f>
        <v/>
      </c>
      <c r="F47" s="20">
        <f>'الصيانة والأتمتة'!O12</f>
        <v/>
      </c>
      <c r="G47" s="24">
        <f>'الصيانة والأتمتة'!G12</f>
        <v/>
      </c>
    </row>
    <row r="48" ht="22" customHeight="1">
      <c r="A48" s="20" t="n">
        <v>3</v>
      </c>
      <c r="B48" s="21">
        <f>'الصيانة والأتمتة'!C6</f>
        <v/>
      </c>
      <c r="C48" s="22">
        <f>'الصيانة والأتمتة'!I6</f>
        <v/>
      </c>
      <c r="D48" s="23">
        <f>'الصيانة والأتمتة'!M6</f>
        <v/>
      </c>
      <c r="E48" s="10">
        <f>'الصيانة والأتمتة'!N6</f>
        <v/>
      </c>
      <c r="F48" s="20">
        <f>'الصيانة والأتمتة'!O6</f>
        <v/>
      </c>
      <c r="G48" s="24">
        <f>'الصيانة والأتمتة'!G6</f>
        <v/>
      </c>
    </row>
    <row r="49" ht="22" customHeight="1">
      <c r="A49" s="20" t="n">
        <v>4</v>
      </c>
      <c r="B49" s="21">
        <f>'الصيانة والأتمتة'!C8</f>
        <v/>
      </c>
      <c r="C49" s="22">
        <f>'الصيانة والأتمتة'!I8</f>
        <v/>
      </c>
      <c r="D49" s="23">
        <f>'الصيانة والأتمتة'!M8</f>
        <v/>
      </c>
      <c r="E49" s="10">
        <f>'الصيانة والأتمتة'!N8</f>
        <v/>
      </c>
      <c r="F49" s="20">
        <f>'الصيانة والأتمتة'!O8</f>
        <v/>
      </c>
      <c r="G49" s="24">
        <f>'الصيانة والأتمتة'!G8</f>
        <v/>
      </c>
    </row>
    <row r="50" ht="22" customHeight="1">
      <c r="A50" s="20" t="n">
        <v>5</v>
      </c>
      <c r="B50" s="21">
        <f>'الصيانة والأتمتة'!C11</f>
        <v/>
      </c>
      <c r="C50" s="22">
        <f>'الصيانة والأتمتة'!I11</f>
        <v/>
      </c>
      <c r="D50" s="23">
        <f>'الصيانة والأتمتة'!M11</f>
        <v/>
      </c>
      <c r="E50" s="10">
        <f>'الصيانة والأتمتة'!N11</f>
        <v/>
      </c>
      <c r="F50" s="20">
        <f>'الصيانة والأتمتة'!O11</f>
        <v/>
      </c>
      <c r="G50" s="24">
        <f>'الصيانة والأتمتة'!G11</f>
        <v/>
      </c>
    </row>
    <row r="51" ht="22" customHeight="1">
      <c r="A51" s="19" t="inlineStr">
        <is>
          <t>▾ التقنية الرقمية · وزن الإدارة 4%</t>
        </is>
      </c>
    </row>
    <row r="52" ht="22" customHeight="1">
      <c r="A52" s="20" t="n">
        <v>1</v>
      </c>
      <c r="B52" s="21">
        <f>'التقنية الرقمية'!C5</f>
        <v/>
      </c>
      <c r="C52" s="22">
        <f>'التقنية الرقمية'!I5</f>
        <v/>
      </c>
      <c r="D52" s="23">
        <f>'التقنية الرقمية'!M5</f>
        <v/>
      </c>
      <c r="E52" s="10">
        <f>'التقنية الرقمية'!N5</f>
        <v/>
      </c>
      <c r="F52" s="20">
        <f>'التقنية الرقمية'!O5</f>
        <v/>
      </c>
      <c r="G52" s="24">
        <f>'التقنية الرقمية'!G5</f>
        <v/>
      </c>
    </row>
    <row r="53" ht="22" customHeight="1">
      <c r="A53" s="20" t="n">
        <v>2</v>
      </c>
      <c r="B53" s="21">
        <f>'التقنية الرقمية'!C6</f>
        <v/>
      </c>
      <c r="C53" s="22">
        <f>'التقنية الرقمية'!I6</f>
        <v/>
      </c>
      <c r="D53" s="23">
        <f>'التقنية الرقمية'!M6</f>
        <v/>
      </c>
      <c r="E53" s="10">
        <f>'التقنية الرقمية'!N6</f>
        <v/>
      </c>
      <c r="F53" s="20">
        <f>'التقنية الرقمية'!O6</f>
        <v/>
      </c>
      <c r="G53" s="24">
        <f>'التقنية الرقمية'!G6</f>
        <v/>
      </c>
    </row>
    <row r="54" ht="22" customHeight="1">
      <c r="A54" s="20" t="n">
        <v>3</v>
      </c>
      <c r="B54" s="21">
        <f>'التقنية الرقمية'!C7</f>
        <v/>
      </c>
      <c r="C54" s="22">
        <f>'التقنية الرقمية'!I7</f>
        <v/>
      </c>
      <c r="D54" s="23">
        <f>'التقنية الرقمية'!M7</f>
        <v/>
      </c>
      <c r="E54" s="10">
        <f>'التقنية الرقمية'!N7</f>
        <v/>
      </c>
      <c r="F54" s="20">
        <f>'التقنية الرقمية'!O7</f>
        <v/>
      </c>
      <c r="G54" s="24">
        <f>'التقنية الرقمية'!G7</f>
        <v/>
      </c>
    </row>
    <row r="55" ht="22" customHeight="1">
      <c r="A55" s="20" t="n">
        <v>4</v>
      </c>
      <c r="B55" s="21">
        <f>'التقنية الرقمية'!C9</f>
        <v/>
      </c>
      <c r="C55" s="22">
        <f>'التقنية الرقمية'!I9</f>
        <v/>
      </c>
      <c r="D55" s="23">
        <f>'التقنية الرقمية'!M9</f>
        <v/>
      </c>
      <c r="E55" s="10">
        <f>'التقنية الرقمية'!N9</f>
        <v/>
      </c>
      <c r="F55" s="20">
        <f>'التقنية الرقمية'!O9</f>
        <v/>
      </c>
      <c r="G55" s="24">
        <f>'التقنية الرقمية'!G9</f>
        <v/>
      </c>
    </row>
    <row r="56" ht="22" customHeight="1">
      <c r="A56" s="20" t="n">
        <v>5</v>
      </c>
      <c r="B56" s="21">
        <f>'التقنية الرقمية'!C12</f>
        <v/>
      </c>
      <c r="C56" s="22">
        <f>'التقنية الرقمية'!I12</f>
        <v/>
      </c>
      <c r="D56" s="23">
        <f>'التقنية الرقمية'!M12</f>
        <v/>
      </c>
      <c r="E56" s="10">
        <f>'التقنية الرقمية'!N12</f>
        <v/>
      </c>
      <c r="F56" s="20">
        <f>'التقنية الرقمية'!O12</f>
        <v/>
      </c>
      <c r="G56" s="24">
        <f>'التقنية الرقمية'!G12</f>
        <v/>
      </c>
    </row>
    <row r="57" ht="22" customHeight="1">
      <c r="A57" s="19" t="inlineStr">
        <is>
          <t>▾ الموارد البشرية · وزن الإدارة 4%</t>
        </is>
      </c>
    </row>
    <row r="58" ht="22" customHeight="1">
      <c r="A58" s="20" t="n">
        <v>1</v>
      </c>
      <c r="B58" s="21">
        <f>'الموارد البشرية'!C5</f>
        <v/>
      </c>
      <c r="C58" s="22">
        <f>'الموارد البشرية'!I5</f>
        <v/>
      </c>
      <c r="D58" s="23">
        <f>'الموارد البشرية'!M5</f>
        <v/>
      </c>
      <c r="E58" s="10">
        <f>'الموارد البشرية'!N5</f>
        <v/>
      </c>
      <c r="F58" s="20">
        <f>'الموارد البشرية'!O5</f>
        <v/>
      </c>
      <c r="G58" s="24">
        <f>'الموارد البشرية'!G5</f>
        <v/>
      </c>
    </row>
    <row r="59" ht="22" customHeight="1">
      <c r="A59" s="20" t="n">
        <v>2</v>
      </c>
      <c r="B59" s="21">
        <f>'الموارد البشرية'!C6</f>
        <v/>
      </c>
      <c r="C59" s="22">
        <f>'الموارد البشرية'!I6</f>
        <v/>
      </c>
      <c r="D59" s="23">
        <f>'الموارد البشرية'!M6</f>
        <v/>
      </c>
      <c r="E59" s="10">
        <f>'الموارد البشرية'!N6</f>
        <v/>
      </c>
      <c r="F59" s="20">
        <f>'الموارد البشرية'!O6</f>
        <v/>
      </c>
      <c r="G59" s="24">
        <f>'الموارد البشرية'!G6</f>
        <v/>
      </c>
    </row>
    <row r="60" ht="22" customHeight="1">
      <c r="A60" s="20" t="n">
        <v>3</v>
      </c>
      <c r="B60" s="21">
        <f>'الموارد البشرية'!C9</f>
        <v/>
      </c>
      <c r="C60" s="22">
        <f>'الموارد البشرية'!I9</f>
        <v/>
      </c>
      <c r="D60" s="23">
        <f>'الموارد البشرية'!M9</f>
        <v/>
      </c>
      <c r="E60" s="10">
        <f>'الموارد البشرية'!N9</f>
        <v/>
      </c>
      <c r="F60" s="20">
        <f>'الموارد البشرية'!O9</f>
        <v/>
      </c>
      <c r="G60" s="24">
        <f>'الموارد البشرية'!G9</f>
        <v/>
      </c>
    </row>
    <row r="61" ht="22" customHeight="1">
      <c r="A61" s="20" t="n">
        <v>4</v>
      </c>
      <c r="B61" s="21">
        <f>'الموارد البشرية'!C7</f>
        <v/>
      </c>
      <c r="C61" s="22">
        <f>'الموارد البشرية'!I7</f>
        <v/>
      </c>
      <c r="D61" s="23">
        <f>'الموارد البشرية'!M7</f>
        <v/>
      </c>
      <c r="E61" s="10">
        <f>'الموارد البشرية'!N7</f>
        <v/>
      </c>
      <c r="F61" s="20">
        <f>'الموارد البشرية'!O7</f>
        <v/>
      </c>
      <c r="G61" s="24">
        <f>'الموارد البشرية'!G7</f>
        <v/>
      </c>
    </row>
    <row r="62" ht="22" customHeight="1">
      <c r="A62" s="20" t="n">
        <v>5</v>
      </c>
      <c r="B62" s="21">
        <f>'الموارد البشرية'!C8</f>
        <v/>
      </c>
      <c r="C62" s="22">
        <f>'الموارد البشرية'!I8</f>
        <v/>
      </c>
      <c r="D62" s="23">
        <f>'الموارد البشرية'!M8</f>
        <v/>
      </c>
      <c r="E62" s="10">
        <f>'الموارد البشرية'!N8</f>
        <v/>
      </c>
      <c r="F62" s="20">
        <f>'الموارد البشرية'!O8</f>
        <v/>
      </c>
      <c r="G62" s="24">
        <f>'الموارد البشرية'!G8</f>
        <v/>
      </c>
    </row>
    <row r="63" ht="22" customHeight="1">
      <c r="A63" s="19" t="inlineStr">
        <is>
          <t>▾ التسويق · وزن الإدارة 5%</t>
        </is>
      </c>
    </row>
    <row r="64" ht="22" customHeight="1">
      <c r="A64" s="20" t="n">
        <v>1</v>
      </c>
      <c r="B64" s="21">
        <f>'التسويق'!C5</f>
        <v/>
      </c>
      <c r="C64" s="22">
        <f>'التسويق'!I5</f>
        <v/>
      </c>
      <c r="D64" s="23">
        <f>'التسويق'!M5</f>
        <v/>
      </c>
      <c r="E64" s="10">
        <f>'التسويق'!N5</f>
        <v/>
      </c>
      <c r="F64" s="20">
        <f>'التسويق'!O5</f>
        <v/>
      </c>
      <c r="G64" s="24">
        <f>'التسويق'!G5</f>
        <v/>
      </c>
    </row>
    <row r="65" ht="22" customHeight="1">
      <c r="A65" s="20" t="n">
        <v>2</v>
      </c>
      <c r="B65" s="21">
        <f>'التسويق'!C8</f>
        <v/>
      </c>
      <c r="C65" s="22">
        <f>'التسويق'!I8</f>
        <v/>
      </c>
      <c r="D65" s="23">
        <f>'التسويق'!M8</f>
        <v/>
      </c>
      <c r="E65" s="10">
        <f>'التسويق'!N8</f>
        <v/>
      </c>
      <c r="F65" s="20">
        <f>'التسويق'!O8</f>
        <v/>
      </c>
      <c r="G65" s="24">
        <f>'التسويق'!G8</f>
        <v/>
      </c>
    </row>
    <row r="66" ht="22" customHeight="1">
      <c r="A66" s="20" t="n">
        <v>3</v>
      </c>
      <c r="B66" s="21">
        <f>'التسويق'!C9</f>
        <v/>
      </c>
      <c r="C66" s="22">
        <f>'التسويق'!I9</f>
        <v/>
      </c>
      <c r="D66" s="23">
        <f>'التسويق'!M9</f>
        <v/>
      </c>
      <c r="E66" s="10">
        <f>'التسويق'!N9</f>
        <v/>
      </c>
      <c r="F66" s="20">
        <f>'التسويق'!O9</f>
        <v/>
      </c>
      <c r="G66" s="24">
        <f>'التسويق'!G9</f>
        <v/>
      </c>
    </row>
    <row r="67" ht="22" customHeight="1">
      <c r="A67" s="20" t="n">
        <v>4</v>
      </c>
      <c r="B67" s="21">
        <f>'التسويق'!C12</f>
        <v/>
      </c>
      <c r="C67" s="22">
        <f>'التسويق'!I12</f>
        <v/>
      </c>
      <c r="D67" s="23">
        <f>'التسويق'!M12</f>
        <v/>
      </c>
      <c r="E67" s="10">
        <f>'التسويق'!N12</f>
        <v/>
      </c>
      <c r="F67" s="20">
        <f>'التسويق'!O12</f>
        <v/>
      </c>
      <c r="G67" s="24">
        <f>'التسويق'!G12</f>
        <v/>
      </c>
    </row>
    <row r="68" ht="22" customHeight="1">
      <c r="A68" s="20" t="n">
        <v>5</v>
      </c>
      <c r="B68" s="21">
        <f>'التسويق'!C13</f>
        <v/>
      </c>
      <c r="C68" s="22">
        <f>'التسويق'!I13</f>
        <v/>
      </c>
      <c r="D68" s="23">
        <f>'التسويق'!M13</f>
        <v/>
      </c>
      <c r="E68" s="10">
        <f>'التسويق'!N13</f>
        <v/>
      </c>
      <c r="F68" s="20">
        <f>'التسويق'!O13</f>
        <v/>
      </c>
      <c r="G68" s="24">
        <f>'التسويق'!G13</f>
        <v/>
      </c>
    </row>
    <row r="69" ht="22" customHeight="1">
      <c r="A69" s="19" t="inlineStr">
        <is>
          <t>▾ الجودة · وزن الإدارة 5%</t>
        </is>
      </c>
    </row>
    <row r="70" ht="22" customHeight="1">
      <c r="A70" s="20" t="n">
        <v>1</v>
      </c>
      <c r="B70" s="21">
        <f>'الجودة'!C5</f>
        <v/>
      </c>
      <c r="C70" s="22">
        <f>'الجودة'!I5</f>
        <v/>
      </c>
      <c r="D70" s="23">
        <f>'الجودة'!M5</f>
        <v/>
      </c>
      <c r="E70" s="10">
        <f>'الجودة'!N5</f>
        <v/>
      </c>
      <c r="F70" s="20">
        <f>'الجودة'!O5</f>
        <v/>
      </c>
      <c r="G70" s="24">
        <f>'الجودة'!G5</f>
        <v/>
      </c>
    </row>
    <row r="71" ht="22" customHeight="1">
      <c r="A71" s="20" t="n">
        <v>2</v>
      </c>
      <c r="B71" s="21">
        <f>'الجودة'!C11</f>
        <v/>
      </c>
      <c r="C71" s="22">
        <f>'الجودة'!I11</f>
        <v/>
      </c>
      <c r="D71" s="23">
        <f>'الجودة'!M11</f>
        <v/>
      </c>
      <c r="E71" s="10">
        <f>'الجودة'!N11</f>
        <v/>
      </c>
      <c r="F71" s="20">
        <f>'الجودة'!O11</f>
        <v/>
      </c>
      <c r="G71" s="24">
        <f>'الجودة'!G11</f>
        <v/>
      </c>
    </row>
    <row r="72" ht="22" customHeight="1">
      <c r="A72" s="20" t="n">
        <v>3</v>
      </c>
      <c r="B72" s="21">
        <f>'الجودة'!C6</f>
        <v/>
      </c>
      <c r="C72" s="22">
        <f>'الجودة'!I6</f>
        <v/>
      </c>
      <c r="D72" s="23">
        <f>'الجودة'!M6</f>
        <v/>
      </c>
      <c r="E72" s="10">
        <f>'الجودة'!N6</f>
        <v/>
      </c>
      <c r="F72" s="20">
        <f>'الجودة'!O6</f>
        <v/>
      </c>
      <c r="G72" s="24">
        <f>'الجودة'!G6</f>
        <v/>
      </c>
    </row>
    <row r="73" ht="22" customHeight="1">
      <c r="A73" s="20" t="n">
        <v>4</v>
      </c>
      <c r="B73" s="21">
        <f>'الجودة'!C7</f>
        <v/>
      </c>
      <c r="C73" s="22">
        <f>'الجودة'!I7</f>
        <v/>
      </c>
      <c r="D73" s="23">
        <f>'الجودة'!M7</f>
        <v/>
      </c>
      <c r="E73" s="10">
        <f>'الجودة'!N7</f>
        <v/>
      </c>
      <c r="F73" s="20">
        <f>'الجودة'!O7</f>
        <v/>
      </c>
      <c r="G73" s="24">
        <f>'الجودة'!G7</f>
        <v/>
      </c>
    </row>
    <row r="74" ht="22" customHeight="1">
      <c r="A74" s="20" t="n">
        <v>5</v>
      </c>
      <c r="B74" s="21">
        <f>'الجودة'!C8</f>
        <v/>
      </c>
      <c r="C74" s="22">
        <f>'الجودة'!I8</f>
        <v/>
      </c>
      <c r="D74" s="23">
        <f>'الجودة'!M8</f>
        <v/>
      </c>
      <c r="E74" s="10">
        <f>'الجودة'!N8</f>
        <v/>
      </c>
      <c r="F74" s="20">
        <f>'الجودة'!O8</f>
        <v/>
      </c>
      <c r="G74" s="24">
        <f>'الجودة'!G8</f>
        <v/>
      </c>
    </row>
    <row r="75" ht="22" customHeight="1">
      <c r="A75" s="19" t="inlineStr">
        <is>
          <t>▾ الإدارة القانونية · وزن الإدارة 3%</t>
        </is>
      </c>
    </row>
    <row r="76" ht="22" customHeight="1">
      <c r="A76" s="20" t="n">
        <v>1</v>
      </c>
      <c r="B76" s="21">
        <f>'الإدارة القانونية'!C5</f>
        <v/>
      </c>
      <c r="C76" s="22">
        <f>'الإدارة القانونية'!I5</f>
        <v/>
      </c>
      <c r="D76" s="23">
        <f>'الإدارة القانونية'!M5</f>
        <v/>
      </c>
      <c r="E76" s="10">
        <f>'الإدارة القانونية'!N5</f>
        <v/>
      </c>
      <c r="F76" s="20">
        <f>'الإدارة القانونية'!O5</f>
        <v/>
      </c>
      <c r="G76" s="24">
        <f>'الإدارة القانونية'!G5</f>
        <v/>
      </c>
    </row>
    <row r="77" ht="22" customHeight="1">
      <c r="A77" s="20" t="n">
        <v>2</v>
      </c>
      <c r="B77" s="21">
        <f>'الإدارة القانونية'!C6</f>
        <v/>
      </c>
      <c r="C77" s="22">
        <f>'الإدارة القانونية'!I6</f>
        <v/>
      </c>
      <c r="D77" s="23">
        <f>'الإدارة القانونية'!M6</f>
        <v/>
      </c>
      <c r="E77" s="10">
        <f>'الإدارة القانونية'!N6</f>
        <v/>
      </c>
      <c r="F77" s="20">
        <f>'الإدارة القانونية'!O6</f>
        <v/>
      </c>
      <c r="G77" s="24">
        <f>'الإدارة القانونية'!G6</f>
        <v/>
      </c>
    </row>
    <row r="78" ht="22" customHeight="1">
      <c r="A78" s="20" t="n">
        <v>3</v>
      </c>
      <c r="B78" s="21">
        <f>'الإدارة القانونية'!C7</f>
        <v/>
      </c>
      <c r="C78" s="22">
        <f>'الإدارة القانونية'!I7</f>
        <v/>
      </c>
      <c r="D78" s="23">
        <f>'الإدارة القانونية'!M7</f>
        <v/>
      </c>
      <c r="E78" s="10">
        <f>'الإدارة القانونية'!N7</f>
        <v/>
      </c>
      <c r="F78" s="20">
        <f>'الإدارة القانونية'!O7</f>
        <v/>
      </c>
      <c r="G78" s="24">
        <f>'الإدارة القانونية'!G7</f>
        <v/>
      </c>
    </row>
    <row r="79" ht="22" customHeight="1">
      <c r="A79" s="20" t="n">
        <v>4</v>
      </c>
      <c r="B79" s="21">
        <f>'الإدارة القانونية'!C14</f>
        <v/>
      </c>
      <c r="C79" s="22">
        <f>'الإدارة القانونية'!I14</f>
        <v/>
      </c>
      <c r="D79" s="23">
        <f>'الإدارة القانونية'!M14</f>
        <v/>
      </c>
      <c r="E79" s="10">
        <f>'الإدارة القانونية'!N14</f>
        <v/>
      </c>
      <c r="F79" s="20">
        <f>'الإدارة القانونية'!O14</f>
        <v/>
      </c>
      <c r="G79" s="24">
        <f>'الإدارة القانونية'!G14</f>
        <v/>
      </c>
    </row>
    <row r="80" ht="22" customHeight="1">
      <c r="A80" s="20" t="n">
        <v>5</v>
      </c>
      <c r="B80" s="21">
        <f>'الإدارة القانونية'!C9</f>
        <v/>
      </c>
      <c r="C80" s="22">
        <f>'الإدارة القانونية'!I9</f>
        <v/>
      </c>
      <c r="D80" s="23">
        <f>'الإدارة القانونية'!M9</f>
        <v/>
      </c>
      <c r="E80" s="10">
        <f>'الإدارة القانونية'!N9</f>
        <v/>
      </c>
      <c r="F80" s="20">
        <f>'الإدارة القانونية'!O9</f>
        <v/>
      </c>
      <c r="G80" s="24">
        <f>'الإدارة القانونية'!G9</f>
        <v/>
      </c>
    </row>
    <row r="81" ht="22" customHeight="1">
      <c r="A81" s="19" t="inlineStr">
        <is>
          <t>▾ الإدارة المالية · وزن الإدارة 8%</t>
        </is>
      </c>
    </row>
    <row r="82" ht="22" customHeight="1">
      <c r="A82" s="20" t="n">
        <v>1</v>
      </c>
      <c r="B82" s="21">
        <f>'الإدارة المالية'!C5</f>
        <v/>
      </c>
      <c r="C82" s="22">
        <f>'الإدارة المالية'!I5</f>
        <v/>
      </c>
      <c r="D82" s="23">
        <f>'الإدارة المالية'!M5</f>
        <v/>
      </c>
      <c r="E82" s="10">
        <f>'الإدارة المالية'!N5</f>
        <v/>
      </c>
      <c r="F82" s="20">
        <f>'الإدارة المالية'!O5</f>
        <v/>
      </c>
      <c r="G82" s="24">
        <f>'الإدارة المالية'!G5</f>
        <v/>
      </c>
    </row>
    <row r="83" ht="22" customHeight="1">
      <c r="A83" s="20" t="n">
        <v>2</v>
      </c>
      <c r="B83" s="21">
        <f>'الإدارة المالية'!C8</f>
        <v/>
      </c>
      <c r="C83" s="22">
        <f>'الإدارة المالية'!I8</f>
        <v/>
      </c>
      <c r="D83" s="23">
        <f>'الإدارة المالية'!M8</f>
        <v/>
      </c>
      <c r="E83" s="10">
        <f>'الإدارة المالية'!N8</f>
        <v/>
      </c>
      <c r="F83" s="20">
        <f>'الإدارة المالية'!O8</f>
        <v/>
      </c>
      <c r="G83" s="24">
        <f>'الإدارة المالية'!G8</f>
        <v/>
      </c>
    </row>
    <row r="84" ht="22" customHeight="1">
      <c r="A84" s="20" t="n">
        <v>3</v>
      </c>
      <c r="B84" s="21">
        <f>'الإدارة المالية'!C12</f>
        <v/>
      </c>
      <c r="C84" s="22">
        <f>'الإدارة المالية'!I12</f>
        <v/>
      </c>
      <c r="D84" s="23">
        <f>'الإدارة المالية'!M12</f>
        <v/>
      </c>
      <c r="E84" s="10">
        <f>'الإدارة المالية'!N12</f>
        <v/>
      </c>
      <c r="F84" s="20">
        <f>'الإدارة المالية'!O12</f>
        <v/>
      </c>
      <c r="G84" s="24">
        <f>'الإدارة المالية'!G12</f>
        <v/>
      </c>
    </row>
    <row r="85" ht="22" customHeight="1">
      <c r="A85" s="20" t="n">
        <v>4</v>
      </c>
      <c r="B85" s="21">
        <f>'الإدارة المالية'!C14</f>
        <v/>
      </c>
      <c r="C85" s="22">
        <f>'الإدارة المالية'!I14</f>
        <v/>
      </c>
      <c r="D85" s="23">
        <f>'الإدارة المالية'!M14</f>
        <v/>
      </c>
      <c r="E85" s="10">
        <f>'الإدارة المالية'!N14</f>
        <v/>
      </c>
      <c r="F85" s="20">
        <f>'الإدارة المالية'!O14</f>
        <v/>
      </c>
      <c r="G85" s="24">
        <f>'الإدارة المالية'!G14</f>
        <v/>
      </c>
    </row>
    <row r="86" ht="22" customHeight="1">
      <c r="A86" s="20" t="n">
        <v>5</v>
      </c>
      <c r="B86" s="21">
        <f>'الإدارة المالية'!C15</f>
        <v/>
      </c>
      <c r="C86" s="22">
        <f>'الإدارة المالية'!I15</f>
        <v/>
      </c>
      <c r="D86" s="23">
        <f>'الإدارة المالية'!M15</f>
        <v/>
      </c>
      <c r="E86" s="10">
        <f>'الإدارة المالية'!N15</f>
        <v/>
      </c>
      <c r="F86" s="20">
        <f>'الإدارة المالية'!O15</f>
        <v/>
      </c>
      <c r="G86" s="24">
        <f>'الإدارة المالية'!G15</f>
        <v/>
      </c>
    </row>
  </sheetData>
  <mergeCells count="15">
    <mergeCell ref="A1:G1"/>
    <mergeCell ref="A81:G81"/>
    <mergeCell ref="A9:G9"/>
    <mergeCell ref="A27:G27"/>
    <mergeCell ref="A3:G3"/>
    <mergeCell ref="A21:G21"/>
    <mergeCell ref="A39:G39"/>
    <mergeCell ref="A63:G63"/>
    <mergeCell ref="A69:G69"/>
    <mergeCell ref="A15:G15"/>
    <mergeCell ref="A57:G57"/>
    <mergeCell ref="A33:G33"/>
    <mergeCell ref="A51:G51"/>
    <mergeCell ref="A45:G45"/>
    <mergeCell ref="A75:G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30" customWidth="1" min="3" max="3"/>
    <col width="9" customWidth="1" min="4" max="4"/>
    <col width="13" customWidth="1" min="5" max="5"/>
    <col width="13" customWidth="1" min="6" max="6"/>
    <col width="13" customWidth="1" min="7" max="7"/>
    <col width="11" customWidth="1" min="8" max="8"/>
    <col width="42" customWidth="1" min="9" max="9"/>
  </cols>
  <sheetData>
    <row r="1" ht="26" customHeight="1">
      <c r="A1" s="25" t="inlineStr">
        <is>
          <t>المؤشرات الجامعة — مؤشر واحد لكل محور (متوسط موزون حيّ) + كشف الأضعف لمنع خداع المتوسطات · لا يُحسب في الإجمالي</t>
        </is>
      </c>
    </row>
    <row r="2" ht="30" customHeight="1">
      <c r="A2" s="26" t="inlineStr">
        <is>
          <t>#</t>
        </is>
      </c>
      <c r="B2" s="26" t="inlineStr">
        <is>
          <t>الإدارة</t>
        </is>
      </c>
      <c r="C2" s="26" t="inlineStr">
        <is>
          <t>المحور (مؤشر جامع)</t>
        </is>
      </c>
      <c r="D2" s="26" t="inlineStr">
        <is>
          <t>عدد المؤشرات</t>
        </is>
      </c>
      <c r="E2" s="26" t="inlineStr">
        <is>
          <t>نسبة التحقيق (موزون)</t>
        </is>
      </c>
      <c r="F2" s="26" t="inlineStr">
        <is>
          <t>الحالة</t>
        </is>
      </c>
      <c r="G2" s="26" t="inlineStr">
        <is>
          <t>أدنى نسبة تفصيلية</t>
        </is>
      </c>
      <c r="H2" s="26" t="inlineStr">
        <is>
          <t>عدد تحت الهدف</t>
        </is>
      </c>
      <c r="I2" s="26" t="inlineStr">
        <is>
          <t>المؤشرات التفصيلية المشمولة</t>
        </is>
      </c>
    </row>
    <row r="3" ht="26" customHeight="1">
      <c r="A3" s="15" t="n">
        <v>1</v>
      </c>
      <c r="B3" s="13" t="inlineStr">
        <is>
          <t>الإدارة التنفيذية</t>
        </is>
      </c>
      <c r="C3" s="27" t="inlineStr">
        <is>
          <t>النمو</t>
        </is>
      </c>
      <c r="D3" s="15" t="n">
        <v>4</v>
      </c>
      <c r="E3" s="28">
        <f>IFERROR(SUMIFS('قاعدة المؤشرات'!$J$2:$J$223,'قاعدة المؤشرات'!$B$2:$B$223,"الإدارة التنفيذية",'قاعدة المؤشرات'!$L$2:$L$223,"النمو")/SUMIFS('قاعدة المؤشرات'!$K$2:$K$223,'قاعدة المؤشرات'!$B$2:$B$223,"الإدارة التنفيذية",'قاعدة المؤشرات'!$L$2:$L$223,"النمو"),"")</f>
        <v/>
      </c>
      <c r="F3" s="20">
        <f>IF($E3="","⏳ بانتظار هدف",IF($E3&gt;=1,"✅ محقق",IF($E3&gt;=0.85,"🟡 قريب","🔴 تحت الهدف")))</f>
        <v/>
      </c>
      <c r="G3" s="29">
        <f>IF($E3="","",MINIFS('قاعدة المؤشرات'!$G$2:$G$223,'قاعدة المؤشرات'!$B$2:$B$223,"الإدارة التنفيذية",'قاعدة المؤشرات'!$L$2:$L$223,"النمو"))</f>
        <v/>
      </c>
      <c r="H3" s="30">
        <f>COUNTIFS('قاعدة المؤشرات'!$H$2:$H$223,"🔴 تحت الهدف",'قاعدة المؤشرات'!$B$2:$B$223,"الإدارة التنفيذية",'قاعدة المؤشرات'!$L$2:$L$223,"النمو")</f>
        <v/>
      </c>
      <c r="I3" s="31" t="inlineStr">
        <is>
          <t>إجمالي المحطات المشغّلة — الشركة (تراكمي) · إجمالي العقود الجديدة — الشركة · نسبة نمو إيرادات الشركة (سنوي) · الالتزام بمعايير وزارة الطاقة (تغطية 13 منطقة)</t>
        </is>
      </c>
    </row>
    <row r="4" ht="26" customHeight="1">
      <c r="A4" s="15" t="n">
        <v>2</v>
      </c>
      <c r="B4" s="13" t="inlineStr">
        <is>
          <t>الإدارة التنفيذية</t>
        </is>
      </c>
      <c r="C4" s="27" t="inlineStr">
        <is>
          <t>الابتكار</t>
        </is>
      </c>
      <c r="D4" s="15" t="n">
        <v>2</v>
      </c>
      <c r="E4" s="28">
        <f>IFERROR(SUMIFS('قاعدة المؤشرات'!$J$2:$J$223,'قاعدة المؤشرات'!$B$2:$B$223,"الإدارة التنفيذية",'قاعدة المؤشرات'!$L$2:$L$223,"الابتكار")/SUMIFS('قاعدة المؤشرات'!$K$2:$K$223,'قاعدة المؤشرات'!$B$2:$B$223,"الإدارة التنفيذية",'قاعدة المؤشرات'!$L$2:$L$223,"الابتكار"),"")</f>
        <v/>
      </c>
      <c r="F4" s="20">
        <f>IF($E4="","⏳ بانتظار هدف",IF($E4&gt;=1,"✅ محقق",IF($E4&gt;=0.85,"🟡 قريب","🔴 تحت الهدف")))</f>
        <v/>
      </c>
      <c r="G4" s="29">
        <f>IF($E4="","",MINIFS('قاعدة المؤشرات'!$G$2:$G$223,'قاعدة المؤشرات'!$B$2:$B$223,"الإدارة التنفيذية",'قاعدة المؤشرات'!$L$2:$L$223,"الابتكار"))</f>
        <v/>
      </c>
      <c r="H4" s="30">
        <f>COUNTIFS('قاعدة المؤشرات'!$H$2:$H$223,"🔴 تحت الهدف",'قاعدة المؤشرات'!$B$2:$B$223,"الإدارة التنفيذية",'قاعدة المؤشرات'!$L$2:$L$223,"الابتكار")</f>
        <v/>
      </c>
      <c r="I4" s="31" t="inlineStr">
        <is>
          <t>نسبة إنجاز مشاريع الخارطة التنفيذية · نسبة التحول الرقمي على مستوى الشركة</t>
        </is>
      </c>
    </row>
    <row r="5" ht="26" customHeight="1">
      <c r="A5" s="15" t="n">
        <v>3</v>
      </c>
      <c r="B5" s="13" t="inlineStr">
        <is>
          <t>الإدارة التنفيذية</t>
        </is>
      </c>
      <c r="C5" s="27" t="inlineStr">
        <is>
          <t>الاستدامة</t>
        </is>
      </c>
      <c r="D5" s="15" t="n">
        <v>3</v>
      </c>
      <c r="E5" s="28">
        <f>IFERROR(SUMIFS('قاعدة المؤشرات'!$J$2:$J$223,'قاعدة المؤشرات'!$B$2:$B$223,"الإدارة التنفيذية",'قاعدة المؤشرات'!$L$2:$L$223,"الاستدامة")/SUMIFS('قاعدة المؤشرات'!$K$2:$K$223,'قاعدة المؤشرات'!$B$2:$B$223,"الإدارة التنفيذية",'قاعدة المؤشرات'!$L$2:$L$223,"الاستدامة"),"")</f>
        <v/>
      </c>
      <c r="F5" s="20">
        <f>IF($E5="","⏳ بانتظار هدف",IF($E5&gt;=1,"✅ محقق",IF($E5&gt;=0.85,"🟡 قريب","🔴 تحت الهدف")))</f>
        <v/>
      </c>
      <c r="G5" s="29">
        <f>IF($E5="","",MINIFS('قاعدة المؤشرات'!$G$2:$G$223,'قاعدة المؤشرات'!$B$2:$B$223,"الإدارة التنفيذية",'قاعدة المؤشرات'!$L$2:$L$223,"الاستدامة"))</f>
        <v/>
      </c>
      <c r="H5" s="30">
        <f>COUNTIFS('قاعدة المؤشرات'!$H$2:$H$223,"🔴 تحت الهدف",'قاعدة المؤشرات'!$B$2:$B$223,"الإدارة التنفيذية",'قاعدة المؤشرات'!$L$2:$L$223,"الاستدامة")</f>
        <v/>
      </c>
      <c r="I5" s="31" t="inlineStr">
        <is>
          <t>مؤشر رضا العملاء العام (الشركة) · مؤشر رضا الموظفين العام (eNPS) · نسبة تحقيق المستهدفات الاستراتيجية العامة</t>
        </is>
      </c>
    </row>
    <row r="6" ht="26" customHeight="1">
      <c r="A6" s="15" t="n">
        <v>4</v>
      </c>
      <c r="B6" s="13" t="inlineStr">
        <is>
          <t>الإدارة التنفيذية</t>
        </is>
      </c>
      <c r="C6" s="27" t="inlineStr">
        <is>
          <t>الحوكمة</t>
        </is>
      </c>
      <c r="D6" s="15" t="n">
        <v>1</v>
      </c>
      <c r="E6" s="28">
        <f>IFERROR(SUMIFS('قاعدة المؤشرات'!$J$2:$J$223,'قاعدة المؤشرات'!$B$2:$B$223,"الإدارة التنفيذية",'قاعدة المؤشرات'!$L$2:$L$223,"الحوكمة")/SUMIFS('قاعدة المؤشرات'!$K$2:$K$223,'قاعدة المؤشرات'!$B$2:$B$223,"الإدارة التنفيذية",'قاعدة المؤشرات'!$L$2:$L$223,"الحوكمة"),"")</f>
        <v/>
      </c>
      <c r="F6" s="20">
        <f>IF($E6="","⏳ بانتظار هدف",IF($E6&gt;=1,"✅ محقق",IF($E6&gt;=0.85,"🟡 قريب","🔴 تحت الهدف")))</f>
        <v/>
      </c>
      <c r="G6" s="29">
        <f>IF($E6="","",MINIFS('قاعدة المؤشرات'!$G$2:$G$223,'قاعدة المؤشرات'!$B$2:$B$223,"الإدارة التنفيذية",'قاعدة المؤشرات'!$L$2:$L$223,"الحوكمة"))</f>
        <v/>
      </c>
      <c r="H6" s="30">
        <f>COUNTIFS('قاعدة المؤشرات'!$H$2:$H$223,"🔴 تحت الهدف",'قاعدة المؤشرات'!$B$2:$B$223,"الإدارة التنفيذية",'قاعدة المؤشرات'!$L$2:$L$223,"الحوكمة")</f>
        <v/>
      </c>
      <c r="I6" s="31" t="inlineStr">
        <is>
          <t>نسبة الالتزام بإطار الحوكمة المؤسسية والامتثال التنظيمي</t>
        </is>
      </c>
    </row>
    <row r="7" ht="26" customHeight="1">
      <c r="A7" s="15" t="n">
        <v>5</v>
      </c>
      <c r="B7" s="13" t="inlineStr">
        <is>
          <t>الامتياز التجاري</t>
        </is>
      </c>
      <c r="C7" s="27" t="inlineStr">
        <is>
          <t>النمو والتوسع</t>
        </is>
      </c>
      <c r="D7" s="15" t="n">
        <v>2</v>
      </c>
      <c r="E7" s="28">
        <f>IFERROR(SUMIFS('قاعدة المؤشرات'!$J$2:$J$223,'قاعدة المؤشرات'!$B$2:$B$223,"الامتياز التجاري",'قاعدة المؤشرات'!$L$2:$L$223,"النمو والتوسع")/SUMIFS('قاعدة المؤشرات'!$K$2:$K$223,'قاعدة المؤشرات'!$B$2:$B$223,"الامتياز التجاري",'قاعدة المؤشرات'!$L$2:$L$223,"النمو والتوسع"),"")</f>
        <v/>
      </c>
      <c r="F7" s="20">
        <f>IF($E7="","⏳ بانتظار هدف",IF($E7&gt;=1,"✅ محقق",IF($E7&gt;=0.85,"🟡 قريب","🔴 تحت الهدف")))</f>
        <v/>
      </c>
      <c r="G7" s="29">
        <f>IF($E7="","",MINIFS('قاعدة المؤشرات'!$G$2:$G$223,'قاعدة المؤشرات'!$B$2:$B$223,"الامتياز التجاري",'قاعدة المؤشرات'!$L$2:$L$223,"النمو والتوسع"))</f>
        <v/>
      </c>
      <c r="H7" s="30">
        <f>COUNTIFS('قاعدة المؤشرات'!$H$2:$H$223,"🔴 تحت الهدف",'قاعدة المؤشرات'!$B$2:$B$223,"الامتياز التجاري",'قاعدة المؤشرات'!$L$2:$L$223,"النمو والتوسع")</f>
        <v/>
      </c>
      <c r="I7" s="31" t="inlineStr">
        <is>
          <t>عدد محطات الامتياز المشغّلة (تراكمي) · عدد عقود الامتياز الجديدة الموقّعة</t>
        </is>
      </c>
    </row>
    <row r="8" ht="26" customHeight="1">
      <c r="A8" s="15" t="n">
        <v>6</v>
      </c>
      <c r="B8" s="13" t="inlineStr">
        <is>
          <t>الامتياز التجاري</t>
        </is>
      </c>
      <c r="C8" s="27" t="inlineStr">
        <is>
          <t>المبيعات والأداء التجاري</t>
        </is>
      </c>
      <c r="D8" s="15" t="n">
        <v>2</v>
      </c>
      <c r="E8" s="28">
        <f>IFERROR(SUMIFS('قاعدة المؤشرات'!$J$2:$J$223,'قاعدة المؤشرات'!$B$2:$B$223,"الامتياز التجاري",'قاعدة المؤشرات'!$L$2:$L$223,"المبيعات والأداء التجاري")/SUMIFS('قاعدة المؤشرات'!$K$2:$K$223,'قاعدة المؤشرات'!$B$2:$B$223,"الامتياز التجاري",'قاعدة المؤشرات'!$L$2:$L$223,"المبيعات والأداء التجاري"),"")</f>
        <v/>
      </c>
      <c r="F8" s="20">
        <f>IF($E8="","⏳ بانتظار هدف",IF($E8&gt;=1,"✅ محقق",IF($E8&gt;=0.85,"🟡 قريب","🔴 تحت الهدف")))</f>
        <v/>
      </c>
      <c r="G8" s="29">
        <f>IF($E8="","",MINIFS('قاعدة المؤشرات'!$G$2:$G$223,'قاعدة المؤشرات'!$B$2:$B$223,"الامتياز التجاري",'قاعدة المؤشرات'!$L$2:$L$223,"المبيعات والأداء التجاري"))</f>
        <v/>
      </c>
      <c r="H8" s="30">
        <f>COUNTIFS('قاعدة المؤشرات'!$H$2:$H$223,"🔴 تحت الهدف",'قاعدة المؤشرات'!$B$2:$B$223,"الامتياز التجاري",'قاعدة المؤشرات'!$L$2:$L$223,"المبيعات والأداء التجاري")</f>
        <v/>
      </c>
      <c r="I8" s="31" t="inlineStr">
        <is>
          <t>إجمالي مبيعات وقود محطات الامتياز · نسبة تأجير وحدات الامتياز</t>
        </is>
      </c>
    </row>
    <row r="9" ht="26" customHeight="1">
      <c r="A9" s="15" t="n">
        <v>7</v>
      </c>
      <c r="B9" s="13" t="inlineStr">
        <is>
          <t>الامتياز التجاري</t>
        </is>
      </c>
      <c r="C9" s="27" t="inlineStr">
        <is>
          <t>الأداء المالي</t>
        </is>
      </c>
      <c r="D9" s="15" t="n">
        <v>8</v>
      </c>
      <c r="E9" s="28">
        <f>IFERROR(SUMIFS('قاعدة المؤشرات'!$J$2:$J$223,'قاعدة المؤشرات'!$B$2:$B$223,"الامتياز التجاري",'قاعدة المؤشرات'!$L$2:$L$223,"الأداء المالي")/SUMIFS('قاعدة المؤشرات'!$K$2:$K$223,'قاعدة المؤشرات'!$B$2:$B$223,"الامتياز التجاري",'قاعدة المؤشرات'!$L$2:$L$223,"الأداء المالي"),"")</f>
        <v/>
      </c>
      <c r="F9" s="20">
        <f>IF($E9="","⏳ بانتظار هدف",IF($E9&gt;=1,"✅ محقق",IF($E9&gt;=0.85,"🟡 قريب","🔴 تحت الهدف")))</f>
        <v/>
      </c>
      <c r="G9" s="29">
        <f>IF($E9="","",MINIFS('قاعدة المؤشرات'!$G$2:$G$223,'قاعدة المؤشرات'!$B$2:$B$223,"الامتياز التجاري",'قاعدة المؤشرات'!$L$2:$L$223,"الأداء المالي"))</f>
        <v/>
      </c>
      <c r="H9" s="30">
        <f>COUNTIFS('قاعدة المؤشرات'!$H$2:$H$223,"🔴 تحت الهدف",'قاعدة المؤشرات'!$B$2:$B$223,"الامتياز التجاري",'قاعدة المؤشرات'!$L$2:$L$223,"الأداء المالي")</f>
        <v/>
      </c>
      <c r="I9" s="31" t="inlineStr">
        <is>
          <t>إجمالي إيرادات إدارة الامتياز · رفع هامش الربحية للامتياز · نسبة التحصيل المالي من شركاء الامتياز · متوسط أيام تحصيل شركاء الامتياز (DSO) · إجمالي المستحقات المتأخرة (+30 يوم) · نسبة الشركاء الملتزمين بمواعيد السداد · معدل دوران رأس المال (أيام الدورة) · نسبة التحصيل خلال 5 أيام عمل</t>
        </is>
      </c>
    </row>
    <row r="10" ht="26" customHeight="1">
      <c r="A10" s="15" t="n">
        <v>8</v>
      </c>
      <c r="B10" s="13" t="inlineStr">
        <is>
          <t>الامتياز التجاري</t>
        </is>
      </c>
      <c r="C10" s="27" t="inlineStr">
        <is>
          <t>التشغيل والجودة</t>
        </is>
      </c>
      <c r="D10" s="15" t="n">
        <v>9</v>
      </c>
      <c r="E10" s="28">
        <f>IFERROR(SUMIFS('قاعدة المؤشرات'!$J$2:$J$223,'قاعدة المؤشرات'!$B$2:$B$223,"الامتياز التجاري",'قاعدة المؤشرات'!$L$2:$L$223,"التشغيل والجودة")/SUMIFS('قاعدة المؤشرات'!$K$2:$K$223,'قاعدة المؤشرات'!$B$2:$B$223,"الامتياز التجاري",'قاعدة المؤشرات'!$L$2:$L$223,"التشغيل والجودة"),"")</f>
        <v/>
      </c>
      <c r="F10" s="20">
        <f>IF($E10="","⏳ بانتظار هدف",IF($E10&gt;=1,"✅ محقق",IF($E10&gt;=0.85,"🟡 قريب","🔴 تحت الهدف")))</f>
        <v/>
      </c>
      <c r="G10" s="29">
        <f>IF($E10="","",MINIFS('قاعدة المؤشرات'!$G$2:$G$223,'قاعدة المؤشرات'!$B$2:$B$223,"الامتياز التجاري",'قاعدة المؤشرات'!$L$2:$L$223,"التشغيل والجودة"))</f>
        <v/>
      </c>
      <c r="H10" s="30">
        <f>COUNTIFS('قاعدة المؤشرات'!$H$2:$H$223,"🔴 تحت الهدف",'قاعدة المؤشرات'!$B$2:$B$223,"الامتياز التجاري",'قاعدة المؤشرات'!$L$2:$L$223,"التشغيل والجودة")</f>
        <v/>
      </c>
      <c r="I10" s="31" t="inlineStr">
        <is>
          <t>نسبة جاهزية محطات الامتياز (صفر انقطاع) · عدد حالات انقطاع الوقود الموثّقة · نسبة إغلاق ملاحظات الجودة الميدانية · متوسط درجة تقييم جودة المحطة (قائمة التحقق) · نسبة تنفيذ الزيارات الميدانية المجدولة · نسبة المحطات المستوفية لمعايير السلامة · متوسط وقت معالجة البلاغات التشغيلية · نسبة أتمتة محطات الامتياز · نسبة تطبيق المعيار الشامل داخل المحطات</t>
        </is>
      </c>
    </row>
    <row r="11" ht="26" customHeight="1">
      <c r="A11" s="15" t="n">
        <v>9</v>
      </c>
      <c r="B11" s="13" t="inlineStr">
        <is>
          <t>الامتياز التجاري</t>
        </is>
      </c>
      <c r="C11" s="27" t="inlineStr">
        <is>
          <t>الهوية والتسويق</t>
        </is>
      </c>
      <c r="D11" s="15" t="n">
        <v>1</v>
      </c>
      <c r="E11" s="28">
        <f>IFERROR(SUMIFS('قاعدة المؤشرات'!$J$2:$J$223,'قاعدة المؤشرات'!$B$2:$B$223,"الامتياز التجاري",'قاعدة المؤشرات'!$L$2:$L$223,"الهوية والتسويق")/SUMIFS('قاعدة المؤشرات'!$K$2:$K$223,'قاعدة المؤشرات'!$B$2:$B$223,"الامتياز التجاري",'قاعدة المؤشرات'!$L$2:$L$223,"الهوية والتسويق"),"")</f>
        <v/>
      </c>
      <c r="F11" s="20">
        <f>IF($E11="","⏳ بانتظار هدف",IF($E11&gt;=1,"✅ محقق",IF($E11&gt;=0.85,"🟡 قريب","🔴 تحت الهدف")))</f>
        <v/>
      </c>
      <c r="G11" s="29">
        <f>IF($E11="","",MINIFS('قاعدة المؤشرات'!$G$2:$G$223,'قاعدة المؤشرات'!$B$2:$B$223,"الامتياز التجاري",'قاعدة المؤشرات'!$L$2:$L$223,"الهوية والتسويق"))</f>
        <v/>
      </c>
      <c r="H11" s="30">
        <f>COUNTIFS('قاعدة المؤشرات'!$H$2:$H$223,"🔴 تحت الهدف",'قاعدة المؤشرات'!$B$2:$B$223,"الامتياز التجاري",'قاعدة المؤشرات'!$L$2:$L$223,"الهوية والتسويق")</f>
        <v/>
      </c>
      <c r="I11" s="31" t="inlineStr">
        <is>
          <t>نسبة التزام المحطات بالهوية المؤسسية</t>
        </is>
      </c>
    </row>
    <row r="12" ht="26" customHeight="1">
      <c r="A12" s="15" t="n">
        <v>10</v>
      </c>
      <c r="B12" s="13" t="inlineStr">
        <is>
          <t>الامتياز التجاري</t>
        </is>
      </c>
      <c r="C12" s="27" t="inlineStr">
        <is>
          <t>تجربة العملاء والشركاء</t>
        </is>
      </c>
      <c r="D12" s="15" t="n">
        <v>4</v>
      </c>
      <c r="E12" s="28">
        <f>IFERROR(SUMIFS('قاعدة المؤشرات'!$J$2:$J$223,'قاعدة المؤشرات'!$B$2:$B$223,"الامتياز التجاري",'قاعدة المؤشرات'!$L$2:$L$223,"تجربة العملاء والشركاء")/SUMIFS('قاعدة المؤشرات'!$K$2:$K$223,'قاعدة المؤشرات'!$B$2:$B$223,"الامتياز التجاري",'قاعدة المؤشرات'!$L$2:$L$223,"تجربة العملاء والشركاء"),"")</f>
        <v/>
      </c>
      <c r="F12" s="20">
        <f>IF($E12="","⏳ بانتظار هدف",IF($E12&gt;=1,"✅ محقق",IF($E12&gt;=0.85,"🟡 قريب","🔴 تحت الهدف")))</f>
        <v/>
      </c>
      <c r="G12" s="29">
        <f>IF($E12="","",MINIFS('قاعدة المؤشرات'!$G$2:$G$223,'قاعدة المؤشرات'!$B$2:$B$223,"الامتياز التجاري",'قاعدة المؤشرات'!$L$2:$L$223,"تجربة العملاء والشركاء"))</f>
        <v/>
      </c>
      <c r="H12" s="30">
        <f>COUNTIFS('قاعدة المؤشرات'!$H$2:$H$223,"🔴 تحت الهدف",'قاعدة المؤشرات'!$B$2:$B$223,"الامتياز التجاري",'قاعدة المؤشرات'!$L$2:$L$223,"تجربة العملاء والشركاء")</f>
        <v/>
      </c>
      <c r="I12" s="31" t="inlineStr">
        <is>
          <t>متوسط تقييم المحطات على خرائط قوقل · معدل رضا شركاء الامتياز (CSAT) · نسبة حل الشكاوى خلال المدة المحددة · نسبة انخفاض الشكاوى التشغيلية والإدارية</t>
        </is>
      </c>
    </row>
    <row r="13" ht="26" customHeight="1">
      <c r="A13" s="15" t="n">
        <v>11</v>
      </c>
      <c r="B13" s="13" t="inlineStr">
        <is>
          <t>الامتياز التجاري</t>
        </is>
      </c>
      <c r="C13" s="27" t="inlineStr">
        <is>
          <t>استدامة الشراكة والامتثال</t>
        </is>
      </c>
      <c r="D13" s="15" t="n">
        <v>3</v>
      </c>
      <c r="E13" s="28">
        <f>IFERROR(SUMIFS('قاعدة المؤشرات'!$J$2:$J$223,'قاعدة المؤشرات'!$B$2:$B$223,"الامتياز التجاري",'قاعدة المؤشرات'!$L$2:$L$223,"استدامة الشراكة والامتثال")/SUMIFS('قاعدة المؤشرات'!$K$2:$K$223,'قاعدة المؤشرات'!$B$2:$B$223,"الامتياز التجاري",'قاعدة المؤشرات'!$L$2:$L$223,"استدامة الشراكة والامتثال"),"")</f>
        <v/>
      </c>
      <c r="F13" s="20">
        <f>IF($E13="","⏳ بانتظار هدف",IF($E13&gt;=1,"✅ محقق",IF($E13&gt;=0.85,"🟡 قريب","🔴 تحت الهدف")))</f>
        <v/>
      </c>
      <c r="G13" s="29">
        <f>IF($E13="","",MINIFS('قاعدة المؤشرات'!$G$2:$G$223,'قاعدة المؤشرات'!$B$2:$B$223,"الامتياز التجاري",'قاعدة المؤشرات'!$L$2:$L$223,"استدامة الشراكة والامتثال"))</f>
        <v/>
      </c>
      <c r="H13" s="30">
        <f>COUNTIFS('قاعدة المؤشرات'!$H$2:$H$223,"🔴 تحت الهدف",'قاعدة المؤشرات'!$B$2:$B$223,"الامتياز التجاري",'قاعدة المؤشرات'!$L$2:$L$223,"استدامة الشراكة والامتثال")</f>
        <v/>
      </c>
      <c r="I13" s="31" t="inlineStr">
        <is>
          <t>نسبة استدامة أصحاب الامتياز (Retention) · نسبة زيادة عدد أصحاب الامتياز · متوسط مدة إغلاق عقد الامتياز</t>
        </is>
      </c>
    </row>
    <row r="14" ht="26" customHeight="1">
      <c r="A14" s="15" t="n">
        <v>12</v>
      </c>
      <c r="B14" s="13" t="inlineStr">
        <is>
          <t>التشغيل والمحطات</t>
        </is>
      </c>
      <c r="C14" s="27" t="inlineStr">
        <is>
          <t>النمو</t>
        </is>
      </c>
      <c r="D14" s="15" t="n">
        <v>1</v>
      </c>
      <c r="E14" s="28">
        <f>IFERROR(SUMIFS('قاعدة المؤشرات'!$J$2:$J$223,'قاعدة المؤشرات'!$B$2:$B$223,"التشغيل والمحطات",'قاعدة المؤشرات'!$L$2:$L$223,"النمو")/SUMIFS('قاعدة المؤشرات'!$K$2:$K$223,'قاعدة المؤشرات'!$B$2:$B$223,"التشغيل والمحطات",'قاعدة المؤشرات'!$L$2:$L$223,"النمو"),"")</f>
        <v/>
      </c>
      <c r="F14" s="20">
        <f>IF($E14="","⏳ بانتظار هدف",IF($E14&gt;=1,"✅ محقق",IF($E14&gt;=0.85,"🟡 قريب","🔴 تحت الهدف")))</f>
        <v/>
      </c>
      <c r="G14" s="29">
        <f>IF($E14="","",MINIFS('قاعدة المؤشرات'!$G$2:$G$223,'قاعدة المؤشرات'!$B$2:$B$223,"التشغيل والمحطات",'قاعدة المؤشرات'!$L$2:$L$223,"النمو"))</f>
        <v/>
      </c>
      <c r="H14" s="30">
        <f>COUNTIFS('قاعدة المؤشرات'!$H$2:$H$223,"🔴 تحت الهدف",'قاعدة المؤشرات'!$B$2:$B$223,"التشغيل والمحطات",'قاعدة المؤشرات'!$L$2:$L$223,"النمو")</f>
        <v/>
      </c>
      <c r="I14" s="31" t="inlineStr">
        <is>
          <t>عدد المحطات المشغّلة (تراكمي)</t>
        </is>
      </c>
    </row>
    <row r="15" ht="26" customHeight="1">
      <c r="A15" s="15" t="n">
        <v>13</v>
      </c>
      <c r="B15" s="13" t="inlineStr">
        <is>
          <t>التشغيل والمحطات</t>
        </is>
      </c>
      <c r="C15" s="27" t="inlineStr">
        <is>
          <t>الربحية</t>
        </is>
      </c>
      <c r="D15" s="15" t="n">
        <v>4</v>
      </c>
      <c r="E15" s="28">
        <f>IFERROR(SUMIFS('قاعدة المؤشرات'!$J$2:$J$223,'قاعدة المؤشرات'!$B$2:$B$223,"التشغيل والمحطات",'قاعدة المؤشرات'!$L$2:$L$223,"الربحية")/SUMIFS('قاعدة المؤشرات'!$K$2:$K$223,'قاعدة المؤشرات'!$B$2:$B$223,"التشغيل والمحطات",'قاعدة المؤشرات'!$L$2:$L$223,"الربحية"),"")</f>
        <v/>
      </c>
      <c r="F15" s="20">
        <f>IF($E15="","⏳ بانتظار هدف",IF($E15&gt;=1,"✅ محقق",IF($E15&gt;=0.85,"🟡 قريب","🔴 تحت الهدف")))</f>
        <v/>
      </c>
      <c r="G15" s="29">
        <f>IF($E15="","",MINIFS('قاعدة المؤشرات'!$G$2:$G$223,'قاعدة المؤشرات'!$B$2:$B$223,"التشغيل والمحطات",'قاعدة المؤشرات'!$L$2:$L$223,"الربحية"))</f>
        <v/>
      </c>
      <c r="H15" s="30">
        <f>COUNTIFS('قاعدة المؤشرات'!$H$2:$H$223,"🔴 تحت الهدف",'قاعدة المؤشرات'!$B$2:$B$223,"التشغيل والمحطات",'قاعدة المؤشرات'!$L$2:$L$223,"الربحية")</f>
        <v/>
      </c>
      <c r="I15" s="31" t="inlineStr">
        <is>
          <t>نمو مبيعات بنزين 91 مقارنة بالعام السابق · نمو مبيعات بنزين 95 مقارنة بالعام السابق · نمو مبيعات بنزين 98 مقارنة بالعام السابق · نمو مبيعات الديزل مقارنة بالعام السابق</t>
        </is>
      </c>
    </row>
    <row r="16" ht="26" customHeight="1">
      <c r="A16" s="15" t="n">
        <v>14</v>
      </c>
      <c r="B16" s="13" t="inlineStr">
        <is>
          <t>التشغيل والمحطات</t>
        </is>
      </c>
      <c r="C16" s="27" t="inlineStr">
        <is>
          <t>حماية الإيراد</t>
        </is>
      </c>
      <c r="D16" s="15" t="n">
        <v>2</v>
      </c>
      <c r="E16" s="28">
        <f>IFERROR(SUMIFS('قاعدة المؤشرات'!$J$2:$J$223,'قاعدة المؤشرات'!$B$2:$B$223,"التشغيل والمحطات",'قاعدة المؤشرات'!$L$2:$L$223,"حماية الإيراد")/SUMIFS('قاعدة المؤشرات'!$K$2:$K$223,'قاعدة المؤشرات'!$B$2:$B$223,"التشغيل والمحطات",'قاعدة المؤشرات'!$L$2:$L$223,"حماية الإيراد"),"")</f>
        <v/>
      </c>
      <c r="F16" s="20">
        <f>IF($E16="","⏳ بانتظار هدف",IF($E16&gt;=1,"✅ محقق",IF($E16&gt;=0.85,"🟡 قريب","🔴 تحت الهدف")))</f>
        <v/>
      </c>
      <c r="G16" s="29">
        <f>IF($E16="","",MINIFS('قاعدة المؤشرات'!$G$2:$G$223,'قاعدة المؤشرات'!$B$2:$B$223,"التشغيل والمحطات",'قاعدة المؤشرات'!$L$2:$L$223,"حماية الإيراد"))</f>
        <v/>
      </c>
      <c r="H16" s="30">
        <f>COUNTIFS('قاعدة المؤشرات'!$H$2:$H$223,"🔴 تحت الهدف",'قاعدة المؤشرات'!$B$2:$B$223,"التشغيل والمحطات",'قاعدة المؤشرات'!$L$2:$L$223,"حماية الإيراد")</f>
        <v/>
      </c>
      <c r="I16" s="31" t="inlineStr">
        <is>
          <t>نسبة جاهزية المحطة الشاملة (Uptime) · نسبة المضخات العاملة</t>
        </is>
      </c>
    </row>
    <row r="17" ht="26" customHeight="1">
      <c r="A17" s="15" t="n">
        <v>15</v>
      </c>
      <c r="B17" s="13" t="inlineStr">
        <is>
          <t>التشغيل والمحطات</t>
        </is>
      </c>
      <c r="C17" s="27" t="inlineStr">
        <is>
          <t>ضغط التكلفة</t>
        </is>
      </c>
      <c r="D17" s="15" t="n">
        <v>1</v>
      </c>
      <c r="E17" s="28">
        <f>IFERROR(SUMIFS('قاعدة المؤشرات'!$J$2:$J$223,'قاعدة المؤشرات'!$B$2:$B$223,"التشغيل والمحطات",'قاعدة المؤشرات'!$L$2:$L$223,"ضغط التكلفة")/SUMIFS('قاعدة المؤشرات'!$K$2:$K$223,'قاعدة المؤشرات'!$B$2:$B$223,"التشغيل والمحطات",'قاعدة المؤشرات'!$L$2:$L$223,"ضغط التكلفة"),"")</f>
        <v/>
      </c>
      <c r="F17" s="20">
        <f>IF($E17="","⏳ بانتظار هدف",IF($E17&gt;=1,"✅ محقق",IF($E17&gt;=0.85,"🟡 قريب","🔴 تحت الهدف")))</f>
        <v/>
      </c>
      <c r="G17" s="29">
        <f>IF($E17="","",MINIFS('قاعدة المؤشرات'!$G$2:$G$223,'قاعدة المؤشرات'!$B$2:$B$223,"التشغيل والمحطات",'قاعدة المؤشرات'!$L$2:$L$223,"ضغط التكلفة"))</f>
        <v/>
      </c>
      <c r="H17" s="30">
        <f>COUNTIFS('قاعدة المؤشرات'!$H$2:$H$223,"🔴 تحت الهدف",'قاعدة المؤشرات'!$B$2:$B$223,"التشغيل والمحطات",'قاعدة المؤشرات'!$L$2:$L$223,"ضغط التكلفة")</f>
        <v/>
      </c>
      <c r="I17" s="31" t="inlineStr">
        <is>
          <t>تكلفة التشغيل لكل لتر مباع</t>
        </is>
      </c>
    </row>
    <row r="18" ht="26" customHeight="1">
      <c r="A18" s="15" t="n">
        <v>16</v>
      </c>
      <c r="B18" s="13" t="inlineStr">
        <is>
          <t>التشغيل والمحطات</t>
        </is>
      </c>
      <c r="C18" s="27" t="inlineStr">
        <is>
          <t>حماية الأصول</t>
        </is>
      </c>
      <c r="D18" s="15" t="n">
        <v>1</v>
      </c>
      <c r="E18" s="28">
        <f>IFERROR(SUMIFS('قاعدة المؤشرات'!$J$2:$J$223,'قاعدة المؤشرات'!$B$2:$B$223,"التشغيل والمحطات",'قاعدة المؤشرات'!$L$2:$L$223,"حماية الأصول")/SUMIFS('قاعدة المؤشرات'!$K$2:$K$223,'قاعدة المؤشرات'!$B$2:$B$223,"التشغيل والمحطات",'قاعدة المؤشرات'!$L$2:$L$223,"حماية الأصول"),"")</f>
        <v/>
      </c>
      <c r="F18" s="20">
        <f>IF($E18="","⏳ بانتظار هدف",IF($E18&gt;=1,"✅ محقق",IF($E18&gt;=0.85,"🟡 قريب","🔴 تحت الهدف")))</f>
        <v/>
      </c>
      <c r="G18" s="29">
        <f>IF($E18="","",MINIFS('قاعدة المؤشرات'!$G$2:$G$223,'قاعدة المؤشرات'!$B$2:$B$223,"التشغيل والمحطات",'قاعدة المؤشرات'!$L$2:$L$223,"حماية الأصول"))</f>
        <v/>
      </c>
      <c r="H18" s="30">
        <f>COUNTIFS('قاعدة المؤشرات'!$H$2:$H$223,"🔴 تحت الهدف",'قاعدة المؤشرات'!$B$2:$B$223,"التشغيل والمحطات",'قاعدة المؤشرات'!$L$2:$L$223,"حماية الأصول")</f>
        <v/>
      </c>
      <c r="I18" s="31" t="inlineStr">
        <is>
          <t>نسبة الصيانة الوقائية المنفذة في موعدها</t>
        </is>
      </c>
    </row>
    <row r="19" ht="26" customHeight="1">
      <c r="A19" s="15" t="n">
        <v>17</v>
      </c>
      <c r="B19" s="13" t="inlineStr">
        <is>
          <t>التشغيل والمحطات</t>
        </is>
      </c>
      <c r="C19" s="27" t="inlineStr">
        <is>
          <t>تجربة العميل</t>
        </is>
      </c>
      <c r="D19" s="15" t="n">
        <v>5</v>
      </c>
      <c r="E19" s="28">
        <f>IFERROR(SUMIFS('قاعدة المؤشرات'!$J$2:$J$223,'قاعدة المؤشرات'!$B$2:$B$223,"التشغيل والمحطات",'قاعدة المؤشرات'!$L$2:$L$223,"تجربة العميل")/SUMIFS('قاعدة المؤشرات'!$K$2:$K$223,'قاعدة المؤشرات'!$B$2:$B$223,"التشغيل والمحطات",'قاعدة المؤشرات'!$L$2:$L$223,"تجربة العميل"),"")</f>
        <v/>
      </c>
      <c r="F19" s="20">
        <f>IF($E19="","⏳ بانتظار هدف",IF($E19&gt;=1,"✅ محقق",IF($E19&gt;=0.85,"🟡 قريب","🔴 تحت الهدف")))</f>
        <v/>
      </c>
      <c r="G19" s="29">
        <f>IF($E19="","",MINIFS('قاعدة المؤشرات'!$G$2:$G$223,'قاعدة المؤشرات'!$B$2:$B$223,"التشغيل والمحطات",'قاعدة المؤشرات'!$L$2:$L$223,"تجربة العميل"))</f>
        <v/>
      </c>
      <c r="H19" s="30">
        <f>COUNTIFS('قاعدة المؤشرات'!$H$2:$H$223,"🔴 تحت الهدف",'قاعدة المؤشرات'!$B$2:$B$223,"التشغيل والمحطات",'قاعدة المؤشرات'!$L$2:$L$223,"تجربة العميل")</f>
        <v/>
      </c>
      <c r="I19" s="31" t="inlineStr">
        <is>
          <t>نسبة انخفاض الشكاوى مقارنة بالشهر السابق · تقييم Google Maps للمحطات · سرعة تعبئة الوقود · دقة التعبئة بدون أخطاء · تطبيق المعيار الشامل في المحطات</t>
        </is>
      </c>
    </row>
    <row r="20" ht="26" customHeight="1">
      <c r="A20" s="15" t="n">
        <v>18</v>
      </c>
      <c r="B20" s="13" t="inlineStr">
        <is>
          <t>التشغيل والمحطات</t>
        </is>
      </c>
      <c r="C20" s="27" t="inlineStr">
        <is>
          <t>السلامة</t>
        </is>
      </c>
      <c r="D20" s="15" t="n">
        <v>1</v>
      </c>
      <c r="E20" s="28">
        <f>IFERROR(SUMIFS('قاعدة المؤشرات'!$J$2:$J$223,'قاعدة المؤشرات'!$B$2:$B$223,"التشغيل والمحطات",'قاعدة المؤشرات'!$L$2:$L$223,"السلامة")/SUMIFS('قاعدة المؤشرات'!$K$2:$K$223,'قاعدة المؤشرات'!$B$2:$B$223,"التشغيل والمحطات",'قاعدة المؤشرات'!$L$2:$L$223,"السلامة"),"")</f>
        <v/>
      </c>
      <c r="F20" s="20">
        <f>IF($E20="","⏳ بانتظار هدف",IF($E20&gt;=1,"✅ محقق",IF($E20&gt;=0.85,"🟡 قريب","🔴 تحت الهدف")))</f>
        <v/>
      </c>
      <c r="G20" s="29">
        <f>IF($E20="","",MINIFS('قاعدة المؤشرات'!$G$2:$G$223,'قاعدة المؤشرات'!$B$2:$B$223,"التشغيل والمحطات",'قاعدة المؤشرات'!$L$2:$L$223,"السلامة"))</f>
        <v/>
      </c>
      <c r="H20" s="30">
        <f>COUNTIFS('قاعدة المؤشرات'!$H$2:$H$223,"🔴 تحت الهدف",'قاعدة المؤشرات'!$B$2:$B$223,"التشغيل والمحطات",'قاعدة المؤشرات'!$L$2:$L$223,"السلامة")</f>
        <v/>
      </c>
      <c r="I20" s="31" t="inlineStr">
        <is>
          <t>الالتزام بمعايير السلامة داخل المحطة</t>
        </is>
      </c>
    </row>
    <row r="21" ht="26" customHeight="1">
      <c r="A21" s="15" t="n">
        <v>19</v>
      </c>
      <c r="B21" s="13" t="inlineStr">
        <is>
          <t>التشغيل والمحطات</t>
        </is>
      </c>
      <c r="C21" s="27" t="inlineStr">
        <is>
          <t>البيئة</t>
        </is>
      </c>
      <c r="D21" s="15" t="n">
        <v>1</v>
      </c>
      <c r="E21" s="28">
        <f>IFERROR(SUMIFS('قاعدة المؤشرات'!$J$2:$J$223,'قاعدة المؤشرات'!$B$2:$B$223,"التشغيل والمحطات",'قاعدة المؤشرات'!$L$2:$L$223,"البيئة")/SUMIFS('قاعدة المؤشرات'!$K$2:$K$223,'قاعدة المؤشرات'!$B$2:$B$223,"التشغيل والمحطات",'قاعدة المؤشرات'!$L$2:$L$223,"البيئة"),"")</f>
        <v/>
      </c>
      <c r="F21" s="20">
        <f>IF($E21="","⏳ بانتظار هدف",IF($E21&gt;=1,"✅ محقق",IF($E21&gt;=0.85,"🟡 قريب","🔴 تحت الهدف")))</f>
        <v/>
      </c>
      <c r="G21" s="29">
        <f>IF($E21="","",MINIFS('قاعدة المؤشرات'!$G$2:$G$223,'قاعدة المؤشرات'!$B$2:$B$223,"التشغيل والمحطات",'قاعدة المؤشرات'!$L$2:$L$223,"البيئة"))</f>
        <v/>
      </c>
      <c r="H21" s="30">
        <f>COUNTIFS('قاعدة المؤشرات'!$H$2:$H$223,"🔴 تحت الهدف",'قاعدة المؤشرات'!$B$2:$B$223,"التشغيل والمحطات",'قاعدة المؤشرات'!$L$2:$L$223,"البيئة")</f>
        <v/>
      </c>
      <c r="I21" s="31" t="inlineStr">
        <is>
          <t>التشجير داخل المحطة (معيار الوزارة)</t>
        </is>
      </c>
    </row>
    <row r="22" ht="26" customHeight="1">
      <c r="A22" s="15" t="n">
        <v>20</v>
      </c>
      <c r="B22" s="13" t="inlineStr">
        <is>
          <t>الاستثمار</t>
        </is>
      </c>
      <c r="C22" s="27" t="inlineStr">
        <is>
          <t>نمو المحفظة</t>
        </is>
      </c>
      <c r="D22" s="15" t="n">
        <v>7</v>
      </c>
      <c r="E22" s="28">
        <f>IFERROR(SUMIFS('قاعدة المؤشرات'!$J$2:$J$223,'قاعدة المؤشرات'!$B$2:$B$223,"الاستثمار",'قاعدة المؤشرات'!$L$2:$L$223,"نمو المحفظة")/SUMIFS('قاعدة المؤشرات'!$K$2:$K$223,'قاعدة المؤشرات'!$B$2:$B$223,"الاستثمار",'قاعدة المؤشرات'!$L$2:$L$223,"نمو المحفظة"),"")</f>
        <v/>
      </c>
      <c r="F22" s="20">
        <f>IF($E22="","⏳ بانتظار هدف",IF($E22&gt;=1,"✅ محقق",IF($E22&gt;=0.85,"🟡 قريب","🔴 تحت الهدف")))</f>
        <v/>
      </c>
      <c r="G22" s="29">
        <f>IF($E22="","",MINIFS('قاعدة المؤشرات'!$G$2:$G$223,'قاعدة المؤشرات'!$B$2:$B$223,"الاستثمار",'قاعدة المؤشرات'!$L$2:$L$223,"نمو المحفظة"))</f>
        <v/>
      </c>
      <c r="H22" s="30">
        <f>COUNTIFS('قاعدة المؤشرات'!$H$2:$H$223,"🔴 تحت الهدف",'قاعدة المؤشرات'!$B$2:$B$223,"الاستثمار",'قاعدة المؤشرات'!$L$2:$L$223,"نمو المحفظة")</f>
        <v/>
      </c>
      <c r="I22" s="31" t="inlineStr">
        <is>
          <t>إجمالي عقود الاستثمار الجديدة (جميع النماذج) · عقود الاستثمار العادي الجديدة · عقود الاستحواذ الجديدة · المحطات المستحوَذ عليها المشغّلة (تراكمي) · عقود تأجير الأرض الجديدة · عقود إيجار المحطة الجديدة · عقود تشغيل المحطة الجديدة</t>
        </is>
      </c>
    </row>
    <row r="23" ht="26" customHeight="1">
      <c r="A23" s="15" t="n">
        <v>21</v>
      </c>
      <c r="B23" s="13" t="inlineStr">
        <is>
          <t>الاستثمار</t>
        </is>
      </c>
      <c r="C23" s="27" t="inlineStr">
        <is>
          <t>الربحية وجودة الموقع</t>
        </is>
      </c>
      <c r="D23" s="15" t="n">
        <v>3</v>
      </c>
      <c r="E23" s="28">
        <f>IFERROR(SUMIFS('قاعدة المؤشرات'!$J$2:$J$223,'قاعدة المؤشرات'!$B$2:$B$223,"الاستثمار",'قاعدة المؤشرات'!$L$2:$L$223,"الربحية وجودة الموقع")/SUMIFS('قاعدة المؤشرات'!$K$2:$K$223,'قاعدة المؤشرات'!$B$2:$B$223,"الاستثمار",'قاعدة المؤشرات'!$L$2:$L$223,"الربحية وجودة الموقع"),"")</f>
        <v/>
      </c>
      <c r="F23" s="20">
        <f>IF($E23="","⏳ بانتظار هدف",IF($E23&gt;=1,"✅ محقق",IF($E23&gt;=0.85,"🟡 قريب","🔴 تحت الهدف")))</f>
        <v/>
      </c>
      <c r="G23" s="29">
        <f>IF($E23="","",MINIFS('قاعدة المؤشرات'!$G$2:$G$223,'قاعدة المؤشرات'!$B$2:$B$223,"الاستثمار",'قاعدة المؤشرات'!$L$2:$L$223,"الربحية وجودة الموقع"))</f>
        <v/>
      </c>
      <c r="H23" s="30">
        <f>COUNTIFS('قاعدة المؤشرات'!$H$2:$H$223,"🔴 تحت الهدف",'قاعدة المؤشرات'!$B$2:$B$223,"الاستثمار",'قاعدة المؤشرات'!$L$2:$L$223,"الربحية وجودة الموقع")</f>
        <v/>
      </c>
      <c r="I23" s="31" t="inlineStr">
        <is>
          <t>نسبة المواقع المعتمدة ذات العائد المجدي · متوسط فترة استرداد رأس المال · متوسط قيمة عقد الإيجار السنوي (أرض)</t>
        </is>
      </c>
    </row>
    <row r="24" ht="26" customHeight="1">
      <c r="A24" s="15" t="n">
        <v>22</v>
      </c>
      <c r="B24" s="13" t="inlineStr">
        <is>
          <t>الاستثمار</t>
        </is>
      </c>
      <c r="C24" s="27" t="inlineStr">
        <is>
          <t>التوسع الإقليمي</t>
        </is>
      </c>
      <c r="D24" s="15" t="n">
        <v>4</v>
      </c>
      <c r="E24" s="28">
        <f>IFERROR(SUMIFS('قاعدة المؤشرات'!$J$2:$J$223,'قاعدة المؤشرات'!$B$2:$B$223,"الاستثمار",'قاعدة المؤشرات'!$L$2:$L$223,"التوسع الإقليمي")/SUMIFS('قاعدة المؤشرات'!$K$2:$K$223,'قاعدة المؤشرات'!$B$2:$B$223,"الاستثمار",'قاعدة المؤشرات'!$L$2:$L$223,"التوسع الإقليمي"),"")</f>
        <v/>
      </c>
      <c r="F24" s="20">
        <f>IF($E24="","⏳ بانتظار هدف",IF($E24&gt;=1,"✅ محقق",IF($E24&gt;=0.85,"🟡 قريب","🔴 تحت الهدف")))</f>
        <v/>
      </c>
      <c r="G24" s="29">
        <f>IF($E24="","",MINIFS('قاعدة المؤشرات'!$G$2:$G$223,'قاعدة المؤشرات'!$B$2:$B$223,"الاستثمار",'قاعدة المؤشرات'!$L$2:$L$223,"التوسع الإقليمي"))</f>
        <v/>
      </c>
      <c r="H24" s="30">
        <f>COUNTIFS('قاعدة المؤشرات'!$H$2:$H$223,"🔴 تحت الهدف",'قاعدة المؤشرات'!$B$2:$B$223,"الاستثمار",'قاعدة المؤشرات'!$L$2:$L$223,"التوسع الإقليمي")</f>
        <v/>
      </c>
      <c r="I24" s="31" t="inlineStr">
        <is>
          <t>نسبة العقود التي تغطي المناطق الـ13 · نسبة العقود خارج المدن الرئيسية · نسبة العقود في الـ12 مدينة الرئيسية · نسبة العقود على الطرق الإقليمية</t>
        </is>
      </c>
    </row>
    <row r="25" ht="26" customHeight="1">
      <c r="A25" s="15" t="n">
        <v>23</v>
      </c>
      <c r="B25" s="13" t="inlineStr">
        <is>
          <t>الاستثمار</t>
        </is>
      </c>
      <c r="C25" s="27" t="inlineStr">
        <is>
          <t>كفاءة الدورة</t>
        </is>
      </c>
      <c r="D25" s="15" t="n">
        <v>3</v>
      </c>
      <c r="E25" s="28">
        <f>IFERROR(SUMIFS('قاعدة المؤشرات'!$J$2:$J$223,'قاعدة المؤشرات'!$B$2:$B$223,"الاستثمار",'قاعدة المؤشرات'!$L$2:$L$223,"كفاءة الدورة")/SUMIFS('قاعدة المؤشرات'!$K$2:$K$223,'قاعدة المؤشرات'!$B$2:$B$223,"الاستثمار",'قاعدة المؤشرات'!$L$2:$L$223,"كفاءة الدورة"),"")</f>
        <v/>
      </c>
      <c r="F25" s="20">
        <f>IF($E25="","⏳ بانتظار هدف",IF($E25&gt;=1,"✅ محقق",IF($E25&gt;=0.85,"🟡 قريب","🔴 تحت الهدف")))</f>
        <v/>
      </c>
      <c r="G25" s="29">
        <f>IF($E25="","",MINIFS('قاعدة المؤشرات'!$G$2:$G$223,'قاعدة المؤشرات'!$B$2:$B$223,"الاستثمار",'قاعدة المؤشرات'!$L$2:$L$223,"كفاءة الدورة"))</f>
        <v/>
      </c>
      <c r="H25" s="30">
        <f>COUNTIFS('قاعدة المؤشرات'!$H$2:$H$223,"🔴 تحت الهدف",'قاعدة المؤشرات'!$B$2:$B$223,"الاستثمار",'قاعدة المؤشرات'!$L$2:$L$223,"كفاءة الدورة")</f>
        <v/>
      </c>
      <c r="I25" s="31" t="inlineStr">
        <is>
          <t>متوسط مدة إغلاق عقد الاستثمار · نسبة العقود المتحوّلة لمحطات مشغّلة · نسبة تخفيض إيجار المواقع عالية التكاليف</t>
        </is>
      </c>
    </row>
    <row r="26" ht="26" customHeight="1">
      <c r="A26" s="15" t="n">
        <v>24</v>
      </c>
      <c r="B26" s="13" t="inlineStr">
        <is>
          <t>الاستثمار</t>
        </is>
      </c>
      <c r="C26" s="27" t="inlineStr">
        <is>
          <t>الامتثال</t>
        </is>
      </c>
      <c r="D26" s="15" t="n">
        <v>2</v>
      </c>
      <c r="E26" s="28">
        <f>IFERROR(SUMIFS('قاعدة المؤشرات'!$J$2:$J$223,'قاعدة المؤشرات'!$B$2:$B$223,"الاستثمار",'قاعدة المؤشرات'!$L$2:$L$223,"الامتثال")/SUMIFS('قاعدة المؤشرات'!$K$2:$K$223,'قاعدة المؤشرات'!$B$2:$B$223,"الاستثمار",'قاعدة المؤشرات'!$L$2:$L$223,"الامتثال"),"")</f>
        <v/>
      </c>
      <c r="F26" s="20">
        <f>IF($E26="","⏳ بانتظار هدف",IF($E26&gt;=1,"✅ محقق",IF($E26&gt;=0.85,"🟡 قريب","🔴 تحت الهدف")))</f>
        <v/>
      </c>
      <c r="G26" s="29">
        <f>IF($E26="","",MINIFS('قاعدة المؤشرات'!$G$2:$G$223,'قاعدة المؤشرات'!$B$2:$B$223,"الاستثمار",'قاعدة المؤشرات'!$L$2:$L$223,"الامتثال"))</f>
        <v/>
      </c>
      <c r="H26" s="30">
        <f>COUNTIFS('قاعدة المؤشرات'!$H$2:$H$223,"🔴 تحت الهدف",'قاعدة المؤشرات'!$B$2:$B$223,"الاستثمار",'قاعدة المؤشرات'!$L$2:$L$223,"الامتثال")</f>
        <v/>
      </c>
      <c r="I26" s="31" t="inlineStr">
        <is>
          <t>نسبة اكتمال المستندات النظامية قبل التوقيع · نسبة العقود المؤرشفة إلكترونياً خلال 48 ساعة</t>
        </is>
      </c>
    </row>
    <row r="27" ht="26" customHeight="1">
      <c r="A27" s="15" t="n">
        <v>25</v>
      </c>
      <c r="B27" s="13" t="inlineStr">
        <is>
          <t>الاستثمار</t>
        </is>
      </c>
      <c r="C27" s="27" t="inlineStr">
        <is>
          <t>جودة التعاقد</t>
        </is>
      </c>
      <c r="D27" s="15" t="n">
        <v>5</v>
      </c>
      <c r="E27" s="28">
        <f>IFERROR(SUMIFS('قاعدة المؤشرات'!$J$2:$J$223,'قاعدة المؤشرات'!$B$2:$B$223,"الاستثمار",'قاعدة المؤشرات'!$L$2:$L$223,"جودة التعاقد")/SUMIFS('قاعدة المؤشرات'!$K$2:$K$223,'قاعدة المؤشرات'!$B$2:$B$223,"الاستثمار",'قاعدة المؤشرات'!$L$2:$L$223,"جودة التعاقد"),"")</f>
        <v/>
      </c>
      <c r="F27" s="20">
        <f>IF($E27="","⏳ بانتظار هدف",IF($E27&gt;=1,"✅ محقق",IF($E27&gt;=0.85,"🟡 قريب","🔴 تحت الهدف")))</f>
        <v/>
      </c>
      <c r="G27" s="29">
        <f>IF($E27="","",MINIFS('قاعدة المؤشرات'!$G$2:$G$223,'قاعدة المؤشرات'!$B$2:$B$223,"الاستثمار",'قاعدة المؤشرات'!$L$2:$L$223,"جودة التعاقد"))</f>
        <v/>
      </c>
      <c r="H27" s="30">
        <f>COUNTIFS('قاعدة المؤشرات'!$H$2:$H$223,"🔴 تحت الهدف",'قاعدة المؤشرات'!$B$2:$B$223,"الاستثمار",'قاعدة المؤشرات'!$L$2:$L$223,"جودة التعاقد")</f>
        <v/>
      </c>
      <c r="I27" s="31" t="inlineStr">
        <is>
          <t>جودة التفاوض مع المستثمرين · سرعة إنجاز إجراءات التعاقد · مدى رضا المستثمرين وشركاء الاستثمار · نسبة اكتمال أرشفة ملفات العملاء · نسبة إنجاز التقارير الدورية في موعدها</t>
        </is>
      </c>
    </row>
    <row r="28" ht="26" customHeight="1">
      <c r="A28" s="15" t="n">
        <v>26</v>
      </c>
      <c r="B28" s="13" t="inlineStr">
        <is>
          <t>العقار</t>
        </is>
      </c>
      <c r="C28" s="27" t="inlineStr">
        <is>
          <t>الإدارة</t>
        </is>
      </c>
      <c r="D28" s="15" t="n">
        <v>3</v>
      </c>
      <c r="E28" s="28">
        <f>IFERROR(SUMIFS('قاعدة المؤشرات'!$J$2:$J$223,'قاعدة المؤشرات'!$B$2:$B$223,"العقار",'قاعدة المؤشرات'!$L$2:$L$223,"الإدارة")/SUMIFS('قاعدة المؤشرات'!$K$2:$K$223,'قاعدة المؤشرات'!$B$2:$B$223,"العقار",'قاعدة المؤشرات'!$L$2:$L$223,"الإدارة"),"")</f>
        <v/>
      </c>
      <c r="F28" s="20">
        <f>IF($E28="","⏳ بانتظار هدف",IF($E28&gt;=1,"✅ محقق",IF($E28&gt;=0.85,"🟡 قريب","🔴 تحت الهدف")))</f>
        <v/>
      </c>
      <c r="G28" s="29">
        <f>IF($E28="","",MINIFS('قاعدة المؤشرات'!$G$2:$G$223,'قاعدة المؤشرات'!$B$2:$B$223,"العقار",'قاعدة المؤشرات'!$L$2:$L$223,"الإدارة"))</f>
        <v/>
      </c>
      <c r="H28" s="30">
        <f>COUNTIFS('قاعدة المؤشرات'!$H$2:$H$223,"🔴 تحت الهدف",'قاعدة المؤشرات'!$B$2:$B$223,"العقار",'قاعدة المؤشرات'!$L$2:$L$223,"الإدارة")</f>
        <v/>
      </c>
      <c r="I28" s="31" t="inlineStr">
        <is>
          <t>نمو الإيرادات الإيجارية · نسبة الالتزام بالعقود · نسبة تحصيل الإيجارات</t>
        </is>
      </c>
    </row>
    <row r="29" ht="26" customHeight="1">
      <c r="A29" s="15" t="n">
        <v>27</v>
      </c>
      <c r="B29" s="13" t="inlineStr">
        <is>
          <t>العقار</t>
        </is>
      </c>
      <c r="C29" s="27" t="inlineStr">
        <is>
          <t>التأجير</t>
        </is>
      </c>
      <c r="D29" s="15" t="n">
        <v>5</v>
      </c>
      <c r="E29" s="28">
        <f>IFERROR(SUMIFS('قاعدة المؤشرات'!$J$2:$J$223,'قاعدة المؤشرات'!$B$2:$B$223,"العقار",'قاعدة المؤشرات'!$L$2:$L$223,"التأجير")/SUMIFS('قاعدة المؤشرات'!$K$2:$K$223,'قاعدة المؤشرات'!$B$2:$B$223,"العقار",'قاعدة المؤشرات'!$L$2:$L$223,"التأجير"),"")</f>
        <v/>
      </c>
      <c r="F29" s="20">
        <f>IF($E29="","⏳ بانتظار هدف",IF($E29&gt;=1,"✅ محقق",IF($E29&gt;=0.85,"🟡 قريب","🔴 تحت الهدف")))</f>
        <v/>
      </c>
      <c r="G29" s="29">
        <f>IF($E29="","",MINIFS('قاعدة المؤشرات'!$G$2:$G$223,'قاعدة المؤشرات'!$B$2:$B$223,"العقار",'قاعدة المؤشرات'!$L$2:$L$223,"التأجير"))</f>
        <v/>
      </c>
      <c r="H29" s="30">
        <f>COUNTIFS('قاعدة المؤشرات'!$H$2:$H$223,"🔴 تحت الهدف",'قاعدة المؤشرات'!$B$2:$B$223,"العقار",'قاعدة المؤشرات'!$L$2:$L$223,"التأجير")</f>
        <v/>
      </c>
      <c r="I29" s="31" t="inlineStr">
        <is>
          <t>نسبة الإشغال · الوحدات المؤجَّرة شهرياً · العملاء المحتملون (LEADS) · معدل التحويل · زيادة عدد العلامات التجارية</t>
        </is>
      </c>
    </row>
    <row r="30" ht="26" customHeight="1">
      <c r="A30" s="15" t="n">
        <v>28</v>
      </c>
      <c r="B30" s="13" t="inlineStr">
        <is>
          <t>العقار</t>
        </is>
      </c>
      <c r="C30" s="27" t="inlineStr">
        <is>
          <t>الإبداع والتكامل</t>
        </is>
      </c>
      <c r="D30" s="15" t="n">
        <v>3</v>
      </c>
      <c r="E30" s="28">
        <f>IFERROR(SUMIFS('قاعدة المؤشرات'!$J$2:$J$223,'قاعدة المؤشرات'!$B$2:$B$223,"العقار",'قاعدة المؤشرات'!$L$2:$L$223,"الإبداع والتكامل")/SUMIFS('قاعدة المؤشرات'!$K$2:$K$223,'قاعدة المؤشرات'!$B$2:$B$223,"العقار",'قاعدة المؤشرات'!$L$2:$L$223,"الإبداع والتكامل"),"")</f>
        <v/>
      </c>
      <c r="F30" s="20">
        <f>IF($E30="","⏳ بانتظار هدف",IF($E30&gt;=1,"✅ محقق",IF($E30&gt;=0.85,"🟡 قريب","🔴 تحت الهدف")))</f>
        <v/>
      </c>
      <c r="G30" s="29">
        <f>IF($E30="","",MINIFS('قاعدة المؤشرات'!$G$2:$G$223,'قاعدة المؤشرات'!$B$2:$B$223,"العقار",'قاعدة المؤشرات'!$L$2:$L$223,"الإبداع والتكامل"))</f>
        <v/>
      </c>
      <c r="H30" s="30">
        <f>COUNTIFS('قاعدة المؤشرات'!$H$2:$H$223,"🔴 تحت الهدف",'قاعدة المؤشرات'!$B$2:$B$223,"العقار",'قاعدة المؤشرات'!$L$2:$L$223,"الإبداع والتكامل")</f>
        <v/>
      </c>
      <c r="I30" s="31" t="inlineStr">
        <is>
          <t>نسبة تأجير ساحة درب · علامات تجارية جديدة (ساحة درب) · الشراكات الاستراتيجية</t>
        </is>
      </c>
    </row>
    <row r="31" ht="26" customHeight="1">
      <c r="A31" s="15" t="n">
        <v>29</v>
      </c>
      <c r="B31" s="13" t="inlineStr">
        <is>
          <t>العقار</t>
        </is>
      </c>
      <c r="C31" s="27" t="inlineStr">
        <is>
          <t>إدارة الأملاك</t>
        </is>
      </c>
      <c r="D31" s="15" t="n">
        <v>1</v>
      </c>
      <c r="E31" s="28">
        <f>IFERROR(SUMIFS('قاعدة المؤشرات'!$J$2:$J$223,'قاعدة المؤشرات'!$B$2:$B$223,"العقار",'قاعدة المؤشرات'!$L$2:$L$223,"إدارة الأملاك")/SUMIFS('قاعدة المؤشرات'!$K$2:$K$223,'قاعدة المؤشرات'!$B$2:$B$223,"العقار",'قاعدة المؤشرات'!$L$2:$L$223,"إدارة الأملاك"),"")</f>
        <v/>
      </c>
      <c r="F31" s="20">
        <f>IF($E31="","⏳ بانتظار هدف",IF($E31&gt;=1,"✅ محقق",IF($E31&gt;=0.85,"🟡 قريب","🔴 تحت الهدف")))</f>
        <v/>
      </c>
      <c r="G31" s="29">
        <f>IF($E31="","",MINIFS('قاعدة المؤشرات'!$G$2:$G$223,'قاعدة المؤشرات'!$B$2:$B$223,"العقار",'قاعدة المؤشرات'!$L$2:$L$223,"إدارة الأملاك"))</f>
        <v/>
      </c>
      <c r="H31" s="30">
        <f>COUNTIFS('قاعدة المؤشرات'!$H$2:$H$223,"🔴 تحت الهدف",'قاعدة المؤشرات'!$B$2:$B$223,"العقار",'قاعدة المؤشرات'!$L$2:$L$223,"إدارة الأملاك")</f>
        <v/>
      </c>
      <c r="I31" s="31" t="inlineStr">
        <is>
          <t>نسبة تجديد العقود</t>
        </is>
      </c>
    </row>
    <row r="32" ht="26" customHeight="1">
      <c r="A32" s="15" t="n">
        <v>30</v>
      </c>
      <c r="B32" s="13" t="inlineStr">
        <is>
          <t>العقار</t>
        </is>
      </c>
      <c r="C32" s="27" t="inlineStr">
        <is>
          <t>تنسيق المشاريع</t>
        </is>
      </c>
      <c r="D32" s="15" t="n">
        <v>2</v>
      </c>
      <c r="E32" s="28">
        <f>IFERROR(SUMIFS('قاعدة المؤشرات'!$J$2:$J$223,'قاعدة المؤشرات'!$B$2:$B$223,"العقار",'قاعدة المؤشرات'!$L$2:$L$223,"تنسيق المشاريع")/SUMIFS('قاعدة المؤشرات'!$K$2:$K$223,'قاعدة المؤشرات'!$B$2:$B$223,"العقار",'قاعدة المؤشرات'!$L$2:$L$223,"تنسيق المشاريع"),"")</f>
        <v/>
      </c>
      <c r="F32" s="20">
        <f>IF($E32="","⏳ بانتظار هدف",IF($E32&gt;=1,"✅ محقق",IF($E32&gt;=0.85,"🟡 قريب","🔴 تحت الهدف")))</f>
        <v/>
      </c>
      <c r="G32" s="29">
        <f>IF($E32="","",MINIFS('قاعدة المؤشرات'!$G$2:$G$223,'قاعدة المؤشرات'!$B$2:$B$223,"العقار",'قاعدة المؤشرات'!$L$2:$L$223,"تنسيق المشاريع"))</f>
        <v/>
      </c>
      <c r="H32" s="30">
        <f>COUNTIFS('قاعدة المؤشرات'!$H$2:$H$223,"🔴 تحت الهدف",'قاعدة المؤشرات'!$B$2:$B$223,"العقار",'قاعدة المؤشرات'!$L$2:$L$223,"تنسيق المشاريع")</f>
        <v/>
      </c>
      <c r="I32" s="31" t="inlineStr">
        <is>
          <t>متوسط زمن تسليم الوحدة · نسبة إغلاق الطلبات خلال 3 أسابيع</t>
        </is>
      </c>
    </row>
    <row r="33" ht="26" customHeight="1">
      <c r="A33" s="15" t="n">
        <v>31</v>
      </c>
      <c r="B33" s="13" t="inlineStr">
        <is>
          <t>العقار</t>
        </is>
      </c>
      <c r="C33" s="27" t="inlineStr">
        <is>
          <t>الجودة والاستدامة</t>
        </is>
      </c>
      <c r="D33" s="15" t="n">
        <v>2</v>
      </c>
      <c r="E33" s="28">
        <f>IFERROR(SUMIFS('قاعدة المؤشرات'!$J$2:$J$223,'قاعدة المؤشرات'!$B$2:$B$223,"العقار",'قاعدة المؤشرات'!$L$2:$L$223,"الجودة والاستدامة")/SUMIFS('قاعدة المؤشرات'!$K$2:$K$223,'قاعدة المؤشرات'!$B$2:$B$223,"العقار",'قاعدة المؤشرات'!$L$2:$L$223,"الجودة والاستدامة"),"")</f>
        <v/>
      </c>
      <c r="F33" s="20">
        <f>IF($E33="","⏳ بانتظار هدف",IF($E33&gt;=1,"✅ محقق",IF($E33&gt;=0.85,"🟡 قريب","🔴 تحت الهدف")))</f>
        <v/>
      </c>
      <c r="G33" s="29">
        <f>IF($E33="","",MINIFS('قاعدة المؤشرات'!$G$2:$G$223,'قاعدة المؤشرات'!$B$2:$B$223,"العقار",'قاعدة المؤشرات'!$L$2:$L$223,"الجودة والاستدامة"))</f>
        <v/>
      </c>
      <c r="H33" s="30">
        <f>COUNTIFS('قاعدة المؤشرات'!$H$2:$H$223,"🔴 تحت الهدف",'قاعدة المؤشرات'!$B$2:$B$223,"العقار",'قاعدة المؤشرات'!$L$2:$L$223,"الجودة والاستدامة")</f>
        <v/>
      </c>
      <c r="I33" s="31" t="inlineStr">
        <is>
          <t>استدامة المستأجرين (لم يُنهَ مبكراً) · معدل رضا المستأجرين (استبيان ربعي)</t>
        </is>
      </c>
    </row>
    <row r="34" ht="26" customHeight="1">
      <c r="A34" s="15" t="n">
        <v>32</v>
      </c>
      <c r="B34" s="13" t="inlineStr">
        <is>
          <t>إدارة المشاريع</t>
        </is>
      </c>
      <c r="C34" s="27" t="inlineStr">
        <is>
          <t>تسليم محطات الشركة</t>
        </is>
      </c>
      <c r="D34" s="15" t="n">
        <v>4</v>
      </c>
      <c r="E34" s="28">
        <f>IFERROR(SUMIFS('قاعدة المؤشرات'!$J$2:$J$223,'قاعدة المؤشرات'!$B$2:$B$223,"إدارة المشاريع",'قاعدة المؤشرات'!$L$2:$L$223,"تسليم محطات الشركة")/SUMIFS('قاعدة المؤشرات'!$K$2:$K$223,'قاعدة المؤشرات'!$B$2:$B$223,"إدارة المشاريع",'قاعدة المؤشرات'!$L$2:$L$223,"تسليم محطات الشركة"),"")</f>
        <v/>
      </c>
      <c r="F34" s="20">
        <f>IF($E34="","⏳ بانتظار هدف",IF($E34&gt;=1,"✅ محقق",IF($E34&gt;=0.85,"🟡 قريب","🔴 تحت الهدف")))</f>
        <v/>
      </c>
      <c r="G34" s="29">
        <f>IF($E34="","",MINIFS('قاعدة المؤشرات'!$G$2:$G$223,'قاعدة المؤشرات'!$B$2:$B$223,"إدارة المشاريع",'قاعدة المؤشرات'!$L$2:$L$223,"تسليم محطات الشركة"))</f>
        <v/>
      </c>
      <c r="H34" s="30">
        <f>COUNTIFS('قاعدة المؤشرات'!$H$2:$H$223,"🔴 تحت الهدف",'قاعدة المؤشرات'!$B$2:$B$223,"إدارة المشاريع",'قاعدة المؤشرات'!$L$2:$L$223,"تسليم محطات الشركة")</f>
        <v/>
      </c>
      <c r="I34" s="31" t="inlineStr">
        <is>
          <t>عدد محطات الشركة المُسلَّمة · نسبة إنجاز محفظة مشاريع التوسع · نسبة تسليم المحطات في الموعد المخطط · نسبة المشاريع المنفّذة ضمن الميزانية</t>
        </is>
      </c>
    </row>
    <row r="35" ht="26" customHeight="1">
      <c r="A35" s="15" t="n">
        <v>33</v>
      </c>
      <c r="B35" s="13" t="inlineStr">
        <is>
          <t>إدارة المشاريع</t>
        </is>
      </c>
      <c r="C35" s="27" t="inlineStr">
        <is>
          <t>الإشراف على الامتياز</t>
        </is>
      </c>
      <c r="D35" s="15" t="n">
        <v>4</v>
      </c>
      <c r="E35" s="28">
        <f>IFERROR(SUMIFS('قاعدة المؤشرات'!$J$2:$J$223,'قاعدة المؤشرات'!$B$2:$B$223,"إدارة المشاريع",'قاعدة المؤشرات'!$L$2:$L$223,"الإشراف على الامتياز")/SUMIFS('قاعدة المؤشرات'!$K$2:$K$223,'قاعدة المؤشرات'!$B$2:$B$223,"إدارة المشاريع",'قاعدة المؤشرات'!$L$2:$L$223,"الإشراف على الامتياز"),"")</f>
        <v/>
      </c>
      <c r="F35" s="20">
        <f>IF($E35="","⏳ بانتظار هدف",IF($E35&gt;=1,"✅ محقق",IF($E35&gt;=0.85,"🟡 قريب","🔴 تحت الهدف")))</f>
        <v/>
      </c>
      <c r="G35" s="29">
        <f>IF($E35="","",MINIFS('قاعدة المؤشرات'!$G$2:$G$223,'قاعدة المؤشرات'!$B$2:$B$223,"إدارة المشاريع",'قاعدة المؤشرات'!$L$2:$L$223,"الإشراف على الامتياز"))</f>
        <v/>
      </c>
      <c r="H35" s="30">
        <f>COUNTIFS('قاعدة المؤشرات'!$H$2:$H$223,"🔴 تحت الهدف",'قاعدة المؤشرات'!$B$2:$B$223,"إدارة المشاريع",'قاعدة المؤشرات'!$L$2:$L$223,"الإشراف على الامتياز")</f>
        <v/>
      </c>
      <c r="I35" s="31" t="inlineStr">
        <is>
          <t>عدد محطات الامتياز المُسلَّمة بالهوية · نسبة تنفيذ زيارات الإشراف المجدولة · نسبة التزام المطوّرين بالجدول الزمني · نسبة إغلاق ملاحظات الجودة على المطوّرين</t>
        </is>
      </c>
    </row>
    <row r="36" ht="26" customHeight="1">
      <c r="A36" s="15" t="n">
        <v>34</v>
      </c>
      <c r="B36" s="13" t="inlineStr">
        <is>
          <t>إدارة المشاريع</t>
        </is>
      </c>
      <c r="C36" s="27" t="inlineStr">
        <is>
          <t>إجمالي التسليم</t>
        </is>
      </c>
      <c r="D36" s="15" t="n">
        <v>1</v>
      </c>
      <c r="E36" s="28">
        <f>IFERROR(SUMIFS('قاعدة المؤشرات'!$J$2:$J$223,'قاعدة المؤشرات'!$B$2:$B$223,"إدارة المشاريع",'قاعدة المؤشرات'!$L$2:$L$223,"إجمالي التسليم")/SUMIFS('قاعدة المؤشرات'!$K$2:$K$223,'قاعدة المؤشرات'!$B$2:$B$223,"إدارة المشاريع",'قاعدة المؤشرات'!$L$2:$L$223,"إجمالي التسليم"),"")</f>
        <v/>
      </c>
      <c r="F36" s="20">
        <f>IF($E36="","⏳ بانتظار هدف",IF($E36&gt;=1,"✅ محقق",IF($E36&gt;=0.85,"🟡 قريب","🔴 تحت الهدف")))</f>
        <v/>
      </c>
      <c r="G36" s="29">
        <f>IF($E36="","",MINIFS('قاعدة المؤشرات'!$G$2:$G$223,'قاعدة المؤشرات'!$B$2:$B$223,"إدارة المشاريع",'قاعدة المؤشرات'!$L$2:$L$223,"إجمالي التسليم"))</f>
        <v/>
      </c>
      <c r="H36" s="30">
        <f>COUNTIFS('قاعدة المؤشرات'!$H$2:$H$223,"🔴 تحت الهدف",'قاعدة المؤشرات'!$B$2:$B$223,"إدارة المشاريع",'قاعدة المؤشرات'!$L$2:$L$223,"إجمالي التسليم")</f>
        <v/>
      </c>
      <c r="I36" s="31" t="inlineStr">
        <is>
          <t>إجمالي المحطات المُسلَّمة بالهوية (شركة + امتياز)</t>
        </is>
      </c>
    </row>
    <row r="37" ht="26" customHeight="1">
      <c r="A37" s="15" t="n">
        <v>35</v>
      </c>
      <c r="B37" s="13" t="inlineStr">
        <is>
          <t>إدارة المشاريع</t>
        </is>
      </c>
      <c r="C37" s="27" t="inlineStr">
        <is>
          <t>الجودة والمقاولون</t>
        </is>
      </c>
      <c r="D37" s="15" t="n">
        <v>3</v>
      </c>
      <c r="E37" s="28">
        <f>IFERROR(SUMIFS('قاعدة المؤشرات'!$J$2:$J$223,'قاعدة المؤشرات'!$B$2:$B$223,"إدارة المشاريع",'قاعدة المؤشرات'!$L$2:$L$223,"الجودة والمقاولون")/SUMIFS('قاعدة المؤشرات'!$K$2:$K$223,'قاعدة المؤشرات'!$B$2:$B$223,"إدارة المشاريع",'قاعدة المؤشرات'!$L$2:$L$223,"الجودة والمقاولون"),"")</f>
        <v/>
      </c>
      <c r="F37" s="20">
        <f>IF($E37="","⏳ بانتظار هدف",IF($E37&gt;=1,"✅ محقق",IF($E37&gt;=0.85,"🟡 قريب","🔴 تحت الهدف")))</f>
        <v/>
      </c>
      <c r="G37" s="29">
        <f>IF($E37="","",MINIFS('قاعدة المؤشرات'!$G$2:$G$223,'قاعدة المؤشرات'!$B$2:$B$223,"إدارة المشاريع",'قاعدة المؤشرات'!$L$2:$L$223,"الجودة والمقاولون"))</f>
        <v/>
      </c>
      <c r="H37" s="30">
        <f>COUNTIFS('قاعدة المؤشرات'!$H$2:$H$223,"🔴 تحت الهدف",'قاعدة المؤشرات'!$B$2:$B$223,"إدارة المشاريع",'قاعدة المؤشرات'!$L$2:$L$223,"الجودة والمقاولون")</f>
        <v/>
      </c>
      <c r="I37" s="31" t="inlineStr">
        <is>
          <t>نسبة المشاريع الخالية من مخالفات الجودة · عدد مخالفات المقاولين (سنوي) · نسبة التزام المقاولين بمعايير السلامة</t>
        </is>
      </c>
    </row>
    <row r="38" ht="26" customHeight="1">
      <c r="A38" s="15" t="n">
        <v>36</v>
      </c>
      <c r="B38" s="13" t="inlineStr">
        <is>
          <t>إدارة المشاريع</t>
        </is>
      </c>
      <c r="C38" s="27" t="inlineStr">
        <is>
          <t>الالتزام بالخطة</t>
        </is>
      </c>
      <c r="D38" s="15" t="n">
        <v>2</v>
      </c>
      <c r="E38" s="28">
        <f>IFERROR(SUMIFS('قاعدة المؤشرات'!$J$2:$J$223,'قاعدة المؤشرات'!$B$2:$B$223,"إدارة المشاريع",'قاعدة المؤشرات'!$L$2:$L$223,"الالتزام بالخطة")/SUMIFS('قاعدة المؤشرات'!$K$2:$K$223,'قاعدة المؤشرات'!$B$2:$B$223,"إدارة المشاريع",'قاعدة المؤشرات'!$L$2:$L$223,"الالتزام بالخطة"),"")</f>
        <v/>
      </c>
      <c r="F38" s="20">
        <f>IF($E38="","⏳ بانتظار هدف",IF($E38&gt;=1,"✅ محقق",IF($E38&gt;=0.85,"🟡 قريب","🔴 تحت الهدف")))</f>
        <v/>
      </c>
      <c r="G38" s="29">
        <f>IF($E38="","",MINIFS('قاعدة المؤشرات'!$G$2:$G$223,'قاعدة المؤشرات'!$B$2:$B$223,"إدارة المشاريع",'قاعدة المؤشرات'!$L$2:$L$223,"الالتزام بالخطة"))</f>
        <v/>
      </c>
      <c r="H38" s="30">
        <f>COUNTIFS('قاعدة المؤشرات'!$H$2:$H$223,"🔴 تحت الهدف",'قاعدة المؤشرات'!$B$2:$B$223,"إدارة المشاريع",'قاعدة المؤشرات'!$L$2:$L$223,"الالتزام بالخطة")</f>
        <v/>
      </c>
      <c r="I38" s="31" t="inlineStr">
        <is>
          <t>نسبة الالتزام بالميزانية المعتمدة · نسبة الالتزام بالجدول الزمني العام</t>
        </is>
      </c>
    </row>
    <row r="39" ht="26" customHeight="1">
      <c r="A39" s="15" t="n">
        <v>37</v>
      </c>
      <c r="B39" s="13" t="inlineStr">
        <is>
          <t>إدارة المشاريع</t>
        </is>
      </c>
      <c r="C39" s="27" t="inlineStr">
        <is>
          <t>التصاميم وأوامر التغيير</t>
        </is>
      </c>
      <c r="D39" s="15" t="n">
        <v>1</v>
      </c>
      <c r="E39" s="28">
        <f>IFERROR(SUMIFS('قاعدة المؤشرات'!$J$2:$J$223,'قاعدة المؤشرات'!$B$2:$B$223,"إدارة المشاريع",'قاعدة المؤشرات'!$L$2:$L$223,"التصاميم وأوامر التغيير")/SUMIFS('قاعدة المؤشرات'!$K$2:$K$223,'قاعدة المؤشرات'!$B$2:$B$223,"إدارة المشاريع",'قاعدة المؤشرات'!$L$2:$L$223,"التصاميم وأوامر التغيير"),"")</f>
        <v/>
      </c>
      <c r="F39" s="20">
        <f>IF($E39="","⏳ بانتظار هدف",IF($E39&gt;=1,"✅ محقق",IF($E39&gt;=0.85,"🟡 قريب","🔴 تحت الهدف")))</f>
        <v/>
      </c>
      <c r="G39" s="29">
        <f>IF($E39="","",MINIFS('قاعدة المؤشرات'!$G$2:$G$223,'قاعدة المؤشرات'!$B$2:$B$223,"إدارة المشاريع",'قاعدة المؤشرات'!$L$2:$L$223,"التصاميم وأوامر التغيير"))</f>
        <v/>
      </c>
      <c r="H39" s="30">
        <f>COUNTIFS('قاعدة المؤشرات'!$H$2:$H$223,"🔴 تحت الهدف",'قاعدة المؤشرات'!$B$2:$B$223,"إدارة المشاريع",'قاعدة المؤشرات'!$L$2:$L$223,"التصاميم وأوامر التغيير")</f>
        <v/>
      </c>
      <c r="I39" s="31" t="inlineStr">
        <is>
          <t>متوسط مدة إغلاق قائمة الملاحظات النهائية</t>
        </is>
      </c>
    </row>
    <row r="40" ht="26" customHeight="1">
      <c r="A40" s="15" t="n">
        <v>38</v>
      </c>
      <c r="B40" s="13" t="inlineStr">
        <is>
          <t>سلاسل الإمداد</t>
        </is>
      </c>
      <c r="C40" s="27" t="inlineStr">
        <is>
          <t>خدمة العميل والتوفّر</t>
        </is>
      </c>
      <c r="D40" s="15" t="n">
        <v>2</v>
      </c>
      <c r="E40" s="28">
        <f>IFERROR(SUMIFS('قاعدة المؤشرات'!$J$2:$J$223,'قاعدة المؤشرات'!$B$2:$B$223,"سلاسل الإمداد",'قاعدة المؤشرات'!$L$2:$L$223,"خدمة العميل والتوفّر")/SUMIFS('قاعدة المؤشرات'!$K$2:$K$223,'قاعدة المؤشرات'!$B$2:$B$223,"سلاسل الإمداد",'قاعدة المؤشرات'!$L$2:$L$223,"خدمة العميل والتوفّر"),"")</f>
        <v/>
      </c>
      <c r="F40" s="20">
        <f>IF($E40="","⏳ بانتظار هدف",IF($E40&gt;=1,"✅ محقق",IF($E40&gt;=0.85,"🟡 قريب","🔴 تحت الهدف")))</f>
        <v/>
      </c>
      <c r="G40" s="29">
        <f>IF($E40="","",MINIFS('قاعدة المؤشرات'!$G$2:$G$223,'قاعدة المؤشرات'!$B$2:$B$223,"سلاسل الإمداد",'قاعدة المؤشرات'!$L$2:$L$223,"خدمة العميل والتوفّر"))</f>
        <v/>
      </c>
      <c r="H40" s="30">
        <f>COUNTIFS('قاعدة المؤشرات'!$H$2:$H$223,"🔴 تحت الهدف",'قاعدة المؤشرات'!$B$2:$B$223,"سلاسل الإمداد",'قاعدة المؤشرات'!$L$2:$L$223,"خدمة العميل والتوفّر")</f>
        <v/>
      </c>
      <c r="I40" s="31" t="inlineStr">
        <is>
          <t>نسبة تلبية طلبات المحطات من الوقود Fill Rate · عدد انقطاعات التوريد المؤثرة شهريًا</t>
        </is>
      </c>
    </row>
    <row r="41" ht="26" customHeight="1">
      <c r="A41" s="15" t="n">
        <v>39</v>
      </c>
      <c r="B41" s="13" t="inlineStr">
        <is>
          <t>سلاسل الإمداد</t>
        </is>
      </c>
      <c r="C41" s="27" t="inlineStr">
        <is>
          <t>المخزون</t>
        </is>
      </c>
      <c r="D41" s="15" t="n">
        <v>3</v>
      </c>
      <c r="E41" s="28">
        <f>IFERROR(SUMIFS('قاعدة المؤشرات'!$J$2:$J$223,'قاعدة المؤشرات'!$B$2:$B$223,"سلاسل الإمداد",'قاعدة المؤشرات'!$L$2:$L$223,"المخزون")/SUMIFS('قاعدة المؤشرات'!$K$2:$K$223,'قاعدة المؤشرات'!$B$2:$B$223,"سلاسل الإمداد",'قاعدة المؤشرات'!$L$2:$L$223,"المخزون"),"")</f>
        <v/>
      </c>
      <c r="F41" s="20">
        <f>IF($E41="","⏳ بانتظار هدف",IF($E41&gt;=1,"✅ محقق",IF($E41&gt;=0.85,"🟡 قريب","🔴 تحت الهدف")))</f>
        <v/>
      </c>
      <c r="G41" s="29">
        <f>IF($E41="","",MINIFS('قاعدة المؤشرات'!$G$2:$G$223,'قاعدة المؤشرات'!$B$2:$B$223,"سلاسل الإمداد",'قاعدة المؤشرات'!$L$2:$L$223,"المخزون"))</f>
        <v/>
      </c>
      <c r="H41" s="30">
        <f>COUNTIFS('قاعدة المؤشرات'!$H$2:$H$223,"🔴 تحت الهدف",'قاعدة المؤشرات'!$B$2:$B$223,"سلاسل الإمداد",'قاعدة المؤشرات'!$L$2:$L$223,"المخزون")</f>
        <v/>
      </c>
      <c r="I41" s="31" t="inlineStr">
        <is>
          <t>نسبة تغطية مخزون الوقود بالأيام · نسبة توفر المواد المخزنية والحرجة · نسبة المواد الراكدة من المخزون</t>
        </is>
      </c>
    </row>
    <row r="42" ht="26" customHeight="1">
      <c r="A42" s="15" t="n">
        <v>40</v>
      </c>
      <c r="B42" s="13" t="inlineStr">
        <is>
          <t>سلاسل الإمداد</t>
        </is>
      </c>
      <c r="C42" s="27" t="inlineStr">
        <is>
          <t>المشتريات</t>
        </is>
      </c>
      <c r="D42" s="15" t="n">
        <v>2</v>
      </c>
      <c r="E42" s="28">
        <f>IFERROR(SUMIFS('قاعدة المؤشرات'!$J$2:$J$223,'قاعدة المؤشرات'!$B$2:$B$223,"سلاسل الإمداد",'قاعدة المؤشرات'!$L$2:$L$223,"المشتريات")/SUMIFS('قاعدة المؤشرات'!$K$2:$K$223,'قاعدة المؤشرات'!$B$2:$B$223,"سلاسل الإمداد",'قاعدة المؤشرات'!$L$2:$L$223,"المشتريات"),"")</f>
        <v/>
      </c>
      <c r="F42" s="20">
        <f>IF($E42="","⏳ بانتظار هدف",IF($E42&gt;=1,"✅ محقق",IF($E42&gt;=0.85,"🟡 قريب","🔴 تحت الهدف")))</f>
        <v/>
      </c>
      <c r="G42" s="29">
        <f>IF($E42="","",MINIFS('قاعدة المؤشرات'!$G$2:$G$223,'قاعدة المؤشرات'!$B$2:$B$223,"سلاسل الإمداد",'قاعدة المؤشرات'!$L$2:$L$223,"المشتريات"))</f>
        <v/>
      </c>
      <c r="H42" s="30">
        <f>COUNTIFS('قاعدة المؤشرات'!$H$2:$H$223,"🔴 تحت الهدف",'قاعدة المؤشرات'!$B$2:$B$223,"سلاسل الإمداد",'قاعدة المؤشرات'!$L$2:$L$223,"المشتريات")</f>
        <v/>
      </c>
      <c r="I42" s="31" t="inlineStr">
        <is>
          <t>دقة أوامر الشراء ومستنداتها · نسبة إنجاز أوامر الشراء خلال المدة المستهدفة</t>
        </is>
      </c>
    </row>
    <row r="43" ht="26" customHeight="1">
      <c r="A43" s="15" t="n">
        <v>41</v>
      </c>
      <c r="B43" s="13" t="inlineStr">
        <is>
          <t>سلاسل الإمداد</t>
        </is>
      </c>
      <c r="C43" s="27" t="inlineStr">
        <is>
          <t>التوريد والتسليم</t>
        </is>
      </c>
      <c r="D43" s="15" t="n">
        <v>2</v>
      </c>
      <c r="E43" s="28">
        <f>IFERROR(SUMIFS('قاعدة المؤشرات'!$J$2:$J$223,'قاعدة المؤشرات'!$B$2:$B$223,"سلاسل الإمداد",'قاعدة المؤشرات'!$L$2:$L$223,"التوريد والتسليم")/SUMIFS('قاعدة المؤشرات'!$K$2:$K$223,'قاعدة المؤشرات'!$B$2:$B$223,"سلاسل الإمداد",'قاعدة المؤشرات'!$L$2:$L$223,"التوريد والتسليم"),"")</f>
        <v/>
      </c>
      <c r="F43" s="20">
        <f>IF($E43="","⏳ بانتظار هدف",IF($E43&gt;=1,"✅ محقق",IF($E43&gt;=0.85,"🟡 قريب","🔴 تحت الهدف")))</f>
        <v/>
      </c>
      <c r="G43" s="29">
        <f>IF($E43="","",MINIFS('قاعدة المؤشرات'!$G$2:$G$223,'قاعدة المؤشرات'!$B$2:$B$223,"سلاسل الإمداد",'قاعدة المؤشرات'!$L$2:$L$223,"التوريد والتسليم"))</f>
        <v/>
      </c>
      <c r="H43" s="30">
        <f>COUNTIFS('قاعدة المؤشرات'!$H$2:$H$223,"🔴 تحت الهدف",'قاعدة المؤشرات'!$B$2:$B$223,"سلاسل الإمداد",'قاعدة المؤشرات'!$L$2:$L$223,"التوريد والتسليم")</f>
        <v/>
      </c>
      <c r="I43" s="31" t="inlineStr">
        <is>
          <t>نسبة الالتزام بزمن التسليم والتوريد للمحطات والإدارات · نسبة جاهزية الإمداد للمحطات الجديدة وخطط الافتتاح</t>
        </is>
      </c>
    </row>
    <row r="44" ht="26" customHeight="1">
      <c r="A44" s="15" t="n">
        <v>42</v>
      </c>
      <c r="B44" s="13" t="inlineStr">
        <is>
          <t>سلاسل الإمداد</t>
        </is>
      </c>
      <c r="C44" s="27" t="inlineStr">
        <is>
          <t>النقل والأسطول</t>
        </is>
      </c>
      <c r="D44" s="15" t="n">
        <v>1</v>
      </c>
      <c r="E44" s="28">
        <f>IFERROR(SUMIFS('قاعدة المؤشرات'!$J$2:$J$223,'قاعدة المؤشرات'!$B$2:$B$223,"سلاسل الإمداد",'قاعدة المؤشرات'!$L$2:$L$223,"النقل والأسطول")/SUMIFS('قاعدة المؤشرات'!$K$2:$K$223,'قاعدة المؤشرات'!$B$2:$B$223,"سلاسل الإمداد",'قاعدة المؤشرات'!$L$2:$L$223,"النقل والأسطول"),"")</f>
        <v/>
      </c>
      <c r="F44" s="20">
        <f>IF($E44="","⏳ بانتظار هدف",IF($E44&gt;=1,"✅ محقق",IF($E44&gt;=0.85,"🟡 قريب","🔴 تحت الهدف")))</f>
        <v/>
      </c>
      <c r="G44" s="29">
        <f>IF($E44="","",MINIFS('قاعدة المؤشرات'!$G$2:$G$223,'قاعدة المؤشرات'!$B$2:$B$223,"سلاسل الإمداد",'قاعدة المؤشرات'!$L$2:$L$223,"النقل والأسطول"))</f>
        <v/>
      </c>
      <c r="H44" s="30">
        <f>COUNTIFS('قاعدة المؤشرات'!$H$2:$H$223,"🔴 تحت الهدف",'قاعدة المؤشرات'!$B$2:$B$223,"سلاسل الإمداد",'قاعدة المؤشرات'!$L$2:$L$223,"النقل والأسطول")</f>
        <v/>
      </c>
      <c r="I44" s="31" t="inlineStr">
        <is>
          <t>نسبة الالتزام بجدول النقل واستخدام الأسطول بكفاءة</t>
        </is>
      </c>
    </row>
    <row r="45" ht="26" customHeight="1">
      <c r="A45" s="15" t="n">
        <v>43</v>
      </c>
      <c r="B45" s="13" t="inlineStr">
        <is>
          <t>سلاسل الإمداد</t>
        </is>
      </c>
      <c r="C45" s="27" t="inlineStr">
        <is>
          <t>الموردون والرضا</t>
        </is>
      </c>
      <c r="D45" s="15" t="n">
        <v>2</v>
      </c>
      <c r="E45" s="28">
        <f>IFERROR(SUMIFS('قاعدة المؤشرات'!$J$2:$J$223,'قاعدة المؤشرات'!$B$2:$B$223,"سلاسل الإمداد",'قاعدة المؤشرات'!$L$2:$L$223,"الموردون والرضا")/SUMIFS('قاعدة المؤشرات'!$K$2:$K$223,'قاعدة المؤشرات'!$B$2:$B$223,"سلاسل الإمداد",'قاعدة المؤشرات'!$L$2:$L$223,"الموردون والرضا"),"")</f>
        <v/>
      </c>
      <c r="F45" s="20">
        <f>IF($E45="","⏳ بانتظار هدف",IF($E45&gt;=1,"✅ محقق",IF($E45&gt;=0.85,"🟡 قريب","🔴 تحت الهدف")))</f>
        <v/>
      </c>
      <c r="G45" s="29">
        <f>IF($E45="","",MINIFS('قاعدة المؤشرات'!$G$2:$G$223,'قاعدة المؤشرات'!$B$2:$B$223,"سلاسل الإمداد",'قاعدة المؤشرات'!$L$2:$L$223,"الموردون والرضا"))</f>
        <v/>
      </c>
      <c r="H45" s="30">
        <f>COUNTIFS('قاعدة المؤشرات'!$H$2:$H$223,"🔴 تحت الهدف",'قاعدة المؤشرات'!$B$2:$B$223,"سلاسل الإمداد",'قاعدة المؤشرات'!$L$2:$L$223,"الموردون والرضا")</f>
        <v/>
      </c>
      <c r="I45" s="31" t="inlineStr">
        <is>
          <t>كفاءة إدارة الموردين · مستوى رضا الإدارات عن خدمات سلاسل الإمداد</t>
        </is>
      </c>
    </row>
    <row r="46" ht="26" customHeight="1">
      <c r="A46" s="15" t="n">
        <v>44</v>
      </c>
      <c r="B46" s="13" t="inlineStr">
        <is>
          <t>الصيانة والأتمتة</t>
        </is>
      </c>
      <c r="C46" s="27" t="inlineStr">
        <is>
          <t>جاهزية الأصول</t>
        </is>
      </c>
      <c r="D46" s="15" t="n">
        <v>2</v>
      </c>
      <c r="E46" s="28">
        <f>IFERROR(SUMIFS('قاعدة المؤشرات'!$J$2:$J$223,'قاعدة المؤشرات'!$B$2:$B$223,"الصيانة والأتمتة",'قاعدة المؤشرات'!$L$2:$L$223,"جاهزية الأصول")/SUMIFS('قاعدة المؤشرات'!$K$2:$K$223,'قاعدة المؤشرات'!$B$2:$B$223,"الصيانة والأتمتة",'قاعدة المؤشرات'!$L$2:$L$223,"جاهزية الأصول"),"")</f>
        <v/>
      </c>
      <c r="F46" s="20">
        <f>IF($E46="","⏳ بانتظار هدف",IF($E46&gt;=1,"✅ محقق",IF($E46&gt;=0.85,"🟡 قريب","🔴 تحت الهدف")))</f>
        <v/>
      </c>
      <c r="G46" s="29">
        <f>IF($E46="","",MINIFS('قاعدة المؤشرات'!$G$2:$G$223,'قاعدة المؤشرات'!$B$2:$B$223,"الصيانة والأتمتة",'قاعدة المؤشرات'!$L$2:$L$223,"جاهزية الأصول"))</f>
        <v/>
      </c>
      <c r="H46" s="30">
        <f>COUNTIFS('قاعدة المؤشرات'!$H$2:$H$223,"🔴 تحت الهدف",'قاعدة المؤشرات'!$B$2:$B$223,"الصيانة والأتمتة",'قاعدة المؤشرات'!$L$2:$L$223,"جاهزية الأصول")</f>
        <v/>
      </c>
      <c r="I46" s="31" t="inlineStr">
        <is>
          <t>نسبة الجاهزية الفنية للأصول والمعدات (Availability) · نسبة تنفيذ الصيانة الوقائية في موعدها (PM)</t>
        </is>
      </c>
    </row>
    <row r="47" ht="26" customHeight="1">
      <c r="A47" s="15" t="n">
        <v>45</v>
      </c>
      <c r="B47" s="13" t="inlineStr">
        <is>
          <t>الصيانة والأتمتة</t>
        </is>
      </c>
      <c r="C47" s="27" t="inlineStr">
        <is>
          <t>الاستجابة والإصلاح</t>
        </is>
      </c>
      <c r="D47" s="15" t="n">
        <v>4</v>
      </c>
      <c r="E47" s="28">
        <f>IFERROR(SUMIFS('قاعدة المؤشرات'!$J$2:$J$223,'قاعدة المؤشرات'!$B$2:$B$223,"الصيانة والأتمتة",'قاعدة المؤشرات'!$L$2:$L$223,"الاستجابة والإصلاح")/SUMIFS('قاعدة المؤشرات'!$K$2:$K$223,'قاعدة المؤشرات'!$B$2:$B$223,"الصيانة والأتمتة",'قاعدة المؤشرات'!$L$2:$L$223,"الاستجابة والإصلاح"),"")</f>
        <v/>
      </c>
      <c r="F47" s="20">
        <f>IF($E47="","⏳ بانتظار هدف",IF($E47&gt;=1,"✅ محقق",IF($E47&gt;=0.85,"🟡 قريب","🔴 تحت الهدف")))</f>
        <v/>
      </c>
      <c r="G47" s="29">
        <f>IF($E47="","",MINIFS('قاعدة المؤشرات'!$G$2:$G$223,'قاعدة المؤشرات'!$B$2:$B$223,"الصيانة والأتمتة",'قاعدة المؤشرات'!$L$2:$L$223,"الاستجابة والإصلاح"))</f>
        <v/>
      </c>
      <c r="H47" s="30">
        <f>COUNTIFS('قاعدة المؤشرات'!$H$2:$H$223,"🔴 تحت الهدف",'قاعدة المؤشرات'!$B$2:$B$223,"الصيانة والأتمتة",'قاعدة المؤشرات'!$L$2:$L$223,"الاستجابة والإصلاح")</f>
        <v/>
      </c>
      <c r="I47" s="31" t="inlineStr">
        <is>
          <t>نسبة إغلاق بلاغات الصيانة ضمن اتفاقية الخدمة (SLA) · متوسط زمن الاستجابة للبلاغات الطارئة · متوسط زمن إصلاح الأعطال (MTTR) · معدل تكرار الأعطال</t>
        </is>
      </c>
    </row>
    <row r="48" ht="26" customHeight="1">
      <c r="A48" s="15" t="n">
        <v>46</v>
      </c>
      <c r="B48" s="13" t="inlineStr">
        <is>
          <t>الصيانة والأتمتة</t>
        </is>
      </c>
      <c r="C48" s="27" t="inlineStr">
        <is>
          <t>استمرارية التشغيل</t>
        </is>
      </c>
      <c r="D48" s="15" t="n">
        <v>1</v>
      </c>
      <c r="E48" s="28">
        <f>IFERROR(SUMIFS('قاعدة المؤشرات'!$J$2:$J$223,'قاعدة المؤشرات'!$B$2:$B$223,"الصيانة والأتمتة",'قاعدة المؤشرات'!$L$2:$L$223,"استمرارية التشغيل")/SUMIFS('قاعدة المؤشرات'!$K$2:$K$223,'قاعدة المؤشرات'!$B$2:$B$223,"الصيانة والأتمتة",'قاعدة المؤشرات'!$L$2:$L$223,"استمرارية التشغيل"),"")</f>
        <v/>
      </c>
      <c r="F48" s="20">
        <f>IF($E48="","⏳ بانتظار هدف",IF($E48&gt;=1,"✅ محقق",IF($E48&gt;=0.85,"🟡 قريب","🔴 تحت الهدف")))</f>
        <v/>
      </c>
      <c r="G48" s="29">
        <f>IF($E48="","",MINIFS('قاعدة المؤشرات'!$G$2:$G$223,'قاعدة المؤشرات'!$B$2:$B$223,"الصيانة والأتمتة",'قاعدة المؤشرات'!$L$2:$L$223,"استمرارية التشغيل"))</f>
        <v/>
      </c>
      <c r="H48" s="30">
        <f>COUNTIFS('قاعدة المؤشرات'!$H$2:$H$223,"🔴 تحت الهدف",'قاعدة المؤشرات'!$B$2:$B$223,"الصيانة والأتمتة",'قاعدة المؤشرات'!$L$2:$L$223,"استمرارية التشغيل")</f>
        <v/>
      </c>
      <c r="I48" s="31" t="inlineStr">
        <is>
          <t>نسبة استمرارية تشغيل المحطات دون توقف فني</t>
        </is>
      </c>
    </row>
    <row r="49" ht="26" customHeight="1">
      <c r="A49" s="15" t="n">
        <v>47</v>
      </c>
      <c r="B49" s="13" t="inlineStr">
        <is>
          <t>الصيانة والأتمتة</t>
        </is>
      </c>
      <c r="C49" s="27" t="inlineStr">
        <is>
          <t>موثوقية الأتمتة</t>
        </is>
      </c>
      <c r="D49" s="15" t="n">
        <v>2</v>
      </c>
      <c r="E49" s="28">
        <f>IFERROR(SUMIFS('قاعدة المؤشرات'!$J$2:$J$223,'قاعدة المؤشرات'!$B$2:$B$223,"الصيانة والأتمتة",'قاعدة المؤشرات'!$L$2:$L$223,"موثوقية الأتمتة")/SUMIFS('قاعدة المؤشرات'!$K$2:$K$223,'قاعدة المؤشرات'!$B$2:$B$223,"الصيانة والأتمتة",'قاعدة المؤشرات'!$L$2:$L$223,"موثوقية الأتمتة"),"")</f>
        <v/>
      </c>
      <c r="F49" s="20">
        <f>IF($E49="","⏳ بانتظار هدف",IF($E49&gt;=1,"✅ محقق",IF($E49&gt;=0.85,"🟡 قريب","🔴 تحت الهدف")))</f>
        <v/>
      </c>
      <c r="G49" s="29">
        <f>IF($E49="","",MINIFS('قاعدة المؤشرات'!$G$2:$G$223,'قاعدة المؤشرات'!$B$2:$B$223,"الصيانة والأتمتة",'قاعدة المؤشرات'!$L$2:$L$223,"موثوقية الأتمتة"))</f>
        <v/>
      </c>
      <c r="H49" s="30">
        <f>COUNTIFS('قاعدة المؤشرات'!$H$2:$H$223,"🔴 تحت الهدف",'قاعدة المؤشرات'!$B$2:$B$223,"الصيانة والأتمتة",'قاعدة المؤشرات'!$L$2:$L$223,"موثوقية الأتمتة")</f>
        <v/>
      </c>
      <c r="I49" s="31" t="inlineStr">
        <is>
          <t>نسبة التشغيل السليم لأنظمة الأتمتة (Uptime) · نسبة استعادة أنظمة الأتمتة ضمن الزمن المحدد</t>
        </is>
      </c>
    </row>
    <row r="50" ht="26" customHeight="1">
      <c r="A50" s="15" t="n">
        <v>48</v>
      </c>
      <c r="B50" s="13" t="inlineStr">
        <is>
          <t>الصيانة والأتمتة</t>
        </is>
      </c>
      <c r="C50" s="27" t="inlineStr">
        <is>
          <t>كفاءة التكاليف</t>
        </is>
      </c>
      <c r="D50" s="15" t="n">
        <v>1</v>
      </c>
      <c r="E50" s="28">
        <f>IFERROR(SUMIFS('قاعدة المؤشرات'!$J$2:$J$223,'قاعدة المؤشرات'!$B$2:$B$223,"الصيانة والأتمتة",'قاعدة المؤشرات'!$L$2:$L$223,"كفاءة التكاليف")/SUMIFS('قاعدة المؤشرات'!$K$2:$K$223,'قاعدة المؤشرات'!$B$2:$B$223,"الصيانة والأتمتة",'قاعدة المؤشرات'!$L$2:$L$223,"كفاءة التكاليف"),"")</f>
        <v/>
      </c>
      <c r="F50" s="20">
        <f>IF($E50="","⏳ بانتظار هدف",IF($E50&gt;=1,"✅ محقق",IF($E50&gt;=0.85,"🟡 قريب","🔴 تحت الهدف")))</f>
        <v/>
      </c>
      <c r="G50" s="29">
        <f>IF($E50="","",MINIFS('قاعدة المؤشرات'!$G$2:$G$223,'قاعدة المؤشرات'!$B$2:$B$223,"الصيانة والأتمتة",'قاعدة المؤشرات'!$L$2:$L$223,"كفاءة التكاليف"))</f>
        <v/>
      </c>
      <c r="H50" s="30">
        <f>COUNTIFS('قاعدة المؤشرات'!$H$2:$H$223,"🔴 تحت الهدف",'قاعدة المؤشرات'!$B$2:$B$223,"الصيانة والأتمتة",'قاعدة المؤشرات'!$L$2:$L$223,"كفاءة التكاليف")</f>
        <v/>
      </c>
      <c r="I50" s="31" t="inlineStr">
        <is>
          <t>كفاءة تكاليف الصيانة (الالتزام بالميزانية)</t>
        </is>
      </c>
    </row>
    <row r="51" ht="26" customHeight="1">
      <c r="A51" s="15" t="n">
        <v>49</v>
      </c>
      <c r="B51" s="13" t="inlineStr">
        <is>
          <t>التقنية الرقمية</t>
        </is>
      </c>
      <c r="C51" s="27" t="inlineStr">
        <is>
          <t>توفّر واستقرار الأنظمة</t>
        </is>
      </c>
      <c r="D51" s="15" t="n">
        <v>3</v>
      </c>
      <c r="E51" s="28">
        <f>IFERROR(SUMIFS('قاعدة المؤشرات'!$J$2:$J$223,'قاعدة المؤشرات'!$B$2:$B$223,"التقنية الرقمية",'قاعدة المؤشرات'!$L$2:$L$223,"توفّر واستقرار الأنظمة")/SUMIFS('قاعدة المؤشرات'!$K$2:$K$223,'قاعدة المؤشرات'!$B$2:$B$223,"التقنية الرقمية",'قاعدة المؤشرات'!$L$2:$L$223,"توفّر واستقرار الأنظمة"),"")</f>
        <v/>
      </c>
      <c r="F51" s="20">
        <f>IF($E51="","⏳ بانتظار هدف",IF($E51&gt;=1,"✅ محقق",IF($E51&gt;=0.85,"🟡 قريب","🔴 تحت الهدف")))</f>
        <v/>
      </c>
      <c r="G51" s="29">
        <f>IF($E51="","",MINIFS('قاعدة المؤشرات'!$G$2:$G$223,'قاعدة المؤشرات'!$B$2:$B$223,"التقنية الرقمية",'قاعدة المؤشرات'!$L$2:$L$223,"توفّر واستقرار الأنظمة"))</f>
        <v/>
      </c>
      <c r="H51" s="30">
        <f>COUNTIFS('قاعدة المؤشرات'!$H$2:$H$223,"🔴 تحت الهدف",'قاعدة المؤشرات'!$B$2:$B$223,"التقنية الرقمية",'قاعدة المؤشرات'!$L$2:$L$223,"توفّر واستقرار الأنظمة")</f>
        <v/>
      </c>
      <c r="I51" s="31" t="inlineStr">
        <is>
          <t>نسبة توفر الأنظمة والخدمات التقنية المركزية · نسبة معالجة الأعطال وطلبات الدعم الفني ضمن المدة المستهدفة SLA · نسبة استقرار التشغيل التقني للمحطات</t>
        </is>
      </c>
    </row>
    <row r="52" ht="26" customHeight="1">
      <c r="A52" s="15" t="n">
        <v>50</v>
      </c>
      <c r="B52" s="13" t="inlineStr">
        <is>
          <t>التقنية الرقمية</t>
        </is>
      </c>
      <c r="C52" s="27" t="inlineStr">
        <is>
          <t>المشاريع التقنية</t>
        </is>
      </c>
      <c r="D52" s="15" t="n">
        <v>2</v>
      </c>
      <c r="E52" s="28">
        <f>IFERROR(SUMIFS('قاعدة المؤشرات'!$J$2:$J$223,'قاعدة المؤشرات'!$B$2:$B$223,"التقنية الرقمية",'قاعدة المؤشرات'!$L$2:$L$223,"المشاريع التقنية")/SUMIFS('قاعدة المؤشرات'!$K$2:$K$223,'قاعدة المؤشرات'!$B$2:$B$223,"التقنية الرقمية",'قاعدة المؤشرات'!$L$2:$L$223,"المشاريع التقنية"),"")</f>
        <v/>
      </c>
      <c r="F52" s="20">
        <f>IF($E52="","⏳ بانتظار هدف",IF($E52&gt;=1,"✅ محقق",IF($E52&gt;=0.85,"🟡 قريب","🔴 تحت الهدف")))</f>
        <v/>
      </c>
      <c r="G52" s="29">
        <f>IF($E52="","",MINIFS('قاعدة المؤشرات'!$G$2:$G$223,'قاعدة المؤشرات'!$B$2:$B$223,"التقنية الرقمية",'قاعدة المؤشرات'!$L$2:$L$223,"المشاريع التقنية"))</f>
        <v/>
      </c>
      <c r="H52" s="30">
        <f>COUNTIFS('قاعدة المؤشرات'!$H$2:$H$223,"🔴 تحت الهدف",'قاعدة المؤشرات'!$B$2:$B$223,"التقنية الرقمية",'قاعدة المؤشرات'!$L$2:$L$223,"المشاريع التقنية")</f>
        <v/>
      </c>
      <c r="I52" s="31" t="inlineStr">
        <is>
          <t>نسبة إنجاز مشاريع التحول الرقمي والمشاريع التقنية حسب الخطة · نسبة تسليم المشاريع التقنية ضمن الوقت والميزانية ونطاق العمل المعتمد</t>
        </is>
      </c>
    </row>
    <row r="53" ht="26" customHeight="1">
      <c r="A53" s="15" t="n">
        <v>51</v>
      </c>
      <c r="B53" s="13" t="inlineStr">
        <is>
          <t>التقنية الرقمية</t>
        </is>
      </c>
      <c r="C53" s="27" t="inlineStr">
        <is>
          <t>الأمن والصلاحيات</t>
        </is>
      </c>
      <c r="D53" s="15" t="n">
        <v>3</v>
      </c>
      <c r="E53" s="28">
        <f>IFERROR(SUMIFS('قاعدة المؤشرات'!$J$2:$J$223,'قاعدة المؤشرات'!$B$2:$B$223,"التقنية الرقمية",'قاعدة المؤشرات'!$L$2:$L$223,"الأمن والصلاحيات")/SUMIFS('قاعدة المؤشرات'!$K$2:$K$223,'قاعدة المؤشرات'!$B$2:$B$223,"التقنية الرقمية",'قاعدة المؤشرات'!$L$2:$L$223,"الأمن والصلاحيات"),"")</f>
        <v/>
      </c>
      <c r="F53" s="20">
        <f>IF($E53="","⏳ بانتظار هدف",IF($E53&gt;=1,"✅ محقق",IF($E53&gt;=0.85,"🟡 قريب","🔴 تحت الهدف")))</f>
        <v/>
      </c>
      <c r="G53" s="29">
        <f>IF($E53="","",MINIFS('قاعدة المؤشرات'!$G$2:$G$223,'قاعدة المؤشرات'!$B$2:$B$223,"التقنية الرقمية",'قاعدة المؤشرات'!$L$2:$L$223,"الأمن والصلاحيات"))</f>
        <v/>
      </c>
      <c r="H53" s="30">
        <f>COUNTIFS('قاعدة المؤشرات'!$H$2:$H$223,"🔴 تحت الهدف",'قاعدة المؤشرات'!$B$2:$B$223,"التقنية الرقمية",'قاعدة المؤشرات'!$L$2:$L$223,"الأمن والصلاحيات")</f>
        <v/>
      </c>
      <c r="I53" s="31" t="inlineStr">
        <is>
          <t>نسبة الالتزام بإدارة صلاحيات المستخدمين والحسابات · نسبة نجاح النسخ الاحتياطي واختبارات استعادة البيانات · نسبة الامتثال لضوابط الأمن السيبراني الأساسية</t>
        </is>
      </c>
    </row>
    <row r="54" ht="26" customHeight="1">
      <c r="A54" s="15" t="n">
        <v>52</v>
      </c>
      <c r="B54" s="13" t="inlineStr">
        <is>
          <t>التقنية الرقمية</t>
        </is>
      </c>
      <c r="C54" s="27" t="inlineStr">
        <is>
          <t>الحوكمة والبيانات</t>
        </is>
      </c>
      <c r="D54" s="15" t="n">
        <v>2</v>
      </c>
      <c r="E54" s="28">
        <f>IFERROR(SUMIFS('قاعدة المؤشرات'!$J$2:$J$223,'قاعدة المؤشرات'!$B$2:$B$223,"التقنية الرقمية",'قاعدة المؤشرات'!$L$2:$L$223,"الحوكمة والبيانات")/SUMIFS('قاعدة المؤشرات'!$K$2:$K$223,'قاعدة المؤشرات'!$B$2:$B$223,"التقنية الرقمية",'قاعدة المؤشرات'!$L$2:$L$223,"الحوكمة والبيانات"),"")</f>
        <v/>
      </c>
      <c r="F54" s="20">
        <f>IF($E54="","⏳ بانتظار هدف",IF($E54&gt;=1,"✅ محقق",IF($E54&gt;=0.85,"🟡 قريب","🔴 تحت الهدف")))</f>
        <v/>
      </c>
      <c r="G54" s="29">
        <f>IF($E54="","",MINIFS('قاعدة المؤشرات'!$G$2:$G$223,'قاعدة المؤشرات'!$B$2:$B$223,"التقنية الرقمية",'قاعدة المؤشرات'!$L$2:$L$223,"الحوكمة والبيانات"))</f>
        <v/>
      </c>
      <c r="H54" s="30">
        <f>COUNTIFS('قاعدة المؤشرات'!$H$2:$H$223,"🔴 تحت الهدف",'قاعدة المؤشرات'!$B$2:$B$223,"التقنية الرقمية",'قاعدة المؤشرات'!$L$2:$L$223,"الحوكمة والبيانات")</f>
        <v/>
      </c>
      <c r="I54" s="31" t="inlineStr">
        <is>
          <t>نسبة دقة وتكامل البيانات بين الأنظمة الرقمية · نسبة الالتزام بتحديث وتوثيق أصول تقنية المعلومات والتراخيص</t>
        </is>
      </c>
    </row>
    <row r="55" ht="26" customHeight="1">
      <c r="A55" s="15" t="n">
        <v>53</v>
      </c>
      <c r="B55" s="13" t="inlineStr">
        <is>
          <t>التقنية الرقمية</t>
        </is>
      </c>
      <c r="C55" s="27" t="inlineStr">
        <is>
          <t>الصيانة والرضا</t>
        </is>
      </c>
      <c r="D55" s="15" t="n">
        <v>2</v>
      </c>
      <c r="E55" s="28">
        <f>IFERROR(SUMIFS('قاعدة المؤشرات'!$J$2:$J$223,'قاعدة المؤشرات'!$B$2:$B$223,"التقنية الرقمية",'قاعدة المؤشرات'!$L$2:$L$223,"الصيانة والرضا")/SUMIFS('قاعدة المؤشرات'!$K$2:$K$223,'قاعدة المؤشرات'!$B$2:$B$223,"التقنية الرقمية",'قاعدة المؤشرات'!$L$2:$L$223,"الصيانة والرضا"),"")</f>
        <v/>
      </c>
      <c r="F55" s="20">
        <f>IF($E55="","⏳ بانتظار هدف",IF($E55&gt;=1,"✅ محقق",IF($E55&gt;=0.85,"🟡 قريب","🔴 تحت الهدف")))</f>
        <v/>
      </c>
      <c r="G55" s="29">
        <f>IF($E55="","",MINIFS('قاعدة المؤشرات'!$G$2:$G$223,'قاعدة المؤشرات'!$B$2:$B$223,"التقنية الرقمية",'قاعدة المؤشرات'!$L$2:$L$223,"الصيانة والرضا"))</f>
        <v/>
      </c>
      <c r="H55" s="30">
        <f>COUNTIFS('قاعدة المؤشرات'!$H$2:$H$223,"🔴 تحت الهدف",'قاعدة المؤشرات'!$B$2:$B$223,"التقنية الرقمية",'قاعدة المؤشرات'!$L$2:$L$223,"الصيانة والرضا")</f>
        <v/>
      </c>
      <c r="I55" s="31" t="inlineStr">
        <is>
          <t>نسبة تنفيذ الصيانة الوقائية للأجهزة والبنية التقنية · مستوى رضا الإدارات والمستخدمين عن خدمات تقنية المعلومات</t>
        </is>
      </c>
    </row>
    <row r="56" ht="26" customHeight="1">
      <c r="A56" s="15" t="n">
        <v>54</v>
      </c>
      <c r="B56" s="13" t="inlineStr">
        <is>
          <t>الموارد البشرية</t>
        </is>
      </c>
      <c r="C56" s="27" t="inlineStr">
        <is>
          <t>الامتثال والالتزام</t>
        </is>
      </c>
      <c r="D56" s="15" t="n">
        <v>3</v>
      </c>
      <c r="E56" s="28">
        <f>IFERROR(SUMIFS('قاعدة المؤشرات'!$J$2:$J$223,'قاعدة المؤشرات'!$B$2:$B$223,"الموارد البشرية",'قاعدة المؤشرات'!$L$2:$L$223,"الامتثال والالتزام")/SUMIFS('قاعدة المؤشرات'!$K$2:$K$223,'قاعدة المؤشرات'!$B$2:$B$223,"الموارد البشرية",'قاعدة المؤشرات'!$L$2:$L$223,"الامتثال والالتزام"),"")</f>
        <v/>
      </c>
      <c r="F56" s="20">
        <f>IF($E56="","⏳ بانتظار هدف",IF($E56&gt;=1,"✅ محقق",IF($E56&gt;=0.85,"🟡 قريب","🔴 تحت الهدف")))</f>
        <v/>
      </c>
      <c r="G56" s="29">
        <f>IF($E56="","",MINIFS('قاعدة المؤشرات'!$G$2:$G$223,'قاعدة المؤشرات'!$B$2:$B$223,"الموارد البشرية",'قاعدة المؤشرات'!$L$2:$L$223,"الامتثال والالتزام"))</f>
        <v/>
      </c>
      <c r="H56" s="30">
        <f>COUNTIFS('قاعدة المؤشرات'!$H$2:$H$223,"🔴 تحت الهدف",'قاعدة المؤشرات'!$B$2:$B$223,"الموارد البشرية",'قاعدة المؤشرات'!$L$2:$L$223,"الامتثال والالتزام")</f>
        <v/>
      </c>
      <c r="I56" s="31" t="inlineStr">
        <is>
          <t>نسبة الالتزام بالتوطين والامتثال الحكومي دون مخالفات · نسبة الالتزام بنظام العمل واللوائح وخطة القوى العاملة المعتمدة · نسبة الالتزام بتجديد الوثائق واكتمال ملفات الموظفين</t>
        </is>
      </c>
    </row>
    <row r="57" ht="26" customHeight="1">
      <c r="A57" s="15" t="n">
        <v>55</v>
      </c>
      <c r="B57" s="13" t="inlineStr">
        <is>
          <t>الموارد البشرية</t>
        </is>
      </c>
      <c r="C57" s="27" t="inlineStr">
        <is>
          <t>خدمات الموظفين</t>
        </is>
      </c>
      <c r="D57" s="15" t="n">
        <v>1</v>
      </c>
      <c r="E57" s="28">
        <f>IFERROR(SUMIFS('قاعدة المؤشرات'!$J$2:$J$223,'قاعدة المؤشرات'!$B$2:$B$223,"الموارد البشرية",'قاعدة المؤشرات'!$L$2:$L$223,"خدمات الموظفين")/SUMIFS('قاعدة المؤشرات'!$K$2:$K$223,'قاعدة المؤشرات'!$B$2:$B$223,"الموارد البشرية",'قاعدة المؤشرات'!$L$2:$L$223,"خدمات الموظفين"),"")</f>
        <v/>
      </c>
      <c r="F57" s="20">
        <f>IF($E57="","⏳ بانتظار هدف",IF($E57&gt;=1,"✅ محقق",IF($E57&gt;=0.85,"🟡 قريب","🔴 تحت الهدف")))</f>
        <v/>
      </c>
      <c r="G57" s="29">
        <f>IF($E57="","",MINIFS('قاعدة المؤشرات'!$G$2:$G$223,'قاعدة المؤشرات'!$B$2:$B$223,"الموارد البشرية",'قاعدة المؤشرات'!$L$2:$L$223,"خدمات الموظفين"))</f>
        <v/>
      </c>
      <c r="H57" s="30">
        <f>COUNTIFS('قاعدة المؤشرات'!$H$2:$H$223,"🔴 تحت الهدف",'قاعدة المؤشرات'!$B$2:$B$223,"الموارد البشرية",'قاعدة المؤشرات'!$L$2:$L$223,"خدمات الموظفين")</f>
        <v/>
      </c>
      <c r="I57" s="31" t="inlineStr">
        <is>
          <t>نسبة إنجاز معاملات شؤون الموظفين ضمن المدة المستهدفة SLA</t>
        </is>
      </c>
    </row>
    <row r="58" ht="26" customHeight="1">
      <c r="A58" s="15" t="n">
        <v>56</v>
      </c>
      <c r="B58" s="13" t="inlineStr">
        <is>
          <t>الموارد البشرية</t>
        </is>
      </c>
      <c r="C58" s="27" t="inlineStr">
        <is>
          <t>التشغيل والتغطية</t>
        </is>
      </c>
      <c r="D58" s="15" t="n">
        <v>1</v>
      </c>
      <c r="E58" s="28">
        <f>IFERROR(SUMIFS('قاعدة المؤشرات'!$J$2:$J$223,'قاعدة المؤشرات'!$B$2:$B$223,"الموارد البشرية",'قاعدة المؤشرات'!$L$2:$L$223,"التشغيل والتغطية")/SUMIFS('قاعدة المؤشرات'!$K$2:$K$223,'قاعدة المؤشرات'!$B$2:$B$223,"الموارد البشرية",'قاعدة المؤشرات'!$L$2:$L$223,"التشغيل والتغطية"),"")</f>
        <v/>
      </c>
      <c r="F58" s="20">
        <f>IF($E58="","⏳ بانتظار هدف",IF($E58&gt;=1,"✅ محقق",IF($E58&gt;=0.85,"🟡 قريب","🔴 تحت الهدف")))</f>
        <v/>
      </c>
      <c r="G58" s="29">
        <f>IF($E58="","",MINIFS('قاعدة المؤشرات'!$G$2:$G$223,'قاعدة المؤشرات'!$B$2:$B$223,"الموارد البشرية",'قاعدة المؤشرات'!$L$2:$L$223,"التشغيل والتغطية"))</f>
        <v/>
      </c>
      <c r="H58" s="30">
        <f>COUNTIFS('قاعدة المؤشرات'!$H$2:$H$223,"🔴 تحت الهدف",'قاعدة المؤشرات'!$B$2:$B$223,"الموارد البشرية",'قاعدة المؤشرات'!$L$2:$L$223,"التشغيل والتغطية")</f>
        <v/>
      </c>
      <c r="I58" s="31" t="inlineStr">
        <is>
          <t>نسبة جاهزية وتغطية عمالة المحطات حسب خطة التشغيل والافتتاحات</t>
        </is>
      </c>
    </row>
    <row r="59" ht="26" customHeight="1">
      <c r="A59" s="15" t="n">
        <v>57</v>
      </c>
      <c r="B59" s="13" t="inlineStr">
        <is>
          <t>الموارد البشرية</t>
        </is>
      </c>
      <c r="C59" s="27" t="inlineStr">
        <is>
          <t>الاستقطاب</t>
        </is>
      </c>
      <c r="D59" s="15" t="n">
        <v>2</v>
      </c>
      <c r="E59" s="28">
        <f>IFERROR(SUMIFS('قاعدة المؤشرات'!$J$2:$J$223,'قاعدة المؤشرات'!$B$2:$B$223,"الموارد البشرية",'قاعدة المؤشرات'!$L$2:$L$223,"الاستقطاب")/SUMIFS('قاعدة المؤشرات'!$K$2:$K$223,'قاعدة المؤشرات'!$B$2:$B$223,"الموارد البشرية",'قاعدة المؤشرات'!$L$2:$L$223,"الاستقطاب"),"")</f>
        <v/>
      </c>
      <c r="F59" s="20">
        <f>IF($E59="","⏳ بانتظار هدف",IF($E59&gt;=1,"✅ محقق",IF($E59&gt;=0.85,"🟡 قريب","🔴 تحت الهدف")))</f>
        <v/>
      </c>
      <c r="G59" s="29">
        <f>IF($E59="","",MINIFS('قاعدة المؤشرات'!$G$2:$G$223,'قاعدة المؤشرات'!$B$2:$B$223,"الموارد البشرية",'قاعدة المؤشرات'!$L$2:$L$223,"الاستقطاب"))</f>
        <v/>
      </c>
      <c r="H59" s="30">
        <f>COUNTIFS('قاعدة المؤشرات'!$H$2:$H$223,"🔴 تحت الهدف",'قاعدة المؤشرات'!$B$2:$B$223,"الموارد البشرية",'قاعدة المؤشرات'!$L$2:$L$223,"الاستقطاب")</f>
        <v/>
      </c>
      <c r="I59" s="31" t="inlineStr">
        <is>
          <t>متوسط مدة إغلاق الشواغر المعتمدة · نسبة نجاح التعيينات الجديدة خلال فترة التجربة</t>
        </is>
      </c>
    </row>
    <row r="60" ht="26" customHeight="1">
      <c r="A60" s="15" t="n">
        <v>58</v>
      </c>
      <c r="B60" s="13" t="inlineStr">
        <is>
          <t>الموارد البشرية</t>
        </is>
      </c>
      <c r="C60" s="27" t="inlineStr">
        <is>
          <t>التكلفة والرواتب</t>
        </is>
      </c>
      <c r="D60" s="15" t="n">
        <v>2</v>
      </c>
      <c r="E60" s="28">
        <f>IFERROR(SUMIFS('قاعدة المؤشرات'!$J$2:$J$223,'قاعدة المؤشرات'!$B$2:$B$223,"الموارد البشرية",'قاعدة المؤشرات'!$L$2:$L$223,"التكلفة والرواتب")/SUMIFS('قاعدة المؤشرات'!$K$2:$K$223,'قاعدة المؤشرات'!$B$2:$B$223,"الموارد البشرية",'قاعدة المؤشرات'!$L$2:$L$223,"التكلفة والرواتب"),"")</f>
        <v/>
      </c>
      <c r="F60" s="20">
        <f>IF($E60="","⏳ بانتظار هدف",IF($E60&gt;=1,"✅ محقق",IF($E60&gt;=0.85,"🟡 قريب","🔴 تحت الهدف")))</f>
        <v/>
      </c>
      <c r="G60" s="29">
        <f>IF($E60="","",MINIFS('قاعدة المؤشرات'!$G$2:$G$223,'قاعدة المؤشرات'!$B$2:$B$223,"الموارد البشرية",'قاعدة المؤشرات'!$L$2:$L$223,"التكلفة والرواتب"))</f>
        <v/>
      </c>
      <c r="H60" s="30">
        <f>COUNTIFS('قاعدة المؤشرات'!$H$2:$H$223,"🔴 تحت الهدف",'قاعدة المؤشرات'!$B$2:$B$223,"الموارد البشرية",'قاعدة المؤشرات'!$L$2:$L$223,"التكلفة والرواتب")</f>
        <v/>
      </c>
      <c r="I60" s="31" t="inlineStr">
        <is>
          <t>نسبة كفاءة تكلفة القوى العاملة · نسبة دقة الرواتب والمستحقات الشهرية</t>
        </is>
      </c>
    </row>
    <row r="61" ht="26" customHeight="1">
      <c r="A61" s="15" t="n">
        <v>59</v>
      </c>
      <c r="B61" s="13" t="inlineStr">
        <is>
          <t>الموارد البشرية</t>
        </is>
      </c>
      <c r="C61" s="27" t="inlineStr">
        <is>
          <t>الاستقرار والتطوير</t>
        </is>
      </c>
      <c r="D61" s="15" t="n">
        <v>3</v>
      </c>
      <c r="E61" s="28">
        <f>IFERROR(SUMIFS('قاعدة المؤشرات'!$J$2:$J$223,'قاعدة المؤشرات'!$B$2:$B$223,"الموارد البشرية",'قاعدة المؤشرات'!$L$2:$L$223,"الاستقرار والتطوير")/SUMIFS('قاعدة المؤشرات'!$K$2:$K$223,'قاعدة المؤشرات'!$B$2:$B$223,"الموارد البشرية",'قاعدة المؤشرات'!$L$2:$L$223,"الاستقرار والتطوير"),"")</f>
        <v/>
      </c>
      <c r="F61" s="20">
        <f>IF($E61="","⏳ بانتظار هدف",IF($E61&gt;=1,"✅ محقق",IF($E61&gt;=0.85,"🟡 قريب","🔴 تحت الهدف")))</f>
        <v/>
      </c>
      <c r="G61" s="29">
        <f>IF($E61="","",MINIFS('قاعدة المؤشرات'!$G$2:$G$223,'قاعدة المؤشرات'!$B$2:$B$223,"الموارد البشرية",'قاعدة المؤشرات'!$L$2:$L$223,"الاستقرار والتطوير"))</f>
        <v/>
      </c>
      <c r="H61" s="30">
        <f>COUNTIFS('قاعدة المؤشرات'!$H$2:$H$223,"🔴 تحت الهدف",'قاعدة المؤشرات'!$B$2:$B$223,"الموارد البشرية",'قاعدة المؤشرات'!$L$2:$L$223,"الاستقرار والتطوير")</f>
        <v/>
      </c>
      <c r="I61" s="31" t="inlineStr">
        <is>
          <t>معدل دوران الموظفين · نسبة تنفيذ برامج التدريب والتأهيل المعتمدة · نسبة إغلاق تقييمات الأداء وخطط الإحلال للوظائف الحرجة</t>
        </is>
      </c>
    </row>
    <row r="62" ht="26" customHeight="1">
      <c r="A62" s="15" t="n">
        <v>60</v>
      </c>
      <c r="B62" s="13" t="inlineStr">
        <is>
          <t>التسويق</t>
        </is>
      </c>
      <c r="C62" s="27" t="inlineStr">
        <is>
          <t>الإدارة العامة</t>
        </is>
      </c>
      <c r="D62" s="15" t="n">
        <v>2</v>
      </c>
      <c r="E62" s="28">
        <f>IFERROR(SUMIFS('قاعدة المؤشرات'!$J$2:$J$223,'قاعدة المؤشرات'!$B$2:$B$223,"التسويق",'قاعدة المؤشرات'!$L$2:$L$223,"الإدارة العامة")/SUMIFS('قاعدة المؤشرات'!$K$2:$K$223,'قاعدة المؤشرات'!$B$2:$B$223,"التسويق",'قاعدة المؤشرات'!$L$2:$L$223,"الإدارة العامة"),"")</f>
        <v/>
      </c>
      <c r="F62" s="20">
        <f>IF($E62="","⏳ بانتظار هدف",IF($E62&gt;=1,"✅ محقق",IF($E62&gt;=0.85,"🟡 قريب","🔴 تحت الهدف")))</f>
        <v/>
      </c>
      <c r="G62" s="29">
        <f>IF($E62="","",MINIFS('قاعدة المؤشرات'!$G$2:$G$223,'قاعدة المؤشرات'!$B$2:$B$223,"التسويق",'قاعدة المؤشرات'!$L$2:$L$223,"الإدارة العامة"))</f>
        <v/>
      </c>
      <c r="H62" s="30">
        <f>COUNTIFS('قاعدة المؤشرات'!$H$2:$H$223,"🔴 تحت الهدف",'قاعدة المؤشرات'!$B$2:$B$223,"التسويق",'قاعدة المؤشرات'!$L$2:$L$223,"الإدارة العامة")</f>
        <v/>
      </c>
      <c r="I62" s="31" t="inlineStr">
        <is>
          <t>الوصول الكلي (Total Reach) · عملاء تجاريون جدد</t>
        </is>
      </c>
    </row>
    <row r="63" ht="26" customHeight="1">
      <c r="A63" s="15" t="n">
        <v>61</v>
      </c>
      <c r="B63" s="13" t="inlineStr">
        <is>
          <t>التسويق</t>
        </is>
      </c>
      <c r="C63" s="27" t="inlineStr">
        <is>
          <t>الفريق الإبداعي</t>
        </is>
      </c>
      <c r="D63" s="15" t="n">
        <v>2</v>
      </c>
      <c r="E63" s="28">
        <f>IFERROR(SUMIFS('قاعدة المؤشرات'!$J$2:$J$223,'قاعدة المؤشرات'!$B$2:$B$223,"التسويق",'قاعدة المؤشرات'!$L$2:$L$223,"الفريق الإبداعي")/SUMIFS('قاعدة المؤشرات'!$K$2:$K$223,'قاعدة المؤشرات'!$B$2:$B$223,"التسويق",'قاعدة المؤشرات'!$L$2:$L$223,"الفريق الإبداعي"),"")</f>
        <v/>
      </c>
      <c r="F63" s="20">
        <f>IF($E63="","⏳ بانتظار هدف",IF($E63&gt;=1,"✅ محقق",IF($E63&gt;=0.85,"🟡 قريب","🔴 تحت الهدف")))</f>
        <v/>
      </c>
      <c r="G63" s="29">
        <f>IF($E63="","",MINIFS('قاعدة المؤشرات'!$G$2:$G$223,'قاعدة المؤشرات'!$B$2:$B$223,"التسويق",'قاعدة المؤشرات'!$L$2:$L$223,"الفريق الإبداعي"))</f>
        <v/>
      </c>
      <c r="H63" s="30">
        <f>COUNTIFS('قاعدة المؤشرات'!$H$2:$H$223,"🔴 تحت الهدف",'قاعدة المؤشرات'!$B$2:$B$223,"التسويق",'قاعدة المؤشرات'!$L$2:$L$223,"الفريق الإبداعي")</f>
        <v/>
      </c>
      <c r="I63" s="31" t="inlineStr">
        <is>
          <t>إجمالي المتابعين (كل المنصات) · معدل التفاعل (Engagement)</t>
        </is>
      </c>
    </row>
    <row r="64" ht="26" customHeight="1">
      <c r="A64" s="15" t="n">
        <v>62</v>
      </c>
      <c r="B64" s="13" t="inlineStr">
        <is>
          <t>التسويق</t>
        </is>
      </c>
      <c r="C64" s="27" t="inlineStr">
        <is>
          <t>الحملات التسويقية</t>
        </is>
      </c>
      <c r="D64" s="15" t="n">
        <v>3</v>
      </c>
      <c r="E64" s="28">
        <f>IFERROR(SUMIFS('قاعدة المؤشرات'!$J$2:$J$223,'قاعدة المؤشرات'!$B$2:$B$223,"التسويق",'قاعدة المؤشرات'!$L$2:$L$223,"الحملات التسويقية")/SUMIFS('قاعدة المؤشرات'!$K$2:$K$223,'قاعدة المؤشرات'!$B$2:$B$223,"التسويق",'قاعدة المؤشرات'!$L$2:$L$223,"الحملات التسويقية"),"")</f>
        <v/>
      </c>
      <c r="F64" s="20">
        <f>IF($E64="","⏳ بانتظار هدف",IF($E64&gt;=1,"✅ محقق",IF($E64&gt;=0.85,"🟡 قريب","🔴 تحت الهدف")))</f>
        <v/>
      </c>
      <c r="G64" s="29">
        <f>IF($E64="","",MINIFS('قاعدة المؤشرات'!$G$2:$G$223,'قاعدة المؤشرات'!$B$2:$B$223,"التسويق",'قاعدة المؤشرات'!$L$2:$L$223,"الحملات التسويقية"))</f>
        <v/>
      </c>
      <c r="H64" s="30">
        <f>COUNTIFS('قاعدة المؤشرات'!$H$2:$H$223,"🔴 تحت الهدف",'قاعدة المؤشرات'!$B$2:$B$223,"التسويق",'قاعدة المؤشرات'!$L$2:$L$223,"الحملات التسويقية")</f>
        <v/>
      </c>
      <c r="I64" s="31" t="inlineStr">
        <is>
          <t>حملات تسويقية منجزة · تحويل الفرص إلى عقود · نسبة المبيعات لكل حملة</t>
        </is>
      </c>
    </row>
    <row r="65" ht="26" customHeight="1">
      <c r="A65" s="15" t="n">
        <v>63</v>
      </c>
      <c r="B65" s="13" t="inlineStr">
        <is>
          <t>التسويق</t>
        </is>
      </c>
      <c r="C65" s="27" t="inlineStr">
        <is>
          <t>الدعاية والإعلان</t>
        </is>
      </c>
      <c r="D65" s="15" t="n">
        <v>1</v>
      </c>
      <c r="E65" s="28">
        <f>IFERROR(SUMIFS('قاعدة المؤشرات'!$J$2:$J$223,'قاعدة المؤشرات'!$B$2:$B$223,"التسويق",'قاعدة المؤشرات'!$L$2:$L$223,"الدعاية والإعلان")/SUMIFS('قاعدة المؤشرات'!$K$2:$K$223,'قاعدة المؤشرات'!$B$2:$B$223,"التسويق",'قاعدة المؤشرات'!$L$2:$L$223,"الدعاية والإعلان"),"")</f>
        <v/>
      </c>
      <c r="F65" s="20">
        <f>IF($E65="","⏳ بانتظار هدف",IF($E65&gt;=1,"✅ محقق",IF($E65&gt;=0.85,"🟡 قريب","🔴 تحت الهدف")))</f>
        <v/>
      </c>
      <c r="G65" s="29">
        <f>IF($E65="","",MINIFS('قاعدة المؤشرات'!$G$2:$G$223,'قاعدة المؤشرات'!$B$2:$B$223,"التسويق",'قاعدة المؤشرات'!$L$2:$L$223,"الدعاية والإعلان"))</f>
        <v/>
      </c>
      <c r="H65" s="30">
        <f>COUNTIFS('قاعدة المؤشرات'!$H$2:$H$223,"🔴 تحت الهدف",'قاعدة المؤشرات'!$B$2:$B$223,"التسويق",'قاعدة المؤشرات'!$L$2:$L$223,"الدعاية والإعلان")</f>
        <v/>
      </c>
      <c r="I65" s="31" t="inlineStr">
        <is>
          <t>نسبة التزام الهوية البصرية</t>
        </is>
      </c>
    </row>
    <row r="66" ht="26" customHeight="1">
      <c r="A66" s="15" t="n">
        <v>64</v>
      </c>
      <c r="B66" s="13" t="inlineStr">
        <is>
          <t>التسويق</t>
        </is>
      </c>
      <c r="C66" s="27" t="inlineStr">
        <is>
          <t>العلاقات والشراكات</t>
        </is>
      </c>
      <c r="D66" s="15" t="n">
        <v>3</v>
      </c>
      <c r="E66" s="28">
        <f>IFERROR(SUMIFS('قاعدة المؤشرات'!$J$2:$J$223,'قاعدة المؤشرات'!$B$2:$B$223,"التسويق",'قاعدة المؤشرات'!$L$2:$L$223,"العلاقات والشراكات")/SUMIFS('قاعدة المؤشرات'!$K$2:$K$223,'قاعدة المؤشرات'!$B$2:$B$223,"التسويق",'قاعدة المؤشرات'!$L$2:$L$223,"العلاقات والشراكات"),"")</f>
        <v/>
      </c>
      <c r="F66" s="20">
        <f>IF($E66="","⏳ بانتظار هدف",IF($E66&gt;=1,"✅ محقق",IF($E66&gt;=0.85,"🟡 قريب","🔴 تحت الهدف")))</f>
        <v/>
      </c>
      <c r="G66" s="29">
        <f>IF($E66="","",MINIFS('قاعدة المؤشرات'!$G$2:$G$223,'قاعدة المؤشرات'!$B$2:$B$223,"التسويق",'قاعدة المؤشرات'!$L$2:$L$223,"العلاقات والشراكات"))</f>
        <v/>
      </c>
      <c r="H66" s="30">
        <f>COUNTIFS('قاعدة المؤشرات'!$H$2:$H$223,"🔴 تحت الهدف",'قاعدة المؤشرات'!$B$2:$B$223,"التسويق",'قاعدة المؤشرات'!$L$2:$L$223,"العلاقات والشراكات")</f>
        <v/>
      </c>
      <c r="I66" s="31" t="inlineStr">
        <is>
          <t>وصول العلاقات العامة (PR) · عدد المعارض بالسنة · اتفاقيات استراتيجية</t>
        </is>
      </c>
    </row>
    <row r="67" ht="26" customHeight="1">
      <c r="A67" s="15" t="n">
        <v>65</v>
      </c>
      <c r="B67" s="13" t="inlineStr">
        <is>
          <t>التسويق</t>
        </is>
      </c>
      <c r="C67" s="27" t="inlineStr">
        <is>
          <t>خدمة العملاء والدعم</t>
        </is>
      </c>
      <c r="D67" s="15" t="n">
        <v>2</v>
      </c>
      <c r="E67" s="28">
        <f>IFERROR(SUMIFS('قاعدة المؤشرات'!$J$2:$J$223,'قاعدة المؤشرات'!$B$2:$B$223,"التسويق",'قاعدة المؤشرات'!$L$2:$L$223,"خدمة العملاء والدعم")/SUMIFS('قاعدة المؤشرات'!$K$2:$K$223,'قاعدة المؤشرات'!$B$2:$B$223,"التسويق",'قاعدة المؤشرات'!$L$2:$L$223,"خدمة العملاء والدعم"),"")</f>
        <v/>
      </c>
      <c r="F67" s="20">
        <f>IF($E67="","⏳ بانتظار هدف",IF($E67&gt;=1,"✅ محقق",IF($E67&gt;=0.85,"🟡 قريب","🔴 تحت الهدف")))</f>
        <v/>
      </c>
      <c r="G67" s="29">
        <f>IF($E67="","",MINIFS('قاعدة المؤشرات'!$G$2:$G$223,'قاعدة المؤشرات'!$B$2:$B$223,"التسويق",'قاعدة المؤشرات'!$L$2:$L$223,"خدمة العملاء والدعم"))</f>
        <v/>
      </c>
      <c r="H67" s="30">
        <f>COUNTIFS('قاعدة المؤشرات'!$H$2:$H$223,"🔴 تحت الهدف",'قاعدة المؤشرات'!$B$2:$B$223,"التسويق",'قاعدة المؤشرات'!$L$2:$L$223,"خدمة العملاء والدعم")</f>
        <v/>
      </c>
      <c r="I67" s="31" t="inlineStr">
        <is>
          <t>تقييم خرائط قوقل · معدل خفض الشكاوى</t>
        </is>
      </c>
    </row>
    <row r="68" ht="26" customHeight="1">
      <c r="A68" s="15" t="n">
        <v>66</v>
      </c>
      <c r="B68" s="13" t="inlineStr">
        <is>
          <t>التسويق</t>
        </is>
      </c>
      <c r="C68" s="27" t="inlineStr">
        <is>
          <t>تطبيق تانكي</t>
        </is>
      </c>
      <c r="D68" s="15" t="n">
        <v>2</v>
      </c>
      <c r="E68" s="28">
        <f>IFERROR(SUMIFS('قاعدة المؤشرات'!$J$2:$J$223,'قاعدة المؤشرات'!$B$2:$B$223,"التسويق",'قاعدة المؤشرات'!$L$2:$L$223,"تطبيق تانكي")/SUMIFS('قاعدة المؤشرات'!$K$2:$K$223,'قاعدة المؤشرات'!$B$2:$B$223,"التسويق",'قاعدة المؤشرات'!$L$2:$L$223,"تطبيق تانكي"),"")</f>
        <v/>
      </c>
      <c r="F68" s="20">
        <f>IF($E68="","⏳ بانتظار هدف",IF($E68&gt;=1,"✅ محقق",IF($E68&gt;=0.85,"🟡 قريب","🔴 تحت الهدف")))</f>
        <v/>
      </c>
      <c r="G68" s="29">
        <f>IF($E68="","",MINIFS('قاعدة المؤشرات'!$G$2:$G$223,'قاعدة المؤشرات'!$B$2:$B$223,"التسويق",'قاعدة المؤشرات'!$L$2:$L$223,"تطبيق تانكي"))</f>
        <v/>
      </c>
      <c r="H68" s="30">
        <f>COUNTIFS('قاعدة المؤشرات'!$H$2:$H$223,"🔴 تحت الهدف",'قاعدة المؤشرات'!$B$2:$B$223,"التسويق",'قاعدة المؤشرات'!$L$2:$L$223,"تطبيق تانكي")</f>
        <v/>
      </c>
      <c r="I68" s="31" t="inlineStr">
        <is>
          <t>وصول محتوى تطبيق تانكي · مشاركات تطبيق تانكي</t>
        </is>
      </c>
    </row>
    <row r="69" ht="26" customHeight="1">
      <c r="A69" s="15" t="n">
        <v>67</v>
      </c>
      <c r="B69" s="13" t="inlineStr">
        <is>
          <t>الجودة</t>
        </is>
      </c>
      <c r="C69" s="27" t="inlineStr">
        <is>
          <t>مخاطر الجودة</t>
        </is>
      </c>
      <c r="D69" s="15" t="n">
        <v>3</v>
      </c>
      <c r="E69" s="28">
        <f>IFERROR(SUMIFS('قاعدة المؤشرات'!$J$2:$J$223,'قاعدة المؤشرات'!$B$2:$B$223,"الجودة",'قاعدة المؤشرات'!$L$2:$L$223,"مخاطر الجودة")/SUMIFS('قاعدة المؤشرات'!$K$2:$K$223,'قاعدة المؤشرات'!$B$2:$B$223,"الجودة",'قاعدة المؤشرات'!$L$2:$L$223,"مخاطر الجودة"),"")</f>
        <v/>
      </c>
      <c r="F69" s="20">
        <f>IF($E69="","⏳ بانتظار هدف",IF($E69&gt;=1,"✅ محقق",IF($E69&gt;=0.85,"🟡 قريب","🔴 تحت الهدف")))</f>
        <v/>
      </c>
      <c r="G69" s="29">
        <f>IF($E69="","",MINIFS('قاعدة المؤشرات'!$G$2:$G$223,'قاعدة المؤشرات'!$B$2:$B$223,"الجودة",'قاعدة المؤشرات'!$L$2:$L$223,"مخاطر الجودة"))</f>
        <v/>
      </c>
      <c r="H69" s="30">
        <f>COUNTIFS('قاعدة المؤشرات'!$H$2:$H$223,"🔴 تحت الهدف",'قاعدة المؤشرات'!$B$2:$B$223,"الجودة",'قاعدة المؤشرات'!$L$2:$L$223,"مخاطر الجودة")</f>
        <v/>
      </c>
      <c r="I69" s="31" t="inlineStr">
        <is>
          <t>نسبة المحطات الحرجة · عدد مخاطر الجودة الحرجة المفتوحة · نسبة إغلاق مخاطر الجودة في الوقت المحدد</t>
        </is>
      </c>
    </row>
    <row r="70" ht="26" customHeight="1">
      <c r="A70" s="15" t="n">
        <v>68</v>
      </c>
      <c r="B70" s="13" t="inlineStr">
        <is>
          <t>الجودة</t>
        </is>
      </c>
      <c r="C70" s="27" t="inlineStr">
        <is>
          <t>جودة الوقود</t>
        </is>
      </c>
      <c r="D70" s="15" t="n">
        <v>1</v>
      </c>
      <c r="E70" s="28">
        <f>IFERROR(SUMIFS('قاعدة المؤشرات'!$J$2:$J$223,'قاعدة المؤشرات'!$B$2:$B$223,"الجودة",'قاعدة المؤشرات'!$L$2:$L$223,"جودة الوقود")/SUMIFS('قاعدة المؤشرات'!$K$2:$K$223,'قاعدة المؤشرات'!$B$2:$B$223,"الجودة",'قاعدة المؤشرات'!$L$2:$L$223,"جودة الوقود"),"")</f>
        <v/>
      </c>
      <c r="F70" s="20">
        <f>IF($E70="","⏳ بانتظار هدف",IF($E70&gt;=1,"✅ محقق",IF($E70&gt;=0.85,"🟡 قريب","🔴 تحت الهدف")))</f>
        <v/>
      </c>
      <c r="G70" s="29">
        <f>IF($E70="","",MINIFS('قاعدة المؤشرات'!$G$2:$G$223,'قاعدة المؤشرات'!$B$2:$B$223,"الجودة",'قاعدة المؤشرات'!$L$2:$L$223,"جودة الوقود"))</f>
        <v/>
      </c>
      <c r="H70" s="30">
        <f>COUNTIFS('قاعدة المؤشرات'!$H$2:$H$223,"🔴 تحت الهدف",'قاعدة المؤشرات'!$B$2:$B$223,"الجودة",'قاعدة المؤشرات'!$L$2:$L$223,"جودة الوقود")</f>
        <v/>
      </c>
      <c r="I70" s="31" t="inlineStr">
        <is>
          <t>نسبة مطابقة جودة الوقود</t>
        </is>
      </c>
    </row>
    <row r="71" ht="26" customHeight="1">
      <c r="A71" s="15" t="n">
        <v>69</v>
      </c>
      <c r="B71" s="13" t="inlineStr">
        <is>
          <t>الجودة</t>
        </is>
      </c>
      <c r="C71" s="27" t="inlineStr">
        <is>
          <t>معالجة وتصحيح</t>
        </is>
      </c>
      <c r="D71" s="15" t="n">
        <v>1</v>
      </c>
      <c r="E71" s="28">
        <f>IFERROR(SUMIFS('قاعدة المؤشرات'!$J$2:$J$223,'قاعدة المؤشرات'!$B$2:$B$223,"الجودة",'قاعدة المؤشرات'!$L$2:$L$223,"معالجة وتصحيح")/SUMIFS('قاعدة المؤشرات'!$K$2:$K$223,'قاعدة المؤشرات'!$B$2:$B$223,"الجودة",'قاعدة المؤشرات'!$L$2:$L$223,"معالجة وتصحيح"),"")</f>
        <v/>
      </c>
      <c r="F71" s="20">
        <f>IF($E71="","⏳ بانتظار هدف",IF($E71&gt;=1,"✅ محقق",IF($E71&gt;=0.85,"🟡 قريب","🔴 تحت الهدف")))</f>
        <v/>
      </c>
      <c r="G71" s="29">
        <f>IF($E71="","",MINIFS('قاعدة المؤشرات'!$G$2:$G$223,'قاعدة المؤشرات'!$B$2:$B$223,"الجودة",'قاعدة المؤشرات'!$L$2:$L$223,"معالجة وتصحيح"))</f>
        <v/>
      </c>
      <c r="H71" s="30">
        <f>COUNTIFS('قاعدة المؤشرات'!$H$2:$H$223,"🔴 تحت الهدف",'قاعدة المؤشرات'!$B$2:$B$223,"الجودة",'قاعدة المؤشرات'!$L$2:$L$223,"معالجة وتصحيح")</f>
        <v/>
      </c>
      <c r="I71" s="31" t="inlineStr">
        <is>
          <t>نسبة إغلاق الملاحظات في الوقت المحدد</t>
        </is>
      </c>
    </row>
    <row r="72" ht="26" customHeight="1">
      <c r="A72" s="15" t="n">
        <v>70</v>
      </c>
      <c r="B72" s="13" t="inlineStr">
        <is>
          <t>الجودة</t>
        </is>
      </c>
      <c r="C72" s="27" t="inlineStr">
        <is>
          <t>تحسين ووقاية</t>
        </is>
      </c>
      <c r="D72" s="15" t="n">
        <v>1</v>
      </c>
      <c r="E72" s="28">
        <f>IFERROR(SUMIFS('قاعدة المؤشرات'!$J$2:$J$223,'قاعدة المؤشرات'!$B$2:$B$223,"الجودة",'قاعدة المؤشرات'!$L$2:$L$223,"تحسين ووقاية")/SUMIFS('قاعدة المؤشرات'!$K$2:$K$223,'قاعدة المؤشرات'!$B$2:$B$223,"الجودة",'قاعدة المؤشرات'!$L$2:$L$223,"تحسين ووقاية"),"")</f>
        <v/>
      </c>
      <c r="F72" s="20">
        <f>IF($E72="","⏳ بانتظار هدف",IF($E72&gt;=1,"✅ محقق",IF($E72&gt;=0.85,"🟡 قريب","🔴 تحت الهدف")))</f>
        <v/>
      </c>
      <c r="G72" s="29">
        <f>IF($E72="","",MINIFS('قاعدة المؤشرات'!$G$2:$G$223,'قاعدة المؤشرات'!$B$2:$B$223,"الجودة",'قاعدة المؤشرات'!$L$2:$L$223,"تحسين ووقاية"))</f>
        <v/>
      </c>
      <c r="H72" s="30">
        <f>COUNTIFS('قاعدة المؤشرات'!$H$2:$H$223,"🔴 تحت الهدف",'قاعدة المؤشرات'!$B$2:$B$223,"الجودة",'قاعدة المؤشرات'!$L$2:$L$223,"تحسين ووقاية")</f>
        <v/>
      </c>
      <c r="I72" s="31" t="inlineStr">
        <is>
          <t>نسبة فعالية الإجراءات التصحيحية</t>
        </is>
      </c>
    </row>
    <row r="73" ht="26" customHeight="1">
      <c r="A73" s="15" t="n">
        <v>71</v>
      </c>
      <c r="B73" s="13" t="inlineStr">
        <is>
          <t>الجودة</t>
        </is>
      </c>
      <c r="C73" s="27" t="inlineStr">
        <is>
          <t>منع التكرار</t>
        </is>
      </c>
      <c r="D73" s="15" t="n">
        <v>1</v>
      </c>
      <c r="E73" s="28">
        <f>IFERROR(SUMIFS('قاعدة المؤشرات'!$J$2:$J$223,'قاعدة المؤشرات'!$B$2:$B$223,"الجودة",'قاعدة المؤشرات'!$L$2:$L$223,"منع التكرار")/SUMIFS('قاعدة المؤشرات'!$K$2:$K$223,'قاعدة المؤشرات'!$B$2:$B$223,"الجودة",'قاعدة المؤشرات'!$L$2:$L$223,"منع التكرار"),"")</f>
        <v/>
      </c>
      <c r="F73" s="20">
        <f>IF($E73="","⏳ بانتظار هدف",IF($E73&gt;=1,"✅ محقق",IF($E73&gt;=0.85,"🟡 قريب","🔴 تحت الهدف")))</f>
        <v/>
      </c>
      <c r="G73" s="29">
        <f>IF($E73="","",MINIFS('قاعدة المؤشرات'!$G$2:$G$223,'قاعدة المؤشرات'!$B$2:$B$223,"الجودة",'قاعدة المؤشرات'!$L$2:$L$223,"منع التكرار"))</f>
        <v/>
      </c>
      <c r="H73" s="30">
        <f>COUNTIFS('قاعدة المؤشرات'!$H$2:$H$223,"🔴 تحت الهدف",'قاعدة المؤشرات'!$B$2:$B$223,"الجودة",'قاعدة المؤشرات'!$L$2:$L$223,"منع التكرار")</f>
        <v/>
      </c>
      <c r="I73" s="31" t="inlineStr">
        <is>
          <t>نسبة تكرار الملاحظات</t>
        </is>
      </c>
    </row>
    <row r="74" ht="26" customHeight="1">
      <c r="A74" s="15" t="n">
        <v>72</v>
      </c>
      <c r="B74" s="13" t="inlineStr">
        <is>
          <t>الجودة</t>
        </is>
      </c>
      <c r="C74" s="27" t="inlineStr">
        <is>
          <t>تفتيش وتدقيق</t>
        </is>
      </c>
      <c r="D74" s="15" t="n">
        <v>1</v>
      </c>
      <c r="E74" s="28">
        <f>IFERROR(SUMIFS('قاعدة المؤشرات'!$J$2:$J$223,'قاعدة المؤشرات'!$B$2:$B$223,"الجودة",'قاعدة المؤشرات'!$L$2:$L$223,"تفتيش وتدقيق")/SUMIFS('قاعدة المؤشرات'!$K$2:$K$223,'قاعدة المؤشرات'!$B$2:$B$223,"الجودة",'قاعدة المؤشرات'!$L$2:$L$223,"تفتيش وتدقيق"),"")</f>
        <v/>
      </c>
      <c r="F74" s="20">
        <f>IF($E74="","⏳ بانتظار هدف",IF($E74&gt;=1,"✅ محقق",IF($E74&gt;=0.85,"🟡 قريب","🔴 تحت الهدف")))</f>
        <v/>
      </c>
      <c r="G74" s="29">
        <f>IF($E74="","",MINIFS('قاعدة المؤشرات'!$G$2:$G$223,'قاعدة المؤشرات'!$B$2:$B$223,"الجودة",'قاعدة المؤشرات'!$L$2:$L$223,"تفتيش وتدقيق"))</f>
        <v/>
      </c>
      <c r="H74" s="30">
        <f>COUNTIFS('قاعدة المؤشرات'!$H$2:$H$223,"🔴 تحت الهدف",'قاعدة المؤشرات'!$B$2:$B$223,"الجودة",'قاعدة المؤشرات'!$L$2:$L$223,"تفتيش وتدقيق")</f>
        <v/>
      </c>
      <c r="I74" s="31" t="inlineStr">
        <is>
          <t>نسبة تنفيذ خطة التفتيش والتدقيق</t>
        </is>
      </c>
    </row>
    <row r="75" ht="26" customHeight="1">
      <c r="A75" s="15" t="n">
        <v>73</v>
      </c>
      <c r="B75" s="13" t="inlineStr">
        <is>
          <t>الجودة</t>
        </is>
      </c>
      <c r="C75" s="27" t="inlineStr">
        <is>
          <t>حوكمة الجودة</t>
        </is>
      </c>
      <c r="D75" s="15" t="n">
        <v>1</v>
      </c>
      <c r="E75" s="28">
        <f>IFERROR(SUMIFS('قاعدة المؤشرات'!$J$2:$J$223,'قاعدة المؤشرات'!$B$2:$B$223,"الجودة",'قاعدة المؤشرات'!$L$2:$L$223,"حوكمة الجودة")/SUMIFS('قاعدة المؤشرات'!$K$2:$K$223,'قاعدة المؤشرات'!$B$2:$B$223,"الجودة",'قاعدة المؤشرات'!$L$2:$L$223,"حوكمة الجودة"),"")</f>
        <v/>
      </c>
      <c r="F75" s="20">
        <f>IF($E75="","⏳ بانتظار هدف",IF($E75&gt;=1,"✅ محقق",IF($E75&gt;=0.85,"🟡 قريب","🔴 تحت الهدف")))</f>
        <v/>
      </c>
      <c r="G75" s="29">
        <f>IF($E75="","",MINIFS('قاعدة المؤشرات'!$G$2:$G$223,'قاعدة المؤشرات'!$B$2:$B$223,"الجودة",'قاعدة المؤشرات'!$L$2:$L$223,"حوكمة الجودة"))</f>
        <v/>
      </c>
      <c r="H75" s="30">
        <f>COUNTIFS('قاعدة المؤشرات'!$H$2:$H$223,"🔴 تحت الهدف",'قاعدة المؤشرات'!$B$2:$B$223,"الجودة",'قاعدة المؤشرات'!$L$2:$L$223,"حوكمة الجودة")</f>
        <v/>
      </c>
      <c r="I75" s="31" t="inlineStr">
        <is>
          <t>نسبة جاهزية نظام إدارة الجودة QMS</t>
        </is>
      </c>
    </row>
    <row r="76" ht="26" customHeight="1">
      <c r="A76" s="15" t="n">
        <v>74</v>
      </c>
      <c r="B76" s="13" t="inlineStr">
        <is>
          <t>الجودة</t>
        </is>
      </c>
      <c r="C76" s="27" t="inlineStr">
        <is>
          <t>تجربة العميل</t>
        </is>
      </c>
      <c r="D76" s="15" t="n">
        <v>1</v>
      </c>
      <c r="E76" s="28">
        <f>IFERROR(SUMIFS('قاعدة المؤشرات'!$J$2:$J$223,'قاعدة المؤشرات'!$B$2:$B$223,"الجودة",'قاعدة المؤشرات'!$L$2:$L$223,"تجربة العميل")/SUMIFS('قاعدة المؤشرات'!$K$2:$K$223,'قاعدة المؤشرات'!$B$2:$B$223,"الجودة",'قاعدة المؤشرات'!$L$2:$L$223,"تجربة العميل"),"")</f>
        <v/>
      </c>
      <c r="F76" s="20">
        <f>IF($E76="","⏳ بانتظار هدف",IF($E76&gt;=1,"✅ محقق",IF($E76&gt;=0.85,"🟡 قريب","🔴 تحت الهدف")))</f>
        <v/>
      </c>
      <c r="G76" s="29">
        <f>IF($E76="","",MINIFS('قاعدة المؤشرات'!$G$2:$G$223,'قاعدة المؤشرات'!$B$2:$B$223,"الجودة",'قاعدة المؤشرات'!$L$2:$L$223,"تجربة العميل"))</f>
        <v/>
      </c>
      <c r="H76" s="30">
        <f>COUNTIFS('قاعدة المؤشرات'!$H$2:$H$223,"🔴 تحت الهدف",'قاعدة المؤشرات'!$B$2:$B$223,"الجودة",'قاعدة المؤشرات'!$L$2:$L$223,"تجربة العميل")</f>
        <v/>
      </c>
      <c r="I76" s="31" t="inlineStr">
        <is>
          <t>نسبة انخفاض الشكاوى المتكررة ذات العلاقة بالجودة</t>
        </is>
      </c>
    </row>
    <row r="77" ht="26" customHeight="1">
      <c r="A77" s="15" t="n">
        <v>75</v>
      </c>
      <c r="B77" s="13" t="inlineStr">
        <is>
          <t>الجودة</t>
        </is>
      </c>
      <c r="C77" s="27" t="inlineStr">
        <is>
          <t>الجودة الإدارية</t>
        </is>
      </c>
      <c r="D77" s="15" t="n">
        <v>1</v>
      </c>
      <c r="E77" s="28">
        <f>IFERROR(SUMIFS('قاعدة المؤشرات'!$J$2:$J$223,'قاعدة المؤشرات'!$B$2:$B$223,"الجودة",'قاعدة المؤشرات'!$L$2:$L$223,"الجودة الإدارية")/SUMIFS('قاعدة المؤشرات'!$K$2:$K$223,'قاعدة المؤشرات'!$B$2:$B$223,"الجودة",'قاعدة المؤشرات'!$L$2:$L$223,"الجودة الإدارية"),"")</f>
        <v/>
      </c>
      <c r="F77" s="20">
        <f>IF($E77="","⏳ بانتظار هدف",IF($E77&gt;=1,"✅ محقق",IF($E77&gt;=0.85,"🟡 قريب","🔴 تحت الهدف")))</f>
        <v/>
      </c>
      <c r="G77" s="29">
        <f>IF($E77="","",MINIFS('قاعدة المؤشرات'!$G$2:$G$223,'قاعدة المؤشرات'!$B$2:$B$223,"الجودة",'قاعدة المؤشرات'!$L$2:$L$223,"الجودة الإدارية"))</f>
        <v/>
      </c>
      <c r="H77" s="30">
        <f>COUNTIFS('قاعدة المؤشرات'!$H$2:$H$223,"🔴 تحت الهدف",'قاعدة المؤشرات'!$B$2:$B$223,"الجودة",'قاعدة المؤشرات'!$L$2:$L$223,"الجودة الإدارية")</f>
        <v/>
      </c>
      <c r="I77" s="31" t="inlineStr">
        <is>
          <t>نسبة اكتمال وتحديث الإجراءات المعتمدة</t>
        </is>
      </c>
    </row>
    <row r="78" ht="26" customHeight="1">
      <c r="A78" s="15" t="n">
        <v>76</v>
      </c>
      <c r="B78" s="13" t="inlineStr">
        <is>
          <t>الجودة</t>
        </is>
      </c>
      <c r="C78" s="27" t="inlineStr">
        <is>
          <t>توثيق وحوكمة</t>
        </is>
      </c>
      <c r="D78" s="15" t="n">
        <v>1</v>
      </c>
      <c r="E78" s="28">
        <f>IFERROR(SUMIFS('قاعدة المؤشرات'!$J$2:$J$223,'قاعدة المؤشرات'!$B$2:$B$223,"الجودة",'قاعدة المؤشرات'!$L$2:$L$223,"توثيق وحوكمة")/SUMIFS('قاعدة المؤشرات'!$K$2:$K$223,'قاعدة المؤشرات'!$B$2:$B$223,"الجودة",'قاعدة المؤشرات'!$L$2:$L$223,"توثيق وحوكمة"),"")</f>
        <v/>
      </c>
      <c r="F78" s="20">
        <f>IF($E78="","⏳ بانتظار هدف",IF($E78&gt;=1,"✅ محقق",IF($E78&gt;=0.85,"🟡 قريب","🔴 تحت الهدف")))</f>
        <v/>
      </c>
      <c r="G78" s="29">
        <f>IF($E78="","",MINIFS('قاعدة المؤشرات'!$G$2:$G$223,'قاعدة المؤشرات'!$B$2:$B$223,"الجودة",'قاعدة المؤشرات'!$L$2:$L$223,"توثيق وحوكمة"))</f>
        <v/>
      </c>
      <c r="H78" s="30">
        <f>COUNTIFS('قاعدة المؤشرات'!$H$2:$H$223,"🔴 تحت الهدف",'قاعدة المؤشرات'!$B$2:$B$223,"الجودة",'قاعدة المؤشرات'!$L$2:$L$223,"توثيق وحوكمة")</f>
        <v/>
      </c>
      <c r="I78" s="31" t="inlineStr">
        <is>
          <t>نسبة اكتمال سجلات الجودة</t>
        </is>
      </c>
    </row>
    <row r="79" ht="26" customHeight="1">
      <c r="A79" s="15" t="n">
        <v>77</v>
      </c>
      <c r="B79" s="13" t="inlineStr">
        <is>
          <t>الجودة</t>
        </is>
      </c>
      <c r="C79" s="27" t="inlineStr">
        <is>
          <t>الابتكار والرقمنة</t>
        </is>
      </c>
      <c r="D79" s="15" t="n">
        <v>1</v>
      </c>
      <c r="E79" s="28">
        <f>IFERROR(SUMIFS('قاعدة المؤشرات'!$J$2:$J$223,'قاعدة المؤشرات'!$B$2:$B$223,"الجودة",'قاعدة المؤشرات'!$L$2:$L$223,"الابتكار والرقمنة")/SUMIFS('قاعدة المؤشرات'!$K$2:$K$223,'قاعدة المؤشرات'!$B$2:$B$223,"الجودة",'قاعدة المؤشرات'!$L$2:$L$223,"الابتكار والرقمنة"),"")</f>
        <v/>
      </c>
      <c r="F79" s="20">
        <f>IF($E79="","⏳ بانتظار هدف",IF($E79&gt;=1,"✅ محقق",IF($E79&gt;=0.85,"🟡 قريب","🔴 تحت الهدف")))</f>
        <v/>
      </c>
      <c r="G79" s="29">
        <f>IF($E79="","",MINIFS('قاعدة المؤشرات'!$G$2:$G$223,'قاعدة المؤشرات'!$B$2:$B$223,"الجودة",'قاعدة المؤشرات'!$L$2:$L$223,"الابتكار والرقمنة"))</f>
        <v/>
      </c>
      <c r="H79" s="30">
        <f>COUNTIFS('قاعدة المؤشرات'!$H$2:$H$223,"🔴 تحت الهدف",'قاعدة المؤشرات'!$B$2:$B$223,"الجودة",'قاعدة المؤشرات'!$L$2:$L$223,"الابتكار والرقمنة")</f>
        <v/>
      </c>
      <c r="I79" s="31" t="inlineStr">
        <is>
          <t>نسبة رقمنة عمليات الجودة</t>
        </is>
      </c>
    </row>
    <row r="80" ht="26" customHeight="1">
      <c r="A80" s="15" t="n">
        <v>78</v>
      </c>
      <c r="B80" s="13" t="inlineStr">
        <is>
          <t>الجودة</t>
        </is>
      </c>
      <c r="C80" s="27" t="inlineStr">
        <is>
          <t>التحسين المستمر</t>
        </is>
      </c>
      <c r="D80" s="15" t="n">
        <v>1</v>
      </c>
      <c r="E80" s="28">
        <f>IFERROR(SUMIFS('قاعدة المؤشرات'!$J$2:$J$223,'قاعدة المؤشرات'!$B$2:$B$223,"الجودة",'قاعدة المؤشرات'!$L$2:$L$223,"التحسين المستمر")/SUMIFS('قاعدة المؤشرات'!$K$2:$K$223,'قاعدة المؤشرات'!$B$2:$B$223,"الجودة",'قاعدة المؤشرات'!$L$2:$L$223,"التحسين المستمر"),"")</f>
        <v/>
      </c>
      <c r="F80" s="20">
        <f>IF($E80="","⏳ بانتظار هدف",IF($E80&gt;=1,"✅ محقق",IF($E80&gt;=0.85,"🟡 قريب","🔴 تحت الهدف")))</f>
        <v/>
      </c>
      <c r="G80" s="29">
        <f>IF($E80="","",MINIFS('قاعدة المؤشرات'!$G$2:$G$223,'قاعدة المؤشرات'!$B$2:$B$223,"الجودة",'قاعدة المؤشرات'!$L$2:$L$223,"التحسين المستمر"))</f>
        <v/>
      </c>
      <c r="H80" s="30">
        <f>COUNTIFS('قاعدة المؤشرات'!$H$2:$H$223,"🔴 تحت الهدف",'قاعدة المؤشرات'!$B$2:$B$223,"الجودة",'قاعدة المؤشرات'!$L$2:$L$223,"التحسين المستمر")</f>
        <v/>
      </c>
      <c r="I80" s="31" t="inlineStr">
        <is>
          <t>عدد مبادرات التحسين المؤثرة</t>
        </is>
      </c>
    </row>
    <row r="81" ht="26" customHeight="1">
      <c r="A81" s="15" t="n">
        <v>79</v>
      </c>
      <c r="B81" s="13" t="inlineStr">
        <is>
          <t>الإدارة القانونية</t>
        </is>
      </c>
      <c r="C81" s="27" t="inlineStr">
        <is>
          <t>أعمال العقود</t>
        </is>
      </c>
      <c r="D81" s="15" t="n">
        <v>3</v>
      </c>
      <c r="E81" s="28">
        <f>IFERROR(SUMIFS('قاعدة المؤشرات'!$J$2:$J$223,'قاعدة المؤشرات'!$B$2:$B$223,"الإدارة القانونية",'قاعدة المؤشرات'!$L$2:$L$223,"أعمال العقود")/SUMIFS('قاعدة المؤشرات'!$K$2:$K$223,'قاعدة المؤشرات'!$B$2:$B$223,"الإدارة القانونية",'قاعدة المؤشرات'!$L$2:$L$223,"أعمال العقود"),"")</f>
        <v/>
      </c>
      <c r="F81" s="20">
        <f>IF($E81="","⏳ بانتظار هدف",IF($E81&gt;=1,"✅ محقق",IF($E81&gt;=0.85,"🟡 قريب","🔴 تحت الهدف")))</f>
        <v/>
      </c>
      <c r="G81" s="29">
        <f>IF($E81="","",MINIFS('قاعدة المؤشرات'!$G$2:$G$223,'قاعدة المؤشرات'!$B$2:$B$223,"الإدارة القانونية",'قاعدة المؤشرات'!$L$2:$L$223,"أعمال العقود"))</f>
        <v/>
      </c>
      <c r="H81" s="30">
        <f>COUNTIFS('قاعدة المؤشرات'!$H$2:$H$223,"🔴 تحت الهدف",'قاعدة المؤشرات'!$B$2:$B$223,"الإدارة القانونية",'قاعدة المؤشرات'!$L$2:$L$223,"أعمال العقود")</f>
        <v/>
      </c>
      <c r="I81" s="31" t="inlineStr">
        <is>
          <t>نسبة العقود المُراجَعة قانونياً قبل التوقيع · متوسط زمن صياغة ومراجعة العقد · نسبة العقود الخالية من الملاحظات والمخاطر القانونية</t>
        </is>
      </c>
    </row>
    <row r="82" ht="26" customHeight="1">
      <c r="A82" s="15" t="n">
        <v>80</v>
      </c>
      <c r="B82" s="13" t="inlineStr">
        <is>
          <t>الإدارة القانونية</t>
        </is>
      </c>
      <c r="C82" s="27" t="inlineStr">
        <is>
          <t>أعمال القضايا</t>
        </is>
      </c>
      <c r="D82" s="15" t="n">
        <v>3</v>
      </c>
      <c r="E82" s="28">
        <f>IFERROR(SUMIFS('قاعدة المؤشرات'!$J$2:$J$223,'قاعدة المؤشرات'!$B$2:$B$223,"الإدارة القانونية",'قاعدة المؤشرات'!$L$2:$L$223,"أعمال القضايا")/SUMIFS('قاعدة المؤشرات'!$K$2:$K$223,'قاعدة المؤشرات'!$B$2:$B$223,"الإدارة القانونية",'قاعدة المؤشرات'!$L$2:$L$223,"أعمال القضايا"),"")</f>
        <v/>
      </c>
      <c r="F82" s="20">
        <f>IF($E82="","⏳ بانتظار هدف",IF($E82&gt;=1,"✅ محقق",IF($E82&gt;=0.85,"🟡 قريب","🔴 تحت الهدف")))</f>
        <v/>
      </c>
      <c r="G82" s="29">
        <f>IF($E82="","",MINIFS('قاعدة المؤشرات'!$G$2:$G$223,'قاعدة المؤشرات'!$B$2:$B$223,"الإدارة القانونية",'قاعدة المؤشرات'!$L$2:$L$223,"أعمال القضايا"))</f>
        <v/>
      </c>
      <c r="H82" s="30">
        <f>COUNTIFS('قاعدة المؤشرات'!$H$2:$H$223,"🔴 تحت الهدف",'قاعدة المؤشرات'!$B$2:$B$223,"الإدارة القانونية",'قاعدة المؤشرات'!$L$2:$L$223,"أعمال القضايا")</f>
        <v/>
      </c>
      <c r="I82" s="31" t="inlineStr">
        <is>
          <t>نسبة القضايا المُغلقة لصالح الشركة · نسبة تقديم المذكرات والردود في المواعيد النظامية · متوسط زمن إعداد المذكرة القانونية</t>
        </is>
      </c>
    </row>
    <row r="83" ht="26" customHeight="1">
      <c r="A83" s="15" t="n">
        <v>81</v>
      </c>
      <c r="B83" s="13" t="inlineStr">
        <is>
          <t>الإدارة القانونية</t>
        </is>
      </c>
      <c r="C83" s="27" t="inlineStr">
        <is>
          <t>الاستشارات القانونية</t>
        </is>
      </c>
      <c r="D83" s="15" t="n">
        <v>2</v>
      </c>
      <c r="E83" s="28">
        <f>IFERROR(SUMIFS('قاعدة المؤشرات'!$J$2:$J$223,'قاعدة المؤشرات'!$B$2:$B$223,"الإدارة القانونية",'قاعدة المؤشرات'!$L$2:$L$223,"الاستشارات القانونية")/SUMIFS('قاعدة المؤشرات'!$K$2:$K$223,'قاعدة المؤشرات'!$B$2:$B$223,"الإدارة القانونية",'قاعدة المؤشرات'!$L$2:$L$223,"الاستشارات القانونية"),"")</f>
        <v/>
      </c>
      <c r="F83" s="20">
        <f>IF($E83="","⏳ بانتظار هدف",IF($E83&gt;=1,"✅ محقق",IF($E83&gt;=0.85,"🟡 قريب","🔴 تحت الهدف")))</f>
        <v/>
      </c>
      <c r="G83" s="29">
        <f>IF($E83="","",MINIFS('قاعدة المؤشرات'!$G$2:$G$223,'قاعدة المؤشرات'!$B$2:$B$223,"الإدارة القانونية",'قاعدة المؤشرات'!$L$2:$L$223,"الاستشارات القانونية"))</f>
        <v/>
      </c>
      <c r="H83" s="30">
        <f>COUNTIFS('قاعدة المؤشرات'!$H$2:$H$223,"🔴 تحت الهدف",'قاعدة المؤشرات'!$B$2:$B$223,"الإدارة القانونية",'قاعدة المؤشرات'!$L$2:$L$223,"الاستشارات القانونية")</f>
        <v/>
      </c>
      <c r="I83" s="31" t="inlineStr">
        <is>
          <t>نسبة الاستشارات المُنجزة ضمن المدة المستهدفة (SLA) · مستوى رضا الإدارات عن الدعم القانوني</t>
        </is>
      </c>
    </row>
    <row r="84" ht="26" customHeight="1">
      <c r="A84" s="15" t="n">
        <v>82</v>
      </c>
      <c r="B84" s="13" t="inlineStr">
        <is>
          <t>الإدارة القانونية</t>
        </is>
      </c>
      <c r="C84" s="27" t="inlineStr">
        <is>
          <t>التحقيق</t>
        </is>
      </c>
      <c r="D84" s="15" t="n">
        <v>5</v>
      </c>
      <c r="E84" s="28">
        <f>IFERROR(SUMIFS('قاعدة المؤشرات'!$J$2:$J$223,'قاعدة المؤشرات'!$B$2:$B$223,"الإدارة القانونية",'قاعدة المؤشرات'!$L$2:$L$223,"التحقيق")/SUMIFS('قاعدة المؤشرات'!$K$2:$K$223,'قاعدة المؤشرات'!$B$2:$B$223,"الإدارة القانونية",'قاعدة المؤشرات'!$L$2:$L$223,"التحقيق"),"")</f>
        <v/>
      </c>
      <c r="F84" s="20">
        <f>IF($E84="","⏳ بانتظار هدف",IF($E84&gt;=1,"✅ محقق",IF($E84&gt;=0.85,"🟡 قريب","🔴 تحت الهدف")))</f>
        <v/>
      </c>
      <c r="G84" s="29">
        <f>IF($E84="","",MINIFS('قاعدة المؤشرات'!$G$2:$G$223,'قاعدة المؤشرات'!$B$2:$B$223,"الإدارة القانونية",'قاعدة المؤشرات'!$L$2:$L$223,"التحقيق"))</f>
        <v/>
      </c>
      <c r="H84" s="30">
        <f>COUNTIFS('قاعدة المؤشرات'!$H$2:$H$223,"🔴 تحت الهدف",'قاعدة المؤشرات'!$B$2:$B$223,"الإدارة القانونية",'قاعدة المؤشرات'!$L$2:$L$223,"التحقيق")</f>
        <v/>
      </c>
      <c r="I84" s="31" t="inlineStr">
        <is>
          <t>نسبة إنجاز التحقيقات ضمن المدة المحددة · نسبة التحقيقات المُغلقة من إجمالي المُحالة · متوسط زمن إغلاق قضية التحقيق · نسبة تنفيذ التوصيات الصادرة عن التحقيقات · نسبة التزام التحقيقات بالإجراءات النظامية والعدالة الإجرائية</t>
        </is>
      </c>
    </row>
    <row r="85" ht="26" customHeight="1">
      <c r="A85" s="15" t="n">
        <v>83</v>
      </c>
      <c r="B85" s="13" t="inlineStr">
        <is>
          <t>الإدارة المالية</t>
        </is>
      </c>
      <c r="C85" s="27" t="inlineStr">
        <is>
          <t>المالية الاستراتيجية</t>
        </is>
      </c>
      <c r="D85" s="15" t="n">
        <v>5</v>
      </c>
      <c r="E85" s="28">
        <f>IFERROR(SUMIFS('قاعدة المؤشرات'!$J$2:$J$223,'قاعدة المؤشرات'!$B$2:$B$223,"الإدارة المالية",'قاعدة المؤشرات'!$L$2:$L$223,"المالية الاستراتيجية")/SUMIFS('قاعدة المؤشرات'!$K$2:$K$223,'قاعدة المؤشرات'!$B$2:$B$223,"الإدارة المالية",'قاعدة المؤشرات'!$L$2:$L$223,"المالية الاستراتيجية"),"")</f>
        <v/>
      </c>
      <c r="F85" s="20">
        <f>IF($E85="","⏳ بانتظار هدف",IF($E85&gt;=1,"✅ محقق",IF($E85&gt;=0.85,"🟡 قريب","🔴 تحت الهدف")))</f>
        <v/>
      </c>
      <c r="G85" s="29">
        <f>IF($E85="","",MINIFS('قاعدة المؤشرات'!$G$2:$G$223,'قاعدة المؤشرات'!$B$2:$B$223,"الإدارة المالية",'قاعدة المؤشرات'!$L$2:$L$223,"المالية الاستراتيجية"))</f>
        <v/>
      </c>
      <c r="H85" s="30">
        <f>COUNTIFS('قاعدة المؤشرات'!$H$2:$H$223,"🔴 تحت الهدف",'قاعدة المؤشرات'!$B$2:$B$223,"الإدارة المالية",'قاعدة المؤشرات'!$L$2:$L$223,"المالية الاستراتيجية")</f>
        <v/>
      </c>
      <c r="I85" s="31" t="inlineStr">
        <is>
          <t>نمو الإيرادات السنوي · هامش EBITDA · هامش صافي الربح · العائد على حقوق الملكية (ROE) · نسبة التدفق النقدي التشغيلي</t>
        </is>
      </c>
    </row>
    <row r="86" ht="26" customHeight="1">
      <c r="A86" s="15" t="n">
        <v>84</v>
      </c>
      <c r="B86" s="13" t="inlineStr">
        <is>
          <t>الإدارة المالية</t>
        </is>
      </c>
      <c r="C86" s="27" t="inlineStr">
        <is>
          <t>السيولة ورأس المال</t>
        </is>
      </c>
      <c r="D86" s="15" t="n">
        <v>2</v>
      </c>
      <c r="E86" s="28">
        <f>IFERROR(SUMIFS('قاعدة المؤشرات'!$J$2:$J$223,'قاعدة المؤشرات'!$B$2:$B$223,"الإدارة المالية",'قاعدة المؤشرات'!$L$2:$L$223,"السيولة ورأس المال")/SUMIFS('قاعدة المؤشرات'!$K$2:$K$223,'قاعدة المؤشرات'!$B$2:$B$223,"الإدارة المالية",'قاعدة المؤشرات'!$L$2:$L$223,"السيولة ورأس المال"),"")</f>
        <v/>
      </c>
      <c r="F86" s="20">
        <f>IF($E86="","⏳ بانتظار هدف",IF($E86&gt;=1,"✅ محقق",IF($E86&gt;=0.85,"🟡 قريب","🔴 تحت الهدف")))</f>
        <v/>
      </c>
      <c r="G86" s="29">
        <f>IF($E86="","",MINIFS('قاعدة المؤشرات'!$G$2:$G$223,'قاعدة المؤشرات'!$B$2:$B$223,"الإدارة المالية",'قاعدة المؤشرات'!$L$2:$L$223,"السيولة ورأس المال"))</f>
        <v/>
      </c>
      <c r="H86" s="30">
        <f>COUNTIFS('قاعدة المؤشرات'!$H$2:$H$223,"🔴 تحت الهدف",'قاعدة المؤشرات'!$B$2:$B$223,"الإدارة المالية",'قاعدة المؤشرات'!$L$2:$L$223,"السيولة ورأس المال")</f>
        <v/>
      </c>
      <c r="I86" s="31" t="inlineStr">
        <is>
          <t>النسبة الجارية (Current Ratio) · دورة التحويل النقدي</t>
        </is>
      </c>
    </row>
    <row r="87" ht="26" customHeight="1">
      <c r="A87" s="15" t="n">
        <v>85</v>
      </c>
      <c r="B87" s="13" t="inlineStr">
        <is>
          <t>الإدارة المالية</t>
        </is>
      </c>
      <c r="C87" s="27" t="inlineStr">
        <is>
          <t>الذمم المدينة</t>
        </is>
      </c>
      <c r="D87" s="15" t="n">
        <v>4</v>
      </c>
      <c r="E87" s="28">
        <f>IFERROR(SUMIFS('قاعدة المؤشرات'!$J$2:$J$223,'قاعدة المؤشرات'!$B$2:$B$223,"الإدارة المالية",'قاعدة المؤشرات'!$L$2:$L$223,"الذمم المدينة")/SUMIFS('قاعدة المؤشرات'!$K$2:$K$223,'قاعدة المؤشرات'!$B$2:$B$223,"الإدارة المالية",'قاعدة المؤشرات'!$L$2:$L$223,"الذمم المدينة"),"")</f>
        <v/>
      </c>
      <c r="F87" s="20">
        <f>IF($E87="","⏳ بانتظار هدف",IF($E87&gt;=1,"✅ محقق",IF($E87&gt;=0.85,"🟡 قريب","🔴 تحت الهدف")))</f>
        <v/>
      </c>
      <c r="G87" s="29">
        <f>IF($E87="","",MINIFS('قاعدة المؤشرات'!$G$2:$G$223,'قاعدة المؤشرات'!$B$2:$B$223,"الإدارة المالية",'قاعدة المؤشرات'!$L$2:$L$223,"الذمم المدينة"))</f>
        <v/>
      </c>
      <c r="H87" s="30">
        <f>COUNTIFS('قاعدة المؤشرات'!$H$2:$H$223,"🔴 تحت الهدف",'قاعدة المؤشرات'!$B$2:$B$223,"الإدارة المالية",'قاعدة المؤشرات'!$L$2:$L$223,"الذمم المدينة")</f>
        <v/>
      </c>
      <c r="I87" s="31" t="inlineStr">
        <is>
          <t>متوسط أيام التحصيل العام (DSO) · نسبة التحصيل العام (الشركة) · نسبة الذمم المتأخرة · نسبة الديون المعدومة</t>
        </is>
      </c>
    </row>
    <row r="88" ht="26" customHeight="1">
      <c r="A88" s="15" t="n">
        <v>86</v>
      </c>
      <c r="B88" s="13" t="inlineStr">
        <is>
          <t>الإدارة المالية</t>
        </is>
      </c>
      <c r="C88" s="27" t="inlineStr">
        <is>
          <t>الذمم الدائنة</t>
        </is>
      </c>
      <c r="D88" s="15" t="n">
        <v>2</v>
      </c>
      <c r="E88" s="28">
        <f>IFERROR(SUMIFS('قاعدة المؤشرات'!$J$2:$J$223,'قاعدة المؤشرات'!$B$2:$B$223,"الإدارة المالية",'قاعدة المؤشرات'!$L$2:$L$223,"الذمم الدائنة")/SUMIFS('قاعدة المؤشرات'!$K$2:$K$223,'قاعدة المؤشرات'!$B$2:$B$223,"الإدارة المالية",'قاعدة المؤشرات'!$L$2:$L$223,"الذمم الدائنة"),"")</f>
        <v/>
      </c>
      <c r="F88" s="20">
        <f>IF($E88="","⏳ بانتظار هدف",IF($E88&gt;=1,"✅ محقق",IF($E88&gt;=0.85,"🟡 قريب","🔴 تحت الهدف")))</f>
        <v/>
      </c>
      <c r="G88" s="29">
        <f>IF($E88="","",MINIFS('قاعدة المؤشرات'!$G$2:$G$223,'قاعدة المؤشرات'!$B$2:$B$223,"الإدارة المالية",'قاعدة المؤشرات'!$L$2:$L$223,"الذمم الدائنة"))</f>
        <v/>
      </c>
      <c r="H88" s="30">
        <f>COUNTIFS('قاعدة المؤشرات'!$H$2:$H$223,"🔴 تحت الهدف",'قاعدة المؤشرات'!$B$2:$B$223,"الإدارة المالية",'قاعدة المؤشرات'!$L$2:$L$223,"الذمم الدائنة")</f>
        <v/>
      </c>
      <c r="I88" s="31" t="inlineStr">
        <is>
          <t>سداد الموردين في الموعد · اكتمال مطابقة حسابات الموردين</t>
        </is>
      </c>
    </row>
    <row r="89" ht="26" customHeight="1">
      <c r="A89" s="15" t="n">
        <v>87</v>
      </c>
      <c r="B89" s="13" t="inlineStr">
        <is>
          <t>الإدارة المالية</t>
        </is>
      </c>
      <c r="C89" s="27" t="inlineStr">
        <is>
          <t>الخزينة</t>
        </is>
      </c>
      <c r="D89" s="15" t="n">
        <v>1</v>
      </c>
      <c r="E89" s="28">
        <f>IFERROR(SUMIFS('قاعدة المؤشرات'!$J$2:$J$223,'قاعدة المؤشرات'!$B$2:$B$223,"الإدارة المالية",'قاعدة المؤشرات'!$L$2:$L$223,"الخزينة")/SUMIFS('قاعدة المؤشرات'!$K$2:$K$223,'قاعدة المؤشرات'!$B$2:$B$223,"الإدارة المالية",'قاعدة المؤشرات'!$L$2:$L$223,"الخزينة"),"")</f>
        <v/>
      </c>
      <c r="F89" s="20">
        <f>IF($E89="","⏳ بانتظار هدف",IF($E89&gt;=1,"✅ محقق",IF($E89&gt;=0.85,"🟡 قريب","🔴 تحت الهدف")))</f>
        <v/>
      </c>
      <c r="G89" s="29">
        <f>IF($E89="","",MINIFS('قاعدة المؤشرات'!$G$2:$G$223,'قاعدة المؤشرات'!$B$2:$B$223,"الإدارة المالية",'قاعدة المؤشرات'!$L$2:$L$223,"الخزينة"))</f>
        <v/>
      </c>
      <c r="H89" s="30">
        <f>COUNTIFS('قاعدة المؤشرات'!$H$2:$H$223,"🔴 تحت الهدف",'قاعدة المؤشرات'!$B$2:$B$223,"الإدارة المالية",'قاعدة المؤشرات'!$L$2:$L$223,"الخزينة")</f>
        <v/>
      </c>
      <c r="I89" s="31" t="inlineStr">
        <is>
          <t>دقة التنبؤ النقدي</t>
        </is>
      </c>
    </row>
    <row r="90" ht="26" customHeight="1">
      <c r="A90" s="15" t="n">
        <v>88</v>
      </c>
      <c r="B90" s="13" t="inlineStr">
        <is>
          <t>الإدارة المالية</t>
        </is>
      </c>
      <c r="C90" s="27" t="inlineStr">
        <is>
          <t>صناعة الوقود</t>
        </is>
      </c>
      <c r="D90" s="15" t="n">
        <v>3</v>
      </c>
      <c r="E90" s="28">
        <f>IFERROR(SUMIFS('قاعدة المؤشرات'!$J$2:$J$223,'قاعدة المؤشرات'!$B$2:$B$223,"الإدارة المالية",'قاعدة المؤشرات'!$L$2:$L$223,"صناعة الوقود")/SUMIFS('قاعدة المؤشرات'!$K$2:$K$223,'قاعدة المؤشرات'!$B$2:$B$223,"الإدارة المالية",'قاعدة المؤشرات'!$L$2:$L$223,"صناعة الوقود"),"")</f>
        <v/>
      </c>
      <c r="F90" s="20">
        <f>IF($E90="","⏳ بانتظار هدف",IF($E90&gt;=1,"✅ محقق",IF($E90&gt;=0.85,"🟡 قريب","🔴 تحت الهدف")))</f>
        <v/>
      </c>
      <c r="G90" s="29">
        <f>IF($E90="","",MINIFS('قاعدة المؤشرات'!$G$2:$G$223,'قاعدة المؤشرات'!$B$2:$B$223,"الإدارة المالية",'قاعدة المؤشرات'!$L$2:$L$223,"صناعة الوقود"))</f>
        <v/>
      </c>
      <c r="H90" s="30">
        <f>COUNTIFS('قاعدة المؤشرات'!$H$2:$H$223,"🔴 تحت الهدف",'قاعدة المؤشرات'!$B$2:$B$223,"الإدارة المالية",'قاعدة المؤشرات'!$L$2:$L$223,"صناعة الوقود")</f>
        <v/>
      </c>
      <c r="I90" s="31" t="inlineStr">
        <is>
          <t>تباين مخزون الوقود · دقة مطابقة المخزون · دقة تسوية أرامكو</t>
        </is>
      </c>
    </row>
    <row r="91" ht="26" customHeight="1">
      <c r="A91" s="15" t="n">
        <v>89</v>
      </c>
      <c r="B91" s="13" t="inlineStr">
        <is>
          <t>الإدارة المالية</t>
        </is>
      </c>
      <c r="C91" s="27" t="inlineStr">
        <is>
          <t>تمويل الامتياز</t>
        </is>
      </c>
      <c r="D91" s="15" t="n">
        <v>2</v>
      </c>
      <c r="E91" s="28">
        <f>IFERROR(SUMIFS('قاعدة المؤشرات'!$J$2:$J$223,'قاعدة المؤشرات'!$B$2:$B$223,"الإدارة المالية",'قاعدة المؤشرات'!$L$2:$L$223,"تمويل الامتياز")/SUMIFS('قاعدة المؤشرات'!$K$2:$K$223,'قاعدة المؤشرات'!$B$2:$B$223,"الإدارة المالية",'قاعدة المؤشرات'!$L$2:$L$223,"تمويل الامتياز"),"")</f>
        <v/>
      </c>
      <c r="F91" s="20">
        <f>IF($E91="","⏳ بانتظار هدف",IF($E91&gt;=1,"✅ محقق",IF($E91&gt;=0.85,"🟡 قريب","🔴 تحت الهدف")))</f>
        <v/>
      </c>
      <c r="G91" s="29">
        <f>IF($E91="","",MINIFS('قاعدة المؤشرات'!$G$2:$G$223,'قاعدة المؤشرات'!$B$2:$B$223,"الإدارة المالية",'قاعدة المؤشرات'!$L$2:$L$223,"تمويل الامتياز"))</f>
        <v/>
      </c>
      <c r="H91" s="30">
        <f>COUNTIFS('قاعدة المؤشرات'!$H$2:$H$223,"🔴 تحت الهدف",'قاعدة المؤشرات'!$B$2:$B$223,"الإدارة المالية",'قاعدة المؤشرات'!$L$2:$L$223,"تمويل الامتياز")</f>
        <v/>
      </c>
      <c r="I91" s="31" t="inlineStr">
        <is>
          <t>نسبة تحصيل الامتياز · أيام تحصيل رسوم الامتياز</t>
        </is>
      </c>
    </row>
    <row r="92" ht="26" customHeight="1">
      <c r="A92" s="15" t="n">
        <v>90</v>
      </c>
      <c r="B92" s="13" t="inlineStr">
        <is>
          <t>الإدارة المالية</t>
        </is>
      </c>
      <c r="C92" s="27" t="inlineStr">
        <is>
          <t>العقار والإيجار</t>
        </is>
      </c>
      <c r="D92" s="15" t="n">
        <v>2</v>
      </c>
      <c r="E92" s="28">
        <f>IFERROR(SUMIFS('قاعدة المؤشرات'!$J$2:$J$223,'قاعدة المؤشرات'!$B$2:$B$223,"الإدارة المالية",'قاعدة المؤشرات'!$L$2:$L$223,"العقار والإيجار")/SUMIFS('قاعدة المؤشرات'!$K$2:$K$223,'قاعدة المؤشرات'!$B$2:$B$223,"الإدارة المالية",'قاعدة المؤشرات'!$L$2:$L$223,"العقار والإيجار"),"")</f>
        <v/>
      </c>
      <c r="F92" s="20">
        <f>IF($E92="","⏳ بانتظار هدف",IF($E92&gt;=1,"✅ محقق",IF($E92&gt;=0.85,"🟡 قريب","🔴 تحت الهدف")))</f>
        <v/>
      </c>
      <c r="G92" s="29">
        <f>IF($E92="","",MINIFS('قاعدة المؤشرات'!$G$2:$G$223,'قاعدة المؤشرات'!$B$2:$B$223,"الإدارة المالية",'قاعدة المؤشرات'!$L$2:$L$223,"العقار والإيجار"))</f>
        <v/>
      </c>
      <c r="H92" s="30">
        <f>COUNTIFS('قاعدة المؤشرات'!$H$2:$H$223,"🔴 تحت الهدف",'قاعدة المؤشرات'!$B$2:$B$223,"الإدارة المالية",'قاعدة المؤشرات'!$L$2:$L$223,"العقار والإيجار")</f>
        <v/>
      </c>
      <c r="I92" s="31" t="inlineStr">
        <is>
          <t>نسبة تحصيل الإيجار · معدل تجديد عقود الإيجار</t>
        </is>
      </c>
    </row>
    <row r="93" ht="26" customHeight="1">
      <c r="A93" s="15" t="n">
        <v>91</v>
      </c>
      <c r="B93" s="13" t="inlineStr">
        <is>
          <t>الإدارة المالية</t>
        </is>
      </c>
      <c r="C93" s="27" t="inlineStr">
        <is>
          <t>الموازنة والتقارير</t>
        </is>
      </c>
      <c r="D93" s="15" t="n">
        <v>3</v>
      </c>
      <c r="E93" s="28">
        <f>IFERROR(SUMIFS('قاعدة المؤشرات'!$J$2:$J$223,'قاعدة المؤشرات'!$B$2:$B$223,"الإدارة المالية",'قاعدة المؤشرات'!$L$2:$L$223,"الموازنة والتقارير")/SUMIFS('قاعدة المؤشرات'!$K$2:$K$223,'قاعدة المؤشرات'!$B$2:$B$223,"الإدارة المالية",'قاعدة المؤشرات'!$L$2:$L$223,"الموازنة والتقارير"),"")</f>
        <v/>
      </c>
      <c r="F93" s="20">
        <f>IF($E93="","⏳ بانتظار هدف",IF($E93&gt;=1,"✅ محقق",IF($E93&gt;=0.85,"🟡 قريب","🔴 تحت الهدف")))</f>
        <v/>
      </c>
      <c r="G93" s="29">
        <f>IF($E93="","",MINIFS('قاعدة المؤشرات'!$G$2:$G$223,'قاعدة المؤشرات'!$B$2:$B$223,"الإدارة المالية",'قاعدة المؤشرات'!$L$2:$L$223,"الموازنة والتقارير"))</f>
        <v/>
      </c>
      <c r="H93" s="30">
        <f>COUNTIFS('قاعدة المؤشرات'!$H$2:$H$223,"🔴 تحت الهدف",'قاعدة المؤشرات'!$B$2:$B$223,"الإدارة المالية",'قاعدة المؤشرات'!$L$2:$L$223,"الموازنة والتقارير")</f>
        <v/>
      </c>
      <c r="I93" s="31" t="inlineStr">
        <is>
          <t>انحراف الموازنة · أيام الإقفال الشهري · نسبة تسويات التدقيق</t>
        </is>
      </c>
    </row>
  </sheetData>
  <autoFilter ref="A2:I93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30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0" customWidth="1" min="3" max="3"/>
    <col width="30" customWidth="1" min="4" max="4"/>
    <col width="14" customWidth="1" min="5" max="5"/>
  </cols>
  <sheetData>
    <row r="2" ht="26" customHeight="1">
      <c r="B2" s="32" t="inlineStr">
        <is>
          <t>درب · الاستراتيجية ومستهدفات 2026 — قطاع المحطات والعقار</t>
        </is>
      </c>
    </row>
    <row r="4">
      <c r="A4" s="2" t="inlineStr"/>
      <c r="B4" s="2" t="inlineStr">
        <is>
          <t>الركيزة (5 سنوات) / الهدف</t>
        </is>
      </c>
      <c r="C4" s="2" t="inlineStr">
        <is>
          <t>الوصف</t>
        </is>
      </c>
      <c r="D4" s="2" t="inlineStr">
        <is>
          <t>مستهدف 2026</t>
        </is>
      </c>
    </row>
    <row r="5" ht="24" customHeight="1">
      <c r="A5" s="33" t="inlineStr"/>
      <c r="B5" s="34" t="inlineStr">
        <is>
          <t>النمو</t>
        </is>
      </c>
      <c r="C5" s="35" t="inlineStr">
        <is>
          <t>التوسع في المواقع وزيادة الوصول وتنمية الإيراد.</t>
        </is>
      </c>
      <c r="D5" s="36" t="inlineStr"/>
    </row>
    <row r="6" ht="24" customHeight="1">
      <c r="A6" s="37" t="inlineStr"/>
      <c r="B6" s="38" t="inlineStr">
        <is>
          <t>التوسع في المواقع</t>
        </is>
      </c>
      <c r="C6" s="21" t="inlineStr">
        <is>
          <t>افتتاح وتشغيل محطات جديدة.</t>
        </is>
      </c>
      <c r="D6" s="39" t="inlineStr">
        <is>
          <t>التشغيل 85 · الامتياز 150 محطة</t>
        </is>
      </c>
    </row>
    <row r="7" ht="24" customHeight="1">
      <c r="A7" s="37" t="inlineStr"/>
      <c r="B7" s="38" t="inlineStr">
        <is>
          <t>الامتياز والعقود</t>
        </is>
      </c>
      <c r="C7" s="21" t="inlineStr">
        <is>
          <t>تنمية الإيراد عبر الامتياز والاستثمار.</t>
        </is>
      </c>
      <c r="D7" s="39" t="inlineStr">
        <is>
          <t>الامتياز 167 · الاستثمار 190 عقد</t>
        </is>
      </c>
    </row>
    <row r="8" ht="24" customHeight="1">
      <c r="A8" s="37" t="inlineStr"/>
      <c r="B8" s="38" t="inlineStr">
        <is>
          <t>زيادة وصول العملاء</t>
        </is>
      </c>
      <c r="C8" s="21" t="inlineStr">
        <is>
          <t>رفع المبيعات والتغطية الجغرافية.</t>
        </is>
      </c>
      <c r="D8" s="39" t="inlineStr">
        <is>
          <t>718.8M لتر · 13 منطقة · 59 مدينة</t>
        </is>
      </c>
    </row>
    <row r="9" ht="24" customHeight="1">
      <c r="A9" s="33" t="inlineStr"/>
      <c r="B9" s="34" t="inlineStr">
        <is>
          <t>الابتكار</t>
        </is>
      </c>
      <c r="C9" s="35" t="inlineStr">
        <is>
          <t>مشاريع جديدة وتحول تقني وهوية وتانكي.</t>
        </is>
      </c>
      <c r="D9" s="36" t="inlineStr"/>
    </row>
    <row r="10" ht="24" customHeight="1">
      <c r="A10" s="37" t="inlineStr"/>
      <c r="B10" s="38" t="inlineStr">
        <is>
          <t>التحول التقني</t>
        </is>
      </c>
      <c r="C10" s="21" t="inlineStr">
        <is>
          <t>أتمتة 164 محطة · D365 · جاهزية الأنظمة.</t>
        </is>
      </c>
      <c r="D10" s="39" t="inlineStr">
        <is>
          <t>أتمتة 90% · جاهزية 99%</t>
        </is>
      </c>
    </row>
    <row r="11" ht="24" customHeight="1">
      <c r="A11" s="37" t="inlineStr"/>
      <c r="B11" s="38" t="inlineStr">
        <is>
          <t>ساحات درب وتانكي</t>
        </is>
      </c>
      <c r="C11" s="21" t="inlineStr">
        <is>
          <t>تشغيل ساحات درب ونمو تطبيق تانكي (التسويق).</t>
        </is>
      </c>
      <c r="D11" s="39" t="inlineStr">
        <is>
          <t>تأجير ساحة ≥80% · تانكي تصاعدي</t>
        </is>
      </c>
    </row>
    <row r="12" ht="24" customHeight="1">
      <c r="A12" s="33" t="inlineStr"/>
      <c r="B12" s="34" t="inlineStr">
        <is>
          <t>الاستدامة</t>
        </is>
      </c>
      <c r="C12" s="35" t="inlineStr">
        <is>
          <t>جودة التشغيل وتجربة العميل والموظفين.</t>
        </is>
      </c>
      <c r="D12" s="36" t="inlineStr"/>
    </row>
    <row r="13" ht="24" customHeight="1">
      <c r="A13" s="37" t="inlineStr"/>
      <c r="B13" s="38" t="inlineStr">
        <is>
          <t>تجربة العميل وجودة التشغيل</t>
        </is>
      </c>
      <c r="C13" s="21" t="inlineStr">
        <is>
          <t>رضا وأمن سيبراني وجاهزية.</t>
        </is>
      </c>
      <c r="D13" s="39" t="inlineStr">
        <is>
          <t>CSAT 90% · جاهزية 99%</t>
        </is>
      </c>
    </row>
    <row r="14" ht="24" customHeight="1">
      <c r="A14" s="37" t="inlineStr"/>
      <c r="B14" s="38" t="inlineStr">
        <is>
          <t>منظومة التأجير</t>
        </is>
      </c>
      <c r="C14" s="21" t="inlineStr">
        <is>
          <t>الإشغال والتحصيل واستدامة المستأجرين.</t>
        </is>
      </c>
      <c r="D14" s="39" t="inlineStr">
        <is>
          <t>إشغال ≥60% · 246 علامة</t>
        </is>
      </c>
    </row>
    <row r="15" ht="24" customHeight="1">
      <c r="A15" s="37" t="inlineStr"/>
      <c r="B15" s="38" t="inlineStr">
        <is>
          <t>الاستثمار في الموظفين</t>
        </is>
      </c>
      <c r="C15" s="21" t="inlineStr">
        <is>
          <t>التوطين والتدريب والاستبقاء.</t>
        </is>
      </c>
      <c r="D15" s="39" t="inlineStr">
        <is>
          <t>6 دورات · استبقاء 90% · سعودة</t>
        </is>
      </c>
    </row>
    <row r="17">
      <c r="B17" s="40" t="inlineStr">
        <is>
          <t>الخارطة التنفيذية — المشاريع (أداء حي)</t>
        </is>
      </c>
      <c r="C17" s="8" t="n"/>
      <c r="D17" s="8" t="n"/>
      <c r="E17" s="7" t="n"/>
    </row>
    <row r="18">
      <c r="B18" s="2" t="inlineStr">
        <is>
          <t>المشروع</t>
        </is>
      </c>
      <c r="C18" s="2" t="inlineStr">
        <is>
          <t>الركيزة</t>
        </is>
      </c>
      <c r="D18" s="2" t="inlineStr">
        <is>
          <t>عدد المؤشرات</t>
        </is>
      </c>
      <c r="E18" s="2" t="inlineStr">
        <is>
          <t>الأداء (حي)</t>
        </is>
      </c>
    </row>
    <row r="19">
      <c r="B19" s="21" t="inlineStr">
        <is>
          <t>التوسع في المواقع</t>
        </is>
      </c>
      <c r="C19" s="23" t="inlineStr">
        <is>
          <t>النمو</t>
        </is>
      </c>
      <c r="D19" s="20">
        <f>COUNTIF('قاعدة المؤشرات'!$E$2:$E$223,"التوسع في المواقع")</f>
        <v/>
      </c>
      <c r="E19" s="10">
        <f>IFERROR(AVERAGEIFS('قاعدة المؤشرات'!$G$2:$G$223,'قاعدة المؤشرات'!$E$2:$E$223,"التوسع في المواقع"),"—")</f>
        <v/>
      </c>
    </row>
    <row r="20">
      <c r="B20" s="21" t="inlineStr">
        <is>
          <t>الامتياز التجاري</t>
        </is>
      </c>
      <c r="C20" s="23" t="inlineStr">
        <is>
          <t>النمو</t>
        </is>
      </c>
      <c r="D20" s="20">
        <f>COUNTIF('قاعدة المؤشرات'!$E$2:$E$223,"الامتياز التجاري")</f>
        <v/>
      </c>
      <c r="E20" s="10">
        <f>IFERROR(AVERAGEIFS('قاعدة المؤشرات'!$G$2:$G$223,'قاعدة المؤشرات'!$E$2:$E$223,"الامتياز التجاري"),"—")</f>
        <v/>
      </c>
    </row>
    <row r="21">
      <c r="B21" s="21" t="inlineStr">
        <is>
          <t>زيادة وصول العملاء</t>
        </is>
      </c>
      <c r="C21" s="23" t="inlineStr">
        <is>
          <t>النمو</t>
        </is>
      </c>
      <c r="D21" s="20">
        <f>COUNTIF('قاعدة المؤشرات'!$E$2:$E$223,"زيادة وصول العملاء")</f>
        <v/>
      </c>
      <c r="E21" s="10">
        <f>IFERROR(AVERAGEIFS('قاعدة المؤشرات'!$G$2:$G$223,'قاعدة المؤشرات'!$E$2:$E$223,"زيادة وصول العملاء"),"—")</f>
        <v/>
      </c>
    </row>
    <row r="22">
      <c r="B22" s="21" t="inlineStr">
        <is>
          <t>إطلاق مشاريع جديدة</t>
        </is>
      </c>
      <c r="C22" s="23" t="inlineStr">
        <is>
          <t>الابتكار</t>
        </is>
      </c>
      <c r="D22" s="20">
        <f>COUNTIF('قاعدة المؤشرات'!$E$2:$E$223,"إطلاق مشاريع جديدة")</f>
        <v/>
      </c>
      <c r="E22" s="10">
        <f>IFERROR(AVERAGEIFS('قاعدة المؤشرات'!$G$2:$G$223,'قاعدة المؤشرات'!$E$2:$E$223,"إطلاق مشاريع جديدة"),"—")</f>
        <v/>
      </c>
    </row>
    <row r="23">
      <c r="B23" s="21" t="inlineStr">
        <is>
          <t>تطوير التصاميم والهوية</t>
        </is>
      </c>
      <c r="C23" s="23" t="inlineStr">
        <is>
          <t>الابتكار</t>
        </is>
      </c>
      <c r="D23" s="20">
        <f>COUNTIF('قاعدة المؤشرات'!$E$2:$E$223,"تطوير التصاميم والهوية")</f>
        <v/>
      </c>
      <c r="E23" s="10">
        <f>IFERROR(AVERAGEIFS('قاعدة المؤشرات'!$G$2:$G$223,'قاعدة المؤشرات'!$E$2:$E$223,"تطوير التصاميم والهوية"),"—")</f>
        <v/>
      </c>
    </row>
    <row r="24">
      <c r="B24" s="21" t="inlineStr">
        <is>
          <t>التحول التقني</t>
        </is>
      </c>
      <c r="C24" s="23" t="inlineStr">
        <is>
          <t>الابتكار</t>
        </is>
      </c>
      <c r="D24" s="20">
        <f>COUNTIF('قاعدة المؤشرات'!$E$2:$E$223,"التحول التقني")</f>
        <v/>
      </c>
      <c r="E24" s="10">
        <f>IFERROR(AVERAGEIFS('قاعدة المؤشرات'!$G$2:$G$223,'قاعدة المؤشرات'!$E$2:$E$223,"التحول التقني"),"—")</f>
        <v/>
      </c>
    </row>
    <row r="25">
      <c r="B25" s="21" t="inlineStr">
        <is>
          <t>ساحات درب</t>
        </is>
      </c>
      <c r="C25" s="23" t="inlineStr">
        <is>
          <t>الابتكار</t>
        </is>
      </c>
      <c r="D25" s="20">
        <f>COUNTIF('قاعدة المؤشرات'!$E$2:$E$223,"ساحات درب")</f>
        <v/>
      </c>
      <c r="E25" s="10">
        <f>IFERROR(AVERAGEIFS('قاعدة المؤشرات'!$G$2:$G$223,'قاعدة المؤشرات'!$E$2:$E$223,"ساحات درب"),"—")</f>
        <v/>
      </c>
    </row>
    <row r="26">
      <c r="B26" s="21" t="inlineStr">
        <is>
          <t>تطبيق «تانكي»</t>
        </is>
      </c>
      <c r="C26" s="23" t="inlineStr">
        <is>
          <t>الابتكار</t>
        </is>
      </c>
      <c r="D26" s="20">
        <f>COUNTIF('قاعدة المؤشرات'!$E$2:$E$223,"تطبيق «تانكي»")</f>
        <v/>
      </c>
      <c r="E26" s="10">
        <f>IFERROR(AVERAGEIFS('قاعدة المؤشرات'!$G$2:$G$223,'قاعدة المؤشرات'!$E$2:$E$223,"تطبيق «تانكي»"),"—")</f>
        <v/>
      </c>
    </row>
    <row r="27">
      <c r="B27" s="21" t="inlineStr">
        <is>
          <t>تعزيز تجربة العملاء</t>
        </is>
      </c>
      <c r="C27" s="23" t="inlineStr">
        <is>
          <t>الاستدامة</t>
        </is>
      </c>
      <c r="D27" s="20">
        <f>COUNTIF('قاعدة المؤشرات'!$E$2:$E$223,"تعزيز تجربة العملاء")</f>
        <v/>
      </c>
      <c r="E27" s="10">
        <f>IFERROR(AVERAGEIFS('قاعدة المؤشرات'!$G$2:$G$223,'قاعدة المؤشرات'!$E$2:$E$223,"تعزيز تجربة العملاء"),"—")</f>
        <v/>
      </c>
    </row>
    <row r="28">
      <c r="B28" s="21" t="inlineStr">
        <is>
          <t>جودة التشغيل</t>
        </is>
      </c>
      <c r="C28" s="23" t="inlineStr">
        <is>
          <t>الاستدامة</t>
        </is>
      </c>
      <c r="D28" s="20">
        <f>COUNTIF('قاعدة المؤشرات'!$E$2:$E$223,"جودة التشغيل")</f>
        <v/>
      </c>
      <c r="E28" s="10">
        <f>IFERROR(AVERAGEIFS('قاعدة المؤشرات'!$G$2:$G$223,'قاعدة المؤشرات'!$E$2:$E$223,"جودة التشغيل"),"—")</f>
        <v/>
      </c>
    </row>
    <row r="29">
      <c r="B29" s="21" t="inlineStr">
        <is>
          <t>منظومة التأجير</t>
        </is>
      </c>
      <c r="C29" s="23" t="inlineStr">
        <is>
          <t>الاستدامة</t>
        </is>
      </c>
      <c r="D29" s="20">
        <f>COUNTIF('قاعدة المؤشرات'!$E$2:$E$223,"منظومة التأجير")</f>
        <v/>
      </c>
      <c r="E29" s="10">
        <f>IFERROR(AVERAGEIFS('قاعدة المؤشرات'!$G$2:$G$223,'قاعدة المؤشرات'!$E$2:$E$223,"منظومة التأجير"),"—")</f>
        <v/>
      </c>
    </row>
    <row r="30">
      <c r="B30" s="21" t="inlineStr">
        <is>
          <t>الاستثمار في الموظفين</t>
        </is>
      </c>
      <c r="C30" s="23" t="inlineStr">
        <is>
          <t>الاستدامة</t>
        </is>
      </c>
      <c r="D30" s="20">
        <f>COUNTIF('قاعدة المؤشرات'!$E$2:$E$223,"الاستثمار في الموظفين")</f>
        <v/>
      </c>
      <c r="E30" s="10">
        <f>IFERROR(AVERAGEIFS('قاعدة المؤشرات'!$G$2:$G$223,'قاعدة المؤشرات'!$E$2:$E$223,"الاستثمار في الموظفين"),"—")</f>
        <v/>
      </c>
    </row>
  </sheetData>
  <mergeCells count="2">
    <mergeCell ref="B17:E17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9"/>
  <sheetViews>
    <sheetView showGridLines="0" rightToLeft="1"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 ht="26" customHeight="1">
      <c r="B2" s="41" t="inlineStr">
        <is>
          <t>الخريطة الاستراتيجية — علاقات السبب والأثر (Balanced Scorecard) · الأداء حي</t>
        </is>
      </c>
    </row>
    <row r="4">
      <c r="B4" s="42" t="inlineStr">
        <is>
          <t>⬆ المنظور المالي — القيمة للمساهمين</t>
        </is>
      </c>
    </row>
    <row r="5">
      <c r="B5" s="43" t="inlineStr">
        <is>
          <t>النمو · الربحية · التدفّق النقدي والتحصيل</t>
        </is>
      </c>
    </row>
    <row r="6">
      <c r="B6" s="44">
        <f>IFERROR(AVERAGEIFS('قاعدة المؤشرات'!$G$2:$G$223,'قاعدة المؤشرات'!$F$2:$F$223,"مالي"),"—")</f>
        <v/>
      </c>
    </row>
    <row r="7">
      <c r="C7" s="45" t="inlineStr">
        <is>
          <t>⬆</t>
        </is>
      </c>
      <c r="E7" s="45" t="inlineStr">
        <is>
          <t>⬆</t>
        </is>
      </c>
      <c r="G7" s="45" t="inlineStr">
        <is>
          <t>⬆</t>
        </is>
      </c>
      <c r="I7" s="45" t="inlineStr">
        <is>
          <t>⬆</t>
        </is>
      </c>
      <c r="K7" s="45" t="inlineStr">
        <is>
          <t>⬆</t>
        </is>
      </c>
    </row>
    <row r="8">
      <c r="B8" s="42" t="inlineStr">
        <is>
          <t>المنظور — العملاء</t>
        </is>
      </c>
    </row>
    <row r="9">
      <c r="B9" s="46" t="inlineStr">
        <is>
          <t>زيادة وصول العملاء</t>
        </is>
      </c>
      <c r="E9" s="46" t="inlineStr">
        <is>
          <t>تعزيز تجربة العملاء</t>
        </is>
      </c>
      <c r="H9" s="46" t="inlineStr">
        <is>
          <t>تطبيق تانكي والولاء</t>
        </is>
      </c>
    </row>
    <row r="10">
      <c r="B10" s="47">
        <f>IFERROR(AVERAGEIFS('قاعدة المؤشرات'!$G$2:$G$223,'قاعدة المؤشرات'!$E$2:$E$223,"زيادة وصول العملاء"),"—")</f>
        <v/>
      </c>
      <c r="E10" s="47">
        <f>IFERROR(AVERAGEIFS('قاعدة المؤشرات'!$G$2:$G$223,'قاعدة المؤشرات'!$E$2:$E$223,"تعزيز تجربة العملاء"),"—")</f>
        <v/>
      </c>
      <c r="H10" s="47">
        <f>IFERROR(AVERAGEIFS('قاعدة المؤشرات'!$G$2:$G$223,'قاعدة المؤشرات'!$E$2:$E$223,"تطبيق «تانكي»"),"—")</f>
        <v/>
      </c>
    </row>
    <row r="11">
      <c r="C11" s="45" t="inlineStr">
        <is>
          <t>⬆</t>
        </is>
      </c>
      <c r="E11" s="45" t="inlineStr">
        <is>
          <t>⬆</t>
        </is>
      </c>
      <c r="G11" s="45" t="inlineStr">
        <is>
          <t>⬆</t>
        </is>
      </c>
      <c r="I11" s="45" t="inlineStr">
        <is>
          <t>⬆</t>
        </is>
      </c>
      <c r="K11" s="45" t="inlineStr">
        <is>
          <t>⬆</t>
        </is>
      </c>
    </row>
    <row r="12">
      <c r="B12" s="42" t="inlineStr">
        <is>
          <t>المنظور — العمليات الداخلية</t>
        </is>
      </c>
    </row>
    <row r="13">
      <c r="B13" s="48" t="inlineStr">
        <is>
          <t>التوسع في المواقع</t>
        </is>
      </c>
      <c r="D13" s="48" t="inlineStr">
        <is>
          <t>الامتياز التجاري</t>
        </is>
      </c>
      <c r="F13" s="48" t="inlineStr">
        <is>
          <t>منظومة التأجير</t>
        </is>
      </c>
      <c r="H13" s="48" t="inlineStr">
        <is>
          <t>ساحات درب</t>
        </is>
      </c>
      <c r="J13" s="48" t="inlineStr">
        <is>
          <t>جودة التشغيل</t>
        </is>
      </c>
    </row>
    <row r="14">
      <c r="B14" s="49">
        <f>IFERROR(AVERAGEIFS('قاعدة المؤشرات'!$G$2:$G$223,'قاعدة المؤشرات'!$E$2:$E$223,"التوسع في المواقع"),"—")</f>
        <v/>
      </c>
      <c r="D14" s="49">
        <f>IFERROR(AVERAGEIFS('قاعدة المؤشرات'!$G$2:$G$223,'قاعدة المؤشرات'!$E$2:$E$223,"الامتياز التجاري"),"—")</f>
        <v/>
      </c>
      <c r="F14" s="49">
        <f>IFERROR(AVERAGEIFS('قاعدة المؤشرات'!$G$2:$G$223,'قاعدة المؤشرات'!$E$2:$E$223,"منظومة التأجير"),"—")</f>
        <v/>
      </c>
      <c r="H14" s="49">
        <f>IFERROR(AVERAGEIFS('قاعدة المؤشرات'!$G$2:$G$223,'قاعدة المؤشرات'!$E$2:$E$223,"ساحات درب"),"—")</f>
        <v/>
      </c>
      <c r="J14" s="49">
        <f>IFERROR(AVERAGEIFS('قاعدة المؤشرات'!$G$2:$G$223,'قاعدة المؤشرات'!$E$2:$E$223,"جودة التشغيل"),"—")</f>
        <v/>
      </c>
    </row>
    <row r="15">
      <c r="C15" s="45" t="inlineStr">
        <is>
          <t>⬆</t>
        </is>
      </c>
      <c r="E15" s="45" t="inlineStr">
        <is>
          <t>⬆</t>
        </is>
      </c>
      <c r="G15" s="45" t="inlineStr">
        <is>
          <t>⬆</t>
        </is>
      </c>
      <c r="I15" s="45" t="inlineStr">
        <is>
          <t>⬆</t>
        </is>
      </c>
      <c r="K15" s="45" t="inlineStr">
        <is>
          <t>⬆</t>
        </is>
      </c>
    </row>
    <row r="16">
      <c r="B16" s="42" t="inlineStr">
        <is>
          <t>المنظور — التعلّم والنمو (الأساس الممكِّن)</t>
        </is>
      </c>
    </row>
    <row r="17">
      <c r="B17" s="50" t="inlineStr">
        <is>
          <t>الاستثمار في الموظفين</t>
        </is>
      </c>
      <c r="D17" s="50" t="inlineStr">
        <is>
          <t>التحول التقني</t>
        </is>
      </c>
      <c r="F17" s="50" t="inlineStr">
        <is>
          <t>إطلاق مشاريع جديدة</t>
        </is>
      </c>
      <c r="H17" s="50" t="inlineStr">
        <is>
          <t>التصاميم والهوية</t>
        </is>
      </c>
    </row>
    <row r="18">
      <c r="B18" s="51">
        <f>IFERROR(AVERAGEIFS('قاعدة المؤشرات'!$G$2:$G$223,'قاعدة المؤشرات'!$E$2:$E$223,"الاستثمار في الموظفين"),"—")</f>
        <v/>
      </c>
      <c r="D18" s="51">
        <f>IFERROR(AVERAGEIFS('قاعدة المؤشرات'!$G$2:$G$223,'قاعدة المؤشرات'!$E$2:$E$223,"التحول التقني"),"—")</f>
        <v/>
      </c>
      <c r="F18" s="51">
        <f>IFERROR(AVERAGEIFS('قاعدة المؤشرات'!$G$2:$G$223,'قاعدة المؤشرات'!$E$2:$E$223,"إطلاق مشاريع جديدة"),"—")</f>
        <v/>
      </c>
      <c r="H18" s="51">
        <f>IFERROR(AVERAGEIFS('قاعدة المؤشرات'!$G$2:$G$223,'قاعدة المؤشرات'!$E$2:$E$223,"تطوير التصاميم والهوية"),"—")</f>
        <v/>
      </c>
    </row>
    <row r="19">
      <c r="B19" s="52" t="inlineStr">
        <is>
          <t>القراءة من الأسفل للأعلى: تطوير الكوادر والتقنية ⟵ يُمكّن العمليات ⟵ يخلق قيمة للعملاء ⟵ يُنتج النتائج المالية</t>
        </is>
      </c>
    </row>
  </sheetData>
  <mergeCells count="32">
    <mergeCell ref="E10:G10"/>
    <mergeCell ref="J14:K14"/>
    <mergeCell ref="E9:G9"/>
    <mergeCell ref="B6:K6"/>
    <mergeCell ref="B18:C18"/>
    <mergeCell ref="J13:K13"/>
    <mergeCell ref="B5:K5"/>
    <mergeCell ref="B10:D10"/>
    <mergeCell ref="H18:K18"/>
    <mergeCell ref="B4:K4"/>
    <mergeCell ref="D13:E13"/>
    <mergeCell ref="F18:G18"/>
    <mergeCell ref="B9:D9"/>
    <mergeCell ref="B14:C14"/>
    <mergeCell ref="B16:K16"/>
    <mergeCell ref="B17:C17"/>
    <mergeCell ref="D17:E17"/>
    <mergeCell ref="F17:G17"/>
    <mergeCell ref="H10:K10"/>
    <mergeCell ref="B13:C13"/>
    <mergeCell ref="H9:K9"/>
    <mergeCell ref="B12:K12"/>
    <mergeCell ref="B2:K2"/>
    <mergeCell ref="F13:G13"/>
    <mergeCell ref="D18:E18"/>
    <mergeCell ref="H13:I13"/>
    <mergeCell ref="B8:K8"/>
    <mergeCell ref="H17:K17"/>
    <mergeCell ref="D14:E14"/>
    <mergeCell ref="F14:G14"/>
    <mergeCell ref="H14:I14"/>
    <mergeCell ref="B19:K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6" customWidth="1" min="4" max="4"/>
    <col width="16" customWidth="1" min="5" max="5"/>
    <col hidden="1" width="13" customWidth="1" min="8" max="8"/>
    <col hidden="1" width="13" customWidth="1" min="9" max="9"/>
    <col hidden="1" width="13" customWidth="1" min="10" max="10"/>
  </cols>
  <sheetData>
    <row r="2" ht="26" customHeight="1">
      <c r="B2" s="17" t="inlineStr">
        <is>
          <t>اللوحة الموجزة — إنجاز موزون (وزن المؤشر × وزن الإدارة) · سقف 100%</t>
        </is>
      </c>
    </row>
    <row r="4">
      <c r="B4" s="53" t="inlineStr">
        <is>
          <t>الإنجاز العام (موزون)</t>
        </is>
      </c>
      <c r="C4" s="54" t="inlineStr">
        <is>
          <t>✅ محقق</t>
        </is>
      </c>
      <c r="D4" s="54" t="inlineStr">
        <is>
          <t>🟡 قريب</t>
        </is>
      </c>
      <c r="E4" s="54" t="inlineStr">
        <is>
          <t>🔴 تحت الهدف</t>
        </is>
      </c>
    </row>
    <row r="5">
      <c r="B5" s="4">
        <f>IFERROR(SUMPRODUCT(I9:I22,H9:H22)/SUMPRODUCT(I9:I22,J9:J22),0)</f>
        <v/>
      </c>
      <c r="C5" s="5">
        <f>COUNTIFS('قاعدة المؤشرات'!$H$2:$H$223,"✅ محقق",'قاعدة المؤشرات'!$B$2:$B$223,"&lt;&gt;الإدارة التنفيذية")</f>
        <v/>
      </c>
      <c r="D5" s="5">
        <f>COUNTIFS('قاعدة المؤشرات'!$H$2:$H$223,"🟡 قريب",'قاعدة المؤشرات'!$B$2:$B$223,"&lt;&gt;الإدارة التنفيذية")</f>
        <v/>
      </c>
      <c r="E5" s="5">
        <f>COUNTIFS('قاعدة المؤشرات'!$H$2:$H$223,"🔴 تحت الهدف",'قاعدة المؤشرات'!$B$2:$B$223,"&lt;&gt;الإدارة التنفيذية")</f>
        <v/>
      </c>
    </row>
    <row r="7">
      <c r="B7" s="40" t="inlineStr">
        <is>
          <t>الأداء حسب الإدارة (موزون)</t>
        </is>
      </c>
      <c r="C7" s="7" t="n"/>
      <c r="D7" s="40" t="inlineStr">
        <is>
          <t>حسب الركيزة</t>
        </is>
      </c>
      <c r="E7" s="7" t="n"/>
    </row>
    <row r="8">
      <c r="B8" s="54" t="inlineStr">
        <is>
          <t>الإدارة</t>
        </is>
      </c>
      <c r="C8" s="54" t="inlineStr">
        <is>
          <t>الأداء</t>
        </is>
      </c>
      <c r="D8" s="54" t="inlineStr">
        <is>
          <t>الركيزة</t>
        </is>
      </c>
      <c r="E8" s="54" t="inlineStr">
        <is>
          <t>الأداء</t>
        </is>
      </c>
    </row>
    <row r="9">
      <c r="B9" s="9" t="inlineStr">
        <is>
          <t>الإدارة التنفيذية</t>
        </is>
      </c>
      <c r="C9" s="10">
        <f>IFERROR(SUMIF('قاعدة المؤشرات'!$B$2:$B$223,"الإدارة التنفيذية",'قاعدة المؤشرات'!$J$2:$J$223)/SUMIF('قاعدة المؤشرات'!$B$2:$B$223,"الإدارة التنفيذية",'قاعدة المؤشرات'!$K$2:$K$223),"—")</f>
        <v/>
      </c>
      <c r="D9" s="9" t="inlineStr">
        <is>
          <t>النمو</t>
        </is>
      </c>
      <c r="E9" s="10">
        <f>IFERROR(AVERAGEIFS('قاعدة المؤشرات'!$G$2:$G$223,'قاعدة المؤشرات'!$D$2:$D$223,"النمو"),"—")</f>
        <v/>
      </c>
      <c r="H9" s="15">
        <f>IFERROR(SUMIF('قاعدة المؤشرات'!$B$2:$B$223,"الإدارة التنفيذية",'قاعدة المؤشرات'!$J$2:$J$223)/SUMIF('قاعدة المؤشرات'!$B$2:$B$223,"الإدارة التنفيذية",'قاعدة المؤشرات'!$K$2:$K$223),0)</f>
        <v/>
      </c>
      <c r="I9" s="15" t="n">
        <v>0</v>
      </c>
      <c r="J9" s="15">
        <f>IF(SUMIF('قاعدة المؤشرات'!$B$2:$B$223,"الإدارة التنفيذية",'قاعدة المؤشرات'!$K$2:$K$223)=0,0,1)</f>
        <v/>
      </c>
    </row>
    <row r="10">
      <c r="B10" s="9" t="inlineStr">
        <is>
          <t>الامتياز التجاري</t>
        </is>
      </c>
      <c r="C10" s="10">
        <f>IFERROR(SUMIF('قاعدة المؤشرات'!$B$2:$B$223,"الامتياز التجاري",'قاعدة المؤشرات'!$J$2:$J$223)/SUMIF('قاعدة المؤشرات'!$B$2:$B$223,"الامتياز التجاري",'قاعدة المؤشرات'!$K$2:$K$223),"—")</f>
        <v/>
      </c>
      <c r="D10" s="9" t="inlineStr">
        <is>
          <t>الابتكار</t>
        </is>
      </c>
      <c r="E10" s="10">
        <f>IFERROR(AVERAGEIFS('قاعدة المؤشرات'!$G$2:$G$223,'قاعدة المؤشرات'!$D$2:$D$223,"الابتكار"),"—")</f>
        <v/>
      </c>
      <c r="H10" s="15">
        <f>IFERROR(SUMIF('قاعدة المؤشرات'!$B$2:$B$223,"الامتياز التجاري",'قاعدة المؤشرات'!$J$2:$J$223)/SUMIF('قاعدة المؤشرات'!$B$2:$B$223,"الامتياز التجاري",'قاعدة المؤشرات'!$K$2:$K$223),0)</f>
        <v/>
      </c>
      <c r="I10" s="15" t="n">
        <v>0.14</v>
      </c>
      <c r="J10" s="15">
        <f>IF(SUMIF('قاعدة المؤشرات'!$B$2:$B$223,"الامتياز التجاري",'قاعدة المؤشرات'!$K$2:$K$223)=0,0,1)</f>
        <v/>
      </c>
    </row>
    <row r="11">
      <c r="B11" s="9" t="inlineStr">
        <is>
          <t>التشغيل والمحطات</t>
        </is>
      </c>
      <c r="C11" s="10">
        <f>IFERROR(SUMIF('قاعدة المؤشرات'!$B$2:$B$223,"التشغيل والمحطات",'قاعدة المؤشرات'!$J$2:$J$223)/SUMIF('قاعدة المؤشرات'!$B$2:$B$223,"التشغيل والمحطات",'قاعدة المؤشرات'!$K$2:$K$223),"—")</f>
        <v/>
      </c>
      <c r="D11" s="9" t="inlineStr">
        <is>
          <t>الاستدامة</t>
        </is>
      </c>
      <c r="E11" s="10">
        <f>IFERROR(AVERAGEIFS('قاعدة المؤشرات'!$G$2:$G$223,'قاعدة المؤشرات'!$D$2:$D$223,"الاستدامة"),"—")</f>
        <v/>
      </c>
      <c r="H11" s="15">
        <f>IFERROR(SUMIF('قاعدة المؤشرات'!$B$2:$B$223,"التشغيل والمحطات",'قاعدة المؤشرات'!$J$2:$J$223)/SUMIF('قاعدة المؤشرات'!$B$2:$B$223,"التشغيل والمحطات",'قاعدة المؤشرات'!$K$2:$K$223),0)</f>
        <v/>
      </c>
      <c r="I11" s="15" t="n">
        <v>0.12</v>
      </c>
      <c r="J11" s="15">
        <f>IF(SUMIF('قاعدة المؤشرات'!$B$2:$B$223,"التشغيل والمحطات",'قاعدة المؤشرات'!$K$2:$K$223)=0,0,1)</f>
        <v/>
      </c>
    </row>
    <row r="12">
      <c r="B12" s="9" t="inlineStr">
        <is>
          <t>الاستثمار</t>
        </is>
      </c>
      <c r="C12" s="10">
        <f>IFERROR(SUMIF('قاعدة المؤشرات'!$B$2:$B$223,"الاستثمار",'قاعدة المؤشرات'!$J$2:$J$223)/SUMIF('قاعدة المؤشرات'!$B$2:$B$223,"الاستثمار",'قاعدة المؤشرات'!$K$2:$K$223),"—")</f>
        <v/>
      </c>
      <c r="H12" s="15">
        <f>IFERROR(SUMIF('قاعدة المؤشرات'!$B$2:$B$223,"الاستثمار",'قاعدة المؤشرات'!$J$2:$J$223)/SUMIF('قاعدة المؤشرات'!$B$2:$B$223,"الاستثمار",'قاعدة المؤشرات'!$K$2:$K$223),0)</f>
        <v/>
      </c>
      <c r="I12" s="15" t="n">
        <v>0.11</v>
      </c>
      <c r="J12" s="15">
        <f>IF(SUMIF('قاعدة المؤشرات'!$B$2:$B$223,"الاستثمار",'قاعدة المؤشرات'!$K$2:$K$223)=0,0,1)</f>
        <v/>
      </c>
    </row>
    <row r="13">
      <c r="B13" s="9" t="inlineStr">
        <is>
          <t>العقار</t>
        </is>
      </c>
      <c r="C13" s="10">
        <f>IFERROR(SUMIF('قاعدة المؤشرات'!$B$2:$B$223,"العقار",'قاعدة المؤشرات'!$J$2:$J$223)/SUMIF('قاعدة المؤشرات'!$B$2:$B$223,"العقار",'قاعدة المؤشرات'!$K$2:$K$223),"—")</f>
        <v/>
      </c>
      <c r="D13" s="53" t="inlineStr">
        <is>
          <t>حسب منظور BSC</t>
        </is>
      </c>
      <c r="E13" s="7" t="n"/>
      <c r="H13" s="15">
        <f>IFERROR(SUMIF('قاعدة المؤشرات'!$B$2:$B$223,"العقار",'قاعدة المؤشرات'!$J$2:$J$223)/SUMIF('قاعدة المؤشرات'!$B$2:$B$223,"العقار",'قاعدة المؤشرات'!$K$2:$K$223),0)</f>
        <v/>
      </c>
      <c r="I13" s="15" t="n">
        <v>0.09</v>
      </c>
      <c r="J13" s="15">
        <f>IF(SUMIF('قاعدة المؤشرات'!$B$2:$B$223,"العقار",'قاعدة المؤشرات'!$K$2:$K$223)=0,0,1)</f>
        <v/>
      </c>
    </row>
    <row r="14">
      <c r="B14" s="9" t="inlineStr">
        <is>
          <t>إدارة المشاريع</t>
        </is>
      </c>
      <c r="C14" s="10">
        <f>IFERROR(SUMIF('قاعدة المؤشرات'!$B$2:$B$223,"إدارة المشاريع",'قاعدة المؤشرات'!$J$2:$J$223)/SUMIF('قاعدة المؤشرات'!$B$2:$B$223,"إدارة المشاريع",'قاعدة المؤشرات'!$K$2:$K$223),"—")</f>
        <v/>
      </c>
      <c r="D14" s="9" t="inlineStr">
        <is>
          <t>مالي</t>
        </is>
      </c>
      <c r="E14" s="10">
        <f>IFERROR(AVERAGEIFS('قاعدة المؤشرات'!$G$2:$G$223,'قاعدة المؤشرات'!$F$2:$F$223,"مالي"),"—")</f>
        <v/>
      </c>
      <c r="H14" s="15">
        <f>IFERROR(SUMIF('قاعدة المؤشرات'!$B$2:$B$223,"إدارة المشاريع",'قاعدة المؤشرات'!$J$2:$J$223)/SUMIF('قاعدة المؤشرات'!$B$2:$B$223,"إدارة المشاريع",'قاعدة المؤشرات'!$K$2:$K$223),0)</f>
        <v/>
      </c>
      <c r="I14" s="15" t="n">
        <v>0.08</v>
      </c>
      <c r="J14" s="15">
        <f>IF(SUMIF('قاعدة المؤشرات'!$B$2:$B$223,"إدارة المشاريع",'قاعدة المؤشرات'!$K$2:$K$223)=0,0,1)</f>
        <v/>
      </c>
    </row>
    <row r="15">
      <c r="B15" s="9" t="inlineStr">
        <is>
          <t>سلاسل الإمداد</t>
        </is>
      </c>
      <c r="C15" s="10">
        <f>IFERROR(SUMIF('قاعدة المؤشرات'!$B$2:$B$223,"سلاسل الإمداد",'قاعدة المؤشرات'!$J$2:$J$223)/SUMIF('قاعدة المؤشرات'!$B$2:$B$223,"سلاسل الإمداد",'قاعدة المؤشرات'!$K$2:$K$223),"—")</f>
        <v/>
      </c>
      <c r="D15" s="9" t="inlineStr">
        <is>
          <t>العملاء</t>
        </is>
      </c>
      <c r="E15" s="10">
        <f>IFERROR(AVERAGEIFS('قاعدة المؤشرات'!$G$2:$G$223,'قاعدة المؤشرات'!$F$2:$F$223,"العملاء"),"—")</f>
        <v/>
      </c>
      <c r="H15" s="15">
        <f>IFERROR(SUMIF('قاعدة المؤشرات'!$B$2:$B$223,"سلاسل الإمداد",'قاعدة المؤشرات'!$J$2:$J$223)/SUMIF('قاعدة المؤشرات'!$B$2:$B$223,"سلاسل الإمداد",'قاعدة المؤشرات'!$K$2:$K$223),0)</f>
        <v/>
      </c>
      <c r="I15" s="15" t="n">
        <v>0.1</v>
      </c>
      <c r="J15" s="15">
        <f>IF(SUMIF('قاعدة المؤشرات'!$B$2:$B$223,"سلاسل الإمداد",'قاعدة المؤشرات'!$K$2:$K$223)=0,0,1)</f>
        <v/>
      </c>
    </row>
    <row r="16">
      <c r="B16" s="9" t="inlineStr">
        <is>
          <t>الصيانة والأتمتة</t>
        </is>
      </c>
      <c r="C16" s="10">
        <f>IFERROR(SUMIF('قاعدة المؤشرات'!$B$2:$B$223,"الصيانة والأتمتة",'قاعدة المؤشرات'!$J$2:$J$223)/SUMIF('قاعدة المؤشرات'!$B$2:$B$223,"الصيانة والأتمتة",'قاعدة المؤشرات'!$K$2:$K$223),"—")</f>
        <v/>
      </c>
      <c r="D16" s="9" t="inlineStr">
        <is>
          <t>العمليات الداخلية</t>
        </is>
      </c>
      <c r="E16" s="10">
        <f>IFERROR(AVERAGEIFS('قاعدة المؤشرات'!$G$2:$G$223,'قاعدة المؤشرات'!$F$2:$F$223,"العمليات الداخلية"),"—")</f>
        <v/>
      </c>
      <c r="H16" s="15">
        <f>IFERROR(SUMIF('قاعدة المؤشرات'!$B$2:$B$223,"الصيانة والأتمتة",'قاعدة المؤشرات'!$J$2:$J$223)/SUMIF('قاعدة المؤشرات'!$B$2:$B$223,"الصيانة والأتمتة",'قاعدة المؤشرات'!$K$2:$K$223),0)</f>
        <v/>
      </c>
      <c r="I16" s="15" t="n">
        <v>0.07000000000000001</v>
      </c>
      <c r="J16" s="15">
        <f>IF(SUMIF('قاعدة المؤشرات'!$B$2:$B$223,"الصيانة والأتمتة",'قاعدة المؤشرات'!$K$2:$K$223)=0,0,1)</f>
        <v/>
      </c>
    </row>
    <row r="17">
      <c r="B17" s="9" t="inlineStr">
        <is>
          <t>التقنية الرقمية</t>
        </is>
      </c>
      <c r="C17" s="10">
        <f>IFERROR(SUMIF('قاعدة المؤشرات'!$B$2:$B$223,"التقنية الرقمية",'قاعدة المؤشرات'!$J$2:$J$223)/SUMIF('قاعدة المؤشرات'!$B$2:$B$223,"التقنية الرقمية",'قاعدة المؤشرات'!$K$2:$K$223),"—")</f>
        <v/>
      </c>
      <c r="D17" s="9" t="inlineStr">
        <is>
          <t>التعلّم والنمو</t>
        </is>
      </c>
      <c r="E17" s="10">
        <f>IFERROR(AVERAGEIFS('قاعدة المؤشرات'!$G$2:$G$223,'قاعدة المؤشرات'!$F$2:$F$223,"التعلّم والنمو"),"—")</f>
        <v/>
      </c>
      <c r="H17" s="15">
        <f>IFERROR(SUMIF('قاعدة المؤشرات'!$B$2:$B$223,"التقنية الرقمية",'قاعدة المؤشرات'!$J$2:$J$223)/SUMIF('قاعدة المؤشرات'!$B$2:$B$223,"التقنية الرقمية",'قاعدة المؤشرات'!$K$2:$K$223),0)</f>
        <v/>
      </c>
      <c r="I17" s="15" t="n">
        <v>0.04</v>
      </c>
      <c r="J17" s="15">
        <f>IF(SUMIF('قاعدة المؤشرات'!$B$2:$B$223,"التقنية الرقمية",'قاعدة المؤشرات'!$K$2:$K$223)=0,0,1)</f>
        <v/>
      </c>
    </row>
    <row r="18">
      <c r="B18" s="9" t="inlineStr">
        <is>
          <t>الموارد البشرية</t>
        </is>
      </c>
      <c r="C18" s="10">
        <f>IFERROR(SUMIF('قاعدة المؤشرات'!$B$2:$B$223,"الموارد البشرية",'قاعدة المؤشرات'!$J$2:$J$223)/SUMIF('قاعدة المؤشرات'!$B$2:$B$223,"الموارد البشرية",'قاعدة المؤشرات'!$K$2:$K$223),"—")</f>
        <v/>
      </c>
      <c r="H18" s="15">
        <f>IFERROR(SUMIF('قاعدة المؤشرات'!$B$2:$B$223,"الموارد البشرية",'قاعدة المؤشرات'!$J$2:$J$223)/SUMIF('قاعدة المؤشرات'!$B$2:$B$223,"الموارد البشرية",'قاعدة المؤشرات'!$K$2:$K$223),0)</f>
        <v/>
      </c>
      <c r="I18" s="15" t="n">
        <v>0.04</v>
      </c>
      <c r="J18" s="15">
        <f>IF(SUMIF('قاعدة المؤشرات'!$B$2:$B$223,"الموارد البشرية",'قاعدة المؤشرات'!$K$2:$K$223)=0,0,1)</f>
        <v/>
      </c>
    </row>
    <row r="19">
      <c r="B19" s="9" t="inlineStr">
        <is>
          <t>التسويق</t>
        </is>
      </c>
      <c r="C19" s="10">
        <f>IFERROR(SUMIF('قاعدة المؤشرات'!$B$2:$B$223,"التسويق",'قاعدة المؤشرات'!$J$2:$J$223)/SUMIF('قاعدة المؤشرات'!$B$2:$B$223,"التسويق",'قاعدة المؤشرات'!$K$2:$K$223),"—")</f>
        <v/>
      </c>
      <c r="H19" s="15">
        <f>IFERROR(SUMIF('قاعدة المؤشرات'!$B$2:$B$223,"التسويق",'قاعدة المؤشرات'!$J$2:$J$223)/SUMIF('قاعدة المؤشرات'!$B$2:$B$223,"التسويق",'قاعدة المؤشرات'!$K$2:$K$223),0)</f>
        <v/>
      </c>
      <c r="I19" s="15" t="n">
        <v>0.05</v>
      </c>
      <c r="J19" s="15">
        <f>IF(SUMIF('قاعدة المؤشرات'!$B$2:$B$223,"التسويق",'قاعدة المؤشرات'!$K$2:$K$223)=0,0,1)</f>
        <v/>
      </c>
    </row>
    <row r="20">
      <c r="B20" s="9" t="inlineStr">
        <is>
          <t>الجودة</t>
        </is>
      </c>
      <c r="C20" s="10">
        <f>IFERROR(SUMIF('قاعدة المؤشرات'!$B$2:$B$223,"الجودة",'قاعدة المؤشرات'!$J$2:$J$223)/SUMIF('قاعدة المؤشرات'!$B$2:$B$223,"الجودة",'قاعدة المؤشرات'!$K$2:$K$223),"—")</f>
        <v/>
      </c>
      <c r="H20" s="15">
        <f>IFERROR(SUMIF('قاعدة المؤشرات'!$B$2:$B$223,"الجودة",'قاعدة المؤشرات'!$J$2:$J$223)/SUMIF('قاعدة المؤشرات'!$B$2:$B$223,"الجودة",'قاعدة المؤشرات'!$K$2:$K$223),0)</f>
        <v/>
      </c>
      <c r="I20" s="15" t="n">
        <v>0.05</v>
      </c>
      <c r="J20" s="15">
        <f>IF(SUMIF('قاعدة المؤشرات'!$B$2:$B$223,"الجودة",'قاعدة المؤشرات'!$K$2:$K$223)=0,0,1)</f>
        <v/>
      </c>
    </row>
    <row r="21">
      <c r="B21" s="9" t="inlineStr">
        <is>
          <t>الإدارة القانونية</t>
        </is>
      </c>
      <c r="C21" s="10">
        <f>IFERROR(SUMIF('قاعدة المؤشرات'!$B$2:$B$223,"الإدارة القانونية",'قاعدة المؤشرات'!$J$2:$J$223)/SUMIF('قاعدة المؤشرات'!$B$2:$B$223,"الإدارة القانونية",'قاعدة المؤشرات'!$K$2:$K$223),"—")</f>
        <v/>
      </c>
      <c r="H21" s="15">
        <f>IFERROR(SUMIF('قاعدة المؤشرات'!$B$2:$B$223,"الإدارة القانونية",'قاعدة المؤشرات'!$J$2:$J$223)/SUMIF('قاعدة المؤشرات'!$B$2:$B$223,"الإدارة القانونية",'قاعدة المؤشرات'!$K$2:$K$223),0)</f>
        <v/>
      </c>
      <c r="I21" s="15" t="n">
        <v>0.03</v>
      </c>
      <c r="J21" s="15">
        <f>IF(SUMIF('قاعدة المؤشرات'!$B$2:$B$223,"الإدارة القانونية",'قاعدة المؤشرات'!$K$2:$K$223)=0,0,1)</f>
        <v/>
      </c>
    </row>
    <row r="22">
      <c r="B22" s="9" t="inlineStr">
        <is>
          <t>الإدارة المالية</t>
        </is>
      </c>
      <c r="C22" s="10">
        <f>IFERROR(SUMIF('قاعدة المؤشرات'!$B$2:$B$223,"الإدارة المالية",'قاعدة المؤشرات'!$J$2:$J$223)/SUMIF('قاعدة المؤشرات'!$B$2:$B$223,"الإدارة المالية",'قاعدة المؤشرات'!$K$2:$K$223),"—")</f>
        <v/>
      </c>
      <c r="H22" s="15">
        <f>IFERROR(SUMIF('قاعدة المؤشرات'!$B$2:$B$223,"الإدارة المالية",'قاعدة المؤشرات'!$J$2:$J$223)/SUMIF('قاعدة المؤشرات'!$B$2:$B$223,"الإدارة المالية",'قاعدة المؤشرات'!$K$2:$K$223),0)</f>
        <v/>
      </c>
      <c r="I22" s="15" t="n">
        <v>0.08</v>
      </c>
      <c r="J22" s="15">
        <f>IF(SUMIF('قاعدة المؤشرات'!$B$2:$B$223,"الإدارة المالية",'قاعدة المؤشرات'!$K$2:$K$223)=0,0,1)</f>
        <v/>
      </c>
    </row>
  </sheetData>
  <mergeCells count="4">
    <mergeCell ref="D7:E7"/>
    <mergeCell ref="D13:E13"/>
    <mergeCell ref="B2:E2"/>
    <mergeCell ref="B7:C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9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11" customWidth="1" min="4" max="4"/>
    <col width="11" customWidth="1" min="5" max="5"/>
    <col width="11" customWidth="1" min="6" max="6"/>
    <col width="9" customWidth="1" min="7" max="7"/>
    <col width="11" customWidth="1" min="8" max="8"/>
    <col width="13" customWidth="1" min="9" max="9"/>
    <col width="34" customWidth="1" min="10" max="10"/>
    <col width="34" customWidth="1" min="11" max="11"/>
    <col width="16" customWidth="1" min="12" max="12"/>
    <col width="14" customWidth="1" min="13" max="13"/>
  </cols>
  <sheetData>
    <row r="1" ht="24" customHeight="1">
      <c r="A1" s="25" t="inlineStr">
        <is>
          <t>تحليل الانحراف — المؤشرات دون المستهدف مع السبب والإجراء (تقرير الاستثناءات)</t>
        </is>
      </c>
    </row>
    <row r="2">
      <c r="A2" s="18" t="inlineStr">
        <is>
          <t>#</t>
        </is>
      </c>
      <c r="B2" s="18" t="inlineStr">
        <is>
          <t>الإدارة</t>
        </is>
      </c>
      <c r="C2" s="18" t="inlineStr">
        <is>
          <t>المؤشر</t>
        </is>
      </c>
      <c r="D2" s="18" t="inlineStr">
        <is>
          <t>المُحقَّق</t>
        </is>
      </c>
      <c r="E2" s="18" t="inlineStr">
        <is>
          <t>المستهدف</t>
        </is>
      </c>
      <c r="F2" s="18" t="inlineStr">
        <is>
          <t>نسبة التحقيق</t>
        </is>
      </c>
      <c r="G2" s="18" t="inlineStr">
        <is>
          <t>الفجوة</t>
        </is>
      </c>
      <c r="H2" s="18" t="inlineStr">
        <is>
          <t>التنبؤ</t>
        </is>
      </c>
      <c r="I2" s="18" t="inlineStr">
        <is>
          <t>الحالة</t>
        </is>
      </c>
      <c r="J2" s="18" t="inlineStr">
        <is>
          <t>السبب</t>
        </is>
      </c>
      <c r="K2" s="18" t="inlineStr">
        <is>
          <t>الإجراء التصحيحي</t>
        </is>
      </c>
      <c r="L2" s="18" t="inlineStr">
        <is>
          <t>المالك</t>
        </is>
      </c>
      <c r="M2" s="18" t="inlineStr">
        <is>
          <t>الموعد</t>
        </is>
      </c>
    </row>
    <row r="3">
      <c r="A3" s="15" t="n">
        <v>1</v>
      </c>
      <c r="B3" s="13" t="inlineStr">
        <is>
          <t>التسويق</t>
        </is>
      </c>
      <c r="C3" s="21" t="inlineStr">
        <is>
          <t>معدل التفاعل (Engagement)</t>
        </is>
      </c>
      <c r="D3" s="55" t="n">
        <v>0</v>
      </c>
      <c r="E3" s="55" t="n">
        <v>0.5</v>
      </c>
      <c r="F3" s="56" t="n">
        <v>0</v>
      </c>
      <c r="G3" s="12" t="n">
        <v>1</v>
      </c>
      <c r="H3" s="55" t="n">
        <v>0</v>
      </c>
      <c r="I3" s="15" t="inlineStr">
        <is>
          <t>🔴 تحت الهدف</t>
        </is>
      </c>
      <c r="J3" s="11" t="inlineStr">
        <is>
          <t>انحراف جوهري — أولوية عاجلة.</t>
        </is>
      </c>
      <c r="K3" s="11" t="inlineStr">
        <is>
          <t>إجراء تصحيحي خلال 30 يوماً.</t>
        </is>
      </c>
      <c r="L3" s="15" t="inlineStr">
        <is>
          <t>مدير التسويق</t>
        </is>
      </c>
      <c r="M3" s="57" t="n"/>
    </row>
    <row r="4">
      <c r="A4" s="15" t="n">
        <v>2</v>
      </c>
      <c r="B4" s="13" t="inlineStr">
        <is>
          <t>التسويق</t>
        </is>
      </c>
      <c r="C4" s="21" t="inlineStr">
        <is>
          <t>عدد المعارض بالسنة</t>
        </is>
      </c>
      <c r="D4" s="55" t="n">
        <v>0</v>
      </c>
      <c r="E4" s="55" t="n">
        <v>3</v>
      </c>
      <c r="F4" s="56" t="n">
        <v>0</v>
      </c>
      <c r="G4" s="12" t="n">
        <v>1</v>
      </c>
      <c r="H4" s="55" t="n">
        <v>0</v>
      </c>
      <c r="I4" s="15" t="inlineStr">
        <is>
          <t>🔴 تحت الهدف</t>
        </is>
      </c>
      <c r="J4" s="11" t="inlineStr">
        <is>
          <t>انحراف جوهري — أولوية عاجلة.</t>
        </is>
      </c>
      <c r="K4" s="11" t="inlineStr">
        <is>
          <t>إجراء تصحيحي خلال 30 يوماً.</t>
        </is>
      </c>
      <c r="L4" s="15" t="inlineStr">
        <is>
          <t>مدير التسويق</t>
        </is>
      </c>
      <c r="M4" s="57" t="n"/>
    </row>
    <row r="5">
      <c r="A5" s="15" t="n">
        <v>3</v>
      </c>
      <c r="B5" s="13" t="inlineStr">
        <is>
          <t>التسويق</t>
        </is>
      </c>
      <c r="C5" s="21" t="inlineStr">
        <is>
          <t>اتفاقيات استراتيجية</t>
        </is>
      </c>
      <c r="D5" s="55" t="n">
        <v>0</v>
      </c>
      <c r="E5" s="55" t="n">
        <v>3</v>
      </c>
      <c r="F5" s="56" t="n">
        <v>0</v>
      </c>
      <c r="G5" s="12" t="n">
        <v>1</v>
      </c>
      <c r="H5" s="55" t="n">
        <v>0</v>
      </c>
      <c r="I5" s="15" t="inlineStr">
        <is>
          <t>🔴 تحت الهدف</t>
        </is>
      </c>
      <c r="J5" s="11" t="inlineStr">
        <is>
          <t>انحراف جوهري — أولوية عاجلة.</t>
        </is>
      </c>
      <c r="K5" s="11" t="inlineStr">
        <is>
          <t>إجراء تصحيحي خلال 30 يوماً.</t>
        </is>
      </c>
      <c r="L5" s="15" t="inlineStr">
        <is>
          <t>مدير التسويق</t>
        </is>
      </c>
      <c r="M5" s="57" t="n"/>
    </row>
    <row r="6">
      <c r="A6" s="15" t="n">
        <v>4</v>
      </c>
      <c r="B6" s="13" t="inlineStr">
        <is>
          <t>التسويق</t>
        </is>
      </c>
      <c r="C6" s="21" t="inlineStr">
        <is>
          <t>عملاء تجاريون جدد</t>
        </is>
      </c>
      <c r="D6" s="55" t="n">
        <v>1</v>
      </c>
      <c r="E6" s="55" t="n">
        <v>200</v>
      </c>
      <c r="F6" s="56" t="n">
        <v>0.005</v>
      </c>
      <c r="G6" s="12" t="n">
        <v>0.995</v>
      </c>
      <c r="H6" s="55" t="n">
        <v>2</v>
      </c>
      <c r="I6" s="15" t="inlineStr">
        <is>
          <t>🔴 تحت الهدف</t>
        </is>
      </c>
      <c r="J6" s="11" t="inlineStr">
        <is>
          <t>انحراف جوهري — أولوية عاجلة.</t>
        </is>
      </c>
      <c r="K6" s="11" t="inlineStr">
        <is>
          <t>إجراء تصحيحي خلال 30 يوماً.</t>
        </is>
      </c>
      <c r="L6" s="15" t="inlineStr">
        <is>
          <t>مدير التسويق</t>
        </is>
      </c>
      <c r="M6" s="57" t="n"/>
    </row>
    <row r="7">
      <c r="A7" s="15" t="n">
        <v>5</v>
      </c>
      <c r="B7" s="13" t="inlineStr">
        <is>
          <t>التسويق</t>
        </is>
      </c>
      <c r="C7" s="21" t="inlineStr">
        <is>
          <t>الوصول الكلي (Total Reach)</t>
        </is>
      </c>
      <c r="D7" s="55" t="n">
        <v>5000000</v>
      </c>
      <c r="E7" s="55" t="n">
        <v>50000000</v>
      </c>
      <c r="F7" s="56" t="n">
        <v>0.1</v>
      </c>
      <c r="G7" s="12" t="n">
        <v>0.9</v>
      </c>
      <c r="H7" s="55" t="n">
        <v>5000000</v>
      </c>
      <c r="I7" s="15" t="inlineStr">
        <is>
          <t>🔴 تحت الهدف</t>
        </is>
      </c>
      <c r="J7" s="11" t="inlineStr">
        <is>
          <t>انحراف جوهري — أولوية عاجلة.</t>
        </is>
      </c>
      <c r="K7" s="11" t="inlineStr">
        <is>
          <t>إجراء تصحيحي خلال 30 يوماً.</t>
        </is>
      </c>
      <c r="L7" s="15" t="inlineStr">
        <is>
          <t>مدير التسويق</t>
        </is>
      </c>
      <c r="M7" s="57" t="n"/>
    </row>
    <row r="8">
      <c r="A8" s="15" t="n">
        <v>6</v>
      </c>
      <c r="B8" s="13" t="inlineStr">
        <is>
          <t>التسويق</t>
        </is>
      </c>
      <c r="C8" s="21" t="inlineStr">
        <is>
          <t>نسبة التزام الهوية البصرية</t>
        </is>
      </c>
      <c r="D8" s="55" t="n">
        <v>0.1</v>
      </c>
      <c r="E8" s="55" t="n">
        <v>1</v>
      </c>
      <c r="F8" s="56" t="n">
        <v>0.1</v>
      </c>
      <c r="G8" s="12" t="n">
        <v>0.9</v>
      </c>
      <c r="H8" s="55" t="n">
        <v>0.1</v>
      </c>
      <c r="I8" s="15" t="inlineStr">
        <is>
          <t>🔴 تحت الهدف</t>
        </is>
      </c>
      <c r="J8" s="11" t="inlineStr">
        <is>
          <t>انحراف جوهري — أولوية عاجلة.</t>
        </is>
      </c>
      <c r="K8" s="11" t="inlineStr">
        <is>
          <t>إجراء تصحيحي خلال 30 يوماً.</t>
        </is>
      </c>
      <c r="L8" s="15" t="inlineStr">
        <is>
          <t>مدير التسويق</t>
        </is>
      </c>
      <c r="M8" s="57" t="n"/>
    </row>
    <row r="9">
      <c r="A9" s="15" t="n">
        <v>7</v>
      </c>
      <c r="B9" s="13" t="inlineStr">
        <is>
          <t>التسويق</t>
        </is>
      </c>
      <c r="C9" s="21" t="inlineStr">
        <is>
          <t>نسبة المبيعات لكل حملة</t>
        </is>
      </c>
      <c r="D9" s="55" t="n">
        <v>0.16</v>
      </c>
      <c r="E9" s="55" t="n">
        <v>1</v>
      </c>
      <c r="F9" s="56" t="n">
        <v>0.16</v>
      </c>
      <c r="G9" s="12" t="n">
        <v>0.84</v>
      </c>
      <c r="H9" s="55" t="n">
        <v>0.16</v>
      </c>
      <c r="I9" s="15" t="inlineStr">
        <is>
          <t>🔴 تحت الهدف</t>
        </is>
      </c>
      <c r="J9" s="11" t="inlineStr">
        <is>
          <t>انحراف جوهري — أولوية عاجلة.</t>
        </is>
      </c>
      <c r="K9" s="11" t="inlineStr">
        <is>
          <t>إجراء تصحيحي خلال 30 يوماً.</t>
        </is>
      </c>
      <c r="L9" s="15" t="inlineStr">
        <is>
          <t>مدير التسويق</t>
        </is>
      </c>
      <c r="M9" s="57" t="n"/>
    </row>
    <row r="10">
      <c r="A10" s="15" t="n">
        <v>8</v>
      </c>
      <c r="B10" s="13" t="inlineStr">
        <is>
          <t>التسويق</t>
        </is>
      </c>
      <c r="C10" s="21" t="inlineStr">
        <is>
          <t>وصول العلاقات العامة (PR)</t>
        </is>
      </c>
      <c r="D10" s="55" t="n">
        <v>1500000</v>
      </c>
      <c r="E10" s="55" t="n">
        <v>7000000</v>
      </c>
      <c r="F10" s="56" t="n">
        <v>0.2142857142857143</v>
      </c>
      <c r="G10" s="12" t="n">
        <v>0.7857142857142857</v>
      </c>
      <c r="H10" s="55" t="n">
        <v>1500000</v>
      </c>
      <c r="I10" s="15" t="inlineStr">
        <is>
          <t>🔴 تحت الهدف</t>
        </is>
      </c>
      <c r="J10" s="11" t="inlineStr">
        <is>
          <t>انحراف جوهري — أولوية عاجلة.</t>
        </is>
      </c>
      <c r="K10" s="11" t="inlineStr">
        <is>
          <t>إجراء تصحيحي خلال 30 يوماً.</t>
        </is>
      </c>
      <c r="L10" s="15" t="inlineStr">
        <is>
          <t>مدير التسويق</t>
        </is>
      </c>
      <c r="M10" s="57" t="n"/>
    </row>
    <row r="11">
      <c r="A11" s="15" t="n">
        <v>9</v>
      </c>
      <c r="B11" s="13" t="inlineStr">
        <is>
          <t>التسويق</t>
        </is>
      </c>
      <c r="C11" s="21" t="inlineStr">
        <is>
          <t>حملات تسويقية منجزة</t>
        </is>
      </c>
      <c r="D11" s="55" t="n">
        <v>11</v>
      </c>
      <c r="E11" s="55" t="n">
        <v>48</v>
      </c>
      <c r="F11" s="56" t="n">
        <v>0.2291666666666667</v>
      </c>
      <c r="G11" s="12" t="n">
        <v>0.7708333333333334</v>
      </c>
      <c r="H11" s="55" t="n">
        <v>22</v>
      </c>
      <c r="I11" s="15" t="inlineStr">
        <is>
          <t>🔴 تحت الهدف</t>
        </is>
      </c>
      <c r="J11" s="11" t="inlineStr">
        <is>
          <t>انحراف جوهري — أولوية عاجلة.</t>
        </is>
      </c>
      <c r="K11" s="11" t="inlineStr">
        <is>
          <t>إجراء تصحيحي خلال 30 يوماً.</t>
        </is>
      </c>
      <c r="L11" s="15" t="inlineStr">
        <is>
          <t>مدير التسويق</t>
        </is>
      </c>
      <c r="M11" s="57" t="n"/>
    </row>
    <row r="12">
      <c r="A12" s="15" t="n">
        <v>10</v>
      </c>
      <c r="B12" s="13" t="inlineStr">
        <is>
          <t>التسويق</t>
        </is>
      </c>
      <c r="C12" s="21" t="inlineStr">
        <is>
          <t>إجمالي المتابعين (كل المنصات)</t>
        </is>
      </c>
      <c r="D12" s="55" t="n">
        <v>253000</v>
      </c>
      <c r="E12" s="55" t="n">
        <v>380000</v>
      </c>
      <c r="F12" s="56" t="n">
        <v>0.6657894736842105</v>
      </c>
      <c r="G12" s="12" t="n">
        <v>0.3342105263157895</v>
      </c>
      <c r="H12" s="55" t="n">
        <v>253000</v>
      </c>
      <c r="I12" s="15" t="inlineStr">
        <is>
          <t>🔴 تحت الهدف</t>
        </is>
      </c>
      <c r="J12" s="11" t="inlineStr">
        <is>
          <t>انحراف جوهري — أولوية عاجلة.</t>
        </is>
      </c>
      <c r="K12" s="11" t="inlineStr">
        <is>
          <t>إجراء تصحيحي خلال 30 يوماً.</t>
        </is>
      </c>
      <c r="L12" s="15" t="inlineStr">
        <is>
          <t>مدير التسويق</t>
        </is>
      </c>
      <c r="M12" s="57" t="n"/>
    </row>
    <row r="13">
      <c r="A13" s="15" t="n">
        <v>11</v>
      </c>
      <c r="B13" s="13" t="inlineStr">
        <is>
          <t>التسويق</t>
        </is>
      </c>
      <c r="C13" s="21" t="inlineStr">
        <is>
          <t>تحويل الفرص إلى عقود</t>
        </is>
      </c>
      <c r="D13" s="55" t="n">
        <v>0.17</v>
      </c>
      <c r="E13" s="55" t="n">
        <v>0.25</v>
      </c>
      <c r="F13" s="56" t="n">
        <v>0.68</v>
      </c>
      <c r="G13" s="12" t="n">
        <v>0.32</v>
      </c>
      <c r="H13" s="55" t="n">
        <v>0.17</v>
      </c>
      <c r="I13" s="15" t="inlineStr">
        <is>
          <t>🔴 تحت الهدف</t>
        </is>
      </c>
      <c r="J13" s="11" t="inlineStr">
        <is>
          <t>انحراف جوهري — أولوية عاجلة.</t>
        </is>
      </c>
      <c r="K13" s="11" t="inlineStr">
        <is>
          <t>إجراء تصحيحي خلال 30 يوماً.</t>
        </is>
      </c>
      <c r="L13" s="15" t="inlineStr">
        <is>
          <t>مدير التسويق</t>
        </is>
      </c>
      <c r="M13" s="57" t="n"/>
    </row>
    <row r="14">
      <c r="A14" s="15" t="n">
        <v>12</v>
      </c>
      <c r="B14" s="13" t="inlineStr">
        <is>
          <t>التسويق</t>
        </is>
      </c>
      <c r="C14" s="21" t="inlineStr">
        <is>
          <t>معدل خفض الشكاوى</t>
        </is>
      </c>
      <c r="D14" s="55" t="n">
        <v>0.21</v>
      </c>
      <c r="E14" s="55" t="n">
        <v>0.3</v>
      </c>
      <c r="F14" s="56" t="n">
        <v>0.7</v>
      </c>
      <c r="G14" s="12" t="n">
        <v>0.3</v>
      </c>
      <c r="H14" s="55" t="n">
        <v>0.21</v>
      </c>
      <c r="I14" s="15" t="inlineStr">
        <is>
          <t>🔴 تحت الهدف</t>
        </is>
      </c>
      <c r="J14" s="11" t="inlineStr">
        <is>
          <t>انحراف جوهري — أولوية عاجلة.</t>
        </is>
      </c>
      <c r="K14" s="11" t="inlineStr">
        <is>
          <t>إجراء تصحيحي خلال 30 يوماً.</t>
        </is>
      </c>
      <c r="L14" s="15" t="inlineStr">
        <is>
          <t>مدير التسويق</t>
        </is>
      </c>
      <c r="M14" s="57" t="n"/>
    </row>
    <row r="15">
      <c r="A15" s="15" t="n">
        <v>13</v>
      </c>
      <c r="B15" s="13" t="inlineStr">
        <is>
          <t>الصيانة والأتمتة</t>
        </is>
      </c>
      <c r="C15" s="21" t="inlineStr">
        <is>
          <t>نسبة التشغيل السليم لأنظمة الأتمتة (Uptime)</t>
        </is>
      </c>
      <c r="D15" s="55" t="n">
        <v>0.715</v>
      </c>
      <c r="E15" s="55" t="n">
        <v>0.99</v>
      </c>
      <c r="F15" s="56" t="n">
        <v>0.7222222222222222</v>
      </c>
      <c r="G15" s="12" t="n">
        <v>0.2777777777777778</v>
      </c>
      <c r="H15" s="55" t="n">
        <v>0.715</v>
      </c>
      <c r="I15" s="15" t="inlineStr">
        <is>
          <t>🔴 تحت الهدف</t>
        </is>
      </c>
      <c r="J15" s="11" t="inlineStr">
        <is>
          <t>انحراف جوهري — أولوية عاجلة.</t>
        </is>
      </c>
      <c r="K15" s="11" t="inlineStr">
        <is>
          <t>إجراء تصحيحي خلال 30 يوماً.</t>
        </is>
      </c>
      <c r="L15" s="15" t="inlineStr">
        <is>
          <t>مدير الصيانة والأتمتة</t>
        </is>
      </c>
      <c r="M15" s="57" t="n"/>
    </row>
    <row r="16">
      <c r="A16" s="15" t="n">
        <v>14</v>
      </c>
      <c r="B16" s="13" t="inlineStr">
        <is>
          <t>التسويق</t>
        </is>
      </c>
      <c r="C16" s="21" t="inlineStr">
        <is>
          <t>مشاركات تطبيق تانكي</t>
        </is>
      </c>
      <c r="D16" s="55" t="n">
        <v>180.7</v>
      </c>
      <c r="E16" s="55" t="n">
        <v>250</v>
      </c>
      <c r="F16" s="56" t="n">
        <v>0.7228</v>
      </c>
      <c r="G16" s="12" t="n">
        <v>0.2772</v>
      </c>
      <c r="H16" s="55" t="n">
        <v>361.4</v>
      </c>
      <c r="I16" s="15" t="inlineStr">
        <is>
          <t>🔴 تحت الهدف</t>
        </is>
      </c>
      <c r="J16" s="11" t="inlineStr">
        <is>
          <t>انحراف جوهري — أولوية عاجلة.</t>
        </is>
      </c>
      <c r="K16" s="11" t="inlineStr">
        <is>
          <t>إجراء تصحيحي خلال 30 يوماً.</t>
        </is>
      </c>
      <c r="L16" s="15" t="inlineStr">
        <is>
          <t>مدير التسويق</t>
        </is>
      </c>
      <c r="M16" s="57" t="n"/>
    </row>
    <row r="17">
      <c r="A17" s="15" t="n">
        <v>15</v>
      </c>
      <c r="B17" s="13" t="inlineStr">
        <is>
          <t>الإدارة القانونية</t>
        </is>
      </c>
      <c r="C17" s="21" t="inlineStr">
        <is>
          <t>نسبة تنفيذ التوصيات الصادرة عن التحقيقات</t>
        </is>
      </c>
      <c r="D17" s="55" t="n">
        <v>0.651</v>
      </c>
      <c r="E17" s="55" t="n">
        <v>0.9</v>
      </c>
      <c r="F17" s="56" t="n">
        <v>0.7233333333333334</v>
      </c>
      <c r="G17" s="12" t="n">
        <v>0.2766666666666666</v>
      </c>
      <c r="H17" s="55" t="n">
        <v>0.651</v>
      </c>
      <c r="I17" s="15" t="inlineStr">
        <is>
          <t>🔴 تحت الهدف</t>
        </is>
      </c>
      <c r="J17" s="11" t="inlineStr">
        <is>
          <t>انحراف جوهري — أولوية عاجلة.</t>
        </is>
      </c>
      <c r="K17" s="11" t="inlineStr">
        <is>
          <t>إجراء تصحيحي خلال 30 يوماً.</t>
        </is>
      </c>
      <c r="L17" s="15" t="inlineStr">
        <is>
          <t>المدير القانوني</t>
        </is>
      </c>
      <c r="M17" s="57" t="n"/>
    </row>
    <row r="18">
      <c r="A18" s="15" t="n">
        <v>16</v>
      </c>
      <c r="B18" s="13" t="inlineStr">
        <is>
          <t>الامتياز التجاري</t>
        </is>
      </c>
      <c r="C18" s="21" t="inlineStr">
        <is>
          <t>نسبة التحصيل خلال 5 أيام عمل</t>
        </is>
      </c>
      <c r="D18" s="55" t="n">
        <v>0.652</v>
      </c>
      <c r="E18" s="55" t="n">
        <v>0.9</v>
      </c>
      <c r="F18" s="56" t="n">
        <v>0.7244444444444444</v>
      </c>
      <c r="G18" s="12" t="n">
        <v>0.2755555555555556</v>
      </c>
      <c r="H18" s="55" t="n">
        <v>0.652</v>
      </c>
      <c r="I18" s="15" t="inlineStr">
        <is>
          <t>🔴 تحت الهدف</t>
        </is>
      </c>
      <c r="J18" s="11" t="inlineStr">
        <is>
          <t>انحراف جوهري — أولوية عاجلة.</t>
        </is>
      </c>
      <c r="K18" s="11" t="inlineStr">
        <is>
          <t>إجراء تصحيحي خلال 30 يوماً.</t>
        </is>
      </c>
      <c r="L18" s="15" t="inlineStr">
        <is>
          <t>مدير الامتياز</t>
        </is>
      </c>
      <c r="M18" s="57" t="n"/>
    </row>
    <row r="19">
      <c r="A19" s="15" t="n">
        <v>17</v>
      </c>
      <c r="B19" s="13" t="inlineStr">
        <is>
          <t>الاستثمار</t>
        </is>
      </c>
      <c r="C19" s="21" t="inlineStr">
        <is>
          <t>عقود تشغيل المحطة الجديدة</t>
        </is>
      </c>
      <c r="D19" s="55" t="n">
        <v>49.4</v>
      </c>
      <c r="E19" s="55" t="n">
        <v>68</v>
      </c>
      <c r="F19" s="56" t="n">
        <v>0.7264705882352941</v>
      </c>
      <c r="G19" s="12" t="n">
        <v>0.2735294117647059</v>
      </c>
      <c r="H19" s="55" t="n">
        <v>98.8</v>
      </c>
      <c r="I19" s="15" t="inlineStr">
        <is>
          <t>🔴 تحت الهدف</t>
        </is>
      </c>
      <c r="J19" s="11" t="inlineStr">
        <is>
          <t>انحراف جوهري — أولوية عاجلة.</t>
        </is>
      </c>
      <c r="K19" s="11" t="inlineStr">
        <is>
          <t>إجراء تصحيحي خلال 30 يوماً.</t>
        </is>
      </c>
      <c r="L19" s="15" t="inlineStr">
        <is>
          <t>مدير الاستثمار</t>
        </is>
      </c>
      <c r="M19" s="57" t="n"/>
    </row>
    <row r="20">
      <c r="A20" s="15" t="n">
        <v>18</v>
      </c>
      <c r="B20" s="13" t="inlineStr">
        <is>
          <t>الصيانة والأتمتة</t>
        </is>
      </c>
      <c r="C20" s="21" t="inlineStr">
        <is>
          <t>كفاءة تكاليف الصيانة (الالتزام بالميزانية)</t>
        </is>
      </c>
      <c r="D20" s="55" t="n">
        <v>0.6919999999999999</v>
      </c>
      <c r="E20" s="55" t="n">
        <v>0.95</v>
      </c>
      <c r="F20" s="56" t="n">
        <v>0.728421052631579</v>
      </c>
      <c r="G20" s="12" t="n">
        <v>0.271578947368421</v>
      </c>
      <c r="H20" s="55" t="n">
        <v>0.6919999999999999</v>
      </c>
      <c r="I20" s="15" t="inlineStr">
        <is>
          <t>🔴 تحت الهدف</t>
        </is>
      </c>
      <c r="J20" s="11" t="inlineStr">
        <is>
          <t>انحراف جوهري — أولوية عاجلة.</t>
        </is>
      </c>
      <c r="K20" s="11" t="inlineStr">
        <is>
          <t>إجراء تصحيحي خلال 30 يوماً.</t>
        </is>
      </c>
      <c r="L20" s="15" t="inlineStr">
        <is>
          <t>مدير الصيانة والأتمتة</t>
        </is>
      </c>
      <c r="M20" s="57" t="n"/>
    </row>
    <row r="21">
      <c r="A21" s="15" t="n">
        <v>19</v>
      </c>
      <c r="B21" s="13" t="inlineStr">
        <is>
          <t>الإدارة القانونية</t>
        </is>
      </c>
      <c r="C21" s="21" t="inlineStr">
        <is>
          <t>نسبة الاستشارات المُنجزة ضمن المدة المستهدفة (SLA)</t>
        </is>
      </c>
      <c r="D21" s="55" t="n">
        <v>0.659</v>
      </c>
      <c r="E21" s="55" t="n">
        <v>0.9</v>
      </c>
      <c r="F21" s="56" t="n">
        <v>0.7322222222222222</v>
      </c>
      <c r="G21" s="12" t="n">
        <v>0.2677777777777778</v>
      </c>
      <c r="H21" s="55" t="n">
        <v>0.659</v>
      </c>
      <c r="I21" s="15" t="inlineStr">
        <is>
          <t>🔴 تحت الهدف</t>
        </is>
      </c>
      <c r="J21" s="11" t="inlineStr">
        <is>
          <t>انحراف جوهري — أولوية عاجلة.</t>
        </is>
      </c>
      <c r="K21" s="11" t="inlineStr">
        <is>
          <t>إجراء تصحيحي خلال 30 يوماً.</t>
        </is>
      </c>
      <c r="L21" s="15" t="inlineStr">
        <is>
          <t>المدير القانوني</t>
        </is>
      </c>
      <c r="M21" s="57" t="n"/>
    </row>
    <row r="22">
      <c r="A22" s="15" t="n">
        <v>20</v>
      </c>
      <c r="B22" s="13" t="inlineStr">
        <is>
          <t>الموارد البشرية</t>
        </is>
      </c>
      <c r="C22" s="21" t="inlineStr">
        <is>
          <t>نسبة إغلاق تقييمات الأداء وخطط الإحلال للوظائف الحرجة</t>
        </is>
      </c>
      <c r="D22" s="55" t="n">
        <v>0.696</v>
      </c>
      <c r="E22" s="55" t="n">
        <v>0.95</v>
      </c>
      <c r="F22" s="56" t="n">
        <v>0.7326315789473684</v>
      </c>
      <c r="G22" s="12" t="n">
        <v>0.2673684210526316</v>
      </c>
      <c r="H22" s="55" t="n">
        <v>0.696</v>
      </c>
      <c r="I22" s="15" t="inlineStr">
        <is>
          <t>🔴 تحت الهدف</t>
        </is>
      </c>
      <c r="J22" s="11" t="inlineStr">
        <is>
          <t>انحراف جوهري — أولوية عاجلة.</t>
        </is>
      </c>
      <c r="K22" s="11" t="inlineStr">
        <is>
          <t>إجراء تصحيحي خلال 30 يوماً.</t>
        </is>
      </c>
      <c r="L22" s="15" t="inlineStr">
        <is>
          <t>مدير الموارد البشرية</t>
        </is>
      </c>
      <c r="M22" s="57" t="n"/>
    </row>
    <row r="23">
      <c r="A23" s="15" t="n">
        <v>21</v>
      </c>
      <c r="B23" s="13" t="inlineStr">
        <is>
          <t>الامتياز التجاري</t>
        </is>
      </c>
      <c r="C23" s="21" t="inlineStr">
        <is>
          <t>عدد محطات الامتياز المشغّلة (تراكمي)</t>
        </is>
      </c>
      <c r="D23" s="55" t="n">
        <v>110</v>
      </c>
      <c r="E23" s="55" t="n">
        <v>150</v>
      </c>
      <c r="F23" s="56" t="n">
        <v>0.7333333333333333</v>
      </c>
      <c r="G23" s="12" t="n">
        <v>0.2666666666666667</v>
      </c>
      <c r="H23" s="55" t="n">
        <v>110</v>
      </c>
      <c r="I23" s="15" t="inlineStr">
        <is>
          <t>🔴 تحت الهدف</t>
        </is>
      </c>
      <c r="J23" s="11" t="inlineStr">
        <is>
          <t>انحراف جوهري — أولوية عاجلة.</t>
        </is>
      </c>
      <c r="K23" s="11" t="inlineStr">
        <is>
          <t>إجراء تصحيحي خلال 30 يوماً.</t>
        </is>
      </c>
      <c r="L23" s="15" t="inlineStr">
        <is>
          <t>مدير الامتياز</t>
        </is>
      </c>
      <c r="M23" s="57" t="n"/>
    </row>
    <row r="24">
      <c r="A24" s="15" t="n">
        <v>22</v>
      </c>
      <c r="B24" s="13" t="inlineStr">
        <is>
          <t>الإدارة المالية</t>
        </is>
      </c>
      <c r="C24" s="21" t="inlineStr">
        <is>
          <t>نسبة التحصيل العام (الشركة)</t>
        </is>
      </c>
      <c r="D24" s="55" t="n">
        <v>0.699</v>
      </c>
      <c r="E24" s="55" t="n">
        <v>0.95</v>
      </c>
      <c r="F24" s="56" t="n">
        <v>0.7357894736842105</v>
      </c>
      <c r="G24" s="12" t="n">
        <v>0.2642105263157895</v>
      </c>
      <c r="H24" s="55" t="n">
        <v>0.699</v>
      </c>
      <c r="I24" s="15" t="inlineStr">
        <is>
          <t>🔴 تحت الهدف</t>
        </is>
      </c>
      <c r="J24" s="11" t="inlineStr">
        <is>
          <t>انحراف جوهري — أولوية عاجلة.</t>
        </is>
      </c>
      <c r="K24" s="11" t="inlineStr">
        <is>
          <t>إجراء تصحيحي خلال 30 يوماً.</t>
        </is>
      </c>
      <c r="L24" s="15" t="inlineStr">
        <is>
          <t>المدير المالي</t>
        </is>
      </c>
      <c r="M24" s="57" t="n"/>
    </row>
    <row r="25">
      <c r="A25" s="15" t="n">
        <v>23</v>
      </c>
      <c r="B25" s="13" t="inlineStr">
        <is>
          <t>الاستثمار</t>
        </is>
      </c>
      <c r="C25" s="21" t="inlineStr">
        <is>
          <t>عقود تأجير الأرض الجديدة</t>
        </is>
      </c>
      <c r="D25" s="55" t="n">
        <v>8.1</v>
      </c>
      <c r="E25" s="55" t="n">
        <v>11</v>
      </c>
      <c r="F25" s="56" t="n">
        <v>0.7363636363636363</v>
      </c>
      <c r="G25" s="12" t="n">
        <v>0.2636363636363637</v>
      </c>
      <c r="H25" s="55" t="n">
        <v>16.2</v>
      </c>
      <c r="I25" s="15" t="inlineStr">
        <is>
          <t>🔴 تحت الهدف</t>
        </is>
      </c>
      <c r="J25" s="11" t="inlineStr">
        <is>
          <t>انحراف جوهري — أولوية عاجلة.</t>
        </is>
      </c>
      <c r="K25" s="11" t="inlineStr">
        <is>
          <t>إجراء تصحيحي خلال 30 يوماً.</t>
        </is>
      </c>
      <c r="L25" s="15" t="inlineStr">
        <is>
          <t>مدير الاستثمار</t>
        </is>
      </c>
      <c r="M25" s="57" t="n"/>
    </row>
    <row r="26">
      <c r="A26" s="15" t="n">
        <v>24</v>
      </c>
      <c r="B26" s="13" t="inlineStr">
        <is>
          <t>الاستثمار</t>
        </is>
      </c>
      <c r="C26" s="21" t="inlineStr">
        <is>
          <t>نسبة تخفيض إيجار المواقع عالية التكاليف</t>
        </is>
      </c>
      <c r="D26" s="55" t="n">
        <v>0.221</v>
      </c>
      <c r="E26" s="55" t="n">
        <v>0.3</v>
      </c>
      <c r="F26" s="56" t="n">
        <v>0.7366666666666667</v>
      </c>
      <c r="G26" s="12" t="n">
        <v>0.2633333333333333</v>
      </c>
      <c r="H26" s="55" t="n">
        <v>0.221</v>
      </c>
      <c r="I26" s="15" t="inlineStr">
        <is>
          <t>🔴 تحت الهدف</t>
        </is>
      </c>
      <c r="J26" s="11" t="inlineStr">
        <is>
          <t>انحراف جوهري — أولوية عاجلة.</t>
        </is>
      </c>
      <c r="K26" s="11" t="inlineStr">
        <is>
          <t>إجراء تصحيحي خلال 30 يوماً.</t>
        </is>
      </c>
      <c r="L26" s="15" t="inlineStr">
        <is>
          <t>مدير الاستثمار</t>
        </is>
      </c>
      <c r="M26" s="57" t="n"/>
    </row>
    <row r="27">
      <c r="A27" s="15" t="n">
        <v>25</v>
      </c>
      <c r="B27" s="13" t="inlineStr">
        <is>
          <t>الامتياز التجاري</t>
        </is>
      </c>
      <c r="C27" s="21" t="inlineStr">
        <is>
          <t>متوسط تقييم المحطات على خرائط قوقل</t>
        </is>
      </c>
      <c r="D27" s="55" t="n">
        <v>3.474</v>
      </c>
      <c r="E27" s="55" t="n">
        <v>4.7</v>
      </c>
      <c r="F27" s="56" t="n">
        <v>0.7391489361702128</v>
      </c>
      <c r="G27" s="12" t="n">
        <v>0.2608510638297872</v>
      </c>
      <c r="H27" s="55" t="n">
        <v>3.474</v>
      </c>
      <c r="I27" s="15" t="inlineStr">
        <is>
          <t>🔴 تحت الهدف</t>
        </is>
      </c>
      <c r="J27" s="11" t="inlineStr">
        <is>
          <t>انحراف جوهري — أولوية عاجلة.</t>
        </is>
      </c>
      <c r="K27" s="11" t="inlineStr">
        <is>
          <t>إجراء تصحيحي خلال 30 يوماً.</t>
        </is>
      </c>
      <c r="L27" s="15" t="inlineStr">
        <is>
          <t>مدير الامتياز</t>
        </is>
      </c>
      <c r="M27" s="57" t="n"/>
    </row>
    <row r="28">
      <c r="A28" s="15" t="n">
        <v>26</v>
      </c>
      <c r="B28" s="13" t="inlineStr">
        <is>
          <t>الإدارة المالية</t>
        </is>
      </c>
      <c r="C28" s="21" t="inlineStr">
        <is>
          <t>العائد على حقوق الملكية (ROE)</t>
        </is>
      </c>
      <c r="D28" s="55" t="n">
        <v>0.074</v>
      </c>
      <c r="E28" s="55" t="n">
        <v>0.1</v>
      </c>
      <c r="F28" s="56" t="n">
        <v>0.7399999999999999</v>
      </c>
      <c r="G28" s="12" t="n">
        <v>0.2600000000000001</v>
      </c>
      <c r="H28" s="55" t="n">
        <v>0.074</v>
      </c>
      <c r="I28" s="15" t="inlineStr">
        <is>
          <t>🔴 تحت الهدف</t>
        </is>
      </c>
      <c r="J28" s="11" t="inlineStr">
        <is>
          <t>انحراف جوهري — أولوية عاجلة.</t>
        </is>
      </c>
      <c r="K28" s="11" t="inlineStr">
        <is>
          <t>إجراء تصحيحي خلال 30 يوماً.</t>
        </is>
      </c>
      <c r="L28" s="15" t="inlineStr">
        <is>
          <t>المدير المالي</t>
        </is>
      </c>
      <c r="M28" s="57" t="n"/>
    </row>
    <row r="29">
      <c r="A29" s="15" t="n">
        <v>27</v>
      </c>
      <c r="B29" s="13" t="inlineStr">
        <is>
          <t>التشغيل والمحطات</t>
        </is>
      </c>
      <c r="C29" s="21" t="inlineStr">
        <is>
          <t>التشجير داخل المحطة (معيار الوزارة)</t>
        </is>
      </c>
      <c r="D29" s="55" t="n">
        <v>0.747</v>
      </c>
      <c r="E29" s="55" t="n">
        <v>1</v>
      </c>
      <c r="F29" s="56" t="n">
        <v>0.747</v>
      </c>
      <c r="G29" s="12" t="n">
        <v>0.253</v>
      </c>
      <c r="H29" s="55" t="n">
        <v>0.747</v>
      </c>
      <c r="I29" s="15" t="inlineStr">
        <is>
          <t>🔴 تحت الهدف</t>
        </is>
      </c>
      <c r="J29" s="11" t="inlineStr">
        <is>
          <t>انحراف جوهري — أولوية عاجلة.</t>
        </is>
      </c>
      <c r="K29" s="11" t="inlineStr">
        <is>
          <t>إجراء تصحيحي خلال 30 يوماً.</t>
        </is>
      </c>
      <c r="L29" s="15" t="inlineStr">
        <is>
          <t>مدير التشغيل</t>
        </is>
      </c>
      <c r="M29" s="57" t="n"/>
    </row>
    <row r="30">
      <c r="A30" s="15" t="n">
        <v>28</v>
      </c>
      <c r="B30" s="13" t="inlineStr">
        <is>
          <t>الامتياز التجاري</t>
        </is>
      </c>
      <c r="C30" s="21" t="inlineStr">
        <is>
          <t>نسبة أتمتة محطات الامتياز</t>
        </is>
      </c>
      <c r="D30" s="55" t="n">
        <v>0.674</v>
      </c>
      <c r="E30" s="55" t="n">
        <v>0.9</v>
      </c>
      <c r="F30" s="56" t="n">
        <v>0.7488888888888889</v>
      </c>
      <c r="G30" s="12" t="n">
        <v>0.2511111111111111</v>
      </c>
      <c r="H30" s="55" t="n">
        <v>0.674</v>
      </c>
      <c r="I30" s="15" t="inlineStr">
        <is>
          <t>🔴 تحت الهدف</t>
        </is>
      </c>
      <c r="J30" s="11" t="inlineStr">
        <is>
          <t>انحراف جوهري — أولوية عاجلة.</t>
        </is>
      </c>
      <c r="K30" s="11" t="inlineStr">
        <is>
          <t>إجراء تصحيحي خلال 30 يوماً.</t>
        </is>
      </c>
      <c r="L30" s="15" t="inlineStr">
        <is>
          <t>مدير الامتياز</t>
        </is>
      </c>
      <c r="M30" s="57" t="n"/>
    </row>
    <row r="31">
      <c r="A31" s="15" t="n">
        <v>29</v>
      </c>
      <c r="B31" s="13" t="inlineStr">
        <is>
          <t>الإدارة التنفيذية</t>
        </is>
      </c>
      <c r="C31" s="21" t="inlineStr">
        <is>
          <t>الالتزام بمعايير وزارة الطاقة (تغطية 13 منطقة)</t>
        </is>
      </c>
      <c r="D31" s="55" t="n">
        <v>0.749</v>
      </c>
      <c r="E31" s="55" t="n">
        <v>1</v>
      </c>
      <c r="F31" s="56" t="n">
        <v>0.749</v>
      </c>
      <c r="G31" s="12" t="n">
        <v>0.251</v>
      </c>
      <c r="H31" s="55" t="n">
        <v>0.749</v>
      </c>
      <c r="I31" s="15" t="inlineStr">
        <is>
          <t>🔴 تحت الهدف</t>
        </is>
      </c>
      <c r="J31" s="11" t="inlineStr">
        <is>
          <t>انحراف جوهري — أولوية عاجلة.</t>
        </is>
      </c>
      <c r="K31" s="11" t="inlineStr">
        <is>
          <t>إجراء تصحيحي خلال 30 يوماً.</t>
        </is>
      </c>
      <c r="L31" s="15" t="inlineStr">
        <is>
          <t>الرئيس التنفيذي</t>
        </is>
      </c>
      <c r="M31" s="57" t="n"/>
    </row>
    <row r="32">
      <c r="A32" s="15" t="n">
        <v>30</v>
      </c>
      <c r="B32" s="13" t="inlineStr">
        <is>
          <t>الإدارة التنفيذية</t>
        </is>
      </c>
      <c r="C32" s="21" t="inlineStr">
        <is>
          <t>مؤشر رضا الموظفين العام (eNPS)</t>
        </is>
      </c>
      <c r="D32" s="55" t="n">
        <v>22.5</v>
      </c>
      <c r="E32" s="55" t="n">
        <v>30</v>
      </c>
      <c r="F32" s="56" t="n">
        <v>0.75</v>
      </c>
      <c r="G32" s="12" t="n">
        <v>0.25</v>
      </c>
      <c r="H32" s="55" t="n">
        <v>22.5</v>
      </c>
      <c r="I32" s="15" t="inlineStr">
        <is>
          <t>🟡 قريب</t>
        </is>
      </c>
      <c r="J32" s="11" t="inlineStr">
        <is>
          <t>فجوة محدودة — متابعة.</t>
        </is>
      </c>
      <c r="K32" s="11" t="inlineStr">
        <is>
          <t>متابعة أسبوعية لإغلاق الفجوة.</t>
        </is>
      </c>
      <c r="L32" s="15" t="inlineStr">
        <is>
          <t>الرئيس التنفيذي</t>
        </is>
      </c>
      <c r="M32" s="57" t="n"/>
    </row>
    <row r="33">
      <c r="A33" s="15" t="n">
        <v>31</v>
      </c>
      <c r="B33" s="13" t="inlineStr">
        <is>
          <t>الاستثمار</t>
        </is>
      </c>
      <c r="C33" s="21" t="inlineStr">
        <is>
          <t>نسبة اكتمال المستندات النظامية قبل التوقيع</t>
        </is>
      </c>
      <c r="D33" s="55" t="n">
        <v>0.751</v>
      </c>
      <c r="E33" s="55" t="n">
        <v>1</v>
      </c>
      <c r="F33" s="56" t="n">
        <v>0.751</v>
      </c>
      <c r="G33" s="12" t="n">
        <v>0.249</v>
      </c>
      <c r="H33" s="55" t="n">
        <v>0.751</v>
      </c>
      <c r="I33" s="15" t="inlineStr">
        <is>
          <t>🔴 تحت الهدف</t>
        </is>
      </c>
      <c r="J33" s="11" t="inlineStr">
        <is>
          <t>انحراف جوهري — أولوية عاجلة.</t>
        </is>
      </c>
      <c r="K33" s="11" t="inlineStr">
        <is>
          <t>إجراء تصحيحي خلال 30 يوماً.</t>
        </is>
      </c>
      <c r="L33" s="15" t="inlineStr">
        <is>
          <t>مدير الاستثمار</t>
        </is>
      </c>
      <c r="M33" s="57" t="n"/>
    </row>
    <row r="34">
      <c r="A34" s="15" t="n">
        <v>32</v>
      </c>
      <c r="B34" s="13" t="inlineStr">
        <is>
          <t>التقنية الرقمية</t>
        </is>
      </c>
      <c r="C34" s="21" t="inlineStr">
        <is>
          <t>نسبة الالتزام بإدارة صلاحيات المستخدمين والحسابات</t>
        </is>
      </c>
      <c r="D34" s="55" t="n">
        <v>0.756</v>
      </c>
      <c r="E34" s="55" t="n">
        <v>1</v>
      </c>
      <c r="F34" s="56" t="n">
        <v>0.756</v>
      </c>
      <c r="G34" s="12" t="n">
        <v>0.244</v>
      </c>
      <c r="H34" s="55" t="n">
        <v>0.756</v>
      </c>
      <c r="I34" s="15" t="inlineStr">
        <is>
          <t>🔴 تحت الهدف</t>
        </is>
      </c>
      <c r="J34" s="11" t="inlineStr">
        <is>
          <t>انحراف جوهري — أولوية عاجلة.</t>
        </is>
      </c>
      <c r="K34" s="11" t="inlineStr">
        <is>
          <t>إجراء تصحيحي خلال 30 يوماً.</t>
        </is>
      </c>
      <c r="L34" s="15" t="inlineStr">
        <is>
          <t>مدير التقنية</t>
        </is>
      </c>
      <c r="M34" s="57" t="n"/>
    </row>
    <row r="35">
      <c r="A35" s="15" t="n">
        <v>33</v>
      </c>
      <c r="B35" s="13" t="inlineStr">
        <is>
          <t>الإدارة القانونية</t>
        </is>
      </c>
      <c r="C35" s="21" t="inlineStr">
        <is>
          <t>نسبة التحقيقات المُغلقة من إجمالي المُحالة</t>
        </is>
      </c>
      <c r="D35" s="55" t="n">
        <v>0.719</v>
      </c>
      <c r="E35" s="55" t="n">
        <v>0.95</v>
      </c>
      <c r="F35" s="56" t="n">
        <v>0.7568421052631579</v>
      </c>
      <c r="G35" s="12" t="n">
        <v>0.2431578947368421</v>
      </c>
      <c r="H35" s="55" t="n">
        <v>0.719</v>
      </c>
      <c r="I35" s="15" t="inlineStr">
        <is>
          <t>🔴 تحت الهدف</t>
        </is>
      </c>
      <c r="J35" s="11" t="inlineStr">
        <is>
          <t>انحراف جوهري — أولوية عاجلة.</t>
        </is>
      </c>
      <c r="K35" s="11" t="inlineStr">
        <is>
          <t>إجراء تصحيحي خلال 30 يوماً.</t>
        </is>
      </c>
      <c r="L35" s="15" t="inlineStr">
        <is>
          <t>المدير القانوني</t>
        </is>
      </c>
      <c r="M35" s="57" t="n"/>
    </row>
    <row r="36">
      <c r="A36" s="15" t="n">
        <v>34</v>
      </c>
      <c r="B36" s="13" t="inlineStr">
        <is>
          <t>التشغيل والمحطات</t>
        </is>
      </c>
      <c r="C36" s="21" t="inlineStr">
        <is>
          <t>نمو مبيعات بنزين 98 مقارنة بالعام السابق</t>
        </is>
      </c>
      <c r="D36" s="55" t="n">
        <v>0.076</v>
      </c>
      <c r="E36" s="55" t="n">
        <v>0.1</v>
      </c>
      <c r="F36" s="56" t="n">
        <v>0.7599999999999999</v>
      </c>
      <c r="G36" s="12" t="n">
        <v>0.2400000000000001</v>
      </c>
      <c r="H36" s="55" t="n">
        <v>0.076</v>
      </c>
      <c r="I36" s="15" t="inlineStr">
        <is>
          <t>🔴 تحت الهدف</t>
        </is>
      </c>
      <c r="J36" s="11" t="inlineStr">
        <is>
          <t>انحراف جوهري — أولوية عاجلة.</t>
        </is>
      </c>
      <c r="K36" s="11" t="inlineStr">
        <is>
          <t>إجراء تصحيحي خلال 30 يوماً.</t>
        </is>
      </c>
      <c r="L36" s="15" t="inlineStr">
        <is>
          <t>مدير التشغيل</t>
        </is>
      </c>
      <c r="M36" s="57" t="n"/>
    </row>
    <row r="37">
      <c r="A37" s="15" t="n">
        <v>35</v>
      </c>
      <c r="B37" s="13" t="inlineStr">
        <is>
          <t>الإدارة القانونية</t>
        </is>
      </c>
      <c r="C37" s="21" t="inlineStr">
        <is>
          <t>نسبة التزام التحقيقات بالإجراءات النظامية والعدالة الإجرائية</t>
        </is>
      </c>
      <c r="D37" s="55" t="n">
        <v>0.76</v>
      </c>
      <c r="E37" s="55" t="n">
        <v>1</v>
      </c>
      <c r="F37" s="56" t="n">
        <v>0.76</v>
      </c>
      <c r="G37" s="12" t="n">
        <v>0.24</v>
      </c>
      <c r="H37" s="55" t="n">
        <v>0.76</v>
      </c>
      <c r="I37" s="15" t="inlineStr">
        <is>
          <t>🔴 تحت الهدف</t>
        </is>
      </c>
      <c r="J37" s="11" t="inlineStr">
        <is>
          <t>انحراف جوهري — أولوية عاجلة.</t>
        </is>
      </c>
      <c r="K37" s="11" t="inlineStr">
        <is>
          <t>إجراء تصحيحي خلال 30 يوماً.</t>
        </is>
      </c>
      <c r="L37" s="15" t="inlineStr">
        <is>
          <t>المدير القانوني</t>
        </is>
      </c>
      <c r="M37" s="57" t="n"/>
    </row>
    <row r="38">
      <c r="A38" s="15" t="n">
        <v>36</v>
      </c>
      <c r="B38" s="13" t="inlineStr">
        <is>
          <t>الإدارة المالية</t>
        </is>
      </c>
      <c r="C38" s="21" t="inlineStr">
        <is>
          <t>دقة تسوية أرامكو</t>
        </is>
      </c>
      <c r="D38" s="55" t="n">
        <v>0.76</v>
      </c>
      <c r="E38" s="55" t="n">
        <v>1</v>
      </c>
      <c r="F38" s="56" t="n">
        <v>0.76</v>
      </c>
      <c r="G38" s="12" t="n">
        <v>0.24</v>
      </c>
      <c r="H38" s="55" t="n">
        <v>0.76</v>
      </c>
      <c r="I38" s="15" t="inlineStr">
        <is>
          <t>🔴 تحت الهدف</t>
        </is>
      </c>
      <c r="J38" s="11" t="inlineStr">
        <is>
          <t>انحراف جوهري — أولوية عاجلة.</t>
        </is>
      </c>
      <c r="K38" s="11" t="inlineStr">
        <is>
          <t>إجراء تصحيحي خلال 30 يوماً.</t>
        </is>
      </c>
      <c r="L38" s="15" t="inlineStr">
        <is>
          <t>المدير المالي</t>
        </is>
      </c>
      <c r="M38" s="57" t="n"/>
    </row>
    <row r="39">
      <c r="A39" s="15" t="n">
        <v>37</v>
      </c>
      <c r="B39" s="13" t="inlineStr">
        <is>
          <t>الجودة</t>
        </is>
      </c>
      <c r="C39" s="21" t="inlineStr">
        <is>
          <t>نسبة فعالية الإجراءات التصحيحية</t>
        </is>
      </c>
      <c r="D39" s="55" t="n">
        <v>0.648</v>
      </c>
      <c r="E39" s="55" t="n">
        <v>0.85</v>
      </c>
      <c r="F39" s="56" t="n">
        <v>0.7623529411764707</v>
      </c>
      <c r="G39" s="12" t="n">
        <v>0.2376470588235293</v>
      </c>
      <c r="H39" s="55" t="n">
        <v>0.648</v>
      </c>
      <c r="I39" s="15" t="inlineStr">
        <is>
          <t>🔴 تحت الهدف</t>
        </is>
      </c>
      <c r="J39" s="11" t="inlineStr">
        <is>
          <t>انحراف جوهري — أولوية عاجلة.</t>
        </is>
      </c>
      <c r="K39" s="11" t="inlineStr">
        <is>
          <t>إجراء تصحيحي خلال 30 يوماً.</t>
        </is>
      </c>
      <c r="L39" s="15" t="inlineStr">
        <is>
          <t>مدير الجودة</t>
        </is>
      </c>
      <c r="M39" s="57" t="n"/>
    </row>
    <row r="40">
      <c r="A40" s="15" t="n">
        <v>38</v>
      </c>
      <c r="B40" s="13" t="inlineStr">
        <is>
          <t>الجودة</t>
        </is>
      </c>
      <c r="C40" s="21" t="inlineStr">
        <is>
          <t>نسبة إغلاق الملاحظات في الوقت المحدد</t>
        </is>
      </c>
      <c r="D40" s="55" t="n">
        <v>0.6870000000000001</v>
      </c>
      <c r="E40" s="55" t="n">
        <v>0.9</v>
      </c>
      <c r="F40" s="56" t="n">
        <v>0.7633333333333334</v>
      </c>
      <c r="G40" s="12" t="n">
        <v>0.2366666666666666</v>
      </c>
      <c r="H40" s="55" t="n">
        <v>0.6870000000000001</v>
      </c>
      <c r="I40" s="15" t="inlineStr">
        <is>
          <t>🔴 تحت الهدف</t>
        </is>
      </c>
      <c r="J40" s="11" t="inlineStr">
        <is>
          <t>انحراف جوهري — أولوية عاجلة.</t>
        </is>
      </c>
      <c r="K40" s="11" t="inlineStr">
        <is>
          <t>إجراء تصحيحي خلال 30 يوماً.</t>
        </is>
      </c>
      <c r="L40" s="15" t="inlineStr">
        <is>
          <t>مدير الجودة</t>
        </is>
      </c>
      <c r="M40" s="57" t="n"/>
    </row>
    <row r="41">
      <c r="A41" s="15" t="n">
        <v>39</v>
      </c>
      <c r="B41" s="13" t="inlineStr">
        <is>
          <t>الجودة</t>
        </is>
      </c>
      <c r="C41" s="21" t="inlineStr">
        <is>
          <t>نسبة تنفيذ خطة التفتيش والتدقيق</t>
        </is>
      </c>
      <c r="D41" s="55" t="n">
        <v>0.728</v>
      </c>
      <c r="E41" s="55" t="n">
        <v>0.95</v>
      </c>
      <c r="F41" s="56" t="n">
        <v>0.7663157894736842</v>
      </c>
      <c r="G41" s="12" t="n">
        <v>0.2336842105263158</v>
      </c>
      <c r="H41" s="55" t="n">
        <v>0.728</v>
      </c>
      <c r="I41" s="15" t="inlineStr">
        <is>
          <t>🔴 تحت الهدف</t>
        </is>
      </c>
      <c r="J41" s="11" t="inlineStr">
        <is>
          <t>انحراف جوهري — أولوية عاجلة.</t>
        </is>
      </c>
      <c r="K41" s="11" t="inlineStr">
        <is>
          <t>إجراء تصحيحي خلال 30 يوماً.</t>
        </is>
      </c>
      <c r="L41" s="15" t="inlineStr">
        <is>
          <t>مدير الجودة</t>
        </is>
      </c>
      <c r="M41" s="57" t="n"/>
    </row>
    <row r="42">
      <c r="A42" s="15" t="n">
        <v>40</v>
      </c>
      <c r="B42" s="13" t="inlineStr">
        <is>
          <t>الموارد البشرية</t>
        </is>
      </c>
      <c r="C42" s="21" t="inlineStr">
        <is>
          <t>نسبة تنفيذ برامج التدريب والتأهيل المعتمدة</t>
        </is>
      </c>
      <c r="D42" s="55" t="n">
        <v>0.6899999999999999</v>
      </c>
      <c r="E42" s="55" t="n">
        <v>0.9</v>
      </c>
      <c r="F42" s="56" t="n">
        <v>0.7666666666666666</v>
      </c>
      <c r="G42" s="12" t="n">
        <v>0.2333333333333334</v>
      </c>
      <c r="H42" s="55" t="n">
        <v>0.6899999999999999</v>
      </c>
      <c r="I42" s="15" t="inlineStr">
        <is>
          <t>🔴 تحت الهدف</t>
        </is>
      </c>
      <c r="J42" s="11" t="inlineStr">
        <is>
          <t>انحراف جوهري — أولوية عاجلة.</t>
        </is>
      </c>
      <c r="K42" s="11" t="inlineStr">
        <is>
          <t>إجراء تصحيحي خلال 30 يوماً.</t>
        </is>
      </c>
      <c r="L42" s="15" t="inlineStr">
        <is>
          <t>مدير الموارد البشرية</t>
        </is>
      </c>
      <c r="M42" s="57" t="n"/>
    </row>
    <row r="43">
      <c r="A43" s="15" t="n">
        <v>41</v>
      </c>
      <c r="B43" s="13" t="inlineStr">
        <is>
          <t>الإدارة التنفيذية</t>
        </is>
      </c>
      <c r="C43" s="21" t="inlineStr">
        <is>
          <t>نسبة الالتزام بإطار الحوكمة المؤسسية والامتثال التنظيمي</t>
        </is>
      </c>
      <c r="D43" s="55" t="n">
        <v>0.729</v>
      </c>
      <c r="E43" s="55" t="n">
        <v>0.95</v>
      </c>
      <c r="F43" s="56" t="n">
        <v>0.7673684210526316</v>
      </c>
      <c r="G43" s="12" t="n">
        <v>0.2326315789473684</v>
      </c>
      <c r="H43" s="55" t="n">
        <v>0.729</v>
      </c>
      <c r="I43" s="15" t="inlineStr">
        <is>
          <t>🔴 تحت الهدف</t>
        </is>
      </c>
      <c r="J43" s="11" t="inlineStr">
        <is>
          <t>انحراف جوهري — أولوية عاجلة.</t>
        </is>
      </c>
      <c r="K43" s="11" t="inlineStr">
        <is>
          <t>إجراء تصحيحي خلال 30 يوماً.</t>
        </is>
      </c>
      <c r="L43" s="15" t="inlineStr">
        <is>
          <t>الرئيس التنفيذي</t>
        </is>
      </c>
      <c r="M43" s="57" t="n"/>
    </row>
    <row r="44">
      <c r="A44" s="15" t="n">
        <v>42</v>
      </c>
      <c r="B44" s="13" t="inlineStr">
        <is>
          <t>الإدارة المالية</t>
        </is>
      </c>
      <c r="C44" s="21" t="inlineStr">
        <is>
          <t>سداد الموردين في الموعد</t>
        </is>
      </c>
      <c r="D44" s="55" t="n">
        <v>0.754</v>
      </c>
      <c r="E44" s="55" t="n">
        <v>0.98</v>
      </c>
      <c r="F44" s="56" t="n">
        <v>0.7693877551020408</v>
      </c>
      <c r="G44" s="12" t="n">
        <v>0.2306122448979592</v>
      </c>
      <c r="H44" s="55" t="n">
        <v>0.754</v>
      </c>
      <c r="I44" s="15" t="inlineStr">
        <is>
          <t>🔴 تحت الهدف</t>
        </is>
      </c>
      <c r="J44" s="11" t="inlineStr">
        <is>
          <t>انحراف جوهري — أولوية عاجلة.</t>
        </is>
      </c>
      <c r="K44" s="11" t="inlineStr">
        <is>
          <t>إجراء تصحيحي خلال 30 يوماً.</t>
        </is>
      </c>
      <c r="L44" s="15" t="inlineStr">
        <is>
          <t>المدير المالي</t>
        </is>
      </c>
      <c r="M44" s="57" t="n"/>
    </row>
    <row r="45">
      <c r="A45" s="15" t="n">
        <v>43</v>
      </c>
      <c r="B45" s="13" t="inlineStr">
        <is>
          <t>الموارد البشرية</t>
        </is>
      </c>
      <c r="C45" s="21" t="inlineStr">
        <is>
          <t>نسبة الالتزام بالتوطين والامتثال الحكومي دون مخالفات</t>
        </is>
      </c>
      <c r="D45" s="55" t="n">
        <v>0.77</v>
      </c>
      <c r="E45" s="55" t="n">
        <v>1</v>
      </c>
      <c r="F45" s="56" t="n">
        <v>0.77</v>
      </c>
      <c r="G45" s="12" t="n">
        <v>0.23</v>
      </c>
      <c r="H45" s="55" t="n">
        <v>0.77</v>
      </c>
      <c r="I45" s="15" t="inlineStr">
        <is>
          <t>🔴 تحت الهدف</t>
        </is>
      </c>
      <c r="J45" s="11" t="inlineStr">
        <is>
          <t>انحراف جوهري — أولوية عاجلة.</t>
        </is>
      </c>
      <c r="K45" s="11" t="inlineStr">
        <is>
          <t>إجراء تصحيحي خلال 30 يوماً.</t>
        </is>
      </c>
      <c r="L45" s="15" t="inlineStr">
        <is>
          <t>مدير الموارد البشرية</t>
        </is>
      </c>
      <c r="M45" s="57" t="n"/>
    </row>
    <row r="46">
      <c r="A46" s="15" t="n">
        <v>44</v>
      </c>
      <c r="B46" s="13" t="inlineStr">
        <is>
          <t>إدارة المشاريع</t>
        </is>
      </c>
      <c r="C46" s="21" t="inlineStr">
        <is>
          <t>نسبة المشاريع الخالية من مخالفات الجودة</t>
        </is>
      </c>
      <c r="D46" s="55" t="n">
        <v>0.697</v>
      </c>
      <c r="E46" s="55" t="n">
        <v>0.9</v>
      </c>
      <c r="F46" s="56" t="n">
        <v>0.7744444444444444</v>
      </c>
      <c r="G46" s="12" t="n">
        <v>0.2255555555555556</v>
      </c>
      <c r="H46" s="55" t="n">
        <v>0.697</v>
      </c>
      <c r="I46" s="15" t="inlineStr">
        <is>
          <t>🔴 تحت الهدف</t>
        </is>
      </c>
      <c r="J46" s="11" t="inlineStr">
        <is>
          <t>انحراف جوهري — أولوية عاجلة.</t>
        </is>
      </c>
      <c r="K46" s="11" t="inlineStr">
        <is>
          <t>إجراء تصحيحي خلال 30 يوماً.</t>
        </is>
      </c>
      <c r="L46" s="15" t="inlineStr">
        <is>
          <t>مدير إدارة المشاريع</t>
        </is>
      </c>
      <c r="M46" s="57" t="n"/>
    </row>
    <row r="47">
      <c r="A47" s="15" t="n">
        <v>45</v>
      </c>
      <c r="B47" s="13" t="inlineStr">
        <is>
          <t>الاستثمار</t>
        </is>
      </c>
      <c r="C47" s="21" t="inlineStr">
        <is>
          <t>نسبة العقود المؤرشفة إلكترونياً خلال 48 ساعة</t>
        </is>
      </c>
      <c r="D47" s="55" t="n">
        <v>0.736</v>
      </c>
      <c r="E47" s="55" t="n">
        <v>0.95</v>
      </c>
      <c r="F47" s="56" t="n">
        <v>0.7747368421052632</v>
      </c>
      <c r="G47" s="12" t="n">
        <v>0.2252631578947368</v>
      </c>
      <c r="H47" s="55" t="n">
        <v>0.736</v>
      </c>
      <c r="I47" s="15" t="inlineStr">
        <is>
          <t>🔴 تحت الهدف</t>
        </is>
      </c>
      <c r="J47" s="11" t="inlineStr">
        <is>
          <t>انحراف جوهري — أولوية عاجلة.</t>
        </is>
      </c>
      <c r="K47" s="11" t="inlineStr">
        <is>
          <t>إجراء تصحيحي خلال 30 يوماً.</t>
        </is>
      </c>
      <c r="L47" s="15" t="inlineStr">
        <is>
          <t>مدير الاستثمار</t>
        </is>
      </c>
      <c r="M47" s="57" t="n"/>
    </row>
    <row r="48">
      <c r="A48" s="15" t="n">
        <v>46</v>
      </c>
      <c r="B48" s="13" t="inlineStr">
        <is>
          <t>الإدارة المالية</t>
        </is>
      </c>
      <c r="C48" s="21" t="inlineStr">
        <is>
          <t>هامش EBITDA</t>
        </is>
      </c>
      <c r="D48" s="55" t="n">
        <v>0.062</v>
      </c>
      <c r="E48" s="55" t="n">
        <v>0.08</v>
      </c>
      <c r="F48" s="56" t="n">
        <v>0.775</v>
      </c>
      <c r="G48" s="12" t="n">
        <v>0.225</v>
      </c>
      <c r="H48" s="55" t="n">
        <v>0.062</v>
      </c>
      <c r="I48" s="15" t="inlineStr">
        <is>
          <t>🔴 تحت الهدف</t>
        </is>
      </c>
      <c r="J48" s="11" t="inlineStr">
        <is>
          <t>انحراف جوهري — أولوية عاجلة.</t>
        </is>
      </c>
      <c r="K48" s="11" t="inlineStr">
        <is>
          <t>إجراء تصحيحي خلال 30 يوماً.</t>
        </is>
      </c>
      <c r="L48" s="15" t="inlineStr">
        <is>
          <t>المدير المالي</t>
        </is>
      </c>
      <c r="M48" s="57" t="n"/>
    </row>
    <row r="49">
      <c r="A49" s="15" t="n">
        <v>47</v>
      </c>
      <c r="B49" s="13" t="inlineStr">
        <is>
          <t>العقار</t>
        </is>
      </c>
      <c r="C49" s="21" t="inlineStr">
        <is>
          <t>نسبة إغلاق الطلبات خلال 3 أسابيع</t>
        </is>
      </c>
      <c r="D49" s="55" t="n">
        <v>0.698</v>
      </c>
      <c r="E49" s="55" t="n">
        <v>0.9</v>
      </c>
      <c r="F49" s="56" t="n">
        <v>0.7755555555555554</v>
      </c>
      <c r="G49" s="12" t="n">
        <v>0.2244444444444446</v>
      </c>
      <c r="H49" s="55" t="n">
        <v>0.698</v>
      </c>
      <c r="I49" s="15" t="inlineStr">
        <is>
          <t>🔴 تحت الهدف</t>
        </is>
      </c>
      <c r="J49" s="11" t="inlineStr">
        <is>
          <t>انحراف جوهري — أولوية عاجلة.</t>
        </is>
      </c>
      <c r="K49" s="11" t="inlineStr">
        <is>
          <t>إجراء تصحيحي خلال 30 يوماً.</t>
        </is>
      </c>
      <c r="L49" s="15" t="inlineStr">
        <is>
          <t>مدير العقار</t>
        </is>
      </c>
      <c r="M49" s="57" t="n"/>
    </row>
    <row r="50">
      <c r="A50" s="15" t="n">
        <v>48</v>
      </c>
      <c r="B50" s="13" t="inlineStr">
        <is>
          <t>التقنية الرقمية</t>
        </is>
      </c>
      <c r="C50" s="21" t="inlineStr">
        <is>
          <t>نسبة تسليم المشاريع التقنية ضمن الوقت والميزانية ونطاق العمل المعتمد</t>
        </is>
      </c>
      <c r="D50" s="55" t="n">
        <v>0.701</v>
      </c>
      <c r="E50" s="55" t="n">
        <v>0.9</v>
      </c>
      <c r="F50" s="56" t="n">
        <v>0.7788888888888889</v>
      </c>
      <c r="G50" s="12" t="n">
        <v>0.2211111111111111</v>
      </c>
      <c r="H50" s="55" t="n">
        <v>0.701</v>
      </c>
      <c r="I50" s="15" t="inlineStr">
        <is>
          <t>🔴 تحت الهدف</t>
        </is>
      </c>
      <c r="J50" s="11" t="inlineStr">
        <is>
          <t>انحراف جوهري — أولوية عاجلة.</t>
        </is>
      </c>
      <c r="K50" s="11" t="inlineStr">
        <is>
          <t>إجراء تصحيحي خلال 30 يوماً.</t>
        </is>
      </c>
      <c r="L50" s="15" t="inlineStr">
        <is>
          <t>مدير التقنية</t>
        </is>
      </c>
      <c r="M50" s="57" t="n"/>
    </row>
    <row r="51">
      <c r="A51" s="15" t="n">
        <v>49</v>
      </c>
      <c r="B51" s="13" t="inlineStr">
        <is>
          <t>التقنية الرقمية</t>
        </is>
      </c>
      <c r="C51" s="21" t="inlineStr">
        <is>
          <t>نسبة معالجة الأعطال وطلبات الدعم الفني ضمن المدة المستهدفة SLA</t>
        </is>
      </c>
      <c r="D51" s="55" t="n">
        <v>0.74</v>
      </c>
      <c r="E51" s="55" t="n">
        <v>0.95</v>
      </c>
      <c r="F51" s="56" t="n">
        <v>0.7789473684210526</v>
      </c>
      <c r="G51" s="12" t="n">
        <v>0.2210526315789474</v>
      </c>
      <c r="H51" s="55" t="n">
        <v>0.74</v>
      </c>
      <c r="I51" s="15" t="inlineStr">
        <is>
          <t>🔴 تحت الهدف</t>
        </is>
      </c>
      <c r="J51" s="11" t="inlineStr">
        <is>
          <t>انحراف جوهري — أولوية عاجلة.</t>
        </is>
      </c>
      <c r="K51" s="11" t="inlineStr">
        <is>
          <t>إجراء تصحيحي خلال 30 يوماً.</t>
        </is>
      </c>
      <c r="L51" s="15" t="inlineStr">
        <is>
          <t>مدير التقنية</t>
        </is>
      </c>
      <c r="M51" s="57" t="n"/>
    </row>
    <row r="52">
      <c r="A52" s="15" t="n">
        <v>50</v>
      </c>
      <c r="B52" s="13" t="inlineStr">
        <is>
          <t>الإدارة المالية</t>
        </is>
      </c>
      <c r="C52" s="21" t="inlineStr">
        <is>
          <t>دقة مطابقة المخزون</t>
        </is>
      </c>
      <c r="D52" s="55" t="n">
        <v>0.776</v>
      </c>
      <c r="E52" s="55" t="n">
        <v>0.995</v>
      </c>
      <c r="F52" s="56" t="n">
        <v>0.7798994974874373</v>
      </c>
      <c r="G52" s="12" t="n">
        <v>0.2201005025125627</v>
      </c>
      <c r="H52" s="55" t="n">
        <v>0.776</v>
      </c>
      <c r="I52" s="15" t="inlineStr">
        <is>
          <t>🔴 تحت الهدف</t>
        </is>
      </c>
      <c r="J52" s="11" t="inlineStr">
        <is>
          <t>انحراف جوهري — أولوية عاجلة.</t>
        </is>
      </c>
      <c r="K52" s="11" t="inlineStr">
        <is>
          <t>إجراء تصحيحي خلال 30 يوماً.</t>
        </is>
      </c>
      <c r="L52" s="15" t="inlineStr">
        <is>
          <t>المدير المالي</t>
        </is>
      </c>
      <c r="M52" s="57" t="n"/>
    </row>
    <row r="53">
      <c r="A53" s="15" t="n">
        <v>51</v>
      </c>
      <c r="B53" s="13" t="inlineStr">
        <is>
          <t>الإدارة المالية</t>
        </is>
      </c>
      <c r="C53" s="21" t="inlineStr">
        <is>
          <t>معدل تجديد عقود الإيجار</t>
        </is>
      </c>
      <c r="D53" s="55" t="n">
        <v>0.702</v>
      </c>
      <c r="E53" s="55" t="n">
        <v>0.9</v>
      </c>
      <c r="F53" s="56" t="n">
        <v>0.7799999999999999</v>
      </c>
      <c r="G53" s="12" t="n">
        <v>0.2200000000000001</v>
      </c>
      <c r="H53" s="55" t="n">
        <v>0.702</v>
      </c>
      <c r="I53" s="15" t="inlineStr">
        <is>
          <t>🔴 تحت الهدف</t>
        </is>
      </c>
      <c r="J53" s="11" t="inlineStr">
        <is>
          <t>انحراف جوهري — أولوية عاجلة.</t>
        </is>
      </c>
      <c r="K53" s="11" t="inlineStr">
        <is>
          <t>إجراء تصحيحي خلال 30 يوماً.</t>
        </is>
      </c>
      <c r="L53" s="15" t="inlineStr">
        <is>
          <t>المدير المالي</t>
        </is>
      </c>
      <c r="M53" s="57" t="n"/>
    </row>
    <row r="54">
      <c r="A54" s="15" t="n">
        <v>52</v>
      </c>
      <c r="B54" s="13" t="inlineStr">
        <is>
          <t>سلاسل الإمداد</t>
        </is>
      </c>
      <c r="C54" s="21" t="inlineStr">
        <is>
          <t>نسبة توفر المواد المخزنية والحرجة</t>
        </is>
      </c>
      <c r="D54" s="55" t="n">
        <v>0.766</v>
      </c>
      <c r="E54" s="55" t="n">
        <v>0.98</v>
      </c>
      <c r="F54" s="56" t="n">
        <v>0.7816326530612245</v>
      </c>
      <c r="G54" s="12" t="n">
        <v>0.2183673469387755</v>
      </c>
      <c r="H54" s="55" t="n">
        <v>0.766</v>
      </c>
      <c r="I54" s="15" t="inlineStr">
        <is>
          <t>🔴 تحت الهدف</t>
        </is>
      </c>
      <c r="J54" s="11" t="inlineStr">
        <is>
          <t>انحراف جوهري — أولوية عاجلة.</t>
        </is>
      </c>
      <c r="K54" s="11" t="inlineStr">
        <is>
          <t>إجراء تصحيحي خلال 30 يوماً.</t>
        </is>
      </c>
      <c r="L54" s="15" t="inlineStr">
        <is>
          <t>مدير سلاسل الإمداد</t>
        </is>
      </c>
      <c r="M54" s="57" t="n"/>
    </row>
    <row r="55">
      <c r="A55" s="15" t="n">
        <v>53</v>
      </c>
      <c r="B55" s="13" t="inlineStr">
        <is>
          <t>العقار</t>
        </is>
      </c>
      <c r="C55" s="21" t="inlineStr">
        <is>
          <t>العملاء المحتملون (LEADS)</t>
        </is>
      </c>
      <c r="D55" s="55" t="n">
        <v>531.8</v>
      </c>
      <c r="E55" s="55" t="n">
        <v>680</v>
      </c>
      <c r="F55" s="56" t="n">
        <v>0.7820588235294117</v>
      </c>
      <c r="G55" s="12" t="n">
        <v>0.2179411764705883</v>
      </c>
      <c r="H55" s="55" t="n">
        <v>531.8</v>
      </c>
      <c r="I55" s="15" t="inlineStr">
        <is>
          <t>🔴 تحت الهدف</t>
        </is>
      </c>
      <c r="J55" s="11" t="inlineStr">
        <is>
          <t>انحراف جوهري — أولوية عاجلة.</t>
        </is>
      </c>
      <c r="K55" s="11" t="inlineStr">
        <is>
          <t>إجراء تصحيحي خلال 30 يوماً.</t>
        </is>
      </c>
      <c r="L55" s="15" t="inlineStr">
        <is>
          <t>مدير العقار</t>
        </is>
      </c>
      <c r="M55" s="57" t="n"/>
    </row>
    <row r="56">
      <c r="A56" s="15" t="n">
        <v>54</v>
      </c>
      <c r="B56" s="13" t="inlineStr">
        <is>
          <t>الصيانة والأتمتة</t>
        </is>
      </c>
      <c r="C56" s="21" t="inlineStr">
        <is>
          <t>نسبة إغلاق بلاغات الصيانة ضمن اتفاقية الخدمة (SLA)</t>
        </is>
      </c>
      <c r="D56" s="55" t="n">
        <v>0.744</v>
      </c>
      <c r="E56" s="55" t="n">
        <v>0.95</v>
      </c>
      <c r="F56" s="56" t="n">
        <v>0.7831578947368422</v>
      </c>
      <c r="G56" s="12" t="n">
        <v>0.2168421052631578</v>
      </c>
      <c r="H56" s="55" t="n">
        <v>0.744</v>
      </c>
      <c r="I56" s="15" t="inlineStr">
        <is>
          <t>🔴 تحت الهدف</t>
        </is>
      </c>
      <c r="J56" s="11" t="inlineStr">
        <is>
          <t>انحراف جوهري — أولوية عاجلة.</t>
        </is>
      </c>
      <c r="K56" s="11" t="inlineStr">
        <is>
          <t>إجراء تصحيحي خلال 30 يوماً.</t>
        </is>
      </c>
      <c r="L56" s="15" t="inlineStr">
        <is>
          <t>مدير الصيانة والأتمتة</t>
        </is>
      </c>
      <c r="M56" s="57" t="n"/>
    </row>
    <row r="57">
      <c r="A57" s="15" t="n">
        <v>55</v>
      </c>
      <c r="B57" s="13" t="inlineStr">
        <is>
          <t>الامتياز التجاري</t>
        </is>
      </c>
      <c r="C57" s="21" t="inlineStr">
        <is>
          <t>نسبة الشركاء الملتزمين بمواعيد السداد</t>
        </is>
      </c>
      <c r="D57" s="55" t="n">
        <v>0.705</v>
      </c>
      <c r="E57" s="55" t="n">
        <v>0.9</v>
      </c>
      <c r="F57" s="56" t="n">
        <v>0.7833333333333332</v>
      </c>
      <c r="G57" s="12" t="n">
        <v>0.2166666666666668</v>
      </c>
      <c r="H57" s="55" t="n">
        <v>0.705</v>
      </c>
      <c r="I57" s="15" t="inlineStr">
        <is>
          <t>🔴 تحت الهدف</t>
        </is>
      </c>
      <c r="J57" s="11" t="inlineStr">
        <is>
          <t>انحراف جوهري — أولوية عاجلة.</t>
        </is>
      </c>
      <c r="K57" s="11" t="inlineStr">
        <is>
          <t>إجراء تصحيحي خلال 30 يوماً.</t>
        </is>
      </c>
      <c r="L57" s="15" t="inlineStr">
        <is>
          <t>مدير الامتياز</t>
        </is>
      </c>
      <c r="M57" s="57" t="n"/>
    </row>
    <row r="58">
      <c r="A58" s="15" t="n">
        <v>56</v>
      </c>
      <c r="B58" s="13" t="inlineStr">
        <is>
          <t>سلاسل الإمداد</t>
        </is>
      </c>
      <c r="C58" s="21" t="inlineStr">
        <is>
          <t>نسبة الالتزام بزمن التسليم والتوريد للمحطات والإدارات</t>
        </is>
      </c>
      <c r="D58" s="55" t="n">
        <v>0.751</v>
      </c>
      <c r="E58" s="55" t="n">
        <v>0.95</v>
      </c>
      <c r="F58" s="56" t="n">
        <v>0.7905263157894737</v>
      </c>
      <c r="G58" s="12" t="n">
        <v>0.2094736842105263</v>
      </c>
      <c r="H58" s="55" t="n">
        <v>0.751</v>
      </c>
      <c r="I58" s="15" t="inlineStr">
        <is>
          <t>🔴 تحت الهدف</t>
        </is>
      </c>
      <c r="J58" s="11" t="inlineStr">
        <is>
          <t>انحراف جوهري — أولوية عاجلة.</t>
        </is>
      </c>
      <c r="K58" s="11" t="inlineStr">
        <is>
          <t>إجراء تصحيحي خلال 30 يوماً.</t>
        </is>
      </c>
      <c r="L58" s="15" t="inlineStr">
        <is>
          <t>مدير سلاسل الإمداد</t>
        </is>
      </c>
      <c r="M58" s="57" t="n"/>
    </row>
    <row r="59">
      <c r="A59" s="15" t="n">
        <v>57</v>
      </c>
      <c r="B59" s="13" t="inlineStr">
        <is>
          <t>الصيانة والأتمتة</t>
        </is>
      </c>
      <c r="C59" s="21" t="inlineStr">
        <is>
          <t>نسبة تنفيذ الصيانة الوقائية في موعدها (PM)</t>
        </is>
      </c>
      <c r="D59" s="55" t="n">
        <v>0.751</v>
      </c>
      <c r="E59" s="55" t="n">
        <v>0.95</v>
      </c>
      <c r="F59" s="56" t="n">
        <v>0.7905263157894737</v>
      </c>
      <c r="G59" s="12" t="n">
        <v>0.2094736842105263</v>
      </c>
      <c r="H59" s="55" t="n">
        <v>0.751</v>
      </c>
      <c r="I59" s="15" t="inlineStr">
        <is>
          <t>🔴 تحت الهدف</t>
        </is>
      </c>
      <c r="J59" s="11" t="inlineStr">
        <is>
          <t>انحراف جوهري — أولوية عاجلة.</t>
        </is>
      </c>
      <c r="K59" s="11" t="inlineStr">
        <is>
          <t>إجراء تصحيحي خلال 30 يوماً.</t>
        </is>
      </c>
      <c r="L59" s="15" t="inlineStr">
        <is>
          <t>مدير الصيانة والأتمتة</t>
        </is>
      </c>
      <c r="M59" s="57" t="n"/>
    </row>
    <row r="60">
      <c r="A60" s="15" t="n">
        <v>58</v>
      </c>
      <c r="B60" s="13" t="inlineStr">
        <is>
          <t>العقار</t>
        </is>
      </c>
      <c r="C60" s="21" t="inlineStr">
        <is>
          <t>نسبة تجديد العقود</t>
        </is>
      </c>
      <c r="D60" s="55" t="n">
        <v>0.792</v>
      </c>
      <c r="E60" s="55" t="n">
        <v>1</v>
      </c>
      <c r="F60" s="56" t="n">
        <v>0.792</v>
      </c>
      <c r="G60" s="12" t="n">
        <v>0.208</v>
      </c>
      <c r="H60" s="55" t="n">
        <v>0.792</v>
      </c>
      <c r="I60" s="15" t="inlineStr">
        <is>
          <t>🔴 تحت الهدف</t>
        </is>
      </c>
      <c r="J60" s="11" t="inlineStr">
        <is>
          <t>انحراف جوهري — أولوية عاجلة.</t>
        </is>
      </c>
      <c r="K60" s="11" t="inlineStr">
        <is>
          <t>إجراء تصحيحي خلال 30 يوماً.</t>
        </is>
      </c>
      <c r="L60" s="15" t="inlineStr">
        <is>
          <t>مدير العقار</t>
        </is>
      </c>
      <c r="M60" s="57" t="n"/>
    </row>
    <row r="61">
      <c r="A61" s="15" t="n">
        <v>59</v>
      </c>
      <c r="B61" s="13" t="inlineStr">
        <is>
          <t>الإدارة القانونية</t>
        </is>
      </c>
      <c r="C61" s="21" t="inlineStr">
        <is>
          <t>مستوى رضا الإدارات عن الدعم القانوني</t>
        </is>
      </c>
      <c r="D61" s="55" t="n">
        <v>0.674</v>
      </c>
      <c r="E61" s="55" t="n">
        <v>0.85</v>
      </c>
      <c r="F61" s="56" t="n">
        <v>0.7929411764705883</v>
      </c>
      <c r="G61" s="12" t="n">
        <v>0.2070588235294117</v>
      </c>
      <c r="H61" s="55" t="n">
        <v>0.674</v>
      </c>
      <c r="I61" s="15" t="inlineStr">
        <is>
          <t>🟡 قريب</t>
        </is>
      </c>
      <c r="J61" s="11" t="inlineStr">
        <is>
          <t>فجوة محدودة — متابعة.</t>
        </is>
      </c>
      <c r="K61" s="11" t="inlineStr">
        <is>
          <t>متابعة أسبوعية لإغلاق الفجوة.</t>
        </is>
      </c>
      <c r="L61" s="15" t="inlineStr">
        <is>
          <t>المدير القانوني</t>
        </is>
      </c>
      <c r="M61" s="57" t="n"/>
    </row>
    <row r="62">
      <c r="A62" s="15" t="n">
        <v>60</v>
      </c>
      <c r="B62" s="13" t="inlineStr">
        <is>
          <t>التقنية الرقمية</t>
        </is>
      </c>
      <c r="C62" s="21" t="inlineStr">
        <is>
          <t>نسبة نجاح النسخ الاحتياطي واختبارات استعادة البيانات</t>
        </is>
      </c>
      <c r="D62" s="55" t="n">
        <v>0.794</v>
      </c>
      <c r="E62" s="55" t="n">
        <v>1</v>
      </c>
      <c r="F62" s="56" t="n">
        <v>0.794</v>
      </c>
      <c r="G62" s="12" t="n">
        <v>0.206</v>
      </c>
      <c r="H62" s="55" t="n">
        <v>0.794</v>
      </c>
      <c r="I62" s="15" t="inlineStr">
        <is>
          <t>🔴 تحت الهدف</t>
        </is>
      </c>
      <c r="J62" s="11" t="inlineStr">
        <is>
          <t>انحراف جوهري — أولوية عاجلة.</t>
        </is>
      </c>
      <c r="K62" s="11" t="inlineStr">
        <is>
          <t>إجراء تصحيحي خلال 30 يوماً.</t>
        </is>
      </c>
      <c r="L62" s="15" t="inlineStr">
        <is>
          <t>مدير التقنية</t>
        </is>
      </c>
      <c r="M62" s="57" t="n"/>
    </row>
    <row r="63">
      <c r="A63" s="15" t="n">
        <v>61</v>
      </c>
      <c r="B63" s="13" t="inlineStr">
        <is>
          <t>التقنية الرقمية</t>
        </is>
      </c>
      <c r="C63" s="21" t="inlineStr">
        <is>
          <t>نسبة تنفيذ الصيانة الوقائية للأجهزة والبنية التقنية</t>
        </is>
      </c>
      <c r="D63" s="55" t="n">
        <v>0.756</v>
      </c>
      <c r="E63" s="55" t="n">
        <v>0.95</v>
      </c>
      <c r="F63" s="56" t="n">
        <v>0.7957894736842106</v>
      </c>
      <c r="G63" s="12" t="n">
        <v>0.2042105263157894</v>
      </c>
      <c r="H63" s="55" t="n">
        <v>0.756</v>
      </c>
      <c r="I63" s="15" t="inlineStr">
        <is>
          <t>🔴 تحت الهدف</t>
        </is>
      </c>
      <c r="J63" s="11" t="inlineStr">
        <is>
          <t>انحراف جوهري — أولوية عاجلة.</t>
        </is>
      </c>
      <c r="K63" s="11" t="inlineStr">
        <is>
          <t>إجراء تصحيحي خلال 30 يوماً.</t>
        </is>
      </c>
      <c r="L63" s="15" t="inlineStr">
        <is>
          <t>مدير التقنية</t>
        </is>
      </c>
      <c r="M63" s="57" t="n"/>
    </row>
    <row r="64">
      <c r="A64" s="15" t="n">
        <v>62</v>
      </c>
      <c r="B64" s="13" t="inlineStr">
        <is>
          <t>الموارد البشرية</t>
        </is>
      </c>
      <c r="C64" s="21" t="inlineStr">
        <is>
          <t>نسبة الالتزام بتجديد الوثائق واكتمال ملفات الموظفين</t>
        </is>
      </c>
      <c r="D64" s="55" t="n">
        <v>0.796</v>
      </c>
      <c r="E64" s="55" t="n">
        <v>1</v>
      </c>
      <c r="F64" s="56" t="n">
        <v>0.796</v>
      </c>
      <c r="G64" s="12" t="n">
        <v>0.204</v>
      </c>
      <c r="H64" s="55" t="n">
        <v>0.796</v>
      </c>
      <c r="I64" s="15" t="inlineStr">
        <is>
          <t>🔴 تحت الهدف</t>
        </is>
      </c>
      <c r="J64" s="11" t="inlineStr">
        <is>
          <t>انحراف جوهري — أولوية عاجلة.</t>
        </is>
      </c>
      <c r="K64" s="11" t="inlineStr">
        <is>
          <t>إجراء تصحيحي خلال 30 يوماً.</t>
        </is>
      </c>
      <c r="L64" s="15" t="inlineStr">
        <is>
          <t>مدير الموارد البشرية</t>
        </is>
      </c>
      <c r="M64" s="57" t="n"/>
    </row>
    <row r="65">
      <c r="A65" s="15" t="n">
        <v>63</v>
      </c>
      <c r="B65" s="13" t="inlineStr">
        <is>
          <t>الإدارة القانونية</t>
        </is>
      </c>
      <c r="C65" s="21" t="inlineStr">
        <is>
          <t>نسبة تقديم المذكرات والردود في المواعيد النظامية</t>
        </is>
      </c>
      <c r="D65" s="55" t="n">
        <v>0.797</v>
      </c>
      <c r="E65" s="55" t="n">
        <v>1</v>
      </c>
      <c r="F65" s="56" t="n">
        <v>0.797</v>
      </c>
      <c r="G65" s="12" t="n">
        <v>0.203</v>
      </c>
      <c r="H65" s="55" t="n">
        <v>0.797</v>
      </c>
      <c r="I65" s="15" t="inlineStr">
        <is>
          <t>🔴 تحت الهدف</t>
        </is>
      </c>
      <c r="J65" s="11" t="inlineStr">
        <is>
          <t>انحراف جوهري — أولوية عاجلة.</t>
        </is>
      </c>
      <c r="K65" s="11" t="inlineStr">
        <is>
          <t>إجراء تصحيحي خلال 30 يوماً.</t>
        </is>
      </c>
      <c r="L65" s="15" t="inlineStr">
        <is>
          <t>المدير القانوني</t>
        </is>
      </c>
      <c r="M65" s="57" t="n"/>
    </row>
    <row r="66">
      <c r="A66" s="15" t="n">
        <v>64</v>
      </c>
      <c r="B66" s="13" t="inlineStr">
        <is>
          <t>التشغيل والمحطات</t>
        </is>
      </c>
      <c r="C66" s="21" t="inlineStr">
        <is>
          <t>نسبة الصيانة الوقائية المنفذة في موعدها</t>
        </is>
      </c>
      <c r="D66" s="55" t="n">
        <v>0.758</v>
      </c>
      <c r="E66" s="55" t="n">
        <v>0.95</v>
      </c>
      <c r="F66" s="56" t="n">
        <v>0.7978947368421053</v>
      </c>
      <c r="G66" s="12" t="n">
        <v>0.2021052631578947</v>
      </c>
      <c r="H66" s="55" t="n">
        <v>0.758</v>
      </c>
      <c r="I66" s="15" t="inlineStr">
        <is>
          <t>🔴 تحت الهدف</t>
        </is>
      </c>
      <c r="J66" s="11" t="inlineStr">
        <is>
          <t>انحراف جوهري — أولوية عاجلة.</t>
        </is>
      </c>
      <c r="K66" s="11" t="inlineStr">
        <is>
          <t>إجراء تصحيحي خلال 30 يوماً.</t>
        </is>
      </c>
      <c r="L66" s="15" t="inlineStr">
        <is>
          <t>مدير التشغيل</t>
        </is>
      </c>
      <c r="M66" s="57" t="n"/>
    </row>
    <row r="67">
      <c r="A67" s="15" t="n">
        <v>65</v>
      </c>
      <c r="B67" s="13" t="inlineStr">
        <is>
          <t>التقنية الرقمية</t>
        </is>
      </c>
      <c r="C67" s="21" t="inlineStr">
        <is>
          <t>نسبة توفر الأنظمة والخدمات التقنية المركزية</t>
        </is>
      </c>
      <c r="D67" s="55" t="n">
        <v>0.79</v>
      </c>
      <c r="E67" s="55" t="n">
        <v>0.99</v>
      </c>
      <c r="F67" s="56" t="n">
        <v>0.797979797979798</v>
      </c>
      <c r="G67" s="12" t="n">
        <v>0.202020202020202</v>
      </c>
      <c r="H67" s="55" t="n">
        <v>0.79</v>
      </c>
      <c r="I67" s="15" t="inlineStr">
        <is>
          <t>🔴 تحت الهدف</t>
        </is>
      </c>
      <c r="J67" s="11" t="inlineStr">
        <is>
          <t>انحراف جوهري — أولوية عاجلة.</t>
        </is>
      </c>
      <c r="K67" s="11" t="inlineStr">
        <is>
          <t>إجراء تصحيحي خلال 30 يوماً.</t>
        </is>
      </c>
      <c r="L67" s="15" t="inlineStr">
        <is>
          <t>مدير التقنية</t>
        </is>
      </c>
      <c r="M67" s="57" t="n"/>
    </row>
    <row r="68">
      <c r="A68" s="15" t="n">
        <v>66</v>
      </c>
      <c r="B68" s="13" t="inlineStr">
        <is>
          <t>إدارة المشاريع</t>
        </is>
      </c>
      <c r="C68" s="21" t="inlineStr">
        <is>
          <t>نسبة الالتزام بالجدول الزمني العام</t>
        </is>
      </c>
      <c r="D68" s="55" t="n">
        <v>0.798</v>
      </c>
      <c r="E68" s="55" t="n">
        <v>1</v>
      </c>
      <c r="F68" s="56" t="n">
        <v>0.798</v>
      </c>
      <c r="G68" s="12" t="n">
        <v>0.202</v>
      </c>
      <c r="H68" s="55" t="n">
        <v>0.798</v>
      </c>
      <c r="I68" s="15" t="inlineStr">
        <is>
          <t>🔴 تحت الهدف</t>
        </is>
      </c>
      <c r="J68" s="11" t="inlineStr">
        <is>
          <t>انحراف جوهري — أولوية عاجلة.</t>
        </is>
      </c>
      <c r="K68" s="11" t="inlineStr">
        <is>
          <t>إجراء تصحيحي خلال 30 يوماً.</t>
        </is>
      </c>
      <c r="L68" s="15" t="inlineStr">
        <is>
          <t>مدير إدارة المشاريع</t>
        </is>
      </c>
      <c r="M68" s="57" t="n"/>
    </row>
    <row r="69">
      <c r="A69" s="15" t="n">
        <v>67</v>
      </c>
      <c r="B69" s="13" t="inlineStr">
        <is>
          <t>الامتياز التجاري</t>
        </is>
      </c>
      <c r="C69" s="21" t="inlineStr">
        <is>
          <t>نسبة التزام المحطات بالهوية المؤسسية</t>
        </is>
      </c>
      <c r="D69" s="55" t="n">
        <v>0.44</v>
      </c>
      <c r="E69" s="55" t="n">
        <v>0.55</v>
      </c>
      <c r="F69" s="56" t="n">
        <v>0.7999999999999999</v>
      </c>
      <c r="G69" s="12" t="n">
        <v>0.2000000000000001</v>
      </c>
      <c r="H69" s="55" t="n">
        <v>0.44</v>
      </c>
      <c r="I69" s="15" t="inlineStr">
        <is>
          <t>🔴 تحت الهدف</t>
        </is>
      </c>
      <c r="J69" s="11" t="inlineStr">
        <is>
          <t>انحراف جوهري — أولوية عاجلة.</t>
        </is>
      </c>
      <c r="K69" s="11" t="inlineStr">
        <is>
          <t>إجراء تصحيحي خلال 30 يوماً.</t>
        </is>
      </c>
      <c r="L69" s="15" t="inlineStr">
        <is>
          <t>مدير الامتياز</t>
        </is>
      </c>
      <c r="M69" s="57" t="n"/>
    </row>
    <row r="70">
      <c r="A70" s="15" t="n">
        <v>68</v>
      </c>
      <c r="B70" s="13" t="inlineStr">
        <is>
          <t>الإدارة المالية</t>
        </is>
      </c>
      <c r="C70" s="21" t="inlineStr">
        <is>
          <t>هامش صافي الربح</t>
        </is>
      </c>
      <c r="D70" s="55" t="n">
        <v>0.008</v>
      </c>
      <c r="E70" s="55" t="n">
        <v>0.01</v>
      </c>
      <c r="F70" s="56" t="n">
        <v>0.8</v>
      </c>
      <c r="G70" s="12" t="n">
        <v>0.2</v>
      </c>
      <c r="H70" s="55" t="n">
        <v>0.008</v>
      </c>
      <c r="I70" s="15" t="inlineStr">
        <is>
          <t>🔴 تحت الهدف</t>
        </is>
      </c>
      <c r="J70" s="11" t="inlineStr">
        <is>
          <t>انحراف جوهري — أولوية عاجلة.</t>
        </is>
      </c>
      <c r="K70" s="11" t="inlineStr">
        <is>
          <t>إجراء تصحيحي خلال 30 يوماً.</t>
        </is>
      </c>
      <c r="L70" s="15" t="inlineStr">
        <is>
          <t>المدير المالي</t>
        </is>
      </c>
      <c r="M70" s="57" t="n"/>
    </row>
    <row r="71">
      <c r="A71" s="15" t="n">
        <v>69</v>
      </c>
      <c r="B71" s="13" t="inlineStr">
        <is>
          <t>سلاسل الإمداد</t>
        </is>
      </c>
      <c r="C71" s="21" t="inlineStr">
        <is>
          <t>نسبة تلبية طلبات المحطات من الوقود Fill Rate</t>
        </is>
      </c>
      <c r="D71" s="55" t="n">
        <v>0.786</v>
      </c>
      <c r="E71" s="55" t="n">
        <v>0.98</v>
      </c>
      <c r="F71" s="56" t="n">
        <v>0.8020408163265307</v>
      </c>
      <c r="G71" s="12" t="n">
        <v>0.1979591836734693</v>
      </c>
      <c r="H71" s="55" t="n">
        <v>0.786</v>
      </c>
      <c r="I71" s="15" t="inlineStr">
        <is>
          <t>🔴 تحت الهدف</t>
        </is>
      </c>
      <c r="J71" s="11" t="inlineStr">
        <is>
          <t>انحراف جوهري — أولوية عاجلة.</t>
        </is>
      </c>
      <c r="K71" s="11" t="inlineStr">
        <is>
          <t>إجراء تصحيحي خلال 30 يوماً.</t>
        </is>
      </c>
      <c r="L71" s="15" t="inlineStr">
        <is>
          <t>مدير سلاسل الإمداد</t>
        </is>
      </c>
      <c r="M71" s="57" t="n"/>
    </row>
    <row r="72">
      <c r="A72" s="15" t="n">
        <v>70</v>
      </c>
      <c r="B72" s="13" t="inlineStr">
        <is>
          <t>الامتياز التجاري</t>
        </is>
      </c>
      <c r="C72" s="21" t="inlineStr">
        <is>
          <t>إجمالي مبيعات وقود محطات الامتياز</t>
        </is>
      </c>
      <c r="D72" s="55" t="n">
        <v>576630340</v>
      </c>
      <c r="E72" s="55" t="n">
        <v>718838077</v>
      </c>
      <c r="F72" s="56" t="n">
        <v>0.8021699996840874</v>
      </c>
      <c r="G72" s="12" t="n">
        <v>0.1978300003159126</v>
      </c>
      <c r="H72" s="55" t="n">
        <v>1153260680</v>
      </c>
      <c r="I72" s="15" t="inlineStr">
        <is>
          <t>🔴 تحت الهدف</t>
        </is>
      </c>
      <c r="J72" s="11" t="inlineStr">
        <is>
          <t>انحراف جوهري — أولوية عاجلة.</t>
        </is>
      </c>
      <c r="K72" s="11" t="inlineStr">
        <is>
          <t>إجراء تصحيحي خلال 30 يوماً.</t>
        </is>
      </c>
      <c r="L72" s="15" t="inlineStr">
        <is>
          <t>مدير الامتياز</t>
        </is>
      </c>
      <c r="M72" s="57" t="n"/>
    </row>
    <row r="73">
      <c r="A73" s="15" t="n">
        <v>71</v>
      </c>
      <c r="B73" s="13" t="inlineStr">
        <is>
          <t>العقار</t>
        </is>
      </c>
      <c r="C73" s="21" t="inlineStr">
        <is>
          <t>الوحدات المؤجَّرة شهرياً</t>
        </is>
      </c>
      <c r="D73" s="55" t="n">
        <v>54.8</v>
      </c>
      <c r="E73" s="55" t="n">
        <v>68</v>
      </c>
      <c r="F73" s="56" t="n">
        <v>0.8058823529411764</v>
      </c>
      <c r="G73" s="12" t="n">
        <v>0.1941176470588236</v>
      </c>
      <c r="H73" s="55" t="n">
        <v>54.8</v>
      </c>
      <c r="I73" s="15" t="inlineStr">
        <is>
          <t>🔴 تحت الهدف</t>
        </is>
      </c>
      <c r="J73" s="11" t="inlineStr">
        <is>
          <t>انحراف جوهري — أولوية عاجلة.</t>
        </is>
      </c>
      <c r="K73" s="11" t="inlineStr">
        <is>
          <t>إجراء تصحيحي خلال 30 يوماً.</t>
        </is>
      </c>
      <c r="L73" s="15" t="inlineStr">
        <is>
          <t>مدير العقار</t>
        </is>
      </c>
      <c r="M73" s="57" t="n"/>
    </row>
    <row r="74">
      <c r="A74" s="15" t="n">
        <v>72</v>
      </c>
      <c r="B74" s="13" t="inlineStr">
        <is>
          <t>الجودة</t>
        </is>
      </c>
      <c r="C74" s="21" t="inlineStr">
        <is>
          <t>نسبة مطابقة جودة الوقود</t>
        </is>
      </c>
      <c r="D74" s="55" t="n">
        <v>0.804</v>
      </c>
      <c r="E74" s="55" t="n">
        <v>0.995</v>
      </c>
      <c r="F74" s="56" t="n">
        <v>0.8080402010050252</v>
      </c>
      <c r="G74" s="12" t="n">
        <v>0.1919597989949748</v>
      </c>
      <c r="H74" s="55" t="n">
        <v>0.804</v>
      </c>
      <c r="I74" s="15" t="inlineStr">
        <is>
          <t>🔴 تحت الهدف</t>
        </is>
      </c>
      <c r="J74" s="11" t="inlineStr">
        <is>
          <t>انحراف جوهري — أولوية عاجلة.</t>
        </is>
      </c>
      <c r="K74" s="11" t="inlineStr">
        <is>
          <t>إجراء تصحيحي خلال 30 يوماً.</t>
        </is>
      </c>
      <c r="L74" s="15" t="inlineStr">
        <is>
          <t>مدير الجودة</t>
        </is>
      </c>
      <c r="M74" s="57" t="n"/>
    </row>
    <row r="75">
      <c r="A75" s="15" t="n">
        <v>73</v>
      </c>
      <c r="B75" s="13" t="inlineStr">
        <is>
          <t>التقنية الرقمية</t>
        </is>
      </c>
      <c r="C75" s="21" t="inlineStr">
        <is>
          <t>نسبة استقرار التشغيل التقني للمحطات</t>
        </is>
      </c>
      <c r="D75" s="55" t="n">
        <v>0.8</v>
      </c>
      <c r="E75" s="55" t="n">
        <v>0.99</v>
      </c>
      <c r="F75" s="56" t="n">
        <v>0.8080808080808082</v>
      </c>
      <c r="G75" s="12" t="n">
        <v>0.1919191919191918</v>
      </c>
      <c r="H75" s="55" t="n">
        <v>0.8</v>
      </c>
      <c r="I75" s="15" t="inlineStr">
        <is>
          <t>🔴 تحت الهدف</t>
        </is>
      </c>
      <c r="J75" s="11" t="inlineStr">
        <is>
          <t>انحراف جوهري — أولوية عاجلة.</t>
        </is>
      </c>
      <c r="K75" s="11" t="inlineStr">
        <is>
          <t>إجراء تصحيحي خلال 30 يوماً.</t>
        </is>
      </c>
      <c r="L75" s="15" t="inlineStr">
        <is>
          <t>مدير التقنية</t>
        </is>
      </c>
      <c r="M75" s="57" t="n"/>
    </row>
    <row r="76">
      <c r="A76" s="15" t="n">
        <v>74</v>
      </c>
      <c r="B76" s="13" t="inlineStr">
        <is>
          <t>الامتياز التجاري</t>
        </is>
      </c>
      <c r="C76" s="21" t="inlineStr">
        <is>
          <t>نسبة زيادة عدد أصحاب الامتياز</t>
        </is>
      </c>
      <c r="D76" s="55" t="n">
        <v>0.8100000000000001</v>
      </c>
      <c r="E76" s="55" t="n">
        <v>1</v>
      </c>
      <c r="F76" s="56" t="n">
        <v>0.8100000000000001</v>
      </c>
      <c r="G76" s="12" t="n">
        <v>0.1899999999999999</v>
      </c>
      <c r="H76" s="55" t="n">
        <v>0.8100000000000001</v>
      </c>
      <c r="I76" s="15" t="inlineStr">
        <is>
          <t>🔴 تحت الهدف</t>
        </is>
      </c>
      <c r="J76" s="11" t="inlineStr">
        <is>
          <t>انحراف جوهري — أولوية عاجلة.</t>
        </is>
      </c>
      <c r="K76" s="11" t="inlineStr">
        <is>
          <t>إجراء تصحيحي خلال 30 يوماً.</t>
        </is>
      </c>
      <c r="L76" s="15" t="inlineStr">
        <is>
          <t>مدير الامتياز</t>
        </is>
      </c>
      <c r="M76" s="57" t="n"/>
    </row>
    <row r="77">
      <c r="A77" s="15" t="n">
        <v>75</v>
      </c>
      <c r="B77" s="13" t="inlineStr">
        <is>
          <t>الاستثمار</t>
        </is>
      </c>
      <c r="C77" s="21" t="inlineStr">
        <is>
          <t>نسبة المواقع المعتمدة ذات العائد المجدي</t>
        </is>
      </c>
      <c r="D77" s="55" t="n">
        <v>0.649</v>
      </c>
      <c r="E77" s="55" t="n">
        <v>0.8</v>
      </c>
      <c r="F77" s="56" t="n">
        <v>0.81125</v>
      </c>
      <c r="G77" s="12" t="n">
        <v>0.18875</v>
      </c>
      <c r="H77" s="55" t="n">
        <v>0.649</v>
      </c>
      <c r="I77" s="15" t="inlineStr">
        <is>
          <t>🔴 تحت الهدف</t>
        </is>
      </c>
      <c r="J77" s="11" t="inlineStr">
        <is>
          <t>انحراف جوهري — أولوية عاجلة.</t>
        </is>
      </c>
      <c r="K77" s="11" t="inlineStr">
        <is>
          <t>إجراء تصحيحي خلال 30 يوماً.</t>
        </is>
      </c>
      <c r="L77" s="15" t="inlineStr">
        <is>
          <t>مدير الاستثمار</t>
        </is>
      </c>
      <c r="M77" s="57" t="n"/>
    </row>
    <row r="78">
      <c r="A78" s="15" t="n">
        <v>76</v>
      </c>
      <c r="B78" s="13" t="inlineStr">
        <is>
          <t>الإدارة التنفيذية</t>
        </is>
      </c>
      <c r="C78" s="21" t="inlineStr">
        <is>
          <t>نسبة نمو إيرادات الشركة (سنوي)</t>
        </is>
      </c>
      <c r="D78" s="55" t="n">
        <v>0.122</v>
      </c>
      <c r="E78" s="55" t="n">
        <v>0.15</v>
      </c>
      <c r="F78" s="56" t="n">
        <v>0.8133333333333334</v>
      </c>
      <c r="G78" s="12" t="n">
        <v>0.1866666666666666</v>
      </c>
      <c r="H78" s="55" t="n">
        <v>0.122</v>
      </c>
      <c r="I78" s="15" t="inlineStr">
        <is>
          <t>🔴 تحت الهدف</t>
        </is>
      </c>
      <c r="J78" s="11" t="inlineStr">
        <is>
          <t>انحراف جوهري — أولوية عاجلة.</t>
        </is>
      </c>
      <c r="K78" s="11" t="inlineStr">
        <is>
          <t>إجراء تصحيحي خلال 30 يوماً.</t>
        </is>
      </c>
      <c r="L78" s="15" t="inlineStr">
        <is>
          <t>الرئيس التنفيذي</t>
        </is>
      </c>
      <c r="M78" s="57" t="n"/>
    </row>
    <row r="79">
      <c r="A79" s="15" t="n">
        <v>77</v>
      </c>
      <c r="B79" s="13" t="inlineStr">
        <is>
          <t>الموارد البشرية</t>
        </is>
      </c>
      <c r="C79" s="21" t="inlineStr">
        <is>
          <t>نسبة إنجاز معاملات شؤون الموظفين ضمن المدة المستهدفة SLA</t>
        </is>
      </c>
      <c r="D79" s="55" t="n">
        <v>0.733</v>
      </c>
      <c r="E79" s="55" t="n">
        <v>0.9</v>
      </c>
      <c r="F79" s="56" t="n">
        <v>0.8144444444444444</v>
      </c>
      <c r="G79" s="12" t="n">
        <v>0.1855555555555556</v>
      </c>
      <c r="H79" s="55" t="n">
        <v>0.733</v>
      </c>
      <c r="I79" s="15" t="inlineStr">
        <is>
          <t>🔴 تحت الهدف</t>
        </is>
      </c>
      <c r="J79" s="11" t="inlineStr">
        <is>
          <t>انحراف جوهري — أولوية عاجلة.</t>
        </is>
      </c>
      <c r="K79" s="11" t="inlineStr">
        <is>
          <t>إجراء تصحيحي خلال 30 يوماً.</t>
        </is>
      </c>
      <c r="L79" s="15" t="inlineStr">
        <is>
          <t>مدير الموارد البشرية</t>
        </is>
      </c>
      <c r="M79" s="57" t="n"/>
    </row>
    <row r="80">
      <c r="A80" s="15" t="n">
        <v>78</v>
      </c>
      <c r="B80" s="13" t="inlineStr">
        <is>
          <t>التشغيل والمحطات</t>
        </is>
      </c>
      <c r="C80" s="21" t="inlineStr">
        <is>
          <t>نسبة انخفاض الشكاوى مقارنة بالشهر السابق</t>
        </is>
      </c>
      <c r="D80" s="55" t="n">
        <v>0.163</v>
      </c>
      <c r="E80" s="55" t="n">
        <v>0.2</v>
      </c>
      <c r="F80" s="56" t="n">
        <v>0.8149999999999999</v>
      </c>
      <c r="G80" s="12" t="n">
        <v>0.1850000000000001</v>
      </c>
      <c r="H80" s="55" t="n">
        <v>0.163</v>
      </c>
      <c r="I80" s="15" t="inlineStr">
        <is>
          <t>🔴 تحت الهدف</t>
        </is>
      </c>
      <c r="J80" s="11" t="inlineStr">
        <is>
          <t>انحراف جوهري — أولوية عاجلة.</t>
        </is>
      </c>
      <c r="K80" s="11" t="inlineStr">
        <is>
          <t>إجراء تصحيحي خلال 30 يوماً.</t>
        </is>
      </c>
      <c r="L80" s="15" t="inlineStr">
        <is>
          <t>مدير التشغيل</t>
        </is>
      </c>
      <c r="M80" s="57" t="n"/>
    </row>
    <row r="81">
      <c r="A81" s="15" t="n">
        <v>79</v>
      </c>
      <c r="B81" s="13" t="inlineStr">
        <is>
          <t>الاستثمار</t>
        </is>
      </c>
      <c r="C81" s="21" t="inlineStr">
        <is>
          <t>عقود الاستحواذ الجديدة</t>
        </is>
      </c>
      <c r="D81" s="55" t="n">
        <v>82.2</v>
      </c>
      <c r="E81" s="55" t="n">
        <v>100</v>
      </c>
      <c r="F81" s="56" t="n">
        <v>0.8220000000000001</v>
      </c>
      <c r="G81" s="12" t="n">
        <v>0.1779999999999999</v>
      </c>
      <c r="H81" s="55" t="n">
        <v>164.4</v>
      </c>
      <c r="I81" s="15" t="inlineStr">
        <is>
          <t>🔴 تحت الهدف</t>
        </is>
      </c>
      <c r="J81" s="11" t="inlineStr">
        <is>
          <t>انحراف جوهري — أولوية عاجلة.</t>
        </is>
      </c>
      <c r="K81" s="11" t="inlineStr">
        <is>
          <t>إجراء تصحيحي خلال 30 يوماً.</t>
        </is>
      </c>
      <c r="L81" s="15" t="inlineStr">
        <is>
          <t>مدير الاستثمار</t>
        </is>
      </c>
      <c r="M81" s="57" t="n"/>
    </row>
    <row r="82">
      <c r="A82" s="15" t="n">
        <v>80</v>
      </c>
      <c r="B82" s="13" t="inlineStr">
        <is>
          <t>العقار</t>
        </is>
      </c>
      <c r="C82" s="21" t="inlineStr">
        <is>
          <t>زيادة عدد العلامات التجارية</t>
        </is>
      </c>
      <c r="D82" s="55" t="n">
        <v>202.6</v>
      </c>
      <c r="E82" s="55" t="n">
        <v>246</v>
      </c>
      <c r="F82" s="56" t="n">
        <v>0.8235772357723578</v>
      </c>
      <c r="G82" s="12" t="n">
        <v>0.1764227642276422</v>
      </c>
      <c r="H82" s="55" t="n">
        <v>202.6</v>
      </c>
      <c r="I82" s="15" t="inlineStr">
        <is>
          <t>🔴 تحت الهدف</t>
        </is>
      </c>
      <c r="J82" s="11" t="inlineStr">
        <is>
          <t>انحراف جوهري — أولوية عاجلة.</t>
        </is>
      </c>
      <c r="K82" s="11" t="inlineStr">
        <is>
          <t>إجراء تصحيحي خلال 30 يوماً.</t>
        </is>
      </c>
      <c r="L82" s="15" t="inlineStr">
        <is>
          <t>مدير العقار</t>
        </is>
      </c>
      <c r="M82" s="57" t="n"/>
    </row>
    <row r="83">
      <c r="A83" s="15" t="n">
        <v>81</v>
      </c>
      <c r="B83" s="13" t="inlineStr">
        <is>
          <t>الإدارة القانونية</t>
        </is>
      </c>
      <c r="C83" s="21" t="inlineStr">
        <is>
          <t>نسبة القضايا المُغلقة لصالح الشركة</t>
        </is>
      </c>
      <c r="D83" s="55" t="n">
        <v>0.664</v>
      </c>
      <c r="E83" s="55" t="n">
        <v>0.8</v>
      </c>
      <c r="F83" s="56" t="n">
        <v>0.83</v>
      </c>
      <c r="G83" s="12" t="n">
        <v>0.17</v>
      </c>
      <c r="H83" s="55" t="n">
        <v>0.664</v>
      </c>
      <c r="I83" s="15" t="inlineStr">
        <is>
          <t>🔴 تحت الهدف</t>
        </is>
      </c>
      <c r="J83" s="11" t="inlineStr">
        <is>
          <t>انحراف جوهري — أولوية عاجلة.</t>
        </is>
      </c>
      <c r="K83" s="11" t="inlineStr">
        <is>
          <t>إجراء تصحيحي خلال 30 يوماً.</t>
        </is>
      </c>
      <c r="L83" s="15" t="inlineStr">
        <is>
          <t>المدير القانوني</t>
        </is>
      </c>
      <c r="M83" s="57" t="n"/>
    </row>
    <row r="84">
      <c r="A84" s="15" t="n">
        <v>82</v>
      </c>
      <c r="B84" s="13" t="inlineStr">
        <is>
          <t>سلاسل الإمداد</t>
        </is>
      </c>
      <c r="C84" s="21" t="inlineStr">
        <is>
          <t>نسبة الالتزام بجدول النقل واستخدام الأسطول بكفاءة</t>
        </is>
      </c>
      <c r="D84" s="55" t="n">
        <v>0.751</v>
      </c>
      <c r="E84" s="55" t="n">
        <v>0.9</v>
      </c>
      <c r="F84" s="56" t="n">
        <v>0.8344444444444444</v>
      </c>
      <c r="G84" s="12" t="n">
        <v>0.1655555555555556</v>
      </c>
      <c r="H84" s="55" t="n">
        <v>0.751</v>
      </c>
      <c r="I84" s="15" t="inlineStr">
        <is>
          <t>🔴 تحت الهدف</t>
        </is>
      </c>
      <c r="J84" s="11" t="inlineStr">
        <is>
          <t>انحراف جوهري — أولوية عاجلة.</t>
        </is>
      </c>
      <c r="K84" s="11" t="inlineStr">
        <is>
          <t>إجراء تصحيحي خلال 30 يوماً.</t>
        </is>
      </c>
      <c r="L84" s="15" t="inlineStr">
        <is>
          <t>مدير سلاسل الإمداد</t>
        </is>
      </c>
      <c r="M84" s="57" t="n"/>
    </row>
    <row r="85">
      <c r="A85" s="15" t="n">
        <v>83</v>
      </c>
      <c r="B85" s="13" t="inlineStr">
        <is>
          <t>الإدارة القانونية</t>
        </is>
      </c>
      <c r="C85" s="21" t="inlineStr">
        <is>
          <t>نسبة إنجاز التحقيقات ضمن المدة المحددة</t>
        </is>
      </c>
      <c r="D85" s="55" t="n">
        <v>0.753</v>
      </c>
      <c r="E85" s="55" t="n">
        <v>0.9</v>
      </c>
      <c r="F85" s="56" t="n">
        <v>0.8366666666666667</v>
      </c>
      <c r="G85" s="12" t="n">
        <v>0.1633333333333333</v>
      </c>
      <c r="H85" s="55" t="n">
        <v>0.753</v>
      </c>
      <c r="I85" s="15" t="inlineStr">
        <is>
          <t>🔴 تحت الهدف</t>
        </is>
      </c>
      <c r="J85" s="11" t="inlineStr">
        <is>
          <t>انحراف جوهري — أولوية عاجلة.</t>
        </is>
      </c>
      <c r="K85" s="11" t="inlineStr">
        <is>
          <t>إجراء تصحيحي خلال 30 يوماً.</t>
        </is>
      </c>
      <c r="L85" s="15" t="inlineStr">
        <is>
          <t>المدير القانوني</t>
        </is>
      </c>
      <c r="M85" s="57" t="n"/>
    </row>
    <row r="86">
      <c r="A86" s="15" t="n">
        <v>84</v>
      </c>
      <c r="B86" s="13" t="inlineStr">
        <is>
          <t>التشغيل والمحطات</t>
        </is>
      </c>
      <c r="C86" s="21" t="inlineStr">
        <is>
          <t>الالتزام بمعايير السلامة داخل المحطة</t>
        </is>
      </c>
      <c r="D86" s="55" t="n">
        <v>0.837</v>
      </c>
      <c r="E86" s="55" t="n">
        <v>1</v>
      </c>
      <c r="F86" s="56" t="n">
        <v>0.837</v>
      </c>
      <c r="G86" s="12" t="n">
        <v>0.163</v>
      </c>
      <c r="H86" s="55" t="n">
        <v>0.837</v>
      </c>
      <c r="I86" s="15" t="inlineStr">
        <is>
          <t>🔴 تحت الهدف</t>
        </is>
      </c>
      <c r="J86" s="11" t="inlineStr">
        <is>
          <t>انحراف جوهري — أولوية عاجلة.</t>
        </is>
      </c>
      <c r="K86" s="11" t="inlineStr">
        <is>
          <t>إجراء تصحيحي خلال 30 يوماً.</t>
        </is>
      </c>
      <c r="L86" s="15" t="inlineStr">
        <is>
          <t>مدير التشغيل</t>
        </is>
      </c>
      <c r="M86" s="57" t="n"/>
    </row>
    <row r="87">
      <c r="A87" s="15" t="n">
        <v>85</v>
      </c>
      <c r="B87" s="13" t="inlineStr">
        <is>
          <t>الجودة</t>
        </is>
      </c>
      <c r="C87" s="21" t="inlineStr">
        <is>
          <t>نسبة جاهزية نظام إدارة الجودة QMS</t>
        </is>
      </c>
      <c r="D87" s="55" t="n">
        <v>0.754</v>
      </c>
      <c r="E87" s="55" t="n">
        <v>0.9</v>
      </c>
      <c r="F87" s="56" t="n">
        <v>0.8377777777777777</v>
      </c>
      <c r="G87" s="12" t="n">
        <v>0.1622222222222223</v>
      </c>
      <c r="H87" s="55" t="n">
        <v>0.754</v>
      </c>
      <c r="I87" s="15" t="inlineStr">
        <is>
          <t>🔴 تحت الهدف</t>
        </is>
      </c>
      <c r="J87" s="11" t="inlineStr">
        <is>
          <t>انحراف جوهري — أولوية عاجلة.</t>
        </is>
      </c>
      <c r="K87" s="11" t="inlineStr">
        <is>
          <t>إجراء تصحيحي خلال 30 يوماً.</t>
        </is>
      </c>
      <c r="L87" s="15" t="inlineStr">
        <is>
          <t>مدير الجودة</t>
        </is>
      </c>
      <c r="M87" s="57" t="n"/>
    </row>
    <row r="88">
      <c r="A88" s="15" t="n">
        <v>86</v>
      </c>
      <c r="B88" s="13" t="inlineStr">
        <is>
          <t>العقار</t>
        </is>
      </c>
      <c r="C88" s="21" t="inlineStr">
        <is>
          <t>نسبة تأجير ساحة درب</t>
        </is>
      </c>
      <c r="D88" s="55" t="n">
        <v>0.671</v>
      </c>
      <c r="E88" s="55" t="n">
        <v>0.8</v>
      </c>
      <c r="F88" s="56" t="n">
        <v>0.83875</v>
      </c>
      <c r="G88" s="12" t="n">
        <v>0.16125</v>
      </c>
      <c r="H88" s="55" t="n">
        <v>0.671</v>
      </c>
      <c r="I88" s="15" t="inlineStr">
        <is>
          <t>🔴 تحت الهدف</t>
        </is>
      </c>
      <c r="J88" s="11" t="inlineStr">
        <is>
          <t>انحراف جوهري — أولوية عاجلة.</t>
        </is>
      </c>
      <c r="K88" s="11" t="inlineStr">
        <is>
          <t>إجراء تصحيحي خلال 30 يوماً.</t>
        </is>
      </c>
      <c r="L88" s="15" t="inlineStr">
        <is>
          <t>مدير العقار</t>
        </is>
      </c>
      <c r="M88" s="57" t="n"/>
    </row>
    <row r="89">
      <c r="A89" s="15" t="n">
        <v>87</v>
      </c>
      <c r="B89" s="13" t="inlineStr">
        <is>
          <t>التشغيل والمحطات</t>
        </is>
      </c>
      <c r="C89" s="21" t="inlineStr">
        <is>
          <t>نسبة جاهزية المحطة الشاملة (Uptime)</t>
        </is>
      </c>
      <c r="D89" s="55" t="n">
        <v>0.831</v>
      </c>
      <c r="E89" s="55" t="n">
        <v>0.99</v>
      </c>
      <c r="F89" s="56" t="n">
        <v>0.8393939393939394</v>
      </c>
      <c r="G89" s="12" t="n">
        <v>0.1606060606060606</v>
      </c>
      <c r="H89" s="55" t="n">
        <v>0.831</v>
      </c>
      <c r="I89" s="15" t="inlineStr">
        <is>
          <t>🔴 تحت الهدف</t>
        </is>
      </c>
      <c r="J89" s="11" t="inlineStr">
        <is>
          <t>انحراف جوهري — أولوية عاجلة.</t>
        </is>
      </c>
      <c r="K89" s="11" t="inlineStr">
        <is>
          <t>إجراء تصحيحي خلال 30 يوماً.</t>
        </is>
      </c>
      <c r="L89" s="15" t="inlineStr">
        <is>
          <t>مدير التشغيل</t>
        </is>
      </c>
      <c r="M89" s="57" t="n"/>
    </row>
    <row r="90">
      <c r="A90" s="15" t="n">
        <v>88</v>
      </c>
      <c r="B90" s="13" t="inlineStr">
        <is>
          <t>التشغيل والمحطات</t>
        </is>
      </c>
      <c r="C90" s="21" t="inlineStr">
        <is>
          <t>دقة التعبئة بدون أخطاء</t>
        </is>
      </c>
      <c r="D90" s="55" t="n">
        <v>0.831</v>
      </c>
      <c r="E90" s="55" t="n">
        <v>0.99</v>
      </c>
      <c r="F90" s="56" t="n">
        <v>0.8393939393939394</v>
      </c>
      <c r="G90" s="12" t="n">
        <v>0.1606060606060606</v>
      </c>
      <c r="H90" s="55" t="n">
        <v>0.831</v>
      </c>
      <c r="I90" s="15" t="inlineStr">
        <is>
          <t>🔴 تحت الهدف</t>
        </is>
      </c>
      <c r="J90" s="11" t="inlineStr">
        <is>
          <t>انحراف جوهري — أولوية عاجلة.</t>
        </is>
      </c>
      <c r="K90" s="11" t="inlineStr">
        <is>
          <t>إجراء تصحيحي خلال 30 يوماً.</t>
        </is>
      </c>
      <c r="L90" s="15" t="inlineStr">
        <is>
          <t>مدير التشغيل</t>
        </is>
      </c>
      <c r="M90" s="57" t="n"/>
    </row>
    <row r="91">
      <c r="A91" s="15" t="n">
        <v>89</v>
      </c>
      <c r="B91" s="13" t="inlineStr">
        <is>
          <t>التشغيل والمحطات</t>
        </is>
      </c>
      <c r="C91" s="21" t="inlineStr">
        <is>
          <t>نمو مبيعات بنزين 95 مقارنة بالعام السابق</t>
        </is>
      </c>
      <c r="D91" s="55" t="n">
        <v>0.08400000000000001</v>
      </c>
      <c r="E91" s="55" t="n">
        <v>0.1</v>
      </c>
      <c r="F91" s="56" t="n">
        <v>0.84</v>
      </c>
      <c r="G91" s="12" t="n">
        <v>0.16</v>
      </c>
      <c r="H91" s="55" t="n">
        <v>0.08400000000000001</v>
      </c>
      <c r="I91" s="15" t="inlineStr">
        <is>
          <t>🔴 تحت الهدف</t>
        </is>
      </c>
      <c r="J91" s="11" t="inlineStr">
        <is>
          <t>انحراف جوهري — أولوية عاجلة.</t>
        </is>
      </c>
      <c r="K91" s="11" t="inlineStr">
        <is>
          <t>إجراء تصحيحي خلال 30 يوماً.</t>
        </is>
      </c>
      <c r="L91" s="15" t="inlineStr">
        <is>
          <t>مدير التشغيل</t>
        </is>
      </c>
      <c r="M91" s="57" t="n"/>
    </row>
    <row r="92">
      <c r="A92" s="15" t="n">
        <v>90</v>
      </c>
      <c r="B92" s="13" t="inlineStr">
        <is>
          <t>الجودة</t>
        </is>
      </c>
      <c r="C92" s="21" t="inlineStr">
        <is>
          <t>نسبة انخفاض الشكاوى المتكررة ذات العلاقة بالجودة</t>
        </is>
      </c>
      <c r="D92" s="55" t="n">
        <v>0.126</v>
      </c>
      <c r="E92" s="55" t="n">
        <v>0.15</v>
      </c>
      <c r="F92" s="56" t="n">
        <v>0.8400000000000001</v>
      </c>
      <c r="G92" s="12" t="n">
        <v>0.1599999999999999</v>
      </c>
      <c r="H92" s="55" t="n">
        <v>0.126</v>
      </c>
      <c r="I92" s="15" t="inlineStr">
        <is>
          <t>🔴 تحت الهدف</t>
        </is>
      </c>
      <c r="J92" s="11" t="inlineStr">
        <is>
          <t>انحراف جوهري — أولوية عاجلة.</t>
        </is>
      </c>
      <c r="K92" s="11" t="inlineStr">
        <is>
          <t>إجراء تصحيحي خلال 30 يوماً.</t>
        </is>
      </c>
      <c r="L92" s="15" t="inlineStr">
        <is>
          <t>مدير الجودة</t>
        </is>
      </c>
      <c r="M92" s="57" t="n"/>
    </row>
    <row r="93">
      <c r="A93" s="15" t="n">
        <v>91</v>
      </c>
      <c r="B93" s="13" t="inlineStr">
        <is>
          <t>الإدارة المالية</t>
        </is>
      </c>
      <c r="C93" s="21" t="inlineStr">
        <is>
          <t>نمو الإيرادات السنوي</t>
        </is>
      </c>
      <c r="D93" s="55" t="n">
        <v>0.169</v>
      </c>
      <c r="E93" s="55" t="n">
        <v>0.2</v>
      </c>
      <c r="F93" s="56" t="n">
        <v>0.845</v>
      </c>
      <c r="G93" s="12" t="n">
        <v>0.155</v>
      </c>
      <c r="H93" s="55" t="n">
        <v>0.169</v>
      </c>
      <c r="I93" s="15" t="inlineStr">
        <is>
          <t>🔴 تحت الهدف</t>
        </is>
      </c>
      <c r="J93" s="11" t="inlineStr">
        <is>
          <t>انحراف جوهري — أولوية عاجلة.</t>
        </is>
      </c>
      <c r="K93" s="11" t="inlineStr">
        <is>
          <t>إجراء تصحيحي خلال 30 يوماً.</t>
        </is>
      </c>
      <c r="L93" s="15" t="inlineStr">
        <is>
          <t>المدير المالي</t>
        </is>
      </c>
      <c r="M93" s="57" t="n"/>
    </row>
    <row r="94">
      <c r="A94" s="15" t="n">
        <v>92</v>
      </c>
      <c r="B94" s="13" t="inlineStr">
        <is>
          <t>العقار</t>
        </is>
      </c>
      <c r="C94" s="21" t="inlineStr">
        <is>
          <t>نسبة تحصيل الإيجارات</t>
        </is>
      </c>
      <c r="D94" s="55" t="n">
        <v>0.805</v>
      </c>
      <c r="E94" s="55" t="n">
        <v>0.95</v>
      </c>
      <c r="F94" s="56" t="n">
        <v>0.8473684210526317</v>
      </c>
      <c r="G94" s="12" t="n">
        <v>0.1526315789473683</v>
      </c>
      <c r="H94" s="55" t="n">
        <v>0.805</v>
      </c>
      <c r="I94" s="15" t="inlineStr">
        <is>
          <t>🔴 تحت الهدف</t>
        </is>
      </c>
      <c r="J94" s="11" t="inlineStr">
        <is>
          <t>انحراف جوهري — أولوية عاجلة.</t>
        </is>
      </c>
      <c r="K94" s="11" t="inlineStr">
        <is>
          <t>إجراء تصحيحي خلال 30 يوماً.</t>
        </is>
      </c>
      <c r="L94" s="15" t="inlineStr">
        <is>
          <t>مدير العقار</t>
        </is>
      </c>
      <c r="M94" s="57" t="n"/>
    </row>
    <row r="95">
      <c r="A95" s="15" t="n">
        <v>93</v>
      </c>
      <c r="B95" s="13" t="inlineStr">
        <is>
          <t>الاستثمار</t>
        </is>
      </c>
      <c r="C95" s="21" t="inlineStr">
        <is>
          <t>عقود الاستثمار العادي الجديدة</t>
        </is>
      </c>
      <c r="D95" s="55" t="n">
        <v>76.3</v>
      </c>
      <c r="E95" s="55" t="n">
        <v>90</v>
      </c>
      <c r="F95" s="56" t="n">
        <v>0.8477777777777777</v>
      </c>
      <c r="G95" s="12" t="n">
        <v>0.1522222222222223</v>
      </c>
      <c r="H95" s="55" t="n">
        <v>152.6</v>
      </c>
      <c r="I95" s="15" t="inlineStr">
        <is>
          <t>🔴 تحت الهدف</t>
        </is>
      </c>
      <c r="J95" s="11" t="inlineStr">
        <is>
          <t>انحراف جوهري — أولوية عاجلة.</t>
        </is>
      </c>
      <c r="K95" s="11" t="inlineStr">
        <is>
          <t>إجراء تصحيحي خلال 30 يوماً.</t>
        </is>
      </c>
      <c r="L95" s="15" t="inlineStr">
        <is>
          <t>مدير الاستثمار</t>
        </is>
      </c>
      <c r="M95" s="57" t="n"/>
    </row>
    <row r="96">
      <c r="A96" s="15" t="n">
        <v>94</v>
      </c>
      <c r="B96" s="13" t="inlineStr">
        <is>
          <t>التقنية الرقمية</t>
        </is>
      </c>
      <c r="C96" s="21" t="inlineStr">
        <is>
          <t>نسبة الامتثال لضوابط الأمن السيبراني الأساسية</t>
        </is>
      </c>
      <c r="D96" s="55" t="n">
        <v>0.8070000000000001</v>
      </c>
      <c r="E96" s="55" t="n">
        <v>0.95</v>
      </c>
      <c r="F96" s="56" t="n">
        <v>0.8494736842105264</v>
      </c>
      <c r="G96" s="12" t="n">
        <v>0.1505263157894736</v>
      </c>
      <c r="H96" s="55" t="n">
        <v>0.8070000000000001</v>
      </c>
      <c r="I96" s="15" t="inlineStr">
        <is>
          <t>🔴 تحت الهدف</t>
        </is>
      </c>
      <c r="J96" s="11" t="inlineStr">
        <is>
          <t>انحراف جوهري — أولوية عاجلة.</t>
        </is>
      </c>
      <c r="K96" s="11" t="inlineStr">
        <is>
          <t>إجراء تصحيحي خلال 30 يوماً.</t>
        </is>
      </c>
      <c r="L96" s="15" t="inlineStr">
        <is>
          <t>مدير التقنية</t>
        </is>
      </c>
      <c r="M96" s="57" t="n"/>
    </row>
    <row r="97">
      <c r="A97" s="15" t="n">
        <v>95</v>
      </c>
      <c r="B97" s="13" t="inlineStr">
        <is>
          <t>الإدارة التنفيذية</t>
        </is>
      </c>
      <c r="C97" s="21" t="inlineStr">
        <is>
          <t>نسبة تحقيق المستهدفات الاستراتيجية العامة</t>
        </is>
      </c>
      <c r="D97" s="55" t="n">
        <v>0.85</v>
      </c>
      <c r="E97" s="55" t="n">
        <v>1</v>
      </c>
      <c r="F97" s="56" t="n">
        <v>0.85</v>
      </c>
      <c r="G97" s="12" t="n">
        <v>0.15</v>
      </c>
      <c r="H97" s="55" t="n">
        <v>0.85</v>
      </c>
      <c r="I97" s="15" t="inlineStr">
        <is>
          <t>🟡 قريب</t>
        </is>
      </c>
      <c r="J97" s="11" t="inlineStr">
        <is>
          <t>فجوة محدودة — متابعة.</t>
        </is>
      </c>
      <c r="K97" s="11" t="inlineStr">
        <is>
          <t>متابعة أسبوعية لإغلاق الفجوة.</t>
        </is>
      </c>
      <c r="L97" s="15" t="inlineStr">
        <is>
          <t>الرئيس التنفيذي</t>
        </is>
      </c>
      <c r="M97" s="57" t="n"/>
    </row>
    <row r="98">
      <c r="A98" s="15" t="n">
        <v>96</v>
      </c>
      <c r="B98" s="13" t="inlineStr">
        <is>
          <t>العقار</t>
        </is>
      </c>
      <c r="C98" s="21" t="inlineStr">
        <is>
          <t>نمو الإيرادات الإيجارية</t>
        </is>
      </c>
      <c r="D98" s="55" t="n">
        <v>0.068</v>
      </c>
      <c r="E98" s="55" t="n">
        <v>0.08</v>
      </c>
      <c r="F98" s="56" t="n">
        <v>0.8500000000000001</v>
      </c>
      <c r="G98" s="12" t="n">
        <v>0.1499999999999999</v>
      </c>
      <c r="H98" s="55" t="n">
        <v>0.068</v>
      </c>
      <c r="I98" s="15" t="inlineStr">
        <is>
          <t>🟡 قريب</t>
        </is>
      </c>
      <c r="J98" s="11" t="inlineStr">
        <is>
          <t>فجوة محدودة — متابعة.</t>
        </is>
      </c>
      <c r="K98" s="11" t="inlineStr">
        <is>
          <t>متابعة أسبوعية لإغلاق الفجوة.</t>
        </is>
      </c>
      <c r="L98" s="15" t="inlineStr">
        <is>
          <t>مدير العقار</t>
        </is>
      </c>
      <c r="M98" s="57" t="n"/>
    </row>
    <row r="99">
      <c r="A99" s="15" t="n">
        <v>97</v>
      </c>
      <c r="B99" s="13" t="inlineStr">
        <is>
          <t>التسويق</t>
        </is>
      </c>
      <c r="C99" s="21" t="inlineStr">
        <is>
          <t>تقييم خرائط قوقل</t>
        </is>
      </c>
      <c r="D99" s="55" t="n">
        <v>4</v>
      </c>
      <c r="E99" s="55" t="n">
        <v>4.7</v>
      </c>
      <c r="F99" s="56" t="n">
        <v>0.851063829787234</v>
      </c>
      <c r="G99" s="12" t="n">
        <v>0.148936170212766</v>
      </c>
      <c r="H99" s="55" t="n">
        <v>4</v>
      </c>
      <c r="I99" s="15" t="inlineStr">
        <is>
          <t>🟡 قريب</t>
        </is>
      </c>
      <c r="J99" s="11" t="inlineStr">
        <is>
          <t>فجوة محدودة — متابعة.</t>
        </is>
      </c>
      <c r="K99" s="11" t="inlineStr">
        <is>
          <t>متابعة أسبوعية لإغلاق الفجوة.</t>
        </is>
      </c>
      <c r="L99" s="15" t="inlineStr">
        <is>
          <t>مدير التسويق</t>
        </is>
      </c>
      <c r="M99" s="57" t="n"/>
    </row>
    <row r="100">
      <c r="A100" s="15" t="n">
        <v>98</v>
      </c>
      <c r="B100" s="13" t="inlineStr">
        <is>
          <t>الإدارة المالية</t>
        </is>
      </c>
      <c r="C100" s="21" t="inlineStr">
        <is>
          <t>أيام الإقفال الشهري</t>
        </is>
      </c>
      <c r="D100" s="55" t="n">
        <v>7.044</v>
      </c>
      <c r="E100" s="55" t="n">
        <v>6</v>
      </c>
      <c r="F100" s="56" t="n">
        <v>0.8517887563884157</v>
      </c>
      <c r="G100" s="12" t="n">
        <v>0.1482112436115843</v>
      </c>
      <c r="H100" s="55" t="n">
        <v>7.044</v>
      </c>
      <c r="I100" s="15" t="inlineStr">
        <is>
          <t>🟡 قريب</t>
        </is>
      </c>
      <c r="J100" s="11" t="inlineStr">
        <is>
          <t>فجوة محدودة — متابعة.</t>
        </is>
      </c>
      <c r="K100" s="11" t="inlineStr">
        <is>
          <t>متابعة أسبوعية لإغلاق الفجوة.</t>
        </is>
      </c>
      <c r="L100" s="15" t="inlineStr">
        <is>
          <t>المدير المالي</t>
        </is>
      </c>
      <c r="M100" s="57" t="n"/>
    </row>
    <row r="101">
      <c r="A101" s="15" t="n">
        <v>99</v>
      </c>
      <c r="B101" s="13" t="inlineStr">
        <is>
          <t>الإدارة المالية</t>
        </is>
      </c>
      <c r="C101" s="21" t="inlineStr">
        <is>
          <t>النسبة الجارية (Current Ratio)</t>
        </is>
      </c>
      <c r="D101" s="55" t="n">
        <v>0.852</v>
      </c>
      <c r="E101" s="55" t="n">
        <v>1</v>
      </c>
      <c r="F101" s="56" t="n">
        <v>0.852</v>
      </c>
      <c r="G101" s="12" t="n">
        <v>0.148</v>
      </c>
      <c r="H101" s="55" t="n">
        <v>0.852</v>
      </c>
      <c r="I101" s="15" t="inlineStr">
        <is>
          <t>🟡 قريب</t>
        </is>
      </c>
      <c r="J101" s="11" t="inlineStr">
        <is>
          <t>فجوة محدودة — متابعة.</t>
        </is>
      </c>
      <c r="K101" s="11" t="inlineStr">
        <is>
          <t>متابعة أسبوعية لإغلاق الفجوة.</t>
        </is>
      </c>
      <c r="L101" s="15" t="inlineStr">
        <is>
          <t>المدير المالي</t>
        </is>
      </c>
      <c r="M101" s="57" t="n"/>
    </row>
    <row r="102">
      <c r="A102" s="15" t="n">
        <v>100</v>
      </c>
      <c r="B102" s="13" t="inlineStr">
        <is>
          <t>الجودة</t>
        </is>
      </c>
      <c r="C102" s="21" t="inlineStr">
        <is>
          <t>عدد مبادرات التحسين المؤثرة</t>
        </is>
      </c>
      <c r="D102" s="55" t="n">
        <v>6.827</v>
      </c>
      <c r="E102" s="55" t="n">
        <v>8</v>
      </c>
      <c r="F102" s="56" t="n">
        <v>0.853375</v>
      </c>
      <c r="G102" s="12" t="n">
        <v>0.146625</v>
      </c>
      <c r="H102" s="55" t="n">
        <v>13.654</v>
      </c>
      <c r="I102" s="15" t="inlineStr">
        <is>
          <t>🟡 قريب</t>
        </is>
      </c>
      <c r="J102" s="11" t="inlineStr">
        <is>
          <t>فجوة محدودة — متابعة.</t>
        </is>
      </c>
      <c r="K102" s="11" t="inlineStr">
        <is>
          <t>متابعة أسبوعية لإغلاق الفجوة.</t>
        </is>
      </c>
      <c r="L102" s="15" t="inlineStr">
        <is>
          <t>مدير الجودة</t>
        </is>
      </c>
      <c r="M102" s="57" t="n"/>
    </row>
    <row r="103">
      <c r="A103" s="15" t="n">
        <v>101</v>
      </c>
      <c r="B103" s="13" t="inlineStr">
        <is>
          <t>الامتياز التجاري</t>
        </is>
      </c>
      <c r="C103" s="21" t="inlineStr">
        <is>
          <t>نسبة التحصيل المالي من شركاء الامتياز</t>
        </is>
      </c>
      <c r="D103" s="55" t="n">
        <v>0.8120000000000001</v>
      </c>
      <c r="E103" s="55" t="n">
        <v>0.95</v>
      </c>
      <c r="F103" s="56" t="n">
        <v>0.8547368421052632</v>
      </c>
      <c r="G103" s="12" t="n">
        <v>0.1452631578947368</v>
      </c>
      <c r="H103" s="55" t="n">
        <v>0.8120000000000001</v>
      </c>
      <c r="I103" s="15" t="inlineStr">
        <is>
          <t>🟡 قريب</t>
        </is>
      </c>
      <c r="J103" s="11" t="inlineStr">
        <is>
          <t>فجوة محدودة — متابعة.</t>
        </is>
      </c>
      <c r="K103" s="11" t="inlineStr">
        <is>
          <t>متابعة أسبوعية لإغلاق الفجوة.</t>
        </is>
      </c>
      <c r="L103" s="15" t="inlineStr">
        <is>
          <t>مدير الامتياز</t>
        </is>
      </c>
      <c r="M103" s="57" t="n"/>
    </row>
    <row r="104">
      <c r="A104" s="15" t="n">
        <v>102</v>
      </c>
      <c r="B104" s="13" t="inlineStr">
        <is>
          <t>التشغيل والمحطات</t>
        </is>
      </c>
      <c r="C104" s="21" t="inlineStr">
        <is>
          <t>نمو مبيعات بنزين 91 مقارنة بالعام السابق</t>
        </is>
      </c>
      <c r="D104" s="55" t="n">
        <v>0.08599999999999999</v>
      </c>
      <c r="E104" s="55" t="n">
        <v>0.1</v>
      </c>
      <c r="F104" s="56" t="n">
        <v>0.8599999999999999</v>
      </c>
      <c r="G104" s="12" t="n">
        <v>0.1400000000000001</v>
      </c>
      <c r="H104" s="55" t="n">
        <v>0.08599999999999999</v>
      </c>
      <c r="I104" s="15" t="inlineStr">
        <is>
          <t>🟡 قريب</t>
        </is>
      </c>
      <c r="J104" s="11" t="inlineStr">
        <is>
          <t>فجوة محدودة — متابعة.</t>
        </is>
      </c>
      <c r="K104" s="11" t="inlineStr">
        <is>
          <t>متابعة أسبوعية لإغلاق الفجوة.</t>
        </is>
      </c>
      <c r="L104" s="15" t="inlineStr">
        <is>
          <t>مدير التشغيل</t>
        </is>
      </c>
      <c r="M104" s="57" t="n"/>
    </row>
    <row r="105">
      <c r="A105" s="15" t="n">
        <v>103</v>
      </c>
      <c r="B105" s="13" t="inlineStr">
        <is>
          <t>الاستثمار</t>
        </is>
      </c>
      <c r="C105" s="21" t="inlineStr">
        <is>
          <t>نسبة العقود خارج المدن الرئيسية</t>
        </is>
      </c>
      <c r="D105" s="55" t="n">
        <v>0.516</v>
      </c>
      <c r="E105" s="55" t="n">
        <v>0.6</v>
      </c>
      <c r="F105" s="56" t="n">
        <v>0.8600000000000001</v>
      </c>
      <c r="G105" s="12" t="n">
        <v>0.1399999999999999</v>
      </c>
      <c r="H105" s="55" t="n">
        <v>0.516</v>
      </c>
      <c r="I105" s="15" t="inlineStr">
        <is>
          <t>🟡 قريب</t>
        </is>
      </c>
      <c r="J105" s="11" t="inlineStr">
        <is>
          <t>فجوة محدودة — متابعة.</t>
        </is>
      </c>
      <c r="K105" s="11" t="inlineStr">
        <is>
          <t>متابعة أسبوعية لإغلاق الفجوة.</t>
        </is>
      </c>
      <c r="L105" s="15" t="inlineStr">
        <is>
          <t>مدير الاستثمار</t>
        </is>
      </c>
      <c r="M105" s="57" t="n"/>
    </row>
    <row r="106">
      <c r="A106" s="15" t="n">
        <v>104</v>
      </c>
      <c r="B106" s="13" t="inlineStr">
        <is>
          <t>إدارة المشاريع</t>
        </is>
      </c>
      <c r="C106" s="21" t="inlineStr">
        <is>
          <t>نسبة إغلاق ملاحظات الجودة على المطوّرين</t>
        </is>
      </c>
      <c r="D106" s="55" t="n">
        <v>0.777</v>
      </c>
      <c r="E106" s="55" t="n">
        <v>0.9</v>
      </c>
      <c r="F106" s="56" t="n">
        <v>0.8633333333333333</v>
      </c>
      <c r="G106" s="12" t="n">
        <v>0.1366666666666667</v>
      </c>
      <c r="H106" s="55" t="n">
        <v>0.777</v>
      </c>
      <c r="I106" s="15" t="inlineStr">
        <is>
          <t>🟡 قريب</t>
        </is>
      </c>
      <c r="J106" s="11" t="inlineStr">
        <is>
          <t>فجوة محدودة — متابعة.</t>
        </is>
      </c>
      <c r="K106" s="11" t="inlineStr">
        <is>
          <t>متابعة أسبوعية لإغلاق الفجوة.</t>
        </is>
      </c>
      <c r="L106" s="15" t="inlineStr">
        <is>
          <t>مدير إدارة المشاريع</t>
        </is>
      </c>
      <c r="M106" s="57" t="n"/>
    </row>
    <row r="107">
      <c r="A107" s="15" t="n">
        <v>105</v>
      </c>
      <c r="B107" s="13" t="inlineStr">
        <is>
          <t>الصيانة والأتمتة</t>
        </is>
      </c>
      <c r="C107" s="21" t="inlineStr">
        <is>
          <t>متوسط زمن الاستجابة للبلاغات الطارئة</t>
        </is>
      </c>
      <c r="D107" s="55" t="n">
        <v>34.7</v>
      </c>
      <c r="E107" s="55" t="n">
        <v>30</v>
      </c>
      <c r="F107" s="56" t="n">
        <v>0.8645533141210374</v>
      </c>
      <c r="G107" s="12" t="n">
        <v>0.1354466858789626</v>
      </c>
      <c r="H107" s="55" t="n">
        <v>34.7</v>
      </c>
      <c r="I107" s="15" t="inlineStr">
        <is>
          <t>🟡 قريب</t>
        </is>
      </c>
      <c r="J107" s="11" t="inlineStr">
        <is>
          <t>فجوة محدودة — متابعة.</t>
        </is>
      </c>
      <c r="K107" s="11" t="inlineStr">
        <is>
          <t>متابعة أسبوعية لإغلاق الفجوة.</t>
        </is>
      </c>
      <c r="L107" s="15" t="inlineStr">
        <is>
          <t>مدير الصيانة والأتمتة</t>
        </is>
      </c>
      <c r="M107" s="57" t="n"/>
    </row>
    <row r="108">
      <c r="A108" s="15" t="n">
        <v>106</v>
      </c>
      <c r="B108" s="13" t="inlineStr">
        <is>
          <t>الصيانة والأتمتة</t>
        </is>
      </c>
      <c r="C108" s="21" t="inlineStr">
        <is>
          <t>نسبة الجاهزية الفنية للأصول والمعدات (Availability)</t>
        </is>
      </c>
      <c r="D108" s="55" t="n">
        <v>0.848</v>
      </c>
      <c r="E108" s="55" t="n">
        <v>0.98</v>
      </c>
      <c r="F108" s="56" t="n">
        <v>0.8653061224489795</v>
      </c>
      <c r="G108" s="12" t="n">
        <v>0.1346938775510205</v>
      </c>
      <c r="H108" s="55" t="n">
        <v>0.848</v>
      </c>
      <c r="I108" s="15" t="inlineStr">
        <is>
          <t>🔴 تحت الهدف</t>
        </is>
      </c>
      <c r="J108" s="11" t="inlineStr">
        <is>
          <t>انحراف جوهري — أولوية عاجلة.</t>
        </is>
      </c>
      <c r="K108" s="11" t="inlineStr">
        <is>
          <t>إجراء تصحيحي خلال 30 يوماً.</t>
        </is>
      </c>
      <c r="L108" s="15" t="inlineStr">
        <is>
          <t>مدير الصيانة والأتمتة</t>
        </is>
      </c>
      <c r="M108" s="57" t="n"/>
    </row>
    <row r="109">
      <c r="A109" s="15" t="n">
        <v>107</v>
      </c>
      <c r="B109" s="13" t="inlineStr">
        <is>
          <t>إدارة المشاريع</t>
        </is>
      </c>
      <c r="C109" s="21" t="inlineStr">
        <is>
          <t>عدد محطات الامتياز المُسلَّمة بالهوية</t>
        </is>
      </c>
      <c r="D109" s="55" t="n">
        <v>34.7</v>
      </c>
      <c r="E109" s="55" t="n">
        <v>40</v>
      </c>
      <c r="F109" s="56" t="n">
        <v>0.8675</v>
      </c>
      <c r="G109" s="12" t="n">
        <v>0.1325</v>
      </c>
      <c r="H109" s="55" t="n">
        <v>69.40000000000001</v>
      </c>
      <c r="I109" s="15" t="inlineStr">
        <is>
          <t>🟡 قريب</t>
        </is>
      </c>
      <c r="J109" s="11" t="inlineStr">
        <is>
          <t>فجوة محدودة — متابعة.</t>
        </is>
      </c>
      <c r="K109" s="11" t="inlineStr">
        <is>
          <t>متابعة أسبوعية لإغلاق الفجوة.</t>
        </is>
      </c>
      <c r="L109" s="15" t="inlineStr">
        <is>
          <t>مدير إدارة المشاريع</t>
        </is>
      </c>
      <c r="M109" s="57" t="n"/>
    </row>
    <row r="110">
      <c r="A110" s="15" t="n">
        <v>108</v>
      </c>
      <c r="B110" s="13" t="inlineStr">
        <is>
          <t>العقار</t>
        </is>
      </c>
      <c r="C110" s="21" t="inlineStr">
        <is>
          <t>استدامة المستأجرين (لم يُنهَ مبكراً)</t>
        </is>
      </c>
      <c r="D110" s="55" t="n">
        <v>0.695</v>
      </c>
      <c r="E110" s="55" t="n">
        <v>0.8</v>
      </c>
      <c r="F110" s="56" t="n">
        <v>0.8687499999999999</v>
      </c>
      <c r="G110" s="12" t="n">
        <v>0.1312500000000001</v>
      </c>
      <c r="H110" s="55" t="n">
        <v>0.695</v>
      </c>
      <c r="I110" s="15" t="inlineStr">
        <is>
          <t>🟡 قريب</t>
        </is>
      </c>
      <c r="J110" s="11" t="inlineStr">
        <is>
          <t>فجوة محدودة — متابعة.</t>
        </is>
      </c>
      <c r="K110" s="11" t="inlineStr">
        <is>
          <t>متابعة أسبوعية لإغلاق الفجوة.</t>
        </is>
      </c>
      <c r="L110" s="15" t="inlineStr">
        <is>
          <t>مدير العقار</t>
        </is>
      </c>
      <c r="M110" s="57" t="n"/>
    </row>
    <row r="111">
      <c r="A111" s="15" t="n">
        <v>109</v>
      </c>
      <c r="B111" s="13" t="inlineStr">
        <is>
          <t>الامتياز التجاري</t>
        </is>
      </c>
      <c r="C111" s="21" t="inlineStr">
        <is>
          <t>رفع هامش الربحية للامتياز</t>
        </is>
      </c>
      <c r="D111" s="55" t="n">
        <v>1.564</v>
      </c>
      <c r="E111" s="55" t="n">
        <v>1.8</v>
      </c>
      <c r="F111" s="56" t="n">
        <v>0.8688888888888889</v>
      </c>
      <c r="G111" s="12" t="n">
        <v>0.1311111111111111</v>
      </c>
      <c r="H111" s="55" t="n">
        <v>1.564</v>
      </c>
      <c r="I111" s="15" t="inlineStr">
        <is>
          <t>🟡 قريب</t>
        </is>
      </c>
      <c r="J111" s="11" t="inlineStr">
        <is>
          <t>فجوة محدودة — متابعة.</t>
        </is>
      </c>
      <c r="K111" s="11" t="inlineStr">
        <is>
          <t>متابعة أسبوعية لإغلاق الفجوة.</t>
        </is>
      </c>
      <c r="L111" s="15" t="inlineStr">
        <is>
          <t>مدير الامتياز</t>
        </is>
      </c>
      <c r="M111" s="57" t="n"/>
    </row>
    <row r="112">
      <c r="A112" s="15" t="n">
        <v>110</v>
      </c>
      <c r="B112" s="13" t="inlineStr">
        <is>
          <t>إدارة المشاريع</t>
        </is>
      </c>
      <c r="C112" s="21" t="inlineStr">
        <is>
          <t>نسبة التزام المطوّرين بالجدول الزمني</t>
        </is>
      </c>
      <c r="D112" s="55" t="n">
        <v>0.652</v>
      </c>
      <c r="E112" s="55" t="n">
        <v>0.75</v>
      </c>
      <c r="F112" s="56" t="n">
        <v>0.8693333333333334</v>
      </c>
      <c r="G112" s="12" t="n">
        <v>0.1306666666666666</v>
      </c>
      <c r="H112" s="55" t="n">
        <v>0.652</v>
      </c>
      <c r="I112" s="15" t="inlineStr">
        <is>
          <t>🟡 قريب</t>
        </is>
      </c>
      <c r="J112" s="11" t="inlineStr">
        <is>
          <t>فجوة محدودة — متابعة.</t>
        </is>
      </c>
      <c r="K112" s="11" t="inlineStr">
        <is>
          <t>متابعة أسبوعية لإغلاق الفجوة.</t>
        </is>
      </c>
      <c r="L112" s="15" t="inlineStr">
        <is>
          <t>مدير إدارة المشاريع</t>
        </is>
      </c>
      <c r="M112" s="57" t="n"/>
    </row>
    <row r="113">
      <c r="A113" s="15" t="n">
        <v>111</v>
      </c>
      <c r="B113" s="13" t="inlineStr">
        <is>
          <t>الاستثمار</t>
        </is>
      </c>
      <c r="C113" s="21" t="inlineStr">
        <is>
          <t>إجمالي عقود الاستثمار الجديدة (جميع النماذج)</t>
        </is>
      </c>
      <c r="D113" s="55" t="n">
        <v>165.7</v>
      </c>
      <c r="E113" s="55" t="n">
        <v>190</v>
      </c>
      <c r="F113" s="56" t="n">
        <v>0.8721052631578947</v>
      </c>
      <c r="G113" s="12" t="n">
        <v>0.1278947368421053</v>
      </c>
      <c r="H113" s="55" t="n">
        <v>331.4</v>
      </c>
      <c r="I113" s="15" t="inlineStr">
        <is>
          <t>🟡 قريب</t>
        </is>
      </c>
      <c r="J113" s="11" t="inlineStr">
        <is>
          <t>فجوة محدودة — متابعة.</t>
        </is>
      </c>
      <c r="K113" s="11" t="inlineStr">
        <is>
          <t>متابعة أسبوعية لإغلاق الفجوة.</t>
        </is>
      </c>
      <c r="L113" s="15" t="inlineStr">
        <is>
          <t>مدير الاستثمار</t>
        </is>
      </c>
      <c r="M113" s="57" t="n"/>
    </row>
    <row r="114">
      <c r="A114" s="15" t="n">
        <v>112</v>
      </c>
      <c r="B114" s="13" t="inlineStr">
        <is>
          <t>العقار</t>
        </is>
      </c>
      <c r="C114" s="21" t="inlineStr">
        <is>
          <t>متوسط زمن تسليم الوحدة</t>
        </is>
      </c>
      <c r="D114" s="55" t="n">
        <v>7.983</v>
      </c>
      <c r="E114" s="55" t="n">
        <v>7</v>
      </c>
      <c r="F114" s="56" t="n">
        <v>0.8768633345859953</v>
      </c>
      <c r="G114" s="12" t="n">
        <v>0.1231366654140047</v>
      </c>
      <c r="H114" s="55" t="n">
        <v>7.983</v>
      </c>
      <c r="I114" s="15" t="inlineStr">
        <is>
          <t>🟡 قريب</t>
        </is>
      </c>
      <c r="J114" s="11" t="inlineStr">
        <is>
          <t>فجوة محدودة — متابعة.</t>
        </is>
      </c>
      <c r="K114" s="11" t="inlineStr">
        <is>
          <t>متابعة أسبوعية لإغلاق الفجوة.</t>
        </is>
      </c>
      <c r="L114" s="15" t="inlineStr">
        <is>
          <t>مدير العقار</t>
        </is>
      </c>
      <c r="M114" s="57" t="n"/>
    </row>
    <row r="115">
      <c r="A115" s="15" t="n">
        <v>113</v>
      </c>
      <c r="B115" s="13" t="inlineStr">
        <is>
          <t>الإدارة التنفيذية</t>
        </is>
      </c>
      <c r="C115" s="21" t="inlineStr">
        <is>
          <t>إجمالي المحطات المشغّلة — الشركة (تراكمي)</t>
        </is>
      </c>
      <c r="D115" s="55" t="n">
        <v>206.1</v>
      </c>
      <c r="E115" s="55" t="n">
        <v>235</v>
      </c>
      <c r="F115" s="56" t="n">
        <v>0.8770212765957447</v>
      </c>
      <c r="G115" s="12" t="n">
        <v>0.1229787234042553</v>
      </c>
      <c r="H115" s="55" t="n">
        <v>206.1</v>
      </c>
      <c r="I115" s="15" t="inlineStr">
        <is>
          <t>🟡 قريب</t>
        </is>
      </c>
      <c r="J115" s="11" t="inlineStr">
        <is>
          <t>فجوة محدودة — متابعة.</t>
        </is>
      </c>
      <c r="K115" s="11" t="inlineStr">
        <is>
          <t>متابعة أسبوعية لإغلاق الفجوة.</t>
        </is>
      </c>
      <c r="L115" s="15" t="inlineStr">
        <is>
          <t>الرئيس التنفيذي</t>
        </is>
      </c>
      <c r="M115" s="57" t="n"/>
    </row>
    <row r="116">
      <c r="A116" s="15" t="n">
        <v>114</v>
      </c>
      <c r="B116" s="13" t="inlineStr">
        <is>
          <t>الجودة</t>
        </is>
      </c>
      <c r="C116" s="21" t="inlineStr">
        <is>
          <t>نسبة تكرار الملاحظات</t>
        </is>
      </c>
      <c r="D116" s="55" t="n">
        <v>0.114</v>
      </c>
      <c r="E116" s="55" t="n">
        <v>0.1</v>
      </c>
      <c r="F116" s="56" t="n">
        <v>0.8771929824561404</v>
      </c>
      <c r="G116" s="12" t="n">
        <v>0.1228070175438596</v>
      </c>
      <c r="H116" s="55" t="n">
        <v>0.114</v>
      </c>
      <c r="I116" s="15" t="inlineStr">
        <is>
          <t>🟡 قريب</t>
        </is>
      </c>
      <c r="J116" s="11" t="inlineStr">
        <is>
          <t>فجوة محدودة — متابعة.</t>
        </is>
      </c>
      <c r="K116" s="11" t="inlineStr">
        <is>
          <t>متابعة أسبوعية لإغلاق الفجوة.</t>
        </is>
      </c>
      <c r="L116" s="15" t="inlineStr">
        <is>
          <t>مدير الجودة</t>
        </is>
      </c>
      <c r="M116" s="57" t="n"/>
    </row>
    <row r="117">
      <c r="A117" s="15" t="n">
        <v>115</v>
      </c>
      <c r="B117" s="13" t="inlineStr">
        <is>
          <t>الموارد البشرية</t>
        </is>
      </c>
      <c r="C117" s="21" t="inlineStr">
        <is>
          <t>نسبة دقة الرواتب والمستحقات الشهرية</t>
        </is>
      </c>
      <c r="D117" s="55" t="n">
        <v>0.888</v>
      </c>
      <c r="E117" s="55" t="n">
        <v>0.995</v>
      </c>
      <c r="F117" s="56" t="n">
        <v>0.892462311557789</v>
      </c>
      <c r="G117" s="12" t="n">
        <v>0.107537688442211</v>
      </c>
      <c r="H117" s="55" t="n">
        <v>0.888</v>
      </c>
      <c r="I117" s="15" t="inlineStr">
        <is>
          <t>🟡 قريب</t>
        </is>
      </c>
      <c r="J117" s="11" t="inlineStr">
        <is>
          <t>فجوة محدودة — متابعة.</t>
        </is>
      </c>
      <c r="K117" s="11" t="inlineStr">
        <is>
          <t>متابعة أسبوعية لإغلاق الفجوة.</t>
        </is>
      </c>
      <c r="L117" s="15" t="inlineStr">
        <is>
          <t>مدير الموارد البشرية</t>
        </is>
      </c>
      <c r="M117" s="57" t="n"/>
    </row>
    <row r="118">
      <c r="A118" s="15" t="n">
        <v>116</v>
      </c>
      <c r="B118" s="13" t="inlineStr">
        <is>
          <t>التشغيل والمحطات</t>
        </is>
      </c>
      <c r="C118" s="21" t="inlineStr">
        <is>
          <t>سرعة تعبئة الوقود</t>
        </is>
      </c>
      <c r="D118" s="55" t="n">
        <v>3.352</v>
      </c>
      <c r="E118" s="55" t="n">
        <v>3</v>
      </c>
      <c r="F118" s="56" t="n">
        <v>0.8949880668257757</v>
      </c>
      <c r="G118" s="12" t="n">
        <v>0.1050119331742243</v>
      </c>
      <c r="H118" s="55" t="n">
        <v>3.352</v>
      </c>
      <c r="I118" s="15" t="inlineStr">
        <is>
          <t>🟡 قريب</t>
        </is>
      </c>
      <c r="J118" s="11" t="inlineStr">
        <is>
          <t>فجوة محدودة — متابعة.</t>
        </is>
      </c>
      <c r="K118" s="11" t="inlineStr">
        <is>
          <t>متابعة أسبوعية لإغلاق الفجوة.</t>
        </is>
      </c>
      <c r="L118" s="15" t="inlineStr">
        <is>
          <t>مدير التشغيل</t>
        </is>
      </c>
      <c r="M118" s="57" t="n"/>
    </row>
    <row r="119">
      <c r="A119" s="15" t="n">
        <v>117</v>
      </c>
      <c r="B119" s="13" t="inlineStr">
        <is>
          <t>الموارد البشرية</t>
        </is>
      </c>
      <c r="C119" s="21" t="inlineStr">
        <is>
          <t>متوسط مدة إغلاق الشواغر المعتمدة</t>
        </is>
      </c>
      <c r="D119" s="55" t="n">
        <v>33.5</v>
      </c>
      <c r="E119" s="55" t="n">
        <v>30</v>
      </c>
      <c r="F119" s="56" t="n">
        <v>0.8955223880597015</v>
      </c>
      <c r="G119" s="12" t="n">
        <v>0.1044776119402985</v>
      </c>
      <c r="H119" s="55" t="n">
        <v>33.5</v>
      </c>
      <c r="I119" s="15" t="inlineStr">
        <is>
          <t>🟡 قريب</t>
        </is>
      </c>
      <c r="J119" s="11" t="inlineStr">
        <is>
          <t>فجوة محدودة — متابعة.</t>
        </is>
      </c>
      <c r="K119" s="11" t="inlineStr">
        <is>
          <t>متابعة أسبوعية لإغلاق الفجوة.</t>
        </is>
      </c>
      <c r="L119" s="15" t="inlineStr">
        <is>
          <t>مدير الموارد البشرية</t>
        </is>
      </c>
      <c r="M119" s="57" t="n"/>
    </row>
    <row r="120">
      <c r="A120" s="15" t="n">
        <v>118</v>
      </c>
      <c r="B120" s="13" t="inlineStr">
        <is>
          <t>إدارة المشاريع</t>
        </is>
      </c>
      <c r="C120" s="21" t="inlineStr">
        <is>
          <t>نسبة التزام المقاولين بمعايير السلامة</t>
        </is>
      </c>
      <c r="D120" s="55" t="n">
        <v>0.852</v>
      </c>
      <c r="E120" s="55" t="n">
        <v>0.95</v>
      </c>
      <c r="F120" s="56" t="n">
        <v>0.8968421052631579</v>
      </c>
      <c r="G120" s="12" t="n">
        <v>0.1031578947368421</v>
      </c>
      <c r="H120" s="55" t="n">
        <v>0.852</v>
      </c>
      <c r="I120" s="15" t="inlineStr">
        <is>
          <t>🔴 تحت الهدف</t>
        </is>
      </c>
      <c r="J120" s="11" t="inlineStr">
        <is>
          <t>انحراف جوهري — أولوية عاجلة.</t>
        </is>
      </c>
      <c r="K120" s="11" t="inlineStr">
        <is>
          <t>إجراء تصحيحي خلال 30 يوماً.</t>
        </is>
      </c>
      <c r="L120" s="15" t="inlineStr">
        <is>
          <t>مدير إدارة المشاريع</t>
        </is>
      </c>
      <c r="M120" s="57" t="n"/>
    </row>
    <row r="121">
      <c r="A121" s="15" t="n">
        <v>119</v>
      </c>
      <c r="B121" s="13" t="inlineStr">
        <is>
          <t>التشغيل والمحطات</t>
        </is>
      </c>
      <c r="C121" s="21" t="inlineStr">
        <is>
          <t>تقييم Google Maps للمحطات</t>
        </is>
      </c>
      <c r="D121" s="55" t="n">
        <v>4.048</v>
      </c>
      <c r="E121" s="55" t="n">
        <v>4.5</v>
      </c>
      <c r="F121" s="56" t="n">
        <v>0.8995555555555556</v>
      </c>
      <c r="G121" s="12" t="n">
        <v>0.1004444444444444</v>
      </c>
      <c r="H121" s="55" t="n">
        <v>4.048</v>
      </c>
      <c r="I121" s="15" t="inlineStr">
        <is>
          <t>🟡 قريب</t>
        </is>
      </c>
      <c r="J121" s="11" t="inlineStr">
        <is>
          <t>فجوة محدودة — متابعة.</t>
        </is>
      </c>
      <c r="K121" s="11" t="inlineStr">
        <is>
          <t>متابعة أسبوعية لإغلاق الفجوة.</t>
        </is>
      </c>
      <c r="L121" s="15" t="inlineStr">
        <is>
          <t>مدير التشغيل</t>
        </is>
      </c>
      <c r="M121" s="57" t="n"/>
    </row>
    <row r="122">
      <c r="A122" s="15" t="n">
        <v>120</v>
      </c>
      <c r="B122" s="13" t="inlineStr">
        <is>
          <t>الإدارة المالية</t>
        </is>
      </c>
      <c r="C122" s="21" t="inlineStr">
        <is>
          <t>نسبة التدفق النقدي التشغيلي</t>
        </is>
      </c>
      <c r="D122" s="55" t="n">
        <v>0.902</v>
      </c>
      <c r="E122" s="55" t="n">
        <v>1</v>
      </c>
      <c r="F122" s="56" t="n">
        <v>0.902</v>
      </c>
      <c r="G122" s="12" t="n">
        <v>0.09799999999999998</v>
      </c>
      <c r="H122" s="55" t="n">
        <v>0.902</v>
      </c>
      <c r="I122" s="15" t="inlineStr">
        <is>
          <t>🟡 قريب</t>
        </is>
      </c>
      <c r="J122" s="11" t="inlineStr">
        <is>
          <t>فجوة محدودة — متابعة.</t>
        </is>
      </c>
      <c r="K122" s="11" t="inlineStr">
        <is>
          <t>متابعة أسبوعية لإغلاق الفجوة.</t>
        </is>
      </c>
      <c r="L122" s="15" t="inlineStr">
        <is>
          <t>المدير المالي</t>
        </is>
      </c>
      <c r="M122" s="57" t="n"/>
    </row>
    <row r="123">
      <c r="A123" s="15" t="n">
        <v>121</v>
      </c>
      <c r="B123" s="13" t="inlineStr">
        <is>
          <t>الإدارة التنفيذية</t>
        </is>
      </c>
      <c r="C123" s="21" t="inlineStr">
        <is>
          <t>نسبة إنجاز مشاريع الخارطة التنفيذية</t>
        </is>
      </c>
      <c r="D123" s="55" t="n">
        <v>0.906</v>
      </c>
      <c r="E123" s="55" t="n">
        <v>1</v>
      </c>
      <c r="F123" s="56" t="n">
        <v>0.906</v>
      </c>
      <c r="G123" s="12" t="n">
        <v>0.09399999999999997</v>
      </c>
      <c r="H123" s="55" t="n">
        <v>0.906</v>
      </c>
      <c r="I123" s="15" t="inlineStr">
        <is>
          <t>🟡 قريب</t>
        </is>
      </c>
      <c r="J123" s="11" t="inlineStr">
        <is>
          <t>فجوة محدودة — متابعة.</t>
        </is>
      </c>
      <c r="K123" s="11" t="inlineStr">
        <is>
          <t>متابعة أسبوعية لإغلاق الفجوة.</t>
        </is>
      </c>
      <c r="L123" s="15" t="inlineStr">
        <is>
          <t>الرئيس التنفيذي</t>
        </is>
      </c>
      <c r="M123" s="57" t="n"/>
    </row>
    <row r="124">
      <c r="A124" s="15" t="n">
        <v>122</v>
      </c>
      <c r="B124" s="13" t="inlineStr">
        <is>
          <t>التشغيل والمحطات</t>
        </is>
      </c>
      <c r="C124" s="21" t="inlineStr">
        <is>
          <t>نمو مبيعات الديزل مقارنة بالعام السابق</t>
        </is>
      </c>
      <c r="D124" s="55" t="n">
        <v>0.091</v>
      </c>
      <c r="E124" s="55" t="n">
        <v>0.1</v>
      </c>
      <c r="F124" s="56" t="n">
        <v>0.9099999999999999</v>
      </c>
      <c r="G124" s="12" t="n">
        <v>0.09000000000000008</v>
      </c>
      <c r="H124" s="55" t="n">
        <v>0.091</v>
      </c>
      <c r="I124" s="15" t="inlineStr">
        <is>
          <t>🟡 قريب</t>
        </is>
      </c>
      <c r="J124" s="11" t="inlineStr">
        <is>
          <t>فجوة محدودة — متابعة.</t>
        </is>
      </c>
      <c r="K124" s="11" t="inlineStr">
        <is>
          <t>متابعة أسبوعية لإغلاق الفجوة.</t>
        </is>
      </c>
      <c r="L124" s="15" t="inlineStr">
        <is>
          <t>مدير التشغيل</t>
        </is>
      </c>
      <c r="M124" s="57" t="n"/>
    </row>
    <row r="125">
      <c r="A125" s="15" t="n">
        <v>123</v>
      </c>
      <c r="B125" s="13" t="inlineStr">
        <is>
          <t>إدارة المشاريع</t>
        </is>
      </c>
      <c r="C125" s="21" t="inlineStr">
        <is>
          <t>نسبة المشاريع المنفّذة ضمن الميزانية</t>
        </is>
      </c>
      <c r="D125" s="55" t="n">
        <v>0.774</v>
      </c>
      <c r="E125" s="55" t="n">
        <v>0.85</v>
      </c>
      <c r="F125" s="56" t="n">
        <v>0.9105882352941177</v>
      </c>
      <c r="G125" s="12" t="n">
        <v>0.0894117647058823</v>
      </c>
      <c r="H125" s="55" t="n">
        <v>0.774</v>
      </c>
      <c r="I125" s="15" t="inlineStr">
        <is>
          <t>🟡 قريب</t>
        </is>
      </c>
      <c r="J125" s="11" t="inlineStr">
        <is>
          <t>فجوة محدودة — متابعة.</t>
        </is>
      </c>
      <c r="K125" s="11" t="inlineStr">
        <is>
          <t>متابعة أسبوعية لإغلاق الفجوة.</t>
        </is>
      </c>
      <c r="L125" s="15" t="inlineStr">
        <is>
          <t>مدير إدارة المشاريع</t>
        </is>
      </c>
      <c r="M125" s="57" t="n"/>
    </row>
    <row r="126">
      <c r="A126" s="15" t="n">
        <v>124</v>
      </c>
      <c r="B126" s="13" t="inlineStr">
        <is>
          <t>الامتياز التجاري</t>
        </is>
      </c>
      <c r="C126" s="21" t="inlineStr">
        <is>
          <t>نسبة المحطات المستوفية لمعايير السلامة</t>
        </is>
      </c>
      <c r="D126" s="55" t="n">
        <v>0.911</v>
      </c>
      <c r="E126" s="55" t="n">
        <v>1</v>
      </c>
      <c r="F126" s="56" t="n">
        <v>0.911</v>
      </c>
      <c r="G126" s="12" t="n">
        <v>0.08899999999999997</v>
      </c>
      <c r="H126" s="55" t="n">
        <v>0.911</v>
      </c>
      <c r="I126" s="15" t="inlineStr">
        <is>
          <t>🔴 تحت الهدف</t>
        </is>
      </c>
      <c r="J126" s="11" t="inlineStr">
        <is>
          <t>انحراف جوهري — أولوية عاجلة.</t>
        </is>
      </c>
      <c r="K126" s="11" t="inlineStr">
        <is>
          <t>إجراء تصحيحي خلال 30 يوماً.</t>
        </is>
      </c>
      <c r="L126" s="15" t="inlineStr">
        <is>
          <t>مدير الامتياز</t>
        </is>
      </c>
      <c r="M126" s="57" t="n"/>
    </row>
    <row r="127">
      <c r="A127" s="15" t="n">
        <v>125</v>
      </c>
      <c r="B127" s="13" t="inlineStr">
        <is>
          <t>الامتياز التجاري</t>
        </is>
      </c>
      <c r="C127" s="21" t="inlineStr">
        <is>
          <t>نسبة انخفاض الشكاوى التشغيلية والإدارية</t>
        </is>
      </c>
      <c r="D127" s="55" t="n">
        <v>0.274</v>
      </c>
      <c r="E127" s="55" t="n">
        <v>0.3</v>
      </c>
      <c r="F127" s="56" t="n">
        <v>0.9133333333333334</v>
      </c>
      <c r="G127" s="12" t="n">
        <v>0.08666666666666656</v>
      </c>
      <c r="H127" s="55" t="n">
        <v>0.274</v>
      </c>
      <c r="I127" s="15" t="inlineStr">
        <is>
          <t>🟡 قريب</t>
        </is>
      </c>
      <c r="J127" s="11" t="inlineStr">
        <is>
          <t>فجوة محدودة — متابعة.</t>
        </is>
      </c>
      <c r="K127" s="11" t="inlineStr">
        <is>
          <t>متابعة أسبوعية لإغلاق الفجوة.</t>
        </is>
      </c>
      <c r="L127" s="15" t="inlineStr">
        <is>
          <t>مدير الامتياز</t>
        </is>
      </c>
      <c r="M127" s="57" t="n"/>
    </row>
    <row r="128">
      <c r="A128" s="15" t="n">
        <v>126</v>
      </c>
      <c r="B128" s="13" t="inlineStr">
        <is>
          <t>الامتياز التجاري</t>
        </is>
      </c>
      <c r="C128" s="21" t="inlineStr">
        <is>
          <t>متوسط وقت معالجة البلاغات التشغيلية</t>
        </is>
      </c>
      <c r="D128" s="55" t="n">
        <v>26.2</v>
      </c>
      <c r="E128" s="55" t="n">
        <v>24</v>
      </c>
      <c r="F128" s="56" t="n">
        <v>0.916030534351145</v>
      </c>
      <c r="G128" s="12" t="n">
        <v>0.08396946564885499</v>
      </c>
      <c r="H128" s="55" t="n">
        <v>26.2</v>
      </c>
      <c r="I128" s="15" t="inlineStr">
        <is>
          <t>🟡 قريب</t>
        </is>
      </c>
      <c r="J128" s="11" t="inlineStr">
        <is>
          <t>فجوة محدودة — متابعة.</t>
        </is>
      </c>
      <c r="K128" s="11" t="inlineStr">
        <is>
          <t>متابعة أسبوعية لإغلاق الفجوة.</t>
        </is>
      </c>
      <c r="L128" s="15" t="inlineStr">
        <is>
          <t>مدير الامتياز</t>
        </is>
      </c>
      <c r="M128" s="57" t="n"/>
    </row>
    <row r="129">
      <c r="A129" s="15" t="n">
        <v>127</v>
      </c>
      <c r="B129" s="13" t="inlineStr">
        <is>
          <t>العقار</t>
        </is>
      </c>
      <c r="C129" s="21" t="inlineStr">
        <is>
          <t>الشراكات الاستراتيجية</t>
        </is>
      </c>
      <c r="D129" s="55" t="n">
        <v>4.59</v>
      </c>
      <c r="E129" s="55" t="n">
        <v>5</v>
      </c>
      <c r="F129" s="56" t="n">
        <v>0.9179999999999999</v>
      </c>
      <c r="G129" s="12" t="n">
        <v>0.08200000000000007</v>
      </c>
      <c r="H129" s="55" t="n">
        <v>9.18</v>
      </c>
      <c r="I129" s="15" t="inlineStr">
        <is>
          <t>🟡 قريب</t>
        </is>
      </c>
      <c r="J129" s="11" t="inlineStr">
        <is>
          <t>فجوة محدودة — متابعة.</t>
        </is>
      </c>
      <c r="K129" s="11" t="inlineStr">
        <is>
          <t>متابعة أسبوعية لإغلاق الفجوة.</t>
        </is>
      </c>
      <c r="L129" s="15" t="inlineStr">
        <is>
          <t>مدير العقار</t>
        </is>
      </c>
      <c r="M129" s="57" t="n"/>
    </row>
    <row r="130">
      <c r="A130" s="15" t="n">
        <v>128</v>
      </c>
      <c r="B130" s="13" t="inlineStr">
        <is>
          <t>سلاسل الإمداد</t>
        </is>
      </c>
      <c r="C130" s="21" t="inlineStr">
        <is>
          <t>دقة أوامر الشراء ومستنداتها</t>
        </is>
      </c>
      <c r="D130" s="55" t="n">
        <v>0.905</v>
      </c>
      <c r="E130" s="55" t="n">
        <v>0.98</v>
      </c>
      <c r="F130" s="56" t="n">
        <v>0.9234693877551021</v>
      </c>
      <c r="G130" s="12" t="n">
        <v>0.07653061224489788</v>
      </c>
      <c r="H130" s="55" t="n">
        <v>0.905</v>
      </c>
      <c r="I130" s="15" t="inlineStr">
        <is>
          <t>🟡 قريب</t>
        </is>
      </c>
      <c r="J130" s="11" t="inlineStr">
        <is>
          <t>فجوة محدودة — متابعة.</t>
        </is>
      </c>
      <c r="K130" s="11" t="inlineStr">
        <is>
          <t>متابعة أسبوعية لإغلاق الفجوة.</t>
        </is>
      </c>
      <c r="L130" s="15" t="inlineStr">
        <is>
          <t>مدير سلاسل الإمداد</t>
        </is>
      </c>
      <c r="M130" s="57" t="n"/>
    </row>
    <row r="131">
      <c r="A131" s="15" t="n">
        <v>129</v>
      </c>
      <c r="B131" s="13" t="inlineStr">
        <is>
          <t>التشغيل والمحطات</t>
        </is>
      </c>
      <c r="C131" s="21" t="inlineStr">
        <is>
          <t>عدد المحطات المشغّلة (تراكمي)</t>
        </is>
      </c>
      <c r="D131" s="55" t="n">
        <v>78.5</v>
      </c>
      <c r="E131" s="55" t="n">
        <v>85</v>
      </c>
      <c r="F131" s="56" t="n">
        <v>0.9235294117647059</v>
      </c>
      <c r="G131" s="12" t="n">
        <v>0.07647058823529407</v>
      </c>
      <c r="H131" s="55" t="n">
        <v>78.5</v>
      </c>
      <c r="I131" s="15" t="inlineStr">
        <is>
          <t>🟡 قريب</t>
        </is>
      </c>
      <c r="J131" s="11" t="inlineStr">
        <is>
          <t>فجوة محدودة — متابعة.</t>
        </is>
      </c>
      <c r="K131" s="11" t="inlineStr">
        <is>
          <t>متابعة أسبوعية لإغلاق الفجوة.</t>
        </is>
      </c>
      <c r="L131" s="15" t="inlineStr">
        <is>
          <t>مدير التشغيل</t>
        </is>
      </c>
      <c r="M131" s="57" t="n"/>
    </row>
    <row r="132">
      <c r="A132" s="15" t="n">
        <v>130</v>
      </c>
      <c r="B132" s="13" t="inlineStr">
        <is>
          <t>الامتياز التجاري</t>
        </is>
      </c>
      <c r="C132" s="21" t="inlineStr">
        <is>
          <t>نسبة إغلاق ملاحظات الجودة الميدانية</t>
        </is>
      </c>
      <c r="D132" s="55" t="n">
        <v>0.879</v>
      </c>
      <c r="E132" s="55" t="n">
        <v>0.95</v>
      </c>
      <c r="F132" s="56" t="n">
        <v>0.9252631578947369</v>
      </c>
      <c r="G132" s="12" t="n">
        <v>0.0747368421052631</v>
      </c>
      <c r="H132" s="55" t="n">
        <v>0.879</v>
      </c>
      <c r="I132" s="15" t="inlineStr">
        <is>
          <t>🟡 قريب</t>
        </is>
      </c>
      <c r="J132" s="11" t="inlineStr">
        <is>
          <t>فجوة محدودة — متابعة.</t>
        </is>
      </c>
      <c r="K132" s="11" t="inlineStr">
        <is>
          <t>متابعة أسبوعية لإغلاق الفجوة.</t>
        </is>
      </c>
      <c r="L132" s="15" t="inlineStr">
        <is>
          <t>مدير الامتياز</t>
        </is>
      </c>
      <c r="M132" s="57" t="n"/>
    </row>
    <row r="133">
      <c r="A133" s="15" t="n">
        <v>131</v>
      </c>
      <c r="B133" s="13" t="inlineStr">
        <is>
          <t>إدارة المشاريع</t>
        </is>
      </c>
      <c r="C133" s="21" t="inlineStr">
        <is>
          <t>متوسط مدة إغلاق قائمة الملاحظات النهائية</t>
        </is>
      </c>
      <c r="D133" s="55" t="n">
        <v>32.4</v>
      </c>
      <c r="E133" s="55" t="n">
        <v>30</v>
      </c>
      <c r="F133" s="56" t="n">
        <v>0.9259259259259259</v>
      </c>
      <c r="G133" s="12" t="n">
        <v>0.07407407407407407</v>
      </c>
      <c r="H133" s="55" t="n">
        <v>32.4</v>
      </c>
      <c r="I133" s="15" t="inlineStr">
        <is>
          <t>🟡 قريب</t>
        </is>
      </c>
      <c r="J133" s="11" t="inlineStr">
        <is>
          <t>فجوة محدودة — متابعة.</t>
        </is>
      </c>
      <c r="K133" s="11" t="inlineStr">
        <is>
          <t>متابعة أسبوعية لإغلاق الفجوة.</t>
        </is>
      </c>
      <c r="L133" s="15" t="inlineStr">
        <is>
          <t>مدير إدارة المشاريع</t>
        </is>
      </c>
      <c r="M133" s="57" t="n"/>
    </row>
    <row r="134">
      <c r="A134" s="15" t="n">
        <v>132</v>
      </c>
      <c r="B134" s="13" t="inlineStr">
        <is>
          <t>الجودة</t>
        </is>
      </c>
      <c r="C134" s="21" t="inlineStr">
        <is>
          <t>نسبة المحطات الحرجة</t>
        </is>
      </c>
      <c r="D134" s="55" t="n">
        <v>0.054</v>
      </c>
      <c r="E134" s="55" t="n">
        <v>0.05</v>
      </c>
      <c r="F134" s="56" t="n">
        <v>0.925925925925926</v>
      </c>
      <c r="G134" s="12" t="n">
        <v>0.07407407407407396</v>
      </c>
      <c r="H134" s="55" t="n">
        <v>0.054</v>
      </c>
      <c r="I134" s="15" t="inlineStr">
        <is>
          <t>🟡 قريب</t>
        </is>
      </c>
      <c r="J134" s="11" t="inlineStr">
        <is>
          <t>فجوة محدودة — متابعة.</t>
        </is>
      </c>
      <c r="K134" s="11" t="inlineStr">
        <is>
          <t>متابعة أسبوعية لإغلاق الفجوة.</t>
        </is>
      </c>
      <c r="L134" s="15" t="inlineStr">
        <is>
          <t>مدير الجودة</t>
        </is>
      </c>
      <c r="M134" s="57" t="n"/>
    </row>
    <row r="135">
      <c r="A135" s="15" t="n">
        <v>133</v>
      </c>
      <c r="B135" s="13" t="inlineStr">
        <is>
          <t>الامتياز التجاري</t>
        </is>
      </c>
      <c r="C135" s="21" t="inlineStr">
        <is>
          <t>متوسط درجة تقييم جودة المحطة (قائمة التحقق)</t>
        </is>
      </c>
      <c r="D135" s="55" t="n">
        <v>78.8</v>
      </c>
      <c r="E135" s="55" t="n">
        <v>85</v>
      </c>
      <c r="F135" s="56" t="n">
        <v>0.9270588235294117</v>
      </c>
      <c r="G135" s="12" t="n">
        <v>0.07294117647058829</v>
      </c>
      <c r="H135" s="55" t="n">
        <v>78.8</v>
      </c>
      <c r="I135" s="15" t="inlineStr">
        <is>
          <t>🟡 قريب</t>
        </is>
      </c>
      <c r="J135" s="11" t="inlineStr">
        <is>
          <t>فجوة محدودة — متابعة.</t>
        </is>
      </c>
      <c r="K135" s="11" t="inlineStr">
        <is>
          <t>متابعة أسبوعية لإغلاق الفجوة.</t>
        </is>
      </c>
      <c r="L135" s="15" t="inlineStr">
        <is>
          <t>مدير الامتياز</t>
        </is>
      </c>
      <c r="M135" s="57" t="n"/>
    </row>
    <row r="136">
      <c r="A136" s="15" t="n">
        <v>134</v>
      </c>
      <c r="B136" s="13" t="inlineStr">
        <is>
          <t>الإدارة المالية</t>
        </is>
      </c>
      <c r="C136" s="21" t="inlineStr">
        <is>
          <t>نسبة تحصيل الامتياز</t>
        </is>
      </c>
      <c r="D136" s="55" t="n">
        <v>0.91</v>
      </c>
      <c r="E136" s="55" t="n">
        <v>0.98</v>
      </c>
      <c r="F136" s="56" t="n">
        <v>0.9285714285714286</v>
      </c>
      <c r="G136" s="12" t="n">
        <v>0.0714285714285714</v>
      </c>
      <c r="H136" s="55" t="n">
        <v>0.91</v>
      </c>
      <c r="I136" s="15" t="inlineStr">
        <is>
          <t>🟡 قريب</t>
        </is>
      </c>
      <c r="J136" s="11" t="inlineStr">
        <is>
          <t>فجوة محدودة — متابعة.</t>
        </is>
      </c>
      <c r="K136" s="11" t="inlineStr">
        <is>
          <t>متابعة أسبوعية لإغلاق الفجوة.</t>
        </is>
      </c>
      <c r="L136" s="15" t="inlineStr">
        <is>
          <t>المدير المالي</t>
        </is>
      </c>
      <c r="M136" s="57" t="n"/>
    </row>
    <row r="137">
      <c r="A137" s="15" t="n">
        <v>135</v>
      </c>
      <c r="B137" s="13" t="inlineStr">
        <is>
          <t>إدارة المشاريع</t>
        </is>
      </c>
      <c r="C137" s="21" t="inlineStr">
        <is>
          <t>عدد محطات الشركة المُسلَّمة</t>
        </is>
      </c>
      <c r="D137" s="55" t="n">
        <v>18.8</v>
      </c>
      <c r="E137" s="55" t="n">
        <v>20</v>
      </c>
      <c r="F137" s="56" t="n">
        <v>0.9400000000000001</v>
      </c>
      <c r="G137" s="12" t="n">
        <v>0.05999999999999994</v>
      </c>
      <c r="H137" s="55" t="n">
        <v>37.6</v>
      </c>
      <c r="I137" s="15" t="inlineStr">
        <is>
          <t>🟡 قريب</t>
        </is>
      </c>
      <c r="J137" s="11" t="inlineStr">
        <is>
          <t>فجوة محدودة — متابعة.</t>
        </is>
      </c>
      <c r="K137" s="11" t="inlineStr">
        <is>
          <t>متابعة أسبوعية لإغلاق الفجوة.</t>
        </is>
      </c>
      <c r="L137" s="15" t="inlineStr">
        <is>
          <t>مدير إدارة المشاريع</t>
        </is>
      </c>
      <c r="M137" s="57" t="n"/>
    </row>
    <row r="138">
      <c r="A138" s="15" t="n">
        <v>136</v>
      </c>
      <c r="B138" s="13" t="inlineStr">
        <is>
          <t>الإدارة القانونية</t>
        </is>
      </c>
      <c r="C138" s="21" t="inlineStr">
        <is>
          <t>متوسط زمن إغلاق قضية التحقيق</t>
        </is>
      </c>
      <c r="D138" s="55" t="n">
        <v>31.9</v>
      </c>
      <c r="E138" s="55" t="n">
        <v>30</v>
      </c>
      <c r="F138" s="56" t="n">
        <v>0.9404388714733543</v>
      </c>
      <c r="G138" s="12" t="n">
        <v>0.05956112852664575</v>
      </c>
      <c r="H138" s="55" t="n">
        <v>31.9</v>
      </c>
      <c r="I138" s="15" t="inlineStr">
        <is>
          <t>🟡 قريب</t>
        </is>
      </c>
      <c r="J138" s="11" t="inlineStr">
        <is>
          <t>فجوة محدودة — متابعة.</t>
        </is>
      </c>
      <c r="K138" s="11" t="inlineStr">
        <is>
          <t>متابعة أسبوعية لإغلاق الفجوة.</t>
        </is>
      </c>
      <c r="L138" s="15" t="inlineStr">
        <is>
          <t>المدير القانوني</t>
        </is>
      </c>
      <c r="M138" s="57" t="n"/>
    </row>
    <row r="139">
      <c r="A139" s="15" t="n">
        <v>137</v>
      </c>
      <c r="B139" s="13" t="inlineStr">
        <is>
          <t>سلاسل الإمداد</t>
        </is>
      </c>
      <c r="C139" s="21" t="inlineStr">
        <is>
          <t>نسبة تغطية مخزون الوقود بالأيام</t>
        </is>
      </c>
      <c r="D139" s="55" t="n">
        <v>4.706</v>
      </c>
      <c r="E139" s="55" t="n">
        <v>5</v>
      </c>
      <c r="F139" s="56" t="n">
        <v>0.9412</v>
      </c>
      <c r="G139" s="12" t="n">
        <v>0.05879999999999996</v>
      </c>
      <c r="H139" s="55" t="n">
        <v>4.706</v>
      </c>
      <c r="I139" s="15" t="inlineStr">
        <is>
          <t>🟡 قريب</t>
        </is>
      </c>
      <c r="J139" s="11" t="inlineStr">
        <is>
          <t>فجوة محدودة — متابعة.</t>
        </is>
      </c>
      <c r="K139" s="11" t="inlineStr">
        <is>
          <t>متابعة أسبوعية لإغلاق الفجوة.</t>
        </is>
      </c>
      <c r="L139" s="15" t="inlineStr">
        <is>
          <t>مدير سلاسل الإمداد</t>
        </is>
      </c>
      <c r="M139" s="57" t="n"/>
    </row>
    <row r="140">
      <c r="A140" s="15" t="n">
        <v>138</v>
      </c>
      <c r="B140" s="13" t="inlineStr">
        <is>
          <t>الصيانة والأتمتة</t>
        </is>
      </c>
      <c r="C140" s="21" t="inlineStr">
        <is>
          <t>نسبة استمرارية تشغيل المحطات دون توقف فني</t>
        </is>
      </c>
      <c r="D140" s="55" t="n">
        <v>0.9320000000000001</v>
      </c>
      <c r="E140" s="55" t="n">
        <v>0.99</v>
      </c>
      <c r="F140" s="56" t="n">
        <v>0.9414141414141415</v>
      </c>
      <c r="G140" s="12" t="n">
        <v>0.05858585858585852</v>
      </c>
      <c r="H140" s="55" t="n">
        <v>0.9320000000000001</v>
      </c>
      <c r="I140" s="15" t="inlineStr">
        <is>
          <t>🟡 قريب</t>
        </is>
      </c>
      <c r="J140" s="11" t="inlineStr">
        <is>
          <t>فجوة محدودة — متابعة.</t>
        </is>
      </c>
      <c r="K140" s="11" t="inlineStr">
        <is>
          <t>متابعة أسبوعية لإغلاق الفجوة.</t>
        </is>
      </c>
      <c r="L140" s="15" t="inlineStr">
        <is>
          <t>مدير الصيانة والأتمتة</t>
        </is>
      </c>
      <c r="M140" s="57" t="n"/>
    </row>
    <row r="141">
      <c r="A141" s="15" t="n">
        <v>139</v>
      </c>
      <c r="B141" s="13" t="inlineStr">
        <is>
          <t>الاستثمار</t>
        </is>
      </c>
      <c r="C141" s="21" t="inlineStr">
        <is>
          <t>سرعة إنجاز إجراءات التعاقد</t>
        </is>
      </c>
      <c r="D141" s="55" t="n">
        <v>1.061</v>
      </c>
      <c r="E141" s="55" t="n">
        <v>1</v>
      </c>
      <c r="F141" s="56" t="n">
        <v>0.942507068803016</v>
      </c>
      <c r="G141" s="12" t="n">
        <v>0.05749293119698395</v>
      </c>
      <c r="H141" s="55" t="n">
        <v>1.061</v>
      </c>
      <c r="I141" s="15" t="inlineStr">
        <is>
          <t>🟡 قريب</t>
        </is>
      </c>
      <c r="J141" s="11" t="inlineStr">
        <is>
          <t>فجوة محدودة — متابعة.</t>
        </is>
      </c>
      <c r="K141" s="11" t="inlineStr">
        <is>
          <t>متابعة أسبوعية لإغلاق الفجوة.</t>
        </is>
      </c>
      <c r="L141" s="15" t="inlineStr">
        <is>
          <t>مدير الاستثمار</t>
        </is>
      </c>
      <c r="M141" s="57" t="n"/>
    </row>
    <row r="142">
      <c r="A142" s="15" t="n">
        <v>140</v>
      </c>
      <c r="B142" s="13" t="inlineStr">
        <is>
          <t>الاستثمار</t>
        </is>
      </c>
      <c r="C142" s="21" t="inlineStr">
        <is>
          <t>نسبة العقود على الطرق الإقليمية</t>
        </is>
      </c>
      <c r="D142" s="55" t="n">
        <v>0.236</v>
      </c>
      <c r="E142" s="55" t="n">
        <v>0.25</v>
      </c>
      <c r="F142" s="56" t="n">
        <v>0.944</v>
      </c>
      <c r="G142" s="12" t="n">
        <v>0.05600000000000005</v>
      </c>
      <c r="H142" s="55" t="n">
        <v>0.236</v>
      </c>
      <c r="I142" s="15" t="inlineStr">
        <is>
          <t>🟡 قريب</t>
        </is>
      </c>
      <c r="J142" s="11" t="inlineStr">
        <is>
          <t>فجوة محدودة — متابعة.</t>
        </is>
      </c>
      <c r="K142" s="11" t="inlineStr">
        <is>
          <t>متابعة أسبوعية لإغلاق الفجوة.</t>
        </is>
      </c>
      <c r="L142" s="15" t="inlineStr">
        <is>
          <t>مدير الاستثمار</t>
        </is>
      </c>
      <c r="M142" s="57" t="n"/>
    </row>
    <row r="143">
      <c r="A143" s="15" t="n">
        <v>141</v>
      </c>
      <c r="B143" s="13" t="inlineStr">
        <is>
          <t>التسويق</t>
        </is>
      </c>
      <c r="C143" s="21" t="inlineStr">
        <is>
          <t>وصول محتوى تطبيق تانكي</t>
        </is>
      </c>
      <c r="D143" s="55" t="n">
        <v>946380</v>
      </c>
      <c r="E143" s="55" t="n">
        <v>1000000</v>
      </c>
      <c r="F143" s="56" t="n">
        <v>0.94638</v>
      </c>
      <c r="G143" s="12" t="n">
        <v>0.05362</v>
      </c>
      <c r="H143" s="55" t="n">
        <v>946380</v>
      </c>
      <c r="I143" s="15" t="inlineStr">
        <is>
          <t>🟡 قريب</t>
        </is>
      </c>
      <c r="J143" s="11" t="inlineStr">
        <is>
          <t>فجوة محدودة — متابعة.</t>
        </is>
      </c>
      <c r="K143" s="11" t="inlineStr">
        <is>
          <t>متابعة أسبوعية لإغلاق الفجوة.</t>
        </is>
      </c>
      <c r="L143" s="15" t="inlineStr">
        <is>
          <t>مدير التسويق</t>
        </is>
      </c>
      <c r="M143" s="57" t="n"/>
    </row>
    <row r="144">
      <c r="A144" s="15" t="n">
        <v>142</v>
      </c>
      <c r="B144" s="13" t="inlineStr">
        <is>
          <t>الامتياز التجاري</t>
        </is>
      </c>
      <c r="C144" s="21" t="inlineStr">
        <is>
          <t>نسبة استدامة أصحاب الامتياز (Retention)</t>
        </is>
      </c>
      <c r="D144" s="55" t="n">
        <v>0.853</v>
      </c>
      <c r="E144" s="55" t="n">
        <v>0.9</v>
      </c>
      <c r="F144" s="56" t="n">
        <v>0.9477777777777777</v>
      </c>
      <c r="G144" s="12" t="n">
        <v>0.05222222222222228</v>
      </c>
      <c r="H144" s="55" t="n">
        <v>0.853</v>
      </c>
      <c r="I144" s="15" t="inlineStr">
        <is>
          <t>🟡 قريب</t>
        </is>
      </c>
      <c r="J144" s="11" t="inlineStr">
        <is>
          <t>فجوة محدودة — متابعة.</t>
        </is>
      </c>
      <c r="K144" s="11" t="inlineStr">
        <is>
          <t>متابعة أسبوعية لإغلاق الفجوة.</t>
        </is>
      </c>
      <c r="L144" s="15" t="inlineStr">
        <is>
          <t>مدير الامتياز</t>
        </is>
      </c>
      <c r="M144" s="57" t="n"/>
    </row>
    <row r="145">
      <c r="A145" s="15" t="n">
        <v>143</v>
      </c>
      <c r="B145" s="13" t="inlineStr">
        <is>
          <t>الإدارة المالية</t>
        </is>
      </c>
      <c r="C145" s="21" t="inlineStr">
        <is>
          <t>أيام تحصيل رسوم الامتياز</t>
        </is>
      </c>
      <c r="D145" s="55" t="n">
        <v>15.8</v>
      </c>
      <c r="E145" s="55" t="n">
        <v>15</v>
      </c>
      <c r="F145" s="56" t="n">
        <v>0.9493670886075949</v>
      </c>
      <c r="G145" s="12" t="n">
        <v>0.05063291139240511</v>
      </c>
      <c r="H145" s="55" t="n">
        <v>15.8</v>
      </c>
      <c r="I145" s="15" t="inlineStr">
        <is>
          <t>🟡 قريب</t>
        </is>
      </c>
      <c r="J145" s="11" t="inlineStr">
        <is>
          <t>فجوة محدودة — متابعة.</t>
        </is>
      </c>
      <c r="K145" s="11" t="inlineStr">
        <is>
          <t>متابعة أسبوعية لإغلاق الفجوة.</t>
        </is>
      </c>
      <c r="L145" s="15" t="inlineStr">
        <is>
          <t>المدير المالي</t>
        </is>
      </c>
      <c r="M145" s="57" t="n"/>
    </row>
    <row r="146">
      <c r="A146" s="15" t="n">
        <v>144</v>
      </c>
      <c r="B146" s="13" t="inlineStr">
        <is>
          <t>الموارد البشرية</t>
        </is>
      </c>
      <c r="C146" s="21" t="inlineStr">
        <is>
          <t>نسبة جاهزية وتغطية عمالة المحطات حسب خطة التشغيل والافتتاحات</t>
        </is>
      </c>
      <c r="D146" s="55" t="n">
        <v>0.903</v>
      </c>
      <c r="E146" s="55" t="n">
        <v>0.95</v>
      </c>
      <c r="F146" s="56" t="n">
        <v>0.9505263157894738</v>
      </c>
      <c r="G146" s="12" t="n">
        <v>0.04947368421052623</v>
      </c>
      <c r="H146" s="55" t="n">
        <v>0.903</v>
      </c>
      <c r="I146" s="15" t="inlineStr">
        <is>
          <t>🔴 تحت الهدف</t>
        </is>
      </c>
      <c r="J146" s="11" t="inlineStr">
        <is>
          <t>انحراف جوهري — أولوية عاجلة.</t>
        </is>
      </c>
      <c r="K146" s="11" t="inlineStr">
        <is>
          <t>إجراء تصحيحي خلال 30 يوماً.</t>
        </is>
      </c>
      <c r="L146" s="15" t="inlineStr">
        <is>
          <t>مدير الموارد البشرية</t>
        </is>
      </c>
      <c r="M146" s="57" t="n"/>
    </row>
    <row r="147">
      <c r="A147" s="15" t="n">
        <v>145</v>
      </c>
      <c r="B147" s="13" t="inlineStr">
        <is>
          <t>سلاسل الإمداد</t>
        </is>
      </c>
      <c r="C147" s="21" t="inlineStr">
        <is>
          <t>نسبة جاهزية الإمداد للمحطات الجديدة وخطط الافتتاح</t>
        </is>
      </c>
      <c r="D147" s="55" t="n">
        <v>0.952</v>
      </c>
      <c r="E147" s="55" t="n">
        <v>1</v>
      </c>
      <c r="F147" s="56" t="n">
        <v>0.952</v>
      </c>
      <c r="G147" s="12" t="n">
        <v>0.04800000000000004</v>
      </c>
      <c r="H147" s="55" t="n">
        <v>0.952</v>
      </c>
      <c r="I147" s="15" t="inlineStr">
        <is>
          <t>🔴 تحت الهدف</t>
        </is>
      </c>
      <c r="J147" s="11" t="inlineStr">
        <is>
          <t>انحراف جوهري — أولوية عاجلة.</t>
        </is>
      </c>
      <c r="K147" s="11" t="inlineStr">
        <is>
          <t>إجراء تصحيحي خلال 30 يوماً.</t>
        </is>
      </c>
      <c r="L147" s="15" t="inlineStr">
        <is>
          <t>مدير سلاسل الإمداد</t>
        </is>
      </c>
      <c r="M147" s="57" t="n"/>
    </row>
    <row r="148">
      <c r="A148" s="15" t="n">
        <v>146</v>
      </c>
      <c r="B148" s="13" t="inlineStr">
        <is>
          <t>الامتياز التجاري</t>
        </is>
      </c>
      <c r="C148" s="21" t="inlineStr">
        <is>
          <t>عدد عقود الامتياز الجديدة الموقّعة</t>
        </is>
      </c>
      <c r="D148" s="55" t="n">
        <v>159.2</v>
      </c>
      <c r="E148" s="55" t="n">
        <v>167</v>
      </c>
      <c r="F148" s="56" t="n">
        <v>0.9532934131736527</v>
      </c>
      <c r="G148" s="12" t="n">
        <v>0.04670658682634732</v>
      </c>
      <c r="H148" s="55" t="n">
        <v>318.4</v>
      </c>
      <c r="I148" s="15" t="inlineStr">
        <is>
          <t>🟡 قريب</t>
        </is>
      </c>
      <c r="J148" s="11" t="inlineStr">
        <is>
          <t>فجوة محدودة — متابعة.</t>
        </is>
      </c>
      <c r="K148" s="11" t="inlineStr">
        <is>
          <t>متابعة أسبوعية لإغلاق الفجوة.</t>
        </is>
      </c>
      <c r="L148" s="15" t="inlineStr">
        <is>
          <t>مدير الامتياز</t>
        </is>
      </c>
      <c r="M148" s="57" t="n"/>
    </row>
    <row r="149">
      <c r="A149" s="15" t="n">
        <v>147</v>
      </c>
      <c r="B149" s="13" t="inlineStr">
        <is>
          <t>إدارة المشاريع</t>
        </is>
      </c>
      <c r="C149" s="21" t="inlineStr">
        <is>
          <t>نسبة الالتزام بالميزانية المعتمدة</t>
        </is>
      </c>
      <c r="D149" s="55" t="n">
        <v>0.96</v>
      </c>
      <c r="E149" s="55" t="n">
        <v>1</v>
      </c>
      <c r="F149" s="56" t="n">
        <v>0.96</v>
      </c>
      <c r="G149" s="12" t="n">
        <v>0.04000000000000004</v>
      </c>
      <c r="H149" s="55" t="n">
        <v>0.96</v>
      </c>
      <c r="I149" s="15" t="inlineStr">
        <is>
          <t>🟡 قريب</t>
        </is>
      </c>
      <c r="J149" s="11" t="inlineStr">
        <is>
          <t>فجوة محدودة — متابعة.</t>
        </is>
      </c>
      <c r="K149" s="11" t="inlineStr">
        <is>
          <t>متابعة أسبوعية لإغلاق الفجوة.</t>
        </is>
      </c>
      <c r="L149" s="15" t="inlineStr">
        <is>
          <t>مدير إدارة المشاريع</t>
        </is>
      </c>
      <c r="M149" s="57" t="n"/>
    </row>
    <row r="150">
      <c r="A150" s="15" t="n">
        <v>148</v>
      </c>
      <c r="B150" s="13" t="inlineStr">
        <is>
          <t>الاستثمار</t>
        </is>
      </c>
      <c r="C150" s="21" t="inlineStr">
        <is>
          <t>نسبة إنجاز التقارير الدورية في موعدها</t>
        </is>
      </c>
      <c r="D150" s="55" t="n">
        <v>0.961</v>
      </c>
      <c r="E150" s="55" t="n">
        <v>1</v>
      </c>
      <c r="F150" s="56" t="n">
        <v>0.961</v>
      </c>
      <c r="G150" s="12" t="n">
        <v>0.03900000000000003</v>
      </c>
      <c r="H150" s="55" t="n">
        <v>0.961</v>
      </c>
      <c r="I150" s="15" t="inlineStr">
        <is>
          <t>🟡 قريب</t>
        </is>
      </c>
      <c r="J150" s="11" t="inlineStr">
        <is>
          <t>فجوة محدودة — متابعة.</t>
        </is>
      </c>
      <c r="K150" s="11" t="inlineStr">
        <is>
          <t>متابعة أسبوعية لإغلاق الفجوة.</t>
        </is>
      </c>
      <c r="L150" s="15" t="inlineStr">
        <is>
          <t>مدير الاستثمار</t>
        </is>
      </c>
      <c r="M150" s="57" t="n"/>
    </row>
    <row r="151">
      <c r="A151" s="15" t="n">
        <v>149</v>
      </c>
      <c r="B151" s="13" t="inlineStr">
        <is>
          <t>العقار</t>
        </is>
      </c>
      <c r="C151" s="21" t="inlineStr">
        <is>
          <t>علامات تجارية جديدة (ساحة درب)</t>
        </is>
      </c>
      <c r="D151" s="55" t="n">
        <v>5.769</v>
      </c>
      <c r="E151" s="55" t="n">
        <v>6</v>
      </c>
      <c r="F151" s="56" t="n">
        <v>0.9615</v>
      </c>
      <c r="G151" s="12" t="n">
        <v>0.03849999999999998</v>
      </c>
      <c r="H151" s="55" t="n">
        <v>11.538</v>
      </c>
      <c r="I151" s="15" t="inlineStr">
        <is>
          <t>🟡 قريب</t>
        </is>
      </c>
      <c r="J151" s="11" t="inlineStr">
        <is>
          <t>فجوة محدودة — متابعة.</t>
        </is>
      </c>
      <c r="K151" s="11" t="inlineStr">
        <is>
          <t>متابعة أسبوعية لإغلاق الفجوة.</t>
        </is>
      </c>
      <c r="L151" s="15" t="inlineStr">
        <is>
          <t>مدير العقار</t>
        </is>
      </c>
      <c r="M151" s="57" t="n"/>
    </row>
    <row r="152">
      <c r="A152" s="15" t="n">
        <v>150</v>
      </c>
      <c r="B152" s="13" t="inlineStr">
        <is>
          <t>إدارة المشاريع</t>
        </is>
      </c>
      <c r="C152" s="21" t="inlineStr">
        <is>
          <t>عدد مخالفات المقاولين (سنوي)</t>
        </is>
      </c>
      <c r="D152" s="55" t="n">
        <v>10.4</v>
      </c>
      <c r="E152" s="55" t="n">
        <v>10</v>
      </c>
      <c r="F152" s="56" t="n">
        <v>0.9615384615384615</v>
      </c>
      <c r="G152" s="12" t="n">
        <v>0.03846153846153855</v>
      </c>
      <c r="H152" s="55" t="n">
        <v>20.8</v>
      </c>
      <c r="I152" s="15" t="inlineStr">
        <is>
          <t>🟡 قريب</t>
        </is>
      </c>
      <c r="J152" s="11" t="inlineStr">
        <is>
          <t>فجوة محدودة — متابعة.</t>
        </is>
      </c>
      <c r="K152" s="11" t="inlineStr">
        <is>
          <t>متابعة أسبوعية لإغلاق الفجوة.</t>
        </is>
      </c>
      <c r="L152" s="15" t="inlineStr">
        <is>
          <t>مدير إدارة المشاريع</t>
        </is>
      </c>
      <c r="M152" s="57" t="n"/>
    </row>
    <row r="153">
      <c r="A153" s="15" t="n">
        <v>151</v>
      </c>
      <c r="B153" s="13" t="inlineStr">
        <is>
          <t>الاستثمار</t>
        </is>
      </c>
      <c r="C153" s="21" t="inlineStr">
        <is>
          <t>نسبة العقود في الـ12 مدينة الرئيسية</t>
        </is>
      </c>
      <c r="D153" s="55" t="n">
        <v>0.415</v>
      </c>
      <c r="E153" s="55" t="n">
        <v>0.4</v>
      </c>
      <c r="F153" s="56" t="n">
        <v>0.9638554216867471</v>
      </c>
      <c r="G153" s="12" t="n">
        <v>0.03614457831325291</v>
      </c>
      <c r="H153" s="55" t="n">
        <v>0.415</v>
      </c>
      <c r="I153" s="15" t="inlineStr">
        <is>
          <t>🟡 قريب</t>
        </is>
      </c>
      <c r="J153" s="11" t="inlineStr">
        <is>
          <t>فجوة محدودة — متابعة.</t>
        </is>
      </c>
      <c r="K153" s="11" t="inlineStr">
        <is>
          <t>متابعة أسبوعية لإغلاق الفجوة.</t>
        </is>
      </c>
      <c r="L153" s="15" t="inlineStr">
        <is>
          <t>مدير الاستثمار</t>
        </is>
      </c>
      <c r="M153" s="57" t="n"/>
    </row>
    <row r="154">
      <c r="A154" s="15" t="n">
        <v>152</v>
      </c>
      <c r="B154" s="13" t="inlineStr">
        <is>
          <t>الموارد البشرية</t>
        </is>
      </c>
      <c r="C154" s="21" t="inlineStr">
        <is>
          <t>نسبة كفاءة تكلفة القوى العاملة</t>
        </is>
      </c>
      <c r="D154" s="55" t="n">
        <v>0.917</v>
      </c>
      <c r="E154" s="55" t="n">
        <v>0.95</v>
      </c>
      <c r="F154" s="56" t="n">
        <v>0.9652631578947369</v>
      </c>
      <c r="G154" s="12" t="n">
        <v>0.03473684210526307</v>
      </c>
      <c r="H154" s="55" t="n">
        <v>0.917</v>
      </c>
      <c r="I154" s="15" t="inlineStr">
        <is>
          <t>🟡 قريب</t>
        </is>
      </c>
      <c r="J154" s="11" t="inlineStr">
        <is>
          <t>فجوة محدودة — متابعة.</t>
        </is>
      </c>
      <c r="K154" s="11" t="inlineStr">
        <is>
          <t>متابعة أسبوعية لإغلاق الفجوة.</t>
        </is>
      </c>
      <c r="L154" s="15" t="inlineStr">
        <is>
          <t>مدير الموارد البشرية</t>
        </is>
      </c>
      <c r="M154" s="57" t="n"/>
    </row>
    <row r="155">
      <c r="A155" s="15" t="n">
        <v>153</v>
      </c>
      <c r="B155" s="13" t="inlineStr">
        <is>
          <t>إدارة المشاريع</t>
        </is>
      </c>
      <c r="C155" s="21" t="inlineStr">
        <is>
          <t>نسبة إنجاز محفظة مشاريع التوسع</t>
        </is>
      </c>
      <c r="D155" s="55" t="n">
        <v>0.676</v>
      </c>
      <c r="E155" s="55" t="n">
        <v>0.7</v>
      </c>
      <c r="F155" s="56" t="n">
        <v>0.9657142857142859</v>
      </c>
      <c r="G155" s="12" t="n">
        <v>0.03428571428571414</v>
      </c>
      <c r="H155" s="55" t="n">
        <v>0.676</v>
      </c>
      <c r="I155" s="15" t="inlineStr">
        <is>
          <t>🟡 قريب</t>
        </is>
      </c>
      <c r="J155" s="11" t="inlineStr">
        <is>
          <t>فجوة محدودة — متابعة.</t>
        </is>
      </c>
      <c r="K155" s="11" t="inlineStr">
        <is>
          <t>متابعة أسبوعية لإغلاق الفجوة.</t>
        </is>
      </c>
      <c r="L155" s="15" t="inlineStr">
        <is>
          <t>مدير إدارة المشاريع</t>
        </is>
      </c>
      <c r="M155" s="57" t="n"/>
    </row>
    <row r="156">
      <c r="A156" s="15" t="n">
        <v>154</v>
      </c>
      <c r="B156" s="13" t="inlineStr">
        <is>
          <t>الامتياز التجاري</t>
        </is>
      </c>
      <c r="C156" s="21" t="inlineStr">
        <is>
          <t>نسبة حل الشكاوى خلال المدة المحددة</t>
        </is>
      </c>
      <c r="D156" s="55" t="n">
        <v>0.922</v>
      </c>
      <c r="E156" s="55" t="n">
        <v>0.95</v>
      </c>
      <c r="F156" s="56" t="n">
        <v>0.9705263157894738</v>
      </c>
      <c r="G156" s="12" t="n">
        <v>0.02947368421052621</v>
      </c>
      <c r="H156" s="55" t="n">
        <v>0.922</v>
      </c>
      <c r="I156" s="15" t="inlineStr">
        <is>
          <t>🟡 قريب</t>
        </is>
      </c>
      <c r="J156" s="11" t="inlineStr">
        <is>
          <t>فجوة محدودة — متابعة.</t>
        </is>
      </c>
      <c r="K156" s="11" t="inlineStr">
        <is>
          <t>متابعة أسبوعية لإغلاق الفجوة.</t>
        </is>
      </c>
      <c r="L156" s="15" t="inlineStr">
        <is>
          <t>مدير الامتياز</t>
        </is>
      </c>
      <c r="M156" s="57" t="n"/>
    </row>
    <row r="157">
      <c r="A157" s="15" t="n">
        <v>155</v>
      </c>
      <c r="B157" s="13" t="inlineStr">
        <is>
          <t>الإدارة التنفيذية</t>
        </is>
      </c>
      <c r="C157" s="21" t="inlineStr">
        <is>
          <t>إجمالي العقود الجديدة — الشركة</t>
        </is>
      </c>
      <c r="D157" s="55" t="n">
        <v>346.6</v>
      </c>
      <c r="E157" s="55" t="n">
        <v>357</v>
      </c>
      <c r="F157" s="56" t="n">
        <v>0.9708683473389357</v>
      </c>
      <c r="G157" s="12" t="n">
        <v>0.02913165266106432</v>
      </c>
      <c r="H157" s="55" t="n">
        <v>693.2</v>
      </c>
      <c r="I157" s="15" t="inlineStr">
        <is>
          <t>🟡 قريب</t>
        </is>
      </c>
      <c r="J157" s="11" t="inlineStr">
        <is>
          <t>فجوة محدودة — متابعة.</t>
        </is>
      </c>
      <c r="K157" s="11" t="inlineStr">
        <is>
          <t>متابعة أسبوعية لإغلاق الفجوة.</t>
        </is>
      </c>
      <c r="L157" s="15" t="inlineStr">
        <is>
          <t>الرئيس التنفيذي</t>
        </is>
      </c>
      <c r="M157" s="57" t="n"/>
    </row>
    <row r="158">
      <c r="A158" s="15" t="n">
        <v>156</v>
      </c>
      <c r="B158" s="13" t="inlineStr">
        <is>
          <t>الاستثمار</t>
        </is>
      </c>
      <c r="C158" s="21" t="inlineStr">
        <is>
          <t>نسبة اكتمال أرشفة ملفات العملاء</t>
        </is>
      </c>
      <c r="D158" s="55" t="n">
        <v>0.972</v>
      </c>
      <c r="E158" s="55" t="n">
        <v>1</v>
      </c>
      <c r="F158" s="56" t="n">
        <v>0.972</v>
      </c>
      <c r="G158" s="12" t="n">
        <v>0.02800000000000002</v>
      </c>
      <c r="H158" s="55" t="n">
        <v>0.972</v>
      </c>
      <c r="I158" s="15" t="inlineStr">
        <is>
          <t>🟡 قريب</t>
        </is>
      </c>
      <c r="J158" s="11" t="inlineStr">
        <is>
          <t>فجوة محدودة — متابعة.</t>
        </is>
      </c>
      <c r="K158" s="11" t="inlineStr">
        <is>
          <t>متابعة أسبوعية لإغلاق الفجوة.</t>
        </is>
      </c>
      <c r="L158" s="15" t="inlineStr">
        <is>
          <t>مدير الاستثمار</t>
        </is>
      </c>
      <c r="M158" s="57" t="n"/>
    </row>
    <row r="159">
      <c r="A159" s="15" t="n">
        <v>157</v>
      </c>
      <c r="B159" s="13" t="inlineStr">
        <is>
          <t>الإدارة القانونية</t>
        </is>
      </c>
      <c r="C159" s="21" t="inlineStr">
        <is>
          <t>نسبة العقود الخالية من الملاحظات والمخاطر القانونية</t>
        </is>
      </c>
      <c r="D159" s="55" t="n">
        <v>0.924</v>
      </c>
      <c r="E159" s="55" t="n">
        <v>0.95</v>
      </c>
      <c r="F159" s="56" t="n">
        <v>0.9726315789473685</v>
      </c>
      <c r="G159" s="12" t="n">
        <v>0.02736842105263149</v>
      </c>
      <c r="H159" s="55" t="n">
        <v>0.924</v>
      </c>
      <c r="I159" s="15" t="inlineStr">
        <is>
          <t>🟡 قريب</t>
        </is>
      </c>
      <c r="J159" s="11" t="inlineStr">
        <is>
          <t>فجوة محدودة — متابعة.</t>
        </is>
      </c>
      <c r="K159" s="11" t="inlineStr">
        <is>
          <t>متابعة أسبوعية لإغلاق الفجوة.</t>
        </is>
      </c>
      <c r="L159" s="15" t="inlineStr">
        <is>
          <t>المدير القانوني</t>
        </is>
      </c>
      <c r="M159" s="57" t="n"/>
    </row>
    <row r="160">
      <c r="A160" s="15" t="n">
        <v>158</v>
      </c>
      <c r="B160" s="13" t="inlineStr">
        <is>
          <t>الإدارة المالية</t>
        </is>
      </c>
      <c r="C160" s="21" t="inlineStr">
        <is>
          <t>اكتمال مطابقة حسابات الموردين</t>
        </is>
      </c>
      <c r="D160" s="55" t="n">
        <v>0.926</v>
      </c>
      <c r="E160" s="55" t="n">
        <v>0.95</v>
      </c>
      <c r="F160" s="56" t="n">
        <v>0.9747368421052632</v>
      </c>
      <c r="G160" s="12" t="n">
        <v>0.02526315789473677</v>
      </c>
      <c r="H160" s="55" t="n">
        <v>0.926</v>
      </c>
      <c r="I160" s="15" t="inlineStr">
        <is>
          <t>🟡 قريب</t>
        </is>
      </c>
      <c r="J160" s="11" t="inlineStr">
        <is>
          <t>فجوة محدودة — متابعة.</t>
        </is>
      </c>
      <c r="K160" s="11" t="inlineStr">
        <is>
          <t>متابعة أسبوعية لإغلاق الفجوة.</t>
        </is>
      </c>
      <c r="L160" s="15" t="inlineStr">
        <is>
          <t>المدير المالي</t>
        </is>
      </c>
      <c r="M160" s="57" t="n"/>
    </row>
    <row r="161">
      <c r="A161" s="15" t="n">
        <v>159</v>
      </c>
      <c r="B161" s="13" t="inlineStr">
        <is>
          <t>سلاسل الإمداد</t>
        </is>
      </c>
      <c r="C161" s="21" t="inlineStr">
        <is>
          <t>كفاءة إدارة الموردين</t>
        </is>
      </c>
      <c r="D161" s="55" t="n">
        <v>0.881</v>
      </c>
      <c r="E161" s="55" t="n">
        <v>0.9</v>
      </c>
      <c r="F161" s="56" t="n">
        <v>0.9788888888888889</v>
      </c>
      <c r="G161" s="12" t="n">
        <v>0.02111111111111108</v>
      </c>
      <c r="H161" s="55" t="n">
        <v>0.881</v>
      </c>
      <c r="I161" s="15" t="inlineStr">
        <is>
          <t>🟡 قريب</t>
        </is>
      </c>
      <c r="J161" s="11" t="inlineStr">
        <is>
          <t>فجوة محدودة — متابعة.</t>
        </is>
      </c>
      <c r="K161" s="11" t="inlineStr">
        <is>
          <t>متابعة أسبوعية لإغلاق الفجوة.</t>
        </is>
      </c>
      <c r="L161" s="15" t="inlineStr">
        <is>
          <t>مدير سلاسل الإمداد</t>
        </is>
      </c>
      <c r="M161" s="57" t="n"/>
    </row>
    <row r="162">
      <c r="A162" s="15" t="n">
        <v>160</v>
      </c>
      <c r="B162" s="13" t="inlineStr">
        <is>
          <t>سلاسل الإمداد</t>
        </is>
      </c>
      <c r="C162" s="21" t="inlineStr">
        <is>
          <t>نسبة إنجاز أوامر الشراء خلال المدة المستهدفة</t>
        </is>
      </c>
      <c r="D162" s="55" t="n">
        <v>0.9320000000000001</v>
      </c>
      <c r="E162" s="55" t="n">
        <v>0.95</v>
      </c>
      <c r="F162" s="56" t="n">
        <v>0.9810526315789475</v>
      </c>
      <c r="G162" s="12" t="n">
        <v>0.01894736842105249</v>
      </c>
      <c r="H162" s="55" t="n">
        <v>0.9320000000000001</v>
      </c>
      <c r="I162" s="15" t="inlineStr">
        <is>
          <t>🟡 قريب</t>
        </is>
      </c>
      <c r="J162" s="11" t="inlineStr">
        <is>
          <t>فجوة محدودة — متابعة.</t>
        </is>
      </c>
      <c r="K162" s="11" t="inlineStr">
        <is>
          <t>متابعة أسبوعية لإغلاق الفجوة.</t>
        </is>
      </c>
      <c r="L162" s="15" t="inlineStr">
        <is>
          <t>مدير سلاسل الإمداد</t>
        </is>
      </c>
      <c r="M162" s="57" t="n"/>
    </row>
    <row r="163">
      <c r="A163" s="15" t="n">
        <v>161</v>
      </c>
      <c r="B163" s="13" t="inlineStr">
        <is>
          <t>التشغيل والمحطات</t>
        </is>
      </c>
      <c r="C163" s="21" t="inlineStr">
        <is>
          <t>نسبة المضخات العاملة</t>
        </is>
      </c>
      <c r="D163" s="55" t="n">
        <v>0.953</v>
      </c>
      <c r="E163" s="55" t="n">
        <v>0.97</v>
      </c>
      <c r="F163" s="56" t="n">
        <v>0.9824742268041237</v>
      </c>
      <c r="G163" s="12" t="n">
        <v>0.01752577319587634</v>
      </c>
      <c r="H163" s="55" t="n">
        <v>0.953</v>
      </c>
      <c r="I163" s="15" t="inlineStr">
        <is>
          <t>🟡 قريب</t>
        </is>
      </c>
      <c r="J163" s="11" t="inlineStr">
        <is>
          <t>فجوة محدودة — متابعة.</t>
        </is>
      </c>
      <c r="K163" s="11" t="inlineStr">
        <is>
          <t>متابعة أسبوعية لإغلاق الفجوة.</t>
        </is>
      </c>
      <c r="L163" s="15" t="inlineStr">
        <is>
          <t>مدير التشغيل</t>
        </is>
      </c>
      <c r="M163" s="57" t="n"/>
    </row>
    <row r="164">
      <c r="A164" s="15" t="n">
        <v>162</v>
      </c>
      <c r="B164" s="13" t="inlineStr">
        <is>
          <t>التشغيل والمحطات</t>
        </is>
      </c>
      <c r="C164" s="21" t="inlineStr">
        <is>
          <t>تطبيق المعيار الشامل في المحطات</t>
        </is>
      </c>
      <c r="D164" s="55" t="n">
        <v>0.787</v>
      </c>
      <c r="E164" s="55" t="n">
        <v>0.8</v>
      </c>
      <c r="F164" s="56" t="n">
        <v>0.98375</v>
      </c>
      <c r="G164" s="12" t="n">
        <v>0.01624999999999999</v>
      </c>
      <c r="H164" s="55" t="n">
        <v>0.787</v>
      </c>
      <c r="I164" s="15" t="inlineStr">
        <is>
          <t>🟡 قريب</t>
        </is>
      </c>
      <c r="J164" s="11" t="inlineStr">
        <is>
          <t>فجوة محدودة — متابعة.</t>
        </is>
      </c>
      <c r="K164" s="11" t="inlineStr">
        <is>
          <t>متابعة أسبوعية لإغلاق الفجوة.</t>
        </is>
      </c>
      <c r="L164" s="15" t="inlineStr">
        <is>
          <t>مدير التشغيل</t>
        </is>
      </c>
      <c r="M164" s="57" t="n"/>
    </row>
    <row r="165">
      <c r="A165" s="15" t="n">
        <v>163</v>
      </c>
      <c r="B165" s="13" t="inlineStr">
        <is>
          <t>التقنية الرقمية</t>
        </is>
      </c>
      <c r="C165" s="21" t="inlineStr">
        <is>
          <t>نسبة إنجاز مشاريع التحول الرقمي والمشاريع التقنية حسب الخطة</t>
        </is>
      </c>
      <c r="D165" s="55" t="n">
        <v>0.89</v>
      </c>
      <c r="E165" s="55" t="n">
        <v>0.9</v>
      </c>
      <c r="F165" s="56" t="n">
        <v>0.9888888888888889</v>
      </c>
      <c r="G165" s="12" t="n">
        <v>0.01111111111111107</v>
      </c>
      <c r="H165" s="55" t="n">
        <v>0.89</v>
      </c>
      <c r="I165" s="15" t="inlineStr">
        <is>
          <t>🟡 قريب</t>
        </is>
      </c>
      <c r="J165" s="11" t="inlineStr">
        <is>
          <t>فجوة محدودة — متابعة.</t>
        </is>
      </c>
      <c r="K165" s="11" t="inlineStr">
        <is>
          <t>متابعة أسبوعية لإغلاق الفجوة.</t>
        </is>
      </c>
      <c r="L165" s="15" t="inlineStr">
        <is>
          <t>مدير التقنية</t>
        </is>
      </c>
      <c r="M165" s="57" t="n"/>
    </row>
    <row r="166">
      <c r="A166" s="15" t="n">
        <v>164</v>
      </c>
      <c r="B166" s="13" t="inlineStr">
        <is>
          <t>الإدارة المالية</t>
        </is>
      </c>
      <c r="C166" s="21" t="inlineStr">
        <is>
          <t>انحراف الموازنة</t>
        </is>
      </c>
      <c r="D166" s="55" t="n">
        <v>0.101</v>
      </c>
      <c r="E166" s="55" t="n">
        <v>0.1</v>
      </c>
      <c r="F166" s="56" t="n">
        <v>0.9900990099009901</v>
      </c>
      <c r="G166" s="12" t="n">
        <v>0.00990099009900991</v>
      </c>
      <c r="H166" s="55" t="n">
        <v>0.101</v>
      </c>
      <c r="I166" s="15" t="inlineStr">
        <is>
          <t>🟡 قريب</t>
        </is>
      </c>
      <c r="J166" s="11" t="inlineStr">
        <is>
          <t>فجوة محدودة — متابعة.</t>
        </is>
      </c>
      <c r="K166" s="11" t="inlineStr">
        <is>
          <t>متابعة أسبوعية لإغلاق الفجوة.</t>
        </is>
      </c>
      <c r="L166" s="15" t="inlineStr">
        <is>
          <t>المدير المالي</t>
        </is>
      </c>
      <c r="M166" s="57" t="n"/>
    </row>
    <row r="167">
      <c r="A167" s="15" t="n">
        <v>165</v>
      </c>
      <c r="B167" s="13" t="inlineStr">
        <is>
          <t>الصيانة والأتمتة</t>
        </is>
      </c>
      <c r="C167" s="21" t="inlineStr">
        <is>
          <t>نسبة استعادة أنظمة الأتمتة ضمن الزمن المحدد</t>
        </is>
      </c>
      <c r="D167" s="55" t="n">
        <v>0.9419999999999999</v>
      </c>
      <c r="E167" s="55" t="n">
        <v>0.95</v>
      </c>
      <c r="F167" s="56" t="n">
        <v>0.991578947368421</v>
      </c>
      <c r="G167" s="12" t="n">
        <v>0.008421052631578996</v>
      </c>
      <c r="H167" s="55" t="n">
        <v>0.9419999999999999</v>
      </c>
      <c r="I167" s="15" t="inlineStr">
        <is>
          <t>🟡 قريب</t>
        </is>
      </c>
      <c r="J167" s="11" t="inlineStr">
        <is>
          <t>فجوة محدودة — متابعة.</t>
        </is>
      </c>
      <c r="K167" s="11" t="inlineStr">
        <is>
          <t>متابعة أسبوعية لإغلاق الفجوة.</t>
        </is>
      </c>
      <c r="L167" s="15" t="inlineStr">
        <is>
          <t>مدير الصيانة والأتمتة</t>
        </is>
      </c>
      <c r="M167" s="57" t="n"/>
    </row>
    <row r="168">
      <c r="A168" s="15" t="n">
        <v>166</v>
      </c>
      <c r="B168" s="13" t="inlineStr">
        <is>
          <t>الجودة</t>
        </is>
      </c>
      <c r="C168" s="21" t="inlineStr">
        <is>
          <t>نسبة اكتمال وتحديث الإجراءات المعتمدة</t>
        </is>
      </c>
      <c r="D168" s="55" t="n">
        <v>0.944</v>
      </c>
      <c r="E168" s="55" t="n">
        <v>0.95</v>
      </c>
      <c r="F168" s="56" t="n">
        <v>0.9936842105263158</v>
      </c>
      <c r="G168" s="12" t="n">
        <v>0.006315789473684164</v>
      </c>
      <c r="H168" s="55" t="n">
        <v>0.944</v>
      </c>
      <c r="I168" s="15" t="inlineStr">
        <is>
          <t>🟡 قريب</t>
        </is>
      </c>
      <c r="J168" s="11" t="inlineStr">
        <is>
          <t>فجوة محدودة — متابعة.</t>
        </is>
      </c>
      <c r="K168" s="11" t="inlineStr">
        <is>
          <t>متابعة أسبوعية لإغلاق الفجوة.</t>
        </is>
      </c>
      <c r="L168" s="15" t="inlineStr">
        <is>
          <t>مدير الجودة</t>
        </is>
      </c>
      <c r="M168" s="57" t="n"/>
    </row>
    <row r="169">
      <c r="A169" s="15" t="n">
        <v>167</v>
      </c>
      <c r="B169" s="13" t="inlineStr">
        <is>
          <t>الامتياز التجاري</t>
        </is>
      </c>
      <c r="C169" s="21" t="inlineStr">
        <is>
          <t>نسبة تطبيق المعيار الشامل داخل المحطات</t>
        </is>
      </c>
      <c r="D169" s="55" t="n">
        <v>0.299</v>
      </c>
      <c r="E169" s="55" t="n">
        <v>0.3</v>
      </c>
      <c r="F169" s="56" t="n">
        <v>0.9966666666666667</v>
      </c>
      <c r="G169" s="12" t="n">
        <v>0.003333333333333299</v>
      </c>
      <c r="H169" s="55" t="n">
        <v>0.299</v>
      </c>
      <c r="I169" s="15" t="inlineStr">
        <is>
          <t>🟡 قريب</t>
        </is>
      </c>
      <c r="J169" s="11" t="inlineStr">
        <is>
          <t>فجوة محدودة — متابعة.</t>
        </is>
      </c>
      <c r="K169" s="11" t="inlineStr">
        <is>
          <t>متابعة أسبوعية لإغلاق الفجوة.</t>
        </is>
      </c>
      <c r="L169" s="15" t="inlineStr">
        <is>
          <t>مدير الامتياز</t>
        </is>
      </c>
      <c r="M169" s="57" t="n"/>
    </row>
  </sheetData>
  <autoFilter ref="A2:M169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5"/>
  <sheetViews>
    <sheetView showGridLines="0" rightToLeft="1"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38" customWidth="1" min="3" max="3"/>
    <col width="9" customWidth="1" min="4" max="4"/>
    <col width="9" customWidth="1" min="5" max="5"/>
    <col width="7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13" customWidth="1" min="20" max="20"/>
    <col width="12" customWidth="1" min="21" max="21"/>
    <col width="13" customWidth="1" min="22" max="22"/>
    <col width="13" customWidth="1" min="23" max="23"/>
    <col width="14" customWidth="1" min="24" max="24"/>
  </cols>
  <sheetData>
    <row r="1" ht="24" customHeight="1">
      <c r="A1" s="25" t="inlineStr">
        <is>
          <t>التتبّع الشهري — أدخل رقم كل شهر · «المُحقَّق» ونسبة التحقيق والحالة والوتيرة تُحسب تلقائياً</t>
        </is>
      </c>
    </row>
    <row r="2" ht="18" customHeight="1">
      <c r="A2" s="58" t="inlineStr">
        <is>
          <t>🟩 خلايا الأشهر للإدخال · تراكمي=مجموع الأشهر · معدل=متوسط المُدخل · لقطة=آخر شهر · الوتيرة: 🟢 على المسار / 🟠 متأخّر مقابل المتوقّع</t>
        </is>
      </c>
    </row>
    <row r="3" ht="30" customHeight="1">
      <c r="A3" s="26" t="inlineStr">
        <is>
          <t>#</t>
        </is>
      </c>
      <c r="B3" s="26" t="inlineStr">
        <is>
          <t>الإدارة</t>
        </is>
      </c>
      <c r="C3" s="26" t="inlineStr">
        <is>
          <t>المؤشر</t>
        </is>
      </c>
      <c r="D3" s="26" t="inlineStr">
        <is>
          <t>الدورية</t>
        </is>
      </c>
      <c r="E3" s="26" t="inlineStr">
        <is>
          <t>التجميع</t>
        </is>
      </c>
      <c r="F3" s="26" t="inlineStr">
        <is>
          <t>القطبية</t>
        </is>
      </c>
      <c r="G3" s="26" t="inlineStr">
        <is>
          <t>المستهدف</t>
        </is>
      </c>
      <c r="H3" s="26" t="inlineStr">
        <is>
          <t>يناير</t>
        </is>
      </c>
      <c r="I3" s="26" t="inlineStr">
        <is>
          <t>فبراير</t>
        </is>
      </c>
      <c r="J3" s="26" t="inlineStr">
        <is>
          <t>مارس</t>
        </is>
      </c>
      <c r="K3" s="26" t="inlineStr">
        <is>
          <t>أبريل</t>
        </is>
      </c>
      <c r="L3" s="26" t="inlineStr">
        <is>
          <t>مايو</t>
        </is>
      </c>
      <c r="M3" s="26" t="inlineStr">
        <is>
          <t>يونيو</t>
        </is>
      </c>
      <c r="N3" s="26" t="inlineStr">
        <is>
          <t>يوليو</t>
        </is>
      </c>
      <c r="O3" s="26" t="inlineStr">
        <is>
          <t>أغسطس</t>
        </is>
      </c>
      <c r="P3" s="26" t="inlineStr">
        <is>
          <t>سبتمبر</t>
        </is>
      </c>
      <c r="Q3" s="26" t="inlineStr">
        <is>
          <t>أكتوبر</t>
        </is>
      </c>
      <c r="R3" s="26" t="inlineStr">
        <is>
          <t>نوفمبر</t>
        </is>
      </c>
      <c r="S3" s="26" t="inlineStr">
        <is>
          <t>ديسمبر</t>
        </is>
      </c>
      <c r="T3" s="26" t="inlineStr">
        <is>
          <t>المُحقَّق (تراكمي)</t>
        </is>
      </c>
      <c r="U3" s="26" t="inlineStr">
        <is>
          <t>نسبة التحقيق</t>
        </is>
      </c>
      <c r="V3" s="26" t="inlineStr">
        <is>
          <t>الحالة</t>
        </is>
      </c>
      <c r="W3" s="26" t="inlineStr">
        <is>
          <t>المتوقّع حتى الآن</t>
        </is>
      </c>
      <c r="X3" s="26" t="inlineStr">
        <is>
          <t>الوتيرة</t>
        </is>
      </c>
    </row>
    <row r="4" ht="22" customHeight="1">
      <c r="A4" s="59" t="n">
        <v>1</v>
      </c>
      <c r="B4" s="13" t="inlineStr">
        <is>
          <t>الإدارة التنفيذية</t>
        </is>
      </c>
      <c r="C4" s="11" t="inlineStr">
        <is>
          <t>إجمالي المحطات المشغّلة — الشركة (تراكمي)</t>
        </is>
      </c>
      <c r="D4" s="15" t="inlineStr">
        <is>
          <t>شهري</t>
        </is>
      </c>
      <c r="E4" s="15" t="inlineStr">
        <is>
          <t>لقطة</t>
        </is>
      </c>
      <c r="F4" s="55" t="inlineStr">
        <is>
          <t>↑</t>
        </is>
      </c>
      <c r="G4" s="60" t="n">
        <v>235</v>
      </c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2">
        <f>IFERROR(LOOKUP(2,1/($H4:$S4&lt;&gt;""),$H4:$S4),"")</f>
        <v/>
      </c>
      <c r="U4" s="56">
        <f>IF($G4="","",IF($T4="","",MIN(1,IF($G4=0,IF($T4&lt;=0,1,0),IF($F4="↓",IFERROR($G4/$T4,0),IFERROR($T4/$G4,0))))))</f>
        <v/>
      </c>
      <c r="V4" s="59">
        <f>IF($U4="","⏳ بانتظار هدف",IF($U4&gt;=1.0,"✅ محقق",IF($U4&gt;=0.85,"🟡 قريب","🔴 تحت الهدف")))</f>
        <v/>
      </c>
      <c r="W4" s="63">
        <f>IF($G4="","",$G4)</f>
        <v/>
      </c>
      <c r="X4" s="59">
        <f>IF($U4="","—",IF($U4&gt;=0.85,"🟢 على المسار","🟠 متأخّر"))</f>
        <v/>
      </c>
    </row>
    <row r="5" ht="22" customHeight="1">
      <c r="A5" s="59" t="n">
        <v>2</v>
      </c>
      <c r="B5" s="13" t="inlineStr">
        <is>
          <t>الإدارة التنفيذية</t>
        </is>
      </c>
      <c r="C5" s="11" t="inlineStr">
        <is>
          <t>إجمالي العقود الجديدة — الشركة</t>
        </is>
      </c>
      <c r="D5" s="15" t="inlineStr">
        <is>
          <t>شهري</t>
        </is>
      </c>
      <c r="E5" s="15" t="inlineStr">
        <is>
          <t>تراكمي</t>
        </is>
      </c>
      <c r="F5" s="55" t="inlineStr">
        <is>
          <t>↑</t>
        </is>
      </c>
      <c r="G5" s="60" t="n">
        <v>357</v>
      </c>
      <c r="H5" s="61" t="n"/>
      <c r="I5" s="61" t="n"/>
      <c r="J5" s="61" t="n"/>
      <c r="K5" s="61" t="n"/>
      <c r="L5" s="61" t="n"/>
      <c r="M5" s="61" t="n"/>
      <c r="N5" s="61" t="n"/>
      <c r="O5" s="61" t="n"/>
      <c r="P5" s="61" t="n"/>
      <c r="Q5" s="61" t="n"/>
      <c r="R5" s="61" t="n"/>
      <c r="S5" s="61" t="n"/>
      <c r="T5" s="62">
        <f>IF(COUNT($H5:$S5)=0,"",SUM($H5:$S5))</f>
        <v/>
      </c>
      <c r="U5" s="56">
        <f>IF($G5="","",IF($T5="","",MIN(1,IF($G5=0,IF($T5&lt;=0,1,0),IF($F5="↓",IFERROR($G5/$T5,0),IFERROR($T5/$G5,0))))))</f>
        <v/>
      </c>
      <c r="V5" s="59">
        <f>IF($U5="","⏳ بانتظار هدف",IF($U5&gt;=1.0,"✅ محقق",IF($U5&gt;=0.85,"🟡 قريب","🔴 تحت الهدف")))</f>
        <v/>
      </c>
      <c r="W5" s="63">
        <f>IF($G5="","",$G5*COUNT($H5:$S5)/12)</f>
        <v/>
      </c>
      <c r="X5" s="59">
        <f>IF($U5="","—",IF($U5&gt;=COUNT($H5:$S5)/12,"🟢 على المسار","🟠 متأخّر"))</f>
        <v/>
      </c>
    </row>
    <row r="6" ht="22" customHeight="1">
      <c r="A6" s="59" t="n">
        <v>3</v>
      </c>
      <c r="B6" s="13" t="inlineStr">
        <is>
          <t>الإدارة التنفيذية</t>
        </is>
      </c>
      <c r="C6" s="11" t="inlineStr">
        <is>
          <t>نسبة نمو إيرادات الشركة (سنوي)</t>
        </is>
      </c>
      <c r="D6" s="15" t="inlineStr">
        <is>
          <t>شهري</t>
        </is>
      </c>
      <c r="E6" s="15" t="inlineStr">
        <is>
          <t>معدل</t>
        </is>
      </c>
      <c r="F6" s="55" t="inlineStr">
        <is>
          <t>↑</t>
        </is>
      </c>
      <c r="G6" s="64" t="n">
        <v>0.15</v>
      </c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56">
        <f>IF(COUNT($H6:$S6)=0,"",SUM($H6:$S6)/COUNT($H6:$S6))</f>
        <v/>
      </c>
      <c r="U6" s="56">
        <f>IF($G6="","",IF($T6="","",MIN(1,IF($G6=0,IF($T6&lt;=0,1,0),IF($F6="↓",IFERROR($G6/$T6,0),IFERROR($T6/$G6,0))))))</f>
        <v/>
      </c>
      <c r="V6" s="59">
        <f>IF($U6="","⏳ بانتظار هدف",IF($U6&gt;=1.0,"✅ محقق",IF($U6&gt;=0.85,"🟡 قريب","🔴 تحت الهدف")))</f>
        <v/>
      </c>
      <c r="W6" s="66">
        <f>IF($G6="","",$G6)</f>
        <v/>
      </c>
      <c r="X6" s="59">
        <f>IF($U6="","—",IF($U6&gt;=0.85,"🟢 على المسار","🟠 متأخّر"))</f>
        <v/>
      </c>
    </row>
    <row r="7" ht="22" customHeight="1">
      <c r="A7" s="59" t="n">
        <v>4</v>
      </c>
      <c r="B7" s="13" t="inlineStr">
        <is>
          <t>الإدارة التنفيذية</t>
        </is>
      </c>
      <c r="C7" s="11" t="inlineStr">
        <is>
          <t>نسبة إنجاز مشاريع الخارطة التنفيذية</t>
        </is>
      </c>
      <c r="D7" s="15" t="inlineStr">
        <is>
          <t>شهري</t>
        </is>
      </c>
      <c r="E7" s="15" t="inlineStr">
        <is>
          <t>لقطة</t>
        </is>
      </c>
      <c r="F7" s="55" t="inlineStr">
        <is>
          <t>↑</t>
        </is>
      </c>
      <c r="G7" s="64" t="n">
        <v>1</v>
      </c>
      <c r="H7" s="65" t="n"/>
      <c r="I7" s="65" t="n"/>
      <c r="J7" s="65" t="n"/>
      <c r="K7" s="65" t="n"/>
      <c r="L7" s="65" t="n"/>
      <c r="M7" s="65" t="n"/>
      <c r="N7" s="65" t="n"/>
      <c r="O7" s="65" t="n"/>
      <c r="P7" s="65" t="n"/>
      <c r="Q7" s="65" t="n"/>
      <c r="R7" s="65" t="n"/>
      <c r="S7" s="65" t="n"/>
      <c r="T7" s="56">
        <f>IFERROR(LOOKUP(2,1/($H7:$S7&lt;&gt;""),$H7:$S7),"")</f>
        <v/>
      </c>
      <c r="U7" s="56">
        <f>IF($G7="","",IF($T7="","",MIN(1,IF($G7=0,IF($T7&lt;=0,1,0),IF($F7="↓",IFERROR($G7/$T7,0),IFERROR($T7/$G7,0))))))</f>
        <v/>
      </c>
      <c r="V7" s="59">
        <f>IF($U7="","⏳ بانتظار هدف",IF($U7&gt;=1.0,"✅ محقق",IF($U7&gt;=0.85,"🟡 قريب","🔴 تحت الهدف")))</f>
        <v/>
      </c>
      <c r="W7" s="66">
        <f>IF($G7="","",$G7)</f>
        <v/>
      </c>
      <c r="X7" s="59">
        <f>IF($U7="","—",IF($U7&gt;=0.85,"🟢 على المسار","🟠 متأخّر"))</f>
        <v/>
      </c>
    </row>
    <row r="8" ht="22" customHeight="1">
      <c r="A8" s="59" t="n">
        <v>5</v>
      </c>
      <c r="B8" s="13" t="inlineStr">
        <is>
          <t>الإدارة التنفيذية</t>
        </is>
      </c>
      <c r="C8" s="11" t="inlineStr">
        <is>
          <t>نسبة التحول الرقمي على مستوى الشركة</t>
        </is>
      </c>
      <c r="D8" s="15" t="inlineStr">
        <is>
          <t>شهري</t>
        </is>
      </c>
      <c r="E8" s="15" t="inlineStr">
        <is>
          <t>لقطة</t>
        </is>
      </c>
      <c r="F8" s="55" t="inlineStr">
        <is>
          <t>↑</t>
        </is>
      </c>
      <c r="G8" s="64" t="n">
        <v>0.9</v>
      </c>
      <c r="H8" s="65" t="n"/>
      <c r="I8" s="65" t="n"/>
      <c r="J8" s="65" t="n"/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56">
        <f>IFERROR(LOOKUP(2,1/($H8:$S8&lt;&gt;""),$H8:$S8),"")</f>
        <v/>
      </c>
      <c r="U8" s="56">
        <f>IF($G8="","",IF($T8="","",MIN(1,IF($G8=0,IF($T8&lt;=0,1,0),IF($F8="↓",IFERROR($G8/$T8,0),IFERROR($T8/$G8,0))))))</f>
        <v/>
      </c>
      <c r="V8" s="59">
        <f>IF($U8="","⏳ بانتظار هدف",IF($U8&gt;=1.0,"✅ محقق",IF($U8&gt;=0.85,"🟡 قريب","🔴 تحت الهدف")))</f>
        <v/>
      </c>
      <c r="W8" s="66">
        <f>IF($G8="","",$G8)</f>
        <v/>
      </c>
      <c r="X8" s="59">
        <f>IF($U8="","—",IF($U8&gt;=0.85,"🟢 على المسار","🟠 متأخّر"))</f>
        <v/>
      </c>
    </row>
    <row r="9" ht="22" customHeight="1">
      <c r="A9" s="59" t="n">
        <v>6</v>
      </c>
      <c r="B9" s="13" t="inlineStr">
        <is>
          <t>الإدارة التنفيذية</t>
        </is>
      </c>
      <c r="C9" s="11" t="inlineStr">
        <is>
          <t>مؤشر رضا العملاء العام (الشركة)</t>
        </is>
      </c>
      <c r="D9" s="15" t="inlineStr">
        <is>
          <t>ربعي</t>
        </is>
      </c>
      <c r="E9" s="15" t="inlineStr">
        <is>
          <t>معدل</t>
        </is>
      </c>
      <c r="F9" s="55" t="inlineStr">
        <is>
          <t>↑</t>
        </is>
      </c>
      <c r="G9" s="64" t="n">
        <v>0.9</v>
      </c>
      <c r="H9" s="65" t="n"/>
      <c r="I9" s="65" t="n"/>
      <c r="J9" s="65" t="n"/>
      <c r="K9" s="65" t="n"/>
      <c r="L9" s="65" t="n"/>
      <c r="M9" s="65" t="n"/>
      <c r="N9" s="65" t="n"/>
      <c r="O9" s="65" t="n"/>
      <c r="P9" s="65" t="n"/>
      <c r="Q9" s="65" t="n"/>
      <c r="R9" s="65" t="n"/>
      <c r="S9" s="65" t="n"/>
      <c r="T9" s="56">
        <f>IF(COUNT($H9:$S9)=0,"",SUM($H9:$S9)/COUNT($H9:$S9))</f>
        <v/>
      </c>
      <c r="U9" s="56">
        <f>IF($G9="","",IF($T9="","",MIN(1,IF($G9=0,IF($T9&lt;=0,1,0),IF($F9="↓",IFERROR($G9/$T9,0),IFERROR($T9/$G9,0))))))</f>
        <v/>
      </c>
      <c r="V9" s="59">
        <f>IF($U9="","⏳ بانتظار هدف",IF($U9&gt;=0.9,"✅ محقق",IF($U9&gt;=0.75,"🟡 قريب","🔴 تحت الهدف")))</f>
        <v/>
      </c>
      <c r="W9" s="66">
        <f>IF($G9="","",$G9)</f>
        <v/>
      </c>
      <c r="X9" s="59">
        <f>IF($U9="","—",IF($U9&gt;=0.75,"🟢 على المسار","🟠 متأخّر"))</f>
        <v/>
      </c>
    </row>
    <row r="10" ht="22" customHeight="1">
      <c r="A10" s="59" t="n">
        <v>7</v>
      </c>
      <c r="B10" s="13" t="inlineStr">
        <is>
          <t>الإدارة التنفيذية</t>
        </is>
      </c>
      <c r="C10" s="11" t="inlineStr">
        <is>
          <t>مؤشر رضا الموظفين العام (eNPS)</t>
        </is>
      </c>
      <c r="D10" s="15" t="inlineStr">
        <is>
          <t>ربعي</t>
        </is>
      </c>
      <c r="E10" s="15" t="inlineStr">
        <is>
          <t>معدل</t>
        </is>
      </c>
      <c r="F10" s="55" t="inlineStr">
        <is>
          <t>↑</t>
        </is>
      </c>
      <c r="G10" s="67" t="n">
        <v>30</v>
      </c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9">
        <f>IF(COUNT($H10:$S10)=0,"",SUM($H10:$S10)/COUNT($H10:$S10))</f>
        <v/>
      </c>
      <c r="U10" s="56">
        <f>IF($G10="","",IF($T10="","",MIN(1,IF($G10=0,IF($T10&lt;=0,1,0),IF($F10="↓",IFERROR($G10/$T10,0),IFERROR($T10/$G10,0))))))</f>
        <v/>
      </c>
      <c r="V10" s="59">
        <f>IF($U10="","⏳ بانتظار هدف",IF($U10&gt;=0.9,"✅ محقق",IF($U10&gt;=0.75,"🟡 قريب","🔴 تحت الهدف")))</f>
        <v/>
      </c>
      <c r="W10" s="70">
        <f>IF($G10="","",$G10)</f>
        <v/>
      </c>
      <c r="X10" s="59">
        <f>IF($U10="","—",IF($U10&gt;=0.75,"🟢 على المسار","🟠 متأخّر"))</f>
        <v/>
      </c>
    </row>
    <row r="11" ht="22" customHeight="1">
      <c r="A11" s="59" t="n">
        <v>8</v>
      </c>
      <c r="B11" s="13" t="inlineStr">
        <is>
          <t>الإدارة التنفيذية</t>
        </is>
      </c>
      <c r="C11" s="11" t="inlineStr">
        <is>
          <t>نسبة تحقيق المستهدفات الاستراتيجية العامة</t>
        </is>
      </c>
      <c r="D11" s="15" t="inlineStr">
        <is>
          <t>شهري</t>
        </is>
      </c>
      <c r="E11" s="15" t="inlineStr">
        <is>
          <t>معدل</t>
        </is>
      </c>
      <c r="F11" s="55" t="inlineStr">
        <is>
          <t>↑</t>
        </is>
      </c>
      <c r="G11" s="64" t="n">
        <v>1</v>
      </c>
      <c r="H11" s="65" t="n"/>
      <c r="I11" s="65" t="n"/>
      <c r="J11" s="65" t="n"/>
      <c r="K11" s="65" t="n"/>
      <c r="L11" s="65" t="n"/>
      <c r="M11" s="65" t="n"/>
      <c r="N11" s="65" t="n"/>
      <c r="O11" s="65" t="n"/>
      <c r="P11" s="65" t="n"/>
      <c r="Q11" s="65" t="n"/>
      <c r="R11" s="65" t="n"/>
      <c r="S11" s="65" t="n"/>
      <c r="T11" s="56">
        <f>IF(COUNT($H11:$S11)=0,"",SUM($H11:$S11)/COUNT($H11:$S11))</f>
        <v/>
      </c>
      <c r="U11" s="56">
        <f>IF($G11="","",IF($T11="","",MIN(1,IF($G11=0,IF($T11&lt;=0,1,0),IF($F11="↓",IFERROR($G11/$T11,0),IFERROR($T11/$G11,0))))))</f>
        <v/>
      </c>
      <c r="V11" s="59">
        <f>IF($U11="","⏳ بانتظار هدف",IF($U11&gt;=1.0,"✅ محقق",IF($U11&gt;=0.85,"🟡 قريب","🔴 تحت الهدف")))</f>
        <v/>
      </c>
      <c r="W11" s="66">
        <f>IF($G11="","",$G11)</f>
        <v/>
      </c>
      <c r="X11" s="59">
        <f>IF($U11="","—",IF($U11&gt;=0.85,"🟢 على المسار","🟠 متأخّر"))</f>
        <v/>
      </c>
    </row>
    <row r="12" ht="22" customHeight="1">
      <c r="A12" s="59" t="n">
        <v>9</v>
      </c>
      <c r="B12" s="13" t="inlineStr">
        <is>
          <t>الإدارة التنفيذية</t>
        </is>
      </c>
      <c r="C12" s="11" t="inlineStr">
        <is>
          <t>نسبة الالتزام بإطار الحوكمة المؤسسية والامتثال التنظيمي</t>
        </is>
      </c>
      <c r="D12" s="15" t="inlineStr">
        <is>
          <t>شهري</t>
        </is>
      </c>
      <c r="E12" s="15" t="inlineStr">
        <is>
          <t>معدل</t>
        </is>
      </c>
      <c r="F12" s="55" t="inlineStr">
        <is>
          <t>↑</t>
        </is>
      </c>
      <c r="G12" s="64" t="n">
        <v>0.95</v>
      </c>
      <c r="H12" s="65" t="n"/>
      <c r="I12" s="65" t="n"/>
      <c r="J12" s="65" t="n"/>
      <c r="K12" s="65" t="n"/>
      <c r="L12" s="65" t="n"/>
      <c r="M12" s="65" t="n"/>
      <c r="N12" s="65" t="n"/>
      <c r="O12" s="65" t="n"/>
      <c r="P12" s="65" t="n"/>
      <c r="Q12" s="65" t="n"/>
      <c r="R12" s="65" t="n"/>
      <c r="S12" s="65" t="n"/>
      <c r="T12" s="56">
        <f>IF(COUNT($H12:$S12)=0,"",SUM($H12:$S12)/COUNT($H12:$S12))</f>
        <v/>
      </c>
      <c r="U12" s="56">
        <f>IF($G12="","",IF($T12="","",MIN(1,IF($G12=0,IF($T12&lt;=0,1,0),IF($F12="↓",IFERROR($G12/$T12,0),IFERROR($T12/$G12,0))))))</f>
        <v/>
      </c>
      <c r="V12" s="59">
        <f>IF($U12="","⏳ بانتظار هدف",IF($U12&gt;=1.0,"✅ محقق",IF($U12&gt;=0.97,"🟡 قريب","🔴 تحت الهدف")))</f>
        <v/>
      </c>
      <c r="W12" s="66">
        <f>IF($G12="","",$G12)</f>
        <v/>
      </c>
      <c r="X12" s="59">
        <f>IF($U12="","—",IF($U12&gt;=0.97,"🟢 على المسار","🟠 متأخّر"))</f>
        <v/>
      </c>
    </row>
    <row r="13" ht="22" customHeight="1">
      <c r="A13" s="59" t="n">
        <v>10</v>
      </c>
      <c r="B13" s="13" t="inlineStr">
        <is>
          <t>الإدارة التنفيذية</t>
        </is>
      </c>
      <c r="C13" s="11" t="inlineStr">
        <is>
          <t>الالتزام بمعايير وزارة الطاقة (تغطية 13 منطقة)</t>
        </is>
      </c>
      <c r="D13" s="15" t="inlineStr">
        <is>
          <t>شهري</t>
        </is>
      </c>
      <c r="E13" s="15" t="inlineStr">
        <is>
          <t>لقطة</t>
        </is>
      </c>
      <c r="F13" s="55" t="inlineStr">
        <is>
          <t>↑</t>
        </is>
      </c>
      <c r="G13" s="64" t="n">
        <v>1</v>
      </c>
      <c r="H13" s="65" t="n"/>
      <c r="I13" s="65" t="n"/>
      <c r="J13" s="65" t="n"/>
      <c r="K13" s="65" t="n"/>
      <c r="L13" s="65" t="n"/>
      <c r="M13" s="65" t="n"/>
      <c r="N13" s="65" t="n"/>
      <c r="O13" s="65" t="n"/>
      <c r="P13" s="65" t="n"/>
      <c r="Q13" s="65" t="n"/>
      <c r="R13" s="65" t="n"/>
      <c r="S13" s="65" t="n"/>
      <c r="T13" s="56">
        <f>IFERROR(LOOKUP(2,1/($H13:$S13&lt;&gt;""),$H13:$S13),"")</f>
        <v/>
      </c>
      <c r="U13" s="56">
        <f>IF($G13="","",IF($T13="","",MIN(1,IF($G13=0,IF($T13&lt;=0,1,0),IF($F13="↓",IFERROR($G13/$T13,0),IFERROR($T13/$G13,0))))))</f>
        <v/>
      </c>
      <c r="V13" s="59">
        <f>IF($U13="","⏳ بانتظار هدف",IF($U13&gt;=1.0,"✅ محقق",IF($U13&gt;=0.85,"🟡 قريب","🔴 تحت الهدف")))</f>
        <v/>
      </c>
      <c r="W13" s="66">
        <f>IF($G13="","",$G13)</f>
        <v/>
      </c>
      <c r="X13" s="59">
        <f>IF($U13="","—",IF($U13&gt;=0.85,"🟢 على المسار","🟠 متأخّر"))</f>
        <v/>
      </c>
    </row>
    <row r="14" ht="22" customHeight="1">
      <c r="A14" s="59" t="n">
        <v>11</v>
      </c>
      <c r="B14" s="13" t="inlineStr">
        <is>
          <t>الامتياز التجاري</t>
        </is>
      </c>
      <c r="C14" s="11" t="inlineStr">
        <is>
          <t>عدد محطات الامتياز المشغّلة (تراكمي)</t>
        </is>
      </c>
      <c r="D14" s="15" t="inlineStr">
        <is>
          <t>شهري</t>
        </is>
      </c>
      <c r="E14" s="15" t="inlineStr">
        <is>
          <t>لقطة</t>
        </is>
      </c>
      <c r="F14" s="55" t="inlineStr">
        <is>
          <t>↑</t>
        </is>
      </c>
      <c r="G14" s="60" t="n">
        <v>150</v>
      </c>
      <c r="H14" s="61" t="n"/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2">
        <f>IFERROR(LOOKUP(2,1/($H14:$S14&lt;&gt;""),$H14:$S14),"")</f>
        <v/>
      </c>
      <c r="U14" s="56">
        <f>IF($G14="","",IF($T14="","",MIN(1,IF($G14=0,IF($T14&lt;=0,1,0),IF($F14="↓",IFERROR($G14/$T14,0),IFERROR($T14/$G14,0))))))</f>
        <v/>
      </c>
      <c r="V14" s="59">
        <f>IF($U14="","⏳ بانتظار هدف",IF($U14&gt;=1.0,"✅ محقق",IF($U14&gt;=0.85,"🟡 قريب","🔴 تحت الهدف")))</f>
        <v/>
      </c>
      <c r="W14" s="63">
        <f>IF($G14="","",$G14)</f>
        <v/>
      </c>
      <c r="X14" s="59">
        <f>IF($U14="","—",IF($U14&gt;=0.85,"🟢 على المسار","🟠 متأخّر"))</f>
        <v/>
      </c>
    </row>
    <row r="15" ht="22" customHeight="1">
      <c r="A15" s="59" t="n">
        <v>12</v>
      </c>
      <c r="B15" s="13" t="inlineStr">
        <is>
          <t>الامتياز التجاري</t>
        </is>
      </c>
      <c r="C15" s="11" t="inlineStr">
        <is>
          <t>عدد عقود الامتياز الجديدة الموقّعة</t>
        </is>
      </c>
      <c r="D15" s="15" t="inlineStr">
        <is>
          <t>شهري</t>
        </is>
      </c>
      <c r="E15" s="15" t="inlineStr">
        <is>
          <t>تراكمي</t>
        </is>
      </c>
      <c r="F15" s="55" t="inlineStr">
        <is>
          <t>↑</t>
        </is>
      </c>
      <c r="G15" s="60" t="n">
        <v>167</v>
      </c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2">
        <f>IF(COUNT($H15:$S15)=0,"",SUM($H15:$S15))</f>
        <v/>
      </c>
      <c r="U15" s="56">
        <f>IF($G15="","",IF($T15="","",MIN(1,IF($G15=0,IF($T15&lt;=0,1,0),IF($F15="↓",IFERROR($G15/$T15,0),IFERROR($T15/$G15,0))))))</f>
        <v/>
      </c>
      <c r="V15" s="59">
        <f>IF($U15="","⏳ بانتظار هدف",IF($U15&gt;=1.0,"✅ محقق",IF($U15&gt;=0.85,"🟡 قريب","🔴 تحت الهدف")))</f>
        <v/>
      </c>
      <c r="W15" s="63">
        <f>IF($G15="","",$G15*COUNT($H15:$S15)/12)</f>
        <v/>
      </c>
      <c r="X15" s="59">
        <f>IF($U15="","—",IF($U15&gt;=COUNT($H15:$S15)/12,"🟢 على المسار","🟠 متأخّر"))</f>
        <v/>
      </c>
    </row>
    <row r="16" ht="22" customHeight="1">
      <c r="A16" s="59" t="n">
        <v>13</v>
      </c>
      <c r="B16" s="13" t="inlineStr">
        <is>
          <t>الامتياز التجاري</t>
        </is>
      </c>
      <c r="C16" s="11" t="inlineStr">
        <is>
          <t>إجمالي مبيعات وقود محطات الامتياز</t>
        </is>
      </c>
      <c r="D16" s="15" t="inlineStr">
        <is>
          <t>شهري</t>
        </is>
      </c>
      <c r="E16" s="15" t="inlineStr">
        <is>
          <t>تراكمي</t>
        </is>
      </c>
      <c r="F16" s="55" t="inlineStr">
        <is>
          <t>↑</t>
        </is>
      </c>
      <c r="G16" s="60" t="n">
        <v>718838077</v>
      </c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2">
        <f>IF(COUNT($H16:$S16)=0,"",SUM($H16:$S16))</f>
        <v/>
      </c>
      <c r="U16" s="56">
        <f>IF($G16="","",IF($T16="","",MIN(1,IF($G16=0,IF($T16&lt;=0,1,0),IF($F16="↓",IFERROR($G16/$T16,0),IFERROR($T16/$G16,0))))))</f>
        <v/>
      </c>
      <c r="V16" s="59">
        <f>IF($U16="","⏳ بانتظار هدف",IF($U16&gt;=1.0,"✅ محقق",IF($U16&gt;=0.85,"🟡 قريب","🔴 تحت الهدف")))</f>
        <v/>
      </c>
      <c r="W16" s="63">
        <f>IF($G16="","",$G16*COUNT($H16:$S16)/12)</f>
        <v/>
      </c>
      <c r="X16" s="59">
        <f>IF($U16="","—",IF($U16&gt;=COUNT($H16:$S16)/12,"🟢 على المسار","🟠 متأخّر"))</f>
        <v/>
      </c>
    </row>
    <row r="17" ht="22" customHeight="1">
      <c r="A17" s="59" t="n">
        <v>14</v>
      </c>
      <c r="B17" s="13" t="inlineStr">
        <is>
          <t>الامتياز التجاري</t>
        </is>
      </c>
      <c r="C17" s="11" t="inlineStr">
        <is>
          <t>نسبة تأجير وحدات الامتياز</t>
        </is>
      </c>
      <c r="D17" s="15" t="inlineStr">
        <is>
          <t>شهري</t>
        </is>
      </c>
      <c r="E17" s="15" t="inlineStr">
        <is>
          <t>معدل</t>
        </is>
      </c>
      <c r="F17" s="55" t="inlineStr">
        <is>
          <t>↑</t>
        </is>
      </c>
      <c r="G17" s="64" t="n">
        <v>0.7</v>
      </c>
      <c r="H17" s="65" t="n"/>
      <c r="I17" s="65" t="n"/>
      <c r="J17" s="65" t="n"/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56">
        <f>IF(COUNT($H17:$S17)=0,"",SUM($H17:$S17)/COUNT($H17:$S17))</f>
        <v/>
      </c>
      <c r="U17" s="56">
        <f>IF($G17="","",IF($T17="","",MIN(1,IF($G17=0,IF($T17&lt;=0,1,0),IF($F17="↓",IFERROR($G17/$T17,0),IFERROR($T17/$G17,0))))))</f>
        <v/>
      </c>
      <c r="V17" s="59">
        <f>IF($U17="","⏳ بانتظار هدف",IF($U17&gt;=1.0,"✅ محقق",IF($U17&gt;=0.85,"🟡 قريب","🔴 تحت الهدف")))</f>
        <v/>
      </c>
      <c r="W17" s="66">
        <f>IF($G17="","",$G17)</f>
        <v/>
      </c>
      <c r="X17" s="59">
        <f>IF($U17="","—",IF($U17&gt;=0.85,"🟢 على المسار","🟠 متأخّر"))</f>
        <v/>
      </c>
    </row>
    <row r="18" ht="22" customHeight="1">
      <c r="A18" s="59" t="n">
        <v>15</v>
      </c>
      <c r="B18" s="13" t="inlineStr">
        <is>
          <t>الامتياز التجاري</t>
        </is>
      </c>
      <c r="C18" s="11" t="inlineStr">
        <is>
          <t>إجمالي إيرادات إدارة الامتياز</t>
        </is>
      </c>
      <c r="D18" s="15" t="inlineStr">
        <is>
          <t>شهري</t>
        </is>
      </c>
      <c r="E18" s="15" t="inlineStr">
        <is>
          <t>تراكمي</t>
        </is>
      </c>
      <c r="F18" s="55" t="inlineStr">
        <is>
          <t>↑</t>
        </is>
      </c>
      <c r="G18" s="55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2">
        <f>IF(COUNT($H18:$S18)=0,"",SUM($H18:$S18))</f>
        <v/>
      </c>
      <c r="U18" s="56">
        <f>IF($G18="","",IF($T18="","",MIN(1,IF($G18=0,IF($T18&lt;=0,1,0),IF($F18="↓",IFERROR($G18/$T18,0),IFERROR($T18/$G18,0))))))</f>
        <v/>
      </c>
      <c r="V18" s="59">
        <f>IF($U18="","⏳ بانتظار هدف",IF($U18&gt;=1.0,"✅ محقق",IF($U18&gt;=0.85,"🟡 قريب","🔴 تحت الهدف")))</f>
        <v/>
      </c>
      <c r="W18" s="73">
        <f>IF($G18="","",$G18*COUNT($H18:$S18)/12)</f>
        <v/>
      </c>
      <c r="X18" s="59">
        <f>IF($U18="","—",IF($U18&gt;=COUNT($H18:$S18)/12,"🟢 على المسار","🟠 متأخّر"))</f>
        <v/>
      </c>
    </row>
    <row r="19" ht="22" customHeight="1">
      <c r="A19" s="59" t="n">
        <v>16</v>
      </c>
      <c r="B19" s="13" t="inlineStr">
        <is>
          <t>الامتياز التجاري</t>
        </is>
      </c>
      <c r="C19" s="11" t="inlineStr">
        <is>
          <t>رفع هامش الربحية للامتياز</t>
        </is>
      </c>
      <c r="D19" s="15" t="inlineStr">
        <is>
          <t>شهري</t>
        </is>
      </c>
      <c r="E19" s="15" t="inlineStr">
        <is>
          <t>معدل</t>
        </is>
      </c>
      <c r="F19" s="55" t="inlineStr">
        <is>
          <t>↑</t>
        </is>
      </c>
      <c r="G19" s="67" t="n">
        <v>1.8</v>
      </c>
      <c r="H19" s="68" t="n"/>
      <c r="I19" s="68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8" t="n"/>
      <c r="S19" s="68" t="n"/>
      <c r="T19" s="69">
        <f>IF(COUNT($H19:$S19)=0,"",SUM($H19:$S19)/COUNT($H19:$S19))</f>
        <v/>
      </c>
      <c r="U19" s="56">
        <f>IF($G19="","",IF($T19="","",MIN(1,IF($G19=0,IF($T19&lt;=0,1,0),IF($F19="↓",IFERROR($G19/$T19,0),IFERROR($T19/$G19,0))))))</f>
        <v/>
      </c>
      <c r="V19" s="59">
        <f>IF($U19="","⏳ بانتظار هدف",IF($U19&gt;=1.0,"✅ محقق",IF($U19&gt;=0.85,"🟡 قريب","🔴 تحت الهدف")))</f>
        <v/>
      </c>
      <c r="W19" s="70">
        <f>IF($G19="","",$G19)</f>
        <v/>
      </c>
      <c r="X19" s="59">
        <f>IF($U19="","—",IF($U19&gt;=0.85,"🟢 على المسار","🟠 متأخّر"))</f>
        <v/>
      </c>
    </row>
    <row r="20" ht="22" customHeight="1">
      <c r="A20" s="59" t="n">
        <v>17</v>
      </c>
      <c r="B20" s="13" t="inlineStr">
        <is>
          <t>الامتياز التجاري</t>
        </is>
      </c>
      <c r="C20" s="11" t="inlineStr">
        <is>
          <t>نسبة التحصيل المالي من شركاء الامتياز</t>
        </is>
      </c>
      <c r="D20" s="15" t="inlineStr">
        <is>
          <t>شهري</t>
        </is>
      </c>
      <c r="E20" s="15" t="inlineStr">
        <is>
          <t>معدل</t>
        </is>
      </c>
      <c r="F20" s="55" t="inlineStr">
        <is>
          <t>↑</t>
        </is>
      </c>
      <c r="G20" s="64" t="n">
        <v>0.95</v>
      </c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56">
        <f>IF(COUNT($H20:$S20)=0,"",SUM($H20:$S20)/COUNT($H20:$S20))</f>
        <v/>
      </c>
      <c r="U20" s="56">
        <f>IF($G20="","",IF($T20="","",MIN(1,IF($G20=0,IF($T20&lt;=0,1,0),IF($F20="↓",IFERROR($G20/$T20,0),IFERROR($T20/$G20,0))))))</f>
        <v/>
      </c>
      <c r="V20" s="59">
        <f>IF($U20="","⏳ بانتظار هدف",IF($U20&gt;=1.0,"✅ محقق",IF($U20&gt;=0.85,"🟡 قريب","🔴 تحت الهدف")))</f>
        <v/>
      </c>
      <c r="W20" s="66">
        <f>IF($G20="","",$G20)</f>
        <v/>
      </c>
      <c r="X20" s="59">
        <f>IF($U20="","—",IF($U20&gt;=0.85,"🟢 على المسار","🟠 متأخّر"))</f>
        <v/>
      </c>
    </row>
    <row r="21" ht="22" customHeight="1">
      <c r="A21" s="59" t="n">
        <v>18</v>
      </c>
      <c r="B21" s="13" t="inlineStr">
        <is>
          <t>الامتياز التجاري</t>
        </is>
      </c>
      <c r="C21" s="11" t="inlineStr">
        <is>
          <t>متوسط أيام تحصيل شركاء الامتياز (DSO)</t>
        </is>
      </c>
      <c r="D21" s="15" t="inlineStr">
        <is>
          <t>شهري</t>
        </is>
      </c>
      <c r="E21" s="15" t="inlineStr">
        <is>
          <t>معدل</t>
        </is>
      </c>
      <c r="F21" s="55" t="inlineStr">
        <is>
          <t>↓</t>
        </is>
      </c>
      <c r="G21" s="67" t="n">
        <v>30</v>
      </c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9">
        <f>IF(COUNT($H21:$S21)=0,"",SUM($H21:$S21)/COUNT($H21:$S21))</f>
        <v/>
      </c>
      <c r="U21" s="56">
        <f>IF($G21="","",IF($T21="","",MIN(1,IF($G21=0,IF($T21&lt;=0,1,0),IF($F21="↓",IFERROR($G21/$T21,0),IFERROR($T21/$G21,0))))))</f>
        <v/>
      </c>
      <c r="V21" s="59">
        <f>IF($U21="","⏳ بانتظار هدف",IF($U21&gt;=1.0,"✅ محقق",IF($U21&gt;=0.85,"🟡 قريب","🔴 تحت الهدف")))</f>
        <v/>
      </c>
      <c r="W21" s="70">
        <f>IF($G21="","",$G21)</f>
        <v/>
      </c>
      <c r="X21" s="59">
        <f>IF($U21="","—",IF($U21&gt;=0.85,"🟢 على المسار","🟠 متأخّر"))</f>
        <v/>
      </c>
    </row>
    <row r="22" ht="22" customHeight="1">
      <c r="A22" s="59" t="n">
        <v>19</v>
      </c>
      <c r="B22" s="13" t="inlineStr">
        <is>
          <t>الامتياز التجاري</t>
        </is>
      </c>
      <c r="C22" s="11" t="inlineStr">
        <is>
          <t>إجمالي المستحقات المتأخرة (+30 يوم)</t>
        </is>
      </c>
      <c r="D22" s="15" t="inlineStr">
        <is>
          <t>شهري</t>
        </is>
      </c>
      <c r="E22" s="15" t="inlineStr">
        <is>
          <t>لقطة</t>
        </is>
      </c>
      <c r="F22" s="55" t="inlineStr">
        <is>
          <t>↓</t>
        </is>
      </c>
      <c r="G22" s="55" t="n"/>
      <c r="H22" s="71" t="n"/>
      <c r="I22" s="71" t="n"/>
      <c r="J22" s="71" t="n"/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2">
        <f>IFERROR(LOOKUP(2,1/($H22:$S22&lt;&gt;""),$H22:$S22),"")</f>
        <v/>
      </c>
      <c r="U22" s="56">
        <f>IF($G22="","",IF($T22="","",MIN(1,IF($G22=0,IF($T22&lt;=0,1,0),IF($F22="↓",IFERROR($G22/$T22,0),IFERROR($T22/$G22,0))))))</f>
        <v/>
      </c>
      <c r="V22" s="59">
        <f>IF($U22="","⏳ بانتظار هدف",IF($U22&gt;=1.0,"✅ محقق",IF($U22&gt;=0.85,"🟡 قريب","🔴 تحت الهدف")))</f>
        <v/>
      </c>
      <c r="W22" s="73">
        <f>IF($G22="","",$G22)</f>
        <v/>
      </c>
      <c r="X22" s="59">
        <f>IF($U22="","—",IF($U22&gt;=0.85,"🟢 على المسار","🟠 متأخّر"))</f>
        <v/>
      </c>
    </row>
    <row r="23" ht="22" customHeight="1">
      <c r="A23" s="59" t="n">
        <v>20</v>
      </c>
      <c r="B23" s="13" t="inlineStr">
        <is>
          <t>الامتياز التجاري</t>
        </is>
      </c>
      <c r="C23" s="11" t="inlineStr">
        <is>
          <t>نسبة الشركاء الملتزمين بمواعيد السداد</t>
        </is>
      </c>
      <c r="D23" s="15" t="inlineStr">
        <is>
          <t>شهري</t>
        </is>
      </c>
      <c r="E23" s="15" t="inlineStr">
        <is>
          <t>معدل</t>
        </is>
      </c>
      <c r="F23" s="55" t="inlineStr">
        <is>
          <t>↑</t>
        </is>
      </c>
      <c r="G23" s="64" t="n">
        <v>0.9</v>
      </c>
      <c r="H23" s="65" t="n"/>
      <c r="I23" s="65" t="n"/>
      <c r="J23" s="65" t="n"/>
      <c r="K23" s="65" t="n"/>
      <c r="L23" s="65" t="n"/>
      <c r="M23" s="65" t="n"/>
      <c r="N23" s="65" t="n"/>
      <c r="O23" s="65" t="n"/>
      <c r="P23" s="65" t="n"/>
      <c r="Q23" s="65" t="n"/>
      <c r="R23" s="65" t="n"/>
      <c r="S23" s="65" t="n"/>
      <c r="T23" s="56">
        <f>IF(COUNT($H23:$S23)=0,"",SUM($H23:$S23)/COUNT($H23:$S23))</f>
        <v/>
      </c>
      <c r="U23" s="56">
        <f>IF($G23="","",IF($T23="","",MIN(1,IF($G23=0,IF($T23&lt;=0,1,0),IF($F23="↓",IFERROR($G23/$T23,0),IFERROR($T23/$G23,0))))))</f>
        <v/>
      </c>
      <c r="V23" s="59">
        <f>IF($U23="","⏳ بانتظار هدف",IF($U23&gt;=1.0,"✅ محقق",IF($U23&gt;=0.85,"🟡 قريب","🔴 تحت الهدف")))</f>
        <v/>
      </c>
      <c r="W23" s="66">
        <f>IF($G23="","",$G23)</f>
        <v/>
      </c>
      <c r="X23" s="59">
        <f>IF($U23="","—",IF($U23&gt;=0.85,"🟢 على المسار","🟠 متأخّر"))</f>
        <v/>
      </c>
    </row>
    <row r="24" ht="22" customHeight="1">
      <c r="A24" s="59" t="n">
        <v>21</v>
      </c>
      <c r="B24" s="13" t="inlineStr">
        <is>
          <t>الامتياز التجاري</t>
        </is>
      </c>
      <c r="C24" s="11" t="inlineStr">
        <is>
          <t>معدل دوران رأس المال (أيام الدورة)</t>
        </is>
      </c>
      <c r="D24" s="15" t="inlineStr">
        <is>
          <t>شهري</t>
        </is>
      </c>
      <c r="E24" s="15" t="inlineStr">
        <is>
          <t>معدل</t>
        </is>
      </c>
      <c r="F24" s="55" t="inlineStr">
        <is>
          <t>↓</t>
        </is>
      </c>
      <c r="G24" s="67" t="n">
        <v>5</v>
      </c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9">
        <f>IF(COUNT($H24:$S24)=0,"",SUM($H24:$S24)/COUNT($H24:$S24))</f>
        <v/>
      </c>
      <c r="U24" s="56">
        <f>IF($G24="","",IF($T24="","",MIN(1,IF($G24=0,IF($T24&lt;=0,1,0),IF($F24="↓",IFERROR($G24/$T24,0),IFERROR($T24/$G24,0))))))</f>
        <v/>
      </c>
      <c r="V24" s="59">
        <f>IF($U24="","⏳ بانتظار هدف",IF($U24&gt;=1.0,"✅ محقق",IF($U24&gt;=0.85,"🟡 قريب","🔴 تحت الهدف")))</f>
        <v/>
      </c>
      <c r="W24" s="70">
        <f>IF($G24="","",$G24)</f>
        <v/>
      </c>
      <c r="X24" s="59">
        <f>IF($U24="","—",IF($U24&gt;=0.85,"🟢 على المسار","🟠 متأخّر"))</f>
        <v/>
      </c>
    </row>
    <row r="25" ht="22" customHeight="1">
      <c r="A25" s="59" t="n">
        <v>22</v>
      </c>
      <c r="B25" s="13" t="inlineStr">
        <is>
          <t>الامتياز التجاري</t>
        </is>
      </c>
      <c r="C25" s="11" t="inlineStr">
        <is>
          <t>نسبة جاهزية محطات الامتياز (صفر انقطاع)</t>
        </is>
      </c>
      <c r="D25" s="15" t="inlineStr">
        <is>
          <t>شهري</t>
        </is>
      </c>
      <c r="E25" s="15" t="inlineStr">
        <is>
          <t>معدل</t>
        </is>
      </c>
      <c r="F25" s="55" t="inlineStr">
        <is>
          <t>↑</t>
        </is>
      </c>
      <c r="G25" s="64" t="n">
        <v>0.99</v>
      </c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56">
        <f>IF(COUNT($H25:$S25)=0,"",SUM($H25:$S25)/COUNT($H25:$S25))</f>
        <v/>
      </c>
      <c r="U25" s="56">
        <f>IF($G25="","",IF($T25="","",MIN(1,IF($G25=0,IF($T25&lt;=0,1,0),IF($F25="↓",IFERROR($G25/$T25,0),IFERROR($T25/$G25,0))))))</f>
        <v/>
      </c>
      <c r="V25" s="59">
        <f>IF($U25="","⏳ بانتظار هدف",IF($U25&gt;=1.0,"✅ محقق",IF($U25&gt;=0.97,"🟡 قريب","🔴 تحت الهدف")))</f>
        <v/>
      </c>
      <c r="W25" s="66">
        <f>IF($G25="","",$G25)</f>
        <v/>
      </c>
      <c r="X25" s="59">
        <f>IF($U25="","—",IF($U25&gt;=0.97,"🟢 على المسار","🟠 متأخّر"))</f>
        <v/>
      </c>
    </row>
    <row r="26" ht="22" customHeight="1">
      <c r="A26" s="59" t="n">
        <v>23</v>
      </c>
      <c r="B26" s="13" t="inlineStr">
        <is>
          <t>الامتياز التجاري</t>
        </is>
      </c>
      <c r="C26" s="11" t="inlineStr">
        <is>
          <t>عدد حالات انقطاع الوقود الموثّقة</t>
        </is>
      </c>
      <c r="D26" s="15" t="inlineStr">
        <is>
          <t>شهري</t>
        </is>
      </c>
      <c r="E26" s="15" t="inlineStr">
        <is>
          <t>تراكمي</t>
        </is>
      </c>
      <c r="F26" s="55" t="inlineStr">
        <is>
          <t>↓</t>
        </is>
      </c>
      <c r="G26" s="60" t="n">
        <v>0</v>
      </c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2">
        <f>IF(COUNT($H26:$S26)=0,"",SUM($H26:$S26))</f>
        <v/>
      </c>
      <c r="U26" s="56">
        <f>IF($G26="","",IF($T26="","",MIN(1,IF($G26=0,IF($T26&lt;=0,1,0),IF($F26="↓",IFERROR($G26/$T26,0),IFERROR($T26/$G26,0))))))</f>
        <v/>
      </c>
      <c r="V26" s="59">
        <f>IF($U26="","⏳ بانتظار هدف",IF($U26&gt;=1.0,"✅ محقق",IF($U26&gt;=0.85,"🟡 قريب","🔴 تحت الهدف")))</f>
        <v/>
      </c>
      <c r="W26" s="63">
        <f>IF($G26="","",$G26*COUNT($H26:$S26)/12)</f>
        <v/>
      </c>
      <c r="X26" s="59">
        <f>IF($U26="","—",IF($U26&gt;=COUNT($H26:$S26)/12,"🟢 على المسار","🟠 متأخّر"))</f>
        <v/>
      </c>
    </row>
    <row r="27" ht="22" customHeight="1">
      <c r="A27" s="59" t="n">
        <v>24</v>
      </c>
      <c r="B27" s="13" t="inlineStr">
        <is>
          <t>الامتياز التجاري</t>
        </is>
      </c>
      <c r="C27" s="11" t="inlineStr">
        <is>
          <t>نسبة إغلاق ملاحظات الجودة الميدانية</t>
        </is>
      </c>
      <c r="D27" s="15" t="inlineStr">
        <is>
          <t>شهري</t>
        </is>
      </c>
      <c r="E27" s="15" t="inlineStr">
        <is>
          <t>معدل</t>
        </is>
      </c>
      <c r="F27" s="55" t="inlineStr">
        <is>
          <t>↑</t>
        </is>
      </c>
      <c r="G27" s="64" t="n">
        <v>0.95</v>
      </c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56">
        <f>IF(COUNT($H27:$S27)=0,"",SUM($H27:$S27)/COUNT($H27:$S27))</f>
        <v/>
      </c>
      <c r="U27" s="56">
        <f>IF($G27="","",IF($T27="","",MIN(1,IF($G27=0,IF($T27&lt;=0,1,0),IF($F27="↓",IFERROR($G27/$T27,0),IFERROR($T27/$G27,0))))))</f>
        <v/>
      </c>
      <c r="V27" s="59">
        <f>IF($U27="","⏳ بانتظار هدف",IF($U27&gt;=1.0,"✅ محقق",IF($U27&gt;=0.85,"🟡 قريب","🔴 تحت الهدف")))</f>
        <v/>
      </c>
      <c r="W27" s="66">
        <f>IF($G27="","",$G27)</f>
        <v/>
      </c>
      <c r="X27" s="59">
        <f>IF($U27="","—",IF($U27&gt;=0.85,"🟢 على المسار","🟠 متأخّر"))</f>
        <v/>
      </c>
    </row>
    <row r="28" ht="22" customHeight="1">
      <c r="A28" s="59" t="n">
        <v>25</v>
      </c>
      <c r="B28" s="13" t="inlineStr">
        <is>
          <t>الامتياز التجاري</t>
        </is>
      </c>
      <c r="C28" s="11" t="inlineStr">
        <is>
          <t>متوسط درجة تقييم جودة المحطة (قائمة التحقق)</t>
        </is>
      </c>
      <c r="D28" s="15" t="inlineStr">
        <is>
          <t>شهري</t>
        </is>
      </c>
      <c r="E28" s="15" t="inlineStr">
        <is>
          <t>معدل</t>
        </is>
      </c>
      <c r="F28" s="55" t="inlineStr">
        <is>
          <t>↑</t>
        </is>
      </c>
      <c r="G28" s="67" t="n">
        <v>85</v>
      </c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9">
        <f>IF(COUNT($H28:$S28)=0,"",SUM($H28:$S28)/COUNT($H28:$S28))</f>
        <v/>
      </c>
      <c r="U28" s="56">
        <f>IF($G28="","",IF($T28="","",MIN(1,IF($G28=0,IF($T28&lt;=0,1,0),IF($F28="↓",IFERROR($G28/$T28,0),IFERROR($T28/$G28,0))))))</f>
        <v/>
      </c>
      <c r="V28" s="59">
        <f>IF($U28="","⏳ بانتظار هدف",IF($U28&gt;=1.0,"✅ محقق",IF($U28&gt;=0.85,"🟡 قريب","🔴 تحت الهدف")))</f>
        <v/>
      </c>
      <c r="W28" s="70">
        <f>IF($G28="","",$G28)</f>
        <v/>
      </c>
      <c r="X28" s="59">
        <f>IF($U28="","—",IF($U28&gt;=0.85,"🟢 على المسار","🟠 متأخّر"))</f>
        <v/>
      </c>
    </row>
    <row r="29" ht="22" customHeight="1">
      <c r="A29" s="59" t="n">
        <v>26</v>
      </c>
      <c r="B29" s="13" t="inlineStr">
        <is>
          <t>الامتياز التجاري</t>
        </is>
      </c>
      <c r="C29" s="11" t="inlineStr">
        <is>
          <t>نسبة تنفيذ الزيارات الميدانية المجدولة</t>
        </is>
      </c>
      <c r="D29" s="15" t="inlineStr">
        <is>
          <t>شهري</t>
        </is>
      </c>
      <c r="E29" s="15" t="inlineStr">
        <is>
          <t>معدل</t>
        </is>
      </c>
      <c r="F29" s="55" t="inlineStr">
        <is>
          <t>↑</t>
        </is>
      </c>
      <c r="G29" s="64" t="n">
        <v>1</v>
      </c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56">
        <f>IF(COUNT($H29:$S29)=0,"",SUM($H29:$S29)/COUNT($H29:$S29))</f>
        <v/>
      </c>
      <c r="U29" s="56">
        <f>IF($G29="","",IF($T29="","",MIN(1,IF($G29=0,IF($T29&lt;=0,1,0),IF($F29="↓",IFERROR($G29/$T29,0),IFERROR($T29/$G29,0))))))</f>
        <v/>
      </c>
      <c r="V29" s="59">
        <f>IF($U29="","⏳ بانتظار هدف",IF($U29&gt;=1.0,"✅ محقق",IF($U29&gt;=0.85,"🟡 قريب","🔴 تحت الهدف")))</f>
        <v/>
      </c>
      <c r="W29" s="66">
        <f>IF($G29="","",$G29)</f>
        <v/>
      </c>
      <c r="X29" s="59">
        <f>IF($U29="","—",IF($U29&gt;=0.85,"🟢 على المسار","🟠 متأخّر"))</f>
        <v/>
      </c>
    </row>
    <row r="30" ht="22" customHeight="1">
      <c r="A30" s="59" t="n">
        <v>27</v>
      </c>
      <c r="B30" s="13" t="inlineStr">
        <is>
          <t>الامتياز التجاري</t>
        </is>
      </c>
      <c r="C30" s="11" t="inlineStr">
        <is>
          <t>نسبة المحطات المستوفية لمعايير السلامة</t>
        </is>
      </c>
      <c r="D30" s="15" t="inlineStr">
        <is>
          <t>شهري</t>
        </is>
      </c>
      <c r="E30" s="15" t="inlineStr">
        <is>
          <t>معدل</t>
        </is>
      </c>
      <c r="F30" s="55" t="inlineStr">
        <is>
          <t>↑</t>
        </is>
      </c>
      <c r="G30" s="64" t="n">
        <v>1</v>
      </c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56">
        <f>IF(COUNT($H30:$S30)=0,"",SUM($H30:$S30)/COUNT($H30:$S30))</f>
        <v/>
      </c>
      <c r="U30" s="56">
        <f>IF($G30="","",IF($T30="","",MIN(1,IF($G30=0,IF($T30&lt;=0,1,0),IF($F30="↓",IFERROR($G30/$T30,0),IFERROR($T30/$G30,0))))))</f>
        <v/>
      </c>
      <c r="V30" s="59">
        <f>IF($U30="","⏳ بانتظار هدف",IF($U30&gt;=1.0,"✅ محقق",IF($U30&gt;=0.97,"🟡 قريب","🔴 تحت الهدف")))</f>
        <v/>
      </c>
      <c r="W30" s="66">
        <f>IF($G30="","",$G30)</f>
        <v/>
      </c>
      <c r="X30" s="59">
        <f>IF($U30="","—",IF($U30&gt;=0.97,"🟢 على المسار","🟠 متأخّر"))</f>
        <v/>
      </c>
    </row>
    <row r="31" ht="22" customHeight="1">
      <c r="A31" s="59" t="n">
        <v>28</v>
      </c>
      <c r="B31" s="13" t="inlineStr">
        <is>
          <t>الامتياز التجاري</t>
        </is>
      </c>
      <c r="C31" s="11" t="inlineStr">
        <is>
          <t>متوسط وقت معالجة البلاغات التشغيلية</t>
        </is>
      </c>
      <c r="D31" s="15" t="inlineStr">
        <is>
          <t>شهري</t>
        </is>
      </c>
      <c r="E31" s="15" t="inlineStr">
        <is>
          <t>معدل</t>
        </is>
      </c>
      <c r="F31" s="55" t="inlineStr">
        <is>
          <t>↓</t>
        </is>
      </c>
      <c r="G31" s="67" t="n">
        <v>24</v>
      </c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9">
        <f>IF(COUNT($H31:$S31)=0,"",SUM($H31:$S31)/COUNT($H31:$S31))</f>
        <v/>
      </c>
      <c r="U31" s="56">
        <f>IF($G31="","",IF($T31="","",MIN(1,IF($G31=0,IF($T31&lt;=0,1,0),IF($F31="↓",IFERROR($G31/$T31,0),IFERROR($T31/$G31,0))))))</f>
        <v/>
      </c>
      <c r="V31" s="59">
        <f>IF($U31="","⏳ بانتظار هدف",IF($U31&gt;=1.0,"✅ محقق",IF($U31&gt;=0.85,"🟡 قريب","🔴 تحت الهدف")))</f>
        <v/>
      </c>
      <c r="W31" s="70">
        <f>IF($G31="","",$G31)</f>
        <v/>
      </c>
      <c r="X31" s="59">
        <f>IF($U31="","—",IF($U31&gt;=0.85,"🟢 على المسار","🟠 متأخّر"))</f>
        <v/>
      </c>
    </row>
    <row r="32" ht="22" customHeight="1">
      <c r="A32" s="59" t="n">
        <v>29</v>
      </c>
      <c r="B32" s="13" t="inlineStr">
        <is>
          <t>الامتياز التجاري</t>
        </is>
      </c>
      <c r="C32" s="11" t="inlineStr">
        <is>
          <t>نسبة أتمتة محطات الامتياز</t>
        </is>
      </c>
      <c r="D32" s="15" t="inlineStr">
        <is>
          <t>شهري</t>
        </is>
      </c>
      <c r="E32" s="15" t="inlineStr">
        <is>
          <t>لقطة</t>
        </is>
      </c>
      <c r="F32" s="55" t="inlineStr">
        <is>
          <t>↑</t>
        </is>
      </c>
      <c r="G32" s="64" t="n">
        <v>0.9</v>
      </c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56">
        <f>IFERROR(LOOKUP(2,1/($H32:$S32&lt;&gt;""),$H32:$S32),"")</f>
        <v/>
      </c>
      <c r="U32" s="56">
        <f>IF($G32="","",IF($T32="","",MIN(1,IF($G32=0,IF($T32&lt;=0,1,0),IF($F32="↓",IFERROR($G32/$T32,0),IFERROR($T32/$G32,0))))))</f>
        <v/>
      </c>
      <c r="V32" s="59">
        <f>IF($U32="","⏳ بانتظار هدف",IF($U32&gt;=1.0,"✅ محقق",IF($U32&gt;=0.85,"🟡 قريب","🔴 تحت الهدف")))</f>
        <v/>
      </c>
      <c r="W32" s="66">
        <f>IF($G32="","",$G32)</f>
        <v/>
      </c>
      <c r="X32" s="59">
        <f>IF($U32="","—",IF($U32&gt;=0.85,"🟢 على المسار","🟠 متأخّر"))</f>
        <v/>
      </c>
    </row>
    <row r="33" ht="22" customHeight="1">
      <c r="A33" s="59" t="n">
        <v>30</v>
      </c>
      <c r="B33" s="13" t="inlineStr">
        <is>
          <t>الامتياز التجاري</t>
        </is>
      </c>
      <c r="C33" s="11" t="inlineStr">
        <is>
          <t>نسبة تطبيق المعيار الشامل داخل المحطات</t>
        </is>
      </c>
      <c r="D33" s="15" t="inlineStr">
        <is>
          <t>شهري</t>
        </is>
      </c>
      <c r="E33" s="15" t="inlineStr">
        <is>
          <t>لقطة</t>
        </is>
      </c>
      <c r="F33" s="55" t="inlineStr">
        <is>
          <t>↑</t>
        </is>
      </c>
      <c r="G33" s="64" t="n">
        <v>0.3</v>
      </c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56">
        <f>IFERROR(LOOKUP(2,1/($H33:$S33&lt;&gt;""),$H33:$S33),"")</f>
        <v/>
      </c>
      <c r="U33" s="56">
        <f>IF($G33="","",IF($T33="","",MIN(1,IF($G33=0,IF($T33&lt;=0,1,0),IF($F33="↓",IFERROR($G33/$T33,0),IFERROR($T33/$G33,0))))))</f>
        <v/>
      </c>
      <c r="V33" s="59">
        <f>IF($U33="","⏳ بانتظار هدف",IF($U33&gt;=1.0,"✅ محقق",IF($U33&gt;=0.85,"🟡 قريب","🔴 تحت الهدف")))</f>
        <v/>
      </c>
      <c r="W33" s="66">
        <f>IF($G33="","",$G33)</f>
        <v/>
      </c>
      <c r="X33" s="59">
        <f>IF($U33="","—",IF($U33&gt;=0.85,"🟢 على المسار","🟠 متأخّر"))</f>
        <v/>
      </c>
    </row>
    <row r="34" ht="22" customHeight="1">
      <c r="A34" s="59" t="n">
        <v>31</v>
      </c>
      <c r="B34" s="13" t="inlineStr">
        <is>
          <t>الامتياز التجاري</t>
        </is>
      </c>
      <c r="C34" s="11" t="inlineStr">
        <is>
          <t>نسبة التزام المحطات بالهوية المؤسسية</t>
        </is>
      </c>
      <c r="D34" s="15" t="inlineStr">
        <is>
          <t>شهري</t>
        </is>
      </c>
      <c r="E34" s="15" t="inlineStr">
        <is>
          <t>لقطة</t>
        </is>
      </c>
      <c r="F34" s="55" t="inlineStr">
        <is>
          <t>↑</t>
        </is>
      </c>
      <c r="G34" s="64" t="n">
        <v>0.55</v>
      </c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56">
        <f>IFERROR(LOOKUP(2,1/($H34:$S34&lt;&gt;""),$H34:$S34),"")</f>
        <v/>
      </c>
      <c r="U34" s="56">
        <f>IF($G34="","",IF($T34="","",MIN(1,IF($G34=0,IF($T34&lt;=0,1,0),IF($F34="↓",IFERROR($G34/$T34,0),IFERROR($T34/$G34,0))))))</f>
        <v/>
      </c>
      <c r="V34" s="59">
        <f>IF($U34="","⏳ بانتظار هدف",IF($U34&gt;=1.0,"✅ محقق",IF($U34&gt;=0.85,"🟡 قريب","🔴 تحت الهدف")))</f>
        <v/>
      </c>
      <c r="W34" s="66">
        <f>IF($G34="","",$G34)</f>
        <v/>
      </c>
      <c r="X34" s="59">
        <f>IF($U34="","—",IF($U34&gt;=0.85,"🟢 على المسار","🟠 متأخّر"))</f>
        <v/>
      </c>
    </row>
    <row r="35" ht="22" customHeight="1">
      <c r="A35" s="59" t="n">
        <v>32</v>
      </c>
      <c r="B35" s="13" t="inlineStr">
        <is>
          <t>الامتياز التجاري</t>
        </is>
      </c>
      <c r="C35" s="11" t="inlineStr">
        <is>
          <t>متوسط تقييم المحطات على خرائط قوقل</t>
        </is>
      </c>
      <c r="D35" s="15" t="inlineStr">
        <is>
          <t>شهري</t>
        </is>
      </c>
      <c r="E35" s="15" t="inlineStr">
        <is>
          <t>معدل</t>
        </is>
      </c>
      <c r="F35" s="55" t="inlineStr">
        <is>
          <t>↑</t>
        </is>
      </c>
      <c r="G35" s="67" t="n">
        <v>4.7</v>
      </c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9">
        <f>IF(COUNT($H35:$S35)=0,"",SUM($H35:$S35)/COUNT($H35:$S35))</f>
        <v/>
      </c>
      <c r="U35" s="56">
        <f>IF($G35="","",IF($T35="","",MIN(1,IF($G35=0,IF($T35&lt;=0,1,0),IF($F35="↓",IFERROR($G35/$T35,0),IFERROR($T35/$G35,0))))))</f>
        <v/>
      </c>
      <c r="V35" s="59">
        <f>IF($U35="","⏳ بانتظار هدف",IF($U35&gt;=1.0,"✅ محقق",IF($U35&gt;=0.85,"🟡 قريب","🔴 تحت الهدف")))</f>
        <v/>
      </c>
      <c r="W35" s="70">
        <f>IF($G35="","",$G35)</f>
        <v/>
      </c>
      <c r="X35" s="59">
        <f>IF($U35="","—",IF($U35&gt;=0.85,"🟢 على المسار","🟠 متأخّر"))</f>
        <v/>
      </c>
    </row>
    <row r="36" ht="22" customHeight="1">
      <c r="A36" s="59" t="n">
        <v>33</v>
      </c>
      <c r="B36" s="13" t="inlineStr">
        <is>
          <t>الامتياز التجاري</t>
        </is>
      </c>
      <c r="C36" s="11" t="inlineStr">
        <is>
          <t>معدل رضا شركاء الامتياز (CSAT)</t>
        </is>
      </c>
      <c r="D36" s="15" t="inlineStr">
        <is>
          <t>ربعي</t>
        </is>
      </c>
      <c r="E36" s="15" t="inlineStr">
        <is>
          <t>معدل</t>
        </is>
      </c>
      <c r="F36" s="55" t="inlineStr">
        <is>
          <t>↑</t>
        </is>
      </c>
      <c r="G36" s="64" t="n">
        <v>0.9</v>
      </c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56">
        <f>IF(COUNT($H36:$S36)=0,"",SUM($H36:$S36)/COUNT($H36:$S36))</f>
        <v/>
      </c>
      <c r="U36" s="56">
        <f>IF($G36="","",IF($T36="","",MIN(1,IF($G36=0,IF($T36&lt;=0,1,0),IF($F36="↓",IFERROR($G36/$T36,0),IFERROR($T36/$G36,0))))))</f>
        <v/>
      </c>
      <c r="V36" s="59">
        <f>IF($U36="","⏳ بانتظار هدف",IF($U36&gt;=0.9,"✅ محقق",IF($U36&gt;=0.75,"🟡 قريب","🔴 تحت الهدف")))</f>
        <v/>
      </c>
      <c r="W36" s="66">
        <f>IF($G36="","",$G36)</f>
        <v/>
      </c>
      <c r="X36" s="59">
        <f>IF($U36="","—",IF($U36&gt;=0.75,"🟢 على المسار","🟠 متأخّر"))</f>
        <v/>
      </c>
    </row>
    <row r="37" ht="22" customHeight="1">
      <c r="A37" s="59" t="n">
        <v>34</v>
      </c>
      <c r="B37" s="13" t="inlineStr">
        <is>
          <t>الامتياز التجاري</t>
        </is>
      </c>
      <c r="C37" s="11" t="inlineStr">
        <is>
          <t>نسبة حل الشكاوى خلال المدة المحددة</t>
        </is>
      </c>
      <c r="D37" s="15" t="inlineStr">
        <is>
          <t>شهري</t>
        </is>
      </c>
      <c r="E37" s="15" t="inlineStr">
        <is>
          <t>معدل</t>
        </is>
      </c>
      <c r="F37" s="55" t="inlineStr">
        <is>
          <t>↑</t>
        </is>
      </c>
      <c r="G37" s="64" t="n">
        <v>0.95</v>
      </c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56">
        <f>IF(COUNT($H37:$S37)=0,"",SUM($H37:$S37)/COUNT($H37:$S37))</f>
        <v/>
      </c>
      <c r="U37" s="56">
        <f>IF($G37="","",IF($T37="","",MIN(1,IF($G37=0,IF($T37&lt;=0,1,0),IF($F37="↓",IFERROR($G37/$T37,0),IFERROR($T37/$G37,0))))))</f>
        <v/>
      </c>
      <c r="V37" s="59">
        <f>IF($U37="","⏳ بانتظار هدف",IF($U37&gt;=1.0,"✅ محقق",IF($U37&gt;=0.85,"🟡 قريب","🔴 تحت الهدف")))</f>
        <v/>
      </c>
      <c r="W37" s="66">
        <f>IF($G37="","",$G37)</f>
        <v/>
      </c>
      <c r="X37" s="59">
        <f>IF($U37="","—",IF($U37&gt;=0.85,"🟢 على المسار","🟠 متأخّر"))</f>
        <v/>
      </c>
    </row>
    <row r="38" ht="22" customHeight="1">
      <c r="A38" s="59" t="n">
        <v>35</v>
      </c>
      <c r="B38" s="13" t="inlineStr">
        <is>
          <t>الامتياز التجاري</t>
        </is>
      </c>
      <c r="C38" s="11" t="inlineStr">
        <is>
          <t>نسبة انخفاض الشكاوى التشغيلية والإدارية</t>
        </is>
      </c>
      <c r="D38" s="15" t="inlineStr">
        <is>
          <t>شهري</t>
        </is>
      </c>
      <c r="E38" s="15" t="inlineStr">
        <is>
          <t>معدل</t>
        </is>
      </c>
      <c r="F38" s="55" t="inlineStr">
        <is>
          <t>↑</t>
        </is>
      </c>
      <c r="G38" s="64" t="n">
        <v>0.3</v>
      </c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56">
        <f>IF(COUNT($H38:$S38)=0,"",SUM($H38:$S38)/COUNT($H38:$S38))</f>
        <v/>
      </c>
      <c r="U38" s="56">
        <f>IF($G38="","",IF($T38="","",MIN(1,IF($G38=0,IF($T38&lt;=0,1,0),IF($F38="↓",IFERROR($G38/$T38,0),IFERROR($T38/$G38,0))))))</f>
        <v/>
      </c>
      <c r="V38" s="59">
        <f>IF($U38="","⏳ بانتظار هدف",IF($U38&gt;=1.0,"✅ محقق",IF($U38&gt;=0.85,"🟡 قريب","🔴 تحت الهدف")))</f>
        <v/>
      </c>
      <c r="W38" s="66">
        <f>IF($G38="","",$G38)</f>
        <v/>
      </c>
      <c r="X38" s="59">
        <f>IF($U38="","—",IF($U38&gt;=0.85,"🟢 على المسار","🟠 متأخّر"))</f>
        <v/>
      </c>
    </row>
    <row r="39" ht="22" customHeight="1">
      <c r="A39" s="59" t="n">
        <v>36</v>
      </c>
      <c r="B39" s="13" t="inlineStr">
        <is>
          <t>الامتياز التجاري</t>
        </is>
      </c>
      <c r="C39" s="11" t="inlineStr">
        <is>
          <t>نسبة استدامة أصحاب الامتياز (Retention)</t>
        </is>
      </c>
      <c r="D39" s="15" t="inlineStr">
        <is>
          <t>شهري</t>
        </is>
      </c>
      <c r="E39" s="15" t="inlineStr">
        <is>
          <t>لقطة</t>
        </is>
      </c>
      <c r="F39" s="55" t="inlineStr">
        <is>
          <t>↑</t>
        </is>
      </c>
      <c r="G39" s="64" t="n">
        <v>0.9</v>
      </c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56">
        <f>IFERROR(LOOKUP(2,1/($H39:$S39&lt;&gt;""),$H39:$S39),"")</f>
        <v/>
      </c>
      <c r="U39" s="56">
        <f>IF($G39="","",IF($T39="","",MIN(1,IF($G39=0,IF($T39&lt;=0,1,0),IF($F39="↓",IFERROR($G39/$T39,0),IFERROR($T39/$G39,0))))))</f>
        <v/>
      </c>
      <c r="V39" s="59">
        <f>IF($U39="","⏳ بانتظار هدف",IF($U39&gt;=1.0,"✅ محقق",IF($U39&gt;=0.85,"🟡 قريب","🔴 تحت الهدف")))</f>
        <v/>
      </c>
      <c r="W39" s="66">
        <f>IF($G39="","",$G39)</f>
        <v/>
      </c>
      <c r="X39" s="59">
        <f>IF($U39="","—",IF($U39&gt;=0.85,"🟢 على المسار","🟠 متأخّر"))</f>
        <v/>
      </c>
    </row>
    <row r="40" ht="22" customHeight="1">
      <c r="A40" s="59" t="n">
        <v>37</v>
      </c>
      <c r="B40" s="13" t="inlineStr">
        <is>
          <t>الامتياز التجاري</t>
        </is>
      </c>
      <c r="C40" s="11" t="inlineStr">
        <is>
          <t>نسبة زيادة عدد أصحاب الامتياز</t>
        </is>
      </c>
      <c r="D40" s="15" t="inlineStr">
        <is>
          <t>شهري</t>
        </is>
      </c>
      <c r="E40" s="15" t="inlineStr">
        <is>
          <t>لقطة</t>
        </is>
      </c>
      <c r="F40" s="55" t="inlineStr">
        <is>
          <t>↑</t>
        </is>
      </c>
      <c r="G40" s="64" t="n">
        <v>1</v>
      </c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56">
        <f>IFERROR(LOOKUP(2,1/($H40:$S40&lt;&gt;""),$H40:$S40),"")</f>
        <v/>
      </c>
      <c r="U40" s="56">
        <f>IF($G40="","",IF($T40="","",MIN(1,IF($G40=0,IF($T40&lt;=0,1,0),IF($F40="↓",IFERROR($G40/$T40,0),IFERROR($T40/$G40,0))))))</f>
        <v/>
      </c>
      <c r="V40" s="59">
        <f>IF($U40="","⏳ بانتظار هدف",IF($U40&gt;=1.0,"✅ محقق",IF($U40&gt;=0.85,"🟡 قريب","🔴 تحت الهدف")))</f>
        <v/>
      </c>
      <c r="W40" s="66">
        <f>IF($G40="","",$G40)</f>
        <v/>
      </c>
      <c r="X40" s="59">
        <f>IF($U40="","—",IF($U40&gt;=0.85,"🟢 على المسار","🟠 متأخّر"))</f>
        <v/>
      </c>
    </row>
    <row r="41" ht="22" customHeight="1">
      <c r="A41" s="59" t="n">
        <v>38</v>
      </c>
      <c r="B41" s="13" t="inlineStr">
        <is>
          <t>الامتياز التجاري</t>
        </is>
      </c>
      <c r="C41" s="11" t="inlineStr">
        <is>
          <t>متوسط مدة إغلاق عقد الامتياز</t>
        </is>
      </c>
      <c r="D41" s="15" t="inlineStr">
        <is>
          <t>شهري</t>
        </is>
      </c>
      <c r="E41" s="15" t="inlineStr">
        <is>
          <t>معدل</t>
        </is>
      </c>
      <c r="F41" s="55" t="inlineStr">
        <is>
          <t>↓</t>
        </is>
      </c>
      <c r="G41" s="67" t="n">
        <v>1</v>
      </c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9">
        <f>IF(COUNT($H41:$S41)=0,"",SUM($H41:$S41)/COUNT($H41:$S41))</f>
        <v/>
      </c>
      <c r="U41" s="56">
        <f>IF($G41="","",IF($T41="","",MIN(1,IF($G41=0,IF($T41&lt;=0,1,0),IF($F41="↓",IFERROR($G41/$T41,0),IFERROR($T41/$G41,0))))))</f>
        <v/>
      </c>
      <c r="V41" s="59">
        <f>IF($U41="","⏳ بانتظار هدف",IF($U41&gt;=1.0,"✅ محقق",IF($U41&gt;=0.85,"🟡 قريب","🔴 تحت الهدف")))</f>
        <v/>
      </c>
      <c r="W41" s="70">
        <f>IF($G41="","",$G41)</f>
        <v/>
      </c>
      <c r="X41" s="59">
        <f>IF($U41="","—",IF($U41&gt;=0.85,"🟢 على المسار","🟠 متأخّر"))</f>
        <v/>
      </c>
    </row>
    <row r="42" ht="22" customHeight="1">
      <c r="A42" s="59" t="n">
        <v>39</v>
      </c>
      <c r="B42" s="13" t="inlineStr">
        <is>
          <t>الامتياز التجاري</t>
        </is>
      </c>
      <c r="C42" s="11" t="inlineStr">
        <is>
          <t>نسبة التحصيل خلال 5 أيام عمل</t>
        </is>
      </c>
      <c r="D42" s="15" t="inlineStr">
        <is>
          <t>شهري</t>
        </is>
      </c>
      <c r="E42" s="15" t="inlineStr">
        <is>
          <t>معدل</t>
        </is>
      </c>
      <c r="F42" s="55" t="inlineStr">
        <is>
          <t>↑</t>
        </is>
      </c>
      <c r="G42" s="64" t="n">
        <v>0.9</v>
      </c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56">
        <f>IF(COUNT($H42:$S42)=0,"",SUM($H42:$S42)/COUNT($H42:$S42))</f>
        <v/>
      </c>
      <c r="U42" s="56">
        <f>IF($G42="","",IF($T42="","",MIN(1,IF($G42=0,IF($T42&lt;=0,1,0),IF($F42="↓",IFERROR($G42/$T42,0),IFERROR($T42/$G42,0))))))</f>
        <v/>
      </c>
      <c r="V42" s="59">
        <f>IF($U42="","⏳ بانتظار هدف",IF($U42&gt;=1.0,"✅ محقق",IF($U42&gt;=0.85,"🟡 قريب","🔴 تحت الهدف")))</f>
        <v/>
      </c>
      <c r="W42" s="66">
        <f>IF($G42="","",$G42)</f>
        <v/>
      </c>
      <c r="X42" s="59">
        <f>IF($U42="","—",IF($U42&gt;=0.85,"🟢 على المسار","🟠 متأخّر"))</f>
        <v/>
      </c>
    </row>
    <row r="43" ht="22" customHeight="1">
      <c r="A43" s="59" t="n">
        <v>40</v>
      </c>
      <c r="B43" s="13" t="inlineStr">
        <is>
          <t>التشغيل والمحطات</t>
        </is>
      </c>
      <c r="C43" s="11" t="inlineStr">
        <is>
          <t>عدد المحطات المشغّلة (تراكمي)</t>
        </is>
      </c>
      <c r="D43" s="15" t="inlineStr">
        <is>
          <t>شهري</t>
        </is>
      </c>
      <c r="E43" s="15" t="inlineStr">
        <is>
          <t>لقطة</t>
        </is>
      </c>
      <c r="F43" s="55" t="inlineStr">
        <is>
          <t>↑</t>
        </is>
      </c>
      <c r="G43" s="60" t="n">
        <v>85</v>
      </c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2">
        <f>IFERROR(LOOKUP(2,1/($H43:$S43&lt;&gt;""),$H43:$S43),"")</f>
        <v/>
      </c>
      <c r="U43" s="56">
        <f>IF($G43="","",IF($T43="","",MIN(1,IF($G43=0,IF($T43&lt;=0,1,0),IF($F43="↓",IFERROR($G43/$T43,0),IFERROR($T43/$G43,0))))))</f>
        <v/>
      </c>
      <c r="V43" s="59">
        <f>IF($U43="","⏳ بانتظار هدف",IF($U43&gt;=1.0,"✅ محقق",IF($U43&gt;=0.85,"🟡 قريب","🔴 تحت الهدف")))</f>
        <v/>
      </c>
      <c r="W43" s="63">
        <f>IF($G43="","",$G43)</f>
        <v/>
      </c>
      <c r="X43" s="59">
        <f>IF($U43="","—",IF($U43&gt;=0.85,"🟢 على المسار","🟠 متأخّر"))</f>
        <v/>
      </c>
    </row>
    <row r="44" ht="22" customHeight="1">
      <c r="A44" s="59" t="n">
        <v>41</v>
      </c>
      <c r="B44" s="13" t="inlineStr">
        <is>
          <t>التشغيل والمحطات</t>
        </is>
      </c>
      <c r="C44" s="11" t="inlineStr">
        <is>
          <t>نمو مبيعات بنزين 91 مقارنة بالعام السابق</t>
        </is>
      </c>
      <c r="D44" s="15" t="inlineStr">
        <is>
          <t>شهري</t>
        </is>
      </c>
      <c r="E44" s="15" t="inlineStr">
        <is>
          <t>معدل</t>
        </is>
      </c>
      <c r="F44" s="55" t="inlineStr">
        <is>
          <t>↑</t>
        </is>
      </c>
      <c r="G44" s="64" t="n">
        <v>0.1</v>
      </c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5" t="n"/>
      <c r="R44" s="65" t="n"/>
      <c r="S44" s="65" t="n"/>
      <c r="T44" s="56">
        <f>IF(COUNT($H44:$S44)=0,"",SUM($H44:$S44)/COUNT($H44:$S44))</f>
        <v/>
      </c>
      <c r="U44" s="56">
        <f>IF($G44="","",IF($T44="","",MIN(1,IF($G44=0,IF($T44&lt;=0,1,0),IF($F44="↓",IFERROR($G44/$T44,0),IFERROR($T44/$G44,0))))))</f>
        <v/>
      </c>
      <c r="V44" s="59">
        <f>IF($U44="","⏳ بانتظار هدف",IF($U44&gt;=1.0,"✅ محقق",IF($U44&gt;=0.85,"🟡 قريب","🔴 تحت الهدف")))</f>
        <v/>
      </c>
      <c r="W44" s="66">
        <f>IF($G44="","",$G44)</f>
        <v/>
      </c>
      <c r="X44" s="59">
        <f>IF($U44="","—",IF($U44&gt;=0.85,"🟢 على المسار","🟠 متأخّر"))</f>
        <v/>
      </c>
    </row>
    <row r="45" ht="22" customHeight="1">
      <c r="A45" s="59" t="n">
        <v>42</v>
      </c>
      <c r="B45" s="13" t="inlineStr">
        <is>
          <t>التشغيل والمحطات</t>
        </is>
      </c>
      <c r="C45" s="11" t="inlineStr">
        <is>
          <t>نمو مبيعات بنزين 95 مقارنة بالعام السابق</t>
        </is>
      </c>
      <c r="D45" s="15" t="inlineStr">
        <is>
          <t>شهري</t>
        </is>
      </c>
      <c r="E45" s="15" t="inlineStr">
        <is>
          <t>معدل</t>
        </is>
      </c>
      <c r="F45" s="55" t="inlineStr">
        <is>
          <t>↑</t>
        </is>
      </c>
      <c r="G45" s="64" t="n">
        <v>0.1</v>
      </c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56">
        <f>IF(COUNT($H45:$S45)=0,"",SUM($H45:$S45)/COUNT($H45:$S45))</f>
        <v/>
      </c>
      <c r="U45" s="56">
        <f>IF($G45="","",IF($T45="","",MIN(1,IF($G45=0,IF($T45&lt;=0,1,0),IF($F45="↓",IFERROR($G45/$T45,0),IFERROR($T45/$G45,0))))))</f>
        <v/>
      </c>
      <c r="V45" s="59">
        <f>IF($U45="","⏳ بانتظار هدف",IF($U45&gt;=1.0,"✅ محقق",IF($U45&gt;=0.85,"🟡 قريب","🔴 تحت الهدف")))</f>
        <v/>
      </c>
      <c r="W45" s="66">
        <f>IF($G45="","",$G45)</f>
        <v/>
      </c>
      <c r="X45" s="59">
        <f>IF($U45="","—",IF($U45&gt;=0.85,"🟢 على المسار","🟠 متأخّر"))</f>
        <v/>
      </c>
    </row>
    <row r="46" ht="22" customHeight="1">
      <c r="A46" s="59" t="n">
        <v>43</v>
      </c>
      <c r="B46" s="13" t="inlineStr">
        <is>
          <t>التشغيل والمحطات</t>
        </is>
      </c>
      <c r="C46" s="11" t="inlineStr">
        <is>
          <t>نمو مبيعات بنزين 98 مقارنة بالعام السابق</t>
        </is>
      </c>
      <c r="D46" s="15" t="inlineStr">
        <is>
          <t>شهري</t>
        </is>
      </c>
      <c r="E46" s="15" t="inlineStr">
        <is>
          <t>معدل</t>
        </is>
      </c>
      <c r="F46" s="55" t="inlineStr">
        <is>
          <t>↑</t>
        </is>
      </c>
      <c r="G46" s="64" t="n">
        <v>0.1</v>
      </c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56">
        <f>IF(COUNT($H46:$S46)=0,"",SUM($H46:$S46)/COUNT($H46:$S46))</f>
        <v/>
      </c>
      <c r="U46" s="56">
        <f>IF($G46="","",IF($T46="","",MIN(1,IF($G46=0,IF($T46&lt;=0,1,0),IF($F46="↓",IFERROR($G46/$T46,0),IFERROR($T46/$G46,0))))))</f>
        <v/>
      </c>
      <c r="V46" s="59">
        <f>IF($U46="","⏳ بانتظار هدف",IF($U46&gt;=1.0,"✅ محقق",IF($U46&gt;=0.85,"🟡 قريب","🔴 تحت الهدف")))</f>
        <v/>
      </c>
      <c r="W46" s="66">
        <f>IF($G46="","",$G46)</f>
        <v/>
      </c>
      <c r="X46" s="59">
        <f>IF($U46="","—",IF($U46&gt;=0.85,"🟢 على المسار","🟠 متأخّر"))</f>
        <v/>
      </c>
    </row>
    <row r="47" ht="22" customHeight="1">
      <c r="A47" s="59" t="n">
        <v>44</v>
      </c>
      <c r="B47" s="13" t="inlineStr">
        <is>
          <t>التشغيل والمحطات</t>
        </is>
      </c>
      <c r="C47" s="11" t="inlineStr">
        <is>
          <t>نمو مبيعات الديزل مقارنة بالعام السابق</t>
        </is>
      </c>
      <c r="D47" s="15" t="inlineStr">
        <is>
          <t>شهري</t>
        </is>
      </c>
      <c r="E47" s="15" t="inlineStr">
        <is>
          <t>معدل</t>
        </is>
      </c>
      <c r="F47" s="55" t="inlineStr">
        <is>
          <t>↑</t>
        </is>
      </c>
      <c r="G47" s="64" t="n">
        <v>0.1</v>
      </c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56">
        <f>IF(COUNT($H47:$S47)=0,"",SUM($H47:$S47)/COUNT($H47:$S47))</f>
        <v/>
      </c>
      <c r="U47" s="56">
        <f>IF($G47="","",IF($T47="","",MIN(1,IF($G47=0,IF($T47&lt;=0,1,0),IF($F47="↓",IFERROR($G47/$T47,0),IFERROR($T47/$G47,0))))))</f>
        <v/>
      </c>
      <c r="V47" s="59">
        <f>IF($U47="","⏳ بانتظار هدف",IF($U47&gt;=1.0,"✅ محقق",IF($U47&gt;=0.85,"🟡 قريب","🔴 تحت الهدف")))</f>
        <v/>
      </c>
      <c r="W47" s="66">
        <f>IF($G47="","",$G47)</f>
        <v/>
      </c>
      <c r="X47" s="59">
        <f>IF($U47="","—",IF($U47&gt;=0.85,"🟢 على المسار","🟠 متأخّر"))</f>
        <v/>
      </c>
    </row>
    <row r="48" ht="22" customHeight="1">
      <c r="A48" s="59" t="n">
        <v>45</v>
      </c>
      <c r="B48" s="13" t="inlineStr">
        <is>
          <t>التشغيل والمحطات</t>
        </is>
      </c>
      <c r="C48" s="11" t="inlineStr">
        <is>
          <t>نسبة جاهزية المحطة الشاملة (Uptime)</t>
        </is>
      </c>
      <c r="D48" s="15" t="inlineStr">
        <is>
          <t>شهري</t>
        </is>
      </c>
      <c r="E48" s="15" t="inlineStr">
        <is>
          <t>معدل</t>
        </is>
      </c>
      <c r="F48" s="55" t="inlineStr">
        <is>
          <t>↑</t>
        </is>
      </c>
      <c r="G48" s="64" t="n">
        <v>0.99</v>
      </c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56">
        <f>IF(COUNT($H48:$S48)=0,"",SUM($H48:$S48)/COUNT($H48:$S48))</f>
        <v/>
      </c>
      <c r="U48" s="56">
        <f>IF($G48="","",IF($T48="","",MIN(1,IF($G48=0,IF($T48&lt;=0,1,0),IF($F48="↓",IFERROR($G48/$T48,0),IFERROR($T48/$G48,0))))))</f>
        <v/>
      </c>
      <c r="V48" s="59">
        <f>IF($U48="","⏳ بانتظار هدف",IF($U48&gt;=1.0,"✅ محقق",IF($U48&gt;=0.97,"🟡 قريب","🔴 تحت الهدف")))</f>
        <v/>
      </c>
      <c r="W48" s="66">
        <f>IF($G48="","",$G48)</f>
        <v/>
      </c>
      <c r="X48" s="59">
        <f>IF($U48="","—",IF($U48&gt;=0.97,"🟢 على المسار","🟠 متأخّر"))</f>
        <v/>
      </c>
    </row>
    <row r="49" ht="22" customHeight="1">
      <c r="A49" s="59" t="n">
        <v>46</v>
      </c>
      <c r="B49" s="13" t="inlineStr">
        <is>
          <t>التشغيل والمحطات</t>
        </is>
      </c>
      <c r="C49" s="11" t="inlineStr">
        <is>
          <t>نسبة المضخات العاملة</t>
        </is>
      </c>
      <c r="D49" s="15" t="inlineStr">
        <is>
          <t>شهري</t>
        </is>
      </c>
      <c r="E49" s="15" t="inlineStr">
        <is>
          <t>معدل</t>
        </is>
      </c>
      <c r="F49" s="55" t="inlineStr">
        <is>
          <t>↑</t>
        </is>
      </c>
      <c r="G49" s="64" t="n">
        <v>0.97</v>
      </c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56">
        <f>IF(COUNT($H49:$S49)=0,"",SUM($H49:$S49)/COUNT($H49:$S49))</f>
        <v/>
      </c>
      <c r="U49" s="56">
        <f>IF($G49="","",IF($T49="","",MIN(1,IF($G49=0,IF($T49&lt;=0,1,0),IF($F49="↓",IFERROR($G49/$T49,0),IFERROR($T49/$G49,0))))))</f>
        <v/>
      </c>
      <c r="V49" s="59">
        <f>IF($U49="","⏳ بانتظار هدف",IF($U49&gt;=1.0,"✅ محقق",IF($U49&gt;=0.85,"🟡 قريب","🔴 تحت الهدف")))</f>
        <v/>
      </c>
      <c r="W49" s="66">
        <f>IF($G49="","",$G49)</f>
        <v/>
      </c>
      <c r="X49" s="59">
        <f>IF($U49="","—",IF($U49&gt;=0.85,"🟢 على المسار","🟠 متأخّر"))</f>
        <v/>
      </c>
    </row>
    <row r="50" ht="22" customHeight="1">
      <c r="A50" s="59" t="n">
        <v>47</v>
      </c>
      <c r="B50" s="13" t="inlineStr">
        <is>
          <t>التشغيل والمحطات</t>
        </is>
      </c>
      <c r="C50" s="11" t="inlineStr">
        <is>
          <t>تكلفة التشغيل لكل لتر مباع</t>
        </is>
      </c>
      <c r="D50" s="15" t="inlineStr">
        <is>
          <t>ربعي</t>
        </is>
      </c>
      <c r="E50" s="15" t="inlineStr">
        <is>
          <t>معدل</t>
        </is>
      </c>
      <c r="F50" s="55" t="inlineStr">
        <is>
          <t>↓</t>
        </is>
      </c>
      <c r="G50" s="55" t="n"/>
      <c r="H50" s="68" t="n"/>
      <c r="I50" s="68" t="n"/>
      <c r="J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9">
        <f>IF(COUNT($H50:$S50)=0,"",SUM($H50:$S50)/COUNT($H50:$S50))</f>
        <v/>
      </c>
      <c r="U50" s="56">
        <f>IF($G50="","",IF($T50="","",MIN(1,IF($G50=0,IF($T50&lt;=0,1,0),IF($F50="↓",IFERROR($G50/$T50,0),IFERROR($T50/$G50,0))))))</f>
        <v/>
      </c>
      <c r="V50" s="59">
        <f>IF($U50="","⏳ بانتظار هدف",IF($U50&gt;=1.0,"✅ محقق",IF($U50&gt;=0.85,"🟡 قريب","🔴 تحت الهدف")))</f>
        <v/>
      </c>
      <c r="W50" s="70">
        <f>IF($G50="","",$G50)</f>
        <v/>
      </c>
      <c r="X50" s="59">
        <f>IF($U50="","—",IF($U50&gt;=0.85,"🟢 على المسار","🟠 متأخّر"))</f>
        <v/>
      </c>
    </row>
    <row r="51" ht="22" customHeight="1">
      <c r="A51" s="59" t="n">
        <v>48</v>
      </c>
      <c r="B51" s="13" t="inlineStr">
        <is>
          <t>التشغيل والمحطات</t>
        </is>
      </c>
      <c r="C51" s="11" t="inlineStr">
        <is>
          <t>نسبة الصيانة الوقائية المنفذة في موعدها</t>
        </is>
      </c>
      <c r="D51" s="15" t="inlineStr">
        <is>
          <t>شهري</t>
        </is>
      </c>
      <c r="E51" s="15" t="inlineStr">
        <is>
          <t>معدل</t>
        </is>
      </c>
      <c r="F51" s="55" t="inlineStr">
        <is>
          <t>↑</t>
        </is>
      </c>
      <c r="G51" s="64" t="n">
        <v>0.95</v>
      </c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56">
        <f>IF(COUNT($H51:$S51)=0,"",SUM($H51:$S51)/COUNT($H51:$S51))</f>
        <v/>
      </c>
      <c r="U51" s="56">
        <f>IF($G51="","",IF($T51="","",MIN(1,IF($G51=0,IF($T51&lt;=0,1,0),IF($F51="↓",IFERROR($G51/$T51,0),IFERROR($T51/$G51,0))))))</f>
        <v/>
      </c>
      <c r="V51" s="59">
        <f>IF($U51="","⏳ بانتظار هدف",IF($U51&gt;=1.0,"✅ محقق",IF($U51&gt;=0.85,"🟡 قريب","🔴 تحت الهدف")))</f>
        <v/>
      </c>
      <c r="W51" s="66">
        <f>IF($G51="","",$G51)</f>
        <v/>
      </c>
      <c r="X51" s="59">
        <f>IF($U51="","—",IF($U51&gt;=0.85,"🟢 على المسار","🟠 متأخّر"))</f>
        <v/>
      </c>
    </row>
    <row r="52" ht="22" customHeight="1">
      <c r="A52" s="59" t="n">
        <v>49</v>
      </c>
      <c r="B52" s="13" t="inlineStr">
        <is>
          <t>التشغيل والمحطات</t>
        </is>
      </c>
      <c r="C52" s="11" t="inlineStr">
        <is>
          <t>نسبة انخفاض الشكاوى مقارنة بالشهر السابق</t>
        </is>
      </c>
      <c r="D52" s="15" t="inlineStr">
        <is>
          <t>شهري</t>
        </is>
      </c>
      <c r="E52" s="15" t="inlineStr">
        <is>
          <t>معدل</t>
        </is>
      </c>
      <c r="F52" s="55" t="inlineStr">
        <is>
          <t>↑</t>
        </is>
      </c>
      <c r="G52" s="64" t="n">
        <v>0.2</v>
      </c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56">
        <f>IF(COUNT($H52:$S52)=0,"",SUM($H52:$S52)/COUNT($H52:$S52))</f>
        <v/>
      </c>
      <c r="U52" s="56">
        <f>IF($G52="","",IF($T52="","",MIN(1,IF($G52=0,IF($T52&lt;=0,1,0),IF($F52="↓",IFERROR($G52/$T52,0),IFERROR($T52/$G52,0))))))</f>
        <v/>
      </c>
      <c r="V52" s="59">
        <f>IF($U52="","⏳ بانتظار هدف",IF($U52&gt;=1.0,"✅ محقق",IF($U52&gt;=0.85,"🟡 قريب","🔴 تحت الهدف")))</f>
        <v/>
      </c>
      <c r="W52" s="66">
        <f>IF($G52="","",$G52)</f>
        <v/>
      </c>
      <c r="X52" s="59">
        <f>IF($U52="","—",IF($U52&gt;=0.85,"🟢 على المسار","🟠 متأخّر"))</f>
        <v/>
      </c>
    </row>
    <row r="53" ht="22" customHeight="1">
      <c r="A53" s="59" t="n">
        <v>50</v>
      </c>
      <c r="B53" s="13" t="inlineStr">
        <is>
          <t>التشغيل والمحطات</t>
        </is>
      </c>
      <c r="C53" s="11" t="inlineStr">
        <is>
          <t>تقييم Google Maps للمحطات</t>
        </is>
      </c>
      <c r="D53" s="15" t="inlineStr">
        <is>
          <t>شهري</t>
        </is>
      </c>
      <c r="E53" s="15" t="inlineStr">
        <is>
          <t>معدل</t>
        </is>
      </c>
      <c r="F53" s="55" t="inlineStr">
        <is>
          <t>↑</t>
        </is>
      </c>
      <c r="G53" s="67" t="n">
        <v>4.5</v>
      </c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9">
        <f>IF(COUNT($H53:$S53)=0,"",SUM($H53:$S53)/COUNT($H53:$S53))</f>
        <v/>
      </c>
      <c r="U53" s="56">
        <f>IF($G53="","",IF($T53="","",MIN(1,IF($G53=0,IF($T53&lt;=0,1,0),IF($F53="↓",IFERROR($G53/$T53,0),IFERROR($T53/$G53,0))))))</f>
        <v/>
      </c>
      <c r="V53" s="59">
        <f>IF($U53="","⏳ بانتظار هدف",IF($U53&gt;=1.0,"✅ محقق",IF($U53&gt;=0.85,"🟡 قريب","🔴 تحت الهدف")))</f>
        <v/>
      </c>
      <c r="W53" s="70">
        <f>IF($G53="","",$G53)</f>
        <v/>
      </c>
      <c r="X53" s="59">
        <f>IF($U53="","—",IF($U53&gt;=0.85,"🟢 على المسار","🟠 متأخّر"))</f>
        <v/>
      </c>
    </row>
    <row r="54" ht="22" customHeight="1">
      <c r="A54" s="59" t="n">
        <v>51</v>
      </c>
      <c r="B54" s="13" t="inlineStr">
        <is>
          <t>التشغيل والمحطات</t>
        </is>
      </c>
      <c r="C54" s="11" t="inlineStr">
        <is>
          <t>سرعة تعبئة الوقود</t>
        </is>
      </c>
      <c r="D54" s="15" t="inlineStr">
        <is>
          <t>شهري</t>
        </is>
      </c>
      <c r="E54" s="15" t="inlineStr">
        <is>
          <t>معدل</t>
        </is>
      </c>
      <c r="F54" s="55" t="inlineStr">
        <is>
          <t>↓</t>
        </is>
      </c>
      <c r="G54" s="67" t="n">
        <v>3</v>
      </c>
      <c r="H54" s="68" t="n"/>
      <c r="I54" s="68" t="n"/>
      <c r="J54" s="68" t="n"/>
      <c r="K54" s="68" t="n"/>
      <c r="L54" s="68" t="n"/>
      <c r="M54" s="68" t="n"/>
      <c r="N54" s="68" t="n"/>
      <c r="O54" s="68" t="n"/>
      <c r="P54" s="68" t="n"/>
      <c r="Q54" s="68" t="n"/>
      <c r="R54" s="68" t="n"/>
      <c r="S54" s="68" t="n"/>
      <c r="T54" s="69">
        <f>IF(COUNT($H54:$S54)=0,"",SUM($H54:$S54)/COUNT($H54:$S54))</f>
        <v/>
      </c>
      <c r="U54" s="56">
        <f>IF($G54="","",IF($T54="","",MIN(1,IF($G54=0,IF($T54&lt;=0,1,0),IF($F54="↓",IFERROR($G54/$T54,0),IFERROR($T54/$G54,0))))))</f>
        <v/>
      </c>
      <c r="V54" s="59">
        <f>IF($U54="","⏳ بانتظار هدف",IF($U54&gt;=1.0,"✅ محقق",IF($U54&gt;=0.85,"🟡 قريب","🔴 تحت الهدف")))</f>
        <v/>
      </c>
      <c r="W54" s="70">
        <f>IF($G54="","",$G54)</f>
        <v/>
      </c>
      <c r="X54" s="59">
        <f>IF($U54="","—",IF($U54&gt;=0.85,"🟢 على المسار","🟠 متأخّر"))</f>
        <v/>
      </c>
    </row>
    <row r="55" ht="22" customHeight="1">
      <c r="A55" s="59" t="n">
        <v>52</v>
      </c>
      <c r="B55" s="13" t="inlineStr">
        <is>
          <t>التشغيل والمحطات</t>
        </is>
      </c>
      <c r="C55" s="11" t="inlineStr">
        <is>
          <t>دقة التعبئة بدون أخطاء</t>
        </is>
      </c>
      <c r="D55" s="15" t="inlineStr">
        <is>
          <t>شهري</t>
        </is>
      </c>
      <c r="E55" s="15" t="inlineStr">
        <is>
          <t>معدل</t>
        </is>
      </c>
      <c r="F55" s="55" t="inlineStr">
        <is>
          <t>↑</t>
        </is>
      </c>
      <c r="G55" s="64" t="n">
        <v>0.99</v>
      </c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56">
        <f>IF(COUNT($H55:$S55)=0,"",SUM($H55:$S55)/COUNT($H55:$S55))</f>
        <v/>
      </c>
      <c r="U55" s="56">
        <f>IF($G55="","",IF($T55="","",MIN(1,IF($G55=0,IF($T55&lt;=0,1,0),IF($F55="↓",IFERROR($G55/$T55,0),IFERROR($T55/$G55,0))))))</f>
        <v/>
      </c>
      <c r="V55" s="59">
        <f>IF($U55="","⏳ بانتظار هدف",IF($U55&gt;=1.0,"✅ محقق",IF($U55&gt;=0.97,"🟡 قريب","🔴 تحت الهدف")))</f>
        <v/>
      </c>
      <c r="W55" s="66">
        <f>IF($G55="","",$G55)</f>
        <v/>
      </c>
      <c r="X55" s="59">
        <f>IF($U55="","—",IF($U55&gt;=0.97,"🟢 على المسار","🟠 متأخّر"))</f>
        <v/>
      </c>
    </row>
    <row r="56" ht="22" customHeight="1">
      <c r="A56" s="59" t="n">
        <v>53</v>
      </c>
      <c r="B56" s="13" t="inlineStr">
        <is>
          <t>التشغيل والمحطات</t>
        </is>
      </c>
      <c r="C56" s="11" t="inlineStr">
        <is>
          <t>تطبيق المعيار الشامل في المحطات</t>
        </is>
      </c>
      <c r="D56" s="15" t="inlineStr">
        <is>
          <t>شهري</t>
        </is>
      </c>
      <c r="E56" s="15" t="inlineStr">
        <is>
          <t>لقطة</t>
        </is>
      </c>
      <c r="F56" s="55" t="inlineStr">
        <is>
          <t>↑</t>
        </is>
      </c>
      <c r="G56" s="64" t="n">
        <v>0.8</v>
      </c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56">
        <f>IFERROR(LOOKUP(2,1/($H56:$S56&lt;&gt;""),$H56:$S56),"")</f>
        <v/>
      </c>
      <c r="U56" s="56">
        <f>IF($G56="","",IF($T56="","",MIN(1,IF($G56=0,IF($T56&lt;=0,1,0),IF($F56="↓",IFERROR($G56/$T56,0),IFERROR($T56/$G56,0))))))</f>
        <v/>
      </c>
      <c r="V56" s="59">
        <f>IF($U56="","⏳ بانتظار هدف",IF($U56&gt;=1.0,"✅ محقق",IF($U56&gt;=0.85,"🟡 قريب","🔴 تحت الهدف")))</f>
        <v/>
      </c>
      <c r="W56" s="66">
        <f>IF($G56="","",$G56)</f>
        <v/>
      </c>
      <c r="X56" s="59">
        <f>IF($U56="","—",IF($U56&gt;=0.85,"🟢 على المسار","🟠 متأخّر"))</f>
        <v/>
      </c>
    </row>
    <row r="57" ht="22" customHeight="1">
      <c r="A57" s="59" t="n">
        <v>54</v>
      </c>
      <c r="B57" s="13" t="inlineStr">
        <is>
          <t>التشغيل والمحطات</t>
        </is>
      </c>
      <c r="C57" s="11" t="inlineStr">
        <is>
          <t>الالتزام بمعايير السلامة داخل المحطة</t>
        </is>
      </c>
      <c r="D57" s="15" t="inlineStr">
        <is>
          <t>شهري</t>
        </is>
      </c>
      <c r="E57" s="15" t="inlineStr">
        <is>
          <t>معدل</t>
        </is>
      </c>
      <c r="F57" s="55" t="inlineStr">
        <is>
          <t>↑</t>
        </is>
      </c>
      <c r="G57" s="64" t="n">
        <v>1</v>
      </c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56">
        <f>IF(COUNT($H57:$S57)=0,"",SUM($H57:$S57)/COUNT($H57:$S57))</f>
        <v/>
      </c>
      <c r="U57" s="56">
        <f>IF($G57="","",IF($T57="","",MIN(1,IF($G57=0,IF($T57&lt;=0,1,0),IF($F57="↓",IFERROR($G57/$T57,0),IFERROR($T57/$G57,0))))))</f>
        <v/>
      </c>
      <c r="V57" s="59">
        <f>IF($U57="","⏳ بانتظار هدف",IF($U57&gt;=1.0,"✅ محقق",IF($U57&gt;=0.97,"🟡 قريب","🔴 تحت الهدف")))</f>
        <v/>
      </c>
      <c r="W57" s="66">
        <f>IF($G57="","",$G57)</f>
        <v/>
      </c>
      <c r="X57" s="59">
        <f>IF($U57="","—",IF($U57&gt;=0.97,"🟢 على المسار","🟠 متأخّر"))</f>
        <v/>
      </c>
    </row>
    <row r="58" ht="22" customHeight="1">
      <c r="A58" s="59" t="n">
        <v>55</v>
      </c>
      <c r="B58" s="13" t="inlineStr">
        <is>
          <t>التشغيل والمحطات</t>
        </is>
      </c>
      <c r="C58" s="11" t="inlineStr">
        <is>
          <t>التشجير داخل المحطة (معيار الوزارة)</t>
        </is>
      </c>
      <c r="D58" s="15" t="inlineStr">
        <is>
          <t>شهري</t>
        </is>
      </c>
      <c r="E58" s="15" t="inlineStr">
        <is>
          <t>لقطة</t>
        </is>
      </c>
      <c r="F58" s="55" t="inlineStr">
        <is>
          <t>↑</t>
        </is>
      </c>
      <c r="G58" s="64" t="n">
        <v>1</v>
      </c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56">
        <f>IFERROR(LOOKUP(2,1/($H58:$S58&lt;&gt;""),$H58:$S58),"")</f>
        <v/>
      </c>
      <c r="U58" s="56">
        <f>IF($G58="","",IF($T58="","",MIN(1,IF($G58=0,IF($T58&lt;=0,1,0),IF($F58="↓",IFERROR($G58/$T58,0),IFERROR($T58/$G58,0))))))</f>
        <v/>
      </c>
      <c r="V58" s="59">
        <f>IF($U58="","⏳ بانتظار هدف",IF($U58&gt;=1.0,"✅ محقق",IF($U58&gt;=0.85,"🟡 قريب","🔴 تحت الهدف")))</f>
        <v/>
      </c>
      <c r="W58" s="66">
        <f>IF($G58="","",$G58)</f>
        <v/>
      </c>
      <c r="X58" s="59">
        <f>IF($U58="","—",IF($U58&gt;=0.85,"🟢 على المسار","🟠 متأخّر"))</f>
        <v/>
      </c>
    </row>
    <row r="59" ht="22" customHeight="1">
      <c r="A59" s="59" t="n">
        <v>56</v>
      </c>
      <c r="B59" s="13" t="inlineStr">
        <is>
          <t>الاستثمار</t>
        </is>
      </c>
      <c r="C59" s="11" t="inlineStr">
        <is>
          <t>إجمالي عقود الاستثمار الجديدة (جميع النماذج)</t>
        </is>
      </c>
      <c r="D59" s="15" t="inlineStr">
        <is>
          <t>شهري</t>
        </is>
      </c>
      <c r="E59" s="15" t="inlineStr">
        <is>
          <t>تراكمي</t>
        </is>
      </c>
      <c r="F59" s="55" t="inlineStr">
        <is>
          <t>↑</t>
        </is>
      </c>
      <c r="G59" s="60" t="n">
        <v>190</v>
      </c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2">
        <f>IF(COUNT($H59:$S59)=0,"",SUM($H59:$S59))</f>
        <v/>
      </c>
      <c r="U59" s="56">
        <f>IF($G59="","",IF($T59="","",MIN(1,IF($G59=0,IF($T59&lt;=0,1,0),IF($F59="↓",IFERROR($G59/$T59,0),IFERROR($T59/$G59,0))))))</f>
        <v/>
      </c>
      <c r="V59" s="59">
        <f>IF($U59="","⏳ بانتظار هدف",IF($U59&gt;=1.0,"✅ محقق",IF($U59&gt;=0.85,"🟡 قريب","🔴 تحت الهدف")))</f>
        <v/>
      </c>
      <c r="W59" s="63">
        <f>IF($G59="","",$G59*COUNT($H59:$S59)/12)</f>
        <v/>
      </c>
      <c r="X59" s="59">
        <f>IF($U59="","—",IF($U59&gt;=COUNT($H59:$S59)/12,"🟢 على المسار","🟠 متأخّر"))</f>
        <v/>
      </c>
    </row>
    <row r="60" ht="22" customHeight="1">
      <c r="A60" s="59" t="n">
        <v>57</v>
      </c>
      <c r="B60" s="13" t="inlineStr">
        <is>
          <t>الاستثمار</t>
        </is>
      </c>
      <c r="C60" s="11" t="inlineStr">
        <is>
          <t>عقود الاستثمار العادي الجديدة</t>
        </is>
      </c>
      <c r="D60" s="15" t="inlineStr">
        <is>
          <t>شهري</t>
        </is>
      </c>
      <c r="E60" s="15" t="inlineStr">
        <is>
          <t>تراكمي</t>
        </is>
      </c>
      <c r="F60" s="55" t="inlineStr">
        <is>
          <t>↑</t>
        </is>
      </c>
      <c r="G60" s="60" t="n">
        <v>90</v>
      </c>
      <c r="H60" s="61" t="n"/>
      <c r="I60" s="61" t="n"/>
      <c r="J60" s="61" t="n"/>
      <c r="K60" s="61" t="n"/>
      <c r="L60" s="61" t="n"/>
      <c r="M60" s="61" t="n"/>
      <c r="N60" s="61" t="n"/>
      <c r="O60" s="61" t="n"/>
      <c r="P60" s="61" t="n"/>
      <c r="Q60" s="61" t="n"/>
      <c r="R60" s="61" t="n"/>
      <c r="S60" s="61" t="n"/>
      <c r="T60" s="62">
        <f>IF(COUNT($H60:$S60)=0,"",SUM($H60:$S60))</f>
        <v/>
      </c>
      <c r="U60" s="56">
        <f>IF($G60="","",IF($T60="","",MIN(1,IF($G60=0,IF($T60&lt;=0,1,0),IF($F60="↓",IFERROR($G60/$T60,0),IFERROR($T60/$G60,0))))))</f>
        <v/>
      </c>
      <c r="V60" s="59">
        <f>IF($U60="","⏳ بانتظار هدف",IF($U60&gt;=1.0,"✅ محقق",IF($U60&gt;=0.85,"🟡 قريب","🔴 تحت الهدف")))</f>
        <v/>
      </c>
      <c r="W60" s="63">
        <f>IF($G60="","",$G60*COUNT($H60:$S60)/12)</f>
        <v/>
      </c>
      <c r="X60" s="59">
        <f>IF($U60="","—",IF($U60&gt;=COUNT($H60:$S60)/12,"🟢 على المسار","🟠 متأخّر"))</f>
        <v/>
      </c>
    </row>
    <row r="61" ht="22" customHeight="1">
      <c r="A61" s="59" t="n">
        <v>58</v>
      </c>
      <c r="B61" s="13" t="inlineStr">
        <is>
          <t>الاستثمار</t>
        </is>
      </c>
      <c r="C61" s="11" t="inlineStr">
        <is>
          <t>عقود الاستحواذ الجديدة</t>
        </is>
      </c>
      <c r="D61" s="15" t="inlineStr">
        <is>
          <t>شهري</t>
        </is>
      </c>
      <c r="E61" s="15" t="inlineStr">
        <is>
          <t>تراكمي</t>
        </is>
      </c>
      <c r="F61" s="55" t="inlineStr">
        <is>
          <t>↑</t>
        </is>
      </c>
      <c r="G61" s="60" t="n">
        <v>100</v>
      </c>
      <c r="H61" s="61" t="n"/>
      <c r="I61" s="61" t="n"/>
      <c r="J61" s="61" t="n"/>
      <c r="K61" s="61" t="n"/>
      <c r="L61" s="61" t="n"/>
      <c r="M61" s="61" t="n"/>
      <c r="N61" s="61" t="n"/>
      <c r="O61" s="61" t="n"/>
      <c r="P61" s="61" t="n"/>
      <c r="Q61" s="61" t="n"/>
      <c r="R61" s="61" t="n"/>
      <c r="S61" s="61" t="n"/>
      <c r="T61" s="62">
        <f>IF(COUNT($H61:$S61)=0,"",SUM($H61:$S61))</f>
        <v/>
      </c>
      <c r="U61" s="56">
        <f>IF($G61="","",IF($T61="","",MIN(1,IF($G61=0,IF($T61&lt;=0,1,0),IF($F61="↓",IFERROR($G61/$T61,0),IFERROR($T61/$G61,0))))))</f>
        <v/>
      </c>
      <c r="V61" s="59">
        <f>IF($U61="","⏳ بانتظار هدف",IF($U61&gt;=1.0,"✅ محقق",IF($U61&gt;=0.85,"🟡 قريب","🔴 تحت الهدف")))</f>
        <v/>
      </c>
      <c r="W61" s="63">
        <f>IF($G61="","",$G61*COUNT($H61:$S61)/12)</f>
        <v/>
      </c>
      <c r="X61" s="59">
        <f>IF($U61="","—",IF($U61&gt;=COUNT($H61:$S61)/12,"🟢 على المسار","🟠 متأخّر"))</f>
        <v/>
      </c>
    </row>
    <row r="62" ht="22" customHeight="1">
      <c r="A62" s="59" t="n">
        <v>59</v>
      </c>
      <c r="B62" s="13" t="inlineStr">
        <is>
          <t>الاستثمار</t>
        </is>
      </c>
      <c r="C62" s="11" t="inlineStr">
        <is>
          <t>المحطات المستحوَذ عليها المشغّلة (تراكمي)</t>
        </is>
      </c>
      <c r="D62" s="15" t="inlineStr">
        <is>
          <t>شهري</t>
        </is>
      </c>
      <c r="E62" s="15" t="inlineStr">
        <is>
          <t>لقطة</t>
        </is>
      </c>
      <c r="F62" s="55" t="inlineStr">
        <is>
          <t>↑</t>
        </is>
      </c>
      <c r="G62" s="60" t="n">
        <v>120</v>
      </c>
      <c r="H62" s="61" t="n"/>
      <c r="I62" s="61" t="n"/>
      <c r="J62" s="61" t="n"/>
      <c r="K62" s="61" t="n"/>
      <c r="L62" s="61" t="n"/>
      <c r="M62" s="61" t="n"/>
      <c r="N62" s="61" t="n"/>
      <c r="O62" s="61" t="n"/>
      <c r="P62" s="61" t="n"/>
      <c r="Q62" s="61" t="n"/>
      <c r="R62" s="61" t="n"/>
      <c r="S62" s="61" t="n"/>
      <c r="T62" s="62">
        <f>IFERROR(LOOKUP(2,1/($H62:$S62&lt;&gt;""),$H62:$S62),"")</f>
        <v/>
      </c>
      <c r="U62" s="56">
        <f>IF($G62="","",IF($T62="","",MIN(1,IF($G62=0,IF($T62&lt;=0,1,0),IF($F62="↓",IFERROR($G62/$T62,0),IFERROR($T62/$G62,0))))))</f>
        <v/>
      </c>
      <c r="V62" s="59">
        <f>IF($U62="","⏳ بانتظار هدف",IF($U62&gt;=1.0,"✅ محقق",IF($U62&gt;=0.85,"🟡 قريب","🔴 تحت الهدف")))</f>
        <v/>
      </c>
      <c r="W62" s="63">
        <f>IF($G62="","",$G62)</f>
        <v/>
      </c>
      <c r="X62" s="59">
        <f>IF($U62="","—",IF($U62&gt;=0.85,"🟢 على المسار","🟠 متأخّر"))</f>
        <v/>
      </c>
    </row>
    <row r="63" ht="22" customHeight="1">
      <c r="A63" s="59" t="n">
        <v>60</v>
      </c>
      <c r="B63" s="13" t="inlineStr">
        <is>
          <t>الاستثمار</t>
        </is>
      </c>
      <c r="C63" s="11" t="inlineStr">
        <is>
          <t>عقود تأجير الأرض الجديدة</t>
        </is>
      </c>
      <c r="D63" s="15" t="inlineStr">
        <is>
          <t>شهري</t>
        </is>
      </c>
      <c r="E63" s="15" t="inlineStr">
        <is>
          <t>تراكمي</t>
        </is>
      </c>
      <c r="F63" s="55" t="inlineStr">
        <is>
          <t>↑</t>
        </is>
      </c>
      <c r="G63" s="60" t="n">
        <v>11</v>
      </c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1" t="n"/>
      <c r="S63" s="61" t="n"/>
      <c r="T63" s="62">
        <f>IF(COUNT($H63:$S63)=0,"",SUM($H63:$S63))</f>
        <v/>
      </c>
      <c r="U63" s="56">
        <f>IF($G63="","",IF($T63="","",MIN(1,IF($G63=0,IF($T63&lt;=0,1,0),IF($F63="↓",IFERROR($G63/$T63,0),IFERROR($T63/$G63,0))))))</f>
        <v/>
      </c>
      <c r="V63" s="59">
        <f>IF($U63="","⏳ بانتظار هدف",IF($U63&gt;=1.0,"✅ محقق",IF($U63&gt;=0.85,"🟡 قريب","🔴 تحت الهدف")))</f>
        <v/>
      </c>
      <c r="W63" s="63">
        <f>IF($G63="","",$G63*COUNT($H63:$S63)/12)</f>
        <v/>
      </c>
      <c r="X63" s="59">
        <f>IF($U63="","—",IF($U63&gt;=COUNT($H63:$S63)/12,"🟢 على المسار","🟠 متأخّر"))</f>
        <v/>
      </c>
    </row>
    <row r="64" ht="22" customHeight="1">
      <c r="A64" s="59" t="n">
        <v>61</v>
      </c>
      <c r="B64" s="13" t="inlineStr">
        <is>
          <t>الاستثمار</t>
        </is>
      </c>
      <c r="C64" s="11" t="inlineStr">
        <is>
          <t>عقود إيجار المحطة الجديدة</t>
        </is>
      </c>
      <c r="D64" s="15" t="inlineStr">
        <is>
          <t>شهري</t>
        </is>
      </c>
      <c r="E64" s="15" t="inlineStr">
        <is>
          <t>تراكمي</t>
        </is>
      </c>
      <c r="F64" s="55" t="inlineStr">
        <is>
          <t>↑</t>
        </is>
      </c>
      <c r="G64" s="60" t="n">
        <v>12</v>
      </c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1" t="n"/>
      <c r="S64" s="61" t="n"/>
      <c r="T64" s="62">
        <f>IF(COUNT($H64:$S64)=0,"",SUM($H64:$S64))</f>
        <v/>
      </c>
      <c r="U64" s="56">
        <f>IF($G64="","",IF($T64="","",MIN(1,IF($G64=0,IF($T64&lt;=0,1,0),IF($F64="↓",IFERROR($G64/$T64,0),IFERROR($T64/$G64,0))))))</f>
        <v/>
      </c>
      <c r="V64" s="59">
        <f>IF($U64="","⏳ بانتظار هدف",IF($U64&gt;=1.0,"✅ محقق",IF($U64&gt;=0.85,"🟡 قريب","🔴 تحت الهدف")))</f>
        <v/>
      </c>
      <c r="W64" s="63">
        <f>IF($G64="","",$G64*COUNT($H64:$S64)/12)</f>
        <v/>
      </c>
      <c r="X64" s="59">
        <f>IF($U64="","—",IF($U64&gt;=COUNT($H64:$S64)/12,"🟢 على المسار","🟠 متأخّر"))</f>
        <v/>
      </c>
    </row>
    <row r="65" ht="22" customHeight="1">
      <c r="A65" s="59" t="n">
        <v>62</v>
      </c>
      <c r="B65" s="13" t="inlineStr">
        <is>
          <t>الاستثمار</t>
        </is>
      </c>
      <c r="C65" s="11" t="inlineStr">
        <is>
          <t>عقود تشغيل المحطة الجديدة</t>
        </is>
      </c>
      <c r="D65" s="15" t="inlineStr">
        <is>
          <t>شهري</t>
        </is>
      </c>
      <c r="E65" s="15" t="inlineStr">
        <is>
          <t>تراكمي</t>
        </is>
      </c>
      <c r="F65" s="55" t="inlineStr">
        <is>
          <t>↑</t>
        </is>
      </c>
      <c r="G65" s="60" t="n">
        <v>68</v>
      </c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1" t="n"/>
      <c r="S65" s="61" t="n"/>
      <c r="T65" s="62">
        <f>IF(COUNT($H65:$S65)=0,"",SUM($H65:$S65))</f>
        <v/>
      </c>
      <c r="U65" s="56">
        <f>IF($G65="","",IF($T65="","",MIN(1,IF($G65=0,IF($T65&lt;=0,1,0),IF($F65="↓",IFERROR($G65/$T65,0),IFERROR($T65/$G65,0))))))</f>
        <v/>
      </c>
      <c r="V65" s="59">
        <f>IF($U65="","⏳ بانتظار هدف",IF($U65&gt;=1.0,"✅ محقق",IF($U65&gt;=0.85,"🟡 قريب","🔴 تحت الهدف")))</f>
        <v/>
      </c>
      <c r="W65" s="63">
        <f>IF($G65="","",$G65*COUNT($H65:$S65)/12)</f>
        <v/>
      </c>
      <c r="X65" s="59">
        <f>IF($U65="","—",IF($U65&gt;=COUNT($H65:$S65)/12,"🟢 على المسار","🟠 متأخّر"))</f>
        <v/>
      </c>
    </row>
    <row r="66" ht="22" customHeight="1">
      <c r="A66" s="59" t="n">
        <v>63</v>
      </c>
      <c r="B66" s="13" t="inlineStr">
        <is>
          <t>الاستثمار</t>
        </is>
      </c>
      <c r="C66" s="11" t="inlineStr">
        <is>
          <t>نسبة المواقع المعتمدة ذات العائد المجدي</t>
        </is>
      </c>
      <c r="D66" s="15" t="inlineStr">
        <is>
          <t>شهري</t>
        </is>
      </c>
      <c r="E66" s="15" t="inlineStr">
        <is>
          <t>معدل</t>
        </is>
      </c>
      <c r="F66" s="55" t="inlineStr">
        <is>
          <t>↑</t>
        </is>
      </c>
      <c r="G66" s="64" t="n">
        <v>0.8</v>
      </c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65" t="n"/>
      <c r="R66" s="65" t="n"/>
      <c r="S66" s="65" t="n"/>
      <c r="T66" s="56">
        <f>IF(COUNT($H66:$S66)=0,"",SUM($H66:$S66)/COUNT($H66:$S66))</f>
        <v/>
      </c>
      <c r="U66" s="56">
        <f>IF($G66="","",IF($T66="","",MIN(1,IF($G66=0,IF($T66&lt;=0,1,0),IF($F66="↓",IFERROR($G66/$T66,0),IFERROR($T66/$G66,0))))))</f>
        <v/>
      </c>
      <c r="V66" s="59">
        <f>IF($U66="","⏳ بانتظار هدف",IF($U66&gt;=1.0,"✅ محقق",IF($U66&gt;=0.85,"🟡 قريب","🔴 تحت الهدف")))</f>
        <v/>
      </c>
      <c r="W66" s="66">
        <f>IF($G66="","",$G66)</f>
        <v/>
      </c>
      <c r="X66" s="59">
        <f>IF($U66="","—",IF($U66&gt;=0.85,"🟢 على المسار","🟠 متأخّر"))</f>
        <v/>
      </c>
    </row>
    <row r="67" ht="22" customHeight="1">
      <c r="A67" s="59" t="n">
        <v>64</v>
      </c>
      <c r="B67" s="13" t="inlineStr">
        <is>
          <t>الاستثمار</t>
        </is>
      </c>
      <c r="C67" s="11" t="inlineStr">
        <is>
          <t>متوسط فترة استرداد رأس المال</t>
        </is>
      </c>
      <c r="D67" s="15" t="inlineStr">
        <is>
          <t>شهري</t>
        </is>
      </c>
      <c r="E67" s="15" t="inlineStr">
        <is>
          <t>معدل</t>
        </is>
      </c>
      <c r="F67" s="55" t="inlineStr">
        <is>
          <t>↓</t>
        </is>
      </c>
      <c r="G67" s="67" t="n">
        <v>5</v>
      </c>
      <c r="H67" s="68" t="n"/>
      <c r="I67" s="68" t="n"/>
      <c r="J67" s="68" t="n"/>
      <c r="K67" s="68" t="n"/>
      <c r="L67" s="68" t="n"/>
      <c r="M67" s="68" t="n"/>
      <c r="N67" s="68" t="n"/>
      <c r="O67" s="68" t="n"/>
      <c r="P67" s="68" t="n"/>
      <c r="Q67" s="68" t="n"/>
      <c r="R67" s="68" t="n"/>
      <c r="S67" s="68" t="n"/>
      <c r="T67" s="69">
        <f>IF(COUNT($H67:$S67)=0,"",SUM($H67:$S67)/COUNT($H67:$S67))</f>
        <v/>
      </c>
      <c r="U67" s="56">
        <f>IF($G67="","",IF($T67="","",MIN(1,IF($G67=0,IF($T67&lt;=0,1,0),IF($F67="↓",IFERROR($G67/$T67,0),IFERROR($T67/$G67,0))))))</f>
        <v/>
      </c>
      <c r="V67" s="59">
        <f>IF($U67="","⏳ بانتظار هدف",IF($U67&gt;=1.0,"✅ محقق",IF($U67&gt;=0.85,"🟡 قريب","🔴 تحت الهدف")))</f>
        <v/>
      </c>
      <c r="W67" s="70">
        <f>IF($G67="","",$G67)</f>
        <v/>
      </c>
      <c r="X67" s="59">
        <f>IF($U67="","—",IF($U67&gt;=0.85,"🟢 على المسار","🟠 متأخّر"))</f>
        <v/>
      </c>
    </row>
    <row r="68" ht="22" customHeight="1">
      <c r="A68" s="59" t="n">
        <v>65</v>
      </c>
      <c r="B68" s="13" t="inlineStr">
        <is>
          <t>الاستثمار</t>
        </is>
      </c>
      <c r="C68" s="11" t="inlineStr">
        <is>
          <t>متوسط قيمة عقد الإيجار السنوي (أرض)</t>
        </is>
      </c>
      <c r="D68" s="15" t="inlineStr">
        <is>
          <t>شهري</t>
        </is>
      </c>
      <c r="E68" s="15" t="inlineStr">
        <is>
          <t>معدل</t>
        </is>
      </c>
      <c r="F68" s="55" t="inlineStr">
        <is>
          <t>↑</t>
        </is>
      </c>
      <c r="G68" s="55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2">
        <f>IF(COUNT($H68:$S68)=0,"",SUM($H68:$S68)/COUNT($H68:$S68))</f>
        <v/>
      </c>
      <c r="U68" s="56">
        <f>IF($G68="","",IF($T68="","",MIN(1,IF($G68=0,IF($T68&lt;=0,1,0),IF($F68="↓",IFERROR($G68/$T68,0),IFERROR($T68/$G68,0))))))</f>
        <v/>
      </c>
      <c r="V68" s="59">
        <f>IF($U68="","⏳ بانتظار هدف",IF($U68&gt;=1.0,"✅ محقق",IF($U68&gt;=0.85,"🟡 قريب","🔴 تحت الهدف")))</f>
        <v/>
      </c>
      <c r="W68" s="73">
        <f>IF($G68="","",$G68)</f>
        <v/>
      </c>
      <c r="X68" s="59">
        <f>IF($U68="","—",IF($U68&gt;=0.85,"🟢 على المسار","🟠 متأخّر"))</f>
        <v/>
      </c>
    </row>
    <row r="69" ht="22" customHeight="1">
      <c r="A69" s="59" t="n">
        <v>66</v>
      </c>
      <c r="B69" s="13" t="inlineStr">
        <is>
          <t>الاستثمار</t>
        </is>
      </c>
      <c r="C69" s="11" t="inlineStr">
        <is>
          <t>نسبة العقود التي تغطي المناطق الـ13</t>
        </is>
      </c>
      <c r="D69" s="15" t="inlineStr">
        <is>
          <t>شهري</t>
        </is>
      </c>
      <c r="E69" s="15" t="inlineStr">
        <is>
          <t>لقطة</t>
        </is>
      </c>
      <c r="F69" s="55" t="inlineStr">
        <is>
          <t>↑</t>
        </is>
      </c>
      <c r="G69" s="64" t="n">
        <v>1</v>
      </c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56">
        <f>IFERROR(LOOKUP(2,1/($H69:$S69&lt;&gt;""),$H69:$S69),"")</f>
        <v/>
      </c>
      <c r="U69" s="56">
        <f>IF($G69="","",IF($T69="","",MIN(1,IF($G69=0,IF($T69&lt;=0,1,0),IF($F69="↓",IFERROR($G69/$T69,0),IFERROR($T69/$G69,0))))))</f>
        <v/>
      </c>
      <c r="V69" s="59">
        <f>IF($U69="","⏳ بانتظار هدف",IF($U69&gt;=1.0,"✅ محقق",IF($U69&gt;=0.85,"🟡 قريب","🔴 تحت الهدف")))</f>
        <v/>
      </c>
      <c r="W69" s="66">
        <f>IF($G69="","",$G69)</f>
        <v/>
      </c>
      <c r="X69" s="59">
        <f>IF($U69="","—",IF($U69&gt;=0.85,"🟢 على المسار","🟠 متأخّر"))</f>
        <v/>
      </c>
    </row>
    <row r="70" ht="22" customHeight="1">
      <c r="A70" s="59" t="n">
        <v>67</v>
      </c>
      <c r="B70" s="13" t="inlineStr">
        <is>
          <t>الاستثمار</t>
        </is>
      </c>
      <c r="C70" s="11" t="inlineStr">
        <is>
          <t>نسبة العقود خارج المدن الرئيسية</t>
        </is>
      </c>
      <c r="D70" s="15" t="inlineStr">
        <is>
          <t>شهري</t>
        </is>
      </c>
      <c r="E70" s="15" t="inlineStr">
        <is>
          <t>لقطة</t>
        </is>
      </c>
      <c r="F70" s="55" t="inlineStr">
        <is>
          <t>↑</t>
        </is>
      </c>
      <c r="G70" s="64" t="n">
        <v>0.6</v>
      </c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56">
        <f>IFERROR(LOOKUP(2,1/($H70:$S70&lt;&gt;""),$H70:$S70),"")</f>
        <v/>
      </c>
      <c r="U70" s="56">
        <f>IF($G70="","",IF($T70="","",MIN(1,IF($G70=0,IF($T70&lt;=0,1,0),IF($F70="↓",IFERROR($G70/$T70,0),IFERROR($T70/$G70,0))))))</f>
        <v/>
      </c>
      <c r="V70" s="59">
        <f>IF($U70="","⏳ بانتظار هدف",IF($U70&gt;=1.0,"✅ محقق",IF($U70&gt;=0.85,"🟡 قريب","🔴 تحت الهدف")))</f>
        <v/>
      </c>
      <c r="W70" s="66">
        <f>IF($G70="","",$G70)</f>
        <v/>
      </c>
      <c r="X70" s="59">
        <f>IF($U70="","—",IF($U70&gt;=0.85,"🟢 على المسار","🟠 متأخّر"))</f>
        <v/>
      </c>
    </row>
    <row r="71" ht="22" customHeight="1">
      <c r="A71" s="59" t="n">
        <v>68</v>
      </c>
      <c r="B71" s="13" t="inlineStr">
        <is>
          <t>الاستثمار</t>
        </is>
      </c>
      <c r="C71" s="11" t="inlineStr">
        <is>
          <t>نسبة العقود في الـ12 مدينة الرئيسية</t>
        </is>
      </c>
      <c r="D71" s="15" t="inlineStr">
        <is>
          <t>شهري</t>
        </is>
      </c>
      <c r="E71" s="15" t="inlineStr">
        <is>
          <t>لقطة</t>
        </is>
      </c>
      <c r="F71" s="55" t="inlineStr">
        <is>
          <t>↓</t>
        </is>
      </c>
      <c r="G71" s="64" t="n">
        <v>0.4</v>
      </c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n"/>
      <c r="R71" s="65" t="n"/>
      <c r="S71" s="65" t="n"/>
      <c r="T71" s="56">
        <f>IFERROR(LOOKUP(2,1/($H71:$S71&lt;&gt;""),$H71:$S71),"")</f>
        <v/>
      </c>
      <c r="U71" s="56">
        <f>IF($G71="","",IF($T71="","",MIN(1,IF($G71=0,IF($T71&lt;=0,1,0),IF($F71="↓",IFERROR($G71/$T71,0),IFERROR($T71/$G71,0))))))</f>
        <v/>
      </c>
      <c r="V71" s="59">
        <f>IF($U71="","⏳ بانتظار هدف",IF($U71&gt;=1.0,"✅ محقق",IF($U71&gt;=0.85,"🟡 قريب","🔴 تحت الهدف")))</f>
        <v/>
      </c>
      <c r="W71" s="66">
        <f>IF($G71="","",$G71)</f>
        <v/>
      </c>
      <c r="X71" s="59">
        <f>IF($U71="","—",IF($U71&gt;=0.85,"🟢 على المسار","🟠 متأخّر"))</f>
        <v/>
      </c>
    </row>
    <row r="72" ht="22" customHeight="1">
      <c r="A72" s="59" t="n">
        <v>69</v>
      </c>
      <c r="B72" s="13" t="inlineStr">
        <is>
          <t>الاستثمار</t>
        </is>
      </c>
      <c r="C72" s="11" t="inlineStr">
        <is>
          <t>نسبة العقود على الطرق الإقليمية</t>
        </is>
      </c>
      <c r="D72" s="15" t="inlineStr">
        <is>
          <t>شهري</t>
        </is>
      </c>
      <c r="E72" s="15" t="inlineStr">
        <is>
          <t>لقطة</t>
        </is>
      </c>
      <c r="F72" s="55" t="inlineStr">
        <is>
          <t>↑</t>
        </is>
      </c>
      <c r="G72" s="64" t="n">
        <v>0.25</v>
      </c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n"/>
      <c r="R72" s="65" t="n"/>
      <c r="S72" s="65" t="n"/>
      <c r="T72" s="56">
        <f>IFERROR(LOOKUP(2,1/($H72:$S72&lt;&gt;""),$H72:$S72),"")</f>
        <v/>
      </c>
      <c r="U72" s="56">
        <f>IF($G72="","",IF($T72="","",MIN(1,IF($G72=0,IF($T72&lt;=0,1,0),IF($F72="↓",IFERROR($G72/$T72,0),IFERROR($T72/$G72,0))))))</f>
        <v/>
      </c>
      <c r="V72" s="59">
        <f>IF($U72="","⏳ بانتظار هدف",IF($U72&gt;=1.0,"✅ محقق",IF($U72&gt;=0.85,"🟡 قريب","🔴 تحت الهدف")))</f>
        <v/>
      </c>
      <c r="W72" s="66">
        <f>IF($G72="","",$G72)</f>
        <v/>
      </c>
      <c r="X72" s="59">
        <f>IF($U72="","—",IF($U72&gt;=0.85,"🟢 على المسار","🟠 متأخّر"))</f>
        <v/>
      </c>
    </row>
    <row r="73" ht="22" customHeight="1">
      <c r="A73" s="59" t="n">
        <v>70</v>
      </c>
      <c r="B73" s="13" t="inlineStr">
        <is>
          <t>الاستثمار</t>
        </is>
      </c>
      <c r="C73" s="11" t="inlineStr">
        <is>
          <t>متوسط مدة إغلاق عقد الاستثمار</t>
        </is>
      </c>
      <c r="D73" s="15" t="inlineStr">
        <is>
          <t>شهري</t>
        </is>
      </c>
      <c r="E73" s="15" t="inlineStr">
        <is>
          <t>معدل</t>
        </is>
      </c>
      <c r="F73" s="55" t="inlineStr">
        <is>
          <t>↓</t>
        </is>
      </c>
      <c r="G73" s="67" t="n">
        <v>1</v>
      </c>
      <c r="H73" s="68" t="n"/>
      <c r="I73" s="68" t="n"/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9">
        <f>IF(COUNT($H73:$S73)=0,"",SUM($H73:$S73)/COUNT($H73:$S73))</f>
        <v/>
      </c>
      <c r="U73" s="56">
        <f>IF($G73="","",IF($T73="","",MIN(1,IF($G73=0,IF($T73&lt;=0,1,0),IF($F73="↓",IFERROR($G73/$T73,0),IFERROR($T73/$G73,0))))))</f>
        <v/>
      </c>
      <c r="V73" s="59">
        <f>IF($U73="","⏳ بانتظار هدف",IF($U73&gt;=1.0,"✅ محقق",IF($U73&gt;=0.85,"🟡 قريب","🔴 تحت الهدف")))</f>
        <v/>
      </c>
      <c r="W73" s="70">
        <f>IF($G73="","",$G73)</f>
        <v/>
      </c>
      <c r="X73" s="59">
        <f>IF($U73="","—",IF($U73&gt;=0.85,"🟢 على المسار","🟠 متأخّر"))</f>
        <v/>
      </c>
    </row>
    <row r="74" ht="22" customHeight="1">
      <c r="A74" s="59" t="n">
        <v>71</v>
      </c>
      <c r="B74" s="13" t="inlineStr">
        <is>
          <t>الاستثمار</t>
        </is>
      </c>
      <c r="C74" s="11" t="inlineStr">
        <is>
          <t>نسبة العقود المتحوّلة لمحطات مشغّلة</t>
        </is>
      </c>
      <c r="D74" s="15" t="inlineStr">
        <is>
          <t>شهري</t>
        </is>
      </c>
      <c r="E74" s="15" t="inlineStr">
        <is>
          <t>معدل</t>
        </is>
      </c>
      <c r="F74" s="55" t="inlineStr">
        <is>
          <t>↑</t>
        </is>
      </c>
      <c r="G74" s="64" t="n">
        <v>0.3</v>
      </c>
      <c r="H74" s="65" t="n"/>
      <c r="I74" s="65" t="n"/>
      <c r="J74" s="65" t="n"/>
      <c r="K74" s="65" t="n"/>
      <c r="L74" s="65" t="n"/>
      <c r="M74" s="65" t="n"/>
      <c r="N74" s="65" t="n"/>
      <c r="O74" s="65" t="n"/>
      <c r="P74" s="65" t="n"/>
      <c r="Q74" s="65" t="n"/>
      <c r="R74" s="65" t="n"/>
      <c r="S74" s="65" t="n"/>
      <c r="T74" s="56">
        <f>IF(COUNT($H74:$S74)=0,"",SUM($H74:$S74)/COUNT($H74:$S74))</f>
        <v/>
      </c>
      <c r="U74" s="56">
        <f>IF($G74="","",IF($T74="","",MIN(1,IF($G74=0,IF($T74&lt;=0,1,0),IF($F74="↓",IFERROR($G74/$T74,0),IFERROR($T74/$G74,0))))))</f>
        <v/>
      </c>
      <c r="V74" s="59">
        <f>IF($U74="","⏳ بانتظار هدف",IF($U74&gt;=1.0,"✅ محقق",IF($U74&gt;=0.85,"🟡 قريب","🔴 تحت الهدف")))</f>
        <v/>
      </c>
      <c r="W74" s="66">
        <f>IF($G74="","",$G74)</f>
        <v/>
      </c>
      <c r="X74" s="59">
        <f>IF($U74="","—",IF($U74&gt;=0.85,"🟢 على المسار","🟠 متأخّر"))</f>
        <v/>
      </c>
    </row>
    <row r="75" ht="22" customHeight="1">
      <c r="A75" s="59" t="n">
        <v>72</v>
      </c>
      <c r="B75" s="13" t="inlineStr">
        <is>
          <t>الاستثمار</t>
        </is>
      </c>
      <c r="C75" s="11" t="inlineStr">
        <is>
          <t>نسبة تخفيض إيجار المواقع عالية التكاليف</t>
        </is>
      </c>
      <c r="D75" s="15" t="inlineStr">
        <is>
          <t>شهري</t>
        </is>
      </c>
      <c r="E75" s="15" t="inlineStr">
        <is>
          <t>معدل</t>
        </is>
      </c>
      <c r="F75" s="55" t="inlineStr">
        <is>
          <t>↑</t>
        </is>
      </c>
      <c r="G75" s="64" t="n">
        <v>0.3</v>
      </c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65" t="n"/>
      <c r="R75" s="65" t="n"/>
      <c r="S75" s="65" t="n"/>
      <c r="T75" s="56">
        <f>IF(COUNT($H75:$S75)=0,"",SUM($H75:$S75)/COUNT($H75:$S75))</f>
        <v/>
      </c>
      <c r="U75" s="56">
        <f>IF($G75="","",IF($T75="","",MIN(1,IF($G75=0,IF($T75&lt;=0,1,0),IF($F75="↓",IFERROR($G75/$T75,0),IFERROR($T75/$G75,0))))))</f>
        <v/>
      </c>
      <c r="V75" s="59">
        <f>IF($U75="","⏳ بانتظار هدف",IF($U75&gt;=1.0,"✅ محقق",IF($U75&gt;=0.85,"🟡 قريب","🔴 تحت الهدف")))</f>
        <v/>
      </c>
      <c r="W75" s="66">
        <f>IF($G75="","",$G75)</f>
        <v/>
      </c>
      <c r="X75" s="59">
        <f>IF($U75="","—",IF($U75&gt;=0.85,"🟢 على المسار","🟠 متأخّر"))</f>
        <v/>
      </c>
    </row>
    <row r="76" ht="22" customHeight="1">
      <c r="A76" s="59" t="n">
        <v>73</v>
      </c>
      <c r="B76" s="13" t="inlineStr">
        <is>
          <t>الاستثمار</t>
        </is>
      </c>
      <c r="C76" s="11" t="inlineStr">
        <is>
          <t>نسبة اكتمال المستندات النظامية قبل التوقيع</t>
        </is>
      </c>
      <c r="D76" s="15" t="inlineStr">
        <is>
          <t>شهري</t>
        </is>
      </c>
      <c r="E76" s="15" t="inlineStr">
        <is>
          <t>معدل</t>
        </is>
      </c>
      <c r="F76" s="55" t="inlineStr">
        <is>
          <t>↑</t>
        </is>
      </c>
      <c r="G76" s="64" t="n">
        <v>1</v>
      </c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56">
        <f>IF(COUNT($H76:$S76)=0,"",SUM($H76:$S76)/COUNT($H76:$S76))</f>
        <v/>
      </c>
      <c r="U76" s="56">
        <f>IF($G76="","",IF($T76="","",MIN(1,IF($G76=0,IF($T76&lt;=0,1,0),IF($F76="↓",IFERROR($G76/$T76,0),IFERROR($T76/$G76,0))))))</f>
        <v/>
      </c>
      <c r="V76" s="59">
        <f>IF($U76="","⏳ بانتظار هدف",IF($U76&gt;=1.0,"✅ محقق",IF($U76&gt;=0.85,"🟡 قريب","🔴 تحت الهدف")))</f>
        <v/>
      </c>
      <c r="W76" s="66">
        <f>IF($G76="","",$G76)</f>
        <v/>
      </c>
      <c r="X76" s="59">
        <f>IF($U76="","—",IF($U76&gt;=0.85,"🟢 على المسار","🟠 متأخّر"))</f>
        <v/>
      </c>
    </row>
    <row r="77" ht="22" customHeight="1">
      <c r="A77" s="59" t="n">
        <v>74</v>
      </c>
      <c r="B77" s="13" t="inlineStr">
        <is>
          <t>الاستثمار</t>
        </is>
      </c>
      <c r="C77" s="11" t="inlineStr">
        <is>
          <t>نسبة العقود المؤرشفة إلكترونياً خلال 48 ساعة</t>
        </is>
      </c>
      <c r="D77" s="15" t="inlineStr">
        <is>
          <t>شهري</t>
        </is>
      </c>
      <c r="E77" s="15" t="inlineStr">
        <is>
          <t>معدل</t>
        </is>
      </c>
      <c r="F77" s="55" t="inlineStr">
        <is>
          <t>↑</t>
        </is>
      </c>
      <c r="G77" s="64" t="n">
        <v>0.95</v>
      </c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56">
        <f>IF(COUNT($H77:$S77)=0,"",SUM($H77:$S77)/COUNT($H77:$S77))</f>
        <v/>
      </c>
      <c r="U77" s="56">
        <f>IF($G77="","",IF($T77="","",MIN(1,IF($G77=0,IF($T77&lt;=0,1,0),IF($F77="↓",IFERROR($G77/$T77,0),IFERROR($T77/$G77,0))))))</f>
        <v/>
      </c>
      <c r="V77" s="59">
        <f>IF($U77="","⏳ بانتظار هدف",IF($U77&gt;=1.0,"✅ محقق",IF($U77&gt;=0.85,"🟡 قريب","🔴 تحت الهدف")))</f>
        <v/>
      </c>
      <c r="W77" s="66">
        <f>IF($G77="","",$G77)</f>
        <v/>
      </c>
      <c r="X77" s="59">
        <f>IF($U77="","—",IF($U77&gt;=0.85,"🟢 على المسار","🟠 متأخّر"))</f>
        <v/>
      </c>
    </row>
    <row r="78" ht="22" customHeight="1">
      <c r="A78" s="59" t="n">
        <v>75</v>
      </c>
      <c r="B78" s="13" t="inlineStr">
        <is>
          <t>الاستثمار</t>
        </is>
      </c>
      <c r="C78" s="11" t="inlineStr">
        <is>
          <t>جودة التفاوض مع المستثمرين</t>
        </is>
      </c>
      <c r="D78" s="15" t="inlineStr">
        <is>
          <t>شهري</t>
        </is>
      </c>
      <c r="E78" s="15" t="inlineStr">
        <is>
          <t>معدل</t>
        </is>
      </c>
      <c r="F78" s="55" t="inlineStr">
        <is>
          <t>↑</t>
        </is>
      </c>
      <c r="G78" s="64" t="n">
        <v>0.98</v>
      </c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65" t="n"/>
      <c r="R78" s="65" t="n"/>
      <c r="S78" s="65" t="n"/>
      <c r="T78" s="56">
        <f>IF(COUNT($H78:$S78)=0,"",SUM($H78:$S78)/COUNT($H78:$S78))</f>
        <v/>
      </c>
      <c r="U78" s="56">
        <f>IF($G78="","",IF($T78="","",MIN(1,IF($G78=0,IF($T78&lt;=0,1,0),IF($F78="↓",IFERROR($G78/$T78,0),IFERROR($T78/$G78,0))))))</f>
        <v/>
      </c>
      <c r="V78" s="59">
        <f>IF($U78="","⏳ بانتظار هدف",IF($U78&gt;=1.0,"✅ محقق",IF($U78&gt;=0.85,"🟡 قريب","🔴 تحت الهدف")))</f>
        <v/>
      </c>
      <c r="W78" s="66">
        <f>IF($G78="","",$G78)</f>
        <v/>
      </c>
      <c r="X78" s="59">
        <f>IF($U78="","—",IF($U78&gt;=0.85,"🟢 على المسار","🟠 متأخّر"))</f>
        <v/>
      </c>
    </row>
    <row r="79" ht="22" customHeight="1">
      <c r="A79" s="59" t="n">
        <v>76</v>
      </c>
      <c r="B79" s="13" t="inlineStr">
        <is>
          <t>الاستثمار</t>
        </is>
      </c>
      <c r="C79" s="11" t="inlineStr">
        <is>
          <t>سرعة إنجاز إجراءات التعاقد</t>
        </is>
      </c>
      <c r="D79" s="15" t="inlineStr">
        <is>
          <t>شهري</t>
        </is>
      </c>
      <c r="E79" s="15" t="inlineStr">
        <is>
          <t>معدل</t>
        </is>
      </c>
      <c r="F79" s="55" t="inlineStr">
        <is>
          <t>↓</t>
        </is>
      </c>
      <c r="G79" s="67" t="n">
        <v>1</v>
      </c>
      <c r="H79" s="68" t="n"/>
      <c r="I79" s="68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9">
        <f>IF(COUNT($H79:$S79)=0,"",SUM($H79:$S79)/COUNT($H79:$S79))</f>
        <v/>
      </c>
      <c r="U79" s="56">
        <f>IF($G79="","",IF($T79="","",MIN(1,IF($G79=0,IF($T79&lt;=0,1,0),IF($F79="↓",IFERROR($G79/$T79,0),IFERROR($T79/$G79,0))))))</f>
        <v/>
      </c>
      <c r="V79" s="59">
        <f>IF($U79="","⏳ بانتظار هدف",IF($U79&gt;=1.0,"✅ محقق",IF($U79&gt;=0.85,"🟡 قريب","🔴 تحت الهدف")))</f>
        <v/>
      </c>
      <c r="W79" s="70">
        <f>IF($G79="","",$G79)</f>
        <v/>
      </c>
      <c r="X79" s="59">
        <f>IF($U79="","—",IF($U79&gt;=0.85,"🟢 على المسار","🟠 متأخّر"))</f>
        <v/>
      </c>
    </row>
    <row r="80" ht="22" customHeight="1">
      <c r="A80" s="59" t="n">
        <v>77</v>
      </c>
      <c r="B80" s="13" t="inlineStr">
        <is>
          <t>الاستثمار</t>
        </is>
      </c>
      <c r="C80" s="11" t="inlineStr">
        <is>
          <t>مدى رضا المستثمرين وشركاء الاستثمار</t>
        </is>
      </c>
      <c r="D80" s="15" t="inlineStr">
        <is>
          <t>ربعي</t>
        </is>
      </c>
      <c r="E80" s="15" t="inlineStr">
        <is>
          <t>معدل</t>
        </is>
      </c>
      <c r="F80" s="55" t="inlineStr">
        <is>
          <t>↑</t>
        </is>
      </c>
      <c r="G80" s="64" t="n">
        <v>0.8</v>
      </c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65" t="n"/>
      <c r="R80" s="65" t="n"/>
      <c r="S80" s="65" t="n"/>
      <c r="T80" s="56">
        <f>IF(COUNT($H80:$S80)=0,"",SUM($H80:$S80)/COUNT($H80:$S80))</f>
        <v/>
      </c>
      <c r="U80" s="56">
        <f>IF($G80="","",IF($T80="","",MIN(1,IF($G80=0,IF($T80&lt;=0,1,0),IF($F80="↓",IFERROR($G80/$T80,0),IFERROR($T80/$G80,0))))))</f>
        <v/>
      </c>
      <c r="V80" s="59">
        <f>IF($U80="","⏳ بانتظار هدف",IF($U80&gt;=0.9,"✅ محقق",IF($U80&gt;=0.75,"🟡 قريب","🔴 تحت الهدف")))</f>
        <v/>
      </c>
      <c r="W80" s="66">
        <f>IF($G80="","",$G80)</f>
        <v/>
      </c>
      <c r="X80" s="59">
        <f>IF($U80="","—",IF($U80&gt;=0.75,"🟢 على المسار","🟠 متأخّر"))</f>
        <v/>
      </c>
    </row>
    <row r="81" ht="22" customHeight="1">
      <c r="A81" s="59" t="n">
        <v>78</v>
      </c>
      <c r="B81" s="13" t="inlineStr">
        <is>
          <t>الاستثمار</t>
        </is>
      </c>
      <c r="C81" s="11" t="inlineStr">
        <is>
          <t>نسبة اكتمال أرشفة ملفات العملاء</t>
        </is>
      </c>
      <c r="D81" s="15" t="inlineStr">
        <is>
          <t>شهري</t>
        </is>
      </c>
      <c r="E81" s="15" t="inlineStr">
        <is>
          <t>معدل</t>
        </is>
      </c>
      <c r="F81" s="55" t="inlineStr">
        <is>
          <t>↑</t>
        </is>
      </c>
      <c r="G81" s="64" t="n">
        <v>1</v>
      </c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56">
        <f>IF(COUNT($H81:$S81)=0,"",SUM($H81:$S81)/COUNT($H81:$S81))</f>
        <v/>
      </c>
      <c r="U81" s="56">
        <f>IF($G81="","",IF($T81="","",MIN(1,IF($G81=0,IF($T81&lt;=0,1,0),IF($F81="↓",IFERROR($G81/$T81,0),IFERROR($T81/$G81,0))))))</f>
        <v/>
      </c>
      <c r="V81" s="59">
        <f>IF($U81="","⏳ بانتظار هدف",IF($U81&gt;=1.0,"✅ محقق",IF($U81&gt;=0.85,"🟡 قريب","🔴 تحت الهدف")))</f>
        <v/>
      </c>
      <c r="W81" s="66">
        <f>IF($G81="","",$G81)</f>
        <v/>
      </c>
      <c r="X81" s="59">
        <f>IF($U81="","—",IF($U81&gt;=0.85,"🟢 على المسار","🟠 متأخّر"))</f>
        <v/>
      </c>
    </row>
    <row r="82" ht="22" customHeight="1">
      <c r="A82" s="59" t="n">
        <v>79</v>
      </c>
      <c r="B82" s="13" t="inlineStr">
        <is>
          <t>الاستثمار</t>
        </is>
      </c>
      <c r="C82" s="11" t="inlineStr">
        <is>
          <t>نسبة إنجاز التقارير الدورية في موعدها</t>
        </is>
      </c>
      <c r="D82" s="15" t="inlineStr">
        <is>
          <t>شهري</t>
        </is>
      </c>
      <c r="E82" s="15" t="inlineStr">
        <is>
          <t>معدل</t>
        </is>
      </c>
      <c r="F82" s="55" t="inlineStr">
        <is>
          <t>↑</t>
        </is>
      </c>
      <c r="G82" s="64" t="n">
        <v>1</v>
      </c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65" t="n"/>
      <c r="R82" s="65" t="n"/>
      <c r="S82" s="65" t="n"/>
      <c r="T82" s="56">
        <f>IF(COUNT($H82:$S82)=0,"",SUM($H82:$S82)/COUNT($H82:$S82))</f>
        <v/>
      </c>
      <c r="U82" s="56">
        <f>IF($G82="","",IF($T82="","",MIN(1,IF($G82=0,IF($T82&lt;=0,1,0),IF($F82="↓",IFERROR($G82/$T82,0),IFERROR($T82/$G82,0))))))</f>
        <v/>
      </c>
      <c r="V82" s="59">
        <f>IF($U82="","⏳ بانتظار هدف",IF($U82&gt;=1.0,"✅ محقق",IF($U82&gt;=0.85,"🟡 قريب","🔴 تحت الهدف")))</f>
        <v/>
      </c>
      <c r="W82" s="66">
        <f>IF($G82="","",$G82)</f>
        <v/>
      </c>
      <c r="X82" s="59">
        <f>IF($U82="","—",IF($U82&gt;=0.85,"🟢 على المسار","🟠 متأخّر"))</f>
        <v/>
      </c>
    </row>
    <row r="83" ht="22" customHeight="1">
      <c r="A83" s="59" t="n">
        <v>80</v>
      </c>
      <c r="B83" s="13" t="inlineStr">
        <is>
          <t>العقار</t>
        </is>
      </c>
      <c r="C83" s="11" t="inlineStr">
        <is>
          <t>نمو الإيرادات الإيجارية</t>
        </is>
      </c>
      <c r="D83" s="15" t="inlineStr">
        <is>
          <t>ربعي</t>
        </is>
      </c>
      <c r="E83" s="15" t="inlineStr">
        <is>
          <t>معدل</t>
        </is>
      </c>
      <c r="F83" s="55" t="inlineStr">
        <is>
          <t>↑</t>
        </is>
      </c>
      <c r="G83" s="64" t="n">
        <v>0.08</v>
      </c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 t="n"/>
      <c r="Q83" s="65" t="n"/>
      <c r="R83" s="65" t="n"/>
      <c r="S83" s="65" t="n"/>
      <c r="T83" s="56">
        <f>IF(COUNT($H83:$S83)=0,"",SUM($H83:$S83)/COUNT($H83:$S83))</f>
        <v/>
      </c>
      <c r="U83" s="56">
        <f>IF($G83="","",IF($T83="","",MIN(1,IF($G83=0,IF($T83&lt;=0,1,0),IF($F83="↓",IFERROR($G83/$T83,0),IFERROR($T83/$G83,0))))))</f>
        <v/>
      </c>
      <c r="V83" s="59">
        <f>IF($U83="","⏳ بانتظار هدف",IF($U83&gt;=1.0,"✅ محقق",IF($U83&gt;=0.85,"🟡 قريب","🔴 تحت الهدف")))</f>
        <v/>
      </c>
      <c r="W83" s="66">
        <f>IF($G83="","",$G83)</f>
        <v/>
      </c>
      <c r="X83" s="59">
        <f>IF($U83="","—",IF($U83&gt;=0.85,"🟢 على المسار","🟠 متأخّر"))</f>
        <v/>
      </c>
    </row>
    <row r="84" ht="22" customHeight="1">
      <c r="A84" s="59" t="n">
        <v>81</v>
      </c>
      <c r="B84" s="13" t="inlineStr">
        <is>
          <t>العقار</t>
        </is>
      </c>
      <c r="C84" s="11" t="inlineStr">
        <is>
          <t>نسبة الالتزام بالعقود</t>
        </is>
      </c>
      <c r="D84" s="15" t="inlineStr">
        <is>
          <t>شهري</t>
        </is>
      </c>
      <c r="E84" s="15" t="inlineStr">
        <is>
          <t>معدل</t>
        </is>
      </c>
      <c r="F84" s="55" t="inlineStr">
        <is>
          <t>↑</t>
        </is>
      </c>
      <c r="G84" s="64" t="n">
        <v>1</v>
      </c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65" t="n"/>
      <c r="R84" s="65" t="n"/>
      <c r="S84" s="65" t="n"/>
      <c r="T84" s="56">
        <f>IF(COUNT($H84:$S84)=0,"",SUM($H84:$S84)/COUNT($H84:$S84))</f>
        <v/>
      </c>
      <c r="U84" s="56">
        <f>IF($G84="","",IF($T84="","",MIN(1,IF($G84=0,IF($T84&lt;=0,1,0),IF($F84="↓",IFERROR($G84/$T84,0),IFERROR($T84/$G84,0))))))</f>
        <v/>
      </c>
      <c r="V84" s="59">
        <f>IF($U84="","⏳ بانتظار هدف",IF($U84&gt;=1.0,"✅ محقق",IF($U84&gt;=0.85,"🟡 قريب","🔴 تحت الهدف")))</f>
        <v/>
      </c>
      <c r="W84" s="66">
        <f>IF($G84="","",$G84)</f>
        <v/>
      </c>
      <c r="X84" s="59">
        <f>IF($U84="","—",IF($U84&gt;=0.85,"🟢 على المسار","🟠 متأخّر"))</f>
        <v/>
      </c>
    </row>
    <row r="85" ht="22" customHeight="1">
      <c r="A85" s="59" t="n">
        <v>82</v>
      </c>
      <c r="B85" s="13" t="inlineStr">
        <is>
          <t>العقار</t>
        </is>
      </c>
      <c r="C85" s="11" t="inlineStr">
        <is>
          <t>نسبة تحصيل الإيجارات</t>
        </is>
      </c>
      <c r="D85" s="15" t="inlineStr">
        <is>
          <t>شهري</t>
        </is>
      </c>
      <c r="E85" s="15" t="inlineStr">
        <is>
          <t>معدل</t>
        </is>
      </c>
      <c r="F85" s="55" t="inlineStr">
        <is>
          <t>↑</t>
        </is>
      </c>
      <c r="G85" s="64" t="n">
        <v>0.95</v>
      </c>
      <c r="H85" s="65" t="n"/>
      <c r="I85" s="65" t="n"/>
      <c r="J85" s="65" t="n"/>
      <c r="K85" s="65" t="n"/>
      <c r="L85" s="65" t="n"/>
      <c r="M85" s="65" t="n"/>
      <c r="N85" s="65" t="n"/>
      <c r="O85" s="65" t="n"/>
      <c r="P85" s="65" t="n"/>
      <c r="Q85" s="65" t="n"/>
      <c r="R85" s="65" t="n"/>
      <c r="S85" s="65" t="n"/>
      <c r="T85" s="56">
        <f>IF(COUNT($H85:$S85)=0,"",SUM($H85:$S85)/COUNT($H85:$S85))</f>
        <v/>
      </c>
      <c r="U85" s="56">
        <f>IF($G85="","",IF($T85="","",MIN(1,IF($G85=0,IF($T85&lt;=0,1,0),IF($F85="↓",IFERROR($G85/$T85,0),IFERROR($T85/$G85,0))))))</f>
        <v/>
      </c>
      <c r="V85" s="59">
        <f>IF($U85="","⏳ بانتظار هدف",IF($U85&gt;=1.0,"✅ محقق",IF($U85&gt;=0.85,"🟡 قريب","🔴 تحت الهدف")))</f>
        <v/>
      </c>
      <c r="W85" s="66">
        <f>IF($G85="","",$G85)</f>
        <v/>
      </c>
      <c r="X85" s="59">
        <f>IF($U85="","—",IF($U85&gt;=0.85,"🟢 على المسار","🟠 متأخّر"))</f>
        <v/>
      </c>
    </row>
    <row r="86" ht="22" customHeight="1">
      <c r="A86" s="59" t="n">
        <v>83</v>
      </c>
      <c r="B86" s="13" t="inlineStr">
        <is>
          <t>العقار</t>
        </is>
      </c>
      <c r="C86" s="11" t="inlineStr">
        <is>
          <t>نسبة الإشغال</t>
        </is>
      </c>
      <c r="D86" s="15" t="inlineStr">
        <is>
          <t>شهري</t>
        </is>
      </c>
      <c r="E86" s="15" t="inlineStr">
        <is>
          <t>معدل</t>
        </is>
      </c>
      <c r="F86" s="55" t="inlineStr">
        <is>
          <t>↑</t>
        </is>
      </c>
      <c r="G86" s="64" t="n">
        <v>0.6</v>
      </c>
      <c r="H86" s="65" t="n"/>
      <c r="I86" s="65" t="n"/>
      <c r="J86" s="65" t="n"/>
      <c r="K86" s="65" t="n"/>
      <c r="L86" s="65" t="n"/>
      <c r="M86" s="65" t="n"/>
      <c r="N86" s="65" t="n"/>
      <c r="O86" s="65" t="n"/>
      <c r="P86" s="65" t="n"/>
      <c r="Q86" s="65" t="n"/>
      <c r="R86" s="65" t="n"/>
      <c r="S86" s="65" t="n"/>
      <c r="T86" s="56">
        <f>IF(COUNT($H86:$S86)=0,"",SUM($H86:$S86)/COUNT($H86:$S86))</f>
        <v/>
      </c>
      <c r="U86" s="56">
        <f>IF($G86="","",IF($T86="","",MIN(1,IF($G86=0,IF($T86&lt;=0,1,0),IF($F86="↓",IFERROR($G86/$T86,0),IFERROR($T86/$G86,0))))))</f>
        <v/>
      </c>
      <c r="V86" s="59">
        <f>IF($U86="","⏳ بانتظار هدف",IF($U86&gt;=1.0,"✅ محقق",IF($U86&gt;=0.85,"🟡 قريب","🔴 تحت الهدف")))</f>
        <v/>
      </c>
      <c r="W86" s="66">
        <f>IF($G86="","",$G86)</f>
        <v/>
      </c>
      <c r="X86" s="59">
        <f>IF($U86="","—",IF($U86&gt;=0.85,"🟢 على المسار","🟠 متأخّر"))</f>
        <v/>
      </c>
    </row>
    <row r="87" ht="22" customHeight="1">
      <c r="A87" s="59" t="n">
        <v>84</v>
      </c>
      <c r="B87" s="13" t="inlineStr">
        <is>
          <t>العقار</t>
        </is>
      </c>
      <c r="C87" s="11" t="inlineStr">
        <is>
          <t>الوحدات المؤجَّرة شهرياً</t>
        </is>
      </c>
      <c r="D87" s="15" t="inlineStr">
        <is>
          <t>شهري</t>
        </is>
      </c>
      <c r="E87" s="15" t="inlineStr">
        <is>
          <t>معدل</t>
        </is>
      </c>
      <c r="F87" s="55" t="inlineStr">
        <is>
          <t>↑</t>
        </is>
      </c>
      <c r="G87" s="60" t="n">
        <v>68</v>
      </c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2">
        <f>IF(COUNT($H87:$S87)=0,"",SUM($H87:$S87)/COUNT($H87:$S87))</f>
        <v/>
      </c>
      <c r="U87" s="56">
        <f>IF($G87="","",IF($T87="","",MIN(1,IF($G87=0,IF($T87&lt;=0,1,0),IF($F87="↓",IFERROR($G87/$T87,0),IFERROR($T87/$G87,0))))))</f>
        <v/>
      </c>
      <c r="V87" s="59">
        <f>IF($U87="","⏳ بانتظار هدف",IF($U87&gt;=1.0,"✅ محقق",IF($U87&gt;=0.85,"🟡 قريب","🔴 تحت الهدف")))</f>
        <v/>
      </c>
      <c r="W87" s="63">
        <f>IF($G87="","",$G87)</f>
        <v/>
      </c>
      <c r="X87" s="59">
        <f>IF($U87="","—",IF($U87&gt;=0.85,"🟢 على المسار","🟠 متأخّر"))</f>
        <v/>
      </c>
    </row>
    <row r="88" ht="22" customHeight="1">
      <c r="A88" s="59" t="n">
        <v>85</v>
      </c>
      <c r="B88" s="13" t="inlineStr">
        <is>
          <t>العقار</t>
        </is>
      </c>
      <c r="C88" s="11" t="inlineStr">
        <is>
          <t>العملاء المحتملون (LEADS)</t>
        </is>
      </c>
      <c r="D88" s="15" t="inlineStr">
        <is>
          <t>شهري</t>
        </is>
      </c>
      <c r="E88" s="15" t="inlineStr">
        <is>
          <t>معدل</t>
        </is>
      </c>
      <c r="F88" s="55" t="inlineStr">
        <is>
          <t>↑</t>
        </is>
      </c>
      <c r="G88" s="60" t="n">
        <v>680</v>
      </c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2">
        <f>IF(COUNT($H88:$S88)=0,"",SUM($H88:$S88)/COUNT($H88:$S88))</f>
        <v/>
      </c>
      <c r="U88" s="56">
        <f>IF($G88="","",IF($T88="","",MIN(1,IF($G88=0,IF($T88&lt;=0,1,0),IF($F88="↓",IFERROR($G88/$T88,0),IFERROR($T88/$G88,0))))))</f>
        <v/>
      </c>
      <c r="V88" s="59">
        <f>IF($U88="","⏳ بانتظار هدف",IF($U88&gt;=1.0,"✅ محقق",IF($U88&gt;=0.85,"🟡 قريب","🔴 تحت الهدف")))</f>
        <v/>
      </c>
      <c r="W88" s="63">
        <f>IF($G88="","",$G88)</f>
        <v/>
      </c>
      <c r="X88" s="59">
        <f>IF($U88="","—",IF($U88&gt;=0.85,"🟢 على المسار","🟠 متأخّر"))</f>
        <v/>
      </c>
    </row>
    <row r="89" ht="22" customHeight="1">
      <c r="A89" s="59" t="n">
        <v>86</v>
      </c>
      <c r="B89" s="13" t="inlineStr">
        <is>
          <t>العقار</t>
        </is>
      </c>
      <c r="C89" s="11" t="inlineStr">
        <is>
          <t>معدل التحويل</t>
        </is>
      </c>
      <c r="D89" s="15" t="inlineStr">
        <is>
          <t>شهري</t>
        </is>
      </c>
      <c r="E89" s="15" t="inlineStr">
        <is>
          <t>معدل</t>
        </is>
      </c>
      <c r="F89" s="55" t="inlineStr">
        <is>
          <t>↑</t>
        </is>
      </c>
      <c r="G89" s="64" t="n">
        <v>0.2</v>
      </c>
      <c r="H89" s="65" t="n"/>
      <c r="I89" s="65" t="n"/>
      <c r="J89" s="65" t="n"/>
      <c r="K89" s="65" t="n"/>
      <c r="L89" s="65" t="n"/>
      <c r="M89" s="65" t="n"/>
      <c r="N89" s="65" t="n"/>
      <c r="O89" s="65" t="n"/>
      <c r="P89" s="65" t="n"/>
      <c r="Q89" s="65" t="n"/>
      <c r="R89" s="65" t="n"/>
      <c r="S89" s="65" t="n"/>
      <c r="T89" s="56">
        <f>IF(COUNT($H89:$S89)=0,"",SUM($H89:$S89)/COUNT($H89:$S89))</f>
        <v/>
      </c>
      <c r="U89" s="56">
        <f>IF($G89="","",IF($T89="","",MIN(1,IF($G89=0,IF($T89&lt;=0,1,0),IF($F89="↓",IFERROR($G89/$T89,0),IFERROR($T89/$G89,0))))))</f>
        <v/>
      </c>
      <c r="V89" s="59">
        <f>IF($U89="","⏳ بانتظار هدف",IF($U89&gt;=1.0,"✅ محقق",IF($U89&gt;=0.85,"🟡 قريب","🔴 تحت الهدف")))</f>
        <v/>
      </c>
      <c r="W89" s="66">
        <f>IF($G89="","",$G89)</f>
        <v/>
      </c>
      <c r="X89" s="59">
        <f>IF($U89="","—",IF($U89&gt;=0.85,"🟢 على المسار","🟠 متأخّر"))</f>
        <v/>
      </c>
    </row>
    <row r="90" ht="22" customHeight="1">
      <c r="A90" s="59" t="n">
        <v>87</v>
      </c>
      <c r="B90" s="13" t="inlineStr">
        <is>
          <t>العقار</t>
        </is>
      </c>
      <c r="C90" s="11" t="inlineStr">
        <is>
          <t>زيادة عدد العلامات التجارية</t>
        </is>
      </c>
      <c r="D90" s="15" t="inlineStr">
        <is>
          <t>شهري</t>
        </is>
      </c>
      <c r="E90" s="15" t="inlineStr">
        <is>
          <t>لقطة</t>
        </is>
      </c>
      <c r="F90" s="55" t="inlineStr">
        <is>
          <t>↑</t>
        </is>
      </c>
      <c r="G90" s="60" t="n">
        <v>246</v>
      </c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2">
        <f>IFERROR(LOOKUP(2,1/($H90:$S90&lt;&gt;""),$H90:$S90),"")</f>
        <v/>
      </c>
      <c r="U90" s="56">
        <f>IF($G90="","",IF($T90="","",MIN(1,IF($G90=0,IF($T90&lt;=0,1,0),IF($F90="↓",IFERROR($G90/$T90,0),IFERROR($T90/$G90,0))))))</f>
        <v/>
      </c>
      <c r="V90" s="59">
        <f>IF($U90="","⏳ بانتظار هدف",IF($U90&gt;=1.0,"✅ محقق",IF($U90&gt;=0.85,"🟡 قريب","🔴 تحت الهدف")))</f>
        <v/>
      </c>
      <c r="W90" s="63">
        <f>IF($G90="","",$G90)</f>
        <v/>
      </c>
      <c r="X90" s="59">
        <f>IF($U90="","—",IF($U90&gt;=0.85,"🟢 على المسار","🟠 متأخّر"))</f>
        <v/>
      </c>
    </row>
    <row r="91" ht="22" customHeight="1">
      <c r="A91" s="59" t="n">
        <v>88</v>
      </c>
      <c r="B91" s="13" t="inlineStr">
        <is>
          <t>العقار</t>
        </is>
      </c>
      <c r="C91" s="11" t="inlineStr">
        <is>
          <t>نسبة تأجير ساحة درب</t>
        </is>
      </c>
      <c r="D91" s="15" t="inlineStr">
        <is>
          <t>شهري</t>
        </is>
      </c>
      <c r="E91" s="15" t="inlineStr">
        <is>
          <t>لقطة</t>
        </is>
      </c>
      <c r="F91" s="55" t="inlineStr">
        <is>
          <t>↑</t>
        </is>
      </c>
      <c r="G91" s="64" t="n">
        <v>0.8</v>
      </c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65" t="n"/>
      <c r="R91" s="65" t="n"/>
      <c r="S91" s="65" t="n"/>
      <c r="T91" s="56">
        <f>IFERROR(LOOKUP(2,1/($H91:$S91&lt;&gt;""),$H91:$S91),"")</f>
        <v/>
      </c>
      <c r="U91" s="56">
        <f>IF($G91="","",IF($T91="","",MIN(1,IF($G91=0,IF($T91&lt;=0,1,0),IF($F91="↓",IFERROR($G91/$T91,0),IFERROR($T91/$G91,0))))))</f>
        <v/>
      </c>
      <c r="V91" s="59">
        <f>IF($U91="","⏳ بانتظار هدف",IF($U91&gt;=1.0,"✅ محقق",IF($U91&gt;=0.85,"🟡 قريب","🔴 تحت الهدف")))</f>
        <v/>
      </c>
      <c r="W91" s="66">
        <f>IF($G91="","",$G91)</f>
        <v/>
      </c>
      <c r="X91" s="59">
        <f>IF($U91="","—",IF($U91&gt;=0.85,"🟢 على المسار","🟠 متأخّر"))</f>
        <v/>
      </c>
    </row>
    <row r="92" ht="22" customHeight="1">
      <c r="A92" s="59" t="n">
        <v>89</v>
      </c>
      <c r="B92" s="13" t="inlineStr">
        <is>
          <t>العقار</t>
        </is>
      </c>
      <c r="C92" s="11" t="inlineStr">
        <is>
          <t>علامات تجارية جديدة (ساحة درب)</t>
        </is>
      </c>
      <c r="D92" s="15" t="inlineStr">
        <is>
          <t>شهري</t>
        </is>
      </c>
      <c r="E92" s="15" t="inlineStr">
        <is>
          <t>تراكمي</t>
        </is>
      </c>
      <c r="F92" s="55" t="inlineStr">
        <is>
          <t>↑</t>
        </is>
      </c>
      <c r="G92" s="60" t="n">
        <v>6</v>
      </c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2">
        <f>IF(COUNT($H92:$S92)=0,"",SUM($H92:$S92))</f>
        <v/>
      </c>
      <c r="U92" s="56">
        <f>IF($G92="","",IF($T92="","",MIN(1,IF($G92=0,IF($T92&lt;=0,1,0),IF($F92="↓",IFERROR($G92/$T92,0),IFERROR($T92/$G92,0))))))</f>
        <v/>
      </c>
      <c r="V92" s="59">
        <f>IF($U92="","⏳ بانتظار هدف",IF($U92&gt;=1.0,"✅ محقق",IF($U92&gt;=0.85,"🟡 قريب","🔴 تحت الهدف")))</f>
        <v/>
      </c>
      <c r="W92" s="63">
        <f>IF($G92="","",$G92*COUNT($H92:$S92)/12)</f>
        <v/>
      </c>
      <c r="X92" s="59">
        <f>IF($U92="","—",IF($U92&gt;=COUNT($H92:$S92)/12,"🟢 على المسار","🟠 متأخّر"))</f>
        <v/>
      </c>
    </row>
    <row r="93" ht="22" customHeight="1">
      <c r="A93" s="59" t="n">
        <v>90</v>
      </c>
      <c r="B93" s="13" t="inlineStr">
        <is>
          <t>العقار</t>
        </is>
      </c>
      <c r="C93" s="11" t="inlineStr">
        <is>
          <t>الشراكات الاستراتيجية</t>
        </is>
      </c>
      <c r="D93" s="15" t="inlineStr">
        <is>
          <t>شهري</t>
        </is>
      </c>
      <c r="E93" s="15" t="inlineStr">
        <is>
          <t>تراكمي</t>
        </is>
      </c>
      <c r="F93" s="55" t="inlineStr">
        <is>
          <t>↑</t>
        </is>
      </c>
      <c r="G93" s="60" t="n">
        <v>5</v>
      </c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2">
        <f>IF(COUNT($H93:$S93)=0,"",SUM($H93:$S93))</f>
        <v/>
      </c>
      <c r="U93" s="56">
        <f>IF($G93="","",IF($T93="","",MIN(1,IF($G93=0,IF($T93&lt;=0,1,0),IF($F93="↓",IFERROR($G93/$T93,0),IFERROR($T93/$G93,0))))))</f>
        <v/>
      </c>
      <c r="V93" s="59">
        <f>IF($U93="","⏳ بانتظار هدف",IF($U93&gt;=1.0,"✅ محقق",IF($U93&gt;=0.85,"🟡 قريب","🔴 تحت الهدف")))</f>
        <v/>
      </c>
      <c r="W93" s="63">
        <f>IF($G93="","",$G93*COUNT($H93:$S93)/12)</f>
        <v/>
      </c>
      <c r="X93" s="59">
        <f>IF($U93="","—",IF($U93&gt;=COUNT($H93:$S93)/12,"🟢 على المسار","🟠 متأخّر"))</f>
        <v/>
      </c>
    </row>
    <row r="94" ht="22" customHeight="1">
      <c r="A94" s="59" t="n">
        <v>91</v>
      </c>
      <c r="B94" s="13" t="inlineStr">
        <is>
          <t>العقار</t>
        </is>
      </c>
      <c r="C94" s="11" t="inlineStr">
        <is>
          <t>نسبة تجديد العقود</t>
        </is>
      </c>
      <c r="D94" s="15" t="inlineStr">
        <is>
          <t>شهري</t>
        </is>
      </c>
      <c r="E94" s="15" t="inlineStr">
        <is>
          <t>معدل</t>
        </is>
      </c>
      <c r="F94" s="55" t="inlineStr">
        <is>
          <t>↑</t>
        </is>
      </c>
      <c r="G94" s="64" t="n">
        <v>1</v>
      </c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65" t="n"/>
      <c r="R94" s="65" t="n"/>
      <c r="S94" s="65" t="n"/>
      <c r="T94" s="56">
        <f>IF(COUNT($H94:$S94)=0,"",SUM($H94:$S94)/COUNT($H94:$S94))</f>
        <v/>
      </c>
      <c r="U94" s="56">
        <f>IF($G94="","",IF($T94="","",MIN(1,IF($G94=0,IF($T94&lt;=0,1,0),IF($F94="↓",IFERROR($G94/$T94,0),IFERROR($T94/$G94,0))))))</f>
        <v/>
      </c>
      <c r="V94" s="59">
        <f>IF($U94="","⏳ بانتظار هدف",IF($U94&gt;=1.0,"✅ محقق",IF($U94&gt;=0.85,"🟡 قريب","🔴 تحت الهدف")))</f>
        <v/>
      </c>
      <c r="W94" s="66">
        <f>IF($G94="","",$G94)</f>
        <v/>
      </c>
      <c r="X94" s="59">
        <f>IF($U94="","—",IF($U94&gt;=0.85,"🟢 على المسار","🟠 متأخّر"))</f>
        <v/>
      </c>
    </row>
    <row r="95" ht="22" customHeight="1">
      <c r="A95" s="59" t="n">
        <v>92</v>
      </c>
      <c r="B95" s="13" t="inlineStr">
        <is>
          <t>العقار</t>
        </is>
      </c>
      <c r="C95" s="11" t="inlineStr">
        <is>
          <t>متوسط زمن تسليم الوحدة</t>
        </is>
      </c>
      <c r="D95" s="15" t="inlineStr">
        <is>
          <t>شهري</t>
        </is>
      </c>
      <c r="E95" s="15" t="inlineStr">
        <is>
          <t>معدل</t>
        </is>
      </c>
      <c r="F95" s="55" t="inlineStr">
        <is>
          <t>↓</t>
        </is>
      </c>
      <c r="G95" s="67" t="n">
        <v>7</v>
      </c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9">
        <f>IF(COUNT($H95:$S95)=0,"",SUM($H95:$S95)/COUNT($H95:$S95))</f>
        <v/>
      </c>
      <c r="U95" s="56">
        <f>IF($G95="","",IF($T95="","",MIN(1,IF($G95=0,IF($T95&lt;=0,1,0),IF($F95="↓",IFERROR($G95/$T95,0),IFERROR($T95/$G95,0))))))</f>
        <v/>
      </c>
      <c r="V95" s="59">
        <f>IF($U95="","⏳ بانتظار هدف",IF($U95&gt;=1.0,"✅ محقق",IF($U95&gt;=0.85,"🟡 قريب","🔴 تحت الهدف")))</f>
        <v/>
      </c>
      <c r="W95" s="70">
        <f>IF($G95="","",$G95)</f>
        <v/>
      </c>
      <c r="X95" s="59">
        <f>IF($U95="","—",IF($U95&gt;=0.85,"🟢 على المسار","🟠 متأخّر"))</f>
        <v/>
      </c>
    </row>
    <row r="96" ht="22" customHeight="1">
      <c r="A96" s="59" t="n">
        <v>93</v>
      </c>
      <c r="B96" s="13" t="inlineStr">
        <is>
          <t>العقار</t>
        </is>
      </c>
      <c r="C96" s="11" t="inlineStr">
        <is>
          <t>نسبة إغلاق الطلبات خلال 3 أسابيع</t>
        </is>
      </c>
      <c r="D96" s="15" t="inlineStr">
        <is>
          <t>شهري</t>
        </is>
      </c>
      <c r="E96" s="15" t="inlineStr">
        <is>
          <t>معدل</t>
        </is>
      </c>
      <c r="F96" s="55" t="inlineStr">
        <is>
          <t>↑</t>
        </is>
      </c>
      <c r="G96" s="64" t="n">
        <v>0.9</v>
      </c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56">
        <f>IF(COUNT($H96:$S96)=0,"",SUM($H96:$S96)/COUNT($H96:$S96))</f>
        <v/>
      </c>
      <c r="U96" s="56">
        <f>IF($G96="","",IF($T96="","",MIN(1,IF($G96=0,IF($T96&lt;=0,1,0),IF($F96="↓",IFERROR($G96/$T96,0),IFERROR($T96/$G96,0))))))</f>
        <v/>
      </c>
      <c r="V96" s="59">
        <f>IF($U96="","⏳ بانتظار هدف",IF($U96&gt;=1.0,"✅ محقق",IF($U96&gt;=0.85,"🟡 قريب","🔴 تحت الهدف")))</f>
        <v/>
      </c>
      <c r="W96" s="66">
        <f>IF($G96="","",$G96)</f>
        <v/>
      </c>
      <c r="X96" s="59">
        <f>IF($U96="","—",IF($U96&gt;=0.85,"🟢 على المسار","🟠 متأخّر"))</f>
        <v/>
      </c>
    </row>
    <row r="97" ht="22" customHeight="1">
      <c r="A97" s="59" t="n">
        <v>94</v>
      </c>
      <c r="B97" s="13" t="inlineStr">
        <is>
          <t>العقار</t>
        </is>
      </c>
      <c r="C97" s="11" t="inlineStr">
        <is>
          <t>استدامة المستأجرين (لم يُنهَ مبكراً)</t>
        </is>
      </c>
      <c r="D97" s="15" t="inlineStr">
        <is>
          <t>شهري</t>
        </is>
      </c>
      <c r="E97" s="15" t="inlineStr">
        <is>
          <t>معدل</t>
        </is>
      </c>
      <c r="F97" s="55" t="inlineStr">
        <is>
          <t>↑</t>
        </is>
      </c>
      <c r="G97" s="64" t="n">
        <v>0.8</v>
      </c>
      <c r="H97" s="65" t="n"/>
      <c r="I97" s="65" t="n"/>
      <c r="J97" s="65" t="n"/>
      <c r="K97" s="65" t="n"/>
      <c r="L97" s="65" t="n"/>
      <c r="M97" s="65" t="n"/>
      <c r="N97" s="65" t="n"/>
      <c r="O97" s="65" t="n"/>
      <c r="P97" s="65" t="n"/>
      <c r="Q97" s="65" t="n"/>
      <c r="R97" s="65" t="n"/>
      <c r="S97" s="65" t="n"/>
      <c r="T97" s="56">
        <f>IF(COUNT($H97:$S97)=0,"",SUM($H97:$S97)/COUNT($H97:$S97))</f>
        <v/>
      </c>
      <c r="U97" s="56">
        <f>IF($G97="","",IF($T97="","",MIN(1,IF($G97=0,IF($T97&lt;=0,1,0),IF($F97="↓",IFERROR($G97/$T97,0),IFERROR($T97/$G97,0))))))</f>
        <v/>
      </c>
      <c r="V97" s="59">
        <f>IF($U97="","⏳ بانتظار هدف",IF($U97&gt;=1.0,"✅ محقق",IF($U97&gt;=0.85,"🟡 قريب","🔴 تحت الهدف")))</f>
        <v/>
      </c>
      <c r="W97" s="66">
        <f>IF($G97="","",$G97)</f>
        <v/>
      </c>
      <c r="X97" s="59">
        <f>IF($U97="","—",IF($U97&gt;=0.85,"🟢 على المسار","🟠 متأخّر"))</f>
        <v/>
      </c>
    </row>
    <row r="98" ht="22" customHeight="1">
      <c r="A98" s="59" t="n">
        <v>95</v>
      </c>
      <c r="B98" s="13" t="inlineStr">
        <is>
          <t>العقار</t>
        </is>
      </c>
      <c r="C98" s="11" t="inlineStr">
        <is>
          <t>معدل رضا المستأجرين (استبيان ربعي)</t>
        </is>
      </c>
      <c r="D98" s="15" t="inlineStr">
        <is>
          <t>ربعي</t>
        </is>
      </c>
      <c r="E98" s="15" t="inlineStr">
        <is>
          <t>معدل</t>
        </is>
      </c>
      <c r="F98" s="55" t="inlineStr">
        <is>
          <t>↑</t>
        </is>
      </c>
      <c r="G98" s="64" t="n">
        <v>0.9</v>
      </c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65" t="n"/>
      <c r="R98" s="65" t="n"/>
      <c r="S98" s="65" t="n"/>
      <c r="T98" s="56">
        <f>IF(COUNT($H98:$S98)=0,"",SUM($H98:$S98)/COUNT($H98:$S98))</f>
        <v/>
      </c>
      <c r="U98" s="56">
        <f>IF($G98="","",IF($T98="","",MIN(1,IF($G98=0,IF($T98&lt;=0,1,0),IF($F98="↓",IFERROR($G98/$T98,0),IFERROR($T98/$G98,0))))))</f>
        <v/>
      </c>
      <c r="V98" s="59">
        <f>IF($U98="","⏳ بانتظار هدف",IF($U98&gt;=0.9,"✅ محقق",IF($U98&gt;=0.75,"🟡 قريب","🔴 تحت الهدف")))</f>
        <v/>
      </c>
      <c r="W98" s="66">
        <f>IF($G98="","",$G98)</f>
        <v/>
      </c>
      <c r="X98" s="59">
        <f>IF($U98="","—",IF($U98&gt;=0.75,"🟢 على المسار","🟠 متأخّر"))</f>
        <v/>
      </c>
    </row>
    <row r="99" ht="22" customHeight="1">
      <c r="A99" s="59" t="n">
        <v>96</v>
      </c>
      <c r="B99" s="13" t="inlineStr">
        <is>
          <t>إدارة المشاريع</t>
        </is>
      </c>
      <c r="C99" s="11" t="inlineStr">
        <is>
          <t>عدد محطات الشركة المُسلَّمة</t>
        </is>
      </c>
      <c r="D99" s="15" t="inlineStr">
        <is>
          <t>شهري</t>
        </is>
      </c>
      <c r="E99" s="15" t="inlineStr">
        <is>
          <t>تراكمي</t>
        </is>
      </c>
      <c r="F99" s="55" t="inlineStr">
        <is>
          <t>↑</t>
        </is>
      </c>
      <c r="G99" s="60" t="n">
        <v>20</v>
      </c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2">
        <f>IF(COUNT($H99:$S99)=0,"",SUM($H99:$S99))</f>
        <v/>
      </c>
      <c r="U99" s="56">
        <f>IF($G99="","",IF($T99="","",MIN(1,IF($G99=0,IF($T99&lt;=0,1,0),IF($F99="↓",IFERROR($G99/$T99,0),IFERROR($T99/$G99,0))))))</f>
        <v/>
      </c>
      <c r="V99" s="59">
        <f>IF($U99="","⏳ بانتظار هدف",IF($U99&gt;=1.0,"✅ محقق",IF($U99&gt;=0.85,"🟡 قريب","🔴 تحت الهدف")))</f>
        <v/>
      </c>
      <c r="W99" s="63">
        <f>IF($G99="","",$G99*COUNT($H99:$S99)/12)</f>
        <v/>
      </c>
      <c r="X99" s="59">
        <f>IF($U99="","—",IF($U99&gt;=COUNT($H99:$S99)/12,"🟢 على المسار","🟠 متأخّر"))</f>
        <v/>
      </c>
    </row>
    <row r="100" ht="22" customHeight="1">
      <c r="A100" s="59" t="n">
        <v>97</v>
      </c>
      <c r="B100" s="13" t="inlineStr">
        <is>
          <t>إدارة المشاريع</t>
        </is>
      </c>
      <c r="C100" s="11" t="inlineStr">
        <is>
          <t>نسبة إنجاز محفظة مشاريع التوسع</t>
        </is>
      </c>
      <c r="D100" s="15" t="inlineStr">
        <is>
          <t>شهري</t>
        </is>
      </c>
      <c r="E100" s="15" t="inlineStr">
        <is>
          <t>معدل</t>
        </is>
      </c>
      <c r="F100" s="55" t="inlineStr">
        <is>
          <t>↑</t>
        </is>
      </c>
      <c r="G100" s="64" t="n">
        <v>0.7</v>
      </c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65" t="n"/>
      <c r="R100" s="65" t="n"/>
      <c r="S100" s="65" t="n"/>
      <c r="T100" s="56">
        <f>IF(COUNT($H100:$S100)=0,"",SUM($H100:$S100)/COUNT($H100:$S100))</f>
        <v/>
      </c>
      <c r="U100" s="56">
        <f>IF($G100="","",IF($T100="","",MIN(1,IF($G100=0,IF($T100&lt;=0,1,0),IF($F100="↓",IFERROR($G100/$T100,0),IFERROR($T100/$G100,0))))))</f>
        <v/>
      </c>
      <c r="V100" s="59">
        <f>IF($U100="","⏳ بانتظار هدف",IF($U100&gt;=1.0,"✅ محقق",IF($U100&gt;=0.85,"🟡 قريب","🔴 تحت الهدف")))</f>
        <v/>
      </c>
      <c r="W100" s="66">
        <f>IF($G100="","",$G100)</f>
        <v/>
      </c>
      <c r="X100" s="59">
        <f>IF($U100="","—",IF($U100&gt;=0.85,"🟢 على المسار","🟠 متأخّر"))</f>
        <v/>
      </c>
    </row>
    <row r="101" ht="22" customHeight="1">
      <c r="A101" s="59" t="n">
        <v>98</v>
      </c>
      <c r="B101" s="13" t="inlineStr">
        <is>
          <t>إدارة المشاريع</t>
        </is>
      </c>
      <c r="C101" s="11" t="inlineStr">
        <is>
          <t>نسبة تسليم المحطات في الموعد المخطط</t>
        </is>
      </c>
      <c r="D101" s="15" t="inlineStr">
        <is>
          <t>شهري</t>
        </is>
      </c>
      <c r="E101" s="15" t="inlineStr">
        <is>
          <t>معدل</t>
        </is>
      </c>
      <c r="F101" s="55" t="inlineStr">
        <is>
          <t>↑</t>
        </is>
      </c>
      <c r="G101" s="64" t="n">
        <v>0.8</v>
      </c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56">
        <f>IF(COUNT($H101:$S101)=0,"",SUM($H101:$S101)/COUNT($H101:$S101))</f>
        <v/>
      </c>
      <c r="U101" s="56">
        <f>IF($G101="","",IF($T101="","",MIN(1,IF($G101=0,IF($T101&lt;=0,1,0),IF($F101="↓",IFERROR($G101/$T101,0),IFERROR($T101/$G101,0))))))</f>
        <v/>
      </c>
      <c r="V101" s="59">
        <f>IF($U101="","⏳ بانتظار هدف",IF($U101&gt;=1.0,"✅ محقق",IF($U101&gt;=0.85,"🟡 قريب","🔴 تحت الهدف")))</f>
        <v/>
      </c>
      <c r="W101" s="66">
        <f>IF($G101="","",$G101)</f>
        <v/>
      </c>
      <c r="X101" s="59">
        <f>IF($U101="","—",IF($U101&gt;=0.85,"🟢 على المسار","🟠 متأخّر"))</f>
        <v/>
      </c>
    </row>
    <row r="102" ht="22" customHeight="1">
      <c r="A102" s="59" t="n">
        <v>99</v>
      </c>
      <c r="B102" s="13" t="inlineStr">
        <is>
          <t>إدارة المشاريع</t>
        </is>
      </c>
      <c r="C102" s="11" t="inlineStr">
        <is>
          <t>نسبة المشاريع المنفّذة ضمن الميزانية</t>
        </is>
      </c>
      <c r="D102" s="15" t="inlineStr">
        <is>
          <t>شهري</t>
        </is>
      </c>
      <c r="E102" s="15" t="inlineStr">
        <is>
          <t>معدل</t>
        </is>
      </c>
      <c r="F102" s="55" t="inlineStr">
        <is>
          <t>↑</t>
        </is>
      </c>
      <c r="G102" s="64" t="n">
        <v>0.85</v>
      </c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56">
        <f>IF(COUNT($H102:$S102)=0,"",SUM($H102:$S102)/COUNT($H102:$S102))</f>
        <v/>
      </c>
      <c r="U102" s="56">
        <f>IF($G102="","",IF($T102="","",MIN(1,IF($G102=0,IF($T102&lt;=0,1,0),IF($F102="↓",IFERROR($G102/$T102,0),IFERROR($T102/$G102,0))))))</f>
        <v/>
      </c>
      <c r="V102" s="59">
        <f>IF($U102="","⏳ بانتظار هدف",IF($U102&gt;=1.0,"✅ محقق",IF($U102&gt;=0.85,"🟡 قريب","🔴 تحت الهدف")))</f>
        <v/>
      </c>
      <c r="W102" s="66">
        <f>IF($G102="","",$G102)</f>
        <v/>
      </c>
      <c r="X102" s="59">
        <f>IF($U102="","—",IF($U102&gt;=0.85,"🟢 على المسار","🟠 متأخّر"))</f>
        <v/>
      </c>
    </row>
    <row r="103" ht="22" customHeight="1">
      <c r="A103" s="59" t="n">
        <v>100</v>
      </c>
      <c r="B103" s="13" t="inlineStr">
        <is>
          <t>إدارة المشاريع</t>
        </is>
      </c>
      <c r="C103" s="11" t="inlineStr">
        <is>
          <t>عدد محطات الامتياز المُسلَّمة بالهوية</t>
        </is>
      </c>
      <c r="D103" s="15" t="inlineStr">
        <is>
          <t>شهري</t>
        </is>
      </c>
      <c r="E103" s="15" t="inlineStr">
        <is>
          <t>تراكمي</t>
        </is>
      </c>
      <c r="F103" s="55" t="inlineStr">
        <is>
          <t>↑</t>
        </is>
      </c>
      <c r="G103" s="60" t="n">
        <v>40</v>
      </c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2">
        <f>IF(COUNT($H103:$S103)=0,"",SUM($H103:$S103))</f>
        <v/>
      </c>
      <c r="U103" s="56">
        <f>IF($G103="","",IF($T103="","",MIN(1,IF($G103=0,IF($T103&lt;=0,1,0),IF($F103="↓",IFERROR($G103/$T103,0),IFERROR($T103/$G103,0))))))</f>
        <v/>
      </c>
      <c r="V103" s="59">
        <f>IF($U103="","⏳ بانتظار هدف",IF($U103&gt;=1.0,"✅ محقق",IF($U103&gt;=0.85,"🟡 قريب","🔴 تحت الهدف")))</f>
        <v/>
      </c>
      <c r="W103" s="63">
        <f>IF($G103="","",$G103*COUNT($H103:$S103)/12)</f>
        <v/>
      </c>
      <c r="X103" s="59">
        <f>IF($U103="","—",IF($U103&gt;=COUNT($H103:$S103)/12,"🟢 على المسار","🟠 متأخّر"))</f>
        <v/>
      </c>
    </row>
    <row r="104" ht="22" customHeight="1">
      <c r="A104" s="59" t="n">
        <v>101</v>
      </c>
      <c r="B104" s="13" t="inlineStr">
        <is>
          <t>إدارة المشاريع</t>
        </is>
      </c>
      <c r="C104" s="11" t="inlineStr">
        <is>
          <t>نسبة تنفيذ زيارات الإشراف المجدولة</t>
        </is>
      </c>
      <c r="D104" s="15" t="inlineStr">
        <is>
          <t>شهري</t>
        </is>
      </c>
      <c r="E104" s="15" t="inlineStr">
        <is>
          <t>معدل</t>
        </is>
      </c>
      <c r="F104" s="55" t="inlineStr">
        <is>
          <t>↑</t>
        </is>
      </c>
      <c r="G104" s="64" t="n">
        <v>0.9</v>
      </c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56">
        <f>IF(COUNT($H104:$S104)=0,"",SUM($H104:$S104)/COUNT($H104:$S104))</f>
        <v/>
      </c>
      <c r="U104" s="56">
        <f>IF($G104="","",IF($T104="","",MIN(1,IF($G104=0,IF($T104&lt;=0,1,0),IF($F104="↓",IFERROR($G104/$T104,0),IFERROR($T104/$G104,0))))))</f>
        <v/>
      </c>
      <c r="V104" s="59">
        <f>IF($U104="","⏳ بانتظار هدف",IF($U104&gt;=1.0,"✅ محقق",IF($U104&gt;=0.85,"🟡 قريب","🔴 تحت الهدف")))</f>
        <v/>
      </c>
      <c r="W104" s="66">
        <f>IF($G104="","",$G104)</f>
        <v/>
      </c>
      <c r="X104" s="59">
        <f>IF($U104="","—",IF($U104&gt;=0.85,"🟢 على المسار","🟠 متأخّر"))</f>
        <v/>
      </c>
    </row>
    <row r="105" ht="22" customHeight="1">
      <c r="A105" s="59" t="n">
        <v>102</v>
      </c>
      <c r="B105" s="13" t="inlineStr">
        <is>
          <t>إدارة المشاريع</t>
        </is>
      </c>
      <c r="C105" s="11" t="inlineStr">
        <is>
          <t>نسبة التزام المطوّرين بالجدول الزمني</t>
        </is>
      </c>
      <c r="D105" s="15" t="inlineStr">
        <is>
          <t>شهري</t>
        </is>
      </c>
      <c r="E105" s="15" t="inlineStr">
        <is>
          <t>معدل</t>
        </is>
      </c>
      <c r="F105" s="55" t="inlineStr">
        <is>
          <t>↑</t>
        </is>
      </c>
      <c r="G105" s="64" t="n">
        <v>0.75</v>
      </c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56">
        <f>IF(COUNT($H105:$S105)=0,"",SUM($H105:$S105)/COUNT($H105:$S105))</f>
        <v/>
      </c>
      <c r="U105" s="56">
        <f>IF($G105="","",IF($T105="","",MIN(1,IF($G105=0,IF($T105&lt;=0,1,0),IF($F105="↓",IFERROR($G105/$T105,0),IFERROR($T105/$G105,0))))))</f>
        <v/>
      </c>
      <c r="V105" s="59">
        <f>IF($U105="","⏳ بانتظار هدف",IF($U105&gt;=1.0,"✅ محقق",IF($U105&gt;=0.85,"🟡 قريب","🔴 تحت الهدف")))</f>
        <v/>
      </c>
      <c r="W105" s="66">
        <f>IF($G105="","",$G105)</f>
        <v/>
      </c>
      <c r="X105" s="59">
        <f>IF($U105="","—",IF($U105&gt;=0.85,"🟢 على المسار","🟠 متأخّر"))</f>
        <v/>
      </c>
    </row>
    <row r="106" ht="22" customHeight="1">
      <c r="A106" s="59" t="n">
        <v>103</v>
      </c>
      <c r="B106" s="13" t="inlineStr">
        <is>
          <t>إدارة المشاريع</t>
        </is>
      </c>
      <c r="C106" s="11" t="inlineStr">
        <is>
          <t>نسبة إغلاق ملاحظات الجودة على المطوّرين</t>
        </is>
      </c>
      <c r="D106" s="15" t="inlineStr">
        <is>
          <t>شهري</t>
        </is>
      </c>
      <c r="E106" s="15" t="inlineStr">
        <is>
          <t>معدل</t>
        </is>
      </c>
      <c r="F106" s="55" t="inlineStr">
        <is>
          <t>↑</t>
        </is>
      </c>
      <c r="G106" s="64" t="n">
        <v>0.9</v>
      </c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56">
        <f>IF(COUNT($H106:$S106)=0,"",SUM($H106:$S106)/COUNT($H106:$S106))</f>
        <v/>
      </c>
      <c r="U106" s="56">
        <f>IF($G106="","",IF($T106="","",MIN(1,IF($G106=0,IF($T106&lt;=0,1,0),IF($F106="↓",IFERROR($G106/$T106,0),IFERROR($T106/$G106,0))))))</f>
        <v/>
      </c>
      <c r="V106" s="59">
        <f>IF($U106="","⏳ بانتظار هدف",IF($U106&gt;=1.0,"✅ محقق",IF($U106&gt;=0.85,"🟡 قريب","🔴 تحت الهدف")))</f>
        <v/>
      </c>
      <c r="W106" s="66">
        <f>IF($G106="","",$G106)</f>
        <v/>
      </c>
      <c r="X106" s="59">
        <f>IF($U106="","—",IF($U106&gt;=0.85,"🟢 على المسار","🟠 متأخّر"))</f>
        <v/>
      </c>
    </row>
    <row r="107" ht="22" customHeight="1">
      <c r="A107" s="59" t="n">
        <v>104</v>
      </c>
      <c r="B107" s="13" t="inlineStr">
        <is>
          <t>إدارة المشاريع</t>
        </is>
      </c>
      <c r="C107" s="11" t="inlineStr">
        <is>
          <t>إجمالي المحطات المُسلَّمة بالهوية (شركة + امتياز)</t>
        </is>
      </c>
      <c r="D107" s="15" t="inlineStr">
        <is>
          <t>شهري</t>
        </is>
      </c>
      <c r="E107" s="15" t="inlineStr">
        <is>
          <t>تراكمي</t>
        </is>
      </c>
      <c r="F107" s="55" t="inlineStr">
        <is>
          <t>↑</t>
        </is>
      </c>
      <c r="G107" s="60" t="n">
        <v>60</v>
      </c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2">
        <f>IF(COUNT($H107:$S107)=0,"",SUM($H107:$S107))</f>
        <v/>
      </c>
      <c r="U107" s="56">
        <f>IF($G107="","",IF($T107="","",MIN(1,IF($G107=0,IF($T107&lt;=0,1,0),IF($F107="↓",IFERROR($G107/$T107,0),IFERROR($T107/$G107,0))))))</f>
        <v/>
      </c>
      <c r="V107" s="59">
        <f>IF($U107="","⏳ بانتظار هدف",IF($U107&gt;=1.0,"✅ محقق",IF($U107&gt;=0.85,"🟡 قريب","🔴 تحت الهدف")))</f>
        <v/>
      </c>
      <c r="W107" s="63">
        <f>IF($G107="","",$G107*COUNT($H107:$S107)/12)</f>
        <v/>
      </c>
      <c r="X107" s="59">
        <f>IF($U107="","—",IF($U107&gt;=COUNT($H107:$S107)/12,"🟢 على المسار","🟠 متأخّر"))</f>
        <v/>
      </c>
    </row>
    <row r="108" ht="22" customHeight="1">
      <c r="A108" s="59" t="n">
        <v>105</v>
      </c>
      <c r="B108" s="13" t="inlineStr">
        <is>
          <t>إدارة المشاريع</t>
        </is>
      </c>
      <c r="C108" s="11" t="inlineStr">
        <is>
          <t>نسبة المشاريع الخالية من مخالفات الجودة</t>
        </is>
      </c>
      <c r="D108" s="15" t="inlineStr">
        <is>
          <t>شهري</t>
        </is>
      </c>
      <c r="E108" s="15" t="inlineStr">
        <is>
          <t>معدل</t>
        </is>
      </c>
      <c r="F108" s="55" t="inlineStr">
        <is>
          <t>↑</t>
        </is>
      </c>
      <c r="G108" s="64" t="n">
        <v>0.9</v>
      </c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56">
        <f>IF(COUNT($H108:$S108)=0,"",SUM($H108:$S108)/COUNT($H108:$S108))</f>
        <v/>
      </c>
      <c r="U108" s="56">
        <f>IF($G108="","",IF($T108="","",MIN(1,IF($G108=0,IF($T108&lt;=0,1,0),IF($F108="↓",IFERROR($G108/$T108,0),IFERROR($T108/$G108,0))))))</f>
        <v/>
      </c>
      <c r="V108" s="59">
        <f>IF($U108="","⏳ بانتظار هدف",IF($U108&gt;=1.0,"✅ محقق",IF($U108&gt;=0.85,"🟡 قريب","🔴 تحت الهدف")))</f>
        <v/>
      </c>
      <c r="W108" s="66">
        <f>IF($G108="","",$G108)</f>
        <v/>
      </c>
      <c r="X108" s="59">
        <f>IF($U108="","—",IF($U108&gt;=0.85,"🟢 على المسار","🟠 متأخّر"))</f>
        <v/>
      </c>
    </row>
    <row r="109" ht="22" customHeight="1">
      <c r="A109" s="59" t="n">
        <v>106</v>
      </c>
      <c r="B109" s="13" t="inlineStr">
        <is>
          <t>إدارة المشاريع</t>
        </is>
      </c>
      <c r="C109" s="11" t="inlineStr">
        <is>
          <t>عدد مخالفات المقاولين (سنوي)</t>
        </is>
      </c>
      <c r="D109" s="15" t="inlineStr">
        <is>
          <t>شهري</t>
        </is>
      </c>
      <c r="E109" s="15" t="inlineStr">
        <is>
          <t>تراكمي</t>
        </is>
      </c>
      <c r="F109" s="55" t="inlineStr">
        <is>
          <t>↓</t>
        </is>
      </c>
      <c r="G109" s="60" t="n">
        <v>10</v>
      </c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2">
        <f>IF(COUNT($H109:$S109)=0,"",SUM($H109:$S109))</f>
        <v/>
      </c>
      <c r="U109" s="56">
        <f>IF($G109="","",IF($T109="","",MIN(1,IF($G109=0,IF($T109&lt;=0,1,0),IF($F109="↓",IFERROR($G109/$T109,0),IFERROR($T109/$G109,0))))))</f>
        <v/>
      </c>
      <c r="V109" s="59">
        <f>IF($U109="","⏳ بانتظار هدف",IF($U109&gt;=1.0,"✅ محقق",IF($U109&gt;=0.85,"🟡 قريب","🔴 تحت الهدف")))</f>
        <v/>
      </c>
      <c r="W109" s="63">
        <f>IF($G109="","",$G109*COUNT($H109:$S109)/12)</f>
        <v/>
      </c>
      <c r="X109" s="59">
        <f>IF($U109="","—",IF($U109&gt;=COUNT($H109:$S109)/12,"🟢 على المسار","🟠 متأخّر"))</f>
        <v/>
      </c>
    </row>
    <row r="110" ht="22" customHeight="1">
      <c r="A110" s="59" t="n">
        <v>107</v>
      </c>
      <c r="B110" s="13" t="inlineStr">
        <is>
          <t>إدارة المشاريع</t>
        </is>
      </c>
      <c r="C110" s="11" t="inlineStr">
        <is>
          <t>نسبة التزام المقاولين بمعايير السلامة</t>
        </is>
      </c>
      <c r="D110" s="15" t="inlineStr">
        <is>
          <t>شهري</t>
        </is>
      </c>
      <c r="E110" s="15" t="inlineStr">
        <is>
          <t>معدل</t>
        </is>
      </c>
      <c r="F110" s="55" t="inlineStr">
        <is>
          <t>↑</t>
        </is>
      </c>
      <c r="G110" s="64" t="n">
        <v>0.95</v>
      </c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56">
        <f>IF(COUNT($H110:$S110)=0,"",SUM($H110:$S110)/COUNT($H110:$S110))</f>
        <v/>
      </c>
      <c r="U110" s="56">
        <f>IF($G110="","",IF($T110="","",MIN(1,IF($G110=0,IF($T110&lt;=0,1,0),IF($F110="↓",IFERROR($G110/$T110,0),IFERROR($T110/$G110,0))))))</f>
        <v/>
      </c>
      <c r="V110" s="59">
        <f>IF($U110="","⏳ بانتظار هدف",IF($U110&gt;=1.0,"✅ محقق",IF($U110&gt;=0.97,"🟡 قريب","🔴 تحت الهدف")))</f>
        <v/>
      </c>
      <c r="W110" s="66">
        <f>IF($G110="","",$G110)</f>
        <v/>
      </c>
      <c r="X110" s="59">
        <f>IF($U110="","—",IF($U110&gt;=0.97,"🟢 على المسار","🟠 متأخّر"))</f>
        <v/>
      </c>
    </row>
    <row r="111" ht="22" customHeight="1">
      <c r="A111" s="59" t="n">
        <v>108</v>
      </c>
      <c r="B111" s="13" t="inlineStr">
        <is>
          <t>إدارة المشاريع</t>
        </is>
      </c>
      <c r="C111" s="11" t="inlineStr">
        <is>
          <t>نسبة الالتزام بالميزانية المعتمدة</t>
        </is>
      </c>
      <c r="D111" s="15" t="inlineStr">
        <is>
          <t>شهري</t>
        </is>
      </c>
      <c r="E111" s="15" t="inlineStr">
        <is>
          <t>معدل</t>
        </is>
      </c>
      <c r="F111" s="55" t="inlineStr">
        <is>
          <t>↑</t>
        </is>
      </c>
      <c r="G111" s="64" t="n">
        <v>1</v>
      </c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56">
        <f>IF(COUNT($H111:$S111)=0,"",SUM($H111:$S111)/COUNT($H111:$S111))</f>
        <v/>
      </c>
      <c r="U111" s="56">
        <f>IF($G111="","",IF($T111="","",MIN(1,IF($G111=0,IF($T111&lt;=0,1,0),IF($F111="↓",IFERROR($G111/$T111,0),IFERROR($T111/$G111,0))))))</f>
        <v/>
      </c>
      <c r="V111" s="59">
        <f>IF($U111="","⏳ بانتظار هدف",IF($U111&gt;=1.0,"✅ محقق",IF($U111&gt;=0.85,"🟡 قريب","🔴 تحت الهدف")))</f>
        <v/>
      </c>
      <c r="W111" s="66">
        <f>IF($G111="","",$G111)</f>
        <v/>
      </c>
      <c r="X111" s="59">
        <f>IF($U111="","—",IF($U111&gt;=0.85,"🟢 على المسار","🟠 متأخّر"))</f>
        <v/>
      </c>
    </row>
    <row r="112" ht="22" customHeight="1">
      <c r="A112" s="59" t="n">
        <v>109</v>
      </c>
      <c r="B112" s="13" t="inlineStr">
        <is>
          <t>إدارة المشاريع</t>
        </is>
      </c>
      <c r="C112" s="11" t="inlineStr">
        <is>
          <t>نسبة الالتزام بالجدول الزمني العام</t>
        </is>
      </c>
      <c r="D112" s="15" t="inlineStr">
        <is>
          <t>شهري</t>
        </is>
      </c>
      <c r="E112" s="15" t="inlineStr">
        <is>
          <t>معدل</t>
        </is>
      </c>
      <c r="F112" s="55" t="inlineStr">
        <is>
          <t>↑</t>
        </is>
      </c>
      <c r="G112" s="64" t="n">
        <v>1</v>
      </c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56">
        <f>IF(COUNT($H112:$S112)=0,"",SUM($H112:$S112)/COUNT($H112:$S112))</f>
        <v/>
      </c>
      <c r="U112" s="56">
        <f>IF($G112="","",IF($T112="","",MIN(1,IF($G112=0,IF($T112&lt;=0,1,0),IF($F112="↓",IFERROR($G112/$T112,0),IFERROR($T112/$G112,0))))))</f>
        <v/>
      </c>
      <c r="V112" s="59">
        <f>IF($U112="","⏳ بانتظار هدف",IF($U112&gt;=1.0,"✅ محقق",IF($U112&gt;=0.85,"🟡 قريب","🔴 تحت الهدف")))</f>
        <v/>
      </c>
      <c r="W112" s="66">
        <f>IF($G112="","",$G112)</f>
        <v/>
      </c>
      <c r="X112" s="59">
        <f>IF($U112="","—",IF($U112&gt;=0.85,"🟢 على المسار","🟠 متأخّر"))</f>
        <v/>
      </c>
    </row>
    <row r="113" ht="22" customHeight="1">
      <c r="A113" s="59" t="n">
        <v>110</v>
      </c>
      <c r="B113" s="13" t="inlineStr">
        <is>
          <t>إدارة المشاريع</t>
        </is>
      </c>
      <c r="C113" s="11" t="inlineStr">
        <is>
          <t>متوسط مدة إغلاق قائمة الملاحظات النهائية</t>
        </is>
      </c>
      <c r="D113" s="15" t="inlineStr">
        <is>
          <t>شهري</t>
        </is>
      </c>
      <c r="E113" s="15" t="inlineStr">
        <is>
          <t>معدل</t>
        </is>
      </c>
      <c r="F113" s="55" t="inlineStr">
        <is>
          <t>↓</t>
        </is>
      </c>
      <c r="G113" s="67" t="n">
        <v>30</v>
      </c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9">
        <f>IF(COUNT($H113:$S113)=0,"",SUM($H113:$S113)/COUNT($H113:$S113))</f>
        <v/>
      </c>
      <c r="U113" s="56">
        <f>IF($G113="","",IF($T113="","",MIN(1,IF($G113=0,IF($T113&lt;=0,1,0),IF($F113="↓",IFERROR($G113/$T113,0),IFERROR($T113/$G113,0))))))</f>
        <v/>
      </c>
      <c r="V113" s="59">
        <f>IF($U113="","⏳ بانتظار هدف",IF($U113&gt;=1.0,"✅ محقق",IF($U113&gt;=0.85,"🟡 قريب","🔴 تحت الهدف")))</f>
        <v/>
      </c>
      <c r="W113" s="70">
        <f>IF($G113="","",$G113)</f>
        <v/>
      </c>
      <c r="X113" s="59">
        <f>IF($U113="","—",IF($U113&gt;=0.85,"🟢 على المسار","🟠 متأخّر"))</f>
        <v/>
      </c>
    </row>
    <row r="114" ht="22" customHeight="1">
      <c r="A114" s="59" t="n">
        <v>111</v>
      </c>
      <c r="B114" s="13" t="inlineStr">
        <is>
          <t>سلاسل الإمداد</t>
        </is>
      </c>
      <c r="C114" s="11" t="inlineStr">
        <is>
          <t>نسبة تلبية طلبات المحطات من الوقود Fill Rate</t>
        </is>
      </c>
      <c r="D114" s="15" t="inlineStr">
        <is>
          <t>شهري</t>
        </is>
      </c>
      <c r="E114" s="15" t="inlineStr">
        <is>
          <t>معدل</t>
        </is>
      </c>
      <c r="F114" s="55" t="inlineStr">
        <is>
          <t>↑</t>
        </is>
      </c>
      <c r="G114" s="64" t="n">
        <v>0.98</v>
      </c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56">
        <f>IF(COUNT($H114:$S114)=0,"",SUM($H114:$S114)/COUNT($H114:$S114))</f>
        <v/>
      </c>
      <c r="U114" s="56">
        <f>IF($G114="","",IF($T114="","",MIN(1,IF($G114=0,IF($T114&lt;=0,1,0),IF($F114="↓",IFERROR($G114/$T114,0),IFERROR($T114/$G114,0))))))</f>
        <v/>
      </c>
      <c r="V114" s="59">
        <f>IF($U114="","⏳ بانتظار هدف",IF($U114&gt;=1.0,"✅ محقق",IF($U114&gt;=0.85,"🟡 قريب","🔴 تحت الهدف")))</f>
        <v/>
      </c>
      <c r="W114" s="66">
        <f>IF($G114="","",$G114)</f>
        <v/>
      </c>
      <c r="X114" s="59">
        <f>IF($U114="","—",IF($U114&gt;=0.85,"🟢 على المسار","🟠 متأخّر"))</f>
        <v/>
      </c>
    </row>
    <row r="115" ht="22" customHeight="1">
      <c r="A115" s="59" t="n">
        <v>112</v>
      </c>
      <c r="B115" s="13" t="inlineStr">
        <is>
          <t>سلاسل الإمداد</t>
        </is>
      </c>
      <c r="C115" s="11" t="inlineStr">
        <is>
          <t>عدد انقطاعات التوريد المؤثرة شهريًا</t>
        </is>
      </c>
      <c r="D115" s="15" t="inlineStr">
        <is>
          <t>شهري</t>
        </is>
      </c>
      <c r="E115" s="15" t="inlineStr">
        <is>
          <t>تراكمي</t>
        </is>
      </c>
      <c r="F115" s="55" t="inlineStr">
        <is>
          <t>↓</t>
        </is>
      </c>
      <c r="G115" s="60" t="n">
        <v>0</v>
      </c>
      <c r="H115" s="61" t="n"/>
      <c r="I115" s="61" t="n"/>
      <c r="J115" s="61" t="n"/>
      <c r="K115" s="61" t="n"/>
      <c r="L115" s="61" t="n"/>
      <c r="M115" s="61" t="n"/>
      <c r="N115" s="61" t="n"/>
      <c r="O115" s="61" t="n"/>
      <c r="P115" s="61" t="n"/>
      <c r="Q115" s="61" t="n"/>
      <c r="R115" s="61" t="n"/>
      <c r="S115" s="61" t="n"/>
      <c r="T115" s="62">
        <f>IF(COUNT($H115:$S115)=0,"",SUM($H115:$S115))</f>
        <v/>
      </c>
      <c r="U115" s="56">
        <f>IF($G115="","",IF($T115="","",MIN(1,IF($G115=0,IF($T115&lt;=0,1,0),IF($F115="↓",IFERROR($G115/$T115,0),IFERROR($T115/$G115,0))))))</f>
        <v/>
      </c>
      <c r="V115" s="59">
        <f>IF($U115="","⏳ بانتظار هدف",IF($U115&gt;=1.0,"✅ محقق",IF($U115&gt;=0.85,"🟡 قريب","🔴 تحت الهدف")))</f>
        <v/>
      </c>
      <c r="W115" s="63">
        <f>IF($G115="","",$G115*COUNT($H115:$S115)/12)</f>
        <v/>
      </c>
      <c r="X115" s="59">
        <f>IF($U115="","—",IF($U115&gt;=COUNT($H115:$S115)/12,"🟢 على المسار","🟠 متأخّر"))</f>
        <v/>
      </c>
    </row>
    <row r="116" ht="22" customHeight="1">
      <c r="A116" s="59" t="n">
        <v>113</v>
      </c>
      <c r="B116" s="13" t="inlineStr">
        <is>
          <t>سلاسل الإمداد</t>
        </is>
      </c>
      <c r="C116" s="11" t="inlineStr">
        <is>
          <t>نسبة تغطية مخزون الوقود بالأيام</t>
        </is>
      </c>
      <c r="D116" s="15" t="inlineStr">
        <is>
          <t>شهري</t>
        </is>
      </c>
      <c r="E116" s="15" t="inlineStr">
        <is>
          <t>معدل</t>
        </is>
      </c>
      <c r="F116" s="55" t="inlineStr">
        <is>
          <t>↑</t>
        </is>
      </c>
      <c r="G116" s="67" t="n">
        <v>5</v>
      </c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9">
        <f>IF(COUNT($H116:$S116)=0,"",SUM($H116:$S116)/COUNT($H116:$S116))</f>
        <v/>
      </c>
      <c r="U116" s="56">
        <f>IF($G116="","",IF($T116="","",MIN(1,IF($G116=0,IF($T116&lt;=0,1,0),IF($F116="↓",IFERROR($G116/$T116,0),IFERROR($T116/$G116,0))))))</f>
        <v/>
      </c>
      <c r="V116" s="59">
        <f>IF($U116="","⏳ بانتظار هدف",IF($U116&gt;=1.0,"✅ محقق",IF($U116&gt;=0.85,"🟡 قريب","🔴 تحت الهدف")))</f>
        <v/>
      </c>
      <c r="W116" s="70">
        <f>IF($G116="","",$G116)</f>
        <v/>
      </c>
      <c r="X116" s="59">
        <f>IF($U116="","—",IF($U116&gt;=0.85,"🟢 على المسار","🟠 متأخّر"))</f>
        <v/>
      </c>
    </row>
    <row r="117" ht="22" customHeight="1">
      <c r="A117" s="59" t="n">
        <v>114</v>
      </c>
      <c r="B117" s="13" t="inlineStr">
        <is>
          <t>سلاسل الإمداد</t>
        </is>
      </c>
      <c r="C117" s="11" t="inlineStr">
        <is>
          <t>نسبة توفر المواد المخزنية والحرجة</t>
        </is>
      </c>
      <c r="D117" s="15" t="inlineStr">
        <is>
          <t>شهري</t>
        </is>
      </c>
      <c r="E117" s="15" t="inlineStr">
        <is>
          <t>معدل</t>
        </is>
      </c>
      <c r="F117" s="55" t="inlineStr">
        <is>
          <t>↑</t>
        </is>
      </c>
      <c r="G117" s="64" t="n">
        <v>0.98</v>
      </c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56">
        <f>IF(COUNT($H117:$S117)=0,"",SUM($H117:$S117)/COUNT($H117:$S117))</f>
        <v/>
      </c>
      <c r="U117" s="56">
        <f>IF($G117="","",IF($T117="","",MIN(1,IF($G117=0,IF($T117&lt;=0,1,0),IF($F117="↓",IFERROR($G117/$T117,0),IFERROR($T117/$G117,0))))))</f>
        <v/>
      </c>
      <c r="V117" s="59">
        <f>IF($U117="","⏳ بانتظار هدف",IF($U117&gt;=1.0,"✅ محقق",IF($U117&gt;=0.85,"🟡 قريب","🔴 تحت الهدف")))</f>
        <v/>
      </c>
      <c r="W117" s="66">
        <f>IF($G117="","",$G117)</f>
        <v/>
      </c>
      <c r="X117" s="59">
        <f>IF($U117="","—",IF($U117&gt;=0.85,"🟢 على المسار","🟠 متأخّر"))</f>
        <v/>
      </c>
    </row>
    <row r="118" ht="22" customHeight="1">
      <c r="A118" s="59" t="n">
        <v>115</v>
      </c>
      <c r="B118" s="13" t="inlineStr">
        <is>
          <t>سلاسل الإمداد</t>
        </is>
      </c>
      <c r="C118" s="11" t="inlineStr">
        <is>
          <t>نسبة المواد الراكدة من المخزون</t>
        </is>
      </c>
      <c r="D118" s="15" t="inlineStr">
        <is>
          <t>شهري</t>
        </is>
      </c>
      <c r="E118" s="15" t="inlineStr">
        <is>
          <t>معدل</t>
        </is>
      </c>
      <c r="F118" s="55" t="inlineStr">
        <is>
          <t>↓</t>
        </is>
      </c>
      <c r="G118" s="64" t="n">
        <v>0.05</v>
      </c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56">
        <f>IF(COUNT($H118:$S118)=0,"",SUM($H118:$S118)/COUNT($H118:$S118))</f>
        <v/>
      </c>
      <c r="U118" s="56">
        <f>IF($G118="","",IF($T118="","",MIN(1,IF($G118=0,IF($T118&lt;=0,1,0),IF($F118="↓",IFERROR($G118/$T118,0),IFERROR($T118/$G118,0))))))</f>
        <v/>
      </c>
      <c r="V118" s="59">
        <f>IF($U118="","⏳ بانتظار هدف",IF($U118&gt;=1.0,"✅ محقق",IF($U118&gt;=0.85,"🟡 قريب","🔴 تحت الهدف")))</f>
        <v/>
      </c>
      <c r="W118" s="66">
        <f>IF($G118="","",$G118)</f>
        <v/>
      </c>
      <c r="X118" s="59">
        <f>IF($U118="","—",IF($U118&gt;=0.85,"🟢 على المسار","🟠 متأخّر"))</f>
        <v/>
      </c>
    </row>
    <row r="119" ht="22" customHeight="1">
      <c r="A119" s="59" t="n">
        <v>116</v>
      </c>
      <c r="B119" s="13" t="inlineStr">
        <is>
          <t>سلاسل الإمداد</t>
        </is>
      </c>
      <c r="C119" s="11" t="inlineStr">
        <is>
          <t>دقة أوامر الشراء ومستنداتها</t>
        </is>
      </c>
      <c r="D119" s="15" t="inlineStr">
        <is>
          <t>شهري</t>
        </is>
      </c>
      <c r="E119" s="15" t="inlineStr">
        <is>
          <t>معدل</t>
        </is>
      </c>
      <c r="F119" s="55" t="inlineStr">
        <is>
          <t>↑</t>
        </is>
      </c>
      <c r="G119" s="64" t="n">
        <v>0.98</v>
      </c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56">
        <f>IF(COUNT($H119:$S119)=0,"",SUM($H119:$S119)/COUNT($H119:$S119))</f>
        <v/>
      </c>
      <c r="U119" s="56">
        <f>IF($G119="","",IF($T119="","",MIN(1,IF($G119=0,IF($T119&lt;=0,1,0),IF($F119="↓",IFERROR($G119/$T119,0),IFERROR($T119/$G119,0))))))</f>
        <v/>
      </c>
      <c r="V119" s="59">
        <f>IF($U119="","⏳ بانتظار هدف",IF($U119&gt;=1.0,"✅ محقق",IF($U119&gt;=0.85,"🟡 قريب","🔴 تحت الهدف")))</f>
        <v/>
      </c>
      <c r="W119" s="66">
        <f>IF($G119="","",$G119)</f>
        <v/>
      </c>
      <c r="X119" s="59">
        <f>IF($U119="","—",IF($U119&gt;=0.85,"🟢 على المسار","🟠 متأخّر"))</f>
        <v/>
      </c>
    </row>
    <row r="120" ht="22" customHeight="1">
      <c r="A120" s="59" t="n">
        <v>117</v>
      </c>
      <c r="B120" s="13" t="inlineStr">
        <is>
          <t>سلاسل الإمداد</t>
        </is>
      </c>
      <c r="C120" s="11" t="inlineStr">
        <is>
          <t>نسبة إنجاز أوامر الشراء خلال المدة المستهدفة</t>
        </is>
      </c>
      <c r="D120" s="15" t="inlineStr">
        <is>
          <t>شهري</t>
        </is>
      </c>
      <c r="E120" s="15" t="inlineStr">
        <is>
          <t>معدل</t>
        </is>
      </c>
      <c r="F120" s="55" t="inlineStr">
        <is>
          <t>↑</t>
        </is>
      </c>
      <c r="G120" s="64" t="n">
        <v>0.95</v>
      </c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56">
        <f>IF(COUNT($H120:$S120)=0,"",SUM($H120:$S120)/COUNT($H120:$S120))</f>
        <v/>
      </c>
      <c r="U120" s="56">
        <f>IF($G120="","",IF($T120="","",MIN(1,IF($G120=0,IF($T120&lt;=0,1,0),IF($F120="↓",IFERROR($G120/$T120,0),IFERROR($T120/$G120,0))))))</f>
        <v/>
      </c>
      <c r="V120" s="59">
        <f>IF($U120="","⏳ بانتظار هدف",IF($U120&gt;=1.0,"✅ محقق",IF($U120&gt;=0.85,"🟡 قريب","🔴 تحت الهدف")))</f>
        <v/>
      </c>
      <c r="W120" s="66">
        <f>IF($G120="","",$G120)</f>
        <v/>
      </c>
      <c r="X120" s="59">
        <f>IF($U120="","—",IF($U120&gt;=0.85,"🟢 على المسار","🟠 متأخّر"))</f>
        <v/>
      </c>
    </row>
    <row r="121" ht="22" customHeight="1">
      <c r="A121" s="59" t="n">
        <v>118</v>
      </c>
      <c r="B121" s="13" t="inlineStr">
        <is>
          <t>سلاسل الإمداد</t>
        </is>
      </c>
      <c r="C121" s="11" t="inlineStr">
        <is>
          <t>نسبة الالتزام بزمن التسليم والتوريد للمحطات والإدارات</t>
        </is>
      </c>
      <c r="D121" s="15" t="inlineStr">
        <is>
          <t>شهري</t>
        </is>
      </c>
      <c r="E121" s="15" t="inlineStr">
        <is>
          <t>معدل</t>
        </is>
      </c>
      <c r="F121" s="55" t="inlineStr">
        <is>
          <t>↑</t>
        </is>
      </c>
      <c r="G121" s="64" t="n">
        <v>0.95</v>
      </c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56">
        <f>IF(COUNT($H121:$S121)=0,"",SUM($H121:$S121)/COUNT($H121:$S121))</f>
        <v/>
      </c>
      <c r="U121" s="56">
        <f>IF($G121="","",IF($T121="","",MIN(1,IF($G121=0,IF($T121&lt;=0,1,0),IF($F121="↓",IFERROR($G121/$T121,0),IFERROR($T121/$G121,0))))))</f>
        <v/>
      </c>
      <c r="V121" s="59">
        <f>IF($U121="","⏳ بانتظار هدف",IF($U121&gt;=1.0,"✅ محقق",IF($U121&gt;=0.85,"🟡 قريب","🔴 تحت الهدف")))</f>
        <v/>
      </c>
      <c r="W121" s="66">
        <f>IF($G121="","",$G121)</f>
        <v/>
      </c>
      <c r="X121" s="59">
        <f>IF($U121="","—",IF($U121&gt;=0.85,"🟢 على المسار","🟠 متأخّر"))</f>
        <v/>
      </c>
    </row>
    <row r="122" ht="22" customHeight="1">
      <c r="A122" s="59" t="n">
        <v>119</v>
      </c>
      <c r="B122" s="13" t="inlineStr">
        <is>
          <t>سلاسل الإمداد</t>
        </is>
      </c>
      <c r="C122" s="11" t="inlineStr">
        <is>
          <t>نسبة جاهزية الإمداد للمحطات الجديدة وخطط الافتتاح</t>
        </is>
      </c>
      <c r="D122" s="15" t="inlineStr">
        <is>
          <t>شهري</t>
        </is>
      </c>
      <c r="E122" s="15" t="inlineStr">
        <is>
          <t>معدل</t>
        </is>
      </c>
      <c r="F122" s="55" t="inlineStr">
        <is>
          <t>↑</t>
        </is>
      </c>
      <c r="G122" s="64" t="n">
        <v>1</v>
      </c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56">
        <f>IF(COUNT($H122:$S122)=0,"",SUM($H122:$S122)/COUNT($H122:$S122))</f>
        <v/>
      </c>
      <c r="U122" s="56">
        <f>IF($G122="","",IF($T122="","",MIN(1,IF($G122=0,IF($T122&lt;=0,1,0),IF($F122="↓",IFERROR($G122/$T122,0),IFERROR($T122/$G122,0))))))</f>
        <v/>
      </c>
      <c r="V122" s="59">
        <f>IF($U122="","⏳ بانتظار هدف",IF($U122&gt;=1.0,"✅ محقق",IF($U122&gt;=0.97,"🟡 قريب","🔴 تحت الهدف")))</f>
        <v/>
      </c>
      <c r="W122" s="66">
        <f>IF($G122="","",$G122)</f>
        <v/>
      </c>
      <c r="X122" s="59">
        <f>IF($U122="","—",IF($U122&gt;=0.97,"🟢 على المسار","🟠 متأخّر"))</f>
        <v/>
      </c>
    </row>
    <row r="123" ht="22" customHeight="1">
      <c r="A123" s="59" t="n">
        <v>120</v>
      </c>
      <c r="B123" s="13" t="inlineStr">
        <is>
          <t>سلاسل الإمداد</t>
        </is>
      </c>
      <c r="C123" s="11" t="inlineStr">
        <is>
          <t>نسبة الالتزام بجدول النقل واستخدام الأسطول بكفاءة</t>
        </is>
      </c>
      <c r="D123" s="15" t="inlineStr">
        <is>
          <t>شهري</t>
        </is>
      </c>
      <c r="E123" s="15" t="inlineStr">
        <is>
          <t>معدل</t>
        </is>
      </c>
      <c r="F123" s="55" t="inlineStr">
        <is>
          <t>↑</t>
        </is>
      </c>
      <c r="G123" s="64" t="n">
        <v>0.9</v>
      </c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56">
        <f>IF(COUNT($H123:$S123)=0,"",SUM($H123:$S123)/COUNT($H123:$S123))</f>
        <v/>
      </c>
      <c r="U123" s="56">
        <f>IF($G123="","",IF($T123="","",MIN(1,IF($G123=0,IF($T123&lt;=0,1,0),IF($F123="↓",IFERROR($G123/$T123,0),IFERROR($T123/$G123,0))))))</f>
        <v/>
      </c>
      <c r="V123" s="59">
        <f>IF($U123="","⏳ بانتظار هدف",IF($U123&gt;=1.0,"✅ محقق",IF($U123&gt;=0.85,"🟡 قريب","🔴 تحت الهدف")))</f>
        <v/>
      </c>
      <c r="W123" s="66">
        <f>IF($G123="","",$G123)</f>
        <v/>
      </c>
      <c r="X123" s="59">
        <f>IF($U123="","—",IF($U123&gt;=0.85,"🟢 على المسار","🟠 متأخّر"))</f>
        <v/>
      </c>
    </row>
    <row r="124" ht="22" customHeight="1">
      <c r="A124" s="59" t="n">
        <v>121</v>
      </c>
      <c r="B124" s="13" t="inlineStr">
        <is>
          <t>سلاسل الإمداد</t>
        </is>
      </c>
      <c r="C124" s="11" t="inlineStr">
        <is>
          <t>كفاءة إدارة الموردين</t>
        </is>
      </c>
      <c r="D124" s="15" t="inlineStr">
        <is>
          <t>شهري</t>
        </is>
      </c>
      <c r="E124" s="15" t="inlineStr">
        <is>
          <t>معدل</t>
        </is>
      </c>
      <c r="F124" s="55" t="inlineStr">
        <is>
          <t>↑</t>
        </is>
      </c>
      <c r="G124" s="64" t="n">
        <v>0.9</v>
      </c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65" t="n"/>
      <c r="R124" s="65" t="n"/>
      <c r="S124" s="65" t="n"/>
      <c r="T124" s="56">
        <f>IF(COUNT($H124:$S124)=0,"",SUM($H124:$S124)/COUNT($H124:$S124))</f>
        <v/>
      </c>
      <c r="U124" s="56">
        <f>IF($G124="","",IF($T124="","",MIN(1,IF($G124=0,IF($T124&lt;=0,1,0),IF($F124="↓",IFERROR($G124/$T124,0),IFERROR($T124/$G124,0))))))</f>
        <v/>
      </c>
      <c r="V124" s="59">
        <f>IF($U124="","⏳ بانتظار هدف",IF($U124&gt;=1.0,"✅ محقق",IF($U124&gt;=0.85,"🟡 قريب","🔴 تحت الهدف")))</f>
        <v/>
      </c>
      <c r="W124" s="66">
        <f>IF($G124="","",$G124)</f>
        <v/>
      </c>
      <c r="X124" s="59">
        <f>IF($U124="","—",IF($U124&gt;=0.85,"🟢 على المسار","🟠 متأخّر"))</f>
        <v/>
      </c>
    </row>
    <row r="125" ht="22" customHeight="1">
      <c r="A125" s="59" t="n">
        <v>122</v>
      </c>
      <c r="B125" s="13" t="inlineStr">
        <is>
          <t>سلاسل الإمداد</t>
        </is>
      </c>
      <c r="C125" s="11" t="inlineStr">
        <is>
          <t>مستوى رضا الإدارات عن خدمات سلاسل الإمداد</t>
        </is>
      </c>
      <c r="D125" s="15" t="inlineStr">
        <is>
          <t>ربعي</t>
        </is>
      </c>
      <c r="E125" s="15" t="inlineStr">
        <is>
          <t>معدل</t>
        </is>
      </c>
      <c r="F125" s="55" t="inlineStr">
        <is>
          <t>↑</t>
        </is>
      </c>
      <c r="G125" s="64" t="n">
        <v>0.85</v>
      </c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65" t="n"/>
      <c r="R125" s="65" t="n"/>
      <c r="S125" s="65" t="n"/>
      <c r="T125" s="56">
        <f>IF(COUNT($H125:$S125)=0,"",SUM($H125:$S125)/COUNT($H125:$S125))</f>
        <v/>
      </c>
      <c r="U125" s="56">
        <f>IF($G125="","",IF($T125="","",MIN(1,IF($G125=0,IF($T125&lt;=0,1,0),IF($F125="↓",IFERROR($G125/$T125,0),IFERROR($T125/$G125,0))))))</f>
        <v/>
      </c>
      <c r="V125" s="59">
        <f>IF($U125="","⏳ بانتظار هدف",IF($U125&gt;=0.9,"✅ محقق",IF($U125&gt;=0.75,"🟡 قريب","🔴 تحت الهدف")))</f>
        <v/>
      </c>
      <c r="W125" s="66">
        <f>IF($G125="","",$G125)</f>
        <v/>
      </c>
      <c r="X125" s="59">
        <f>IF($U125="","—",IF($U125&gt;=0.75,"🟢 على المسار","🟠 متأخّر"))</f>
        <v/>
      </c>
    </row>
    <row r="126" ht="22" customHeight="1">
      <c r="A126" s="59" t="n">
        <v>123</v>
      </c>
      <c r="B126" s="13" t="inlineStr">
        <is>
          <t>الصيانة والأتمتة</t>
        </is>
      </c>
      <c r="C126" s="11" t="inlineStr">
        <is>
          <t>نسبة الجاهزية الفنية للأصول والمعدات (Availability)</t>
        </is>
      </c>
      <c r="D126" s="15" t="inlineStr">
        <is>
          <t>شهري</t>
        </is>
      </c>
      <c r="E126" s="15" t="inlineStr">
        <is>
          <t>معدل</t>
        </is>
      </c>
      <c r="F126" s="55" t="inlineStr">
        <is>
          <t>↑</t>
        </is>
      </c>
      <c r="G126" s="64" t="n">
        <v>0.98</v>
      </c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56">
        <f>IF(COUNT($H126:$S126)=0,"",SUM($H126:$S126)/COUNT($H126:$S126))</f>
        <v/>
      </c>
      <c r="U126" s="56">
        <f>IF($G126="","",IF($T126="","",MIN(1,IF($G126=0,IF($T126&lt;=0,1,0),IF($F126="↓",IFERROR($G126/$T126,0),IFERROR($T126/$G126,0))))))</f>
        <v/>
      </c>
      <c r="V126" s="59">
        <f>IF($U126="","⏳ بانتظار هدف",IF($U126&gt;=1.0,"✅ محقق",IF($U126&gt;=0.97,"🟡 قريب","🔴 تحت الهدف")))</f>
        <v/>
      </c>
      <c r="W126" s="66">
        <f>IF($G126="","",$G126)</f>
        <v/>
      </c>
      <c r="X126" s="59">
        <f>IF($U126="","—",IF($U126&gt;=0.97,"🟢 على المسار","🟠 متأخّر"))</f>
        <v/>
      </c>
    </row>
    <row r="127" ht="22" customHeight="1">
      <c r="A127" s="59" t="n">
        <v>124</v>
      </c>
      <c r="B127" s="13" t="inlineStr">
        <is>
          <t>الصيانة والأتمتة</t>
        </is>
      </c>
      <c r="C127" s="11" t="inlineStr">
        <is>
          <t>نسبة تنفيذ الصيانة الوقائية في موعدها (PM)</t>
        </is>
      </c>
      <c r="D127" s="15" t="inlineStr">
        <is>
          <t>شهري</t>
        </is>
      </c>
      <c r="E127" s="15" t="inlineStr">
        <is>
          <t>معدل</t>
        </is>
      </c>
      <c r="F127" s="55" t="inlineStr">
        <is>
          <t>↑</t>
        </is>
      </c>
      <c r="G127" s="64" t="n">
        <v>0.95</v>
      </c>
      <c r="H127" s="65" t="n"/>
      <c r="I127" s="65" t="n"/>
      <c r="J127" s="65" t="n"/>
      <c r="K127" s="65" t="n"/>
      <c r="L127" s="65" t="n"/>
      <c r="M127" s="65" t="n"/>
      <c r="N127" s="65" t="n"/>
      <c r="O127" s="65" t="n"/>
      <c r="P127" s="65" t="n"/>
      <c r="Q127" s="65" t="n"/>
      <c r="R127" s="65" t="n"/>
      <c r="S127" s="65" t="n"/>
      <c r="T127" s="56">
        <f>IF(COUNT($H127:$S127)=0,"",SUM($H127:$S127)/COUNT($H127:$S127))</f>
        <v/>
      </c>
      <c r="U127" s="56">
        <f>IF($G127="","",IF($T127="","",MIN(1,IF($G127=0,IF($T127&lt;=0,1,0),IF($F127="↓",IFERROR($G127/$T127,0),IFERROR($T127/$G127,0))))))</f>
        <v/>
      </c>
      <c r="V127" s="59">
        <f>IF($U127="","⏳ بانتظار هدف",IF($U127&gt;=1.0,"✅ محقق",IF($U127&gt;=0.85,"🟡 قريب","🔴 تحت الهدف")))</f>
        <v/>
      </c>
      <c r="W127" s="66">
        <f>IF($G127="","",$G127)</f>
        <v/>
      </c>
      <c r="X127" s="59">
        <f>IF($U127="","—",IF($U127&gt;=0.85,"🟢 على المسار","🟠 متأخّر"))</f>
        <v/>
      </c>
    </row>
    <row r="128" ht="22" customHeight="1">
      <c r="A128" s="59" t="n">
        <v>125</v>
      </c>
      <c r="B128" s="13" t="inlineStr">
        <is>
          <t>الصيانة والأتمتة</t>
        </is>
      </c>
      <c r="C128" s="11" t="inlineStr">
        <is>
          <t>نسبة إغلاق بلاغات الصيانة ضمن اتفاقية الخدمة (SLA)</t>
        </is>
      </c>
      <c r="D128" s="15" t="inlineStr">
        <is>
          <t>شهري</t>
        </is>
      </c>
      <c r="E128" s="15" t="inlineStr">
        <is>
          <t>معدل</t>
        </is>
      </c>
      <c r="F128" s="55" t="inlineStr">
        <is>
          <t>↑</t>
        </is>
      </c>
      <c r="G128" s="64" t="n">
        <v>0.95</v>
      </c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56">
        <f>IF(COUNT($H128:$S128)=0,"",SUM($H128:$S128)/COUNT($H128:$S128))</f>
        <v/>
      </c>
      <c r="U128" s="56">
        <f>IF($G128="","",IF($T128="","",MIN(1,IF($G128=0,IF($T128&lt;=0,1,0),IF($F128="↓",IFERROR($G128/$T128,0),IFERROR($T128/$G128,0))))))</f>
        <v/>
      </c>
      <c r="V128" s="59">
        <f>IF($U128="","⏳ بانتظار هدف",IF($U128&gt;=1.0,"✅ محقق",IF($U128&gt;=0.85,"🟡 قريب","🔴 تحت الهدف")))</f>
        <v/>
      </c>
      <c r="W128" s="66">
        <f>IF($G128="","",$G128)</f>
        <v/>
      </c>
      <c r="X128" s="59">
        <f>IF($U128="","—",IF($U128&gt;=0.85,"🟢 على المسار","🟠 متأخّر"))</f>
        <v/>
      </c>
    </row>
    <row r="129" ht="22" customHeight="1">
      <c r="A129" s="59" t="n">
        <v>126</v>
      </c>
      <c r="B129" s="13" t="inlineStr">
        <is>
          <t>الصيانة والأتمتة</t>
        </is>
      </c>
      <c r="C129" s="11" t="inlineStr">
        <is>
          <t>متوسط زمن الاستجابة للبلاغات الطارئة</t>
        </is>
      </c>
      <c r="D129" s="15" t="inlineStr">
        <is>
          <t>شهري</t>
        </is>
      </c>
      <c r="E129" s="15" t="inlineStr">
        <is>
          <t>معدل</t>
        </is>
      </c>
      <c r="F129" s="55" t="inlineStr">
        <is>
          <t>↓</t>
        </is>
      </c>
      <c r="G129" s="67" t="n">
        <v>30</v>
      </c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9">
        <f>IF(COUNT($H129:$S129)=0,"",SUM($H129:$S129)/COUNT($H129:$S129))</f>
        <v/>
      </c>
      <c r="U129" s="56">
        <f>IF($G129="","",IF($T129="","",MIN(1,IF($G129=0,IF($T129&lt;=0,1,0),IF($F129="↓",IFERROR($G129/$T129,0),IFERROR($T129/$G129,0))))))</f>
        <v/>
      </c>
      <c r="V129" s="59">
        <f>IF($U129="","⏳ بانتظار هدف",IF($U129&gt;=1.0,"✅ محقق",IF($U129&gt;=0.85,"🟡 قريب","🔴 تحت الهدف")))</f>
        <v/>
      </c>
      <c r="W129" s="70">
        <f>IF($G129="","",$G129)</f>
        <v/>
      </c>
      <c r="X129" s="59">
        <f>IF($U129="","—",IF($U129&gt;=0.85,"🟢 على المسار","🟠 متأخّر"))</f>
        <v/>
      </c>
    </row>
    <row r="130" ht="22" customHeight="1">
      <c r="A130" s="59" t="n">
        <v>127</v>
      </c>
      <c r="B130" s="13" t="inlineStr">
        <is>
          <t>الصيانة والأتمتة</t>
        </is>
      </c>
      <c r="C130" s="11" t="inlineStr">
        <is>
          <t>متوسط زمن إصلاح الأعطال (MTTR)</t>
        </is>
      </c>
      <c r="D130" s="15" t="inlineStr">
        <is>
          <t>شهري</t>
        </is>
      </c>
      <c r="E130" s="15" t="inlineStr">
        <is>
          <t>معدل</t>
        </is>
      </c>
      <c r="F130" s="55" t="inlineStr">
        <is>
          <t>↓</t>
        </is>
      </c>
      <c r="G130" s="67" t="n">
        <v>4</v>
      </c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9">
        <f>IF(COUNT($H130:$S130)=0,"",SUM($H130:$S130)/COUNT($H130:$S130))</f>
        <v/>
      </c>
      <c r="U130" s="56">
        <f>IF($G130="","",IF($T130="","",MIN(1,IF($G130=0,IF($T130&lt;=0,1,0),IF($F130="↓",IFERROR($G130/$T130,0),IFERROR($T130/$G130,0))))))</f>
        <v/>
      </c>
      <c r="V130" s="59">
        <f>IF($U130="","⏳ بانتظار هدف",IF($U130&gt;=1.0,"✅ محقق",IF($U130&gt;=0.85,"🟡 قريب","🔴 تحت الهدف")))</f>
        <v/>
      </c>
      <c r="W130" s="70">
        <f>IF($G130="","",$G130)</f>
        <v/>
      </c>
      <c r="X130" s="59">
        <f>IF($U130="","—",IF($U130&gt;=0.85,"🟢 على المسار","🟠 متأخّر"))</f>
        <v/>
      </c>
    </row>
    <row r="131" ht="22" customHeight="1">
      <c r="A131" s="59" t="n">
        <v>128</v>
      </c>
      <c r="B131" s="13" t="inlineStr">
        <is>
          <t>الصيانة والأتمتة</t>
        </is>
      </c>
      <c r="C131" s="11" t="inlineStr">
        <is>
          <t>معدل تكرار الأعطال</t>
        </is>
      </c>
      <c r="D131" s="15" t="inlineStr">
        <is>
          <t>شهري</t>
        </is>
      </c>
      <c r="E131" s="15" t="inlineStr">
        <is>
          <t>معدل</t>
        </is>
      </c>
      <c r="F131" s="55" t="inlineStr">
        <is>
          <t>↓</t>
        </is>
      </c>
      <c r="G131" s="64" t="n">
        <v>0.05</v>
      </c>
      <c r="H131" s="65" t="n"/>
      <c r="I131" s="65" t="n"/>
      <c r="J131" s="65" t="n"/>
      <c r="K131" s="65" t="n"/>
      <c r="L131" s="65" t="n"/>
      <c r="M131" s="65" t="n"/>
      <c r="N131" s="65" t="n"/>
      <c r="O131" s="65" t="n"/>
      <c r="P131" s="65" t="n"/>
      <c r="Q131" s="65" t="n"/>
      <c r="R131" s="65" t="n"/>
      <c r="S131" s="65" t="n"/>
      <c r="T131" s="56">
        <f>IF(COUNT($H131:$S131)=0,"",SUM($H131:$S131)/COUNT($H131:$S131))</f>
        <v/>
      </c>
      <c r="U131" s="56">
        <f>IF($G131="","",IF($T131="","",MIN(1,IF($G131=0,IF($T131&lt;=0,1,0),IF($F131="↓",IFERROR($G131/$T131,0),IFERROR($T131/$G131,0))))))</f>
        <v/>
      </c>
      <c r="V131" s="59">
        <f>IF($U131="","⏳ بانتظار هدف",IF($U131&gt;=1.0,"✅ محقق",IF($U131&gt;=0.85,"🟡 قريب","🔴 تحت الهدف")))</f>
        <v/>
      </c>
      <c r="W131" s="66">
        <f>IF($G131="","",$G131)</f>
        <v/>
      </c>
      <c r="X131" s="59">
        <f>IF($U131="","—",IF($U131&gt;=0.85,"🟢 على المسار","🟠 متأخّر"))</f>
        <v/>
      </c>
    </row>
    <row r="132" ht="22" customHeight="1">
      <c r="A132" s="59" t="n">
        <v>129</v>
      </c>
      <c r="B132" s="13" t="inlineStr">
        <is>
          <t>الصيانة والأتمتة</t>
        </is>
      </c>
      <c r="C132" s="11" t="inlineStr">
        <is>
          <t>نسبة استمرارية تشغيل المحطات دون توقف فني</t>
        </is>
      </c>
      <c r="D132" s="15" t="inlineStr">
        <is>
          <t>شهري</t>
        </is>
      </c>
      <c r="E132" s="15" t="inlineStr">
        <is>
          <t>معدل</t>
        </is>
      </c>
      <c r="F132" s="55" t="inlineStr">
        <is>
          <t>↑</t>
        </is>
      </c>
      <c r="G132" s="64" t="n">
        <v>0.99</v>
      </c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56">
        <f>IF(COUNT($H132:$S132)=0,"",SUM($H132:$S132)/COUNT($H132:$S132))</f>
        <v/>
      </c>
      <c r="U132" s="56">
        <f>IF($G132="","",IF($T132="","",MIN(1,IF($G132=0,IF($T132&lt;=0,1,0),IF($F132="↓",IFERROR($G132/$T132,0),IFERROR($T132/$G132,0))))))</f>
        <v/>
      </c>
      <c r="V132" s="59">
        <f>IF($U132="","⏳ بانتظار هدف",IF($U132&gt;=1.0,"✅ محقق",IF($U132&gt;=0.85,"🟡 قريب","🔴 تحت الهدف")))</f>
        <v/>
      </c>
      <c r="W132" s="66">
        <f>IF($G132="","",$G132)</f>
        <v/>
      </c>
      <c r="X132" s="59">
        <f>IF($U132="","—",IF($U132&gt;=0.85,"🟢 على المسار","🟠 متأخّر"))</f>
        <v/>
      </c>
    </row>
    <row r="133" ht="22" customHeight="1">
      <c r="A133" s="59" t="n">
        <v>130</v>
      </c>
      <c r="B133" s="13" t="inlineStr">
        <is>
          <t>الصيانة والأتمتة</t>
        </is>
      </c>
      <c r="C133" s="11" t="inlineStr">
        <is>
          <t>نسبة التشغيل السليم لأنظمة الأتمتة (Uptime)</t>
        </is>
      </c>
      <c r="D133" s="15" t="inlineStr">
        <is>
          <t>شهري</t>
        </is>
      </c>
      <c r="E133" s="15" t="inlineStr">
        <is>
          <t>معدل</t>
        </is>
      </c>
      <c r="F133" s="55" t="inlineStr">
        <is>
          <t>↑</t>
        </is>
      </c>
      <c r="G133" s="64" t="n">
        <v>0.99</v>
      </c>
      <c r="H133" s="65" t="n"/>
      <c r="I133" s="65" t="n"/>
      <c r="J133" s="65" t="n"/>
      <c r="K133" s="65" t="n"/>
      <c r="L133" s="65" t="n"/>
      <c r="M133" s="65" t="n"/>
      <c r="N133" s="65" t="n"/>
      <c r="O133" s="65" t="n"/>
      <c r="P133" s="65" t="n"/>
      <c r="Q133" s="65" t="n"/>
      <c r="R133" s="65" t="n"/>
      <c r="S133" s="65" t="n"/>
      <c r="T133" s="56">
        <f>IF(COUNT($H133:$S133)=0,"",SUM($H133:$S133)/COUNT($H133:$S133))</f>
        <v/>
      </c>
      <c r="U133" s="56">
        <f>IF($G133="","",IF($T133="","",MIN(1,IF($G133=0,IF($T133&lt;=0,1,0),IF($F133="↓",IFERROR($G133/$T133,0),IFERROR($T133/$G133,0))))))</f>
        <v/>
      </c>
      <c r="V133" s="59">
        <f>IF($U133="","⏳ بانتظار هدف",IF($U133&gt;=1.0,"✅ محقق",IF($U133&gt;=0.97,"🟡 قريب","🔴 تحت الهدف")))</f>
        <v/>
      </c>
      <c r="W133" s="66">
        <f>IF($G133="","",$G133)</f>
        <v/>
      </c>
      <c r="X133" s="59">
        <f>IF($U133="","—",IF($U133&gt;=0.97,"🟢 على المسار","🟠 متأخّر"))</f>
        <v/>
      </c>
    </row>
    <row r="134" ht="22" customHeight="1">
      <c r="A134" s="59" t="n">
        <v>131</v>
      </c>
      <c r="B134" s="13" t="inlineStr">
        <is>
          <t>الصيانة والأتمتة</t>
        </is>
      </c>
      <c r="C134" s="11" t="inlineStr">
        <is>
          <t>نسبة استعادة أنظمة الأتمتة ضمن الزمن المحدد</t>
        </is>
      </c>
      <c r="D134" s="15" t="inlineStr">
        <is>
          <t>شهري</t>
        </is>
      </c>
      <c r="E134" s="15" t="inlineStr">
        <is>
          <t>معدل</t>
        </is>
      </c>
      <c r="F134" s="55" t="inlineStr">
        <is>
          <t>↑</t>
        </is>
      </c>
      <c r="G134" s="64" t="n">
        <v>0.95</v>
      </c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65" t="n"/>
      <c r="R134" s="65" t="n"/>
      <c r="S134" s="65" t="n"/>
      <c r="T134" s="56">
        <f>IF(COUNT($H134:$S134)=0,"",SUM($H134:$S134)/COUNT($H134:$S134))</f>
        <v/>
      </c>
      <c r="U134" s="56">
        <f>IF($G134="","",IF($T134="","",MIN(1,IF($G134=0,IF($T134&lt;=0,1,0),IF($F134="↓",IFERROR($G134/$T134,0),IFERROR($T134/$G134,0))))))</f>
        <v/>
      </c>
      <c r="V134" s="59">
        <f>IF($U134="","⏳ بانتظار هدف",IF($U134&gt;=1.0,"✅ محقق",IF($U134&gt;=0.85,"🟡 قريب","🔴 تحت الهدف")))</f>
        <v/>
      </c>
      <c r="W134" s="66">
        <f>IF($G134="","",$G134)</f>
        <v/>
      </c>
      <c r="X134" s="59">
        <f>IF($U134="","—",IF($U134&gt;=0.85,"🟢 على المسار","🟠 متأخّر"))</f>
        <v/>
      </c>
    </row>
    <row r="135" ht="22" customHeight="1">
      <c r="A135" s="59" t="n">
        <v>132</v>
      </c>
      <c r="B135" s="13" t="inlineStr">
        <is>
          <t>الصيانة والأتمتة</t>
        </is>
      </c>
      <c r="C135" s="11" t="inlineStr">
        <is>
          <t>كفاءة تكاليف الصيانة (الالتزام بالميزانية)</t>
        </is>
      </c>
      <c r="D135" s="15" t="inlineStr">
        <is>
          <t>شهري</t>
        </is>
      </c>
      <c r="E135" s="15" t="inlineStr">
        <is>
          <t>معدل</t>
        </is>
      </c>
      <c r="F135" s="55" t="inlineStr">
        <is>
          <t>↑</t>
        </is>
      </c>
      <c r="G135" s="64" t="n">
        <v>0.95</v>
      </c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65" t="n"/>
      <c r="R135" s="65" t="n"/>
      <c r="S135" s="65" t="n"/>
      <c r="T135" s="56">
        <f>IF(COUNT($H135:$S135)=0,"",SUM($H135:$S135)/COUNT($H135:$S135))</f>
        <v/>
      </c>
      <c r="U135" s="56">
        <f>IF($G135="","",IF($T135="","",MIN(1,IF($G135=0,IF($T135&lt;=0,1,0),IF($F135="↓",IFERROR($G135/$T135,0),IFERROR($T135/$G135,0))))))</f>
        <v/>
      </c>
      <c r="V135" s="59">
        <f>IF($U135="","⏳ بانتظار هدف",IF($U135&gt;=1.0,"✅ محقق",IF($U135&gt;=0.85,"🟡 قريب","🔴 تحت الهدف")))</f>
        <v/>
      </c>
      <c r="W135" s="66">
        <f>IF($G135="","",$G135)</f>
        <v/>
      </c>
      <c r="X135" s="59">
        <f>IF($U135="","—",IF($U135&gt;=0.85,"🟢 على المسار","🟠 متأخّر"))</f>
        <v/>
      </c>
    </row>
    <row r="136" ht="22" customHeight="1">
      <c r="A136" s="59" t="n">
        <v>133</v>
      </c>
      <c r="B136" s="13" t="inlineStr">
        <is>
          <t>التقنية الرقمية</t>
        </is>
      </c>
      <c r="C136" s="11" t="inlineStr">
        <is>
          <t>نسبة توفر الأنظمة والخدمات التقنية المركزية</t>
        </is>
      </c>
      <c r="D136" s="15" t="inlineStr">
        <is>
          <t>شهري</t>
        </is>
      </c>
      <c r="E136" s="15" t="inlineStr">
        <is>
          <t>معدل</t>
        </is>
      </c>
      <c r="F136" s="55" t="inlineStr">
        <is>
          <t>↑</t>
        </is>
      </c>
      <c r="G136" s="64" t="n">
        <v>0.99</v>
      </c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65" t="n"/>
      <c r="R136" s="65" t="n"/>
      <c r="S136" s="65" t="n"/>
      <c r="T136" s="56">
        <f>IF(COUNT($H136:$S136)=0,"",SUM($H136:$S136)/COUNT($H136:$S136))</f>
        <v/>
      </c>
      <c r="U136" s="56">
        <f>IF($G136="","",IF($T136="","",MIN(1,IF($G136=0,IF($T136&lt;=0,1,0),IF($F136="↓",IFERROR($G136/$T136,0),IFERROR($T136/$G136,0))))))</f>
        <v/>
      </c>
      <c r="V136" s="59">
        <f>IF($U136="","⏳ بانتظار هدف",IF($U136&gt;=1.0,"✅ محقق",IF($U136&gt;=0.85,"🟡 قريب","🔴 تحت الهدف")))</f>
        <v/>
      </c>
      <c r="W136" s="66">
        <f>IF($G136="","",$G136)</f>
        <v/>
      </c>
      <c r="X136" s="59">
        <f>IF($U136="","—",IF($U136&gt;=0.85,"🟢 على المسار","🟠 متأخّر"))</f>
        <v/>
      </c>
    </row>
    <row r="137" ht="22" customHeight="1">
      <c r="A137" s="59" t="n">
        <v>134</v>
      </c>
      <c r="B137" s="13" t="inlineStr">
        <is>
          <t>التقنية الرقمية</t>
        </is>
      </c>
      <c r="C137" s="11" t="inlineStr">
        <is>
          <t>نسبة معالجة الأعطال وطلبات الدعم الفني ضمن المدة المستهدفة SLA</t>
        </is>
      </c>
      <c r="D137" s="15" t="inlineStr">
        <is>
          <t>شهري</t>
        </is>
      </c>
      <c r="E137" s="15" t="inlineStr">
        <is>
          <t>معدل</t>
        </is>
      </c>
      <c r="F137" s="55" t="inlineStr">
        <is>
          <t>↑</t>
        </is>
      </c>
      <c r="G137" s="64" t="n">
        <v>0.95</v>
      </c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65" t="n"/>
      <c r="R137" s="65" t="n"/>
      <c r="S137" s="65" t="n"/>
      <c r="T137" s="56">
        <f>IF(COUNT($H137:$S137)=0,"",SUM($H137:$S137)/COUNT($H137:$S137))</f>
        <v/>
      </c>
      <c r="U137" s="56">
        <f>IF($G137="","",IF($T137="","",MIN(1,IF($G137=0,IF($T137&lt;=0,1,0),IF($F137="↓",IFERROR($G137/$T137,0),IFERROR($T137/$G137,0))))))</f>
        <v/>
      </c>
      <c r="V137" s="59">
        <f>IF($U137="","⏳ بانتظار هدف",IF($U137&gt;=1.0,"✅ محقق",IF($U137&gt;=0.85,"🟡 قريب","🔴 تحت الهدف")))</f>
        <v/>
      </c>
      <c r="W137" s="66">
        <f>IF($G137="","",$G137)</f>
        <v/>
      </c>
      <c r="X137" s="59">
        <f>IF($U137="","—",IF($U137&gt;=0.85,"🟢 على المسار","🟠 متأخّر"))</f>
        <v/>
      </c>
    </row>
    <row r="138" ht="22" customHeight="1">
      <c r="A138" s="59" t="n">
        <v>135</v>
      </c>
      <c r="B138" s="13" t="inlineStr">
        <is>
          <t>التقنية الرقمية</t>
        </is>
      </c>
      <c r="C138" s="11" t="inlineStr">
        <is>
          <t>نسبة استقرار التشغيل التقني للمحطات</t>
        </is>
      </c>
      <c r="D138" s="15" t="inlineStr">
        <is>
          <t>شهري</t>
        </is>
      </c>
      <c r="E138" s="15" t="inlineStr">
        <is>
          <t>معدل</t>
        </is>
      </c>
      <c r="F138" s="55" t="inlineStr">
        <is>
          <t>↑</t>
        </is>
      </c>
      <c r="G138" s="64" t="n">
        <v>0.99</v>
      </c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56">
        <f>IF(COUNT($H138:$S138)=0,"",SUM($H138:$S138)/COUNT($H138:$S138))</f>
        <v/>
      </c>
      <c r="U138" s="56">
        <f>IF($G138="","",IF($T138="","",MIN(1,IF($G138=0,IF($T138&lt;=0,1,0),IF($F138="↓",IFERROR($G138/$T138,0),IFERROR($T138/$G138,0))))))</f>
        <v/>
      </c>
      <c r="V138" s="59">
        <f>IF($U138="","⏳ بانتظار هدف",IF($U138&gt;=1.0,"✅ محقق",IF($U138&gt;=0.85,"🟡 قريب","🔴 تحت الهدف")))</f>
        <v/>
      </c>
      <c r="W138" s="66">
        <f>IF($G138="","",$G138)</f>
        <v/>
      </c>
      <c r="X138" s="59">
        <f>IF($U138="","—",IF($U138&gt;=0.85,"🟢 على المسار","🟠 متأخّر"))</f>
        <v/>
      </c>
    </row>
    <row r="139" ht="22" customHeight="1">
      <c r="A139" s="59" t="n">
        <v>136</v>
      </c>
      <c r="B139" s="13" t="inlineStr">
        <is>
          <t>التقنية الرقمية</t>
        </is>
      </c>
      <c r="C139" s="11" t="inlineStr">
        <is>
          <t>نسبة إنجاز مشاريع التحول الرقمي والمشاريع التقنية حسب الخطة</t>
        </is>
      </c>
      <c r="D139" s="15" t="inlineStr">
        <is>
          <t>شهري</t>
        </is>
      </c>
      <c r="E139" s="15" t="inlineStr">
        <is>
          <t>معدل</t>
        </is>
      </c>
      <c r="F139" s="55" t="inlineStr">
        <is>
          <t>↑</t>
        </is>
      </c>
      <c r="G139" s="64" t="n">
        <v>0.9</v>
      </c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65" t="n"/>
      <c r="T139" s="56">
        <f>IF(COUNT($H139:$S139)=0,"",SUM($H139:$S139)/COUNT($H139:$S139))</f>
        <v/>
      </c>
      <c r="U139" s="56">
        <f>IF($G139="","",IF($T139="","",MIN(1,IF($G139=0,IF($T139&lt;=0,1,0),IF($F139="↓",IFERROR($G139/$T139,0),IFERROR($T139/$G139,0))))))</f>
        <v/>
      </c>
      <c r="V139" s="59">
        <f>IF($U139="","⏳ بانتظار هدف",IF($U139&gt;=1.0,"✅ محقق",IF($U139&gt;=0.85,"🟡 قريب","🔴 تحت الهدف")))</f>
        <v/>
      </c>
      <c r="W139" s="66">
        <f>IF($G139="","",$G139)</f>
        <v/>
      </c>
      <c r="X139" s="59">
        <f>IF($U139="","—",IF($U139&gt;=0.85,"🟢 على المسار","🟠 متأخّر"))</f>
        <v/>
      </c>
    </row>
    <row r="140" ht="22" customHeight="1">
      <c r="A140" s="59" t="n">
        <v>137</v>
      </c>
      <c r="B140" s="13" t="inlineStr">
        <is>
          <t>التقنية الرقمية</t>
        </is>
      </c>
      <c r="C140" s="11" t="inlineStr">
        <is>
          <t>نسبة تسليم المشاريع التقنية ضمن الوقت والميزانية ونطاق العمل المعتمد</t>
        </is>
      </c>
      <c r="D140" s="15" t="inlineStr">
        <is>
          <t>شهري</t>
        </is>
      </c>
      <c r="E140" s="15" t="inlineStr">
        <is>
          <t>معدل</t>
        </is>
      </c>
      <c r="F140" s="55" t="inlineStr">
        <is>
          <t>↑</t>
        </is>
      </c>
      <c r="G140" s="64" t="n">
        <v>0.9</v>
      </c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56">
        <f>IF(COUNT($H140:$S140)=0,"",SUM($H140:$S140)/COUNT($H140:$S140))</f>
        <v/>
      </c>
      <c r="U140" s="56">
        <f>IF($G140="","",IF($T140="","",MIN(1,IF($G140=0,IF($T140&lt;=0,1,0),IF($F140="↓",IFERROR($G140/$T140,0),IFERROR($T140/$G140,0))))))</f>
        <v/>
      </c>
      <c r="V140" s="59">
        <f>IF($U140="","⏳ بانتظار هدف",IF($U140&gt;=1.0,"✅ محقق",IF($U140&gt;=0.85,"🟡 قريب","🔴 تحت الهدف")))</f>
        <v/>
      </c>
      <c r="W140" s="66">
        <f>IF($G140="","",$G140)</f>
        <v/>
      </c>
      <c r="X140" s="59">
        <f>IF($U140="","—",IF($U140&gt;=0.85,"🟢 على المسار","🟠 متأخّر"))</f>
        <v/>
      </c>
    </row>
    <row r="141" ht="22" customHeight="1">
      <c r="A141" s="59" t="n">
        <v>138</v>
      </c>
      <c r="B141" s="13" t="inlineStr">
        <is>
          <t>التقنية الرقمية</t>
        </is>
      </c>
      <c r="C141" s="11" t="inlineStr">
        <is>
          <t>نسبة الالتزام بإدارة صلاحيات المستخدمين والحسابات</t>
        </is>
      </c>
      <c r="D141" s="15" t="inlineStr">
        <is>
          <t>شهري</t>
        </is>
      </c>
      <c r="E141" s="15" t="inlineStr">
        <is>
          <t>معدل</t>
        </is>
      </c>
      <c r="F141" s="55" t="inlineStr">
        <is>
          <t>↑</t>
        </is>
      </c>
      <c r="G141" s="64" t="n">
        <v>1</v>
      </c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65" t="n"/>
      <c r="R141" s="65" t="n"/>
      <c r="S141" s="65" t="n"/>
      <c r="T141" s="56">
        <f>IF(COUNT($H141:$S141)=0,"",SUM($H141:$S141)/COUNT($H141:$S141))</f>
        <v/>
      </c>
      <c r="U141" s="56">
        <f>IF($G141="","",IF($T141="","",MIN(1,IF($G141=0,IF($T141&lt;=0,1,0),IF($F141="↓",IFERROR($G141/$T141,0),IFERROR($T141/$G141,0))))))</f>
        <v/>
      </c>
      <c r="V141" s="59">
        <f>IF($U141="","⏳ بانتظار هدف",IF($U141&gt;=1.0,"✅ محقق",IF($U141&gt;=0.85,"🟡 قريب","🔴 تحت الهدف")))</f>
        <v/>
      </c>
      <c r="W141" s="66">
        <f>IF($G141="","",$G141)</f>
        <v/>
      </c>
      <c r="X141" s="59">
        <f>IF($U141="","—",IF($U141&gt;=0.85,"🟢 على المسار","🟠 متأخّر"))</f>
        <v/>
      </c>
    </row>
    <row r="142" ht="22" customHeight="1">
      <c r="A142" s="59" t="n">
        <v>139</v>
      </c>
      <c r="B142" s="13" t="inlineStr">
        <is>
          <t>التقنية الرقمية</t>
        </is>
      </c>
      <c r="C142" s="11" t="inlineStr">
        <is>
          <t>نسبة نجاح النسخ الاحتياطي واختبارات استعادة البيانات</t>
        </is>
      </c>
      <c r="D142" s="15" t="inlineStr">
        <is>
          <t>شهري</t>
        </is>
      </c>
      <c r="E142" s="15" t="inlineStr">
        <is>
          <t>معدل</t>
        </is>
      </c>
      <c r="F142" s="55" t="inlineStr">
        <is>
          <t>↑</t>
        </is>
      </c>
      <c r="G142" s="64" t="n">
        <v>1</v>
      </c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65" t="n"/>
      <c r="R142" s="65" t="n"/>
      <c r="S142" s="65" t="n"/>
      <c r="T142" s="56">
        <f>IF(COUNT($H142:$S142)=0,"",SUM($H142:$S142)/COUNT($H142:$S142))</f>
        <v/>
      </c>
      <c r="U142" s="56">
        <f>IF($G142="","",IF($T142="","",MIN(1,IF($G142=0,IF($T142&lt;=0,1,0),IF($F142="↓",IFERROR($G142/$T142,0),IFERROR($T142/$G142,0))))))</f>
        <v/>
      </c>
      <c r="V142" s="59">
        <f>IF($U142="","⏳ بانتظار هدف",IF($U142&gt;=1.0,"✅ محقق",IF($U142&gt;=0.85,"🟡 قريب","🔴 تحت الهدف")))</f>
        <v/>
      </c>
      <c r="W142" s="66">
        <f>IF($G142="","",$G142)</f>
        <v/>
      </c>
      <c r="X142" s="59">
        <f>IF($U142="","—",IF($U142&gt;=0.85,"🟢 على المسار","🟠 متأخّر"))</f>
        <v/>
      </c>
    </row>
    <row r="143" ht="22" customHeight="1">
      <c r="A143" s="59" t="n">
        <v>140</v>
      </c>
      <c r="B143" s="13" t="inlineStr">
        <is>
          <t>التقنية الرقمية</t>
        </is>
      </c>
      <c r="C143" s="11" t="inlineStr">
        <is>
          <t>نسبة الامتثال لضوابط الأمن السيبراني الأساسية</t>
        </is>
      </c>
      <c r="D143" s="15" t="inlineStr">
        <is>
          <t>شهري</t>
        </is>
      </c>
      <c r="E143" s="15" t="inlineStr">
        <is>
          <t>معدل</t>
        </is>
      </c>
      <c r="F143" s="55" t="inlineStr">
        <is>
          <t>↑</t>
        </is>
      </c>
      <c r="G143" s="64" t="n">
        <v>0.95</v>
      </c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 t="n"/>
      <c r="Q143" s="65" t="n"/>
      <c r="R143" s="65" t="n"/>
      <c r="S143" s="65" t="n"/>
      <c r="T143" s="56">
        <f>IF(COUNT($H143:$S143)=0,"",SUM($H143:$S143)/COUNT($H143:$S143))</f>
        <v/>
      </c>
      <c r="U143" s="56">
        <f>IF($G143="","",IF($T143="","",MIN(1,IF($G143=0,IF($T143&lt;=0,1,0),IF($F143="↓",IFERROR($G143/$T143,0),IFERROR($T143/$G143,0))))))</f>
        <v/>
      </c>
      <c r="V143" s="59">
        <f>IF($U143="","⏳ بانتظار هدف",IF($U143&gt;=1.0,"✅ محقق",IF($U143&gt;=0.97,"🟡 قريب","🔴 تحت الهدف")))</f>
        <v/>
      </c>
      <c r="W143" s="66">
        <f>IF($G143="","",$G143)</f>
        <v/>
      </c>
      <c r="X143" s="59">
        <f>IF($U143="","—",IF($U143&gt;=0.97,"🟢 على المسار","🟠 متأخّر"))</f>
        <v/>
      </c>
    </row>
    <row r="144" ht="22" customHeight="1">
      <c r="A144" s="59" t="n">
        <v>141</v>
      </c>
      <c r="B144" s="13" t="inlineStr">
        <is>
          <t>التقنية الرقمية</t>
        </is>
      </c>
      <c r="C144" s="11" t="inlineStr">
        <is>
          <t>نسبة دقة وتكامل البيانات بين الأنظمة الرقمية</t>
        </is>
      </c>
      <c r="D144" s="15" t="inlineStr">
        <is>
          <t>شهري</t>
        </is>
      </c>
      <c r="E144" s="15" t="inlineStr">
        <is>
          <t>معدل</t>
        </is>
      </c>
      <c r="F144" s="55" t="inlineStr">
        <is>
          <t>↑</t>
        </is>
      </c>
      <c r="G144" s="64" t="n">
        <v>0.98</v>
      </c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56">
        <f>IF(COUNT($H144:$S144)=0,"",SUM($H144:$S144)/COUNT($H144:$S144))</f>
        <v/>
      </c>
      <c r="U144" s="56">
        <f>IF($G144="","",IF($T144="","",MIN(1,IF($G144=0,IF($T144&lt;=0,1,0),IF($F144="↓",IFERROR($G144/$T144,0),IFERROR($T144/$G144,0))))))</f>
        <v/>
      </c>
      <c r="V144" s="59">
        <f>IF($U144="","⏳ بانتظار هدف",IF($U144&gt;=1.0,"✅ محقق",IF($U144&gt;=0.85,"🟡 قريب","🔴 تحت الهدف")))</f>
        <v/>
      </c>
      <c r="W144" s="66">
        <f>IF($G144="","",$G144)</f>
        <v/>
      </c>
      <c r="X144" s="59">
        <f>IF($U144="","—",IF($U144&gt;=0.85,"🟢 على المسار","🟠 متأخّر"))</f>
        <v/>
      </c>
    </row>
    <row r="145" ht="22" customHeight="1">
      <c r="A145" s="59" t="n">
        <v>142</v>
      </c>
      <c r="B145" s="13" t="inlineStr">
        <is>
          <t>التقنية الرقمية</t>
        </is>
      </c>
      <c r="C145" s="11" t="inlineStr">
        <is>
          <t>نسبة الالتزام بتحديث وتوثيق أصول تقنية المعلومات والتراخيص</t>
        </is>
      </c>
      <c r="D145" s="15" t="inlineStr">
        <is>
          <t>شهري</t>
        </is>
      </c>
      <c r="E145" s="15" t="inlineStr">
        <is>
          <t>معدل</t>
        </is>
      </c>
      <c r="F145" s="55" t="inlineStr">
        <is>
          <t>↑</t>
        </is>
      </c>
      <c r="G145" s="64" t="n">
        <v>0.95</v>
      </c>
      <c r="H145" s="65" t="n"/>
      <c r="I145" s="65" t="n"/>
      <c r="J145" s="65" t="n"/>
      <c r="K145" s="65" t="n"/>
      <c r="L145" s="65" t="n"/>
      <c r="M145" s="65" t="n"/>
      <c r="N145" s="65" t="n"/>
      <c r="O145" s="65" t="n"/>
      <c r="P145" s="65" t="n"/>
      <c r="Q145" s="65" t="n"/>
      <c r="R145" s="65" t="n"/>
      <c r="S145" s="65" t="n"/>
      <c r="T145" s="56">
        <f>IF(COUNT($H145:$S145)=0,"",SUM($H145:$S145)/COUNT($H145:$S145))</f>
        <v/>
      </c>
      <c r="U145" s="56">
        <f>IF($G145="","",IF($T145="","",MIN(1,IF($G145=0,IF($T145&lt;=0,1,0),IF($F145="↓",IFERROR($G145/$T145,0),IFERROR($T145/$G145,0))))))</f>
        <v/>
      </c>
      <c r="V145" s="59">
        <f>IF($U145="","⏳ بانتظار هدف",IF($U145&gt;=1.0,"✅ محقق",IF($U145&gt;=0.85,"🟡 قريب","🔴 تحت الهدف")))</f>
        <v/>
      </c>
      <c r="W145" s="66">
        <f>IF($G145="","",$G145)</f>
        <v/>
      </c>
      <c r="X145" s="59">
        <f>IF($U145="","—",IF($U145&gt;=0.85,"🟢 على المسار","🟠 متأخّر"))</f>
        <v/>
      </c>
    </row>
    <row r="146" ht="22" customHeight="1">
      <c r="A146" s="59" t="n">
        <v>143</v>
      </c>
      <c r="B146" s="13" t="inlineStr">
        <is>
          <t>التقنية الرقمية</t>
        </is>
      </c>
      <c r="C146" s="11" t="inlineStr">
        <is>
          <t>نسبة تنفيذ الصيانة الوقائية للأجهزة والبنية التقنية</t>
        </is>
      </c>
      <c r="D146" s="15" t="inlineStr">
        <is>
          <t>شهري</t>
        </is>
      </c>
      <c r="E146" s="15" t="inlineStr">
        <is>
          <t>معدل</t>
        </is>
      </c>
      <c r="F146" s="55" t="inlineStr">
        <is>
          <t>↑</t>
        </is>
      </c>
      <c r="G146" s="64" t="n">
        <v>0.95</v>
      </c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65" t="n"/>
      <c r="R146" s="65" t="n"/>
      <c r="S146" s="65" t="n"/>
      <c r="T146" s="56">
        <f>IF(COUNT($H146:$S146)=0,"",SUM($H146:$S146)/COUNT($H146:$S146))</f>
        <v/>
      </c>
      <c r="U146" s="56">
        <f>IF($G146="","",IF($T146="","",MIN(1,IF($G146=0,IF($T146&lt;=0,1,0),IF($F146="↓",IFERROR($G146/$T146,0),IFERROR($T146/$G146,0))))))</f>
        <v/>
      </c>
      <c r="V146" s="59">
        <f>IF($U146="","⏳ بانتظار هدف",IF($U146&gt;=1.0,"✅ محقق",IF($U146&gt;=0.85,"🟡 قريب","🔴 تحت الهدف")))</f>
        <v/>
      </c>
      <c r="W146" s="66">
        <f>IF($G146="","",$G146)</f>
        <v/>
      </c>
      <c r="X146" s="59">
        <f>IF($U146="","—",IF($U146&gt;=0.85,"🟢 على المسار","🟠 متأخّر"))</f>
        <v/>
      </c>
    </row>
    <row r="147" ht="22" customHeight="1">
      <c r="A147" s="59" t="n">
        <v>144</v>
      </c>
      <c r="B147" s="13" t="inlineStr">
        <is>
          <t>التقنية الرقمية</t>
        </is>
      </c>
      <c r="C147" s="11" t="inlineStr">
        <is>
          <t>مستوى رضا الإدارات والمستخدمين عن خدمات تقنية المعلومات</t>
        </is>
      </c>
      <c r="D147" s="15" t="inlineStr">
        <is>
          <t>ربعي</t>
        </is>
      </c>
      <c r="E147" s="15" t="inlineStr">
        <is>
          <t>معدل</t>
        </is>
      </c>
      <c r="F147" s="55" t="inlineStr">
        <is>
          <t>↑</t>
        </is>
      </c>
      <c r="G147" s="64" t="n">
        <v>0.85</v>
      </c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65" t="n"/>
      <c r="R147" s="65" t="n"/>
      <c r="S147" s="65" t="n"/>
      <c r="T147" s="56">
        <f>IF(COUNT($H147:$S147)=0,"",SUM($H147:$S147)/COUNT($H147:$S147))</f>
        <v/>
      </c>
      <c r="U147" s="56">
        <f>IF($G147="","",IF($T147="","",MIN(1,IF($G147=0,IF($T147&lt;=0,1,0),IF($F147="↓",IFERROR($G147/$T147,0),IFERROR($T147/$G147,0))))))</f>
        <v/>
      </c>
      <c r="V147" s="59">
        <f>IF($U147="","⏳ بانتظار هدف",IF($U147&gt;=0.9,"✅ محقق",IF($U147&gt;=0.75,"🟡 قريب","🔴 تحت الهدف")))</f>
        <v/>
      </c>
      <c r="W147" s="66">
        <f>IF($G147="","",$G147)</f>
        <v/>
      </c>
      <c r="X147" s="59">
        <f>IF($U147="","—",IF($U147&gt;=0.75,"🟢 على المسار","🟠 متأخّر"))</f>
        <v/>
      </c>
    </row>
    <row r="148" ht="22" customHeight="1">
      <c r="A148" s="59" t="n">
        <v>145</v>
      </c>
      <c r="B148" s="13" t="inlineStr">
        <is>
          <t>الموارد البشرية</t>
        </is>
      </c>
      <c r="C148" s="11" t="inlineStr">
        <is>
          <t>نسبة الالتزام بالتوطين والامتثال الحكومي دون مخالفات</t>
        </is>
      </c>
      <c r="D148" s="15" t="inlineStr">
        <is>
          <t>شهري</t>
        </is>
      </c>
      <c r="E148" s="15" t="inlineStr">
        <is>
          <t>معدل</t>
        </is>
      </c>
      <c r="F148" s="55" t="inlineStr">
        <is>
          <t>↑</t>
        </is>
      </c>
      <c r="G148" s="64" t="n">
        <v>1</v>
      </c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65" t="n"/>
      <c r="R148" s="65" t="n"/>
      <c r="S148" s="65" t="n"/>
      <c r="T148" s="56">
        <f>IF(COUNT($H148:$S148)=0,"",SUM($H148:$S148)/COUNT($H148:$S148))</f>
        <v/>
      </c>
      <c r="U148" s="56">
        <f>IF($G148="","",IF($T148="","",MIN(1,IF($G148=0,IF($T148&lt;=0,1,0),IF($F148="↓",IFERROR($G148/$T148,0),IFERROR($T148/$G148,0))))))</f>
        <v/>
      </c>
      <c r="V148" s="59">
        <f>IF($U148="","⏳ بانتظار هدف",IF($U148&gt;=1.0,"✅ محقق",IF($U148&gt;=0.97,"🟡 قريب","🔴 تحت الهدف")))</f>
        <v/>
      </c>
      <c r="W148" s="66">
        <f>IF($G148="","",$G148)</f>
        <v/>
      </c>
      <c r="X148" s="59">
        <f>IF($U148="","—",IF($U148&gt;=0.97,"🟢 على المسار","🟠 متأخّر"))</f>
        <v/>
      </c>
    </row>
    <row r="149" ht="22" customHeight="1">
      <c r="A149" s="59" t="n">
        <v>146</v>
      </c>
      <c r="B149" s="13" t="inlineStr">
        <is>
          <t>الموارد البشرية</t>
        </is>
      </c>
      <c r="C149" s="11" t="inlineStr">
        <is>
          <t>نسبة الالتزام بنظام العمل واللوائح وخطة القوى العاملة المعتمدة</t>
        </is>
      </c>
      <c r="D149" s="15" t="inlineStr">
        <is>
          <t>شهري</t>
        </is>
      </c>
      <c r="E149" s="15" t="inlineStr">
        <is>
          <t>معدل</t>
        </is>
      </c>
      <c r="F149" s="55" t="inlineStr">
        <is>
          <t>↑</t>
        </is>
      </c>
      <c r="G149" s="64" t="n">
        <v>1</v>
      </c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65" t="n"/>
      <c r="R149" s="65" t="n"/>
      <c r="S149" s="65" t="n"/>
      <c r="T149" s="56">
        <f>IF(COUNT($H149:$S149)=0,"",SUM($H149:$S149)/COUNT($H149:$S149))</f>
        <v/>
      </c>
      <c r="U149" s="56">
        <f>IF($G149="","",IF($T149="","",MIN(1,IF($G149=0,IF($T149&lt;=0,1,0),IF($F149="↓",IFERROR($G149/$T149,0),IFERROR($T149/$G149,0))))))</f>
        <v/>
      </c>
      <c r="V149" s="59">
        <f>IF($U149="","⏳ بانتظار هدف",IF($U149&gt;=1.0,"✅ محقق",IF($U149&gt;=0.85,"🟡 قريب","🔴 تحت الهدف")))</f>
        <v/>
      </c>
      <c r="W149" s="66">
        <f>IF($G149="","",$G149)</f>
        <v/>
      </c>
      <c r="X149" s="59">
        <f>IF($U149="","—",IF($U149&gt;=0.85,"🟢 على المسار","🟠 متأخّر"))</f>
        <v/>
      </c>
    </row>
    <row r="150" ht="22" customHeight="1">
      <c r="A150" s="59" t="n">
        <v>147</v>
      </c>
      <c r="B150" s="13" t="inlineStr">
        <is>
          <t>الموارد البشرية</t>
        </is>
      </c>
      <c r="C150" s="11" t="inlineStr">
        <is>
          <t>نسبة إنجاز معاملات شؤون الموظفين ضمن المدة المستهدفة SLA</t>
        </is>
      </c>
      <c r="D150" s="15" t="inlineStr">
        <is>
          <t>شهري</t>
        </is>
      </c>
      <c r="E150" s="15" t="inlineStr">
        <is>
          <t>معدل</t>
        </is>
      </c>
      <c r="F150" s="55" t="inlineStr">
        <is>
          <t>↑</t>
        </is>
      </c>
      <c r="G150" s="64" t="n">
        <v>0.9</v>
      </c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56">
        <f>IF(COUNT($H150:$S150)=0,"",SUM($H150:$S150)/COUNT($H150:$S150))</f>
        <v/>
      </c>
      <c r="U150" s="56">
        <f>IF($G150="","",IF($T150="","",MIN(1,IF($G150=0,IF($T150&lt;=0,1,0),IF($F150="↓",IFERROR($G150/$T150,0),IFERROR($T150/$G150,0))))))</f>
        <v/>
      </c>
      <c r="V150" s="59">
        <f>IF($U150="","⏳ بانتظار هدف",IF($U150&gt;=1.0,"✅ محقق",IF($U150&gt;=0.85,"🟡 قريب","🔴 تحت الهدف")))</f>
        <v/>
      </c>
      <c r="W150" s="66">
        <f>IF($G150="","",$G150)</f>
        <v/>
      </c>
      <c r="X150" s="59">
        <f>IF($U150="","—",IF($U150&gt;=0.85,"🟢 على المسار","🟠 متأخّر"))</f>
        <v/>
      </c>
    </row>
    <row r="151" ht="22" customHeight="1">
      <c r="A151" s="59" t="n">
        <v>148</v>
      </c>
      <c r="B151" s="13" t="inlineStr">
        <is>
          <t>الموارد البشرية</t>
        </is>
      </c>
      <c r="C151" s="11" t="inlineStr">
        <is>
          <t>نسبة الالتزام بتجديد الوثائق واكتمال ملفات الموظفين</t>
        </is>
      </c>
      <c r="D151" s="15" t="inlineStr">
        <is>
          <t>شهري</t>
        </is>
      </c>
      <c r="E151" s="15" t="inlineStr">
        <is>
          <t>معدل</t>
        </is>
      </c>
      <c r="F151" s="55" t="inlineStr">
        <is>
          <t>↑</t>
        </is>
      </c>
      <c r="G151" s="64" t="n">
        <v>1</v>
      </c>
      <c r="H151" s="65" t="n"/>
      <c r="I151" s="65" t="n"/>
      <c r="J151" s="65" t="n"/>
      <c r="K151" s="65" t="n"/>
      <c r="L151" s="65" t="n"/>
      <c r="M151" s="65" t="n"/>
      <c r="N151" s="65" t="n"/>
      <c r="O151" s="65" t="n"/>
      <c r="P151" s="65" t="n"/>
      <c r="Q151" s="65" t="n"/>
      <c r="R151" s="65" t="n"/>
      <c r="S151" s="65" t="n"/>
      <c r="T151" s="56">
        <f>IF(COUNT($H151:$S151)=0,"",SUM($H151:$S151)/COUNT($H151:$S151))</f>
        <v/>
      </c>
      <c r="U151" s="56">
        <f>IF($G151="","",IF($T151="","",MIN(1,IF($G151=0,IF($T151&lt;=0,1,0),IF($F151="↓",IFERROR($G151/$T151,0),IFERROR($T151/$G151,0))))))</f>
        <v/>
      </c>
      <c r="V151" s="59">
        <f>IF($U151="","⏳ بانتظار هدف",IF($U151&gt;=1.0,"✅ محقق",IF($U151&gt;=0.85,"🟡 قريب","🔴 تحت الهدف")))</f>
        <v/>
      </c>
      <c r="W151" s="66">
        <f>IF($G151="","",$G151)</f>
        <v/>
      </c>
      <c r="X151" s="59">
        <f>IF($U151="","—",IF($U151&gt;=0.85,"🟢 على المسار","🟠 متأخّر"))</f>
        <v/>
      </c>
    </row>
    <row r="152" ht="22" customHeight="1">
      <c r="A152" s="59" t="n">
        <v>149</v>
      </c>
      <c r="B152" s="13" t="inlineStr">
        <is>
          <t>الموارد البشرية</t>
        </is>
      </c>
      <c r="C152" s="11" t="inlineStr">
        <is>
          <t>نسبة جاهزية وتغطية عمالة المحطات حسب خطة التشغيل والافتتاحات</t>
        </is>
      </c>
      <c r="D152" s="15" t="inlineStr">
        <is>
          <t>شهري</t>
        </is>
      </c>
      <c r="E152" s="15" t="inlineStr">
        <is>
          <t>معدل</t>
        </is>
      </c>
      <c r="F152" s="55" t="inlineStr">
        <is>
          <t>↑</t>
        </is>
      </c>
      <c r="G152" s="64" t="n">
        <v>0.95</v>
      </c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65" t="n"/>
      <c r="R152" s="65" t="n"/>
      <c r="S152" s="65" t="n"/>
      <c r="T152" s="56">
        <f>IF(COUNT($H152:$S152)=0,"",SUM($H152:$S152)/COUNT($H152:$S152))</f>
        <v/>
      </c>
      <c r="U152" s="56">
        <f>IF($G152="","",IF($T152="","",MIN(1,IF($G152=0,IF($T152&lt;=0,1,0),IF($F152="↓",IFERROR($G152/$T152,0),IFERROR($T152/$G152,0))))))</f>
        <v/>
      </c>
      <c r="V152" s="59">
        <f>IF($U152="","⏳ بانتظار هدف",IF($U152&gt;=1.0,"✅ محقق",IF($U152&gt;=0.97,"🟡 قريب","🔴 تحت الهدف")))</f>
        <v/>
      </c>
      <c r="W152" s="66">
        <f>IF($G152="","",$G152)</f>
        <v/>
      </c>
      <c r="X152" s="59">
        <f>IF($U152="","—",IF($U152&gt;=0.97,"🟢 على المسار","🟠 متأخّر"))</f>
        <v/>
      </c>
    </row>
    <row r="153" ht="22" customHeight="1">
      <c r="A153" s="59" t="n">
        <v>150</v>
      </c>
      <c r="B153" s="13" t="inlineStr">
        <is>
          <t>الموارد البشرية</t>
        </is>
      </c>
      <c r="C153" s="11" t="inlineStr">
        <is>
          <t>متوسط مدة إغلاق الشواغر المعتمدة</t>
        </is>
      </c>
      <c r="D153" s="15" t="inlineStr">
        <is>
          <t>شهري</t>
        </is>
      </c>
      <c r="E153" s="15" t="inlineStr">
        <is>
          <t>معدل</t>
        </is>
      </c>
      <c r="F153" s="55" t="inlineStr">
        <is>
          <t>↓</t>
        </is>
      </c>
      <c r="G153" s="67" t="n">
        <v>30</v>
      </c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9">
        <f>IF(COUNT($H153:$S153)=0,"",SUM($H153:$S153)/COUNT($H153:$S153))</f>
        <v/>
      </c>
      <c r="U153" s="56">
        <f>IF($G153="","",IF($T153="","",MIN(1,IF($G153=0,IF($T153&lt;=0,1,0),IF($F153="↓",IFERROR($G153/$T153,0),IFERROR($T153/$G153,0))))))</f>
        <v/>
      </c>
      <c r="V153" s="59">
        <f>IF($U153="","⏳ بانتظار هدف",IF($U153&gt;=1.0,"✅ محقق",IF($U153&gt;=0.85,"🟡 قريب","🔴 تحت الهدف")))</f>
        <v/>
      </c>
      <c r="W153" s="70">
        <f>IF($G153="","",$G153)</f>
        <v/>
      </c>
      <c r="X153" s="59">
        <f>IF($U153="","—",IF($U153&gt;=0.85,"🟢 على المسار","🟠 متأخّر"))</f>
        <v/>
      </c>
    </row>
    <row r="154" ht="22" customHeight="1">
      <c r="A154" s="59" t="n">
        <v>151</v>
      </c>
      <c r="B154" s="13" t="inlineStr">
        <is>
          <t>الموارد البشرية</t>
        </is>
      </c>
      <c r="C154" s="11" t="inlineStr">
        <is>
          <t>نسبة نجاح التعيينات الجديدة خلال فترة التجربة</t>
        </is>
      </c>
      <c r="D154" s="15" t="inlineStr">
        <is>
          <t>شهري</t>
        </is>
      </c>
      <c r="E154" s="15" t="inlineStr">
        <is>
          <t>معدل</t>
        </is>
      </c>
      <c r="F154" s="55" t="inlineStr">
        <is>
          <t>↑</t>
        </is>
      </c>
      <c r="G154" s="64" t="n">
        <v>0.9</v>
      </c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65" t="n"/>
      <c r="T154" s="56">
        <f>IF(COUNT($H154:$S154)=0,"",SUM($H154:$S154)/COUNT($H154:$S154))</f>
        <v/>
      </c>
      <c r="U154" s="56">
        <f>IF($G154="","",IF($T154="","",MIN(1,IF($G154=0,IF($T154&lt;=0,1,0),IF($F154="↓",IFERROR($G154/$T154,0),IFERROR($T154/$G154,0))))))</f>
        <v/>
      </c>
      <c r="V154" s="59">
        <f>IF($U154="","⏳ بانتظار هدف",IF($U154&gt;=1.0,"✅ محقق",IF($U154&gt;=0.85,"🟡 قريب","🔴 تحت الهدف")))</f>
        <v/>
      </c>
      <c r="W154" s="66">
        <f>IF($G154="","",$G154)</f>
        <v/>
      </c>
      <c r="X154" s="59">
        <f>IF($U154="","—",IF($U154&gt;=0.85,"🟢 على المسار","🟠 متأخّر"))</f>
        <v/>
      </c>
    </row>
    <row r="155" ht="22" customHeight="1">
      <c r="A155" s="59" t="n">
        <v>152</v>
      </c>
      <c r="B155" s="13" t="inlineStr">
        <is>
          <t>الموارد البشرية</t>
        </is>
      </c>
      <c r="C155" s="11" t="inlineStr">
        <is>
          <t>نسبة كفاءة تكلفة القوى العاملة</t>
        </is>
      </c>
      <c r="D155" s="15" t="inlineStr">
        <is>
          <t>شهري</t>
        </is>
      </c>
      <c r="E155" s="15" t="inlineStr">
        <is>
          <t>معدل</t>
        </is>
      </c>
      <c r="F155" s="55" t="inlineStr">
        <is>
          <t>↑</t>
        </is>
      </c>
      <c r="G155" s="64" t="n">
        <v>0.95</v>
      </c>
      <c r="H155" s="65" t="n"/>
      <c r="I155" s="65" t="n"/>
      <c r="J155" s="65" t="n"/>
      <c r="K155" s="65" t="n"/>
      <c r="L155" s="65" t="n"/>
      <c r="M155" s="65" t="n"/>
      <c r="N155" s="65" t="n"/>
      <c r="O155" s="65" t="n"/>
      <c r="P155" s="65" t="n"/>
      <c r="Q155" s="65" t="n"/>
      <c r="R155" s="65" t="n"/>
      <c r="S155" s="65" t="n"/>
      <c r="T155" s="56">
        <f>IF(COUNT($H155:$S155)=0,"",SUM($H155:$S155)/COUNT($H155:$S155))</f>
        <v/>
      </c>
      <c r="U155" s="56">
        <f>IF($G155="","",IF($T155="","",MIN(1,IF($G155=0,IF($T155&lt;=0,1,0),IF($F155="↓",IFERROR($G155/$T155,0),IFERROR($T155/$G155,0))))))</f>
        <v/>
      </c>
      <c r="V155" s="59">
        <f>IF($U155="","⏳ بانتظار هدف",IF($U155&gt;=1.0,"✅ محقق",IF($U155&gt;=0.85,"🟡 قريب","🔴 تحت الهدف")))</f>
        <v/>
      </c>
      <c r="W155" s="66">
        <f>IF($G155="","",$G155)</f>
        <v/>
      </c>
      <c r="X155" s="59">
        <f>IF($U155="","—",IF($U155&gt;=0.85,"🟢 على المسار","🟠 متأخّر"))</f>
        <v/>
      </c>
    </row>
    <row r="156" ht="22" customHeight="1">
      <c r="A156" s="59" t="n">
        <v>153</v>
      </c>
      <c r="B156" s="13" t="inlineStr">
        <is>
          <t>الموارد البشرية</t>
        </is>
      </c>
      <c r="C156" s="11" t="inlineStr">
        <is>
          <t>نسبة دقة الرواتب والمستحقات الشهرية</t>
        </is>
      </c>
      <c r="D156" s="15" t="inlineStr">
        <is>
          <t>شهري</t>
        </is>
      </c>
      <c r="E156" s="15" t="inlineStr">
        <is>
          <t>معدل</t>
        </is>
      </c>
      <c r="F156" s="55" t="inlineStr">
        <is>
          <t>↑</t>
        </is>
      </c>
      <c r="G156" s="64" t="n">
        <v>0.995</v>
      </c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56">
        <f>IF(COUNT($H156:$S156)=0,"",SUM($H156:$S156)/COUNT($H156:$S156))</f>
        <v/>
      </c>
      <c r="U156" s="56">
        <f>IF($G156="","",IF($T156="","",MIN(1,IF($G156=0,IF($T156&lt;=0,1,0),IF($F156="↓",IFERROR($G156/$T156,0),IFERROR($T156/$G156,0))))))</f>
        <v/>
      </c>
      <c r="V156" s="59">
        <f>IF($U156="","⏳ بانتظار هدف",IF($U156&gt;=1.0,"✅ محقق",IF($U156&gt;=0.85,"🟡 قريب","🔴 تحت الهدف")))</f>
        <v/>
      </c>
      <c r="W156" s="66">
        <f>IF($G156="","",$G156)</f>
        <v/>
      </c>
      <c r="X156" s="59">
        <f>IF($U156="","—",IF($U156&gt;=0.85,"🟢 على المسار","🟠 متأخّر"))</f>
        <v/>
      </c>
    </row>
    <row r="157" ht="22" customHeight="1">
      <c r="A157" s="59" t="n">
        <v>154</v>
      </c>
      <c r="B157" s="13" t="inlineStr">
        <is>
          <t>الموارد البشرية</t>
        </is>
      </c>
      <c r="C157" s="11" t="inlineStr">
        <is>
          <t>معدل دوران الموظفين</t>
        </is>
      </c>
      <c r="D157" s="15" t="inlineStr">
        <is>
          <t>شهري</t>
        </is>
      </c>
      <c r="E157" s="15" t="inlineStr">
        <is>
          <t>معدل</t>
        </is>
      </c>
      <c r="F157" s="55" t="inlineStr">
        <is>
          <t>↓</t>
        </is>
      </c>
      <c r="G157" s="64" t="n">
        <v>0.1</v>
      </c>
      <c r="H157" s="65" t="n"/>
      <c r="I157" s="65" t="n"/>
      <c r="J157" s="65" t="n"/>
      <c r="K157" s="65" t="n"/>
      <c r="L157" s="65" t="n"/>
      <c r="M157" s="65" t="n"/>
      <c r="N157" s="65" t="n"/>
      <c r="O157" s="65" t="n"/>
      <c r="P157" s="65" t="n"/>
      <c r="Q157" s="65" t="n"/>
      <c r="R157" s="65" t="n"/>
      <c r="S157" s="65" t="n"/>
      <c r="T157" s="56">
        <f>IF(COUNT($H157:$S157)=0,"",SUM($H157:$S157)/COUNT($H157:$S157))</f>
        <v/>
      </c>
      <c r="U157" s="56">
        <f>IF($G157="","",IF($T157="","",MIN(1,IF($G157=0,IF($T157&lt;=0,1,0),IF($F157="↓",IFERROR($G157/$T157,0),IFERROR($T157/$G157,0))))))</f>
        <v/>
      </c>
      <c r="V157" s="59">
        <f>IF($U157="","⏳ بانتظار هدف",IF($U157&gt;=1.0,"✅ محقق",IF($U157&gt;=0.85,"🟡 قريب","🔴 تحت الهدف")))</f>
        <v/>
      </c>
      <c r="W157" s="66">
        <f>IF($G157="","",$G157)</f>
        <v/>
      </c>
      <c r="X157" s="59">
        <f>IF($U157="","—",IF($U157&gt;=0.85,"🟢 على المسار","🟠 متأخّر"))</f>
        <v/>
      </c>
    </row>
    <row r="158" ht="22" customHeight="1">
      <c r="A158" s="59" t="n">
        <v>155</v>
      </c>
      <c r="B158" s="13" t="inlineStr">
        <is>
          <t>الموارد البشرية</t>
        </is>
      </c>
      <c r="C158" s="11" t="inlineStr">
        <is>
          <t>نسبة تنفيذ برامج التدريب والتأهيل المعتمدة</t>
        </is>
      </c>
      <c r="D158" s="15" t="inlineStr">
        <is>
          <t>شهري</t>
        </is>
      </c>
      <c r="E158" s="15" t="inlineStr">
        <is>
          <t>معدل</t>
        </is>
      </c>
      <c r="F158" s="55" t="inlineStr">
        <is>
          <t>↑</t>
        </is>
      </c>
      <c r="G158" s="64" t="n">
        <v>0.9</v>
      </c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65" t="n"/>
      <c r="R158" s="65" t="n"/>
      <c r="S158" s="65" t="n"/>
      <c r="T158" s="56">
        <f>IF(COUNT($H158:$S158)=0,"",SUM($H158:$S158)/COUNT($H158:$S158))</f>
        <v/>
      </c>
      <c r="U158" s="56">
        <f>IF($G158="","",IF($T158="","",MIN(1,IF($G158=0,IF($T158&lt;=0,1,0),IF($F158="↓",IFERROR($G158/$T158,0),IFERROR($T158/$G158,0))))))</f>
        <v/>
      </c>
      <c r="V158" s="59">
        <f>IF($U158="","⏳ بانتظار هدف",IF($U158&gt;=1.0,"✅ محقق",IF($U158&gt;=0.85,"🟡 قريب","🔴 تحت الهدف")))</f>
        <v/>
      </c>
      <c r="W158" s="66">
        <f>IF($G158="","",$G158)</f>
        <v/>
      </c>
      <c r="X158" s="59">
        <f>IF($U158="","—",IF($U158&gt;=0.85,"🟢 على المسار","🟠 متأخّر"))</f>
        <v/>
      </c>
    </row>
    <row r="159" ht="22" customHeight="1">
      <c r="A159" s="59" t="n">
        <v>156</v>
      </c>
      <c r="B159" s="13" t="inlineStr">
        <is>
          <t>الموارد البشرية</t>
        </is>
      </c>
      <c r="C159" s="11" t="inlineStr">
        <is>
          <t>نسبة إغلاق تقييمات الأداء وخطط الإحلال للوظائف الحرجة</t>
        </is>
      </c>
      <c r="D159" s="15" t="inlineStr">
        <is>
          <t>شهري</t>
        </is>
      </c>
      <c r="E159" s="15" t="inlineStr">
        <is>
          <t>معدل</t>
        </is>
      </c>
      <c r="F159" s="55" t="inlineStr">
        <is>
          <t>↑</t>
        </is>
      </c>
      <c r="G159" s="64" t="n">
        <v>0.95</v>
      </c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56">
        <f>IF(COUNT($H159:$S159)=0,"",SUM($H159:$S159)/COUNT($H159:$S159))</f>
        <v/>
      </c>
      <c r="U159" s="56">
        <f>IF($G159="","",IF($T159="","",MIN(1,IF($G159=0,IF($T159&lt;=0,1,0),IF($F159="↓",IFERROR($G159/$T159,0),IFERROR($T159/$G159,0))))))</f>
        <v/>
      </c>
      <c r="V159" s="59">
        <f>IF($U159="","⏳ بانتظار هدف",IF($U159&gt;=1.0,"✅ محقق",IF($U159&gt;=0.85,"🟡 قريب","🔴 تحت الهدف")))</f>
        <v/>
      </c>
      <c r="W159" s="66">
        <f>IF($G159="","",$G159)</f>
        <v/>
      </c>
      <c r="X159" s="59">
        <f>IF($U159="","—",IF($U159&gt;=0.85,"🟢 على المسار","🟠 متأخّر"))</f>
        <v/>
      </c>
    </row>
    <row r="160" ht="22" customHeight="1">
      <c r="A160" s="59" t="n">
        <v>157</v>
      </c>
      <c r="B160" s="13" t="inlineStr">
        <is>
          <t>التسويق</t>
        </is>
      </c>
      <c r="C160" s="11" t="inlineStr">
        <is>
          <t>الوصول الكلي (Total Reach)</t>
        </is>
      </c>
      <c r="D160" s="15" t="inlineStr">
        <is>
          <t>شهري</t>
        </is>
      </c>
      <c r="E160" s="15" t="inlineStr">
        <is>
          <t>لقطة</t>
        </is>
      </c>
      <c r="F160" s="55" t="inlineStr">
        <is>
          <t>↑</t>
        </is>
      </c>
      <c r="G160" s="60" t="n">
        <v>50000000</v>
      </c>
      <c r="H160" s="61" t="n"/>
      <c r="I160" s="61" t="n"/>
      <c r="J160" s="61" t="n"/>
      <c r="K160" s="61" t="n"/>
      <c r="L160" s="61" t="n"/>
      <c r="M160" s="61" t="n"/>
      <c r="N160" s="61" t="n"/>
      <c r="O160" s="61" t="n"/>
      <c r="P160" s="61" t="n"/>
      <c r="Q160" s="61" t="n"/>
      <c r="R160" s="61" t="n"/>
      <c r="S160" s="61" t="n"/>
      <c r="T160" s="62">
        <f>IFERROR(LOOKUP(2,1/($H160:$S160&lt;&gt;""),$H160:$S160),"")</f>
        <v/>
      </c>
      <c r="U160" s="56">
        <f>IF($G160="","",IF($T160="","",MIN(1,IF($G160=0,IF($T160&lt;=0,1,0),IF($F160="↓",IFERROR($G160/$T160,0),IFERROR($T160/$G160,0))))))</f>
        <v/>
      </c>
      <c r="V160" s="59">
        <f>IF($U160="","⏳ بانتظار هدف",IF($U160&gt;=0.9,"✅ محقق",IF($U160&gt;=0.75,"🟡 قريب","🔴 تحت الهدف")))</f>
        <v/>
      </c>
      <c r="W160" s="63">
        <f>IF($G160="","",$G160)</f>
        <v/>
      </c>
      <c r="X160" s="59">
        <f>IF($U160="","—",IF($U160&gt;=0.75,"🟢 على المسار","🟠 متأخّر"))</f>
        <v/>
      </c>
    </row>
    <row r="161" ht="22" customHeight="1">
      <c r="A161" s="59" t="n">
        <v>158</v>
      </c>
      <c r="B161" s="13" t="inlineStr">
        <is>
          <t>التسويق</t>
        </is>
      </c>
      <c r="C161" s="11" t="inlineStr">
        <is>
          <t>عملاء تجاريون جدد</t>
        </is>
      </c>
      <c r="D161" s="15" t="inlineStr">
        <is>
          <t>شهري</t>
        </is>
      </c>
      <c r="E161" s="15" t="inlineStr">
        <is>
          <t>تراكمي</t>
        </is>
      </c>
      <c r="F161" s="55" t="inlineStr">
        <is>
          <t>↑</t>
        </is>
      </c>
      <c r="G161" s="60" t="n">
        <v>200</v>
      </c>
      <c r="H161" s="61" t="n"/>
      <c r="I161" s="61" t="n"/>
      <c r="J161" s="61" t="n"/>
      <c r="K161" s="61" t="n"/>
      <c r="L161" s="61" t="n"/>
      <c r="M161" s="61" t="n"/>
      <c r="N161" s="61" t="n"/>
      <c r="O161" s="61" t="n"/>
      <c r="P161" s="61" t="n"/>
      <c r="Q161" s="61" t="n"/>
      <c r="R161" s="61" t="n"/>
      <c r="S161" s="61" t="n"/>
      <c r="T161" s="62">
        <f>IF(COUNT($H161:$S161)=0,"",SUM($H161:$S161))</f>
        <v/>
      </c>
      <c r="U161" s="56">
        <f>IF($G161="","",IF($T161="","",MIN(1,IF($G161=0,IF($T161&lt;=0,1,0),IF($F161="↓",IFERROR($G161/$T161,0),IFERROR($T161/$G161,0))))))</f>
        <v/>
      </c>
      <c r="V161" s="59">
        <f>IF($U161="","⏳ بانتظار هدف",IF($U161&gt;=1.0,"✅ محقق",IF($U161&gt;=0.85,"🟡 قريب","🔴 تحت الهدف")))</f>
        <v/>
      </c>
      <c r="W161" s="63">
        <f>IF($G161="","",$G161*COUNT($H161:$S161)/12)</f>
        <v/>
      </c>
      <c r="X161" s="59">
        <f>IF($U161="","—",IF($U161&gt;=COUNT($H161:$S161)/12,"🟢 على المسار","🟠 متأخّر"))</f>
        <v/>
      </c>
    </row>
    <row r="162" ht="22" customHeight="1">
      <c r="A162" s="59" t="n">
        <v>159</v>
      </c>
      <c r="B162" s="13" t="inlineStr">
        <is>
          <t>التسويق</t>
        </is>
      </c>
      <c r="C162" s="11" t="inlineStr">
        <is>
          <t>إجمالي المتابعين (كل المنصات)</t>
        </is>
      </c>
      <c r="D162" s="15" t="inlineStr">
        <is>
          <t>شهري</t>
        </is>
      </c>
      <c r="E162" s="15" t="inlineStr">
        <is>
          <t>لقطة</t>
        </is>
      </c>
      <c r="F162" s="55" t="inlineStr">
        <is>
          <t>↑</t>
        </is>
      </c>
      <c r="G162" s="60" t="n">
        <v>380000</v>
      </c>
      <c r="H162" s="61" t="n"/>
      <c r="I162" s="61" t="n"/>
      <c r="J162" s="61" t="n"/>
      <c r="K162" s="61" t="n"/>
      <c r="L162" s="61" t="n"/>
      <c r="M162" s="61" t="n"/>
      <c r="N162" s="61" t="n"/>
      <c r="O162" s="61" t="n"/>
      <c r="P162" s="61" t="n"/>
      <c r="Q162" s="61" t="n"/>
      <c r="R162" s="61" t="n"/>
      <c r="S162" s="61" t="n"/>
      <c r="T162" s="62">
        <f>IFERROR(LOOKUP(2,1/($H162:$S162&lt;&gt;""),$H162:$S162),"")</f>
        <v/>
      </c>
      <c r="U162" s="56">
        <f>IF($G162="","",IF($T162="","",MIN(1,IF($G162=0,IF($T162&lt;=0,1,0),IF($F162="↓",IFERROR($G162/$T162,0),IFERROR($T162/$G162,0))))))</f>
        <v/>
      </c>
      <c r="V162" s="59">
        <f>IF($U162="","⏳ بانتظار هدف",IF($U162&gt;=0.9,"✅ محقق",IF($U162&gt;=0.75,"🟡 قريب","🔴 تحت الهدف")))</f>
        <v/>
      </c>
      <c r="W162" s="63">
        <f>IF($G162="","",$G162)</f>
        <v/>
      </c>
      <c r="X162" s="59">
        <f>IF($U162="","—",IF($U162&gt;=0.75,"🟢 على المسار","🟠 متأخّر"))</f>
        <v/>
      </c>
    </row>
    <row r="163" ht="22" customHeight="1">
      <c r="A163" s="59" t="n">
        <v>160</v>
      </c>
      <c r="B163" s="13" t="inlineStr">
        <is>
          <t>التسويق</t>
        </is>
      </c>
      <c r="C163" s="11" t="inlineStr">
        <is>
          <t>معدل التفاعل (Engagement)</t>
        </is>
      </c>
      <c r="D163" s="15" t="inlineStr">
        <is>
          <t>شهري</t>
        </is>
      </c>
      <c r="E163" s="15" t="inlineStr">
        <is>
          <t>معدل</t>
        </is>
      </c>
      <c r="F163" s="55" t="inlineStr">
        <is>
          <t>↑</t>
        </is>
      </c>
      <c r="G163" s="64" t="n">
        <v>0.5</v>
      </c>
      <c r="H163" s="65" t="n"/>
      <c r="I163" s="65" t="n"/>
      <c r="J163" s="65" t="n"/>
      <c r="K163" s="65" t="n"/>
      <c r="L163" s="65" t="n"/>
      <c r="M163" s="65" t="n"/>
      <c r="N163" s="65" t="n"/>
      <c r="O163" s="65" t="n"/>
      <c r="P163" s="65" t="n"/>
      <c r="Q163" s="65" t="n"/>
      <c r="R163" s="65" t="n"/>
      <c r="S163" s="65" t="n"/>
      <c r="T163" s="56">
        <f>IF(COUNT($H163:$S163)=0,"",SUM($H163:$S163)/COUNT($H163:$S163))</f>
        <v/>
      </c>
      <c r="U163" s="56">
        <f>IF($G163="","",IF($T163="","",MIN(1,IF($G163=0,IF($T163&lt;=0,1,0),IF($F163="↓",IFERROR($G163/$T163,0),IFERROR($T163/$G163,0))))))</f>
        <v/>
      </c>
      <c r="V163" s="59">
        <f>IF($U163="","⏳ بانتظار هدف",IF($U163&gt;=0.9,"✅ محقق",IF($U163&gt;=0.75,"🟡 قريب","🔴 تحت الهدف")))</f>
        <v/>
      </c>
      <c r="W163" s="66">
        <f>IF($G163="","",$G163)</f>
        <v/>
      </c>
      <c r="X163" s="59">
        <f>IF($U163="","—",IF($U163&gt;=0.75,"🟢 على المسار","🟠 متأخّر"))</f>
        <v/>
      </c>
    </row>
    <row r="164" ht="22" customHeight="1">
      <c r="A164" s="59" t="n">
        <v>161</v>
      </c>
      <c r="B164" s="13" t="inlineStr">
        <is>
          <t>التسويق</t>
        </is>
      </c>
      <c r="C164" s="11" t="inlineStr">
        <is>
          <t>حملات تسويقية منجزة</t>
        </is>
      </c>
      <c r="D164" s="15" t="inlineStr">
        <is>
          <t>شهري</t>
        </is>
      </c>
      <c r="E164" s="15" t="inlineStr">
        <is>
          <t>تراكمي</t>
        </is>
      </c>
      <c r="F164" s="55" t="inlineStr">
        <is>
          <t>↑</t>
        </is>
      </c>
      <c r="G164" s="60" t="n">
        <v>48</v>
      </c>
      <c r="H164" s="61" t="n"/>
      <c r="I164" s="61" t="n"/>
      <c r="J164" s="61" t="n"/>
      <c r="K164" s="61" t="n"/>
      <c r="L164" s="61" t="n"/>
      <c r="M164" s="61" t="n"/>
      <c r="N164" s="61" t="n"/>
      <c r="O164" s="61" t="n"/>
      <c r="P164" s="61" t="n"/>
      <c r="Q164" s="61" t="n"/>
      <c r="R164" s="61" t="n"/>
      <c r="S164" s="61" t="n"/>
      <c r="T164" s="62">
        <f>IF(COUNT($H164:$S164)=0,"",SUM($H164:$S164))</f>
        <v/>
      </c>
      <c r="U164" s="56">
        <f>IF($G164="","",IF($T164="","",MIN(1,IF($G164=0,IF($T164&lt;=0,1,0),IF($F164="↓",IFERROR($G164/$T164,0),IFERROR($T164/$G164,0))))))</f>
        <v/>
      </c>
      <c r="V164" s="59">
        <f>IF($U164="","⏳ بانتظار هدف",IF($U164&gt;=1.0,"✅ محقق",IF($U164&gt;=0.85,"🟡 قريب","🔴 تحت الهدف")))</f>
        <v/>
      </c>
      <c r="W164" s="63">
        <f>IF($G164="","",$G164*COUNT($H164:$S164)/12)</f>
        <v/>
      </c>
      <c r="X164" s="59">
        <f>IF($U164="","—",IF($U164&gt;=COUNT($H164:$S164)/12,"🟢 على المسار","🟠 متأخّر"))</f>
        <v/>
      </c>
    </row>
    <row r="165" ht="22" customHeight="1">
      <c r="A165" s="59" t="n">
        <v>162</v>
      </c>
      <c r="B165" s="13" t="inlineStr">
        <is>
          <t>التسويق</t>
        </is>
      </c>
      <c r="C165" s="11" t="inlineStr">
        <is>
          <t>تحويل الفرص إلى عقود</t>
        </is>
      </c>
      <c r="D165" s="15" t="inlineStr">
        <is>
          <t>شهري</t>
        </is>
      </c>
      <c r="E165" s="15" t="inlineStr">
        <is>
          <t>معدل</t>
        </is>
      </c>
      <c r="F165" s="55" t="inlineStr">
        <is>
          <t>↑</t>
        </is>
      </c>
      <c r="G165" s="64" t="n">
        <v>0.25</v>
      </c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65" t="n"/>
      <c r="R165" s="65" t="n"/>
      <c r="S165" s="65" t="n"/>
      <c r="T165" s="56">
        <f>IF(COUNT($H165:$S165)=0,"",SUM($H165:$S165)/COUNT($H165:$S165))</f>
        <v/>
      </c>
      <c r="U165" s="56">
        <f>IF($G165="","",IF($T165="","",MIN(1,IF($G165=0,IF($T165&lt;=0,1,0),IF($F165="↓",IFERROR($G165/$T165,0),IFERROR($T165/$G165,0))))))</f>
        <v/>
      </c>
      <c r="V165" s="59">
        <f>IF($U165="","⏳ بانتظار هدف",IF($U165&gt;=1.0,"✅ محقق",IF($U165&gt;=0.85,"🟡 قريب","🔴 تحت الهدف")))</f>
        <v/>
      </c>
      <c r="W165" s="66">
        <f>IF($G165="","",$G165)</f>
        <v/>
      </c>
      <c r="X165" s="59">
        <f>IF($U165="","—",IF($U165&gt;=0.85,"🟢 على المسار","🟠 متأخّر"))</f>
        <v/>
      </c>
    </row>
    <row r="166" ht="22" customHeight="1">
      <c r="A166" s="59" t="n">
        <v>163</v>
      </c>
      <c r="B166" s="13" t="inlineStr">
        <is>
          <t>التسويق</t>
        </is>
      </c>
      <c r="C166" s="11" t="inlineStr">
        <is>
          <t>نسبة المبيعات لكل حملة</t>
        </is>
      </c>
      <c r="D166" s="15" t="inlineStr">
        <is>
          <t>شهري</t>
        </is>
      </c>
      <c r="E166" s="15" t="inlineStr">
        <is>
          <t>معدل</t>
        </is>
      </c>
      <c r="F166" s="55" t="inlineStr">
        <is>
          <t>↑</t>
        </is>
      </c>
      <c r="G166" s="64" t="n">
        <v>1</v>
      </c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56">
        <f>IF(COUNT($H166:$S166)=0,"",SUM($H166:$S166)/COUNT($H166:$S166))</f>
        <v/>
      </c>
      <c r="U166" s="56">
        <f>IF($G166="","",IF($T166="","",MIN(1,IF($G166=0,IF($T166&lt;=0,1,0),IF($F166="↓",IFERROR($G166/$T166,0),IFERROR($T166/$G166,0))))))</f>
        <v/>
      </c>
      <c r="V166" s="59">
        <f>IF($U166="","⏳ بانتظار هدف",IF($U166&gt;=1.0,"✅ محقق",IF($U166&gt;=0.85,"🟡 قريب","🔴 تحت الهدف")))</f>
        <v/>
      </c>
      <c r="W166" s="66">
        <f>IF($G166="","",$G166)</f>
        <v/>
      </c>
      <c r="X166" s="59">
        <f>IF($U166="","—",IF($U166&gt;=0.85,"🟢 على المسار","🟠 متأخّر"))</f>
        <v/>
      </c>
    </row>
    <row r="167" ht="22" customHeight="1">
      <c r="A167" s="59" t="n">
        <v>164</v>
      </c>
      <c r="B167" s="13" t="inlineStr">
        <is>
          <t>التسويق</t>
        </is>
      </c>
      <c r="C167" s="11" t="inlineStr">
        <is>
          <t>نسبة التزام الهوية البصرية</t>
        </is>
      </c>
      <c r="D167" s="15" t="inlineStr">
        <is>
          <t>شهري</t>
        </is>
      </c>
      <c r="E167" s="15" t="inlineStr">
        <is>
          <t>لقطة</t>
        </is>
      </c>
      <c r="F167" s="55" t="inlineStr">
        <is>
          <t>↑</t>
        </is>
      </c>
      <c r="G167" s="64" t="n">
        <v>1</v>
      </c>
      <c r="H167" s="65" t="n"/>
      <c r="I167" s="65" t="n"/>
      <c r="J167" s="65" t="n"/>
      <c r="K167" s="65" t="n"/>
      <c r="L167" s="65" t="n"/>
      <c r="M167" s="65" t="n"/>
      <c r="N167" s="65" t="n"/>
      <c r="O167" s="65" t="n"/>
      <c r="P167" s="65" t="n"/>
      <c r="Q167" s="65" t="n"/>
      <c r="R167" s="65" t="n"/>
      <c r="S167" s="65" t="n"/>
      <c r="T167" s="56">
        <f>IFERROR(LOOKUP(2,1/($H167:$S167&lt;&gt;""),$H167:$S167),"")</f>
        <v/>
      </c>
      <c r="U167" s="56">
        <f>IF($G167="","",IF($T167="","",MIN(1,IF($G167=0,IF($T167&lt;=0,1,0),IF($F167="↓",IFERROR($G167/$T167,0),IFERROR($T167/$G167,0))))))</f>
        <v/>
      </c>
      <c r="V167" s="59">
        <f>IF($U167="","⏳ بانتظار هدف",IF($U167&gt;=1.0,"✅ محقق",IF($U167&gt;=0.85,"🟡 قريب","🔴 تحت الهدف")))</f>
        <v/>
      </c>
      <c r="W167" s="66">
        <f>IF($G167="","",$G167)</f>
        <v/>
      </c>
      <c r="X167" s="59">
        <f>IF($U167="","—",IF($U167&gt;=0.85,"🟢 على المسار","🟠 متأخّر"))</f>
        <v/>
      </c>
    </row>
    <row r="168" ht="22" customHeight="1">
      <c r="A168" s="59" t="n">
        <v>165</v>
      </c>
      <c r="B168" s="13" t="inlineStr">
        <is>
          <t>التسويق</t>
        </is>
      </c>
      <c r="C168" s="11" t="inlineStr">
        <is>
          <t>وصول العلاقات العامة (PR)</t>
        </is>
      </c>
      <c r="D168" s="15" t="inlineStr">
        <is>
          <t>شهري</t>
        </is>
      </c>
      <c r="E168" s="15" t="inlineStr">
        <is>
          <t>لقطة</t>
        </is>
      </c>
      <c r="F168" s="55" t="inlineStr">
        <is>
          <t>↑</t>
        </is>
      </c>
      <c r="G168" s="60" t="n">
        <v>7000000</v>
      </c>
      <c r="H168" s="61" t="n"/>
      <c r="I168" s="61" t="n"/>
      <c r="J168" s="61" t="n"/>
      <c r="K168" s="61" t="n"/>
      <c r="L168" s="61" t="n"/>
      <c r="M168" s="61" t="n"/>
      <c r="N168" s="61" t="n"/>
      <c r="O168" s="61" t="n"/>
      <c r="P168" s="61" t="n"/>
      <c r="Q168" s="61" t="n"/>
      <c r="R168" s="61" t="n"/>
      <c r="S168" s="61" t="n"/>
      <c r="T168" s="62">
        <f>IFERROR(LOOKUP(2,1/($H168:$S168&lt;&gt;""),$H168:$S168),"")</f>
        <v/>
      </c>
      <c r="U168" s="56">
        <f>IF($G168="","",IF($T168="","",MIN(1,IF($G168=0,IF($T168&lt;=0,1,0),IF($F168="↓",IFERROR($G168/$T168,0),IFERROR($T168/$G168,0))))))</f>
        <v/>
      </c>
      <c r="V168" s="59">
        <f>IF($U168="","⏳ بانتظار هدف",IF($U168&gt;=1.0,"✅ محقق",IF($U168&gt;=0.85,"🟡 قريب","🔴 تحت الهدف")))</f>
        <v/>
      </c>
      <c r="W168" s="63">
        <f>IF($G168="","",$G168)</f>
        <v/>
      </c>
      <c r="X168" s="59">
        <f>IF($U168="","—",IF($U168&gt;=0.85,"🟢 على المسار","🟠 متأخّر"))</f>
        <v/>
      </c>
    </row>
    <row r="169" ht="22" customHeight="1">
      <c r="A169" s="59" t="n">
        <v>166</v>
      </c>
      <c r="B169" s="13" t="inlineStr">
        <is>
          <t>التسويق</t>
        </is>
      </c>
      <c r="C169" s="11" t="inlineStr">
        <is>
          <t>عدد المعارض بالسنة</t>
        </is>
      </c>
      <c r="D169" s="15" t="inlineStr">
        <is>
          <t>شهري</t>
        </is>
      </c>
      <c r="E169" s="15" t="inlineStr">
        <is>
          <t>تراكمي</t>
        </is>
      </c>
      <c r="F169" s="55" t="inlineStr">
        <is>
          <t>↑</t>
        </is>
      </c>
      <c r="G169" s="60" t="n">
        <v>3</v>
      </c>
      <c r="H169" s="61" t="n"/>
      <c r="I169" s="61" t="n"/>
      <c r="J169" s="61" t="n"/>
      <c r="K169" s="61" t="n"/>
      <c r="L169" s="61" t="n"/>
      <c r="M169" s="61" t="n"/>
      <c r="N169" s="61" t="n"/>
      <c r="O169" s="61" t="n"/>
      <c r="P169" s="61" t="n"/>
      <c r="Q169" s="61" t="n"/>
      <c r="R169" s="61" t="n"/>
      <c r="S169" s="61" t="n"/>
      <c r="T169" s="62">
        <f>IF(COUNT($H169:$S169)=0,"",SUM($H169:$S169))</f>
        <v/>
      </c>
      <c r="U169" s="56">
        <f>IF($G169="","",IF($T169="","",MIN(1,IF($G169=0,IF($T169&lt;=0,1,0),IF($F169="↓",IFERROR($G169/$T169,0),IFERROR($T169/$G169,0))))))</f>
        <v/>
      </c>
      <c r="V169" s="59">
        <f>IF($U169="","⏳ بانتظار هدف",IF($U169&gt;=1.0,"✅ محقق",IF($U169&gt;=0.85,"🟡 قريب","🔴 تحت الهدف")))</f>
        <v/>
      </c>
      <c r="W169" s="63">
        <f>IF($G169="","",$G169*COUNT($H169:$S169)/12)</f>
        <v/>
      </c>
      <c r="X169" s="59">
        <f>IF($U169="","—",IF($U169&gt;=COUNT($H169:$S169)/12,"🟢 على المسار","🟠 متأخّر"))</f>
        <v/>
      </c>
    </row>
    <row r="170" ht="22" customHeight="1">
      <c r="A170" s="59" t="n">
        <v>167</v>
      </c>
      <c r="B170" s="13" t="inlineStr">
        <is>
          <t>التسويق</t>
        </is>
      </c>
      <c r="C170" s="11" t="inlineStr">
        <is>
          <t>اتفاقيات استراتيجية</t>
        </is>
      </c>
      <c r="D170" s="15" t="inlineStr">
        <is>
          <t>شهري</t>
        </is>
      </c>
      <c r="E170" s="15" t="inlineStr">
        <is>
          <t>تراكمي</t>
        </is>
      </c>
      <c r="F170" s="55" t="inlineStr">
        <is>
          <t>↑</t>
        </is>
      </c>
      <c r="G170" s="60" t="n">
        <v>3</v>
      </c>
      <c r="H170" s="61" t="n"/>
      <c r="I170" s="61" t="n"/>
      <c r="J170" s="61" t="n"/>
      <c r="K170" s="61" t="n"/>
      <c r="L170" s="61" t="n"/>
      <c r="M170" s="61" t="n"/>
      <c r="N170" s="61" t="n"/>
      <c r="O170" s="61" t="n"/>
      <c r="P170" s="61" t="n"/>
      <c r="Q170" s="61" t="n"/>
      <c r="R170" s="61" t="n"/>
      <c r="S170" s="61" t="n"/>
      <c r="T170" s="62">
        <f>IF(COUNT($H170:$S170)=0,"",SUM($H170:$S170))</f>
        <v/>
      </c>
      <c r="U170" s="56">
        <f>IF($G170="","",IF($T170="","",MIN(1,IF($G170=0,IF($T170&lt;=0,1,0),IF($F170="↓",IFERROR($G170/$T170,0),IFERROR($T170/$G170,0))))))</f>
        <v/>
      </c>
      <c r="V170" s="59">
        <f>IF($U170="","⏳ بانتظار هدف",IF($U170&gt;=1.0,"✅ محقق",IF($U170&gt;=0.85,"🟡 قريب","🔴 تحت الهدف")))</f>
        <v/>
      </c>
      <c r="W170" s="63">
        <f>IF($G170="","",$G170*COUNT($H170:$S170)/12)</f>
        <v/>
      </c>
      <c r="X170" s="59">
        <f>IF($U170="","—",IF($U170&gt;=COUNT($H170:$S170)/12,"🟢 على المسار","🟠 متأخّر"))</f>
        <v/>
      </c>
    </row>
    <row r="171" ht="22" customHeight="1">
      <c r="A171" s="59" t="n">
        <v>168</v>
      </c>
      <c r="B171" s="13" t="inlineStr">
        <is>
          <t>التسويق</t>
        </is>
      </c>
      <c r="C171" s="11" t="inlineStr">
        <is>
          <t>تقييم خرائط قوقل</t>
        </is>
      </c>
      <c r="D171" s="15" t="inlineStr">
        <is>
          <t>شهري</t>
        </is>
      </c>
      <c r="E171" s="15" t="inlineStr">
        <is>
          <t>معدل</t>
        </is>
      </c>
      <c r="F171" s="55" t="inlineStr">
        <is>
          <t>↑</t>
        </is>
      </c>
      <c r="G171" s="67" t="n">
        <v>4.7</v>
      </c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9">
        <f>IF(COUNT($H171:$S171)=0,"",SUM($H171:$S171)/COUNT($H171:$S171))</f>
        <v/>
      </c>
      <c r="U171" s="56">
        <f>IF($G171="","",IF($T171="","",MIN(1,IF($G171=0,IF($T171&lt;=0,1,0),IF($F171="↓",IFERROR($G171/$T171,0),IFERROR($T171/$G171,0))))))</f>
        <v/>
      </c>
      <c r="V171" s="59">
        <f>IF($U171="","⏳ بانتظار هدف",IF($U171&gt;=1.0,"✅ محقق",IF($U171&gt;=0.85,"🟡 قريب","🔴 تحت الهدف")))</f>
        <v/>
      </c>
      <c r="W171" s="70">
        <f>IF($G171="","",$G171)</f>
        <v/>
      </c>
      <c r="X171" s="59">
        <f>IF($U171="","—",IF($U171&gt;=0.85,"🟢 على المسار","🟠 متأخّر"))</f>
        <v/>
      </c>
    </row>
    <row r="172" ht="22" customHeight="1">
      <c r="A172" s="59" t="n">
        <v>169</v>
      </c>
      <c r="B172" s="13" t="inlineStr">
        <is>
          <t>التسويق</t>
        </is>
      </c>
      <c r="C172" s="11" t="inlineStr">
        <is>
          <t>معدل خفض الشكاوى</t>
        </is>
      </c>
      <c r="D172" s="15" t="inlineStr">
        <is>
          <t>شهري</t>
        </is>
      </c>
      <c r="E172" s="15" t="inlineStr">
        <is>
          <t>معدل</t>
        </is>
      </c>
      <c r="F172" s="55" t="inlineStr">
        <is>
          <t>↑</t>
        </is>
      </c>
      <c r="G172" s="64" t="n">
        <v>0.3</v>
      </c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65" t="n"/>
      <c r="R172" s="65" t="n"/>
      <c r="S172" s="65" t="n"/>
      <c r="T172" s="56">
        <f>IF(COUNT($H172:$S172)=0,"",SUM($H172:$S172)/COUNT($H172:$S172))</f>
        <v/>
      </c>
      <c r="U172" s="56">
        <f>IF($G172="","",IF($T172="","",MIN(1,IF($G172=0,IF($T172&lt;=0,1,0),IF($F172="↓",IFERROR($G172/$T172,0),IFERROR($T172/$G172,0))))))</f>
        <v/>
      </c>
      <c r="V172" s="59">
        <f>IF($U172="","⏳ بانتظار هدف",IF($U172&gt;=1.0,"✅ محقق",IF($U172&gt;=0.85,"🟡 قريب","🔴 تحت الهدف")))</f>
        <v/>
      </c>
      <c r="W172" s="66">
        <f>IF($G172="","",$G172)</f>
        <v/>
      </c>
      <c r="X172" s="59">
        <f>IF($U172="","—",IF($U172&gt;=0.85,"🟢 على المسار","🟠 متأخّر"))</f>
        <v/>
      </c>
    </row>
    <row r="173" ht="22" customHeight="1">
      <c r="A173" s="59" t="n">
        <v>170</v>
      </c>
      <c r="B173" s="13" t="inlineStr">
        <is>
          <t>التسويق</t>
        </is>
      </c>
      <c r="C173" s="11" t="inlineStr">
        <is>
          <t>وصول محتوى تطبيق تانكي</t>
        </is>
      </c>
      <c r="D173" s="15" t="inlineStr">
        <is>
          <t>شهري</t>
        </is>
      </c>
      <c r="E173" s="15" t="inlineStr">
        <is>
          <t>لقطة</t>
        </is>
      </c>
      <c r="F173" s="55" t="inlineStr">
        <is>
          <t>↑</t>
        </is>
      </c>
      <c r="G173" s="60" t="n">
        <v>1000000</v>
      </c>
      <c r="H173" s="61" t="n"/>
      <c r="I173" s="61" t="n"/>
      <c r="J173" s="61" t="n"/>
      <c r="K173" s="61" t="n"/>
      <c r="L173" s="61" t="n"/>
      <c r="M173" s="61" t="n"/>
      <c r="N173" s="61" t="n"/>
      <c r="O173" s="61" t="n"/>
      <c r="P173" s="61" t="n"/>
      <c r="Q173" s="61" t="n"/>
      <c r="R173" s="61" t="n"/>
      <c r="S173" s="61" t="n"/>
      <c r="T173" s="62">
        <f>IFERROR(LOOKUP(2,1/($H173:$S173&lt;&gt;""),$H173:$S173),"")</f>
        <v/>
      </c>
      <c r="U173" s="56">
        <f>IF($G173="","",IF($T173="","",MIN(1,IF($G173=0,IF($T173&lt;=0,1,0),IF($F173="↓",IFERROR($G173/$T173,0),IFERROR($T173/$G173,0))))))</f>
        <v/>
      </c>
      <c r="V173" s="59">
        <f>IF($U173="","⏳ بانتظار هدف",IF($U173&gt;=1.0,"✅ محقق",IF($U173&gt;=0.85,"🟡 قريب","🔴 تحت الهدف")))</f>
        <v/>
      </c>
      <c r="W173" s="63">
        <f>IF($G173="","",$G173)</f>
        <v/>
      </c>
      <c r="X173" s="59">
        <f>IF($U173="","—",IF($U173&gt;=0.85,"🟢 على المسار","🟠 متأخّر"))</f>
        <v/>
      </c>
    </row>
    <row r="174" ht="22" customHeight="1">
      <c r="A174" s="59" t="n">
        <v>171</v>
      </c>
      <c r="B174" s="13" t="inlineStr">
        <is>
          <t>التسويق</t>
        </is>
      </c>
      <c r="C174" s="11" t="inlineStr">
        <is>
          <t>مشاركات تطبيق تانكي</t>
        </is>
      </c>
      <c r="D174" s="15" t="inlineStr">
        <is>
          <t>شهري</t>
        </is>
      </c>
      <c r="E174" s="15" t="inlineStr">
        <is>
          <t>تراكمي</t>
        </is>
      </c>
      <c r="F174" s="55" t="inlineStr">
        <is>
          <t>↑</t>
        </is>
      </c>
      <c r="G174" s="60" t="n">
        <v>250</v>
      </c>
      <c r="H174" s="61" t="n"/>
      <c r="I174" s="61" t="n"/>
      <c r="J174" s="61" t="n"/>
      <c r="K174" s="61" t="n"/>
      <c r="L174" s="61" t="n"/>
      <c r="M174" s="61" t="n"/>
      <c r="N174" s="61" t="n"/>
      <c r="O174" s="61" t="n"/>
      <c r="P174" s="61" t="n"/>
      <c r="Q174" s="61" t="n"/>
      <c r="R174" s="61" t="n"/>
      <c r="S174" s="61" t="n"/>
      <c r="T174" s="62">
        <f>IF(COUNT($H174:$S174)=0,"",SUM($H174:$S174))</f>
        <v/>
      </c>
      <c r="U174" s="56">
        <f>IF($G174="","",IF($T174="","",MIN(1,IF($G174=0,IF($T174&lt;=0,1,0),IF($F174="↓",IFERROR($G174/$T174,0),IFERROR($T174/$G174,0))))))</f>
        <v/>
      </c>
      <c r="V174" s="59">
        <f>IF($U174="","⏳ بانتظار هدف",IF($U174&gt;=1.0,"✅ محقق",IF($U174&gt;=0.85,"🟡 قريب","🔴 تحت الهدف")))</f>
        <v/>
      </c>
      <c r="W174" s="63">
        <f>IF($G174="","",$G174*COUNT($H174:$S174)/12)</f>
        <v/>
      </c>
      <c r="X174" s="59">
        <f>IF($U174="","—",IF($U174&gt;=COUNT($H174:$S174)/12,"🟢 على المسار","🟠 متأخّر"))</f>
        <v/>
      </c>
    </row>
    <row r="175" ht="22" customHeight="1">
      <c r="A175" s="59" t="n">
        <v>172</v>
      </c>
      <c r="B175" s="13" t="inlineStr">
        <is>
          <t>الجودة</t>
        </is>
      </c>
      <c r="C175" s="11" t="inlineStr">
        <is>
          <t>نسبة المحطات الحرجة</t>
        </is>
      </c>
      <c r="D175" s="15" t="inlineStr">
        <is>
          <t>شهري</t>
        </is>
      </c>
      <c r="E175" s="15" t="inlineStr">
        <is>
          <t>معدل</t>
        </is>
      </c>
      <c r="F175" s="55" t="inlineStr">
        <is>
          <t>↓</t>
        </is>
      </c>
      <c r="G175" s="64" t="n">
        <v>0.05</v>
      </c>
      <c r="H175" s="65" t="n"/>
      <c r="I175" s="65" t="n"/>
      <c r="J175" s="65" t="n"/>
      <c r="K175" s="65" t="n"/>
      <c r="L175" s="65" t="n"/>
      <c r="M175" s="65" t="n"/>
      <c r="N175" s="65" t="n"/>
      <c r="O175" s="65" t="n"/>
      <c r="P175" s="65" t="n"/>
      <c r="Q175" s="65" t="n"/>
      <c r="R175" s="65" t="n"/>
      <c r="S175" s="65" t="n"/>
      <c r="T175" s="56">
        <f>IF(COUNT($H175:$S175)=0,"",SUM($H175:$S175)/COUNT($H175:$S175))</f>
        <v/>
      </c>
      <c r="U175" s="56">
        <f>IF($G175="","",IF($T175="","",MIN(1,IF($G175=0,IF($T175&lt;=0,1,0),IF($F175="↓",IFERROR($G175/$T175,0),IFERROR($T175/$G175,0))))))</f>
        <v/>
      </c>
      <c r="V175" s="59">
        <f>IF($U175="","⏳ بانتظار هدف",IF($U175&gt;=1.0,"✅ محقق",IF($U175&gt;=0.85,"🟡 قريب","🔴 تحت الهدف")))</f>
        <v/>
      </c>
      <c r="W175" s="66">
        <f>IF($G175="","",$G175)</f>
        <v/>
      </c>
      <c r="X175" s="59">
        <f>IF($U175="","—",IF($U175&gt;=0.85,"🟢 على المسار","🟠 متأخّر"))</f>
        <v/>
      </c>
    </row>
    <row r="176" ht="22" customHeight="1">
      <c r="A176" s="59" t="n">
        <v>173</v>
      </c>
      <c r="B176" s="13" t="inlineStr">
        <is>
          <t>الجودة</t>
        </is>
      </c>
      <c r="C176" s="11" t="inlineStr">
        <is>
          <t>نسبة مطابقة جودة الوقود</t>
        </is>
      </c>
      <c r="D176" s="15" t="inlineStr">
        <is>
          <t>شهري</t>
        </is>
      </c>
      <c r="E176" s="15" t="inlineStr">
        <is>
          <t>معدل</t>
        </is>
      </c>
      <c r="F176" s="55" t="inlineStr">
        <is>
          <t>↑</t>
        </is>
      </c>
      <c r="G176" s="64" t="n">
        <v>0.995</v>
      </c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65" t="n"/>
      <c r="R176" s="65" t="n"/>
      <c r="S176" s="65" t="n"/>
      <c r="T176" s="56">
        <f>IF(COUNT($H176:$S176)=0,"",SUM($H176:$S176)/COUNT($H176:$S176))</f>
        <v/>
      </c>
      <c r="U176" s="56">
        <f>IF($G176="","",IF($T176="","",MIN(1,IF($G176=0,IF($T176&lt;=0,1,0),IF($F176="↓",IFERROR($G176/$T176,0),IFERROR($T176/$G176,0))))))</f>
        <v/>
      </c>
      <c r="V176" s="59">
        <f>IF($U176="","⏳ بانتظار هدف",IF($U176&gt;=1.0,"✅ محقق",IF($U176&gt;=0.97,"🟡 قريب","🔴 تحت الهدف")))</f>
        <v/>
      </c>
      <c r="W176" s="66">
        <f>IF($G176="","",$G176)</f>
        <v/>
      </c>
      <c r="X176" s="59">
        <f>IF($U176="","—",IF($U176&gt;=0.97,"🟢 على المسار","🟠 متأخّر"))</f>
        <v/>
      </c>
    </row>
    <row r="177" ht="22" customHeight="1">
      <c r="A177" s="59" t="n">
        <v>174</v>
      </c>
      <c r="B177" s="13" t="inlineStr">
        <is>
          <t>الجودة</t>
        </is>
      </c>
      <c r="C177" s="11" t="inlineStr">
        <is>
          <t>نسبة إغلاق الملاحظات في الوقت المحدد</t>
        </is>
      </c>
      <c r="D177" s="15" t="inlineStr">
        <is>
          <t>شهري</t>
        </is>
      </c>
      <c r="E177" s="15" t="inlineStr">
        <is>
          <t>معدل</t>
        </is>
      </c>
      <c r="F177" s="55" t="inlineStr">
        <is>
          <t>↑</t>
        </is>
      </c>
      <c r="G177" s="64" t="n">
        <v>0.9</v>
      </c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65" t="n"/>
      <c r="R177" s="65" t="n"/>
      <c r="S177" s="65" t="n"/>
      <c r="T177" s="56">
        <f>IF(COUNT($H177:$S177)=0,"",SUM($H177:$S177)/COUNT($H177:$S177))</f>
        <v/>
      </c>
      <c r="U177" s="56">
        <f>IF($G177="","",IF($T177="","",MIN(1,IF($G177=0,IF($T177&lt;=0,1,0),IF($F177="↓",IFERROR($G177/$T177,0),IFERROR($T177/$G177,0))))))</f>
        <v/>
      </c>
      <c r="V177" s="59">
        <f>IF($U177="","⏳ بانتظار هدف",IF($U177&gt;=1.0,"✅ محقق",IF($U177&gt;=0.85,"🟡 قريب","🔴 تحت الهدف")))</f>
        <v/>
      </c>
      <c r="W177" s="66">
        <f>IF($G177="","",$G177)</f>
        <v/>
      </c>
      <c r="X177" s="59">
        <f>IF($U177="","—",IF($U177&gt;=0.85,"🟢 على المسار","🟠 متأخّر"))</f>
        <v/>
      </c>
    </row>
    <row r="178" ht="22" customHeight="1">
      <c r="A178" s="59" t="n">
        <v>175</v>
      </c>
      <c r="B178" s="13" t="inlineStr">
        <is>
          <t>الجودة</t>
        </is>
      </c>
      <c r="C178" s="11" t="inlineStr">
        <is>
          <t>نسبة فعالية الإجراءات التصحيحية</t>
        </is>
      </c>
      <c r="D178" s="15" t="inlineStr">
        <is>
          <t>شهري</t>
        </is>
      </c>
      <c r="E178" s="15" t="inlineStr">
        <is>
          <t>معدل</t>
        </is>
      </c>
      <c r="F178" s="55" t="inlineStr">
        <is>
          <t>↑</t>
        </is>
      </c>
      <c r="G178" s="64" t="n">
        <v>0.85</v>
      </c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65" t="n"/>
      <c r="R178" s="65" t="n"/>
      <c r="S178" s="65" t="n"/>
      <c r="T178" s="56">
        <f>IF(COUNT($H178:$S178)=0,"",SUM($H178:$S178)/COUNT($H178:$S178))</f>
        <v/>
      </c>
      <c r="U178" s="56">
        <f>IF($G178="","",IF($T178="","",MIN(1,IF($G178=0,IF($T178&lt;=0,1,0),IF($F178="↓",IFERROR($G178/$T178,0),IFERROR($T178/$G178,0))))))</f>
        <v/>
      </c>
      <c r="V178" s="59">
        <f>IF($U178="","⏳ بانتظار هدف",IF($U178&gt;=1.0,"✅ محقق",IF($U178&gt;=0.85,"🟡 قريب","🔴 تحت الهدف")))</f>
        <v/>
      </c>
      <c r="W178" s="66">
        <f>IF($G178="","",$G178)</f>
        <v/>
      </c>
      <c r="X178" s="59">
        <f>IF($U178="","—",IF($U178&gt;=0.85,"🟢 على المسار","🟠 متأخّر"))</f>
        <v/>
      </c>
    </row>
    <row r="179" ht="22" customHeight="1">
      <c r="A179" s="59" t="n">
        <v>176</v>
      </c>
      <c r="B179" s="13" t="inlineStr">
        <is>
          <t>الجودة</t>
        </is>
      </c>
      <c r="C179" s="11" t="inlineStr">
        <is>
          <t>نسبة تكرار الملاحظات</t>
        </is>
      </c>
      <c r="D179" s="15" t="inlineStr">
        <is>
          <t>شهري</t>
        </is>
      </c>
      <c r="E179" s="15" t="inlineStr">
        <is>
          <t>معدل</t>
        </is>
      </c>
      <c r="F179" s="55" t="inlineStr">
        <is>
          <t>↓</t>
        </is>
      </c>
      <c r="G179" s="64" t="n">
        <v>0.1</v>
      </c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65" t="n"/>
      <c r="R179" s="65" t="n"/>
      <c r="S179" s="65" t="n"/>
      <c r="T179" s="56">
        <f>IF(COUNT($H179:$S179)=0,"",SUM($H179:$S179)/COUNT($H179:$S179))</f>
        <v/>
      </c>
      <c r="U179" s="56">
        <f>IF($G179="","",IF($T179="","",MIN(1,IF($G179=0,IF($T179&lt;=0,1,0),IF($F179="↓",IFERROR($G179/$T179,0),IFERROR($T179/$G179,0))))))</f>
        <v/>
      </c>
      <c r="V179" s="59">
        <f>IF($U179="","⏳ بانتظار هدف",IF($U179&gt;=1.0,"✅ محقق",IF($U179&gt;=0.85,"🟡 قريب","🔴 تحت الهدف")))</f>
        <v/>
      </c>
      <c r="W179" s="66">
        <f>IF($G179="","",$G179)</f>
        <v/>
      </c>
      <c r="X179" s="59">
        <f>IF($U179="","—",IF($U179&gt;=0.85,"🟢 على المسار","🟠 متأخّر"))</f>
        <v/>
      </c>
    </row>
    <row r="180" ht="22" customHeight="1">
      <c r="A180" s="59" t="n">
        <v>177</v>
      </c>
      <c r="B180" s="13" t="inlineStr">
        <is>
          <t>الجودة</t>
        </is>
      </c>
      <c r="C180" s="11" t="inlineStr">
        <is>
          <t>نسبة تنفيذ خطة التفتيش والتدقيق</t>
        </is>
      </c>
      <c r="D180" s="15" t="inlineStr">
        <is>
          <t>ربعي</t>
        </is>
      </c>
      <c r="E180" s="15" t="inlineStr">
        <is>
          <t>معدل</t>
        </is>
      </c>
      <c r="F180" s="55" t="inlineStr">
        <is>
          <t>↑</t>
        </is>
      </c>
      <c r="G180" s="64" t="n">
        <v>0.95</v>
      </c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56">
        <f>IF(COUNT($H180:$S180)=0,"",SUM($H180:$S180)/COUNT($H180:$S180))</f>
        <v/>
      </c>
      <c r="U180" s="56">
        <f>IF($G180="","",IF($T180="","",MIN(1,IF($G180=0,IF($T180&lt;=0,1,0),IF($F180="↓",IFERROR($G180/$T180,0),IFERROR($T180/$G180,0))))))</f>
        <v/>
      </c>
      <c r="V180" s="59">
        <f>IF($U180="","⏳ بانتظار هدف",IF($U180&gt;=1.0,"✅ محقق",IF($U180&gt;=0.85,"🟡 قريب","🔴 تحت الهدف")))</f>
        <v/>
      </c>
      <c r="W180" s="66">
        <f>IF($G180="","",$G180)</f>
        <v/>
      </c>
      <c r="X180" s="59">
        <f>IF($U180="","—",IF($U180&gt;=0.85,"🟢 على المسار","🟠 متأخّر"))</f>
        <v/>
      </c>
    </row>
    <row r="181" ht="22" customHeight="1">
      <c r="A181" s="59" t="n">
        <v>178</v>
      </c>
      <c r="B181" s="13" t="inlineStr">
        <is>
          <t>الجودة</t>
        </is>
      </c>
      <c r="C181" s="11" t="inlineStr">
        <is>
          <t>نسبة جاهزية نظام إدارة الجودة QMS</t>
        </is>
      </c>
      <c r="D181" s="15" t="inlineStr">
        <is>
          <t>شهري</t>
        </is>
      </c>
      <c r="E181" s="15" t="inlineStr">
        <is>
          <t>لقطة</t>
        </is>
      </c>
      <c r="F181" s="55" t="inlineStr">
        <is>
          <t>↑</t>
        </is>
      </c>
      <c r="G181" s="64" t="n">
        <v>0.9</v>
      </c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65" t="n"/>
      <c r="R181" s="65" t="n"/>
      <c r="S181" s="65" t="n"/>
      <c r="T181" s="56">
        <f>IFERROR(LOOKUP(2,1/($H181:$S181&lt;&gt;""),$H181:$S181),"")</f>
        <v/>
      </c>
      <c r="U181" s="56">
        <f>IF($G181="","",IF($T181="","",MIN(1,IF($G181=0,IF($T181&lt;=0,1,0),IF($F181="↓",IFERROR($G181/$T181,0),IFERROR($T181/$G181,0))))))</f>
        <v/>
      </c>
      <c r="V181" s="59">
        <f>IF($U181="","⏳ بانتظار هدف",IF($U181&gt;=1.0,"✅ محقق",IF($U181&gt;=0.97,"🟡 قريب","🔴 تحت الهدف")))</f>
        <v/>
      </c>
      <c r="W181" s="66">
        <f>IF($G181="","",$G181)</f>
        <v/>
      </c>
      <c r="X181" s="59">
        <f>IF($U181="","—",IF($U181&gt;=0.97,"🟢 على المسار","🟠 متأخّر"))</f>
        <v/>
      </c>
    </row>
    <row r="182" ht="22" customHeight="1">
      <c r="A182" s="59" t="n">
        <v>179</v>
      </c>
      <c r="B182" s="13" t="inlineStr">
        <is>
          <t>الجودة</t>
        </is>
      </c>
      <c r="C182" s="11" t="inlineStr">
        <is>
          <t>عدد مخاطر الجودة الحرجة المفتوحة</t>
        </is>
      </c>
      <c r="D182" s="15" t="inlineStr">
        <is>
          <t>شهري</t>
        </is>
      </c>
      <c r="E182" s="15" t="inlineStr">
        <is>
          <t>لقطة</t>
        </is>
      </c>
      <c r="F182" s="55" t="inlineStr">
        <is>
          <t>↓</t>
        </is>
      </c>
      <c r="G182" s="60" t="n">
        <v>0</v>
      </c>
      <c r="H182" s="61" t="n"/>
      <c r="I182" s="61" t="n"/>
      <c r="J182" s="61" t="n"/>
      <c r="K182" s="61" t="n"/>
      <c r="L182" s="61" t="n"/>
      <c r="M182" s="61" t="n"/>
      <c r="N182" s="61" t="n"/>
      <c r="O182" s="61" t="n"/>
      <c r="P182" s="61" t="n"/>
      <c r="Q182" s="61" t="n"/>
      <c r="R182" s="61" t="n"/>
      <c r="S182" s="61" t="n"/>
      <c r="T182" s="62">
        <f>IFERROR(LOOKUP(2,1/($H182:$S182&lt;&gt;""),$H182:$S182),"")</f>
        <v/>
      </c>
      <c r="U182" s="56">
        <f>IF($G182="","",IF($T182="","",MIN(1,IF($G182=0,IF($T182&lt;=0,1,0),IF($F182="↓",IFERROR($G182/$T182,0),IFERROR($T182/$G182,0))))))</f>
        <v/>
      </c>
      <c r="V182" s="59">
        <f>IF($U182="","⏳ بانتظار هدف",IF($U182&gt;=1.0,"✅ محقق",IF($U182&gt;=0.85,"🟡 قريب","🔴 تحت الهدف")))</f>
        <v/>
      </c>
      <c r="W182" s="63">
        <f>IF($G182="","",$G182)</f>
        <v/>
      </c>
      <c r="X182" s="59">
        <f>IF($U182="","—",IF($U182&gt;=0.85,"🟢 على المسار","🟠 متأخّر"))</f>
        <v/>
      </c>
    </row>
    <row r="183" ht="22" customHeight="1">
      <c r="A183" s="59" t="n">
        <v>180</v>
      </c>
      <c r="B183" s="13" t="inlineStr">
        <is>
          <t>الجودة</t>
        </is>
      </c>
      <c r="C183" s="11" t="inlineStr">
        <is>
          <t>نسبة إغلاق مخاطر الجودة في الوقت المحدد</t>
        </is>
      </c>
      <c r="D183" s="15" t="inlineStr">
        <is>
          <t>شهري</t>
        </is>
      </c>
      <c r="E183" s="15" t="inlineStr">
        <is>
          <t>معدل</t>
        </is>
      </c>
      <c r="F183" s="55" t="inlineStr">
        <is>
          <t>↑</t>
        </is>
      </c>
      <c r="G183" s="64" t="n">
        <v>0.9</v>
      </c>
      <c r="H183" s="65" t="n"/>
      <c r="I183" s="65" t="n"/>
      <c r="J183" s="65" t="n"/>
      <c r="K183" s="65" t="n"/>
      <c r="L183" s="65" t="n"/>
      <c r="M183" s="65" t="n"/>
      <c r="N183" s="65" t="n"/>
      <c r="O183" s="65" t="n"/>
      <c r="P183" s="65" t="n"/>
      <c r="Q183" s="65" t="n"/>
      <c r="R183" s="65" t="n"/>
      <c r="S183" s="65" t="n"/>
      <c r="T183" s="56">
        <f>IF(COUNT($H183:$S183)=0,"",SUM($H183:$S183)/COUNT($H183:$S183))</f>
        <v/>
      </c>
      <c r="U183" s="56">
        <f>IF($G183="","",IF($T183="","",MIN(1,IF($G183=0,IF($T183&lt;=0,1,0),IF($F183="↓",IFERROR($G183/$T183,0),IFERROR($T183/$G183,0))))))</f>
        <v/>
      </c>
      <c r="V183" s="59">
        <f>IF($U183="","⏳ بانتظار هدف",IF($U183&gt;=1.0,"✅ محقق",IF($U183&gt;=0.85,"🟡 قريب","🔴 تحت الهدف")))</f>
        <v/>
      </c>
      <c r="W183" s="66">
        <f>IF($G183="","",$G183)</f>
        <v/>
      </c>
      <c r="X183" s="59">
        <f>IF($U183="","—",IF($U183&gt;=0.85,"🟢 على المسار","🟠 متأخّر"))</f>
        <v/>
      </c>
    </row>
    <row r="184" ht="22" customHeight="1">
      <c r="A184" s="59" t="n">
        <v>181</v>
      </c>
      <c r="B184" s="13" t="inlineStr">
        <is>
          <t>الجودة</t>
        </is>
      </c>
      <c r="C184" s="11" t="inlineStr">
        <is>
          <t>نسبة انخفاض الشكاوى المتكررة ذات العلاقة بالجودة</t>
        </is>
      </c>
      <c r="D184" s="15" t="inlineStr">
        <is>
          <t>شهري</t>
        </is>
      </c>
      <c r="E184" s="15" t="inlineStr">
        <is>
          <t>معدل</t>
        </is>
      </c>
      <c r="F184" s="55" t="inlineStr">
        <is>
          <t>↑</t>
        </is>
      </c>
      <c r="G184" s="64" t="n">
        <v>0.15</v>
      </c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65" t="n"/>
      <c r="T184" s="56">
        <f>IF(COUNT($H184:$S184)=0,"",SUM($H184:$S184)/COUNT($H184:$S184))</f>
        <v/>
      </c>
      <c r="U184" s="56">
        <f>IF($G184="","",IF($T184="","",MIN(1,IF($G184=0,IF($T184&lt;=0,1,0),IF($F184="↓",IFERROR($G184/$T184,0),IFERROR($T184/$G184,0))))))</f>
        <v/>
      </c>
      <c r="V184" s="59">
        <f>IF($U184="","⏳ بانتظار هدف",IF($U184&gt;=1.0,"✅ محقق",IF($U184&gt;=0.85,"🟡 قريب","🔴 تحت الهدف")))</f>
        <v/>
      </c>
      <c r="W184" s="66">
        <f>IF($G184="","",$G184)</f>
        <v/>
      </c>
      <c r="X184" s="59">
        <f>IF($U184="","—",IF($U184&gt;=0.85,"🟢 على المسار","🟠 متأخّر"))</f>
        <v/>
      </c>
    </row>
    <row r="185" ht="22" customHeight="1">
      <c r="A185" s="59" t="n">
        <v>182</v>
      </c>
      <c r="B185" s="13" t="inlineStr">
        <is>
          <t>الجودة</t>
        </is>
      </c>
      <c r="C185" s="11" t="inlineStr">
        <is>
          <t>نسبة اكتمال وتحديث الإجراءات المعتمدة</t>
        </is>
      </c>
      <c r="D185" s="15" t="inlineStr">
        <is>
          <t>شهري</t>
        </is>
      </c>
      <c r="E185" s="15" t="inlineStr">
        <is>
          <t>معدل</t>
        </is>
      </c>
      <c r="F185" s="55" t="inlineStr">
        <is>
          <t>↑</t>
        </is>
      </c>
      <c r="G185" s="64" t="n">
        <v>0.95</v>
      </c>
      <c r="H185" s="65" t="n"/>
      <c r="I185" s="65" t="n"/>
      <c r="J185" s="65" t="n"/>
      <c r="K185" s="65" t="n"/>
      <c r="L185" s="65" t="n"/>
      <c r="M185" s="65" t="n"/>
      <c r="N185" s="65" t="n"/>
      <c r="O185" s="65" t="n"/>
      <c r="P185" s="65" t="n"/>
      <c r="Q185" s="65" t="n"/>
      <c r="R185" s="65" t="n"/>
      <c r="S185" s="65" t="n"/>
      <c r="T185" s="56">
        <f>IF(COUNT($H185:$S185)=0,"",SUM($H185:$S185)/COUNT($H185:$S185))</f>
        <v/>
      </c>
      <c r="U185" s="56">
        <f>IF($G185="","",IF($T185="","",MIN(1,IF($G185=0,IF($T185&lt;=0,1,0),IF($F185="↓",IFERROR($G185/$T185,0),IFERROR($T185/$G185,0))))))</f>
        <v/>
      </c>
      <c r="V185" s="59">
        <f>IF($U185="","⏳ بانتظار هدف",IF($U185&gt;=1.0,"✅ محقق",IF($U185&gt;=0.85,"🟡 قريب","🔴 تحت الهدف")))</f>
        <v/>
      </c>
      <c r="W185" s="66">
        <f>IF($G185="","",$G185)</f>
        <v/>
      </c>
      <c r="X185" s="59">
        <f>IF($U185="","—",IF($U185&gt;=0.85,"🟢 على المسار","🟠 متأخّر"))</f>
        <v/>
      </c>
    </row>
    <row r="186" ht="22" customHeight="1">
      <c r="A186" s="59" t="n">
        <v>183</v>
      </c>
      <c r="B186" s="13" t="inlineStr">
        <is>
          <t>الجودة</t>
        </is>
      </c>
      <c r="C186" s="11" t="inlineStr">
        <is>
          <t>نسبة اكتمال سجلات الجودة</t>
        </is>
      </c>
      <c r="D186" s="15" t="inlineStr">
        <is>
          <t>شهري</t>
        </is>
      </c>
      <c r="E186" s="15" t="inlineStr">
        <is>
          <t>معدل</t>
        </is>
      </c>
      <c r="F186" s="55" t="inlineStr">
        <is>
          <t>↑</t>
        </is>
      </c>
      <c r="G186" s="64" t="n">
        <v>0.95</v>
      </c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65" t="n"/>
      <c r="T186" s="56">
        <f>IF(COUNT($H186:$S186)=0,"",SUM($H186:$S186)/COUNT($H186:$S186))</f>
        <v/>
      </c>
      <c r="U186" s="56">
        <f>IF($G186="","",IF($T186="","",MIN(1,IF($G186=0,IF($T186&lt;=0,1,0),IF($F186="↓",IFERROR($G186/$T186,0),IFERROR($T186/$G186,0))))))</f>
        <v/>
      </c>
      <c r="V186" s="59">
        <f>IF($U186="","⏳ بانتظار هدف",IF($U186&gt;=1.0,"✅ محقق",IF($U186&gt;=0.85,"🟡 قريب","🔴 تحت الهدف")))</f>
        <v/>
      </c>
      <c r="W186" s="66">
        <f>IF($G186="","",$G186)</f>
        <v/>
      </c>
      <c r="X186" s="59">
        <f>IF($U186="","—",IF($U186&gt;=0.85,"🟢 على المسار","🟠 متأخّر"))</f>
        <v/>
      </c>
    </row>
    <row r="187" ht="22" customHeight="1">
      <c r="A187" s="59" t="n">
        <v>184</v>
      </c>
      <c r="B187" s="13" t="inlineStr">
        <is>
          <t>الجودة</t>
        </is>
      </c>
      <c r="C187" s="11" t="inlineStr">
        <is>
          <t>نسبة رقمنة عمليات الجودة</t>
        </is>
      </c>
      <c r="D187" s="15" t="inlineStr">
        <is>
          <t>شهري</t>
        </is>
      </c>
      <c r="E187" s="15" t="inlineStr">
        <is>
          <t>لقطة</t>
        </is>
      </c>
      <c r="F187" s="55" t="inlineStr">
        <is>
          <t>↑</t>
        </is>
      </c>
      <c r="G187" s="64" t="n">
        <v>0.8</v>
      </c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65" t="n"/>
      <c r="R187" s="65" t="n"/>
      <c r="S187" s="65" t="n"/>
      <c r="T187" s="56">
        <f>IFERROR(LOOKUP(2,1/($H187:$S187&lt;&gt;""),$H187:$S187),"")</f>
        <v/>
      </c>
      <c r="U187" s="56">
        <f>IF($G187="","",IF($T187="","",MIN(1,IF($G187=0,IF($T187&lt;=0,1,0),IF($F187="↓",IFERROR($G187/$T187,0),IFERROR($T187/$G187,0))))))</f>
        <v/>
      </c>
      <c r="V187" s="59">
        <f>IF($U187="","⏳ بانتظار هدف",IF($U187&gt;=1.0,"✅ محقق",IF($U187&gt;=0.85,"🟡 قريب","🔴 تحت الهدف")))</f>
        <v/>
      </c>
      <c r="W187" s="66">
        <f>IF($G187="","",$G187)</f>
        <v/>
      </c>
      <c r="X187" s="59">
        <f>IF($U187="","—",IF($U187&gt;=0.85,"🟢 على المسار","🟠 متأخّر"))</f>
        <v/>
      </c>
    </row>
    <row r="188" ht="22" customHeight="1">
      <c r="A188" s="59" t="n">
        <v>185</v>
      </c>
      <c r="B188" s="13" t="inlineStr">
        <is>
          <t>الجودة</t>
        </is>
      </c>
      <c r="C188" s="11" t="inlineStr">
        <is>
          <t>عدد مبادرات التحسين المؤثرة</t>
        </is>
      </c>
      <c r="D188" s="15" t="inlineStr">
        <is>
          <t>ربعي</t>
        </is>
      </c>
      <c r="E188" s="15" t="inlineStr">
        <is>
          <t>تراكمي</t>
        </is>
      </c>
      <c r="F188" s="55" t="inlineStr">
        <is>
          <t>↑</t>
        </is>
      </c>
      <c r="G188" s="60" t="n">
        <v>8</v>
      </c>
      <c r="H188" s="61" t="n"/>
      <c r="I188" s="61" t="n"/>
      <c r="J188" s="61" t="n"/>
      <c r="K188" s="61" t="n"/>
      <c r="L188" s="61" t="n"/>
      <c r="M188" s="61" t="n"/>
      <c r="N188" s="61" t="n"/>
      <c r="O188" s="61" t="n"/>
      <c r="P188" s="61" t="n"/>
      <c r="Q188" s="61" t="n"/>
      <c r="R188" s="61" t="n"/>
      <c r="S188" s="61" t="n"/>
      <c r="T188" s="62">
        <f>IF(COUNT($H188:$S188)=0,"",SUM($H188:$S188))</f>
        <v/>
      </c>
      <c r="U188" s="56">
        <f>IF($G188="","",IF($T188="","",MIN(1,IF($G188=0,IF($T188&lt;=0,1,0),IF($F188="↓",IFERROR($G188/$T188,0),IFERROR($T188/$G188,0))))))</f>
        <v/>
      </c>
      <c r="V188" s="59">
        <f>IF($U188="","⏳ بانتظار هدف",IF($U188&gt;=1.0,"✅ محقق",IF($U188&gt;=0.85,"🟡 قريب","🔴 تحت الهدف")))</f>
        <v/>
      </c>
      <c r="W188" s="63">
        <f>IF($G188="","",$G188*COUNT($H188:$S188)/12)</f>
        <v/>
      </c>
      <c r="X188" s="59">
        <f>IF($U188="","—",IF($U188&gt;=COUNT($H188:$S188)/12,"🟢 على المسار","🟠 متأخّر"))</f>
        <v/>
      </c>
    </row>
    <row r="189" ht="22" customHeight="1">
      <c r="A189" s="59" t="n">
        <v>186</v>
      </c>
      <c r="B189" s="13" t="inlineStr">
        <is>
          <t>الإدارة القانونية</t>
        </is>
      </c>
      <c r="C189" s="11" t="inlineStr">
        <is>
          <t>نسبة العقود المُراجَعة قانونياً قبل التوقيع</t>
        </is>
      </c>
      <c r="D189" s="15" t="inlineStr">
        <is>
          <t>شهري</t>
        </is>
      </c>
      <c r="E189" s="15" t="inlineStr">
        <is>
          <t>معدل</t>
        </is>
      </c>
      <c r="F189" s="55" t="inlineStr">
        <is>
          <t>↑</t>
        </is>
      </c>
      <c r="G189" s="64" t="n">
        <v>1</v>
      </c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65" t="n"/>
      <c r="T189" s="56">
        <f>IF(COUNT($H189:$S189)=0,"",SUM($H189:$S189)/COUNT($H189:$S189))</f>
        <v/>
      </c>
      <c r="U189" s="56">
        <f>IF($G189="","",IF($T189="","",MIN(1,IF($G189=0,IF($T189&lt;=0,1,0),IF($F189="↓",IFERROR($G189/$T189,0),IFERROR($T189/$G189,0))))))</f>
        <v/>
      </c>
      <c r="V189" s="59">
        <f>IF($U189="","⏳ بانتظار هدف",IF($U189&gt;=1.0,"✅ محقق",IF($U189&gt;=0.85,"🟡 قريب","🔴 تحت الهدف")))</f>
        <v/>
      </c>
      <c r="W189" s="66">
        <f>IF($G189="","",$G189)</f>
        <v/>
      </c>
      <c r="X189" s="59">
        <f>IF($U189="","—",IF($U189&gt;=0.85,"🟢 على المسار","🟠 متأخّر"))</f>
        <v/>
      </c>
    </row>
    <row r="190" ht="22" customHeight="1">
      <c r="A190" s="59" t="n">
        <v>187</v>
      </c>
      <c r="B190" s="13" t="inlineStr">
        <is>
          <t>الإدارة القانونية</t>
        </is>
      </c>
      <c r="C190" s="11" t="inlineStr">
        <is>
          <t>متوسط زمن صياغة ومراجعة العقد</t>
        </is>
      </c>
      <c r="D190" s="15" t="inlineStr">
        <is>
          <t>شهري</t>
        </is>
      </c>
      <c r="E190" s="15" t="inlineStr">
        <is>
          <t>معدل</t>
        </is>
      </c>
      <c r="F190" s="55" t="inlineStr">
        <is>
          <t>↓</t>
        </is>
      </c>
      <c r="G190" s="67" t="n">
        <v>3</v>
      </c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9">
        <f>IF(COUNT($H190:$S190)=0,"",SUM($H190:$S190)/COUNT($H190:$S190))</f>
        <v/>
      </c>
      <c r="U190" s="56">
        <f>IF($G190="","",IF($T190="","",MIN(1,IF($G190=0,IF($T190&lt;=0,1,0),IF($F190="↓",IFERROR($G190/$T190,0),IFERROR($T190/$G190,0))))))</f>
        <v/>
      </c>
      <c r="V190" s="59">
        <f>IF($U190="","⏳ بانتظار هدف",IF($U190&gt;=1.0,"✅ محقق",IF($U190&gt;=0.85,"🟡 قريب","🔴 تحت الهدف")))</f>
        <v/>
      </c>
      <c r="W190" s="70">
        <f>IF($G190="","",$G190)</f>
        <v/>
      </c>
      <c r="X190" s="59">
        <f>IF($U190="","—",IF($U190&gt;=0.85,"🟢 على المسار","🟠 متأخّر"))</f>
        <v/>
      </c>
    </row>
    <row r="191" ht="22" customHeight="1">
      <c r="A191" s="59" t="n">
        <v>188</v>
      </c>
      <c r="B191" s="13" t="inlineStr">
        <is>
          <t>الإدارة القانونية</t>
        </is>
      </c>
      <c r="C191" s="11" t="inlineStr">
        <is>
          <t>نسبة العقود الخالية من الملاحظات والمخاطر القانونية</t>
        </is>
      </c>
      <c r="D191" s="15" t="inlineStr">
        <is>
          <t>شهري</t>
        </is>
      </c>
      <c r="E191" s="15" t="inlineStr">
        <is>
          <t>معدل</t>
        </is>
      </c>
      <c r="F191" s="55" t="inlineStr">
        <is>
          <t>↑</t>
        </is>
      </c>
      <c r="G191" s="64" t="n">
        <v>0.95</v>
      </c>
      <c r="H191" s="65" t="n"/>
      <c r="I191" s="65" t="n"/>
      <c r="J191" s="65" t="n"/>
      <c r="K191" s="65" t="n"/>
      <c r="L191" s="65" t="n"/>
      <c r="M191" s="65" t="n"/>
      <c r="N191" s="65" t="n"/>
      <c r="O191" s="65" t="n"/>
      <c r="P191" s="65" t="n"/>
      <c r="Q191" s="65" t="n"/>
      <c r="R191" s="65" t="n"/>
      <c r="S191" s="65" t="n"/>
      <c r="T191" s="56">
        <f>IF(COUNT($H191:$S191)=0,"",SUM($H191:$S191)/COUNT($H191:$S191))</f>
        <v/>
      </c>
      <c r="U191" s="56">
        <f>IF($G191="","",IF($T191="","",MIN(1,IF($G191=0,IF($T191&lt;=0,1,0),IF($F191="↓",IFERROR($G191/$T191,0),IFERROR($T191/$G191,0))))))</f>
        <v/>
      </c>
      <c r="V191" s="59">
        <f>IF($U191="","⏳ بانتظار هدف",IF($U191&gt;=1.0,"✅ محقق",IF($U191&gt;=0.85,"🟡 قريب","🔴 تحت الهدف")))</f>
        <v/>
      </c>
      <c r="W191" s="66">
        <f>IF($G191="","",$G191)</f>
        <v/>
      </c>
      <c r="X191" s="59">
        <f>IF($U191="","—",IF($U191&gt;=0.85,"🟢 على المسار","🟠 متأخّر"))</f>
        <v/>
      </c>
    </row>
    <row r="192" ht="22" customHeight="1">
      <c r="A192" s="59" t="n">
        <v>189</v>
      </c>
      <c r="B192" s="13" t="inlineStr">
        <is>
          <t>الإدارة القانونية</t>
        </is>
      </c>
      <c r="C192" s="11" t="inlineStr">
        <is>
          <t>نسبة القضايا المُغلقة لصالح الشركة</t>
        </is>
      </c>
      <c r="D192" s="15" t="inlineStr">
        <is>
          <t>شهري</t>
        </is>
      </c>
      <c r="E192" s="15" t="inlineStr">
        <is>
          <t>معدل</t>
        </is>
      </c>
      <c r="F192" s="55" t="inlineStr">
        <is>
          <t>↑</t>
        </is>
      </c>
      <c r="G192" s="64" t="n">
        <v>0.8</v>
      </c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65" t="n"/>
      <c r="R192" s="65" t="n"/>
      <c r="S192" s="65" t="n"/>
      <c r="T192" s="56">
        <f>IF(COUNT($H192:$S192)=0,"",SUM($H192:$S192)/COUNT($H192:$S192))</f>
        <v/>
      </c>
      <c r="U192" s="56">
        <f>IF($G192="","",IF($T192="","",MIN(1,IF($G192=0,IF($T192&lt;=0,1,0),IF($F192="↓",IFERROR($G192/$T192,0),IFERROR($T192/$G192,0))))))</f>
        <v/>
      </c>
      <c r="V192" s="59">
        <f>IF($U192="","⏳ بانتظار هدف",IF($U192&gt;=1.0,"✅ محقق",IF($U192&gt;=0.85,"🟡 قريب","🔴 تحت الهدف")))</f>
        <v/>
      </c>
      <c r="W192" s="66">
        <f>IF($G192="","",$G192)</f>
        <v/>
      </c>
      <c r="X192" s="59">
        <f>IF($U192="","—",IF($U192&gt;=0.85,"🟢 على المسار","🟠 متأخّر"))</f>
        <v/>
      </c>
    </row>
    <row r="193" ht="22" customHeight="1">
      <c r="A193" s="59" t="n">
        <v>190</v>
      </c>
      <c r="B193" s="13" t="inlineStr">
        <is>
          <t>الإدارة القانونية</t>
        </is>
      </c>
      <c r="C193" s="11" t="inlineStr">
        <is>
          <t>نسبة تقديم المذكرات والردود في المواعيد النظامية</t>
        </is>
      </c>
      <c r="D193" s="15" t="inlineStr">
        <is>
          <t>شهري</t>
        </is>
      </c>
      <c r="E193" s="15" t="inlineStr">
        <is>
          <t>معدل</t>
        </is>
      </c>
      <c r="F193" s="55" t="inlineStr">
        <is>
          <t>↑</t>
        </is>
      </c>
      <c r="G193" s="64" t="n">
        <v>1</v>
      </c>
      <c r="H193" s="65" t="n"/>
      <c r="I193" s="65" t="n"/>
      <c r="J193" s="65" t="n"/>
      <c r="K193" s="65" t="n"/>
      <c r="L193" s="65" t="n"/>
      <c r="M193" s="65" t="n"/>
      <c r="N193" s="65" t="n"/>
      <c r="O193" s="65" t="n"/>
      <c r="P193" s="65" t="n"/>
      <c r="Q193" s="65" t="n"/>
      <c r="R193" s="65" t="n"/>
      <c r="S193" s="65" t="n"/>
      <c r="T193" s="56">
        <f>IF(COUNT($H193:$S193)=0,"",SUM($H193:$S193)/COUNT($H193:$S193))</f>
        <v/>
      </c>
      <c r="U193" s="56">
        <f>IF($G193="","",IF($T193="","",MIN(1,IF($G193=0,IF($T193&lt;=0,1,0),IF($F193="↓",IFERROR($G193/$T193,0),IFERROR($T193/$G193,0))))))</f>
        <v/>
      </c>
      <c r="V193" s="59">
        <f>IF($U193="","⏳ بانتظار هدف",IF($U193&gt;=1.0,"✅ محقق",IF($U193&gt;=0.85,"🟡 قريب","🔴 تحت الهدف")))</f>
        <v/>
      </c>
      <c r="W193" s="66">
        <f>IF($G193="","",$G193)</f>
        <v/>
      </c>
      <c r="X193" s="59">
        <f>IF($U193="","—",IF($U193&gt;=0.85,"🟢 على المسار","🟠 متأخّر"))</f>
        <v/>
      </c>
    </row>
    <row r="194" ht="22" customHeight="1">
      <c r="A194" s="59" t="n">
        <v>191</v>
      </c>
      <c r="B194" s="13" t="inlineStr">
        <is>
          <t>الإدارة القانونية</t>
        </is>
      </c>
      <c r="C194" s="11" t="inlineStr">
        <is>
          <t>متوسط زمن إعداد المذكرة القانونية</t>
        </is>
      </c>
      <c r="D194" s="15" t="inlineStr">
        <is>
          <t>شهري</t>
        </is>
      </c>
      <c r="E194" s="15" t="inlineStr">
        <is>
          <t>معدل</t>
        </is>
      </c>
      <c r="F194" s="55" t="inlineStr">
        <is>
          <t>↓</t>
        </is>
      </c>
      <c r="G194" s="67" t="n">
        <v>5</v>
      </c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9">
        <f>IF(COUNT($H194:$S194)=0,"",SUM($H194:$S194)/COUNT($H194:$S194))</f>
        <v/>
      </c>
      <c r="U194" s="56">
        <f>IF($G194="","",IF($T194="","",MIN(1,IF($G194=0,IF($T194&lt;=0,1,0),IF($F194="↓",IFERROR($G194/$T194,0),IFERROR($T194/$G194,0))))))</f>
        <v/>
      </c>
      <c r="V194" s="59">
        <f>IF($U194="","⏳ بانتظار هدف",IF($U194&gt;=1.0,"✅ محقق",IF($U194&gt;=0.85,"🟡 قريب","🔴 تحت الهدف")))</f>
        <v/>
      </c>
      <c r="W194" s="70">
        <f>IF($G194="","",$G194)</f>
        <v/>
      </c>
      <c r="X194" s="59">
        <f>IF($U194="","—",IF($U194&gt;=0.85,"🟢 على المسار","🟠 متأخّر"))</f>
        <v/>
      </c>
    </row>
    <row r="195" ht="22" customHeight="1">
      <c r="A195" s="59" t="n">
        <v>192</v>
      </c>
      <c r="B195" s="13" t="inlineStr">
        <is>
          <t>الإدارة القانونية</t>
        </is>
      </c>
      <c r="C195" s="11" t="inlineStr">
        <is>
          <t>نسبة الاستشارات المُنجزة ضمن المدة المستهدفة (SLA)</t>
        </is>
      </c>
      <c r="D195" s="15" t="inlineStr">
        <is>
          <t>شهري</t>
        </is>
      </c>
      <c r="E195" s="15" t="inlineStr">
        <is>
          <t>معدل</t>
        </is>
      </c>
      <c r="F195" s="55" t="inlineStr">
        <is>
          <t>↑</t>
        </is>
      </c>
      <c r="G195" s="64" t="n">
        <v>0.9</v>
      </c>
      <c r="H195" s="65" t="n"/>
      <c r="I195" s="65" t="n"/>
      <c r="J195" s="65" t="n"/>
      <c r="K195" s="65" t="n"/>
      <c r="L195" s="65" t="n"/>
      <c r="M195" s="65" t="n"/>
      <c r="N195" s="65" t="n"/>
      <c r="O195" s="65" t="n"/>
      <c r="P195" s="65" t="n"/>
      <c r="Q195" s="65" t="n"/>
      <c r="R195" s="65" t="n"/>
      <c r="S195" s="65" t="n"/>
      <c r="T195" s="56">
        <f>IF(COUNT($H195:$S195)=0,"",SUM($H195:$S195)/COUNT($H195:$S195))</f>
        <v/>
      </c>
      <c r="U195" s="56">
        <f>IF($G195="","",IF($T195="","",MIN(1,IF($G195=0,IF($T195&lt;=0,1,0),IF($F195="↓",IFERROR($G195/$T195,0),IFERROR($T195/$G195,0))))))</f>
        <v/>
      </c>
      <c r="V195" s="59">
        <f>IF($U195="","⏳ بانتظار هدف",IF($U195&gt;=1.0,"✅ محقق",IF($U195&gt;=0.85,"🟡 قريب","🔴 تحت الهدف")))</f>
        <v/>
      </c>
      <c r="W195" s="66">
        <f>IF($G195="","",$G195)</f>
        <v/>
      </c>
      <c r="X195" s="59">
        <f>IF($U195="","—",IF($U195&gt;=0.85,"🟢 على المسار","🟠 متأخّر"))</f>
        <v/>
      </c>
    </row>
    <row r="196" ht="22" customHeight="1">
      <c r="A196" s="59" t="n">
        <v>193</v>
      </c>
      <c r="B196" s="13" t="inlineStr">
        <is>
          <t>الإدارة القانونية</t>
        </is>
      </c>
      <c r="C196" s="11" t="inlineStr">
        <is>
          <t>مستوى رضا الإدارات عن الدعم القانوني</t>
        </is>
      </c>
      <c r="D196" s="15" t="inlineStr">
        <is>
          <t>ربعي</t>
        </is>
      </c>
      <c r="E196" s="15" t="inlineStr">
        <is>
          <t>معدل</t>
        </is>
      </c>
      <c r="F196" s="55" t="inlineStr">
        <is>
          <t>↑</t>
        </is>
      </c>
      <c r="G196" s="64" t="n">
        <v>0.85</v>
      </c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65" t="n"/>
      <c r="R196" s="65" t="n"/>
      <c r="S196" s="65" t="n"/>
      <c r="T196" s="56">
        <f>IF(COUNT($H196:$S196)=0,"",SUM($H196:$S196)/COUNT($H196:$S196))</f>
        <v/>
      </c>
      <c r="U196" s="56">
        <f>IF($G196="","",IF($T196="","",MIN(1,IF($G196=0,IF($T196&lt;=0,1,0),IF($F196="↓",IFERROR($G196/$T196,0),IFERROR($T196/$G196,0))))))</f>
        <v/>
      </c>
      <c r="V196" s="59">
        <f>IF($U196="","⏳ بانتظار هدف",IF($U196&gt;=0.9,"✅ محقق",IF($U196&gt;=0.75,"🟡 قريب","🔴 تحت الهدف")))</f>
        <v/>
      </c>
      <c r="W196" s="66">
        <f>IF($G196="","",$G196)</f>
        <v/>
      </c>
      <c r="X196" s="59">
        <f>IF($U196="","—",IF($U196&gt;=0.75,"🟢 على المسار","🟠 متأخّر"))</f>
        <v/>
      </c>
    </row>
    <row r="197" ht="22" customHeight="1">
      <c r="A197" s="59" t="n">
        <v>194</v>
      </c>
      <c r="B197" s="13" t="inlineStr">
        <is>
          <t>الإدارة القانونية</t>
        </is>
      </c>
      <c r="C197" s="11" t="inlineStr">
        <is>
          <t>نسبة إنجاز التحقيقات ضمن المدة المحددة</t>
        </is>
      </c>
      <c r="D197" s="15" t="inlineStr">
        <is>
          <t>شهري</t>
        </is>
      </c>
      <c r="E197" s="15" t="inlineStr">
        <is>
          <t>معدل</t>
        </is>
      </c>
      <c r="F197" s="55" t="inlineStr">
        <is>
          <t>↑</t>
        </is>
      </c>
      <c r="G197" s="64" t="n">
        <v>0.9</v>
      </c>
      <c r="H197" s="65" t="n"/>
      <c r="I197" s="65" t="n"/>
      <c r="J197" s="65" t="n"/>
      <c r="K197" s="65" t="n"/>
      <c r="L197" s="65" t="n"/>
      <c r="M197" s="65" t="n"/>
      <c r="N197" s="65" t="n"/>
      <c r="O197" s="65" t="n"/>
      <c r="P197" s="65" t="n"/>
      <c r="Q197" s="65" t="n"/>
      <c r="R197" s="65" t="n"/>
      <c r="S197" s="65" t="n"/>
      <c r="T197" s="56">
        <f>IF(COUNT($H197:$S197)=0,"",SUM($H197:$S197)/COUNT($H197:$S197))</f>
        <v/>
      </c>
      <c r="U197" s="56">
        <f>IF($G197="","",IF($T197="","",MIN(1,IF($G197=0,IF($T197&lt;=0,1,0),IF($F197="↓",IFERROR($G197/$T197,0),IFERROR($T197/$G197,0))))))</f>
        <v/>
      </c>
      <c r="V197" s="59">
        <f>IF($U197="","⏳ بانتظار هدف",IF($U197&gt;=1.0,"✅ محقق",IF($U197&gt;=0.85,"🟡 قريب","🔴 تحت الهدف")))</f>
        <v/>
      </c>
      <c r="W197" s="66">
        <f>IF($G197="","",$G197)</f>
        <v/>
      </c>
      <c r="X197" s="59">
        <f>IF($U197="","—",IF($U197&gt;=0.85,"🟢 على المسار","🟠 متأخّر"))</f>
        <v/>
      </c>
    </row>
    <row r="198" ht="22" customHeight="1">
      <c r="A198" s="59" t="n">
        <v>195</v>
      </c>
      <c r="B198" s="13" t="inlineStr">
        <is>
          <t>الإدارة القانونية</t>
        </is>
      </c>
      <c r="C198" s="11" t="inlineStr">
        <is>
          <t>نسبة التحقيقات المُغلقة من إجمالي المُحالة</t>
        </is>
      </c>
      <c r="D198" s="15" t="inlineStr">
        <is>
          <t>شهري</t>
        </is>
      </c>
      <c r="E198" s="15" t="inlineStr">
        <is>
          <t>معدل</t>
        </is>
      </c>
      <c r="F198" s="55" t="inlineStr">
        <is>
          <t>↑</t>
        </is>
      </c>
      <c r="G198" s="64" t="n">
        <v>0.95</v>
      </c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65" t="n"/>
      <c r="R198" s="65" t="n"/>
      <c r="S198" s="65" t="n"/>
      <c r="T198" s="56">
        <f>IF(COUNT($H198:$S198)=0,"",SUM($H198:$S198)/COUNT($H198:$S198))</f>
        <v/>
      </c>
      <c r="U198" s="56">
        <f>IF($G198="","",IF($T198="","",MIN(1,IF($G198=0,IF($T198&lt;=0,1,0),IF($F198="↓",IFERROR($G198/$T198,0),IFERROR($T198/$G198,0))))))</f>
        <v/>
      </c>
      <c r="V198" s="59">
        <f>IF($U198="","⏳ بانتظار هدف",IF($U198&gt;=1.0,"✅ محقق",IF($U198&gt;=0.85,"🟡 قريب","🔴 تحت الهدف")))</f>
        <v/>
      </c>
      <c r="W198" s="66">
        <f>IF($G198="","",$G198)</f>
        <v/>
      </c>
      <c r="X198" s="59">
        <f>IF($U198="","—",IF($U198&gt;=0.85,"🟢 على المسار","🟠 متأخّر"))</f>
        <v/>
      </c>
    </row>
    <row r="199" ht="22" customHeight="1">
      <c r="A199" s="59" t="n">
        <v>196</v>
      </c>
      <c r="B199" s="13" t="inlineStr">
        <is>
          <t>الإدارة القانونية</t>
        </is>
      </c>
      <c r="C199" s="11" t="inlineStr">
        <is>
          <t>متوسط زمن إغلاق قضية التحقيق</t>
        </is>
      </c>
      <c r="D199" s="15" t="inlineStr">
        <is>
          <t>شهري</t>
        </is>
      </c>
      <c r="E199" s="15" t="inlineStr">
        <is>
          <t>معدل</t>
        </is>
      </c>
      <c r="F199" s="55" t="inlineStr">
        <is>
          <t>↓</t>
        </is>
      </c>
      <c r="G199" s="67" t="n">
        <v>30</v>
      </c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9">
        <f>IF(COUNT($H199:$S199)=0,"",SUM($H199:$S199)/COUNT($H199:$S199))</f>
        <v/>
      </c>
      <c r="U199" s="56">
        <f>IF($G199="","",IF($T199="","",MIN(1,IF($G199=0,IF($T199&lt;=0,1,0),IF($F199="↓",IFERROR($G199/$T199,0),IFERROR($T199/$G199,0))))))</f>
        <v/>
      </c>
      <c r="V199" s="59">
        <f>IF($U199="","⏳ بانتظار هدف",IF($U199&gt;=1.0,"✅ محقق",IF($U199&gt;=0.85,"🟡 قريب","🔴 تحت الهدف")))</f>
        <v/>
      </c>
      <c r="W199" s="70">
        <f>IF($G199="","",$G199)</f>
        <v/>
      </c>
      <c r="X199" s="59">
        <f>IF($U199="","—",IF($U199&gt;=0.85,"🟢 على المسار","🟠 متأخّر"))</f>
        <v/>
      </c>
    </row>
    <row r="200" ht="22" customHeight="1">
      <c r="A200" s="59" t="n">
        <v>197</v>
      </c>
      <c r="B200" s="13" t="inlineStr">
        <is>
          <t>الإدارة القانونية</t>
        </is>
      </c>
      <c r="C200" s="11" t="inlineStr">
        <is>
          <t>نسبة تنفيذ التوصيات الصادرة عن التحقيقات</t>
        </is>
      </c>
      <c r="D200" s="15" t="inlineStr">
        <is>
          <t>شهري</t>
        </is>
      </c>
      <c r="E200" s="15" t="inlineStr">
        <is>
          <t>معدل</t>
        </is>
      </c>
      <c r="F200" s="55" t="inlineStr">
        <is>
          <t>↑</t>
        </is>
      </c>
      <c r="G200" s="64" t="n">
        <v>0.9</v>
      </c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65" t="n"/>
      <c r="R200" s="65" t="n"/>
      <c r="S200" s="65" t="n"/>
      <c r="T200" s="56">
        <f>IF(COUNT($H200:$S200)=0,"",SUM($H200:$S200)/COUNT($H200:$S200))</f>
        <v/>
      </c>
      <c r="U200" s="56">
        <f>IF($G200="","",IF($T200="","",MIN(1,IF($G200=0,IF($T200&lt;=0,1,0),IF($F200="↓",IFERROR($G200/$T200,0),IFERROR($T200/$G200,0))))))</f>
        <v/>
      </c>
      <c r="V200" s="59">
        <f>IF($U200="","⏳ بانتظار هدف",IF($U200&gt;=1.0,"✅ محقق",IF($U200&gt;=0.85,"🟡 قريب","🔴 تحت الهدف")))</f>
        <v/>
      </c>
      <c r="W200" s="66">
        <f>IF($G200="","",$G200)</f>
        <v/>
      </c>
      <c r="X200" s="59">
        <f>IF($U200="","—",IF($U200&gt;=0.85,"🟢 على المسار","🟠 متأخّر"))</f>
        <v/>
      </c>
    </row>
    <row r="201" ht="22" customHeight="1">
      <c r="A201" s="59" t="n">
        <v>198</v>
      </c>
      <c r="B201" s="13" t="inlineStr">
        <is>
          <t>الإدارة القانونية</t>
        </is>
      </c>
      <c r="C201" s="11" t="inlineStr">
        <is>
          <t>نسبة التزام التحقيقات بالإجراءات النظامية والعدالة الإجرائية</t>
        </is>
      </c>
      <c r="D201" s="15" t="inlineStr">
        <is>
          <t>شهري</t>
        </is>
      </c>
      <c r="E201" s="15" t="inlineStr">
        <is>
          <t>معدل</t>
        </is>
      </c>
      <c r="F201" s="55" t="inlineStr">
        <is>
          <t>↑</t>
        </is>
      </c>
      <c r="G201" s="64" t="n">
        <v>1</v>
      </c>
      <c r="H201" s="65" t="n"/>
      <c r="I201" s="65" t="n"/>
      <c r="J201" s="65" t="n"/>
      <c r="K201" s="65" t="n"/>
      <c r="L201" s="65" t="n"/>
      <c r="M201" s="65" t="n"/>
      <c r="N201" s="65" t="n"/>
      <c r="O201" s="65" t="n"/>
      <c r="P201" s="65" t="n"/>
      <c r="Q201" s="65" t="n"/>
      <c r="R201" s="65" t="n"/>
      <c r="S201" s="65" t="n"/>
      <c r="T201" s="56">
        <f>IF(COUNT($H201:$S201)=0,"",SUM($H201:$S201)/COUNT($H201:$S201))</f>
        <v/>
      </c>
      <c r="U201" s="56">
        <f>IF($G201="","",IF($T201="","",MIN(1,IF($G201=0,IF($T201&lt;=0,1,0),IF($F201="↓",IFERROR($G201/$T201,0),IFERROR($T201/$G201,0))))))</f>
        <v/>
      </c>
      <c r="V201" s="59">
        <f>IF($U201="","⏳ بانتظار هدف",IF($U201&gt;=1.0,"✅ محقق",IF($U201&gt;=0.85,"🟡 قريب","🔴 تحت الهدف")))</f>
        <v/>
      </c>
      <c r="W201" s="66">
        <f>IF($G201="","",$G201)</f>
        <v/>
      </c>
      <c r="X201" s="59">
        <f>IF($U201="","—",IF($U201&gt;=0.85,"🟢 على المسار","🟠 متأخّر"))</f>
        <v/>
      </c>
    </row>
    <row r="202" ht="22" customHeight="1">
      <c r="A202" s="59" t="n">
        <v>199</v>
      </c>
      <c r="B202" s="13" t="inlineStr">
        <is>
          <t>الإدارة المالية</t>
        </is>
      </c>
      <c r="C202" s="11" t="inlineStr">
        <is>
          <t>نمو الإيرادات السنوي</t>
        </is>
      </c>
      <c r="D202" s="15" t="inlineStr">
        <is>
          <t>ربعي</t>
        </is>
      </c>
      <c r="E202" s="15" t="inlineStr">
        <is>
          <t>معدل</t>
        </is>
      </c>
      <c r="F202" s="55" t="inlineStr">
        <is>
          <t>↑</t>
        </is>
      </c>
      <c r="G202" s="64" t="n">
        <v>0.2</v>
      </c>
      <c r="H202" s="65" t="n"/>
      <c r="I202" s="65" t="n"/>
      <c r="J202" s="65" t="n"/>
      <c r="K202" s="65" t="n"/>
      <c r="L202" s="65" t="n"/>
      <c r="M202" s="65" t="n"/>
      <c r="N202" s="65" t="n"/>
      <c r="O202" s="65" t="n"/>
      <c r="P202" s="65" t="n"/>
      <c r="Q202" s="65" t="n"/>
      <c r="R202" s="65" t="n"/>
      <c r="S202" s="65" t="n"/>
      <c r="T202" s="56">
        <f>IF(COUNT($H202:$S202)=0,"",SUM($H202:$S202)/COUNT($H202:$S202))</f>
        <v/>
      </c>
      <c r="U202" s="56">
        <f>IF($G202="","",IF($T202="","",MIN(1,IF($G202=0,IF($T202&lt;=0,1,0),IF($F202="↓",IFERROR($G202/$T202,0),IFERROR($T202/$G202,0))))))</f>
        <v/>
      </c>
      <c r="V202" s="59">
        <f>IF($U202="","⏳ بانتظار هدف",IF($U202&gt;=1.0,"✅ محقق",IF($U202&gt;=0.85,"🟡 قريب","🔴 تحت الهدف")))</f>
        <v/>
      </c>
      <c r="W202" s="66">
        <f>IF($G202="","",$G202)</f>
        <v/>
      </c>
      <c r="X202" s="59">
        <f>IF($U202="","—",IF($U202&gt;=0.85,"🟢 على المسار","🟠 متأخّر"))</f>
        <v/>
      </c>
    </row>
    <row r="203" ht="22" customHeight="1">
      <c r="A203" s="59" t="n">
        <v>200</v>
      </c>
      <c r="B203" s="13" t="inlineStr">
        <is>
          <t>الإدارة المالية</t>
        </is>
      </c>
      <c r="C203" s="11" t="inlineStr">
        <is>
          <t>هامش EBITDA</t>
        </is>
      </c>
      <c r="D203" s="15" t="inlineStr">
        <is>
          <t>شهري</t>
        </is>
      </c>
      <c r="E203" s="15" t="inlineStr">
        <is>
          <t>معدل</t>
        </is>
      </c>
      <c r="F203" s="55" t="inlineStr">
        <is>
          <t>↑</t>
        </is>
      </c>
      <c r="G203" s="64" t="n">
        <v>0.08</v>
      </c>
      <c r="H203" s="65" t="n"/>
      <c r="I203" s="65" t="n"/>
      <c r="J203" s="65" t="n"/>
      <c r="K203" s="65" t="n"/>
      <c r="L203" s="65" t="n"/>
      <c r="M203" s="65" t="n"/>
      <c r="N203" s="65" t="n"/>
      <c r="O203" s="65" t="n"/>
      <c r="P203" s="65" t="n"/>
      <c r="Q203" s="65" t="n"/>
      <c r="R203" s="65" t="n"/>
      <c r="S203" s="65" t="n"/>
      <c r="T203" s="56">
        <f>IF(COUNT($H203:$S203)=0,"",SUM($H203:$S203)/COUNT($H203:$S203))</f>
        <v/>
      </c>
      <c r="U203" s="56">
        <f>IF($G203="","",IF($T203="","",MIN(1,IF($G203=0,IF($T203&lt;=0,1,0),IF($F203="↓",IFERROR($G203/$T203,0),IFERROR($T203/$G203,0))))))</f>
        <v/>
      </c>
      <c r="V203" s="59">
        <f>IF($U203="","⏳ بانتظار هدف",IF($U203&gt;=1.0,"✅ محقق",IF($U203&gt;=0.85,"🟡 قريب","🔴 تحت الهدف")))</f>
        <v/>
      </c>
      <c r="W203" s="66">
        <f>IF($G203="","",$G203)</f>
        <v/>
      </c>
      <c r="X203" s="59">
        <f>IF($U203="","—",IF($U203&gt;=0.85,"🟢 على المسار","🟠 متأخّر"))</f>
        <v/>
      </c>
    </row>
    <row r="204" ht="22" customHeight="1">
      <c r="A204" s="59" t="n">
        <v>201</v>
      </c>
      <c r="B204" s="13" t="inlineStr">
        <is>
          <t>الإدارة المالية</t>
        </is>
      </c>
      <c r="C204" s="11" t="inlineStr">
        <is>
          <t>هامش صافي الربح</t>
        </is>
      </c>
      <c r="D204" s="15" t="inlineStr">
        <is>
          <t>شهري</t>
        </is>
      </c>
      <c r="E204" s="15" t="inlineStr">
        <is>
          <t>معدل</t>
        </is>
      </c>
      <c r="F204" s="55" t="inlineStr">
        <is>
          <t>↑</t>
        </is>
      </c>
      <c r="G204" s="64" t="n">
        <v>0.01</v>
      </c>
      <c r="H204" s="65" t="n"/>
      <c r="I204" s="65" t="n"/>
      <c r="J204" s="65" t="n"/>
      <c r="K204" s="65" t="n"/>
      <c r="L204" s="65" t="n"/>
      <c r="M204" s="65" t="n"/>
      <c r="N204" s="65" t="n"/>
      <c r="O204" s="65" t="n"/>
      <c r="P204" s="65" t="n"/>
      <c r="Q204" s="65" t="n"/>
      <c r="R204" s="65" t="n"/>
      <c r="S204" s="65" t="n"/>
      <c r="T204" s="56">
        <f>IF(COUNT($H204:$S204)=0,"",SUM($H204:$S204)/COUNT($H204:$S204))</f>
        <v/>
      </c>
      <c r="U204" s="56">
        <f>IF($G204="","",IF($T204="","",MIN(1,IF($G204=0,IF($T204&lt;=0,1,0),IF($F204="↓",IFERROR($G204/$T204,0),IFERROR($T204/$G204,0))))))</f>
        <v/>
      </c>
      <c r="V204" s="59">
        <f>IF($U204="","⏳ بانتظار هدف",IF($U204&gt;=1.0,"✅ محقق",IF($U204&gt;=0.85,"🟡 قريب","🔴 تحت الهدف")))</f>
        <v/>
      </c>
      <c r="W204" s="66">
        <f>IF($G204="","",$G204)</f>
        <v/>
      </c>
      <c r="X204" s="59">
        <f>IF($U204="","—",IF($U204&gt;=0.85,"🟢 على المسار","🟠 متأخّر"))</f>
        <v/>
      </c>
    </row>
    <row r="205" ht="22" customHeight="1">
      <c r="A205" s="59" t="n">
        <v>202</v>
      </c>
      <c r="B205" s="13" t="inlineStr">
        <is>
          <t>الإدارة المالية</t>
        </is>
      </c>
      <c r="C205" s="11" t="inlineStr">
        <is>
          <t>العائد على حقوق الملكية (ROE)</t>
        </is>
      </c>
      <c r="D205" s="15" t="inlineStr">
        <is>
          <t>ربعي</t>
        </is>
      </c>
      <c r="E205" s="15" t="inlineStr">
        <is>
          <t>معدل</t>
        </is>
      </c>
      <c r="F205" s="55" t="inlineStr">
        <is>
          <t>↑</t>
        </is>
      </c>
      <c r="G205" s="64" t="n">
        <v>0.1</v>
      </c>
      <c r="H205" s="65" t="n"/>
      <c r="I205" s="65" t="n"/>
      <c r="J205" s="65" t="n"/>
      <c r="K205" s="65" t="n"/>
      <c r="L205" s="65" t="n"/>
      <c r="M205" s="65" t="n"/>
      <c r="N205" s="65" t="n"/>
      <c r="O205" s="65" t="n"/>
      <c r="P205" s="65" t="n"/>
      <c r="Q205" s="65" t="n"/>
      <c r="R205" s="65" t="n"/>
      <c r="S205" s="65" t="n"/>
      <c r="T205" s="56">
        <f>IF(COUNT($H205:$S205)=0,"",SUM($H205:$S205)/COUNT($H205:$S205))</f>
        <v/>
      </c>
      <c r="U205" s="56">
        <f>IF($G205="","",IF($T205="","",MIN(1,IF($G205=0,IF($T205&lt;=0,1,0),IF($F205="↓",IFERROR($G205/$T205,0),IFERROR($T205/$G205,0))))))</f>
        <v/>
      </c>
      <c r="V205" s="59">
        <f>IF($U205="","⏳ بانتظار هدف",IF($U205&gt;=1.0,"✅ محقق",IF($U205&gt;=0.85,"🟡 قريب","🔴 تحت الهدف")))</f>
        <v/>
      </c>
      <c r="W205" s="66">
        <f>IF($G205="","",$G205)</f>
        <v/>
      </c>
      <c r="X205" s="59">
        <f>IF($U205="","—",IF($U205&gt;=0.85,"🟢 على المسار","🟠 متأخّر"))</f>
        <v/>
      </c>
    </row>
    <row r="206" ht="22" customHeight="1">
      <c r="A206" s="59" t="n">
        <v>203</v>
      </c>
      <c r="B206" s="13" t="inlineStr">
        <is>
          <t>الإدارة المالية</t>
        </is>
      </c>
      <c r="C206" s="11" t="inlineStr">
        <is>
          <t>نسبة التدفق النقدي التشغيلي</t>
        </is>
      </c>
      <c r="D206" s="15" t="inlineStr">
        <is>
          <t>شهري</t>
        </is>
      </c>
      <c r="E206" s="15" t="inlineStr">
        <is>
          <t>معدل</t>
        </is>
      </c>
      <c r="F206" s="55" t="inlineStr">
        <is>
          <t>↑</t>
        </is>
      </c>
      <c r="G206" s="67" t="n">
        <v>1</v>
      </c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9">
        <f>IF(COUNT($H206:$S206)=0,"",SUM($H206:$S206)/COUNT($H206:$S206))</f>
        <v/>
      </c>
      <c r="U206" s="56">
        <f>IF($G206="","",IF($T206="","",MIN(1,IF($G206=0,IF($T206&lt;=0,1,0),IF($F206="↓",IFERROR($G206/$T206,0),IFERROR($T206/$G206,0))))))</f>
        <v/>
      </c>
      <c r="V206" s="59">
        <f>IF($U206="","⏳ بانتظار هدف",IF($U206&gt;=1.0,"✅ محقق",IF($U206&gt;=0.85,"🟡 قريب","🔴 تحت الهدف")))</f>
        <v/>
      </c>
      <c r="W206" s="70">
        <f>IF($G206="","",$G206)</f>
        <v/>
      </c>
      <c r="X206" s="59">
        <f>IF($U206="","—",IF($U206&gt;=0.85,"🟢 على المسار","🟠 متأخّر"))</f>
        <v/>
      </c>
    </row>
    <row r="207" ht="22" customHeight="1">
      <c r="A207" s="59" t="n">
        <v>204</v>
      </c>
      <c r="B207" s="13" t="inlineStr">
        <is>
          <t>الإدارة المالية</t>
        </is>
      </c>
      <c r="C207" s="11" t="inlineStr">
        <is>
          <t>النسبة الجارية (Current Ratio)</t>
        </is>
      </c>
      <c r="D207" s="15" t="inlineStr">
        <is>
          <t>شهري</t>
        </is>
      </c>
      <c r="E207" s="15" t="inlineStr">
        <is>
          <t>لقطة</t>
        </is>
      </c>
      <c r="F207" s="55" t="inlineStr">
        <is>
          <t>↑</t>
        </is>
      </c>
      <c r="G207" s="67" t="n">
        <v>1</v>
      </c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9">
        <f>IFERROR(LOOKUP(2,1/($H207:$S207&lt;&gt;""),$H207:$S207),"")</f>
        <v/>
      </c>
      <c r="U207" s="56">
        <f>IF($G207="","",IF($T207="","",MIN(1,IF($G207=0,IF($T207&lt;=0,1,0),IF($F207="↓",IFERROR($G207/$T207,0),IFERROR($T207/$G207,0))))))</f>
        <v/>
      </c>
      <c r="V207" s="59">
        <f>IF($U207="","⏳ بانتظار هدف",IF($U207&gt;=1.0,"✅ محقق",IF($U207&gt;=0.85,"🟡 قريب","🔴 تحت الهدف")))</f>
        <v/>
      </c>
      <c r="W207" s="70">
        <f>IF($G207="","",$G207)</f>
        <v/>
      </c>
      <c r="X207" s="59">
        <f>IF($U207="","—",IF($U207&gt;=0.85,"🟢 على المسار","🟠 متأخّر"))</f>
        <v/>
      </c>
    </row>
    <row r="208" ht="22" customHeight="1">
      <c r="A208" s="59" t="n">
        <v>205</v>
      </c>
      <c r="B208" s="13" t="inlineStr">
        <is>
          <t>الإدارة المالية</t>
        </is>
      </c>
      <c r="C208" s="11" t="inlineStr">
        <is>
          <t>دورة التحويل النقدي</t>
        </is>
      </c>
      <c r="D208" s="15" t="inlineStr">
        <is>
          <t>شهري</t>
        </is>
      </c>
      <c r="E208" s="15" t="inlineStr">
        <is>
          <t>معدل</t>
        </is>
      </c>
      <c r="F208" s="55" t="inlineStr">
        <is>
          <t>↓</t>
        </is>
      </c>
      <c r="G208" s="67" t="n">
        <v>20</v>
      </c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9">
        <f>IF(COUNT($H208:$S208)=0,"",SUM($H208:$S208)/COUNT($H208:$S208))</f>
        <v/>
      </c>
      <c r="U208" s="56">
        <f>IF($G208="","",IF($T208="","",MIN(1,IF($G208=0,IF($T208&lt;=0,1,0),IF($F208="↓",IFERROR($G208/$T208,0),IFERROR($T208/$G208,0))))))</f>
        <v/>
      </c>
      <c r="V208" s="59">
        <f>IF($U208="","⏳ بانتظار هدف",IF($U208&gt;=1.0,"✅ محقق",IF($U208&gt;=0.85,"🟡 قريب","🔴 تحت الهدف")))</f>
        <v/>
      </c>
      <c r="W208" s="70">
        <f>IF($G208="","",$G208)</f>
        <v/>
      </c>
      <c r="X208" s="59">
        <f>IF($U208="","—",IF($U208&gt;=0.85,"🟢 على المسار","🟠 متأخّر"))</f>
        <v/>
      </c>
    </row>
    <row r="209" ht="22" customHeight="1">
      <c r="A209" s="59" t="n">
        <v>206</v>
      </c>
      <c r="B209" s="13" t="inlineStr">
        <is>
          <t>الإدارة المالية</t>
        </is>
      </c>
      <c r="C209" s="11" t="inlineStr">
        <is>
          <t>متوسط أيام التحصيل العام (DSO)</t>
        </is>
      </c>
      <c r="D209" s="15" t="inlineStr">
        <is>
          <t>شهري</t>
        </is>
      </c>
      <c r="E209" s="15" t="inlineStr">
        <is>
          <t>معدل</t>
        </is>
      </c>
      <c r="F209" s="55" t="inlineStr">
        <is>
          <t>↓</t>
        </is>
      </c>
      <c r="G209" s="67" t="n">
        <v>30</v>
      </c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9">
        <f>IF(COUNT($H209:$S209)=0,"",SUM($H209:$S209)/COUNT($H209:$S209))</f>
        <v/>
      </c>
      <c r="U209" s="56">
        <f>IF($G209="","",IF($T209="","",MIN(1,IF($G209=0,IF($T209&lt;=0,1,0),IF($F209="↓",IFERROR($G209/$T209,0),IFERROR($T209/$G209,0))))))</f>
        <v/>
      </c>
      <c r="V209" s="59">
        <f>IF($U209="","⏳ بانتظار هدف",IF($U209&gt;=1.0,"✅ محقق",IF($U209&gt;=0.85,"🟡 قريب","🔴 تحت الهدف")))</f>
        <v/>
      </c>
      <c r="W209" s="70">
        <f>IF($G209="","",$G209)</f>
        <v/>
      </c>
      <c r="X209" s="59">
        <f>IF($U209="","—",IF($U209&gt;=0.85,"🟢 على المسار","🟠 متأخّر"))</f>
        <v/>
      </c>
    </row>
    <row r="210" ht="22" customHeight="1">
      <c r="A210" s="59" t="n">
        <v>207</v>
      </c>
      <c r="B210" s="13" t="inlineStr">
        <is>
          <t>الإدارة المالية</t>
        </is>
      </c>
      <c r="C210" s="11" t="inlineStr">
        <is>
          <t>نسبة التحصيل العام (الشركة)</t>
        </is>
      </c>
      <c r="D210" s="15" t="inlineStr">
        <is>
          <t>شهري</t>
        </is>
      </c>
      <c r="E210" s="15" t="inlineStr">
        <is>
          <t>معدل</t>
        </is>
      </c>
      <c r="F210" s="55" t="inlineStr">
        <is>
          <t>↑</t>
        </is>
      </c>
      <c r="G210" s="64" t="n">
        <v>0.95</v>
      </c>
      <c r="H210" s="65" t="n"/>
      <c r="I210" s="65" t="n"/>
      <c r="J210" s="65" t="n"/>
      <c r="K210" s="65" t="n"/>
      <c r="L210" s="65" t="n"/>
      <c r="M210" s="65" t="n"/>
      <c r="N210" s="65" t="n"/>
      <c r="O210" s="65" t="n"/>
      <c r="P210" s="65" t="n"/>
      <c r="Q210" s="65" t="n"/>
      <c r="R210" s="65" t="n"/>
      <c r="S210" s="65" t="n"/>
      <c r="T210" s="56">
        <f>IF(COUNT($H210:$S210)=0,"",SUM($H210:$S210)/COUNT($H210:$S210))</f>
        <v/>
      </c>
      <c r="U210" s="56">
        <f>IF($G210="","",IF($T210="","",MIN(1,IF($G210=0,IF($T210&lt;=0,1,0),IF($F210="↓",IFERROR($G210/$T210,0),IFERROR($T210/$G210,0))))))</f>
        <v/>
      </c>
      <c r="V210" s="59">
        <f>IF($U210="","⏳ بانتظار هدف",IF($U210&gt;=1.0,"✅ محقق",IF($U210&gt;=0.85,"🟡 قريب","🔴 تحت الهدف")))</f>
        <v/>
      </c>
      <c r="W210" s="66">
        <f>IF($G210="","",$G210)</f>
        <v/>
      </c>
      <c r="X210" s="59">
        <f>IF($U210="","—",IF($U210&gt;=0.85,"🟢 على المسار","🟠 متأخّر"))</f>
        <v/>
      </c>
    </row>
    <row r="211" ht="22" customHeight="1">
      <c r="A211" s="59" t="n">
        <v>208</v>
      </c>
      <c r="B211" s="13" t="inlineStr">
        <is>
          <t>الإدارة المالية</t>
        </is>
      </c>
      <c r="C211" s="11" t="inlineStr">
        <is>
          <t>نسبة الذمم المتأخرة</t>
        </is>
      </c>
      <c r="D211" s="15" t="inlineStr">
        <is>
          <t>شهري</t>
        </is>
      </c>
      <c r="E211" s="15" t="inlineStr">
        <is>
          <t>معدل</t>
        </is>
      </c>
      <c r="F211" s="55" t="inlineStr">
        <is>
          <t>↓</t>
        </is>
      </c>
      <c r="G211" s="64" t="n">
        <v>0.1</v>
      </c>
      <c r="H211" s="65" t="n"/>
      <c r="I211" s="65" t="n"/>
      <c r="J211" s="65" t="n"/>
      <c r="K211" s="65" t="n"/>
      <c r="L211" s="65" t="n"/>
      <c r="M211" s="65" t="n"/>
      <c r="N211" s="65" t="n"/>
      <c r="O211" s="65" t="n"/>
      <c r="P211" s="65" t="n"/>
      <c r="Q211" s="65" t="n"/>
      <c r="R211" s="65" t="n"/>
      <c r="S211" s="65" t="n"/>
      <c r="T211" s="56">
        <f>IF(COUNT($H211:$S211)=0,"",SUM($H211:$S211)/COUNT($H211:$S211))</f>
        <v/>
      </c>
      <c r="U211" s="56">
        <f>IF($G211="","",IF($T211="","",MIN(1,IF($G211=0,IF($T211&lt;=0,1,0),IF($F211="↓",IFERROR($G211/$T211,0),IFERROR($T211/$G211,0))))))</f>
        <v/>
      </c>
      <c r="V211" s="59">
        <f>IF($U211="","⏳ بانتظار هدف",IF($U211&gt;=1.0,"✅ محقق",IF($U211&gt;=0.85,"🟡 قريب","🔴 تحت الهدف")))</f>
        <v/>
      </c>
      <c r="W211" s="66">
        <f>IF($G211="","",$G211)</f>
        <v/>
      </c>
      <c r="X211" s="59">
        <f>IF($U211="","—",IF($U211&gt;=0.85,"🟢 على المسار","🟠 متأخّر"))</f>
        <v/>
      </c>
    </row>
    <row r="212" ht="22" customHeight="1">
      <c r="A212" s="59" t="n">
        <v>209</v>
      </c>
      <c r="B212" s="13" t="inlineStr">
        <is>
          <t>الإدارة المالية</t>
        </is>
      </c>
      <c r="C212" s="11" t="inlineStr">
        <is>
          <t>نسبة الديون المعدومة</t>
        </is>
      </c>
      <c r="D212" s="15" t="inlineStr">
        <is>
          <t>شهري</t>
        </is>
      </c>
      <c r="E212" s="15" t="inlineStr">
        <is>
          <t>معدل</t>
        </is>
      </c>
      <c r="F212" s="55" t="inlineStr">
        <is>
          <t>↓</t>
        </is>
      </c>
      <c r="G212" s="64" t="n">
        <v>0.01</v>
      </c>
      <c r="H212" s="65" t="n"/>
      <c r="I212" s="65" t="n"/>
      <c r="J212" s="65" t="n"/>
      <c r="K212" s="65" t="n"/>
      <c r="L212" s="65" t="n"/>
      <c r="M212" s="65" t="n"/>
      <c r="N212" s="65" t="n"/>
      <c r="O212" s="65" t="n"/>
      <c r="P212" s="65" t="n"/>
      <c r="Q212" s="65" t="n"/>
      <c r="R212" s="65" t="n"/>
      <c r="S212" s="65" t="n"/>
      <c r="T212" s="56">
        <f>IF(COUNT($H212:$S212)=0,"",SUM($H212:$S212)/COUNT($H212:$S212))</f>
        <v/>
      </c>
      <c r="U212" s="56">
        <f>IF($G212="","",IF($T212="","",MIN(1,IF($G212=0,IF($T212&lt;=0,1,0),IF($F212="↓",IFERROR($G212/$T212,0),IFERROR($T212/$G212,0))))))</f>
        <v/>
      </c>
      <c r="V212" s="59">
        <f>IF($U212="","⏳ بانتظار هدف",IF($U212&gt;=1.0,"✅ محقق",IF($U212&gt;=0.85,"🟡 قريب","🔴 تحت الهدف")))</f>
        <v/>
      </c>
      <c r="W212" s="66">
        <f>IF($G212="","",$G212)</f>
        <v/>
      </c>
      <c r="X212" s="59">
        <f>IF($U212="","—",IF($U212&gt;=0.85,"🟢 على المسار","🟠 متأخّر"))</f>
        <v/>
      </c>
    </row>
    <row r="213" ht="22" customHeight="1">
      <c r="A213" s="59" t="n">
        <v>210</v>
      </c>
      <c r="B213" s="13" t="inlineStr">
        <is>
          <t>الإدارة المالية</t>
        </is>
      </c>
      <c r="C213" s="11" t="inlineStr">
        <is>
          <t>سداد الموردين في الموعد</t>
        </is>
      </c>
      <c r="D213" s="15" t="inlineStr">
        <is>
          <t>شهري</t>
        </is>
      </c>
      <c r="E213" s="15" t="inlineStr">
        <is>
          <t>معدل</t>
        </is>
      </c>
      <c r="F213" s="55" t="inlineStr">
        <is>
          <t>↑</t>
        </is>
      </c>
      <c r="G213" s="64" t="n">
        <v>0.98</v>
      </c>
      <c r="H213" s="65" t="n"/>
      <c r="I213" s="65" t="n"/>
      <c r="J213" s="65" t="n"/>
      <c r="K213" s="65" t="n"/>
      <c r="L213" s="65" t="n"/>
      <c r="M213" s="65" t="n"/>
      <c r="N213" s="65" t="n"/>
      <c r="O213" s="65" t="n"/>
      <c r="P213" s="65" t="n"/>
      <c r="Q213" s="65" t="n"/>
      <c r="R213" s="65" t="n"/>
      <c r="S213" s="65" t="n"/>
      <c r="T213" s="56">
        <f>IF(COUNT($H213:$S213)=0,"",SUM($H213:$S213)/COUNT($H213:$S213))</f>
        <v/>
      </c>
      <c r="U213" s="56">
        <f>IF($G213="","",IF($T213="","",MIN(1,IF($G213=0,IF($T213&lt;=0,1,0),IF($F213="↓",IFERROR($G213/$T213,0),IFERROR($T213/$G213,0))))))</f>
        <v/>
      </c>
      <c r="V213" s="59">
        <f>IF($U213="","⏳ بانتظار هدف",IF($U213&gt;=1.0,"✅ محقق",IF($U213&gt;=0.85,"🟡 قريب","🔴 تحت الهدف")))</f>
        <v/>
      </c>
      <c r="W213" s="66">
        <f>IF($G213="","",$G213)</f>
        <v/>
      </c>
      <c r="X213" s="59">
        <f>IF($U213="","—",IF($U213&gt;=0.85,"🟢 على المسار","🟠 متأخّر"))</f>
        <v/>
      </c>
    </row>
    <row r="214" ht="22" customHeight="1">
      <c r="A214" s="59" t="n">
        <v>211</v>
      </c>
      <c r="B214" s="13" t="inlineStr">
        <is>
          <t>الإدارة المالية</t>
        </is>
      </c>
      <c r="C214" s="11" t="inlineStr">
        <is>
          <t>اكتمال مطابقة حسابات الموردين</t>
        </is>
      </c>
      <c r="D214" s="15" t="inlineStr">
        <is>
          <t>شهري</t>
        </is>
      </c>
      <c r="E214" s="15" t="inlineStr">
        <is>
          <t>معدل</t>
        </is>
      </c>
      <c r="F214" s="55" t="inlineStr">
        <is>
          <t>↑</t>
        </is>
      </c>
      <c r="G214" s="64" t="n">
        <v>0.95</v>
      </c>
      <c r="H214" s="65" t="n"/>
      <c r="I214" s="65" t="n"/>
      <c r="J214" s="65" t="n"/>
      <c r="K214" s="65" t="n"/>
      <c r="L214" s="65" t="n"/>
      <c r="M214" s="65" t="n"/>
      <c r="N214" s="65" t="n"/>
      <c r="O214" s="65" t="n"/>
      <c r="P214" s="65" t="n"/>
      <c r="Q214" s="65" t="n"/>
      <c r="R214" s="65" t="n"/>
      <c r="S214" s="65" t="n"/>
      <c r="T214" s="56">
        <f>IF(COUNT($H214:$S214)=0,"",SUM($H214:$S214)/COUNT($H214:$S214))</f>
        <v/>
      </c>
      <c r="U214" s="56">
        <f>IF($G214="","",IF($T214="","",MIN(1,IF($G214=0,IF($T214&lt;=0,1,0),IF($F214="↓",IFERROR($G214/$T214,0),IFERROR($T214/$G214,0))))))</f>
        <v/>
      </c>
      <c r="V214" s="59">
        <f>IF($U214="","⏳ بانتظار هدف",IF($U214&gt;=1.0,"✅ محقق",IF($U214&gt;=0.97,"🟡 قريب","🔴 تحت الهدف")))</f>
        <v/>
      </c>
      <c r="W214" s="66">
        <f>IF($G214="","",$G214)</f>
        <v/>
      </c>
      <c r="X214" s="59">
        <f>IF($U214="","—",IF($U214&gt;=0.97,"🟢 على المسار","🟠 متأخّر"))</f>
        <v/>
      </c>
    </row>
    <row r="215" ht="22" customHeight="1">
      <c r="A215" s="59" t="n">
        <v>212</v>
      </c>
      <c r="B215" s="13" t="inlineStr">
        <is>
          <t>الإدارة المالية</t>
        </is>
      </c>
      <c r="C215" s="11" t="inlineStr">
        <is>
          <t>دقة التنبؤ النقدي</t>
        </is>
      </c>
      <c r="D215" s="15" t="inlineStr">
        <is>
          <t>شهري</t>
        </is>
      </c>
      <c r="E215" s="15" t="inlineStr">
        <is>
          <t>معدل</t>
        </is>
      </c>
      <c r="F215" s="55" t="inlineStr">
        <is>
          <t>↑</t>
        </is>
      </c>
      <c r="G215" s="64" t="n">
        <v>0.9</v>
      </c>
      <c r="H215" s="65" t="n"/>
      <c r="I215" s="65" t="n"/>
      <c r="J215" s="65" t="n"/>
      <c r="K215" s="65" t="n"/>
      <c r="L215" s="65" t="n"/>
      <c r="M215" s="65" t="n"/>
      <c r="N215" s="65" t="n"/>
      <c r="O215" s="65" t="n"/>
      <c r="P215" s="65" t="n"/>
      <c r="Q215" s="65" t="n"/>
      <c r="R215" s="65" t="n"/>
      <c r="S215" s="65" t="n"/>
      <c r="T215" s="56">
        <f>IF(COUNT($H215:$S215)=0,"",SUM($H215:$S215)/COUNT($H215:$S215))</f>
        <v/>
      </c>
      <c r="U215" s="56">
        <f>IF($G215="","",IF($T215="","",MIN(1,IF($G215=0,IF($T215&lt;=0,1,0),IF($F215="↓",IFERROR($G215/$T215,0),IFERROR($T215/$G215,0))))))</f>
        <v/>
      </c>
      <c r="V215" s="59">
        <f>IF($U215="","⏳ بانتظار هدف",IF($U215&gt;=1.0,"✅ محقق",IF($U215&gt;=0.85,"🟡 قريب","🔴 تحت الهدف")))</f>
        <v/>
      </c>
      <c r="W215" s="66">
        <f>IF($G215="","",$G215)</f>
        <v/>
      </c>
      <c r="X215" s="59">
        <f>IF($U215="","—",IF($U215&gt;=0.85,"🟢 على المسار","🟠 متأخّر"))</f>
        <v/>
      </c>
    </row>
    <row r="216" ht="22" customHeight="1">
      <c r="A216" s="59" t="n">
        <v>213</v>
      </c>
      <c r="B216" s="13" t="inlineStr">
        <is>
          <t>الإدارة المالية</t>
        </is>
      </c>
      <c r="C216" s="11" t="inlineStr">
        <is>
          <t>تباين مخزون الوقود</t>
        </is>
      </c>
      <c r="D216" s="15" t="inlineStr">
        <is>
          <t>شهري</t>
        </is>
      </c>
      <c r="E216" s="15" t="inlineStr">
        <is>
          <t>معدل</t>
        </is>
      </c>
      <c r="F216" s="55" t="inlineStr">
        <is>
          <t>↓</t>
        </is>
      </c>
      <c r="G216" s="64" t="n">
        <v>0.001</v>
      </c>
      <c r="H216" s="65" t="n"/>
      <c r="I216" s="65" t="n"/>
      <c r="J216" s="65" t="n"/>
      <c r="K216" s="65" t="n"/>
      <c r="L216" s="65" t="n"/>
      <c r="M216" s="65" t="n"/>
      <c r="N216" s="65" t="n"/>
      <c r="O216" s="65" t="n"/>
      <c r="P216" s="65" t="n"/>
      <c r="Q216" s="65" t="n"/>
      <c r="R216" s="65" t="n"/>
      <c r="S216" s="65" t="n"/>
      <c r="T216" s="56">
        <f>IF(COUNT($H216:$S216)=0,"",SUM($H216:$S216)/COUNT($H216:$S216))</f>
        <v/>
      </c>
      <c r="U216" s="56">
        <f>IF($G216="","",IF($T216="","",MIN(1,IF($G216=0,IF($T216&lt;=0,1,0),IF($F216="↓",IFERROR($G216/$T216,0),IFERROR($T216/$G216,0))))))</f>
        <v/>
      </c>
      <c r="V216" s="59">
        <f>IF($U216="","⏳ بانتظار هدف",IF($U216&gt;=1.0,"✅ محقق",IF($U216&gt;=0.85,"🟡 قريب","🔴 تحت الهدف")))</f>
        <v/>
      </c>
      <c r="W216" s="66">
        <f>IF($G216="","",$G216)</f>
        <v/>
      </c>
      <c r="X216" s="59">
        <f>IF($U216="","—",IF($U216&gt;=0.85,"🟢 على المسار","🟠 متأخّر"))</f>
        <v/>
      </c>
    </row>
    <row r="217" ht="22" customHeight="1">
      <c r="A217" s="59" t="n">
        <v>214</v>
      </c>
      <c r="B217" s="13" t="inlineStr">
        <is>
          <t>الإدارة المالية</t>
        </is>
      </c>
      <c r="C217" s="11" t="inlineStr">
        <is>
          <t>دقة مطابقة المخزون</t>
        </is>
      </c>
      <c r="D217" s="15" t="inlineStr">
        <is>
          <t>شهري</t>
        </is>
      </c>
      <c r="E217" s="15" t="inlineStr">
        <is>
          <t>معدل</t>
        </is>
      </c>
      <c r="F217" s="55" t="inlineStr">
        <is>
          <t>↑</t>
        </is>
      </c>
      <c r="G217" s="64" t="n">
        <v>0.995</v>
      </c>
      <c r="H217" s="65" t="n"/>
      <c r="I217" s="65" t="n"/>
      <c r="J217" s="65" t="n"/>
      <c r="K217" s="65" t="n"/>
      <c r="L217" s="65" t="n"/>
      <c r="M217" s="65" t="n"/>
      <c r="N217" s="65" t="n"/>
      <c r="O217" s="65" t="n"/>
      <c r="P217" s="65" t="n"/>
      <c r="Q217" s="65" t="n"/>
      <c r="R217" s="65" t="n"/>
      <c r="S217" s="65" t="n"/>
      <c r="T217" s="56">
        <f>IF(COUNT($H217:$S217)=0,"",SUM($H217:$S217)/COUNT($H217:$S217))</f>
        <v/>
      </c>
      <c r="U217" s="56">
        <f>IF($G217="","",IF($T217="","",MIN(1,IF($G217=0,IF($T217&lt;=0,1,0),IF($F217="↓",IFERROR($G217/$T217,0),IFERROR($T217/$G217,0))))))</f>
        <v/>
      </c>
      <c r="V217" s="59">
        <f>IF($U217="","⏳ بانتظار هدف",IF($U217&gt;=1.0,"✅ محقق",IF($U217&gt;=0.97,"🟡 قريب","🔴 تحت الهدف")))</f>
        <v/>
      </c>
      <c r="W217" s="66">
        <f>IF($G217="","",$G217)</f>
        <v/>
      </c>
      <c r="X217" s="59">
        <f>IF($U217="","—",IF($U217&gt;=0.97,"🟢 على المسار","🟠 متأخّر"))</f>
        <v/>
      </c>
    </row>
    <row r="218" ht="22" customHeight="1">
      <c r="A218" s="59" t="n">
        <v>215</v>
      </c>
      <c r="B218" s="13" t="inlineStr">
        <is>
          <t>الإدارة المالية</t>
        </is>
      </c>
      <c r="C218" s="11" t="inlineStr">
        <is>
          <t>دقة تسوية أرامكو</t>
        </is>
      </c>
      <c r="D218" s="15" t="inlineStr">
        <is>
          <t>شهري</t>
        </is>
      </c>
      <c r="E218" s="15" t="inlineStr">
        <is>
          <t>معدل</t>
        </is>
      </c>
      <c r="F218" s="55" t="inlineStr">
        <is>
          <t>↑</t>
        </is>
      </c>
      <c r="G218" s="64" t="n">
        <v>1</v>
      </c>
      <c r="H218" s="65" t="n"/>
      <c r="I218" s="65" t="n"/>
      <c r="J218" s="65" t="n"/>
      <c r="K218" s="65" t="n"/>
      <c r="L218" s="65" t="n"/>
      <c r="M218" s="65" t="n"/>
      <c r="N218" s="65" t="n"/>
      <c r="O218" s="65" t="n"/>
      <c r="P218" s="65" t="n"/>
      <c r="Q218" s="65" t="n"/>
      <c r="R218" s="65" t="n"/>
      <c r="S218" s="65" t="n"/>
      <c r="T218" s="56">
        <f>IF(COUNT($H218:$S218)=0,"",SUM($H218:$S218)/COUNT($H218:$S218))</f>
        <v/>
      </c>
      <c r="U218" s="56">
        <f>IF($G218="","",IF($T218="","",MIN(1,IF($G218=0,IF($T218&lt;=0,1,0),IF($F218="↓",IFERROR($G218/$T218,0),IFERROR($T218/$G218,0))))))</f>
        <v/>
      </c>
      <c r="V218" s="59">
        <f>IF($U218="","⏳ بانتظار هدف",IF($U218&gt;=1.0,"✅ محقق",IF($U218&gt;=0.97,"🟡 قريب","🔴 تحت الهدف")))</f>
        <v/>
      </c>
      <c r="W218" s="66">
        <f>IF($G218="","",$G218)</f>
        <v/>
      </c>
      <c r="X218" s="59">
        <f>IF($U218="","—",IF($U218&gt;=0.97,"🟢 على المسار","🟠 متأخّر"))</f>
        <v/>
      </c>
    </row>
    <row r="219" ht="22" customHeight="1">
      <c r="A219" s="59" t="n">
        <v>216</v>
      </c>
      <c r="B219" s="13" t="inlineStr">
        <is>
          <t>الإدارة المالية</t>
        </is>
      </c>
      <c r="C219" s="11" t="inlineStr">
        <is>
          <t>نسبة تحصيل الامتياز</t>
        </is>
      </c>
      <c r="D219" s="15" t="inlineStr">
        <is>
          <t>شهري</t>
        </is>
      </c>
      <c r="E219" s="15" t="inlineStr">
        <is>
          <t>معدل</t>
        </is>
      </c>
      <c r="F219" s="55" t="inlineStr">
        <is>
          <t>↑</t>
        </is>
      </c>
      <c r="G219" s="64" t="n">
        <v>0.98</v>
      </c>
      <c r="H219" s="65" t="n"/>
      <c r="I219" s="65" t="n"/>
      <c r="J219" s="65" t="n"/>
      <c r="K219" s="65" t="n"/>
      <c r="L219" s="65" t="n"/>
      <c r="M219" s="65" t="n"/>
      <c r="N219" s="65" t="n"/>
      <c r="O219" s="65" t="n"/>
      <c r="P219" s="65" t="n"/>
      <c r="Q219" s="65" t="n"/>
      <c r="R219" s="65" t="n"/>
      <c r="S219" s="65" t="n"/>
      <c r="T219" s="56">
        <f>IF(COUNT($H219:$S219)=0,"",SUM($H219:$S219)/COUNT($H219:$S219))</f>
        <v/>
      </c>
      <c r="U219" s="56">
        <f>IF($G219="","",IF($T219="","",MIN(1,IF($G219=0,IF($T219&lt;=0,1,0),IF($F219="↓",IFERROR($G219/$T219,0),IFERROR($T219/$G219,0))))))</f>
        <v/>
      </c>
      <c r="V219" s="59">
        <f>IF($U219="","⏳ بانتظار هدف",IF($U219&gt;=1.0,"✅ محقق",IF($U219&gt;=0.85,"🟡 قريب","🔴 تحت الهدف")))</f>
        <v/>
      </c>
      <c r="W219" s="66">
        <f>IF($G219="","",$G219)</f>
        <v/>
      </c>
      <c r="X219" s="59">
        <f>IF($U219="","—",IF($U219&gt;=0.85,"🟢 على المسار","🟠 متأخّر"))</f>
        <v/>
      </c>
    </row>
    <row r="220" ht="22" customHeight="1">
      <c r="A220" s="59" t="n">
        <v>217</v>
      </c>
      <c r="B220" s="13" t="inlineStr">
        <is>
          <t>الإدارة المالية</t>
        </is>
      </c>
      <c r="C220" s="11" t="inlineStr">
        <is>
          <t>أيام تحصيل رسوم الامتياز</t>
        </is>
      </c>
      <c r="D220" s="15" t="inlineStr">
        <is>
          <t>شهري</t>
        </is>
      </c>
      <c r="E220" s="15" t="inlineStr">
        <is>
          <t>معدل</t>
        </is>
      </c>
      <c r="F220" s="55" t="inlineStr">
        <is>
          <t>↓</t>
        </is>
      </c>
      <c r="G220" s="67" t="n">
        <v>15</v>
      </c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9">
        <f>IF(COUNT($H220:$S220)=0,"",SUM($H220:$S220)/COUNT($H220:$S220))</f>
        <v/>
      </c>
      <c r="U220" s="56">
        <f>IF($G220="","",IF($T220="","",MIN(1,IF($G220=0,IF($T220&lt;=0,1,0),IF($F220="↓",IFERROR($G220/$T220,0),IFERROR($T220/$G220,0))))))</f>
        <v/>
      </c>
      <c r="V220" s="59">
        <f>IF($U220="","⏳ بانتظار هدف",IF($U220&gt;=1.0,"✅ محقق",IF($U220&gt;=0.85,"🟡 قريب","🔴 تحت الهدف")))</f>
        <v/>
      </c>
      <c r="W220" s="70">
        <f>IF($G220="","",$G220)</f>
        <v/>
      </c>
      <c r="X220" s="59">
        <f>IF($U220="","—",IF($U220&gt;=0.85,"🟢 على المسار","🟠 متأخّر"))</f>
        <v/>
      </c>
    </row>
    <row r="221" ht="22" customHeight="1">
      <c r="A221" s="59" t="n">
        <v>218</v>
      </c>
      <c r="B221" s="13" t="inlineStr">
        <is>
          <t>الإدارة المالية</t>
        </is>
      </c>
      <c r="C221" s="11" t="inlineStr">
        <is>
          <t>نسبة تحصيل الإيجار</t>
        </is>
      </c>
      <c r="D221" s="15" t="inlineStr">
        <is>
          <t>شهري</t>
        </is>
      </c>
      <c r="E221" s="15" t="inlineStr">
        <is>
          <t>معدل</t>
        </is>
      </c>
      <c r="F221" s="55" t="inlineStr">
        <is>
          <t>↑</t>
        </is>
      </c>
      <c r="G221" s="64" t="n">
        <v>0.98</v>
      </c>
      <c r="H221" s="65" t="n"/>
      <c r="I221" s="65" t="n"/>
      <c r="J221" s="65" t="n"/>
      <c r="K221" s="65" t="n"/>
      <c r="L221" s="65" t="n"/>
      <c r="M221" s="65" t="n"/>
      <c r="N221" s="65" t="n"/>
      <c r="O221" s="65" t="n"/>
      <c r="P221" s="65" t="n"/>
      <c r="Q221" s="65" t="n"/>
      <c r="R221" s="65" t="n"/>
      <c r="S221" s="65" t="n"/>
      <c r="T221" s="56">
        <f>IF(COUNT($H221:$S221)=0,"",SUM($H221:$S221)/COUNT($H221:$S221))</f>
        <v/>
      </c>
      <c r="U221" s="56">
        <f>IF($G221="","",IF($T221="","",MIN(1,IF($G221=0,IF($T221&lt;=0,1,0),IF($F221="↓",IFERROR($G221/$T221,0),IFERROR($T221/$G221,0))))))</f>
        <v/>
      </c>
      <c r="V221" s="59">
        <f>IF($U221="","⏳ بانتظار هدف",IF($U221&gt;=1.0,"✅ محقق",IF($U221&gt;=0.85,"🟡 قريب","🔴 تحت الهدف")))</f>
        <v/>
      </c>
      <c r="W221" s="66">
        <f>IF($G221="","",$G221)</f>
        <v/>
      </c>
      <c r="X221" s="59">
        <f>IF($U221="","—",IF($U221&gt;=0.85,"🟢 على المسار","🟠 متأخّر"))</f>
        <v/>
      </c>
    </row>
    <row r="222" ht="22" customHeight="1">
      <c r="A222" s="59" t="n">
        <v>219</v>
      </c>
      <c r="B222" s="13" t="inlineStr">
        <is>
          <t>الإدارة المالية</t>
        </is>
      </c>
      <c r="C222" s="11" t="inlineStr">
        <is>
          <t>معدل تجديد عقود الإيجار</t>
        </is>
      </c>
      <c r="D222" s="15" t="inlineStr">
        <is>
          <t>شهري</t>
        </is>
      </c>
      <c r="E222" s="15" t="inlineStr">
        <is>
          <t>معدل</t>
        </is>
      </c>
      <c r="F222" s="55" t="inlineStr">
        <is>
          <t>↑</t>
        </is>
      </c>
      <c r="G222" s="64" t="n">
        <v>0.9</v>
      </c>
      <c r="H222" s="65" t="n"/>
      <c r="I222" s="65" t="n"/>
      <c r="J222" s="65" t="n"/>
      <c r="K222" s="65" t="n"/>
      <c r="L222" s="65" t="n"/>
      <c r="M222" s="65" t="n"/>
      <c r="N222" s="65" t="n"/>
      <c r="O222" s="65" t="n"/>
      <c r="P222" s="65" t="n"/>
      <c r="Q222" s="65" t="n"/>
      <c r="R222" s="65" t="n"/>
      <c r="S222" s="65" t="n"/>
      <c r="T222" s="56">
        <f>IF(COUNT($H222:$S222)=0,"",SUM($H222:$S222)/COUNT($H222:$S222))</f>
        <v/>
      </c>
      <c r="U222" s="56">
        <f>IF($G222="","",IF($T222="","",MIN(1,IF($G222=0,IF($T222&lt;=0,1,0),IF($F222="↓",IFERROR($G222/$T222,0),IFERROR($T222/$G222,0))))))</f>
        <v/>
      </c>
      <c r="V222" s="59">
        <f>IF($U222="","⏳ بانتظار هدف",IF($U222&gt;=1.0,"✅ محقق",IF($U222&gt;=0.85,"🟡 قريب","🔴 تحت الهدف")))</f>
        <v/>
      </c>
      <c r="W222" s="66">
        <f>IF($G222="","",$G222)</f>
        <v/>
      </c>
      <c r="X222" s="59">
        <f>IF($U222="","—",IF($U222&gt;=0.85,"🟢 على المسار","🟠 متأخّر"))</f>
        <v/>
      </c>
    </row>
    <row r="223" ht="22" customHeight="1">
      <c r="A223" s="59" t="n">
        <v>220</v>
      </c>
      <c r="B223" s="13" t="inlineStr">
        <is>
          <t>الإدارة المالية</t>
        </is>
      </c>
      <c r="C223" s="11" t="inlineStr">
        <is>
          <t>انحراف الموازنة</t>
        </is>
      </c>
      <c r="D223" s="15" t="inlineStr">
        <is>
          <t>ربعي</t>
        </is>
      </c>
      <c r="E223" s="15" t="inlineStr">
        <is>
          <t>معدل</t>
        </is>
      </c>
      <c r="F223" s="55" t="inlineStr">
        <is>
          <t>↓</t>
        </is>
      </c>
      <c r="G223" s="64" t="n">
        <v>0.1</v>
      </c>
      <c r="H223" s="65" t="n"/>
      <c r="I223" s="65" t="n"/>
      <c r="J223" s="65" t="n"/>
      <c r="K223" s="65" t="n"/>
      <c r="L223" s="65" t="n"/>
      <c r="M223" s="65" t="n"/>
      <c r="N223" s="65" t="n"/>
      <c r="O223" s="65" t="n"/>
      <c r="P223" s="65" t="n"/>
      <c r="Q223" s="65" t="n"/>
      <c r="R223" s="65" t="n"/>
      <c r="S223" s="65" t="n"/>
      <c r="T223" s="56">
        <f>IF(COUNT($H223:$S223)=0,"",SUM($H223:$S223)/COUNT($H223:$S223))</f>
        <v/>
      </c>
      <c r="U223" s="56">
        <f>IF($G223="","",IF($T223="","",MIN(1,IF($G223=0,IF($T223&lt;=0,1,0),IF($F223="↓",IFERROR($G223/$T223,0),IFERROR($T223/$G223,0))))))</f>
        <v/>
      </c>
      <c r="V223" s="59">
        <f>IF($U223="","⏳ بانتظار هدف",IF($U223&gt;=1.0,"✅ محقق",IF($U223&gt;=0.85,"🟡 قريب","🔴 تحت الهدف")))</f>
        <v/>
      </c>
      <c r="W223" s="66">
        <f>IF($G223="","",$G223)</f>
        <v/>
      </c>
      <c r="X223" s="59">
        <f>IF($U223="","—",IF($U223&gt;=0.85,"🟢 على المسار","🟠 متأخّر"))</f>
        <v/>
      </c>
    </row>
    <row r="224" ht="22" customHeight="1">
      <c r="A224" s="59" t="n">
        <v>221</v>
      </c>
      <c r="B224" s="13" t="inlineStr">
        <is>
          <t>الإدارة المالية</t>
        </is>
      </c>
      <c r="C224" s="11" t="inlineStr">
        <is>
          <t>أيام الإقفال الشهري</t>
        </is>
      </c>
      <c r="D224" s="15" t="inlineStr">
        <is>
          <t>شهري</t>
        </is>
      </c>
      <c r="E224" s="15" t="inlineStr">
        <is>
          <t>معدل</t>
        </is>
      </c>
      <c r="F224" s="55" t="inlineStr">
        <is>
          <t>↓</t>
        </is>
      </c>
      <c r="G224" s="67" t="n">
        <v>6</v>
      </c>
      <c r="H224" s="68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9">
        <f>IF(COUNT($H224:$S224)=0,"",SUM($H224:$S224)/COUNT($H224:$S224))</f>
        <v/>
      </c>
      <c r="U224" s="56">
        <f>IF($G224="","",IF($T224="","",MIN(1,IF($G224=0,IF($T224&lt;=0,1,0),IF($F224="↓",IFERROR($G224/$T224,0),IFERROR($T224/$G224,0))))))</f>
        <v/>
      </c>
      <c r="V224" s="59">
        <f>IF($U224="","⏳ بانتظار هدف",IF($U224&gt;=1.0,"✅ محقق",IF($U224&gt;=0.85,"🟡 قريب","🔴 تحت الهدف")))</f>
        <v/>
      </c>
      <c r="W224" s="70">
        <f>IF($G224="","",$G224)</f>
        <v/>
      </c>
      <c r="X224" s="59">
        <f>IF($U224="","—",IF($U224&gt;=0.85,"🟢 على المسار","🟠 متأخّر"))</f>
        <v/>
      </c>
    </row>
    <row r="225" ht="22" customHeight="1">
      <c r="A225" s="59" t="n">
        <v>222</v>
      </c>
      <c r="B225" s="13" t="inlineStr">
        <is>
          <t>الإدارة المالية</t>
        </is>
      </c>
      <c r="C225" s="11" t="inlineStr">
        <is>
          <t>نسبة تسويات التدقيق</t>
        </is>
      </c>
      <c r="D225" s="15" t="inlineStr">
        <is>
          <t>ربعي</t>
        </is>
      </c>
      <c r="E225" s="15" t="inlineStr">
        <is>
          <t>معدل</t>
        </is>
      </c>
      <c r="F225" s="55" t="inlineStr">
        <is>
          <t>↓</t>
        </is>
      </c>
      <c r="G225" s="64" t="n">
        <v>0.02</v>
      </c>
      <c r="H225" s="65" t="n"/>
      <c r="I225" s="65" t="n"/>
      <c r="J225" s="65" t="n"/>
      <c r="K225" s="65" t="n"/>
      <c r="L225" s="65" t="n"/>
      <c r="M225" s="65" t="n"/>
      <c r="N225" s="65" t="n"/>
      <c r="O225" s="65" t="n"/>
      <c r="P225" s="65" t="n"/>
      <c r="Q225" s="65" t="n"/>
      <c r="R225" s="65" t="n"/>
      <c r="S225" s="65" t="n"/>
      <c r="T225" s="56">
        <f>IF(COUNT($H225:$S225)=0,"",SUM($H225:$S225)/COUNT($H225:$S225))</f>
        <v/>
      </c>
      <c r="U225" s="56">
        <f>IF($G225="","",IF($T225="","",MIN(1,IF($G225=0,IF($T225&lt;=0,1,0),IF($F225="↓",IFERROR($G225/$T225,0),IFERROR($T225/$G225,0))))))</f>
        <v/>
      </c>
      <c r="V225" s="59">
        <f>IF($U225="","⏳ بانتظار هدف",IF($U225&gt;=1.0,"✅ محقق",IF($U225&gt;=0.85,"🟡 قريب","🔴 تحت الهدف")))</f>
        <v/>
      </c>
      <c r="W225" s="66">
        <f>IF($G225="","",$G225)</f>
        <v/>
      </c>
      <c r="X225" s="59">
        <f>IF($U225="","—",IF($U225&gt;=0.85,"🟢 على المسار","🟠 متأخّر"))</f>
        <v/>
      </c>
    </row>
  </sheetData>
  <autoFilter ref="A3:X225"/>
  <mergeCells count="2">
    <mergeCell ref="A2:X2"/>
    <mergeCell ref="A1:X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2" customWidth="1" min="4" max="4"/>
    <col width="12" customWidth="1" min="5" max="5"/>
    <col width="11" customWidth="1" min="6" max="6"/>
    <col width="12" customWidth="1" min="7" max="7"/>
    <col width="30" customWidth="1" min="8" max="8"/>
    <col width="18" customWidth="1" min="9" max="9"/>
    <col width="38" customWidth="1" min="10" max="10"/>
    <col width="9" customWidth="1" min="11" max="11"/>
  </cols>
  <sheetData>
    <row r="1" ht="24" customHeight="1">
      <c r="A1" s="25" t="inlineStr">
        <is>
          <t>سجل المخاطر المؤسسية — مربوط بالمؤشرات (درجة الخطر = الاحتمال × الأثر)</t>
        </is>
      </c>
    </row>
    <row r="2">
      <c r="A2" s="18" t="inlineStr">
        <is>
          <t>#</t>
        </is>
      </c>
      <c r="B2" s="18" t="inlineStr">
        <is>
          <t>الخطر</t>
        </is>
      </c>
      <c r="C2" s="18" t="inlineStr">
        <is>
          <t>الفئة</t>
        </is>
      </c>
      <c r="D2" s="18" t="inlineStr">
        <is>
          <t>الاحتمال (1-5)</t>
        </is>
      </c>
      <c r="E2" s="18" t="inlineStr">
        <is>
          <t>الأثر (1-5)</t>
        </is>
      </c>
      <c r="F2" s="18" t="inlineStr">
        <is>
          <t>درجة الخطر</t>
        </is>
      </c>
      <c r="G2" s="18" t="inlineStr">
        <is>
          <t>المستوى</t>
        </is>
      </c>
      <c r="H2" s="18" t="inlineStr">
        <is>
          <t>المؤشر المرتبط</t>
        </is>
      </c>
      <c r="I2" s="18" t="inlineStr">
        <is>
          <t>المالك</t>
        </is>
      </c>
      <c r="J2" s="18" t="inlineStr">
        <is>
          <t>إجراء التخفيف</t>
        </is>
      </c>
      <c r="K2" s="18" t="inlineStr">
        <is>
          <t>الحالة</t>
        </is>
      </c>
    </row>
    <row r="3">
      <c r="A3" s="15" t="n">
        <v>1</v>
      </c>
      <c r="B3" s="21" t="inlineStr">
        <is>
          <t>تقلّب أسعار الوقود وضغط الهامش</t>
        </is>
      </c>
      <c r="C3" s="15" t="inlineStr">
        <is>
          <t>مالية/سوق</t>
        </is>
      </c>
      <c r="D3" s="57" t="n">
        <v>4</v>
      </c>
      <c r="E3" s="57" t="n">
        <v>5</v>
      </c>
      <c r="F3" s="74">
        <f>D3*E3</f>
        <v/>
      </c>
      <c r="G3" s="59">
        <f>IF(F3&gt;=15,"🔴 عالي",IF(F3&gt;=8,"🟠 متوسط","🟢 منخفض"))</f>
        <v/>
      </c>
      <c r="H3" s="11" t="inlineStr">
        <is>
          <t>هامش EBITDA</t>
        </is>
      </c>
      <c r="I3" s="15" t="inlineStr">
        <is>
          <t>المدير المالي</t>
        </is>
      </c>
      <c r="J3" s="11" t="inlineStr">
        <is>
          <t>تنويع مصادر الدخل ومراجعة التسعير دورياً</t>
        </is>
      </c>
      <c r="K3" s="15" t="inlineStr">
        <is>
          <t>نشط</t>
        </is>
      </c>
    </row>
    <row r="4">
      <c r="A4" s="15" t="n">
        <v>2</v>
      </c>
      <c r="B4" s="21" t="inlineStr">
        <is>
          <t>تعثّر تحصيل المستحقات</t>
        </is>
      </c>
      <c r="C4" s="15" t="inlineStr">
        <is>
          <t>مالية/ائتمان</t>
        </is>
      </c>
      <c r="D4" s="57" t="n">
        <v>3</v>
      </c>
      <c r="E4" s="57" t="n">
        <v>4</v>
      </c>
      <c r="F4" s="74">
        <f>D4*E4</f>
        <v/>
      </c>
      <c r="G4" s="59">
        <f>IF(F4&gt;=15,"🔴 عالي",IF(F4&gt;=8,"🟠 متوسط","🟢 منخفض"))</f>
        <v/>
      </c>
      <c r="H4" s="11" t="inlineStr">
        <is>
          <t>نسبة التحصيل العام (الشركة)</t>
        </is>
      </c>
      <c r="I4" s="15" t="inlineStr">
        <is>
          <t>المدير المالي</t>
        </is>
      </c>
      <c r="J4" s="11" t="inlineStr">
        <is>
          <t>سياسة ائتمان أصرم ومتابعة DSO أسبوعياً</t>
        </is>
      </c>
      <c r="K4" s="15" t="inlineStr">
        <is>
          <t>نشط</t>
        </is>
      </c>
    </row>
    <row r="5">
      <c r="A5" s="15" t="n">
        <v>3</v>
      </c>
      <c r="B5" s="21" t="inlineStr">
        <is>
          <t>اختراق/انقطاع الأنظمة الرقمية</t>
        </is>
      </c>
      <c r="C5" s="15" t="inlineStr">
        <is>
          <t>تقني/سيبراني</t>
        </is>
      </c>
      <c r="D5" s="57" t="n">
        <v>3</v>
      </c>
      <c r="E5" s="57" t="n">
        <v>5</v>
      </c>
      <c r="F5" s="74">
        <f>D5*E5</f>
        <v/>
      </c>
      <c r="G5" s="59">
        <f>IF(F5&gt;=15,"🔴 عالي",IF(F5&gt;=8,"🟠 متوسط","🟢 منخفض"))</f>
        <v/>
      </c>
      <c r="H5" s="11" t="inlineStr">
        <is>
          <t>نسبة الامتثال للأمن السيبراني</t>
        </is>
      </c>
      <c r="I5" s="15" t="inlineStr">
        <is>
          <t>مدير التقنية</t>
        </is>
      </c>
      <c r="J5" s="11" t="inlineStr">
        <is>
          <t>معايير أمن سيبراني وخطة استمرارية الأعمال</t>
        </is>
      </c>
      <c r="K5" s="15" t="inlineStr">
        <is>
          <t>نشط</t>
        </is>
      </c>
    </row>
    <row r="6">
      <c r="A6" s="15" t="n">
        <v>4</v>
      </c>
      <c r="B6" s="21" t="inlineStr">
        <is>
          <t>تأخّر مشاريع التحول الرقمي</t>
        </is>
      </c>
      <c r="C6" s="15" t="inlineStr">
        <is>
          <t>تقني/تشغيلي</t>
        </is>
      </c>
      <c r="D6" s="57" t="n">
        <v>4</v>
      </c>
      <c r="E6" s="57" t="n">
        <v>4</v>
      </c>
      <c r="F6" s="74">
        <f>D6*E6</f>
        <v/>
      </c>
      <c r="G6" s="59">
        <f>IF(F6&gt;=15,"🔴 عالي",IF(F6&gt;=8,"🟠 متوسط","🟢 منخفض"))</f>
        <v/>
      </c>
      <c r="H6" s="11" t="inlineStr">
        <is>
          <t>نسبة إنجاز محفظة مشاريع التحول الرقمي</t>
        </is>
      </c>
      <c r="I6" s="15" t="inlineStr">
        <is>
          <t>مدير التقنية</t>
        </is>
      </c>
      <c r="J6" s="11" t="inlineStr">
        <is>
          <t>حوكمة PMO وتقارير معالم أسبوعية</t>
        </is>
      </c>
      <c r="K6" s="15" t="inlineStr">
        <is>
          <t>نشط</t>
        </is>
      </c>
    </row>
    <row r="7">
      <c r="A7" s="15" t="n">
        <v>5</v>
      </c>
      <c r="B7" s="21" t="inlineStr">
        <is>
          <t>نقص الكوادر وتحديات السعودة</t>
        </is>
      </c>
      <c r="C7" s="15" t="inlineStr">
        <is>
          <t>موارد بشرية</t>
        </is>
      </c>
      <c r="D7" s="57" t="n">
        <v>3</v>
      </c>
      <c r="E7" s="57" t="n">
        <v>3</v>
      </c>
      <c r="F7" s="74">
        <f>D7*E7</f>
        <v/>
      </c>
      <c r="G7" s="59">
        <f>IF(F7&gt;=15,"🔴 عالي",IF(F7&gt;=8,"🟠 متوسط","🟢 منخفض"))</f>
        <v/>
      </c>
      <c r="H7" s="11" t="inlineStr">
        <is>
          <t>نسبة السعودة / التوطين</t>
        </is>
      </c>
      <c r="I7" s="15" t="inlineStr">
        <is>
          <t>مدير الموارد البشرية</t>
        </is>
      </c>
      <c r="J7" s="11" t="inlineStr">
        <is>
          <t>خطة استقطاب وتطوير واستبقاء</t>
        </is>
      </c>
      <c r="K7" s="15" t="inlineStr">
        <is>
          <t>نشط</t>
        </is>
      </c>
    </row>
    <row r="8">
      <c r="A8" s="15" t="n">
        <v>6</v>
      </c>
      <c r="B8" s="21" t="inlineStr">
        <is>
          <t>حوادث السلامة في المحطات</t>
        </is>
      </c>
      <c r="C8" s="15" t="inlineStr">
        <is>
          <t>تشغيلي/سلامة</t>
        </is>
      </c>
      <c r="D8" s="57" t="n">
        <v>2</v>
      </c>
      <c r="E8" s="57" t="n">
        <v>5</v>
      </c>
      <c r="F8" s="74">
        <f>D8*E8</f>
        <v/>
      </c>
      <c r="G8" s="59">
        <f>IF(F8&gt;=15,"🔴 عالي",IF(F8&gt;=8,"🟠 متوسط","🟢 منخفض"))</f>
        <v/>
      </c>
      <c r="H8" s="11" t="inlineStr">
        <is>
          <t>الالتزام بمعايير السلامة داخل المحطة</t>
        </is>
      </c>
      <c r="I8" s="15" t="inlineStr">
        <is>
          <t>مدير التشغيل</t>
        </is>
      </c>
      <c r="J8" s="11" t="inlineStr">
        <is>
          <t>تدقيق سلامة دوري وتدريب الفرق</t>
        </is>
      </c>
      <c r="K8" s="15" t="inlineStr">
        <is>
          <t>نشط</t>
        </is>
      </c>
    </row>
    <row r="9">
      <c r="A9" s="15" t="n">
        <v>7</v>
      </c>
      <c r="B9" s="21" t="inlineStr">
        <is>
          <t>عدم مطابقة جودة الوقود</t>
        </is>
      </c>
      <c r="C9" s="15" t="inlineStr">
        <is>
          <t>تشغيلي/جودة</t>
        </is>
      </c>
      <c r="D9" s="57" t="n">
        <v>2</v>
      </c>
      <c r="E9" s="57" t="n">
        <v>5</v>
      </c>
      <c r="F9" s="74">
        <f>D9*E9</f>
        <v/>
      </c>
      <c r="G9" s="59">
        <f>IF(F9&gt;=15,"🔴 عالي",IF(F9&gt;=8,"🟠 متوسط","🟢 منخفض"))</f>
        <v/>
      </c>
      <c r="H9" s="11" t="inlineStr">
        <is>
          <t>نسبة مطابقة جودة الوقود</t>
        </is>
      </c>
      <c r="I9" s="15" t="inlineStr">
        <is>
          <t>مدير الجودة</t>
        </is>
      </c>
      <c r="J9" s="11" t="inlineStr">
        <is>
          <t>فحوصات مخبرية ومعايرة دورية</t>
        </is>
      </c>
      <c r="K9" s="15" t="inlineStr">
        <is>
          <t>نشط</t>
        </is>
      </c>
    </row>
    <row r="10">
      <c r="A10" s="15" t="n">
        <v>8</v>
      </c>
      <c r="B10" s="21" t="inlineStr">
        <is>
          <t>تركّز جغرافي للعقود</t>
        </is>
      </c>
      <c r="C10" s="15" t="inlineStr">
        <is>
          <t>استراتيجي/توسع</t>
        </is>
      </c>
      <c r="D10" s="57" t="n">
        <v>3</v>
      </c>
      <c r="E10" s="57" t="n">
        <v>3</v>
      </c>
      <c r="F10" s="74">
        <f>D10*E10</f>
        <v/>
      </c>
      <c r="G10" s="59">
        <f>IF(F10&gt;=15,"🔴 عالي",IF(F10&gt;=8,"🟠 متوسط","🟢 منخفض"))</f>
        <v/>
      </c>
      <c r="H10" s="11" t="inlineStr">
        <is>
          <t>نسبة العقود التي تغطي المناطق الـ13</t>
        </is>
      </c>
      <c r="I10" s="15" t="inlineStr">
        <is>
          <t>مدير الاستثمار</t>
        </is>
      </c>
      <c r="J10" s="11" t="inlineStr">
        <is>
          <t>تنويع المواقع خارج المدن الرئيسية</t>
        </is>
      </c>
      <c r="K10" s="15" t="inlineStr">
        <is>
          <t>نشط</t>
        </is>
      </c>
    </row>
    <row r="11">
      <c r="A11" s="15" t="n">
        <v>9</v>
      </c>
      <c r="B11" s="21" t="inlineStr">
        <is>
          <t>ضغط السيولة والتدفق النقدي</t>
        </is>
      </c>
      <c r="C11" s="15" t="inlineStr">
        <is>
          <t>مالية/سيولة</t>
        </is>
      </c>
      <c r="D11" s="57" t="n">
        <v>3</v>
      </c>
      <c r="E11" s="57" t="n">
        <v>4</v>
      </c>
      <c r="F11" s="74">
        <f>D11*E11</f>
        <v/>
      </c>
      <c r="G11" s="59">
        <f>IF(F11&gt;=15,"🔴 عالي",IF(F11&gt;=8,"🟠 متوسط","🟢 منخفض"))</f>
        <v/>
      </c>
      <c r="H11" s="11" t="inlineStr">
        <is>
          <t>نسبة التدفق النقدي التشغيلي</t>
        </is>
      </c>
      <c r="I11" s="15" t="inlineStr">
        <is>
          <t>المدير المالي</t>
        </is>
      </c>
      <c r="J11" s="11" t="inlineStr">
        <is>
          <t>إدارة رأس المال العامل وخطوط ائتمان</t>
        </is>
      </c>
      <c r="K11" s="15" t="inlineStr">
        <is>
          <t>نشط</t>
        </is>
      </c>
    </row>
    <row r="12">
      <c r="A12" s="15" t="n">
        <v>10</v>
      </c>
      <c r="B12" s="21" t="inlineStr">
        <is>
          <t>مخاطر الامتثال التنظيمي</t>
        </is>
      </c>
      <c r="C12" s="15" t="inlineStr">
        <is>
          <t>حوكمة/امتثال</t>
        </is>
      </c>
      <c r="D12" s="57" t="n">
        <v>2</v>
      </c>
      <c r="E12" s="57" t="n">
        <v>4</v>
      </c>
      <c r="F12" s="74">
        <f>D12*E12</f>
        <v/>
      </c>
      <c r="G12" s="59">
        <f>IF(F12&gt;=15,"🔴 عالي",IF(F12&gt;=8,"🟠 متوسط","🟢 منخفض"))</f>
        <v/>
      </c>
      <c r="H12" s="11" t="inlineStr">
        <is>
          <t>الالتزام بمعايير وزارة الطاقة (تغطية 13 منطقة)</t>
        </is>
      </c>
      <c r="I12" s="15" t="inlineStr">
        <is>
          <t>المدير القانوني</t>
        </is>
      </c>
      <c r="J12" s="11" t="inlineStr">
        <is>
          <t>متابعة المتطلبات النظامية والاعتمادات</t>
        </is>
      </c>
      <c r="K12" s="15" t="inlineStr">
        <is>
          <t>نشط</t>
        </is>
      </c>
    </row>
    <row r="13">
      <c r="A13" s="15" t="n">
        <v>11</v>
      </c>
      <c r="B13" s="21" t="inlineStr">
        <is>
          <t>انخفاض إشغال الوحدات العقارية</t>
        </is>
      </c>
      <c r="C13" s="15" t="inlineStr">
        <is>
          <t>عقاري/سوق</t>
        </is>
      </c>
      <c r="D13" s="57" t="n">
        <v>3</v>
      </c>
      <c r="E13" s="57" t="n">
        <v>3</v>
      </c>
      <c r="F13" s="74">
        <f>D13*E13</f>
        <v/>
      </c>
      <c r="G13" s="59">
        <f>IF(F13&gt;=15,"🔴 عالي",IF(F13&gt;=8,"🟠 متوسط","🟢 منخفض"))</f>
        <v/>
      </c>
      <c r="H13" s="11" t="inlineStr">
        <is>
          <t>نسبة الإشغال</t>
        </is>
      </c>
      <c r="I13" s="15" t="inlineStr">
        <is>
          <t>مدير العقار</t>
        </is>
      </c>
      <c r="J13" s="11" t="inlineStr">
        <is>
          <t>تكثيف التأجير وتنويع المستأجرين</t>
        </is>
      </c>
      <c r="K13" s="15" t="inlineStr">
        <is>
          <t>نشط</t>
        </is>
      </c>
    </row>
    <row r="14">
      <c r="A14" s="15" t="n">
        <v>12</v>
      </c>
      <c r="B14" s="21" t="inlineStr">
        <is>
          <t>تراجع سمعة العلامة والشكاوى</t>
        </is>
      </c>
      <c r="C14" s="15" t="inlineStr">
        <is>
          <t>سمعة/عملاء</t>
        </is>
      </c>
      <c r="D14" s="57" t="n">
        <v>2</v>
      </c>
      <c r="E14" s="57" t="n">
        <v>4</v>
      </c>
      <c r="F14" s="74">
        <f>D14*E14</f>
        <v/>
      </c>
      <c r="G14" s="59">
        <f>IF(F14&gt;=15,"🔴 عالي",IF(F14&gt;=8,"🟠 متوسط","🟢 منخفض"))</f>
        <v/>
      </c>
      <c r="H14" s="11" t="inlineStr">
        <is>
          <t>مؤشر رضا العملاء العام (الشركة)</t>
        </is>
      </c>
      <c r="I14" s="15" t="inlineStr">
        <is>
          <t>مدير التسويق</t>
        </is>
      </c>
      <c r="J14" s="11" t="inlineStr">
        <is>
          <t>إدارة تجربة العميل ومعالجة الشكاوى بسرعة</t>
        </is>
      </c>
      <c r="K14" s="15" t="inlineStr">
        <is>
          <t>نشط</t>
        </is>
      </c>
    </row>
  </sheetData>
  <autoFilter ref="A2:K14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2" customWidth="1" min="3" max="3"/>
    <col width="10" customWidth="1" min="4" max="4"/>
    <col width="7" customWidth="1" min="5" max="5"/>
    <col width="11" customWidth="1" min="6" max="6"/>
    <col width="14" customWidth="1" min="7" max="7"/>
    <col width="12" customWidth="1" min="8" max="8"/>
    <col width="12" customWidth="1" min="9" max="9"/>
    <col width="15" customWidth="1" min="10" max="10"/>
  </cols>
  <sheetData>
    <row r="1" ht="24" customHeight="1">
      <c r="A1" s="25" t="inlineStr">
        <is>
          <t>ESG والاستدامة — البيئة · الاجتماعي · الحوكمة (متطلب حوكمة المؤسسات الكبرى)</t>
        </is>
      </c>
    </row>
    <row r="2">
      <c r="A2" s="18" t="inlineStr">
        <is>
          <t>#</t>
        </is>
      </c>
      <c r="B2" s="18" t="inlineStr">
        <is>
          <t>المحور</t>
        </is>
      </c>
      <c r="C2" s="18" t="inlineStr">
        <is>
          <t>المؤشر</t>
        </is>
      </c>
      <c r="D2" s="18" t="inlineStr">
        <is>
          <t>الوحدة</t>
        </is>
      </c>
      <c r="E2" s="18" t="inlineStr">
        <is>
          <t>القطبية</t>
        </is>
      </c>
      <c r="F2" s="18" t="inlineStr">
        <is>
          <t>المستهدف</t>
        </is>
      </c>
      <c r="G2" s="18" t="inlineStr">
        <is>
          <t>نص المستهدف</t>
        </is>
      </c>
      <c r="H2" s="18" t="inlineStr">
        <is>
          <t>المُحقَّق</t>
        </is>
      </c>
      <c r="I2" s="18" t="inlineStr">
        <is>
          <t>نسبة التحقيق</t>
        </is>
      </c>
      <c r="J2" s="18" t="inlineStr">
        <is>
          <t>الحالة</t>
        </is>
      </c>
    </row>
    <row r="3">
      <c r="A3" s="15" t="n">
        <v>1</v>
      </c>
      <c r="B3" s="15" t="inlineStr">
        <is>
          <t>E — البيئة</t>
        </is>
      </c>
      <c r="C3" s="21" t="inlineStr">
        <is>
          <t>نسبة التشجير داخل المحطات (معيار الوزارة)</t>
        </is>
      </c>
      <c r="D3" s="55" t="inlineStr">
        <is>
          <t>%</t>
        </is>
      </c>
      <c r="E3" s="55" t="inlineStr">
        <is>
          <t>↑</t>
        </is>
      </c>
      <c r="F3" s="55" t="n">
        <v>1</v>
      </c>
      <c r="G3" s="15" t="inlineStr">
        <is>
          <t>100%</t>
        </is>
      </c>
      <c r="H3" s="57" t="n">
        <v>0.792</v>
      </c>
      <c r="I3" s="56" t="n">
        <v>0.792</v>
      </c>
      <c r="J3" s="15" t="inlineStr">
        <is>
          <t>🔴 تحت الهدف</t>
        </is>
      </c>
    </row>
    <row r="4">
      <c r="A4" s="15" t="n">
        <v>2</v>
      </c>
      <c r="B4" s="15" t="inlineStr">
        <is>
          <t>E — البيئة</t>
        </is>
      </c>
      <c r="C4" s="21" t="inlineStr">
        <is>
          <t>نسبة تخفيض انبعاثات الكربون (مقابل الأساس)</t>
        </is>
      </c>
      <c r="D4" s="55" t="inlineStr">
        <is>
          <t>%</t>
        </is>
      </c>
      <c r="E4" s="55" t="inlineStr">
        <is>
          <t>↑</t>
        </is>
      </c>
      <c r="F4" s="55" t="n">
        <v>0.1</v>
      </c>
      <c r="G4" s="15" t="inlineStr">
        <is>
          <t>≥ 10%</t>
        </is>
      </c>
      <c r="H4" s="57" t="n">
        <v>0.098</v>
      </c>
      <c r="I4" s="56" t="n">
        <v>0.98</v>
      </c>
      <c r="J4" s="15" t="inlineStr">
        <is>
          <t>🟡 قريب</t>
        </is>
      </c>
    </row>
    <row r="5">
      <c r="A5" s="15" t="n">
        <v>3</v>
      </c>
      <c r="B5" s="15" t="inlineStr">
        <is>
          <t>E — البيئة</t>
        </is>
      </c>
      <c r="C5" s="21" t="inlineStr">
        <is>
          <t>كفاءة استهلاك الطاقة بالمحطات</t>
        </is>
      </c>
      <c r="D5" s="55" t="inlineStr">
        <is>
          <t>%</t>
        </is>
      </c>
      <c r="E5" s="55" t="inlineStr">
        <is>
          <t>↑</t>
        </is>
      </c>
      <c r="F5" s="55" t="n">
        <v>0.9</v>
      </c>
      <c r="G5" s="15" t="inlineStr">
        <is>
          <t>≥ 90%</t>
        </is>
      </c>
      <c r="H5" s="57" t="n">
        <v>0.8110000000000001</v>
      </c>
      <c r="I5" s="56" t="n">
        <v>0.9011111111111112</v>
      </c>
      <c r="J5" s="15" t="inlineStr">
        <is>
          <t>🟡 قريب</t>
        </is>
      </c>
    </row>
    <row r="6">
      <c r="A6" s="15" t="n">
        <v>4</v>
      </c>
      <c r="B6" s="15" t="inlineStr">
        <is>
          <t>E — البيئة</t>
        </is>
      </c>
      <c r="C6" s="21" t="inlineStr">
        <is>
          <t>نسبة إدارة وإعادة تدوير المخلفات</t>
        </is>
      </c>
      <c r="D6" s="55" t="inlineStr">
        <is>
          <t>%</t>
        </is>
      </c>
      <c r="E6" s="55" t="inlineStr">
        <is>
          <t>↑</t>
        </is>
      </c>
      <c r="F6" s="55" t="n">
        <v>0.8</v>
      </c>
      <c r="G6" s="15" t="inlineStr">
        <is>
          <t>≥ 80%</t>
        </is>
      </c>
      <c r="H6" s="57" t="n">
        <v>0.603</v>
      </c>
      <c r="I6" s="56" t="n">
        <v>0.7537499999999999</v>
      </c>
      <c r="J6" s="15" t="inlineStr">
        <is>
          <t>🔴 تحت الهدف</t>
        </is>
      </c>
    </row>
    <row r="7">
      <c r="A7" s="15" t="n">
        <v>5</v>
      </c>
      <c r="B7" s="15" t="inlineStr">
        <is>
          <t>E — البيئة</t>
        </is>
      </c>
      <c r="C7" s="21" t="inlineStr">
        <is>
          <t>حالات الانسكاب/التسرّب البيئي</t>
        </is>
      </c>
      <c r="D7" s="55" t="inlineStr">
        <is>
          <t>حالة</t>
        </is>
      </c>
      <c r="E7" s="55" t="inlineStr">
        <is>
          <t>↓</t>
        </is>
      </c>
      <c r="F7" s="55" t="n">
        <v>0</v>
      </c>
      <c r="G7" s="15" t="inlineStr">
        <is>
          <t>صفر</t>
        </is>
      </c>
      <c r="H7" s="57" t="n"/>
      <c r="I7" s="56" t="n"/>
      <c r="J7" s="15" t="inlineStr">
        <is>
          <t>⏳ بانتظار هدف</t>
        </is>
      </c>
    </row>
    <row r="8">
      <c r="A8" s="15" t="n">
        <v>6</v>
      </c>
      <c r="B8" s="15" t="inlineStr">
        <is>
          <t>S — الاجتماعي</t>
        </is>
      </c>
      <c r="C8" s="21" t="inlineStr">
        <is>
          <t>نسبة السعودة / التوطين</t>
        </is>
      </c>
      <c r="D8" s="55" t="inlineStr">
        <is>
          <t>%</t>
        </is>
      </c>
      <c r="E8" s="55" t="inlineStr">
        <is>
          <t>↑</t>
        </is>
      </c>
      <c r="F8" s="55" t="n">
        <v>0.3</v>
      </c>
      <c r="G8" s="15" t="inlineStr">
        <is>
          <t>≥ 30%</t>
        </is>
      </c>
      <c r="H8" s="57" t="n">
        <v>0.249</v>
      </c>
      <c r="I8" s="56" t="n">
        <v>0.8300000000000001</v>
      </c>
      <c r="J8" s="15" t="inlineStr">
        <is>
          <t>🔴 تحت الهدف</t>
        </is>
      </c>
    </row>
    <row r="9">
      <c r="A9" s="15" t="n">
        <v>7</v>
      </c>
      <c r="B9" s="15" t="inlineStr">
        <is>
          <t>S — الاجتماعي</t>
        </is>
      </c>
      <c r="C9" s="21" t="inlineStr">
        <is>
          <t>معدل حوادث السلامة (TRIR)</t>
        </is>
      </c>
      <c r="D9" s="55" t="inlineStr">
        <is>
          <t>معدل</t>
        </is>
      </c>
      <c r="E9" s="55" t="inlineStr">
        <is>
          <t>↓</t>
        </is>
      </c>
      <c r="F9" s="55" t="n">
        <v>0</v>
      </c>
      <c r="G9" s="15" t="inlineStr">
        <is>
          <t>≈ صفر</t>
        </is>
      </c>
      <c r="H9" s="57" t="n"/>
      <c r="I9" s="56" t="n"/>
      <c r="J9" s="15" t="inlineStr">
        <is>
          <t>⏳ بانتظار هدف</t>
        </is>
      </c>
    </row>
    <row r="10">
      <c r="A10" s="15" t="n">
        <v>8</v>
      </c>
      <c r="B10" s="15" t="inlineStr">
        <is>
          <t>S — الاجتماعي</t>
        </is>
      </c>
      <c r="C10" s="21" t="inlineStr">
        <is>
          <t>مؤشر رضا الموظفين (eNPS)</t>
        </is>
      </c>
      <c r="D10" s="55" t="inlineStr">
        <is>
          <t>نقطة</t>
        </is>
      </c>
      <c r="E10" s="55" t="inlineStr">
        <is>
          <t>↑</t>
        </is>
      </c>
      <c r="F10" s="55" t="n">
        <v>30</v>
      </c>
      <c r="G10" s="15" t="inlineStr">
        <is>
          <t>≥ 30</t>
        </is>
      </c>
      <c r="H10" s="57" t="n">
        <v>27.5</v>
      </c>
      <c r="I10" s="56" t="n">
        <v>0.9166666666666666</v>
      </c>
      <c r="J10" s="15" t="inlineStr">
        <is>
          <t>✅ محقق</t>
        </is>
      </c>
    </row>
    <row r="11">
      <c r="A11" s="15" t="n">
        <v>9</v>
      </c>
      <c r="B11" s="15" t="inlineStr">
        <is>
          <t>S — الاجتماعي</t>
        </is>
      </c>
      <c r="C11" s="21" t="inlineStr">
        <is>
          <t>متوسط ساعات التدريب لكل موظف</t>
        </is>
      </c>
      <c r="D11" s="55" t="inlineStr">
        <is>
          <t>ساعة</t>
        </is>
      </c>
      <c r="E11" s="55" t="inlineStr">
        <is>
          <t>↑</t>
        </is>
      </c>
      <c r="F11" s="55" t="n">
        <v>40</v>
      </c>
      <c r="G11" s="15" t="inlineStr">
        <is>
          <t>≥ 40</t>
        </is>
      </c>
      <c r="H11" s="57" t="n">
        <v>33.6</v>
      </c>
      <c r="I11" s="56" t="n">
        <v>0.8400000000000001</v>
      </c>
      <c r="J11" s="15" t="inlineStr">
        <is>
          <t>🔴 تحت الهدف</t>
        </is>
      </c>
    </row>
    <row r="12">
      <c r="A12" s="15" t="n">
        <v>10</v>
      </c>
      <c r="B12" s="15" t="inlineStr">
        <is>
          <t>S — الاجتماعي</t>
        </is>
      </c>
      <c r="C12" s="21" t="inlineStr">
        <is>
          <t>مبادرات المسؤولية المجتمعية</t>
        </is>
      </c>
      <c r="D12" s="55" t="inlineStr">
        <is>
          <t>مبادرة</t>
        </is>
      </c>
      <c r="E12" s="55" t="inlineStr">
        <is>
          <t>↑</t>
        </is>
      </c>
      <c r="F12" s="55" t="n">
        <v>6</v>
      </c>
      <c r="G12" s="15" t="inlineStr">
        <is>
          <t>≥ 6</t>
        </is>
      </c>
      <c r="H12" s="57" t="n">
        <v>5.225</v>
      </c>
      <c r="I12" s="56" t="n">
        <v>0.8708333333333332</v>
      </c>
      <c r="J12" s="15" t="inlineStr">
        <is>
          <t>🟡 قريب</t>
        </is>
      </c>
    </row>
    <row r="13">
      <c r="A13" s="15" t="n">
        <v>11</v>
      </c>
      <c r="B13" s="15" t="inlineStr">
        <is>
          <t>G — الحوكمة</t>
        </is>
      </c>
      <c r="C13" s="21" t="inlineStr">
        <is>
          <t>نسبة الالتزام بالامتثال التنظيمي</t>
        </is>
      </c>
      <c r="D13" s="55" t="inlineStr">
        <is>
          <t>%</t>
        </is>
      </c>
      <c r="E13" s="55" t="inlineStr">
        <is>
          <t>↑</t>
        </is>
      </c>
      <c r="F13" s="55" t="n">
        <v>1</v>
      </c>
      <c r="G13" s="15" t="inlineStr">
        <is>
          <t>100%</t>
        </is>
      </c>
      <c r="H13" s="57" t="n">
        <v>0.766</v>
      </c>
      <c r="I13" s="56" t="n">
        <v>0.766</v>
      </c>
      <c r="J13" s="15" t="inlineStr">
        <is>
          <t>🔴 تحت الهدف</t>
        </is>
      </c>
    </row>
    <row r="14">
      <c r="A14" s="15" t="n">
        <v>12</v>
      </c>
      <c r="B14" s="15" t="inlineStr">
        <is>
          <t>G — الحوكمة</t>
        </is>
      </c>
      <c r="C14" s="21" t="inlineStr">
        <is>
          <t>نسبة اعتماد السياسات والإجراءات</t>
        </is>
      </c>
      <c r="D14" s="55" t="inlineStr">
        <is>
          <t>%</t>
        </is>
      </c>
      <c r="E14" s="55" t="inlineStr">
        <is>
          <t>↑</t>
        </is>
      </c>
      <c r="F14" s="55" t="n">
        <v>0.95</v>
      </c>
      <c r="G14" s="15" t="inlineStr">
        <is>
          <t>≥ 95%</t>
        </is>
      </c>
      <c r="H14" s="57" t="n">
        <v>0.8169999999999999</v>
      </c>
      <c r="I14" s="56" t="n">
        <v>0.86</v>
      </c>
      <c r="J14" s="15" t="inlineStr">
        <is>
          <t>🟡 قريب</t>
        </is>
      </c>
    </row>
    <row r="15">
      <c r="A15" s="15" t="n">
        <v>13</v>
      </c>
      <c r="B15" s="15" t="inlineStr">
        <is>
          <t>G — الحوكمة</t>
        </is>
      </c>
      <c r="C15" s="21" t="inlineStr">
        <is>
          <t>نسبة إغلاق ملاحظات التدقيق الداخلي</t>
        </is>
      </c>
      <c r="D15" s="55" t="inlineStr">
        <is>
          <t>%</t>
        </is>
      </c>
      <c r="E15" s="55" t="inlineStr">
        <is>
          <t>↑</t>
        </is>
      </c>
      <c r="F15" s="55" t="n">
        <v>0.9</v>
      </c>
      <c r="G15" s="15" t="inlineStr">
        <is>
          <t>≥ 90%</t>
        </is>
      </c>
      <c r="H15" s="57" t="n">
        <v>0.902</v>
      </c>
      <c r="I15" s="56" t="n">
        <v>1</v>
      </c>
      <c r="J15" s="15" t="inlineStr">
        <is>
          <t>✅ محقق</t>
        </is>
      </c>
    </row>
    <row r="16">
      <c r="A16" s="15" t="n">
        <v>14</v>
      </c>
      <c r="B16" s="15" t="inlineStr">
        <is>
          <t>G — الحوكمة</t>
        </is>
      </c>
      <c r="C16" s="21" t="inlineStr">
        <is>
          <t>نسبة الإفصاح والشفافية</t>
        </is>
      </c>
      <c r="D16" s="55" t="inlineStr">
        <is>
          <t>%</t>
        </is>
      </c>
      <c r="E16" s="55" t="inlineStr">
        <is>
          <t>↑</t>
        </is>
      </c>
      <c r="F16" s="55" t="n">
        <v>0.95</v>
      </c>
      <c r="G16" s="15" t="inlineStr">
        <is>
          <t>≥ 95%</t>
        </is>
      </c>
      <c r="H16" s="57" t="n">
        <v>0.979</v>
      </c>
      <c r="I16" s="56" t="n">
        <v>1</v>
      </c>
      <c r="J16" s="15" t="inlineStr">
        <is>
          <t>✅ محقق</t>
        </is>
      </c>
    </row>
  </sheetData>
  <autoFilter ref="A2:J16"/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4" customHeight="1">
      <c r="A1" s="17" t="inlineStr">
        <is>
          <t>مراجعة وحوكمة المؤشرات — التوازن · النوع · الأوزان · تغطية الأهداف</t>
        </is>
      </c>
    </row>
    <row r="3">
      <c r="A3" s="6" t="inlineStr">
        <is>
          <t>أ) لكل إدارة: العدد · مجموع الأوزان · النوع</t>
        </is>
      </c>
      <c r="B3" s="8" t="n"/>
      <c r="C3" s="8" t="n"/>
      <c r="D3" s="8" t="n"/>
      <c r="E3" s="8" t="n"/>
      <c r="F3" s="8" t="n"/>
      <c r="G3" s="7" t="n"/>
    </row>
    <row r="4">
      <c r="A4" s="18" t="inlineStr">
        <is>
          <t>#</t>
        </is>
      </c>
      <c r="B4" s="18" t="inlineStr">
        <is>
          <t>الإدارة</t>
        </is>
      </c>
      <c r="C4" s="18" t="inlineStr">
        <is>
          <t>عدد المؤشرات</t>
        </is>
      </c>
      <c r="D4" s="18" t="inlineStr">
        <is>
          <t>مجموع الأوزان</t>
        </is>
      </c>
      <c r="E4" s="18" t="inlineStr">
        <is>
          <t>🎯 نتيجة</t>
        </is>
      </c>
      <c r="F4" s="18" t="inlineStr">
        <is>
          <t>⚙️ نشاط</t>
        </is>
      </c>
      <c r="G4" s="18" t="inlineStr">
        <is>
          <t>🔧 تشغيلي</t>
        </is>
      </c>
    </row>
    <row r="5">
      <c r="A5" s="15" t="n">
        <v>1</v>
      </c>
      <c r="B5" s="13" t="inlineStr">
        <is>
          <t>الإدارة التنفيذية</t>
        </is>
      </c>
      <c r="C5" s="15" t="n">
        <v>10</v>
      </c>
      <c r="D5" s="75" t="n">
        <v>1</v>
      </c>
      <c r="E5" s="15" t="n">
        <v>5</v>
      </c>
      <c r="F5" s="15" t="n">
        <v>1</v>
      </c>
      <c r="G5" s="15" t="n">
        <v>4</v>
      </c>
    </row>
    <row r="6">
      <c r="A6" s="15" t="n">
        <v>2</v>
      </c>
      <c r="B6" s="13" t="inlineStr">
        <is>
          <t>الامتياز التجاري</t>
        </is>
      </c>
      <c r="C6" s="15" t="n">
        <v>29</v>
      </c>
      <c r="D6" s="75" t="n">
        <v>1</v>
      </c>
      <c r="E6" s="15" t="n">
        <v>18</v>
      </c>
      <c r="F6" s="15" t="n">
        <v>5</v>
      </c>
      <c r="G6" s="15" t="n">
        <v>6</v>
      </c>
    </row>
    <row r="7">
      <c r="A7" s="15" t="n">
        <v>3</v>
      </c>
      <c r="B7" s="13" t="inlineStr">
        <is>
          <t>التشغيل والمحطات</t>
        </is>
      </c>
      <c r="C7" s="15" t="n">
        <v>16</v>
      </c>
      <c r="D7" s="75" t="n">
        <v>1</v>
      </c>
      <c r="E7" s="15" t="n">
        <v>9</v>
      </c>
      <c r="F7" s="15" t="n">
        <v>1</v>
      </c>
      <c r="G7" s="15" t="n">
        <v>6</v>
      </c>
    </row>
    <row r="8">
      <c r="A8" s="15" t="n">
        <v>4</v>
      </c>
      <c r="B8" s="13" t="inlineStr">
        <is>
          <t>الاستثمار</t>
        </is>
      </c>
      <c r="C8" s="15" t="n">
        <v>24</v>
      </c>
      <c r="D8" s="75" t="n">
        <v>1</v>
      </c>
      <c r="E8" s="15" t="n">
        <v>4</v>
      </c>
      <c r="F8" s="15" t="n">
        <v>3</v>
      </c>
      <c r="G8" s="15" t="n">
        <v>17</v>
      </c>
    </row>
    <row r="9">
      <c r="A9" s="15" t="n">
        <v>5</v>
      </c>
      <c r="B9" s="13" t="inlineStr">
        <is>
          <t>العقار</t>
        </is>
      </c>
      <c r="C9" s="15" t="n">
        <v>16</v>
      </c>
      <c r="D9" s="75" t="n">
        <v>1</v>
      </c>
      <c r="E9" s="15" t="n">
        <v>8</v>
      </c>
      <c r="F9" s="15" t="n">
        <v>1</v>
      </c>
      <c r="G9" s="15" t="n">
        <v>7</v>
      </c>
    </row>
    <row r="10">
      <c r="A10" s="15" t="n">
        <v>6</v>
      </c>
      <c r="B10" s="13" t="inlineStr">
        <is>
          <t>إدارة المشاريع</t>
        </is>
      </c>
      <c r="C10" s="15" t="n">
        <v>15</v>
      </c>
      <c r="D10" s="75" t="n">
        <v>1</v>
      </c>
      <c r="E10" s="15" t="n">
        <v>7</v>
      </c>
      <c r="F10" s="15" t="n">
        <v>4</v>
      </c>
      <c r="G10" s="15" t="n">
        <v>4</v>
      </c>
    </row>
    <row r="11">
      <c r="A11" s="15" t="n">
        <v>7</v>
      </c>
      <c r="B11" s="13" t="inlineStr">
        <is>
          <t>سلاسل الإمداد</t>
        </is>
      </c>
      <c r="C11" s="15" t="n">
        <v>12</v>
      </c>
      <c r="D11" s="75" t="n">
        <v>1</v>
      </c>
      <c r="E11" s="15" t="n">
        <v>5</v>
      </c>
      <c r="F11" s="15" t="n">
        <v>1</v>
      </c>
      <c r="G11" s="15" t="n">
        <v>6</v>
      </c>
    </row>
    <row r="12">
      <c r="A12" s="15" t="n">
        <v>8</v>
      </c>
      <c r="B12" s="13" t="inlineStr">
        <is>
          <t>الصيانة والأتمتة</t>
        </is>
      </c>
      <c r="C12" s="15" t="n">
        <v>10</v>
      </c>
      <c r="D12" s="75" t="n">
        <v>1</v>
      </c>
      <c r="E12" s="15" t="n">
        <v>4</v>
      </c>
      <c r="F12" s="15" t="n">
        <v>1</v>
      </c>
      <c r="G12" s="15" t="n">
        <v>5</v>
      </c>
    </row>
    <row r="13">
      <c r="A13" s="15" t="n">
        <v>9</v>
      </c>
      <c r="B13" s="13" t="inlineStr">
        <is>
          <t>التقنية الرقمية</t>
        </is>
      </c>
      <c r="C13" s="15" t="n">
        <v>12</v>
      </c>
      <c r="D13" s="75" t="n">
        <v>1</v>
      </c>
      <c r="E13" s="15" t="n">
        <v>6</v>
      </c>
      <c r="F13" s="15" t="n">
        <v>1</v>
      </c>
      <c r="G13" s="15" t="n">
        <v>5</v>
      </c>
    </row>
    <row r="14">
      <c r="A14" s="15" t="n">
        <v>10</v>
      </c>
      <c r="B14" s="13" t="inlineStr">
        <is>
          <t>الموارد البشرية</t>
        </is>
      </c>
      <c r="C14" s="15" t="n">
        <v>12</v>
      </c>
      <c r="D14" s="75" t="n">
        <v>1</v>
      </c>
      <c r="E14" s="15" t="n">
        <v>7</v>
      </c>
      <c r="F14" s="15" t="n">
        <v>1</v>
      </c>
      <c r="G14" s="15" t="n">
        <v>4</v>
      </c>
    </row>
    <row r="15">
      <c r="A15" s="15" t="n">
        <v>11</v>
      </c>
      <c r="B15" s="13" t="inlineStr">
        <is>
          <t>التسويق</t>
        </is>
      </c>
      <c r="C15" s="15" t="n">
        <v>15</v>
      </c>
      <c r="D15" s="75" t="n">
        <v>1</v>
      </c>
      <c r="E15" s="15" t="n">
        <v>4</v>
      </c>
      <c r="F15" s="15" t="n">
        <v>3</v>
      </c>
      <c r="G15" s="15" t="n">
        <v>8</v>
      </c>
    </row>
    <row r="16">
      <c r="A16" s="15" t="n">
        <v>12</v>
      </c>
      <c r="B16" s="13" t="inlineStr">
        <is>
          <t>الجودة</t>
        </is>
      </c>
      <c r="C16" s="15" t="n">
        <v>14</v>
      </c>
      <c r="D16" s="75" t="n">
        <v>1</v>
      </c>
      <c r="E16" s="15" t="n">
        <v>6</v>
      </c>
      <c r="F16" s="15" t="n">
        <v>3</v>
      </c>
      <c r="G16" s="15" t="n">
        <v>5</v>
      </c>
    </row>
    <row r="17">
      <c r="A17" s="15" t="n">
        <v>13</v>
      </c>
      <c r="B17" s="13" t="inlineStr">
        <is>
          <t>الإدارة القانونية</t>
        </is>
      </c>
      <c r="C17" s="15" t="n">
        <v>13</v>
      </c>
      <c r="D17" s="75" t="n">
        <v>1</v>
      </c>
      <c r="E17" s="15" t="n">
        <v>4</v>
      </c>
      <c r="F17" s="15" t="n">
        <v>2</v>
      </c>
      <c r="G17" s="15" t="n">
        <v>7</v>
      </c>
    </row>
    <row r="18">
      <c r="A18" s="15" t="n">
        <v>14</v>
      </c>
      <c r="B18" s="13" t="inlineStr">
        <is>
          <t>الإدارة المالية</t>
        </is>
      </c>
      <c r="C18" s="15" t="n">
        <v>24</v>
      </c>
      <c r="D18" s="75" t="n">
        <v>1</v>
      </c>
      <c r="E18" s="15" t="n">
        <v>14</v>
      </c>
      <c r="F18" s="15" t="n">
        <v>0</v>
      </c>
      <c r="G18" s="15" t="n">
        <v>10</v>
      </c>
    </row>
    <row r="20">
      <c r="A20" s="6" t="inlineStr">
        <is>
          <t>ب) توزيع منظورات Balanced Scorecard</t>
        </is>
      </c>
      <c r="B20" s="8" t="n"/>
      <c r="C20" s="8" t="n"/>
      <c r="D20" s="8" t="n"/>
      <c r="E20" s="8" t="n"/>
      <c r="F20" s="8" t="n"/>
      <c r="G20" s="7" t="n"/>
    </row>
    <row r="21">
      <c r="A21" s="18" t="inlineStr">
        <is>
          <t>#</t>
        </is>
      </c>
      <c r="B21" s="18" t="inlineStr">
        <is>
          <t>المنظور</t>
        </is>
      </c>
      <c r="C21" s="18" t="inlineStr">
        <is>
          <t>عدد المؤشرات</t>
        </is>
      </c>
      <c r="D21" s="18" t="inlineStr">
        <is>
          <t>النسبة</t>
        </is>
      </c>
    </row>
    <row r="22">
      <c r="A22" s="15" t="n">
        <v>1</v>
      </c>
      <c r="B22" s="13" t="inlineStr">
        <is>
          <t>مالي</t>
        </is>
      </c>
      <c r="C22" s="15" t="n">
        <v>33</v>
      </c>
      <c r="D22" s="24" t="n">
        <v>0.149</v>
      </c>
    </row>
    <row r="23">
      <c r="A23" s="15" t="n">
        <v>2</v>
      </c>
      <c r="B23" s="13" t="inlineStr">
        <is>
          <t>العملاء</t>
        </is>
      </c>
      <c r="C23" s="15" t="n">
        <v>24</v>
      </c>
      <c r="D23" s="24" t="n">
        <v>0.108</v>
      </c>
    </row>
    <row r="24">
      <c r="A24" s="15" t="n">
        <v>3</v>
      </c>
      <c r="B24" s="13" t="inlineStr">
        <is>
          <t>العمليات الداخلية</t>
        </is>
      </c>
      <c r="C24" s="15" t="n">
        <v>141</v>
      </c>
      <c r="D24" s="24" t="n">
        <v>0.635</v>
      </c>
    </row>
    <row r="25">
      <c r="A25" s="15" t="n">
        <v>4</v>
      </c>
      <c r="B25" s="13" t="inlineStr">
        <is>
          <t>التعلّم والنمو</t>
        </is>
      </c>
      <c r="C25" s="15" t="n">
        <v>24</v>
      </c>
      <c r="D25" s="24" t="n">
        <v>0.108</v>
      </c>
    </row>
    <row r="27">
      <c r="A27" s="6" t="inlineStr">
        <is>
          <t>ج) تغطية الأهداف الاستراتيجية (عدد المؤشرات لكل مشروع)</t>
        </is>
      </c>
      <c r="B27" s="8" t="n"/>
      <c r="C27" s="8" t="n"/>
      <c r="D27" s="8" t="n"/>
      <c r="E27" s="8" t="n"/>
      <c r="F27" s="8" t="n"/>
      <c r="G27" s="7" t="n"/>
    </row>
    <row r="28">
      <c r="A28" s="18" t="inlineStr">
        <is>
          <t>#</t>
        </is>
      </c>
      <c r="B28" s="18" t="inlineStr">
        <is>
          <t>المشروع/الهدف</t>
        </is>
      </c>
      <c r="C28" s="18" t="inlineStr">
        <is>
          <t>الركيزة</t>
        </is>
      </c>
      <c r="D28" s="18" t="inlineStr">
        <is>
          <t>عدد المؤشرات</t>
        </is>
      </c>
      <c r="E28" s="18" t="inlineStr">
        <is>
          <t>التغطية</t>
        </is>
      </c>
    </row>
    <row r="29">
      <c r="A29" s="15" t="n">
        <v>1</v>
      </c>
      <c r="B29" s="13" t="inlineStr">
        <is>
          <t>التوسع في المواقع</t>
        </is>
      </c>
      <c r="C29" s="15" t="inlineStr">
        <is>
          <t>النمو</t>
        </is>
      </c>
      <c r="D29" s="15" t="n">
        <v>25</v>
      </c>
      <c r="E29" s="15" t="inlineStr">
        <is>
          <t>🟢 كافية</t>
        </is>
      </c>
    </row>
    <row r="30">
      <c r="A30" s="15" t="n">
        <v>2</v>
      </c>
      <c r="B30" s="13" t="inlineStr">
        <is>
          <t>الامتياز التجاري</t>
        </is>
      </c>
      <c r="C30" s="15" t="inlineStr">
        <is>
          <t>النمو</t>
        </is>
      </c>
      <c r="D30" s="15" t="n">
        <v>12</v>
      </c>
      <c r="E30" s="15" t="inlineStr">
        <is>
          <t>🟢 كافية</t>
        </is>
      </c>
    </row>
    <row r="31">
      <c r="A31" s="15" t="n">
        <v>3</v>
      </c>
      <c r="B31" s="13" t="inlineStr">
        <is>
          <t>زيادة وصول العملاء</t>
        </is>
      </c>
      <c r="C31" s="15" t="inlineStr">
        <is>
          <t>النمو</t>
        </is>
      </c>
      <c r="D31" s="15" t="n">
        <v>21</v>
      </c>
      <c r="E31" s="15" t="inlineStr">
        <is>
          <t>🟢 كافية</t>
        </is>
      </c>
    </row>
    <row r="32">
      <c r="A32" s="15" t="n">
        <v>4</v>
      </c>
      <c r="B32" s="13" t="inlineStr">
        <is>
          <t>إطلاق مشاريع جديدة</t>
        </is>
      </c>
      <c r="C32" s="15" t="inlineStr">
        <is>
          <t>الابتكار</t>
        </is>
      </c>
      <c r="D32" s="15" t="n">
        <v>4</v>
      </c>
      <c r="E32" s="15" t="inlineStr">
        <is>
          <t>🟢 كافية</t>
        </is>
      </c>
    </row>
    <row r="33">
      <c r="A33" s="15" t="n">
        <v>5</v>
      </c>
      <c r="B33" s="13" t="inlineStr">
        <is>
          <t>تطوير التصاميم والهوية</t>
        </is>
      </c>
      <c r="C33" s="15" t="inlineStr">
        <is>
          <t>الابتكار</t>
        </is>
      </c>
      <c r="D33" s="15" t="n">
        <v>2</v>
      </c>
      <c r="E33" s="15" t="inlineStr">
        <is>
          <t>🟡 ضعيفة</t>
        </is>
      </c>
    </row>
    <row r="34">
      <c r="A34" s="15" t="n">
        <v>6</v>
      </c>
      <c r="B34" s="13" t="inlineStr">
        <is>
          <t>التحول التقني</t>
        </is>
      </c>
      <c r="C34" s="15" t="inlineStr">
        <is>
          <t>الابتكار</t>
        </is>
      </c>
      <c r="D34" s="15" t="n">
        <v>19</v>
      </c>
      <c r="E34" s="15" t="inlineStr">
        <is>
          <t>🟢 كافية</t>
        </is>
      </c>
    </row>
    <row r="35">
      <c r="A35" s="15" t="n">
        <v>7</v>
      </c>
      <c r="B35" s="13" t="inlineStr">
        <is>
          <t>ساحات درب</t>
        </is>
      </c>
      <c r="C35" s="15" t="inlineStr">
        <is>
          <t>الابتكار</t>
        </is>
      </c>
      <c r="D35" s="15" t="n">
        <v>2</v>
      </c>
      <c r="E35" s="15" t="inlineStr">
        <is>
          <t>🟡 ضعيفة</t>
        </is>
      </c>
    </row>
    <row r="36">
      <c r="A36" s="15" t="n">
        <v>8</v>
      </c>
      <c r="B36" s="13" t="inlineStr">
        <is>
          <t>تطبيق «تانكي»</t>
        </is>
      </c>
      <c r="C36" s="15" t="inlineStr">
        <is>
          <t>الابتكار</t>
        </is>
      </c>
      <c r="D36" s="15" t="n">
        <v>2</v>
      </c>
      <c r="E36" s="15" t="inlineStr">
        <is>
          <t>🟡 ضعيفة</t>
        </is>
      </c>
    </row>
    <row r="37">
      <c r="A37" s="15" t="n">
        <v>9</v>
      </c>
      <c r="B37" s="13" t="inlineStr">
        <is>
          <t>تعزيز تجربة العملاء</t>
        </is>
      </c>
      <c r="C37" s="15" t="inlineStr">
        <is>
          <t>الاستدامة</t>
        </is>
      </c>
      <c r="D37" s="15" t="n">
        <v>16</v>
      </c>
      <c r="E37" s="15" t="inlineStr">
        <is>
          <t>🟢 كافية</t>
        </is>
      </c>
    </row>
    <row r="38">
      <c r="A38" s="15" t="n">
        <v>10</v>
      </c>
      <c r="B38" s="13" t="inlineStr">
        <is>
          <t>جودة التشغيل</t>
        </is>
      </c>
      <c r="C38" s="15" t="inlineStr">
        <is>
          <t>الاستدامة</t>
        </is>
      </c>
      <c r="D38" s="15" t="n">
        <v>96</v>
      </c>
      <c r="E38" s="15" t="inlineStr">
        <is>
          <t>🟢 كافية</t>
        </is>
      </c>
    </row>
    <row r="39">
      <c r="A39" s="15" t="n">
        <v>11</v>
      </c>
      <c r="B39" s="13" t="inlineStr">
        <is>
          <t>منظومة التأجير</t>
        </is>
      </c>
      <c r="C39" s="15" t="inlineStr">
        <is>
          <t>الاستدامة</t>
        </is>
      </c>
      <c r="D39" s="15" t="n">
        <v>10</v>
      </c>
      <c r="E39" s="15" t="inlineStr">
        <is>
          <t>🟢 كافية</t>
        </is>
      </c>
    </row>
    <row r="40">
      <c r="A40" s="15" t="n">
        <v>12</v>
      </c>
      <c r="B40" s="13" t="inlineStr">
        <is>
          <t>الاستثمار في الموظفين</t>
        </is>
      </c>
      <c r="C40" s="15" t="inlineStr">
        <is>
          <t>الاستدامة</t>
        </is>
      </c>
      <c r="D40" s="15" t="n">
        <v>13</v>
      </c>
      <c r="E40" s="15" t="inlineStr">
        <is>
          <t>🟢 كافية</t>
        </is>
      </c>
    </row>
  </sheetData>
  <mergeCells count="4">
    <mergeCell ref="A27:G27"/>
    <mergeCell ref="A20:G20"/>
    <mergeCell ref="A3:G3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24"/>
  <sheetViews>
    <sheetView showGridLines="0" rightToLeft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46" customWidth="1" min="4" max="4"/>
    <col width="30" customWidth="1" min="5" max="5"/>
    <col width="11" customWidth="1" min="6" max="6"/>
    <col width="30" customWidth="1" min="7" max="7"/>
    <col width="16" customWidth="1" min="8" max="8"/>
    <col width="8" customWidth="1" min="9" max="9"/>
    <col width="16" customWidth="1" min="10" max="10"/>
    <col width="24" customWidth="1" min="11" max="11"/>
    <col width="9" customWidth="1" min="12" max="12"/>
    <col width="18" customWidth="1" min="13" max="13"/>
    <col width="16" customWidth="1" min="14" max="14"/>
  </cols>
  <sheetData>
    <row r="1" ht="24" customHeight="1">
      <c r="A1" s="25" t="inlineStr">
        <is>
          <t>بطاقة تعريف المؤشرات — قاموس البيانات والحوكمة (مالك · مصدر · دورية · تعريف · احتساب · اعتماد)</t>
        </is>
      </c>
    </row>
    <row r="2" ht="26" customHeight="1">
      <c r="A2" s="18" t="inlineStr">
        <is>
          <t>#</t>
        </is>
      </c>
      <c r="B2" s="18" t="inlineStr">
        <is>
          <t>الإدارة</t>
        </is>
      </c>
      <c r="C2" s="18" t="inlineStr">
        <is>
          <t>المؤشر</t>
        </is>
      </c>
      <c r="D2" s="18" t="inlineStr">
        <is>
          <t>التعريف</t>
        </is>
      </c>
      <c r="E2" s="18" t="inlineStr">
        <is>
          <t>طريقة الاحتساب</t>
        </is>
      </c>
      <c r="F2" s="18" t="inlineStr">
        <is>
          <t>النوع</t>
        </is>
      </c>
      <c r="G2" s="18" t="inlineStr">
        <is>
          <t>الهدف الاستراتيجي (ركيزة · مشروع)</t>
        </is>
      </c>
      <c r="H2" s="18" t="inlineStr">
        <is>
          <t>منظور BSC</t>
        </is>
      </c>
      <c r="I2" s="18" t="inlineStr">
        <is>
          <t>الوزن</t>
        </is>
      </c>
      <c r="J2" s="18" t="inlineStr">
        <is>
          <t>المالك</t>
        </is>
      </c>
      <c r="K2" s="18" t="inlineStr">
        <is>
          <t>مصدر البيانات</t>
        </is>
      </c>
      <c r="L2" s="18" t="inlineStr">
        <is>
          <t>الدورية</t>
        </is>
      </c>
      <c r="M2" s="18" t="inlineStr">
        <is>
          <t>جهة اعتماد البيانات</t>
        </is>
      </c>
      <c r="N2" s="18" t="inlineStr">
        <is>
          <t>آخر تحديث للبيانات</t>
        </is>
      </c>
    </row>
    <row r="3" ht="30" customHeight="1">
      <c r="A3" s="15" t="n">
        <v>1</v>
      </c>
      <c r="B3" s="13" t="inlineStr">
        <is>
          <t>الإدارة التنفيذية</t>
        </is>
      </c>
      <c r="C3" s="21" t="inlineStr">
        <is>
          <t>إجمالي المحطات المشغّلة — الشركة (تراكمي)</t>
        </is>
      </c>
      <c r="D3" s="76" t="inlineStr">
        <is>
          <t>يقيس إجمالي المحطات المشغّلة — الشركة (تراكمي) ضمن محور «النمو»، ويعكس مساهمة الإدارة في ركيزة النمو.</t>
        </is>
      </c>
      <c r="E3" s="11" t="inlineStr">
        <is>
          <t>إجمالي العدد خلال الفترة</t>
        </is>
      </c>
      <c r="F3" s="15" t="inlineStr">
        <is>
          <t>🔧 تشغيلي</t>
        </is>
      </c>
      <c r="G3" s="11" t="inlineStr">
        <is>
          <t>النمو · التوسع في المواقع</t>
        </is>
      </c>
      <c r="H3" s="15" t="inlineStr">
        <is>
          <t>العمليات الداخلية</t>
        </is>
      </c>
      <c r="I3" s="64" t="n">
        <v>0.12</v>
      </c>
      <c r="J3" s="15" t="inlineStr">
        <is>
          <t>الرئيس التنفيذي</t>
        </is>
      </c>
      <c r="K3" s="11" t="inlineStr">
        <is>
          <t>نظام تشغيل المحطات</t>
        </is>
      </c>
      <c r="L3" s="15" t="inlineStr">
        <is>
          <t>شهري</t>
        </is>
      </c>
      <c r="M3" s="15" t="inlineStr">
        <is>
          <t>اللجنة التنفيذية</t>
        </is>
      </c>
      <c r="N3" s="57" t="n"/>
    </row>
    <row r="4" ht="30" customHeight="1">
      <c r="A4" s="15" t="n">
        <v>2</v>
      </c>
      <c r="B4" s="13" t="inlineStr">
        <is>
          <t>الإدارة التنفيذية</t>
        </is>
      </c>
      <c r="C4" s="21" t="inlineStr">
        <is>
          <t>إجمالي العقود الجديدة — الشركة</t>
        </is>
      </c>
      <c r="D4" s="76" t="inlineStr">
        <is>
          <t>يقيس إجمالي العقود الجديدة — الشركة ضمن محور «النمو»، ويعكس مساهمة الإدارة في ركيزة النمو.</t>
        </is>
      </c>
      <c r="E4" s="11" t="inlineStr">
        <is>
          <t>إجمالي العدد خلال الفترة</t>
        </is>
      </c>
      <c r="F4" s="15" t="inlineStr">
        <is>
          <t>🔧 تشغيلي</t>
        </is>
      </c>
      <c r="G4" s="11" t="inlineStr">
        <is>
          <t>النمو · الامتياز التجاري</t>
        </is>
      </c>
      <c r="H4" s="15" t="inlineStr">
        <is>
          <t>العمليات الداخلية</t>
        </is>
      </c>
      <c r="I4" s="64" t="n">
        <v>0.12</v>
      </c>
      <c r="J4" s="15" t="inlineStr">
        <is>
          <t>الرئيس التنفيذي</t>
        </is>
      </c>
      <c r="K4" s="11" t="inlineStr">
        <is>
          <t>نظام إدارة العقود (CRM)</t>
        </is>
      </c>
      <c r="L4" s="15" t="inlineStr">
        <is>
          <t>شهري</t>
        </is>
      </c>
      <c r="M4" s="15" t="inlineStr">
        <is>
          <t>اللجنة التنفيذية</t>
        </is>
      </c>
      <c r="N4" s="57" t="n"/>
    </row>
    <row r="5" ht="30" customHeight="1">
      <c r="A5" s="15" t="n">
        <v>3</v>
      </c>
      <c r="B5" s="13" t="inlineStr">
        <is>
          <t>الإدارة التنفيذية</t>
        </is>
      </c>
      <c r="C5" s="21" t="inlineStr">
        <is>
          <t>نسبة نمو إيرادات الشركة (سنوي)</t>
        </is>
      </c>
      <c r="D5" s="76" t="inlineStr">
        <is>
          <t>يقيس نسبة نمو إيرادات الشركة (سنوي) ضمن محور «النمو»، ويعكس مساهمة الإدارة في ركيزة النمو.</t>
        </is>
      </c>
      <c r="E5" s="11" t="inlineStr">
        <is>
          <t>(المتحقّق ÷ الإجمالي) × 100٪</t>
        </is>
      </c>
      <c r="F5" s="15" t="inlineStr">
        <is>
          <t>🎯 نتيجة</t>
        </is>
      </c>
      <c r="G5" s="11" t="inlineStr">
        <is>
          <t>النمو · زيادة وصول العملاء</t>
        </is>
      </c>
      <c r="H5" s="15" t="inlineStr">
        <is>
          <t>مالي</t>
        </is>
      </c>
      <c r="I5" s="64" t="n">
        <v>0.12</v>
      </c>
      <c r="J5" s="15" t="inlineStr">
        <is>
          <t>الرئيس التنفيذي</t>
        </is>
      </c>
      <c r="K5" s="11" t="inlineStr">
        <is>
          <t>نظام المحاسبة / ERP (D365)</t>
        </is>
      </c>
      <c r="L5" s="15" t="inlineStr">
        <is>
          <t>شهري</t>
        </is>
      </c>
      <c r="M5" s="15" t="inlineStr">
        <is>
          <t>اللجنة التنفيذية</t>
        </is>
      </c>
      <c r="N5" s="57" t="n"/>
    </row>
    <row r="6" ht="30" customHeight="1">
      <c r="A6" s="15" t="n">
        <v>4</v>
      </c>
      <c r="B6" s="13" t="inlineStr">
        <is>
          <t>الإدارة التنفيذية</t>
        </is>
      </c>
      <c r="C6" s="21" t="inlineStr">
        <is>
          <t>نسبة إنجاز مشاريع الخارطة التنفيذية</t>
        </is>
      </c>
      <c r="D6" s="76" t="inlineStr">
        <is>
          <t>يقيس نسبة إنجاز مشاريع الخارطة التنفيذية ضمن محور «الابتكار»، ويعكس مساهمة الإدارة في ركيزة الابتكار.</t>
        </is>
      </c>
      <c r="E6" s="11" t="inlineStr">
        <is>
          <t>(المتحقّق ÷ الإجمالي) × 100٪</t>
        </is>
      </c>
      <c r="F6" s="15" t="inlineStr">
        <is>
          <t>⚙️ نشاط</t>
        </is>
      </c>
      <c r="G6" s="11" t="inlineStr">
        <is>
          <t>الابتكار · إطلاق مشاريع جديدة</t>
        </is>
      </c>
      <c r="H6" s="15" t="inlineStr">
        <is>
          <t>العمليات الداخلية</t>
        </is>
      </c>
      <c r="I6" s="64" t="n">
        <v>0.08</v>
      </c>
      <c r="J6" s="15" t="inlineStr">
        <is>
          <t>الرئيس التنفيذي</t>
        </is>
      </c>
      <c r="K6" s="11" t="inlineStr">
        <is>
          <t>سجلات الإدارة</t>
        </is>
      </c>
      <c r="L6" s="15" t="inlineStr">
        <is>
          <t>شهري</t>
        </is>
      </c>
      <c r="M6" s="15" t="inlineStr">
        <is>
          <t>اللجنة التنفيذية</t>
        </is>
      </c>
      <c r="N6" s="57" t="n"/>
    </row>
    <row r="7" ht="30" customHeight="1">
      <c r="A7" s="15" t="n">
        <v>5</v>
      </c>
      <c r="B7" s="13" t="inlineStr">
        <is>
          <t>الإدارة التنفيذية</t>
        </is>
      </c>
      <c r="C7" s="21" t="inlineStr">
        <is>
          <t>نسبة التحول الرقمي على مستوى الشركة</t>
        </is>
      </c>
      <c r="D7" s="76" t="inlineStr">
        <is>
          <t>يقيس نسبة التحول الرقمي على مستوى الشركة ضمن محور «الابتكار»، ويعكس مساهمة الإدارة في ركيزة الابتكار.</t>
        </is>
      </c>
      <c r="E7" s="11" t="inlineStr">
        <is>
          <t>(المتحقّق ÷ الإجمالي) × 100٪</t>
        </is>
      </c>
      <c r="F7" s="15" t="inlineStr">
        <is>
          <t>🔧 تشغيلي</t>
        </is>
      </c>
      <c r="G7" s="11" t="inlineStr">
        <is>
          <t>الابتكار · التحول التقني</t>
        </is>
      </c>
      <c r="H7" s="15" t="inlineStr">
        <is>
          <t>التعلّم والنمو</t>
        </is>
      </c>
      <c r="I7" s="64" t="n">
        <v>0.08</v>
      </c>
      <c r="J7" s="15" t="inlineStr">
        <is>
          <t>الرئيس التنفيذي</t>
        </is>
      </c>
      <c r="K7" s="11" t="inlineStr">
        <is>
          <t>سجلات الإدارة</t>
        </is>
      </c>
      <c r="L7" s="15" t="inlineStr">
        <is>
          <t>شهري</t>
        </is>
      </c>
      <c r="M7" s="15" t="inlineStr">
        <is>
          <t>اللجنة التنفيذية</t>
        </is>
      </c>
      <c r="N7" s="57" t="n"/>
    </row>
    <row r="8" ht="30" customHeight="1">
      <c r="A8" s="15" t="n">
        <v>6</v>
      </c>
      <c r="B8" s="13" t="inlineStr">
        <is>
          <t>الإدارة التنفيذية</t>
        </is>
      </c>
      <c r="C8" s="21" t="inlineStr">
        <is>
          <t>مؤشر رضا العملاء العام (الشركة)</t>
        </is>
      </c>
      <c r="D8" s="76" t="inlineStr">
        <is>
          <t>يقيس مؤشر رضا العملاء العام (الشركة) ضمن محور «الاستدامة»، ويعكس مساهمة الإدارة في ركيزة الاستدامة.</t>
        </is>
      </c>
      <c r="E8" s="11" t="inlineStr">
        <is>
          <t>(المتحقّق ÷ الإجمالي) × 100٪</t>
        </is>
      </c>
      <c r="F8" s="15" t="inlineStr">
        <is>
          <t>🎯 نتيجة</t>
        </is>
      </c>
      <c r="G8" s="11" t="inlineStr">
        <is>
          <t>الاستدامة · تعزيز تجربة العملاء</t>
        </is>
      </c>
      <c r="H8" s="15" t="inlineStr">
        <is>
          <t>العملاء</t>
        </is>
      </c>
      <c r="I8" s="64" t="n">
        <v>0.12</v>
      </c>
      <c r="J8" s="15" t="inlineStr">
        <is>
          <t>الرئيس التنفيذي</t>
        </is>
      </c>
      <c r="K8" s="11" t="inlineStr">
        <is>
          <t>استبيان دوري</t>
        </is>
      </c>
      <c r="L8" s="15" t="inlineStr">
        <is>
          <t>ربعي</t>
        </is>
      </c>
      <c r="M8" s="15" t="inlineStr">
        <is>
          <t>اللجنة التنفيذية</t>
        </is>
      </c>
      <c r="N8" s="57" t="n"/>
    </row>
    <row r="9" ht="30" customHeight="1">
      <c r="A9" s="15" t="n">
        <v>7</v>
      </c>
      <c r="B9" s="13" t="inlineStr">
        <is>
          <t>الإدارة التنفيذية</t>
        </is>
      </c>
      <c r="C9" s="21" t="inlineStr">
        <is>
          <t>مؤشر رضا الموظفين العام (eNPS)</t>
        </is>
      </c>
      <c r="D9" s="76" t="inlineStr">
        <is>
          <t>يقيس مؤشر رضا الموظفين العام (eNPS) ضمن محور «الاستدامة»، ويعكس مساهمة الإدارة في ركيزة الاستدامة.</t>
        </is>
      </c>
      <c r="E9" s="11" t="inlineStr">
        <is>
          <t>٪ المروّجين − ٪ المنتقدين</t>
        </is>
      </c>
      <c r="F9" s="15" t="inlineStr">
        <is>
          <t>🎯 نتيجة</t>
        </is>
      </c>
      <c r="G9" s="11" t="inlineStr">
        <is>
          <t>الاستدامة · الاستثمار في الموظفين</t>
        </is>
      </c>
      <c r="H9" s="15" t="inlineStr">
        <is>
          <t>التعلّم والنمو</t>
        </is>
      </c>
      <c r="I9" s="64" t="n">
        <v>0.12</v>
      </c>
      <c r="J9" s="15" t="inlineStr">
        <is>
          <t>الرئيس التنفيذي</t>
        </is>
      </c>
      <c r="K9" s="11" t="inlineStr">
        <is>
          <t>استبيان دوري</t>
        </is>
      </c>
      <c r="L9" s="15" t="inlineStr">
        <is>
          <t>ربعي</t>
        </is>
      </c>
      <c r="M9" s="15" t="inlineStr">
        <is>
          <t>اللجنة التنفيذية</t>
        </is>
      </c>
      <c r="N9" s="57" t="n"/>
    </row>
    <row r="10" ht="30" customHeight="1">
      <c r="A10" s="15" t="n">
        <v>8</v>
      </c>
      <c r="B10" s="13" t="inlineStr">
        <is>
          <t>الإدارة التنفيذية</t>
        </is>
      </c>
      <c r="C10" s="21" t="inlineStr">
        <is>
          <t>نسبة تحقيق المستهدفات الاستراتيجية العامة</t>
        </is>
      </c>
      <c r="D10" s="76" t="inlineStr">
        <is>
          <t>يقيس نسبة تحقيق المستهدفات الاستراتيجية العامة ضمن محور «الاستدامة»، ويعكس مساهمة الإدارة في ركيزة الاستدامة.</t>
        </is>
      </c>
      <c r="E10" s="11" t="inlineStr">
        <is>
          <t>(المتحقّق ÷ الإجمالي) × 100٪</t>
        </is>
      </c>
      <c r="F10" s="15" t="inlineStr">
        <is>
          <t>🔧 تشغيلي</t>
        </is>
      </c>
      <c r="G10" s="11" t="inlineStr">
        <is>
          <t>الاستدامة · جودة التشغيل</t>
        </is>
      </c>
      <c r="H10" s="15" t="inlineStr">
        <is>
          <t>العمليات الداخلية</t>
        </is>
      </c>
      <c r="I10" s="64" t="n">
        <v>0.08</v>
      </c>
      <c r="J10" s="15" t="inlineStr">
        <is>
          <t>الرئيس التنفيذي</t>
        </is>
      </c>
      <c r="K10" s="11" t="inlineStr">
        <is>
          <t>نظام إدارة القضايا والتحقيقات</t>
        </is>
      </c>
      <c r="L10" s="15" t="inlineStr">
        <is>
          <t>شهري</t>
        </is>
      </c>
      <c r="M10" s="15" t="inlineStr">
        <is>
          <t>اللجنة التنفيذية</t>
        </is>
      </c>
      <c r="N10" s="57" t="n"/>
    </row>
    <row r="11" ht="30" customHeight="1">
      <c r="A11" s="15" t="n">
        <v>9</v>
      </c>
      <c r="B11" s="13" t="inlineStr">
        <is>
          <t>الإدارة التنفيذية</t>
        </is>
      </c>
      <c r="C11" s="21" t="inlineStr">
        <is>
          <t>نسبة الالتزام بإطار الحوكمة المؤسسية والامتثال التنظيمي</t>
        </is>
      </c>
      <c r="D11" s="76" t="inlineStr">
        <is>
          <t>يقيس نسبة الالتزام بإطار الحوكمة المؤسسية والامتثال التنظيمي ضمن محور «الحوكمة»، ويعكس مساهمة الإدارة في ركيزة الاستدامة.</t>
        </is>
      </c>
      <c r="E11" s="11" t="inlineStr">
        <is>
          <t>(المتحقّق ÷ الإجمالي) × 100٪</t>
        </is>
      </c>
      <c r="F11" s="15" t="inlineStr">
        <is>
          <t>🎯 نتيجة</t>
        </is>
      </c>
      <c r="G11" s="11" t="inlineStr">
        <is>
          <t>الاستدامة · جودة التشغيل</t>
        </is>
      </c>
      <c r="H11" s="15" t="inlineStr">
        <is>
          <t>العمليات الداخلية</t>
        </is>
      </c>
      <c r="I11" s="64" t="n">
        <v>0.08</v>
      </c>
      <c r="J11" s="15" t="inlineStr">
        <is>
          <t>الرئيس التنفيذي</t>
        </is>
      </c>
      <c r="K11" s="11" t="inlineStr">
        <is>
          <t>نظام إدارة الجودة (QMS)</t>
        </is>
      </c>
      <c r="L11" s="15" t="inlineStr">
        <is>
          <t>شهري</t>
        </is>
      </c>
      <c r="M11" s="15" t="inlineStr">
        <is>
          <t>اللجنة التنفيذية</t>
        </is>
      </c>
      <c r="N11" s="57" t="n"/>
    </row>
    <row r="12" ht="30" customHeight="1">
      <c r="A12" s="15" t="n">
        <v>10</v>
      </c>
      <c r="B12" s="13" t="inlineStr">
        <is>
          <t>الإدارة التنفيذية</t>
        </is>
      </c>
      <c r="C12" s="21" t="inlineStr">
        <is>
          <t>الالتزام بمعايير وزارة الطاقة (تغطية 13 منطقة)</t>
        </is>
      </c>
      <c r="D12" s="76" t="inlineStr">
        <is>
          <t>يقيس الالتزام بمعايير وزارة الطاقة (تغطية 13 منطقة) ضمن محور «النمو»، ويعكس مساهمة الإدارة في ركيزة النمو.</t>
        </is>
      </c>
      <c r="E12" s="11" t="inlineStr">
        <is>
          <t>(المتحقّق ÷ الإجمالي) × 100٪</t>
        </is>
      </c>
      <c r="F12" s="15" t="inlineStr">
        <is>
          <t>🎯 نتيجة</t>
        </is>
      </c>
      <c r="G12" s="11" t="inlineStr">
        <is>
          <t>النمو · التوسع في المواقع</t>
        </is>
      </c>
      <c r="H12" s="15" t="inlineStr">
        <is>
          <t>العمليات الداخلية</t>
        </is>
      </c>
      <c r="I12" s="64" t="n">
        <v>0.08</v>
      </c>
      <c r="J12" s="15" t="inlineStr">
        <is>
          <t>الرئيس التنفيذي</t>
        </is>
      </c>
      <c r="K12" s="11" t="inlineStr">
        <is>
          <t>سجلات الإدارة</t>
        </is>
      </c>
      <c r="L12" s="15" t="inlineStr">
        <is>
          <t>شهري</t>
        </is>
      </c>
      <c r="M12" s="15" t="inlineStr">
        <is>
          <t>اللجنة التنفيذية</t>
        </is>
      </c>
      <c r="N12" s="57" t="n"/>
    </row>
    <row r="13" ht="30" customHeight="1">
      <c r="A13" s="15" t="n">
        <v>11</v>
      </c>
      <c r="B13" s="13" t="inlineStr">
        <is>
          <t>الامتياز التجاري</t>
        </is>
      </c>
      <c r="C13" s="21" t="inlineStr">
        <is>
          <t>عدد محطات الامتياز المشغّلة (تراكمي)</t>
        </is>
      </c>
      <c r="D13" s="76" t="inlineStr">
        <is>
          <t>يقيس عدد محطات الامتياز المشغّلة (تراكمي) ضمن محور «النمو والتوسع»، ويعكس مساهمة الإدارة في ركيزة النمو.</t>
        </is>
      </c>
      <c r="E13" s="11" t="inlineStr">
        <is>
          <t>إجمالي العدد خلال الفترة</t>
        </is>
      </c>
      <c r="F13" s="15" t="inlineStr">
        <is>
          <t>⚙️ نشاط</t>
        </is>
      </c>
      <c r="G13" s="11" t="inlineStr">
        <is>
          <t>النمو · التوسع في المواقع</t>
        </is>
      </c>
      <c r="H13" s="15" t="inlineStr">
        <is>
          <t>العمليات الداخلية</t>
        </is>
      </c>
      <c r="I13" s="64" t="n">
        <v>0.04</v>
      </c>
      <c r="J13" s="15" t="inlineStr">
        <is>
          <t>مدير الامتياز</t>
        </is>
      </c>
      <c r="K13" s="11" t="inlineStr">
        <is>
          <t>نظام إدارة العقود (CRM)</t>
        </is>
      </c>
      <c r="L13" s="15" t="inlineStr">
        <is>
          <t>شهري</t>
        </is>
      </c>
      <c r="M13" s="15" t="inlineStr">
        <is>
          <t>مدير الامتياز</t>
        </is>
      </c>
      <c r="N13" s="57" t="n"/>
    </row>
    <row r="14" ht="30" customHeight="1">
      <c r="A14" s="15" t="n">
        <v>12</v>
      </c>
      <c r="B14" s="13" t="inlineStr">
        <is>
          <t>الامتياز التجاري</t>
        </is>
      </c>
      <c r="C14" s="21" t="inlineStr">
        <is>
          <t>عدد عقود الامتياز الجديدة الموقّعة</t>
        </is>
      </c>
      <c r="D14" s="76" t="inlineStr">
        <is>
          <t>يقيس عدد عقود الامتياز الجديدة الموقّعة ضمن محور «النمو والتوسع»، ويعكس مساهمة الإدارة في ركيزة النمو.</t>
        </is>
      </c>
      <c r="E14" s="11" t="inlineStr">
        <is>
          <t>إجمالي العدد خلال الفترة</t>
        </is>
      </c>
      <c r="F14" s="15" t="inlineStr">
        <is>
          <t>⚙️ نشاط</t>
        </is>
      </c>
      <c r="G14" s="11" t="inlineStr">
        <is>
          <t>النمو · الامتياز التجاري</t>
        </is>
      </c>
      <c r="H14" s="15" t="inlineStr">
        <is>
          <t>العمليات الداخلية</t>
        </is>
      </c>
      <c r="I14" s="64" t="n">
        <v>0.04</v>
      </c>
      <c r="J14" s="15" t="inlineStr">
        <is>
          <t>مدير الامتياز</t>
        </is>
      </c>
      <c r="K14" s="11" t="inlineStr">
        <is>
          <t>نظام إدارة العقود (CRM)</t>
        </is>
      </c>
      <c r="L14" s="15" t="inlineStr">
        <is>
          <t>شهري</t>
        </is>
      </c>
      <c r="M14" s="15" t="inlineStr">
        <is>
          <t>مدير الامتياز</t>
        </is>
      </c>
      <c r="N14" s="57" t="n"/>
    </row>
    <row r="15" ht="30" customHeight="1">
      <c r="A15" s="15" t="n">
        <v>13</v>
      </c>
      <c r="B15" s="13" t="inlineStr">
        <is>
          <t>الامتياز التجاري</t>
        </is>
      </c>
      <c r="C15" s="21" t="inlineStr">
        <is>
          <t>إجمالي مبيعات وقود محطات الامتياز</t>
        </is>
      </c>
      <c r="D15" s="76" t="inlineStr">
        <is>
          <t>يقيس إجمالي مبيعات وقود محطات الامتياز ضمن محور «المبيعات والأداء التجاري»، ويعكس مساهمة الإدارة في ركيزة النمو.</t>
        </is>
      </c>
      <c r="E15" s="11" t="inlineStr">
        <is>
          <t>إجمالي العدد خلال الفترة</t>
        </is>
      </c>
      <c r="F15" s="15" t="inlineStr">
        <is>
          <t>🎯 نتيجة</t>
        </is>
      </c>
      <c r="G15" s="11" t="inlineStr">
        <is>
          <t>النمو · زيادة وصول العملاء</t>
        </is>
      </c>
      <c r="H15" s="15" t="inlineStr">
        <is>
          <t>مالي</t>
        </is>
      </c>
      <c r="I15" s="64" t="n">
        <v>0.04</v>
      </c>
      <c r="J15" s="15" t="inlineStr">
        <is>
          <t>مدير الامتياز</t>
        </is>
      </c>
      <c r="K15" s="11" t="inlineStr">
        <is>
          <t>نظام إدارة العقود (CRM)</t>
        </is>
      </c>
      <c r="L15" s="15" t="inlineStr">
        <is>
          <t>شهري</t>
        </is>
      </c>
      <c r="M15" s="15" t="inlineStr">
        <is>
          <t>مدير الامتياز</t>
        </is>
      </c>
      <c r="N15" s="57" t="n"/>
    </row>
    <row r="16" ht="30" customHeight="1">
      <c r="A16" s="15" t="n">
        <v>14</v>
      </c>
      <c r="B16" s="13" t="inlineStr">
        <is>
          <t>الامتياز التجاري</t>
        </is>
      </c>
      <c r="C16" s="21" t="inlineStr">
        <is>
          <t>نسبة تأجير وحدات الامتياز</t>
        </is>
      </c>
      <c r="D16" s="76" t="inlineStr">
        <is>
          <t>يقيس نسبة تأجير وحدات الامتياز ضمن محور «المبيعات والأداء التجاري»، ويعكس مساهمة الإدارة في ركيزة الاستدامة.</t>
        </is>
      </c>
      <c r="E16" s="11" t="inlineStr">
        <is>
          <t>(المتحقّق ÷ الإجمالي) × 100٪</t>
        </is>
      </c>
      <c r="F16" s="15" t="inlineStr">
        <is>
          <t>🔧 تشغيلي</t>
        </is>
      </c>
      <c r="G16" s="11" t="inlineStr">
        <is>
          <t>الاستدامة · منظومة التأجير</t>
        </is>
      </c>
      <c r="H16" s="15" t="inlineStr">
        <is>
          <t>العمليات الداخلية</t>
        </is>
      </c>
      <c r="I16" s="64" t="n">
        <v>0.03</v>
      </c>
      <c r="J16" s="15" t="inlineStr">
        <is>
          <t>مدير الامتياز</t>
        </is>
      </c>
      <c r="K16" s="11" t="inlineStr">
        <is>
          <t>نظام إدارة العقود (CRM)</t>
        </is>
      </c>
      <c r="L16" s="15" t="inlineStr">
        <is>
          <t>شهري</t>
        </is>
      </c>
      <c r="M16" s="15" t="inlineStr">
        <is>
          <t>مدير الامتياز</t>
        </is>
      </c>
      <c r="N16" s="57" t="n"/>
    </row>
    <row r="17" ht="30" customHeight="1">
      <c r="A17" s="15" t="n">
        <v>15</v>
      </c>
      <c r="B17" s="13" t="inlineStr">
        <is>
          <t>الامتياز التجاري</t>
        </is>
      </c>
      <c r="C17" s="21" t="inlineStr">
        <is>
          <t>إجمالي إيرادات إدارة الامتياز</t>
        </is>
      </c>
      <c r="D17" s="76" t="inlineStr">
        <is>
          <t>يقيس إجمالي إيرادات إدارة الامتياز ضمن محور «الأداء المالي»، ويعكس مساهمة الإدارة في ركيزة النمو.</t>
        </is>
      </c>
      <c r="E17" s="11" t="inlineStr">
        <is>
          <t>إجمالي القيمة (ر.س) خلال الفترة</t>
        </is>
      </c>
      <c r="F17" s="15" t="inlineStr">
        <is>
          <t>🎯 نتيجة</t>
        </is>
      </c>
      <c r="G17" s="11" t="inlineStr">
        <is>
          <t>النمو · الامتياز التجاري</t>
        </is>
      </c>
      <c r="H17" s="15" t="inlineStr">
        <is>
          <t>مالي</t>
        </is>
      </c>
      <c r="I17" s="64" t="n">
        <v>0.04</v>
      </c>
      <c r="J17" s="15" t="inlineStr">
        <is>
          <t>مدير الامتياز</t>
        </is>
      </c>
      <c r="K17" s="11" t="inlineStr">
        <is>
          <t>نظام المحاسبة / ERP (D365)</t>
        </is>
      </c>
      <c r="L17" s="15" t="inlineStr">
        <is>
          <t>شهري</t>
        </is>
      </c>
      <c r="M17" s="15" t="inlineStr">
        <is>
          <t>الإدارة المالية</t>
        </is>
      </c>
      <c r="N17" s="57" t="n"/>
    </row>
    <row r="18" ht="30" customHeight="1">
      <c r="A18" s="15" t="n">
        <v>16</v>
      </c>
      <c r="B18" s="13" t="inlineStr">
        <is>
          <t>الامتياز التجاري</t>
        </is>
      </c>
      <c r="C18" s="21" t="inlineStr">
        <is>
          <t>رفع هامش الربحية للامتياز</t>
        </is>
      </c>
      <c r="D18" s="76" t="inlineStr">
        <is>
          <t>يقيس رفع هامش الربحية للامتياز ضمن محور «الأداء المالي»، ويعكس مساهمة الإدارة في ركيزة النمو.</t>
        </is>
      </c>
      <c r="E18" s="11" t="inlineStr">
        <is>
          <t>إجمالي العدد خلال الفترة</t>
        </is>
      </c>
      <c r="F18" s="15" t="inlineStr">
        <is>
          <t>🎯 نتيجة</t>
        </is>
      </c>
      <c r="G18" s="11" t="inlineStr">
        <is>
          <t>النمو · الامتياز التجاري</t>
        </is>
      </c>
      <c r="H18" s="15" t="inlineStr">
        <is>
          <t>مالي</t>
        </is>
      </c>
      <c r="I18" s="64" t="n">
        <v>0.03</v>
      </c>
      <c r="J18" s="15" t="inlineStr">
        <is>
          <t>مدير الامتياز</t>
        </is>
      </c>
      <c r="K18" s="11" t="inlineStr">
        <is>
          <t>نظام المحاسبة / ERP (D365)</t>
        </is>
      </c>
      <c r="L18" s="15" t="inlineStr">
        <is>
          <t>شهري</t>
        </is>
      </c>
      <c r="M18" s="15" t="inlineStr">
        <is>
          <t>الإدارة المالية</t>
        </is>
      </c>
      <c r="N18" s="57" t="n"/>
    </row>
    <row r="19" ht="30" customHeight="1">
      <c r="A19" s="15" t="n">
        <v>17</v>
      </c>
      <c r="B19" s="13" t="inlineStr">
        <is>
          <t>الامتياز التجاري</t>
        </is>
      </c>
      <c r="C19" s="21" t="inlineStr">
        <is>
          <t>نسبة التحصيل المالي من شركاء الامتياز</t>
        </is>
      </c>
      <c r="D19" s="76" t="inlineStr">
        <is>
          <t>يقيس نسبة التحصيل المالي من شركاء الامتياز ضمن محور «الأداء المالي»، ويعكس مساهمة الإدارة في ركيزة الاستدامة.</t>
        </is>
      </c>
      <c r="E19" s="11" t="inlineStr">
        <is>
          <t>(المتحقّق ÷ الإجمالي) × 100٪</t>
        </is>
      </c>
      <c r="F19" s="15" t="inlineStr">
        <is>
          <t>🎯 نتيجة</t>
        </is>
      </c>
      <c r="G19" s="11" t="inlineStr">
        <is>
          <t>الاستدامة · جودة التشغيل</t>
        </is>
      </c>
      <c r="H19" s="15" t="inlineStr">
        <is>
          <t>مالي</t>
        </is>
      </c>
      <c r="I19" s="64" t="n">
        <v>0.04</v>
      </c>
      <c r="J19" s="15" t="inlineStr">
        <is>
          <t>مدير الامتياز</t>
        </is>
      </c>
      <c r="K19" s="11" t="inlineStr">
        <is>
          <t>نظام المحاسبة / ERP (D365)</t>
        </is>
      </c>
      <c r="L19" s="15" t="inlineStr">
        <is>
          <t>شهري</t>
        </is>
      </c>
      <c r="M19" s="15" t="inlineStr">
        <is>
          <t>الإدارة المالية</t>
        </is>
      </c>
      <c r="N19" s="57" t="n"/>
    </row>
    <row r="20" ht="30" customHeight="1">
      <c r="A20" s="15" t="n">
        <v>18</v>
      </c>
      <c r="B20" s="13" t="inlineStr">
        <is>
          <t>الامتياز التجاري</t>
        </is>
      </c>
      <c r="C20" s="21" t="inlineStr">
        <is>
          <t>متوسط أيام تحصيل شركاء الامتياز (DSO)</t>
        </is>
      </c>
      <c r="D20" s="76" t="inlineStr">
        <is>
          <t>يقيس متوسط أيام تحصيل شركاء الامتياز (DSO) ضمن محور «الأداء المالي»، ويعكس مساهمة الإدارة في ركيزة الاستدامة.</t>
        </is>
      </c>
      <c r="E20" s="11" t="inlineStr">
        <is>
          <t>متوسط يوم خلال الفترة</t>
        </is>
      </c>
      <c r="F20" s="15" t="inlineStr">
        <is>
          <t>🎯 نتيجة</t>
        </is>
      </c>
      <c r="G20" s="11" t="inlineStr">
        <is>
          <t>الاستدامة · جودة التشغيل</t>
        </is>
      </c>
      <c r="H20" s="15" t="inlineStr">
        <is>
          <t>مالي</t>
        </is>
      </c>
      <c r="I20" s="64" t="n">
        <v>0.04</v>
      </c>
      <c r="J20" s="15" t="inlineStr">
        <is>
          <t>مدير الامتياز</t>
        </is>
      </c>
      <c r="K20" s="11" t="inlineStr">
        <is>
          <t>نظام المحاسبة / ERP (D365)</t>
        </is>
      </c>
      <c r="L20" s="15" t="inlineStr">
        <is>
          <t>شهري</t>
        </is>
      </c>
      <c r="M20" s="15" t="inlineStr">
        <is>
          <t>الإدارة المالية</t>
        </is>
      </c>
      <c r="N20" s="57" t="n"/>
    </row>
    <row r="21" ht="30" customHeight="1">
      <c r="A21" s="15" t="n">
        <v>19</v>
      </c>
      <c r="B21" s="13" t="inlineStr">
        <is>
          <t>الامتياز التجاري</t>
        </is>
      </c>
      <c r="C21" s="21" t="inlineStr">
        <is>
          <t>إجمالي المستحقات المتأخرة (+30 يوم)</t>
        </is>
      </c>
      <c r="D21" s="76" t="inlineStr">
        <is>
          <t>يقيس إجمالي المستحقات المتأخرة (+30 يوم) ضمن محور «الأداء المالي»، ويعكس مساهمة الإدارة في ركيزة الاستدامة.</t>
        </is>
      </c>
      <c r="E21" s="11" t="inlineStr">
        <is>
          <t>إجمالي القيمة (ر.س) خلال الفترة</t>
        </is>
      </c>
      <c r="F21" s="15" t="inlineStr">
        <is>
          <t>🔧 تشغيلي</t>
        </is>
      </c>
      <c r="G21" s="11" t="inlineStr">
        <is>
          <t>الاستدامة · جودة التشغيل</t>
        </is>
      </c>
      <c r="H21" s="15" t="inlineStr">
        <is>
          <t>مالي</t>
        </is>
      </c>
      <c r="I21" s="64" t="n">
        <v>0.03</v>
      </c>
      <c r="J21" s="15" t="inlineStr">
        <is>
          <t>مدير الامتياز</t>
        </is>
      </c>
      <c r="K21" s="11" t="inlineStr">
        <is>
          <t>نظام المحاسبة / ERP (D365)</t>
        </is>
      </c>
      <c r="L21" s="15" t="inlineStr">
        <is>
          <t>شهري</t>
        </is>
      </c>
      <c r="M21" s="15" t="inlineStr">
        <is>
          <t>الإدارة المالية</t>
        </is>
      </c>
      <c r="N21" s="57" t="n"/>
    </row>
    <row r="22" ht="30" customHeight="1">
      <c r="A22" s="15" t="n">
        <v>20</v>
      </c>
      <c r="B22" s="13" t="inlineStr">
        <is>
          <t>الامتياز التجاري</t>
        </is>
      </c>
      <c r="C22" s="21" t="inlineStr">
        <is>
          <t>نسبة الشركاء الملتزمين بمواعيد السداد</t>
        </is>
      </c>
      <c r="D22" s="76" t="inlineStr">
        <is>
          <t>يقيس نسبة الشركاء الملتزمين بمواعيد السداد ضمن محور «الأداء المالي»، ويعكس مساهمة الإدارة في ركيزة الاستدامة.</t>
        </is>
      </c>
      <c r="E22" s="11" t="inlineStr">
        <is>
          <t>(المتحقّق ÷ الإجمالي) × 100٪</t>
        </is>
      </c>
      <c r="F22" s="15" t="inlineStr">
        <is>
          <t>🔧 تشغيلي</t>
        </is>
      </c>
      <c r="G22" s="11" t="inlineStr">
        <is>
          <t>الاستدامة · جودة التشغيل</t>
        </is>
      </c>
      <c r="H22" s="15" t="inlineStr">
        <is>
          <t>مالي</t>
        </is>
      </c>
      <c r="I22" s="64" t="n">
        <v>0.03</v>
      </c>
      <c r="J22" s="15" t="inlineStr">
        <is>
          <t>مدير الامتياز</t>
        </is>
      </c>
      <c r="K22" s="11" t="inlineStr">
        <is>
          <t>نظام المحاسبة / ERP (D365)</t>
        </is>
      </c>
      <c r="L22" s="15" t="inlineStr">
        <is>
          <t>شهري</t>
        </is>
      </c>
      <c r="M22" s="15" t="inlineStr">
        <is>
          <t>الإدارة المالية</t>
        </is>
      </c>
      <c r="N22" s="57" t="n"/>
    </row>
    <row r="23" ht="30" customHeight="1">
      <c r="A23" s="15" t="n">
        <v>21</v>
      </c>
      <c r="B23" s="13" t="inlineStr">
        <is>
          <t>الامتياز التجاري</t>
        </is>
      </c>
      <c r="C23" s="21" t="inlineStr">
        <is>
          <t>معدل دوران رأس المال (أيام الدورة)</t>
        </is>
      </c>
      <c r="D23" s="76" t="inlineStr">
        <is>
          <t>يقيس معدل دوران رأس المال (أيام الدورة) ضمن محور «الأداء المالي»، ويعكس مساهمة الإدارة في ركيزة الاستدامة.</t>
        </is>
      </c>
      <c r="E23" s="11" t="inlineStr">
        <is>
          <t>متوسط يوم خلال الفترة</t>
        </is>
      </c>
      <c r="F23" s="15" t="inlineStr">
        <is>
          <t>🔧 تشغيلي</t>
        </is>
      </c>
      <c r="G23" s="11" t="inlineStr">
        <is>
          <t>الاستدامة · جودة التشغيل</t>
        </is>
      </c>
      <c r="H23" s="15" t="inlineStr">
        <is>
          <t>مالي</t>
        </is>
      </c>
      <c r="I23" s="64" t="n">
        <v>0.03</v>
      </c>
      <c r="J23" s="15" t="inlineStr">
        <is>
          <t>مدير الامتياز</t>
        </is>
      </c>
      <c r="K23" s="11" t="inlineStr">
        <is>
          <t>نظام الموارد البشرية (HRMS)</t>
        </is>
      </c>
      <c r="L23" s="15" t="inlineStr">
        <is>
          <t>شهري</t>
        </is>
      </c>
      <c r="M23" s="15" t="inlineStr">
        <is>
          <t>مدير الامتياز</t>
        </is>
      </c>
      <c r="N23" s="57" t="n"/>
    </row>
    <row r="24" ht="30" customHeight="1">
      <c r="A24" s="15" t="n">
        <v>22</v>
      </c>
      <c r="B24" s="13" t="inlineStr">
        <is>
          <t>الامتياز التجاري</t>
        </is>
      </c>
      <c r="C24" s="21" t="inlineStr">
        <is>
          <t>نسبة جاهزية محطات الامتياز (صفر انقطاع)</t>
        </is>
      </c>
      <c r="D24" s="76" t="inlineStr">
        <is>
          <t>يقيس نسبة جاهزية محطات الامتياز (صفر انقطاع) ضمن محور «التشغيل والجودة»، ويعكس مساهمة الإدارة في ركيزة الاستدامة.</t>
        </is>
      </c>
      <c r="E24" s="11" t="inlineStr">
        <is>
          <t>(المتحقّق ÷ الإجمالي) × 100٪</t>
        </is>
      </c>
      <c r="F24" s="15" t="inlineStr">
        <is>
          <t>🎯 نتيجة</t>
        </is>
      </c>
      <c r="G24" s="11" t="inlineStr">
        <is>
          <t>الاستدامة · جودة التشغيل</t>
        </is>
      </c>
      <c r="H24" s="15" t="inlineStr">
        <is>
          <t>العمليات الداخلية</t>
        </is>
      </c>
      <c r="I24" s="64" t="n">
        <v>0.04</v>
      </c>
      <c r="J24" s="15" t="inlineStr">
        <is>
          <t>مدير الامتياز</t>
        </is>
      </c>
      <c r="K24" s="11" t="inlineStr">
        <is>
          <t>نظام إدارة الجودة (QMS)</t>
        </is>
      </c>
      <c r="L24" s="15" t="inlineStr">
        <is>
          <t>شهري</t>
        </is>
      </c>
      <c r="M24" s="15" t="inlineStr">
        <is>
          <t>مدير الامتياز</t>
        </is>
      </c>
      <c r="N24" s="57" t="n"/>
    </row>
    <row r="25" ht="30" customHeight="1">
      <c r="A25" s="15" t="n">
        <v>23</v>
      </c>
      <c r="B25" s="13" t="inlineStr">
        <is>
          <t>الامتياز التجاري</t>
        </is>
      </c>
      <c r="C25" s="21" t="inlineStr">
        <is>
          <t>عدد حالات انقطاع الوقود الموثّقة</t>
        </is>
      </c>
      <c r="D25" s="76" t="inlineStr">
        <is>
          <t>يقيس عدد حالات انقطاع الوقود الموثّقة ضمن محور «التشغيل والجودة»، ويعكس مساهمة الإدارة في ركيزة الاستدامة.</t>
        </is>
      </c>
      <c r="E25" s="11" t="inlineStr">
        <is>
          <t>إجمالي العدد خلال الفترة</t>
        </is>
      </c>
      <c r="F25" s="15" t="inlineStr">
        <is>
          <t>⚙️ نشاط</t>
        </is>
      </c>
      <c r="G25" s="11" t="inlineStr">
        <is>
          <t>الاستدامة · جودة التشغيل</t>
        </is>
      </c>
      <c r="H25" s="15" t="inlineStr">
        <is>
          <t>العمليات الداخلية</t>
        </is>
      </c>
      <c r="I25" s="64" t="n">
        <v>0.04</v>
      </c>
      <c r="J25" s="15" t="inlineStr">
        <is>
          <t>مدير الامتياز</t>
        </is>
      </c>
      <c r="K25" s="11" t="inlineStr">
        <is>
          <t>نظام إدارة الجودة (QMS)</t>
        </is>
      </c>
      <c r="L25" s="15" t="inlineStr">
        <is>
          <t>شهري</t>
        </is>
      </c>
      <c r="M25" s="15" t="inlineStr">
        <is>
          <t>مدير الامتياز</t>
        </is>
      </c>
      <c r="N25" s="57" t="n"/>
    </row>
    <row r="26" ht="30" customHeight="1">
      <c r="A26" s="15" t="n">
        <v>24</v>
      </c>
      <c r="B26" s="13" t="inlineStr">
        <is>
          <t>الامتياز التجاري</t>
        </is>
      </c>
      <c r="C26" s="21" t="inlineStr">
        <is>
          <t>نسبة إغلاق ملاحظات الجودة الميدانية</t>
        </is>
      </c>
      <c r="D26" s="76" t="inlineStr">
        <is>
          <t>يقيس نسبة إغلاق ملاحظات الجودة الميدانية ضمن محور «التشغيل والجودة»، ويعكس مساهمة الإدارة في ركيزة الاستدامة.</t>
        </is>
      </c>
      <c r="E26" s="11" t="inlineStr">
        <is>
          <t>(المتحقّق ÷ الإجمالي) × 100٪</t>
        </is>
      </c>
      <c r="F26" s="15" t="inlineStr">
        <is>
          <t>🎯 نتيجة</t>
        </is>
      </c>
      <c r="G26" s="11" t="inlineStr">
        <is>
          <t>الاستدامة · جودة التشغيل</t>
        </is>
      </c>
      <c r="H26" s="15" t="inlineStr">
        <is>
          <t>العمليات الداخلية</t>
        </is>
      </c>
      <c r="I26" s="64" t="n">
        <v>0.03</v>
      </c>
      <c r="J26" s="15" t="inlineStr">
        <is>
          <t>مدير الامتياز</t>
        </is>
      </c>
      <c r="K26" s="11" t="inlineStr">
        <is>
          <t>نظام إدارة الجودة (QMS)</t>
        </is>
      </c>
      <c r="L26" s="15" t="inlineStr">
        <is>
          <t>شهري</t>
        </is>
      </c>
      <c r="M26" s="15" t="inlineStr">
        <is>
          <t>مدير الامتياز</t>
        </is>
      </c>
      <c r="N26" s="57" t="n"/>
    </row>
    <row r="27" ht="30" customHeight="1">
      <c r="A27" s="15" t="n">
        <v>25</v>
      </c>
      <c r="B27" s="13" t="inlineStr">
        <is>
          <t>الامتياز التجاري</t>
        </is>
      </c>
      <c r="C27" s="21" t="inlineStr">
        <is>
          <t>متوسط درجة تقييم جودة المحطة (قائمة التحقق)</t>
        </is>
      </c>
      <c r="D27" s="76" t="inlineStr">
        <is>
          <t>يقيس متوسط درجة تقييم جودة المحطة (قائمة التحقق) ضمن محور «التشغيل والجودة»، ويعكس مساهمة الإدارة في ركيزة الاستدامة.</t>
        </is>
      </c>
      <c r="E27" s="11" t="inlineStr">
        <is>
          <t>إجمالي العدد خلال الفترة</t>
        </is>
      </c>
      <c r="F27" s="15" t="inlineStr">
        <is>
          <t>🎯 نتيجة</t>
        </is>
      </c>
      <c r="G27" s="11" t="inlineStr">
        <is>
          <t>الاستدامة · جودة التشغيل</t>
        </is>
      </c>
      <c r="H27" s="15" t="inlineStr">
        <is>
          <t>العمليات الداخلية</t>
        </is>
      </c>
      <c r="I27" s="64" t="n">
        <v>0.04</v>
      </c>
      <c r="J27" s="15" t="inlineStr">
        <is>
          <t>مدير الامتياز</t>
        </is>
      </c>
      <c r="K27" s="11" t="inlineStr">
        <is>
          <t>نظام إدارة الجودة (QMS)</t>
        </is>
      </c>
      <c r="L27" s="15" t="inlineStr">
        <is>
          <t>شهري</t>
        </is>
      </c>
      <c r="M27" s="15" t="inlineStr">
        <is>
          <t>مدير الامتياز</t>
        </is>
      </c>
      <c r="N27" s="57" t="n"/>
    </row>
    <row r="28" ht="30" customHeight="1">
      <c r="A28" s="15" t="n">
        <v>26</v>
      </c>
      <c r="B28" s="13" t="inlineStr">
        <is>
          <t>الامتياز التجاري</t>
        </is>
      </c>
      <c r="C28" s="21" t="inlineStr">
        <is>
          <t>نسبة تنفيذ الزيارات الميدانية المجدولة</t>
        </is>
      </c>
      <c r="D28" s="76" t="inlineStr">
        <is>
          <t>يقيس نسبة تنفيذ الزيارات الميدانية المجدولة ضمن محور «التشغيل والجودة»، ويعكس مساهمة الإدارة في ركيزة الاستدامة.</t>
        </is>
      </c>
      <c r="E28" s="11" t="inlineStr">
        <is>
          <t>(المتحقّق ÷ الإجمالي) × 100٪</t>
        </is>
      </c>
      <c r="F28" s="15" t="inlineStr">
        <is>
          <t>⚙️ نشاط</t>
        </is>
      </c>
      <c r="G28" s="11" t="inlineStr">
        <is>
          <t>الاستدامة · جودة التشغيل</t>
        </is>
      </c>
      <c r="H28" s="15" t="inlineStr">
        <is>
          <t>العمليات الداخلية</t>
        </is>
      </c>
      <c r="I28" s="64" t="n">
        <v>0.03</v>
      </c>
      <c r="J28" s="15" t="inlineStr">
        <is>
          <t>مدير الامتياز</t>
        </is>
      </c>
      <c r="K28" s="11" t="inlineStr">
        <is>
          <t>نظام إدارة الجودة (QMS)</t>
        </is>
      </c>
      <c r="L28" s="15" t="inlineStr">
        <is>
          <t>شهري</t>
        </is>
      </c>
      <c r="M28" s="15" t="inlineStr">
        <is>
          <t>مدير الامتياز</t>
        </is>
      </c>
      <c r="N28" s="57" t="n"/>
    </row>
    <row r="29" ht="30" customHeight="1">
      <c r="A29" s="15" t="n">
        <v>27</v>
      </c>
      <c r="B29" s="13" t="inlineStr">
        <is>
          <t>الامتياز التجاري</t>
        </is>
      </c>
      <c r="C29" s="21" t="inlineStr">
        <is>
          <t>نسبة المحطات المستوفية لمعايير السلامة</t>
        </is>
      </c>
      <c r="D29" s="76" t="inlineStr">
        <is>
          <t>يقيس نسبة المحطات المستوفية لمعايير السلامة ضمن محور «التشغيل والجودة»، ويعكس مساهمة الإدارة في ركيزة الاستدامة.</t>
        </is>
      </c>
      <c r="E29" s="11" t="inlineStr">
        <is>
          <t>(المتحقّق ÷ الإجمالي) × 100٪</t>
        </is>
      </c>
      <c r="F29" s="15" t="inlineStr">
        <is>
          <t>🎯 نتيجة</t>
        </is>
      </c>
      <c r="G29" s="11" t="inlineStr">
        <is>
          <t>الاستدامة · جودة التشغيل</t>
        </is>
      </c>
      <c r="H29" s="15" t="inlineStr">
        <is>
          <t>العمليات الداخلية</t>
        </is>
      </c>
      <c r="I29" s="64" t="n">
        <v>0.04</v>
      </c>
      <c r="J29" s="15" t="inlineStr">
        <is>
          <t>مدير الامتياز</t>
        </is>
      </c>
      <c r="K29" s="11" t="inlineStr">
        <is>
          <t>نظام إدارة الجودة (QMS)</t>
        </is>
      </c>
      <c r="L29" s="15" t="inlineStr">
        <is>
          <t>شهري</t>
        </is>
      </c>
      <c r="M29" s="15" t="inlineStr">
        <is>
          <t>مدير الامتياز</t>
        </is>
      </c>
      <c r="N29" s="57" t="n"/>
    </row>
    <row r="30" ht="30" customHeight="1">
      <c r="A30" s="15" t="n">
        <v>28</v>
      </c>
      <c r="B30" s="13" t="inlineStr">
        <is>
          <t>الامتياز التجاري</t>
        </is>
      </c>
      <c r="C30" s="21" t="inlineStr">
        <is>
          <t>متوسط وقت معالجة البلاغات التشغيلية</t>
        </is>
      </c>
      <c r="D30" s="76" t="inlineStr">
        <is>
          <t>يقيس متوسط وقت معالجة البلاغات التشغيلية ضمن محور «التشغيل والجودة»، ويعكس مساهمة الإدارة في ركيزة الاستدامة.</t>
        </is>
      </c>
      <c r="E30" s="11" t="inlineStr">
        <is>
          <t>متوسط ساعة خلال الفترة</t>
        </is>
      </c>
      <c r="F30" s="15" t="inlineStr">
        <is>
          <t>🎯 نتيجة</t>
        </is>
      </c>
      <c r="G30" s="11" t="inlineStr">
        <is>
          <t>الاستدامة · جودة التشغيل</t>
        </is>
      </c>
      <c r="H30" s="15" t="inlineStr">
        <is>
          <t>العمليات الداخلية</t>
        </is>
      </c>
      <c r="I30" s="64" t="n">
        <v>0.03</v>
      </c>
      <c r="J30" s="15" t="inlineStr">
        <is>
          <t>مدير الامتياز</t>
        </is>
      </c>
      <c r="K30" s="11" t="inlineStr">
        <is>
          <t>نظام إدارة الجودة (QMS)</t>
        </is>
      </c>
      <c r="L30" s="15" t="inlineStr">
        <is>
          <t>شهري</t>
        </is>
      </c>
      <c r="M30" s="15" t="inlineStr">
        <is>
          <t>مدير الامتياز</t>
        </is>
      </c>
      <c r="N30" s="57" t="n"/>
    </row>
    <row r="31" ht="30" customHeight="1">
      <c r="A31" s="15" t="n">
        <v>29</v>
      </c>
      <c r="B31" s="13" t="inlineStr">
        <is>
          <t>الامتياز التجاري</t>
        </is>
      </c>
      <c r="C31" s="21" t="inlineStr">
        <is>
          <t>نسبة أتمتة محطات الامتياز</t>
        </is>
      </c>
      <c r="D31" s="76" t="inlineStr">
        <is>
          <t>يقيس نسبة أتمتة محطات الامتياز ضمن محور «التشغيل والجودة»، ويعكس مساهمة الإدارة في ركيزة الابتكار.</t>
        </is>
      </c>
      <c r="E31" s="11" t="inlineStr">
        <is>
          <t>(المتحقّق ÷ الإجمالي) × 100٪</t>
        </is>
      </c>
      <c r="F31" s="15" t="inlineStr">
        <is>
          <t>🔧 تشغيلي</t>
        </is>
      </c>
      <c r="G31" s="11" t="inlineStr">
        <is>
          <t>الابتكار · التحول التقني</t>
        </is>
      </c>
      <c r="H31" s="15" t="inlineStr">
        <is>
          <t>التعلّم والنمو</t>
        </is>
      </c>
      <c r="I31" s="64" t="n">
        <v>0.04</v>
      </c>
      <c r="J31" s="15" t="inlineStr">
        <is>
          <t>مدير الامتياز</t>
        </is>
      </c>
      <c r="K31" s="11" t="inlineStr">
        <is>
          <t>مكتب إدارة المشاريع (PMO)</t>
        </is>
      </c>
      <c r="L31" s="15" t="inlineStr">
        <is>
          <t>شهري</t>
        </is>
      </c>
      <c r="M31" s="15" t="inlineStr">
        <is>
          <t>مدير الامتياز</t>
        </is>
      </c>
      <c r="N31" s="57" t="n"/>
    </row>
    <row r="32" ht="30" customHeight="1">
      <c r="A32" s="15" t="n">
        <v>30</v>
      </c>
      <c r="B32" s="13" t="inlineStr">
        <is>
          <t>الامتياز التجاري</t>
        </is>
      </c>
      <c r="C32" s="21" t="inlineStr">
        <is>
          <t>نسبة تطبيق المعيار الشامل داخل المحطات</t>
        </is>
      </c>
      <c r="D32" s="76" t="inlineStr">
        <is>
          <t>يقيس نسبة تطبيق المعيار الشامل داخل المحطات ضمن محور «التشغيل والجودة»، ويعكس مساهمة الإدارة في ركيزة الابتكار.</t>
        </is>
      </c>
      <c r="E32" s="11" t="inlineStr">
        <is>
          <t>(المتحقّق ÷ الإجمالي) × 100٪</t>
        </is>
      </c>
      <c r="F32" s="15" t="inlineStr">
        <is>
          <t>🔧 تشغيلي</t>
        </is>
      </c>
      <c r="G32" s="11" t="inlineStr">
        <is>
          <t>الابتكار · التحول التقني</t>
        </is>
      </c>
      <c r="H32" s="15" t="inlineStr">
        <is>
          <t>التعلّم والنمو</t>
        </is>
      </c>
      <c r="I32" s="64" t="n">
        <v>0.01</v>
      </c>
      <c r="J32" s="15" t="inlineStr">
        <is>
          <t>مدير الامتياز</t>
        </is>
      </c>
      <c r="K32" s="11" t="inlineStr">
        <is>
          <t>نظام إدارة الجودة (QMS)</t>
        </is>
      </c>
      <c r="L32" s="15" t="inlineStr">
        <is>
          <t>شهري</t>
        </is>
      </c>
      <c r="M32" s="15" t="inlineStr">
        <is>
          <t>مدير الامتياز</t>
        </is>
      </c>
      <c r="N32" s="57" t="n"/>
    </row>
    <row r="33" ht="30" customHeight="1">
      <c r="A33" s="15" t="n">
        <v>31</v>
      </c>
      <c r="B33" s="13" t="inlineStr">
        <is>
          <t>الامتياز التجاري</t>
        </is>
      </c>
      <c r="C33" s="21" t="inlineStr">
        <is>
          <t>نسبة التزام المحطات بالهوية المؤسسية</t>
        </is>
      </c>
      <c r="D33" s="76" t="inlineStr">
        <is>
          <t>يقيس نسبة التزام المحطات بالهوية المؤسسية ضمن محور «الهوية والتسويق»، ويعكس مساهمة الإدارة في ركيزة الابتكار.</t>
        </is>
      </c>
      <c r="E33" s="11" t="inlineStr">
        <is>
          <t>(المتحقّق ÷ الإجمالي) × 100٪</t>
        </is>
      </c>
      <c r="F33" s="15" t="inlineStr">
        <is>
          <t>🎯 نتيجة</t>
        </is>
      </c>
      <c r="G33" s="11" t="inlineStr">
        <is>
          <t>الابتكار · تطوير التصاميم والهوية</t>
        </is>
      </c>
      <c r="H33" s="15" t="inlineStr">
        <is>
          <t>التعلّم والنمو</t>
        </is>
      </c>
      <c r="I33" s="64" t="n">
        <v>0.04</v>
      </c>
      <c r="J33" s="15" t="inlineStr">
        <is>
          <t>مدير الامتياز</t>
        </is>
      </c>
      <c r="K33" s="11" t="inlineStr">
        <is>
          <t>نظام تشغيل المحطات</t>
        </is>
      </c>
      <c r="L33" s="15" t="inlineStr">
        <is>
          <t>شهري</t>
        </is>
      </c>
      <c r="M33" s="15" t="inlineStr">
        <is>
          <t>مدير الامتياز</t>
        </is>
      </c>
      <c r="N33" s="57" t="n"/>
    </row>
    <row r="34" ht="30" customHeight="1">
      <c r="A34" s="15" t="n">
        <v>32</v>
      </c>
      <c r="B34" s="13" t="inlineStr">
        <is>
          <t>الامتياز التجاري</t>
        </is>
      </c>
      <c r="C34" s="21" t="inlineStr">
        <is>
          <t>متوسط تقييم المحطات على خرائط قوقل</t>
        </is>
      </c>
      <c r="D34" s="76" t="inlineStr">
        <is>
          <t>يقيس متوسط تقييم المحطات على خرائط قوقل ضمن محور «تجربة العملاء والشركاء»، ويعكس مساهمة الإدارة في ركيزة الاستدامة.</t>
        </is>
      </c>
      <c r="E34" s="11" t="inlineStr">
        <is>
          <t>متوسط التقييم (من 5)</t>
        </is>
      </c>
      <c r="F34" s="15" t="inlineStr">
        <is>
          <t>🎯 نتيجة</t>
        </is>
      </c>
      <c r="G34" s="11" t="inlineStr">
        <is>
          <t>الاستدامة · تعزيز تجربة العملاء</t>
        </is>
      </c>
      <c r="H34" s="15" t="inlineStr">
        <is>
          <t>العملاء</t>
        </is>
      </c>
      <c r="I34" s="64" t="n">
        <v>0.04</v>
      </c>
      <c r="J34" s="15" t="inlineStr">
        <is>
          <t>مدير الامتياز</t>
        </is>
      </c>
      <c r="K34" s="11" t="inlineStr">
        <is>
          <t>تقييمات خرائط قوقل</t>
        </is>
      </c>
      <c r="L34" s="15" t="inlineStr">
        <is>
          <t>شهري</t>
        </is>
      </c>
      <c r="M34" s="15" t="inlineStr">
        <is>
          <t>مدير الامتياز</t>
        </is>
      </c>
      <c r="N34" s="57" t="n"/>
    </row>
    <row r="35" ht="30" customHeight="1">
      <c r="A35" s="15" t="n">
        <v>33</v>
      </c>
      <c r="B35" s="13" t="inlineStr">
        <is>
          <t>الامتياز التجاري</t>
        </is>
      </c>
      <c r="C35" s="21" t="inlineStr">
        <is>
          <t>معدل رضا شركاء الامتياز (CSAT)</t>
        </is>
      </c>
      <c r="D35" s="76" t="inlineStr">
        <is>
          <t>يقيس معدل رضا شركاء الامتياز (CSAT) ضمن محور «تجربة العملاء والشركاء»، ويعكس مساهمة الإدارة في ركيزة الاستدامة.</t>
        </is>
      </c>
      <c r="E35" s="11" t="inlineStr">
        <is>
          <t>(المتحقّق ÷ الإجمالي) × 100٪</t>
        </is>
      </c>
      <c r="F35" s="15" t="inlineStr">
        <is>
          <t>🎯 نتيجة</t>
        </is>
      </c>
      <c r="G35" s="11" t="inlineStr">
        <is>
          <t>الاستدامة · تعزيز تجربة العملاء</t>
        </is>
      </c>
      <c r="H35" s="15" t="inlineStr">
        <is>
          <t>العملاء</t>
        </is>
      </c>
      <c r="I35" s="64" t="n">
        <v>0.04</v>
      </c>
      <c r="J35" s="15" t="inlineStr">
        <is>
          <t>مدير الامتياز</t>
        </is>
      </c>
      <c r="K35" s="11" t="inlineStr">
        <is>
          <t>استبيان دوري</t>
        </is>
      </c>
      <c r="L35" s="15" t="inlineStr">
        <is>
          <t>ربعي</t>
        </is>
      </c>
      <c r="M35" s="15" t="inlineStr">
        <is>
          <t>مدير الامتياز</t>
        </is>
      </c>
      <c r="N35" s="57" t="n"/>
    </row>
    <row r="36" ht="30" customHeight="1">
      <c r="A36" s="15" t="n">
        <v>34</v>
      </c>
      <c r="B36" s="13" t="inlineStr">
        <is>
          <t>الامتياز التجاري</t>
        </is>
      </c>
      <c r="C36" s="21" t="inlineStr">
        <is>
          <t>نسبة حل الشكاوى خلال المدة المحددة</t>
        </is>
      </c>
      <c r="D36" s="76" t="inlineStr">
        <is>
          <t>يقيس نسبة حل الشكاوى خلال المدة المحددة ضمن محور «تجربة العملاء والشركاء»، ويعكس مساهمة الإدارة في ركيزة الاستدامة.</t>
        </is>
      </c>
      <c r="E36" s="11" t="inlineStr">
        <is>
          <t>(المتحقّق ÷ الإجمالي) × 100٪</t>
        </is>
      </c>
      <c r="F36" s="15" t="inlineStr">
        <is>
          <t>🎯 نتيجة</t>
        </is>
      </c>
      <c r="G36" s="11" t="inlineStr">
        <is>
          <t>الاستدامة · تعزيز تجربة العملاء</t>
        </is>
      </c>
      <c r="H36" s="15" t="inlineStr">
        <is>
          <t>العملاء</t>
        </is>
      </c>
      <c r="I36" s="64" t="n">
        <v>0.03</v>
      </c>
      <c r="J36" s="15" t="inlineStr">
        <is>
          <t>مدير الامتياز</t>
        </is>
      </c>
      <c r="K36" s="11" t="inlineStr">
        <is>
          <t>سجلات الإدارة</t>
        </is>
      </c>
      <c r="L36" s="15" t="inlineStr">
        <is>
          <t>شهري</t>
        </is>
      </c>
      <c r="M36" s="15" t="inlineStr">
        <is>
          <t>مدير الامتياز</t>
        </is>
      </c>
      <c r="N36" s="57" t="n"/>
    </row>
    <row r="37" ht="30" customHeight="1">
      <c r="A37" s="15" t="n">
        <v>35</v>
      </c>
      <c r="B37" s="13" t="inlineStr">
        <is>
          <t>الامتياز التجاري</t>
        </is>
      </c>
      <c r="C37" s="21" t="inlineStr">
        <is>
          <t>نسبة انخفاض الشكاوى التشغيلية والإدارية</t>
        </is>
      </c>
      <c r="D37" s="76" t="inlineStr">
        <is>
          <t>يقيس نسبة انخفاض الشكاوى التشغيلية والإدارية ضمن محور «تجربة العملاء والشركاء»، ويعكس مساهمة الإدارة في ركيزة الاستدامة.</t>
        </is>
      </c>
      <c r="E37" s="11" t="inlineStr">
        <is>
          <t>(المتحقّق ÷ الإجمالي) × 100٪</t>
        </is>
      </c>
      <c r="F37" s="15" t="inlineStr">
        <is>
          <t>🎯 نتيجة</t>
        </is>
      </c>
      <c r="G37" s="11" t="inlineStr">
        <is>
          <t>الاستدامة · تعزيز تجربة العملاء</t>
        </is>
      </c>
      <c r="H37" s="15" t="inlineStr">
        <is>
          <t>العملاء</t>
        </is>
      </c>
      <c r="I37" s="64" t="n">
        <v>0.03</v>
      </c>
      <c r="J37" s="15" t="inlineStr">
        <is>
          <t>مدير الامتياز</t>
        </is>
      </c>
      <c r="K37" s="11" t="inlineStr">
        <is>
          <t>سجلات الإدارة</t>
        </is>
      </c>
      <c r="L37" s="15" t="inlineStr">
        <is>
          <t>شهري</t>
        </is>
      </c>
      <c r="M37" s="15" t="inlineStr">
        <is>
          <t>مدير الامتياز</t>
        </is>
      </c>
      <c r="N37" s="57" t="n"/>
    </row>
    <row r="38" ht="30" customHeight="1">
      <c r="A38" s="15" t="n">
        <v>36</v>
      </c>
      <c r="B38" s="13" t="inlineStr">
        <is>
          <t>الامتياز التجاري</t>
        </is>
      </c>
      <c r="C38" s="21" t="inlineStr">
        <is>
          <t>نسبة استدامة أصحاب الامتياز (Retention)</t>
        </is>
      </c>
      <c r="D38" s="76" t="inlineStr">
        <is>
          <t>يقيس نسبة استدامة أصحاب الامتياز (Retention) ضمن محور «استدامة الشراكة والامتثال»، ويعكس مساهمة الإدارة في ركيزة الاستدامة.</t>
        </is>
      </c>
      <c r="E38" s="11" t="inlineStr">
        <is>
          <t>(المتحقّق ÷ الإجمالي) × 100٪</t>
        </is>
      </c>
      <c r="F38" s="15" t="inlineStr">
        <is>
          <t>🎯 نتيجة</t>
        </is>
      </c>
      <c r="G38" s="11" t="inlineStr">
        <is>
          <t>الاستدامة · تعزيز تجربة العملاء</t>
        </is>
      </c>
      <c r="H38" s="15" t="inlineStr">
        <is>
          <t>العمليات الداخلية</t>
        </is>
      </c>
      <c r="I38" s="64" t="n">
        <v>0.03</v>
      </c>
      <c r="J38" s="15" t="inlineStr">
        <is>
          <t>مدير الامتياز</t>
        </is>
      </c>
      <c r="K38" s="11" t="inlineStr">
        <is>
          <t>نظام إدارة الجودة (QMS)</t>
        </is>
      </c>
      <c r="L38" s="15" t="inlineStr">
        <is>
          <t>شهري</t>
        </is>
      </c>
      <c r="M38" s="15" t="inlineStr">
        <is>
          <t>مدير الامتياز</t>
        </is>
      </c>
      <c r="N38" s="57" t="n"/>
    </row>
    <row r="39" ht="30" customHeight="1">
      <c r="A39" s="15" t="n">
        <v>37</v>
      </c>
      <c r="B39" s="13" t="inlineStr">
        <is>
          <t>الامتياز التجاري</t>
        </is>
      </c>
      <c r="C39" s="21" t="inlineStr">
        <is>
          <t>نسبة زيادة عدد أصحاب الامتياز</t>
        </is>
      </c>
      <c r="D39" s="76" t="inlineStr">
        <is>
          <t>يقيس نسبة زيادة عدد أصحاب الامتياز ضمن محور «استدامة الشراكة والامتثال»، ويعكس مساهمة الإدارة في ركيزة الاستدامة.</t>
        </is>
      </c>
      <c r="E39" s="11" t="inlineStr">
        <is>
          <t>(المتحقّق ÷ الإجمالي) × 100٪</t>
        </is>
      </c>
      <c r="F39" s="15" t="inlineStr">
        <is>
          <t>⚙️ نشاط</t>
        </is>
      </c>
      <c r="G39" s="11" t="inlineStr">
        <is>
          <t>الاستدامة · تعزيز تجربة العملاء</t>
        </is>
      </c>
      <c r="H39" s="15" t="inlineStr">
        <is>
          <t>العمليات الداخلية</t>
        </is>
      </c>
      <c r="I39" s="64" t="n">
        <v>0.02</v>
      </c>
      <c r="J39" s="15" t="inlineStr">
        <is>
          <t>مدير الامتياز</t>
        </is>
      </c>
      <c r="K39" s="11" t="inlineStr">
        <is>
          <t>نظام إدارة الجودة (QMS)</t>
        </is>
      </c>
      <c r="L39" s="15" t="inlineStr">
        <is>
          <t>شهري</t>
        </is>
      </c>
      <c r="M39" s="15" t="inlineStr">
        <is>
          <t>مدير الامتياز</t>
        </is>
      </c>
      <c r="N39" s="57" t="n"/>
    </row>
    <row r="40" ht="30" customHeight="1">
      <c r="A40" s="15" t="n">
        <v>38</v>
      </c>
      <c r="B40" s="13" t="inlineStr">
        <is>
          <t>الامتياز التجاري</t>
        </is>
      </c>
      <c r="C40" s="21" t="inlineStr">
        <is>
          <t>متوسط مدة إغلاق عقد الامتياز</t>
        </is>
      </c>
      <c r="D40" s="76" t="inlineStr">
        <is>
          <t>يقيس متوسط مدة إغلاق عقد الامتياز ضمن محور «استدامة الشراكة والامتثال»، ويعكس مساهمة الإدارة في ركيزة النمو.</t>
        </is>
      </c>
      <c r="E40" s="11" t="inlineStr">
        <is>
          <t>متوسط أسبوع خلال الفترة</t>
        </is>
      </c>
      <c r="F40" s="15" t="inlineStr">
        <is>
          <t>🎯 نتيجة</t>
        </is>
      </c>
      <c r="G40" s="11" t="inlineStr">
        <is>
          <t>النمو · الامتياز التجاري</t>
        </is>
      </c>
      <c r="H40" s="15" t="inlineStr">
        <is>
          <t>العمليات الداخلية</t>
        </is>
      </c>
      <c r="I40" s="64" t="n">
        <v>0.04</v>
      </c>
      <c r="J40" s="15" t="inlineStr">
        <is>
          <t>مدير الامتياز</t>
        </is>
      </c>
      <c r="K40" s="11" t="inlineStr">
        <is>
          <t>نظام إدارة الجودة (QMS)</t>
        </is>
      </c>
      <c r="L40" s="15" t="inlineStr">
        <is>
          <t>شهري</t>
        </is>
      </c>
      <c r="M40" s="15" t="inlineStr">
        <is>
          <t>مدير الامتياز</t>
        </is>
      </c>
      <c r="N40" s="57" t="n"/>
    </row>
    <row r="41" ht="30" customHeight="1">
      <c r="A41" s="15" t="n">
        <v>39</v>
      </c>
      <c r="B41" s="13" t="inlineStr">
        <is>
          <t>الامتياز التجاري</t>
        </is>
      </c>
      <c r="C41" s="21" t="inlineStr">
        <is>
          <t>نسبة التحصيل خلال 5 أيام عمل</t>
        </is>
      </c>
      <c r="D41" s="76" t="inlineStr">
        <is>
          <t>يقيس نسبة التحصيل خلال 5 أيام عمل ضمن محور «الأداء المالي»، ويعكس مساهمة الإدارة في ركيزة الاستدامة.</t>
        </is>
      </c>
      <c r="E41" s="11" t="inlineStr">
        <is>
          <t>(المتحقّق ÷ الإجمالي) × 100٪</t>
        </is>
      </c>
      <c r="F41" s="15" t="inlineStr">
        <is>
          <t>🎯 نتيجة</t>
        </is>
      </c>
      <c r="G41" s="11" t="inlineStr">
        <is>
          <t>الاستدامة · الامتياز التجاري</t>
        </is>
      </c>
      <c r="H41" s="15" t="inlineStr">
        <is>
          <t>مالي</t>
        </is>
      </c>
      <c r="I41" s="64" t="n">
        <v>0.04</v>
      </c>
      <c r="J41" s="15" t="inlineStr">
        <is>
          <t>مدير الامتياز</t>
        </is>
      </c>
      <c r="K41" s="11" t="inlineStr">
        <is>
          <t>نظام المحاسبة / ERP (D365)</t>
        </is>
      </c>
      <c r="L41" s="15" t="inlineStr">
        <is>
          <t>شهري</t>
        </is>
      </c>
      <c r="M41" s="15" t="inlineStr">
        <is>
          <t>الإدارة المالية</t>
        </is>
      </c>
      <c r="N41" s="57" t="n"/>
    </row>
    <row r="42" ht="30" customHeight="1">
      <c r="A42" s="15" t="n">
        <v>40</v>
      </c>
      <c r="B42" s="13" t="inlineStr">
        <is>
          <t>التشغيل والمحطات</t>
        </is>
      </c>
      <c r="C42" s="21" t="inlineStr">
        <is>
          <t>عدد المحطات المشغّلة (تراكمي)</t>
        </is>
      </c>
      <c r="D42" s="76" t="inlineStr">
        <is>
          <t>يقيس عدد المحطات المشغّلة (تراكمي) ضمن محور «النمو»، ويعكس مساهمة الإدارة في ركيزة النمو.</t>
        </is>
      </c>
      <c r="E42" s="11" t="inlineStr">
        <is>
          <t>إجمالي العدد خلال الفترة</t>
        </is>
      </c>
      <c r="F42" s="15" t="inlineStr">
        <is>
          <t>⚙️ نشاط</t>
        </is>
      </c>
      <c r="G42" s="11" t="inlineStr">
        <is>
          <t>النمو · التوسع في المواقع</t>
        </is>
      </c>
      <c r="H42" s="15" t="inlineStr">
        <is>
          <t>العمليات الداخلية</t>
        </is>
      </c>
      <c r="I42" s="64" t="n">
        <v>0.08</v>
      </c>
      <c r="J42" s="15" t="inlineStr">
        <is>
          <t>مدير التشغيل</t>
        </is>
      </c>
      <c r="K42" s="11" t="inlineStr">
        <is>
          <t>نظام تشغيل المحطات</t>
        </is>
      </c>
      <c r="L42" s="15" t="inlineStr">
        <is>
          <t>شهري</t>
        </is>
      </c>
      <c r="M42" s="15" t="inlineStr">
        <is>
          <t>مدير التشغيل</t>
        </is>
      </c>
      <c r="N42" s="57" t="n"/>
    </row>
    <row r="43" ht="30" customHeight="1">
      <c r="A43" s="15" t="n">
        <v>41</v>
      </c>
      <c r="B43" s="13" t="inlineStr">
        <is>
          <t>التشغيل والمحطات</t>
        </is>
      </c>
      <c r="C43" s="21" t="inlineStr">
        <is>
          <t>نمو مبيعات بنزين 91 مقارنة بالعام السابق</t>
        </is>
      </c>
      <c r="D43" s="76" t="inlineStr">
        <is>
          <t>يقيس نمو مبيعات بنزين 91 مقارنة بالعام السابق ضمن محور «الربحية»، ويعكس مساهمة الإدارة في ركيزة النمو.</t>
        </is>
      </c>
      <c r="E43" s="11" t="inlineStr">
        <is>
          <t>(المتحقّق ÷ الإجمالي) × 100٪</t>
        </is>
      </c>
      <c r="F43" s="15" t="inlineStr">
        <is>
          <t>🎯 نتيجة</t>
        </is>
      </c>
      <c r="G43" s="11" t="inlineStr">
        <is>
          <t>النمو · زيادة وصول العملاء</t>
        </is>
      </c>
      <c r="H43" s="15" t="inlineStr">
        <is>
          <t>مالي</t>
        </is>
      </c>
      <c r="I43" s="64" t="n">
        <v>0.08</v>
      </c>
      <c r="J43" s="15" t="inlineStr">
        <is>
          <t>مدير التشغيل</t>
        </is>
      </c>
      <c r="K43" s="11" t="inlineStr">
        <is>
          <t>نظام المحاسبة / ERP (D365)</t>
        </is>
      </c>
      <c r="L43" s="15" t="inlineStr">
        <is>
          <t>شهري</t>
        </is>
      </c>
      <c r="M43" s="15" t="inlineStr">
        <is>
          <t>الإدارة المالية</t>
        </is>
      </c>
      <c r="N43" s="57" t="n"/>
    </row>
    <row r="44" ht="30" customHeight="1">
      <c r="A44" s="15" t="n">
        <v>42</v>
      </c>
      <c r="B44" s="13" t="inlineStr">
        <is>
          <t>التشغيل والمحطات</t>
        </is>
      </c>
      <c r="C44" s="21" t="inlineStr">
        <is>
          <t>نمو مبيعات بنزين 95 مقارنة بالعام السابق</t>
        </is>
      </c>
      <c r="D44" s="76" t="inlineStr">
        <is>
          <t>يقيس نمو مبيعات بنزين 95 مقارنة بالعام السابق ضمن محور «الربحية»، ويعكس مساهمة الإدارة في ركيزة النمو.</t>
        </is>
      </c>
      <c r="E44" s="11" t="inlineStr">
        <is>
          <t>(المتحقّق ÷ الإجمالي) × 100٪</t>
        </is>
      </c>
      <c r="F44" s="15" t="inlineStr">
        <is>
          <t>🎯 نتيجة</t>
        </is>
      </c>
      <c r="G44" s="11" t="inlineStr">
        <is>
          <t>النمو · زيادة وصول العملاء</t>
        </is>
      </c>
      <c r="H44" s="15" t="inlineStr">
        <is>
          <t>مالي</t>
        </is>
      </c>
      <c r="I44" s="64" t="n">
        <v>0.08</v>
      </c>
      <c r="J44" s="15" t="inlineStr">
        <is>
          <t>مدير التشغيل</t>
        </is>
      </c>
      <c r="K44" s="11" t="inlineStr">
        <is>
          <t>نظام المحاسبة / ERP (D365)</t>
        </is>
      </c>
      <c r="L44" s="15" t="inlineStr">
        <is>
          <t>شهري</t>
        </is>
      </c>
      <c r="M44" s="15" t="inlineStr">
        <is>
          <t>الإدارة المالية</t>
        </is>
      </c>
      <c r="N44" s="57" t="n"/>
    </row>
    <row r="45" ht="30" customHeight="1">
      <c r="A45" s="15" t="n">
        <v>43</v>
      </c>
      <c r="B45" s="13" t="inlineStr">
        <is>
          <t>التشغيل والمحطات</t>
        </is>
      </c>
      <c r="C45" s="21" t="inlineStr">
        <is>
          <t>نمو مبيعات بنزين 98 مقارنة بالعام السابق</t>
        </is>
      </c>
      <c r="D45" s="76" t="inlineStr">
        <is>
          <t>يقيس نمو مبيعات بنزين 98 مقارنة بالعام السابق ضمن محور «الربحية»، ويعكس مساهمة الإدارة في ركيزة النمو.</t>
        </is>
      </c>
      <c r="E45" s="11" t="inlineStr">
        <is>
          <t>(المتحقّق ÷ الإجمالي) × 100٪</t>
        </is>
      </c>
      <c r="F45" s="15" t="inlineStr">
        <is>
          <t>🎯 نتيجة</t>
        </is>
      </c>
      <c r="G45" s="11" t="inlineStr">
        <is>
          <t>النمو · زيادة وصول العملاء</t>
        </is>
      </c>
      <c r="H45" s="15" t="inlineStr">
        <is>
          <t>مالي</t>
        </is>
      </c>
      <c r="I45" s="64" t="n">
        <v>0.08</v>
      </c>
      <c r="J45" s="15" t="inlineStr">
        <is>
          <t>مدير التشغيل</t>
        </is>
      </c>
      <c r="K45" s="11" t="inlineStr">
        <is>
          <t>نظام المحاسبة / ERP (D365)</t>
        </is>
      </c>
      <c r="L45" s="15" t="inlineStr">
        <is>
          <t>شهري</t>
        </is>
      </c>
      <c r="M45" s="15" t="inlineStr">
        <is>
          <t>الإدارة المالية</t>
        </is>
      </c>
      <c r="N45" s="57" t="n"/>
    </row>
    <row r="46" ht="30" customHeight="1">
      <c r="A46" s="15" t="n">
        <v>44</v>
      </c>
      <c r="B46" s="13" t="inlineStr">
        <is>
          <t>التشغيل والمحطات</t>
        </is>
      </c>
      <c r="C46" s="21" t="inlineStr">
        <is>
          <t>نمو مبيعات الديزل مقارنة بالعام السابق</t>
        </is>
      </c>
      <c r="D46" s="76" t="inlineStr">
        <is>
          <t>يقيس نمو مبيعات الديزل مقارنة بالعام السابق ضمن محور «الربحية»، ويعكس مساهمة الإدارة في ركيزة النمو.</t>
        </is>
      </c>
      <c r="E46" s="11" t="inlineStr">
        <is>
          <t>(المتحقّق ÷ الإجمالي) × 100٪</t>
        </is>
      </c>
      <c r="F46" s="15" t="inlineStr">
        <is>
          <t>🎯 نتيجة</t>
        </is>
      </c>
      <c r="G46" s="11" t="inlineStr">
        <is>
          <t>النمو · زيادة وصول العملاء</t>
        </is>
      </c>
      <c r="H46" s="15" t="inlineStr">
        <is>
          <t>مالي</t>
        </is>
      </c>
      <c r="I46" s="64" t="n">
        <v>0.08</v>
      </c>
      <c r="J46" s="15" t="inlineStr">
        <is>
          <t>مدير التشغيل</t>
        </is>
      </c>
      <c r="K46" s="11" t="inlineStr">
        <is>
          <t>نظام المحاسبة / ERP (D365)</t>
        </is>
      </c>
      <c r="L46" s="15" t="inlineStr">
        <is>
          <t>شهري</t>
        </is>
      </c>
      <c r="M46" s="15" t="inlineStr">
        <is>
          <t>الإدارة المالية</t>
        </is>
      </c>
      <c r="N46" s="57" t="n"/>
    </row>
    <row r="47" ht="30" customHeight="1">
      <c r="A47" s="15" t="n">
        <v>45</v>
      </c>
      <c r="B47" s="13" t="inlineStr">
        <is>
          <t>التشغيل والمحطات</t>
        </is>
      </c>
      <c r="C47" s="21" t="inlineStr">
        <is>
          <t>نسبة جاهزية المحطة الشاملة (Uptime)</t>
        </is>
      </c>
      <c r="D47" s="76" t="inlineStr">
        <is>
          <t>يقيس نسبة جاهزية المحطة الشاملة (Uptime) ضمن محور «حماية الإيراد»، ويعكس مساهمة الإدارة في ركيزة الاستدامة.</t>
        </is>
      </c>
      <c r="E47" s="11" t="inlineStr">
        <is>
          <t>(المتحقّق ÷ الإجمالي) × 100٪</t>
        </is>
      </c>
      <c r="F47" s="15" t="inlineStr">
        <is>
          <t>🎯 نتيجة</t>
        </is>
      </c>
      <c r="G47" s="11" t="inlineStr">
        <is>
          <t>الاستدامة · جودة التشغيل</t>
        </is>
      </c>
      <c r="H47" s="15" t="inlineStr">
        <is>
          <t>العمليات الداخلية</t>
        </is>
      </c>
      <c r="I47" s="64" t="n">
        <v>0.07000000000000001</v>
      </c>
      <c r="J47" s="15" t="inlineStr">
        <is>
          <t>مدير التشغيل</t>
        </is>
      </c>
      <c r="K47" s="11" t="inlineStr">
        <is>
          <t>نظام المحاسبة / ERP (D365)</t>
        </is>
      </c>
      <c r="L47" s="15" t="inlineStr">
        <is>
          <t>شهري</t>
        </is>
      </c>
      <c r="M47" s="15" t="inlineStr">
        <is>
          <t>الإدارة المالية</t>
        </is>
      </c>
      <c r="N47" s="57" t="n"/>
    </row>
    <row r="48" ht="30" customHeight="1">
      <c r="A48" s="15" t="n">
        <v>46</v>
      </c>
      <c r="B48" s="13" t="inlineStr">
        <is>
          <t>التشغيل والمحطات</t>
        </is>
      </c>
      <c r="C48" s="21" t="inlineStr">
        <is>
          <t>نسبة المضخات العاملة</t>
        </is>
      </c>
      <c r="D48" s="76" t="inlineStr">
        <is>
          <t>يقيس نسبة المضخات العاملة ضمن محور «حماية الإيراد»، ويعكس مساهمة الإدارة في ركيزة الاستدامة.</t>
        </is>
      </c>
      <c r="E48" s="11" t="inlineStr">
        <is>
          <t>(المتحقّق ÷ الإجمالي) × 100٪</t>
        </is>
      </c>
      <c r="F48" s="15" t="inlineStr">
        <is>
          <t>🔧 تشغيلي</t>
        </is>
      </c>
      <c r="G48" s="11" t="inlineStr">
        <is>
          <t>الاستدامة · جودة التشغيل</t>
        </is>
      </c>
      <c r="H48" s="15" t="inlineStr">
        <is>
          <t>العمليات الداخلية</t>
        </is>
      </c>
      <c r="I48" s="64" t="n">
        <v>0.05</v>
      </c>
      <c r="J48" s="15" t="inlineStr">
        <is>
          <t>مدير التشغيل</t>
        </is>
      </c>
      <c r="K48" s="11" t="inlineStr">
        <is>
          <t>نظام المحاسبة / ERP (D365)</t>
        </is>
      </c>
      <c r="L48" s="15" t="inlineStr">
        <is>
          <t>شهري</t>
        </is>
      </c>
      <c r="M48" s="15" t="inlineStr">
        <is>
          <t>الإدارة المالية</t>
        </is>
      </c>
      <c r="N48" s="57" t="n"/>
    </row>
    <row r="49" ht="30" customHeight="1">
      <c r="A49" s="15" t="n">
        <v>47</v>
      </c>
      <c r="B49" s="13" t="inlineStr">
        <is>
          <t>التشغيل والمحطات</t>
        </is>
      </c>
      <c r="C49" s="21" t="inlineStr">
        <is>
          <t>تكلفة التشغيل لكل لتر مباع</t>
        </is>
      </c>
      <c r="D49" s="76" t="inlineStr">
        <is>
          <t>يقيس تكلفة التشغيل لكل لتر مباع ضمن محور «ضغط التكلفة»، ويعكس مساهمة الإدارة في ركيزة الاستدامة.</t>
        </is>
      </c>
      <c r="E49" s="11" t="inlineStr">
        <is>
          <t>إجمالي العدد خلال الفترة</t>
        </is>
      </c>
      <c r="F49" s="15" t="inlineStr">
        <is>
          <t>🔧 تشغيلي</t>
        </is>
      </c>
      <c r="G49" s="11" t="inlineStr">
        <is>
          <t>الاستدامة · جودة التشغيل</t>
        </is>
      </c>
      <c r="H49" s="15" t="inlineStr">
        <is>
          <t>مالي</t>
        </is>
      </c>
      <c r="I49" s="64" t="n">
        <v>0.05</v>
      </c>
      <c r="J49" s="15" t="inlineStr">
        <is>
          <t>مدير التشغيل</t>
        </is>
      </c>
      <c r="K49" s="11" t="inlineStr">
        <is>
          <t>نظام تشغيل المحطات</t>
        </is>
      </c>
      <c r="L49" s="15" t="inlineStr">
        <is>
          <t>ربعي</t>
        </is>
      </c>
      <c r="M49" s="15" t="inlineStr">
        <is>
          <t>مدير التشغيل</t>
        </is>
      </c>
      <c r="N49" s="57" t="n"/>
    </row>
    <row r="50" ht="30" customHeight="1">
      <c r="A50" s="15" t="n">
        <v>48</v>
      </c>
      <c r="B50" s="13" t="inlineStr">
        <is>
          <t>التشغيل والمحطات</t>
        </is>
      </c>
      <c r="C50" s="21" t="inlineStr">
        <is>
          <t>نسبة الصيانة الوقائية المنفذة في موعدها</t>
        </is>
      </c>
      <c r="D50" s="76" t="inlineStr">
        <is>
          <t>يقيس نسبة الصيانة الوقائية المنفذة في موعدها ضمن محور «حماية الأصول»، ويعكس مساهمة الإدارة في ركيزة الاستدامة.</t>
        </is>
      </c>
      <c r="E50" s="11" t="inlineStr">
        <is>
          <t>(المتحقّق ÷ الإجمالي) × 100٪</t>
        </is>
      </c>
      <c r="F50" s="15" t="inlineStr">
        <is>
          <t>🔧 تشغيلي</t>
        </is>
      </c>
      <c r="G50" s="11" t="inlineStr">
        <is>
          <t>الاستدامة · جودة التشغيل</t>
        </is>
      </c>
      <c r="H50" s="15" t="inlineStr">
        <is>
          <t>العمليات الداخلية</t>
        </is>
      </c>
      <c r="I50" s="64" t="n">
        <v>0.05</v>
      </c>
      <c r="J50" s="15" t="inlineStr">
        <is>
          <t>مدير التشغيل</t>
        </is>
      </c>
      <c r="K50" s="11" t="inlineStr">
        <is>
          <t>نظام تشغيل المحطات</t>
        </is>
      </c>
      <c r="L50" s="15" t="inlineStr">
        <is>
          <t>شهري</t>
        </is>
      </c>
      <c r="M50" s="15" t="inlineStr">
        <is>
          <t>مدير التشغيل</t>
        </is>
      </c>
      <c r="N50" s="57" t="n"/>
    </row>
    <row r="51" ht="30" customHeight="1">
      <c r="A51" s="15" t="n">
        <v>49</v>
      </c>
      <c r="B51" s="13" t="inlineStr">
        <is>
          <t>التشغيل والمحطات</t>
        </is>
      </c>
      <c r="C51" s="21" t="inlineStr">
        <is>
          <t>نسبة انخفاض الشكاوى مقارنة بالشهر السابق</t>
        </is>
      </c>
      <c r="D51" s="76" t="inlineStr">
        <is>
          <t>يقيس نسبة انخفاض الشكاوى مقارنة بالشهر السابق ضمن محور «تجربة العميل»، ويعكس مساهمة الإدارة في ركيزة الاستدامة.</t>
        </is>
      </c>
      <c r="E51" s="11" t="inlineStr">
        <is>
          <t>(المتحقّق ÷ الإجمالي) × 100٪</t>
        </is>
      </c>
      <c r="F51" s="15" t="inlineStr">
        <is>
          <t>🎯 نتيجة</t>
        </is>
      </c>
      <c r="G51" s="11" t="inlineStr">
        <is>
          <t>الاستدامة · تعزيز تجربة العملاء</t>
        </is>
      </c>
      <c r="H51" s="15" t="inlineStr">
        <is>
          <t>العملاء</t>
        </is>
      </c>
      <c r="I51" s="64" t="n">
        <v>0.05</v>
      </c>
      <c r="J51" s="15" t="inlineStr">
        <is>
          <t>مدير التشغيل</t>
        </is>
      </c>
      <c r="K51" s="11" t="inlineStr">
        <is>
          <t>سجلات الإدارة</t>
        </is>
      </c>
      <c r="L51" s="15" t="inlineStr">
        <is>
          <t>شهري</t>
        </is>
      </c>
      <c r="M51" s="15" t="inlineStr">
        <is>
          <t>مدير التشغيل</t>
        </is>
      </c>
      <c r="N51" s="57" t="n"/>
    </row>
    <row r="52" ht="30" customHeight="1">
      <c r="A52" s="15" t="n">
        <v>50</v>
      </c>
      <c r="B52" s="13" t="inlineStr">
        <is>
          <t>التشغيل والمحطات</t>
        </is>
      </c>
      <c r="C52" s="21" t="inlineStr">
        <is>
          <t>تقييم Google Maps للمحطات</t>
        </is>
      </c>
      <c r="D52" s="76" t="inlineStr">
        <is>
          <t>يقيس تقييم Google Maps للمحطات ضمن محور «تجربة العميل»، ويعكس مساهمة الإدارة في ركيزة الاستدامة.</t>
        </is>
      </c>
      <c r="E52" s="11" t="inlineStr">
        <is>
          <t>متوسط التقييم (من 5)</t>
        </is>
      </c>
      <c r="F52" s="15" t="inlineStr">
        <is>
          <t>🎯 نتيجة</t>
        </is>
      </c>
      <c r="G52" s="11" t="inlineStr">
        <is>
          <t>الاستدامة · تعزيز تجربة العملاء</t>
        </is>
      </c>
      <c r="H52" s="15" t="inlineStr">
        <is>
          <t>العملاء</t>
        </is>
      </c>
      <c r="I52" s="64" t="n">
        <v>0.07000000000000001</v>
      </c>
      <c r="J52" s="15" t="inlineStr">
        <is>
          <t>مدير التشغيل</t>
        </is>
      </c>
      <c r="K52" s="11" t="inlineStr">
        <is>
          <t>تقييمات خرائط قوقل</t>
        </is>
      </c>
      <c r="L52" s="15" t="inlineStr">
        <is>
          <t>شهري</t>
        </is>
      </c>
      <c r="M52" s="15" t="inlineStr">
        <is>
          <t>مدير التشغيل</t>
        </is>
      </c>
      <c r="N52" s="57" t="n"/>
    </row>
    <row r="53" ht="30" customHeight="1">
      <c r="A53" s="15" t="n">
        <v>51</v>
      </c>
      <c r="B53" s="13" t="inlineStr">
        <is>
          <t>التشغيل والمحطات</t>
        </is>
      </c>
      <c r="C53" s="21" t="inlineStr">
        <is>
          <t>سرعة تعبئة الوقود</t>
        </is>
      </c>
      <c r="D53" s="76" t="inlineStr">
        <is>
          <t>يقيس سرعة تعبئة الوقود ضمن محور «تجربة العميل»، ويعكس مساهمة الإدارة في ركيزة الاستدامة.</t>
        </is>
      </c>
      <c r="E53" s="11" t="inlineStr">
        <is>
          <t>متوسط دقيقة خلال الفترة</t>
        </is>
      </c>
      <c r="F53" s="15" t="inlineStr">
        <is>
          <t>🔧 تشغيلي</t>
        </is>
      </c>
      <c r="G53" s="11" t="inlineStr">
        <is>
          <t>الاستدامة · تعزيز تجربة العملاء</t>
        </is>
      </c>
      <c r="H53" s="15" t="inlineStr">
        <is>
          <t>العمليات الداخلية</t>
        </is>
      </c>
      <c r="I53" s="64" t="n">
        <v>0.05</v>
      </c>
      <c r="J53" s="15" t="inlineStr">
        <is>
          <t>مدير التشغيل</t>
        </is>
      </c>
      <c r="K53" s="11" t="inlineStr">
        <is>
          <t>نظام تشغيل المحطات</t>
        </is>
      </c>
      <c r="L53" s="15" t="inlineStr">
        <is>
          <t>شهري</t>
        </is>
      </c>
      <c r="M53" s="15" t="inlineStr">
        <is>
          <t>مدير التشغيل</t>
        </is>
      </c>
      <c r="N53" s="57" t="n"/>
    </row>
    <row r="54" ht="30" customHeight="1">
      <c r="A54" s="15" t="n">
        <v>52</v>
      </c>
      <c r="B54" s="13" t="inlineStr">
        <is>
          <t>التشغيل والمحطات</t>
        </is>
      </c>
      <c r="C54" s="21" t="inlineStr">
        <is>
          <t>دقة التعبئة بدون أخطاء</t>
        </is>
      </c>
      <c r="D54" s="76" t="inlineStr">
        <is>
          <t>يقيس دقة التعبئة بدون أخطاء ضمن محور «تجربة العميل»، ويعكس مساهمة الإدارة في ركيزة الاستدامة.</t>
        </is>
      </c>
      <c r="E54" s="11" t="inlineStr">
        <is>
          <t>(المتحقّق ÷ الإجمالي) × 100٪</t>
        </is>
      </c>
      <c r="F54" s="15" t="inlineStr">
        <is>
          <t>🎯 نتيجة</t>
        </is>
      </c>
      <c r="G54" s="11" t="inlineStr">
        <is>
          <t>الاستدامة · جودة التشغيل</t>
        </is>
      </c>
      <c r="H54" s="15" t="inlineStr">
        <is>
          <t>العمليات الداخلية</t>
        </is>
      </c>
      <c r="I54" s="64" t="n">
        <v>0.05</v>
      </c>
      <c r="J54" s="15" t="inlineStr">
        <is>
          <t>مدير التشغيل</t>
        </is>
      </c>
      <c r="K54" s="11" t="inlineStr">
        <is>
          <t>نظام تشغيل المحطات</t>
        </is>
      </c>
      <c r="L54" s="15" t="inlineStr">
        <is>
          <t>شهري</t>
        </is>
      </c>
      <c r="M54" s="15" t="inlineStr">
        <is>
          <t>مدير التشغيل</t>
        </is>
      </c>
      <c r="N54" s="57" t="n"/>
    </row>
    <row r="55" ht="30" customHeight="1">
      <c r="A55" s="15" t="n">
        <v>53</v>
      </c>
      <c r="B55" s="13" t="inlineStr">
        <is>
          <t>التشغيل والمحطات</t>
        </is>
      </c>
      <c r="C55" s="21" t="inlineStr">
        <is>
          <t>تطبيق المعيار الشامل في المحطات</t>
        </is>
      </c>
      <c r="D55" s="76" t="inlineStr">
        <is>
          <t>يقيس تطبيق المعيار الشامل في المحطات ضمن محور «تجربة العميل»، ويعكس مساهمة الإدارة في ركيزة الابتكار.</t>
        </is>
      </c>
      <c r="E55" s="11" t="inlineStr">
        <is>
          <t>(المتحقّق ÷ الإجمالي) × 100٪</t>
        </is>
      </c>
      <c r="F55" s="15" t="inlineStr">
        <is>
          <t>🔧 تشغيلي</t>
        </is>
      </c>
      <c r="G55" s="11" t="inlineStr">
        <is>
          <t>الابتكار · التحول التقني</t>
        </is>
      </c>
      <c r="H55" s="15" t="inlineStr">
        <is>
          <t>التعلّم والنمو</t>
        </is>
      </c>
      <c r="I55" s="64" t="n">
        <v>0.02</v>
      </c>
      <c r="J55" s="15" t="inlineStr">
        <is>
          <t>مدير التشغيل</t>
        </is>
      </c>
      <c r="K55" s="11" t="inlineStr">
        <is>
          <t>نظام تشغيل المحطات</t>
        </is>
      </c>
      <c r="L55" s="15" t="inlineStr">
        <is>
          <t>شهري</t>
        </is>
      </c>
      <c r="M55" s="15" t="inlineStr">
        <is>
          <t>مدير التشغيل</t>
        </is>
      </c>
      <c r="N55" s="57" t="n"/>
    </row>
    <row r="56" ht="30" customHeight="1">
      <c r="A56" s="15" t="n">
        <v>54</v>
      </c>
      <c r="B56" s="13" t="inlineStr">
        <is>
          <t>التشغيل والمحطات</t>
        </is>
      </c>
      <c r="C56" s="21" t="inlineStr">
        <is>
          <t>الالتزام بمعايير السلامة داخل المحطة</t>
        </is>
      </c>
      <c r="D56" s="76" t="inlineStr">
        <is>
          <t>يقيس الالتزام بمعايير السلامة داخل المحطة ضمن محور «السلامة»، ويعكس مساهمة الإدارة في ركيزة الاستدامة.</t>
        </is>
      </c>
      <c r="E56" s="11" t="inlineStr">
        <is>
          <t>(المتحقّق ÷ الإجمالي) × 100٪</t>
        </is>
      </c>
      <c r="F56" s="15" t="inlineStr">
        <is>
          <t>🎯 نتيجة</t>
        </is>
      </c>
      <c r="G56" s="11" t="inlineStr">
        <is>
          <t>الاستدامة · جودة التشغيل</t>
        </is>
      </c>
      <c r="H56" s="15" t="inlineStr">
        <is>
          <t>العمليات الداخلية</t>
        </is>
      </c>
      <c r="I56" s="64" t="n">
        <v>0.07000000000000001</v>
      </c>
      <c r="J56" s="15" t="inlineStr">
        <is>
          <t>مدير التشغيل</t>
        </is>
      </c>
      <c r="K56" s="11" t="inlineStr">
        <is>
          <t>نظام تشغيل المحطات</t>
        </is>
      </c>
      <c r="L56" s="15" t="inlineStr">
        <is>
          <t>شهري</t>
        </is>
      </c>
      <c r="M56" s="15" t="inlineStr">
        <is>
          <t>مدير التشغيل</t>
        </is>
      </c>
      <c r="N56" s="57" t="n"/>
    </row>
    <row r="57" ht="30" customHeight="1">
      <c r="A57" s="15" t="n">
        <v>55</v>
      </c>
      <c r="B57" s="13" t="inlineStr">
        <is>
          <t>التشغيل والمحطات</t>
        </is>
      </c>
      <c r="C57" s="21" t="inlineStr">
        <is>
          <t>التشجير داخل المحطة (معيار الوزارة)</t>
        </is>
      </c>
      <c r="D57" s="76" t="inlineStr">
        <is>
          <t>يقيس التشجير داخل المحطة (معيار الوزارة) ضمن محور «البيئة»، ويعكس مساهمة الإدارة في ركيزة الاستدامة.</t>
        </is>
      </c>
      <c r="E57" s="11" t="inlineStr">
        <is>
          <t>(المتحقّق ÷ الإجمالي) × 100٪</t>
        </is>
      </c>
      <c r="F57" s="15" t="inlineStr">
        <is>
          <t>🔧 تشغيلي</t>
        </is>
      </c>
      <c r="G57" s="11" t="inlineStr">
        <is>
          <t>الاستدامة · جودة التشغيل</t>
        </is>
      </c>
      <c r="H57" s="15" t="inlineStr">
        <is>
          <t>العمليات الداخلية</t>
        </is>
      </c>
      <c r="I57" s="64" t="n">
        <v>0.07000000000000001</v>
      </c>
      <c r="J57" s="15" t="inlineStr">
        <is>
          <t>مدير التشغيل</t>
        </is>
      </c>
      <c r="K57" s="11" t="inlineStr">
        <is>
          <t>نظام تشغيل المحطات</t>
        </is>
      </c>
      <c r="L57" s="15" t="inlineStr">
        <is>
          <t>شهري</t>
        </is>
      </c>
      <c r="M57" s="15" t="inlineStr">
        <is>
          <t>مدير التشغيل</t>
        </is>
      </c>
      <c r="N57" s="57" t="n"/>
    </row>
    <row r="58" ht="30" customHeight="1">
      <c r="A58" s="15" t="n">
        <v>56</v>
      </c>
      <c r="B58" s="13" t="inlineStr">
        <is>
          <t>الاستثمار</t>
        </is>
      </c>
      <c r="C58" s="21" t="inlineStr">
        <is>
          <t>إجمالي عقود الاستثمار الجديدة (جميع النماذج)</t>
        </is>
      </c>
      <c r="D58" s="76" t="inlineStr">
        <is>
          <t>يقيس إجمالي عقود الاستثمار الجديدة (جميع النماذج) ضمن محور «نمو المحفظة»، ويعكس مساهمة الإدارة في ركيزة النمو.</t>
        </is>
      </c>
      <c r="E58" s="11" t="inlineStr">
        <is>
          <t>إجمالي العدد خلال الفترة</t>
        </is>
      </c>
      <c r="F58" s="15" t="inlineStr">
        <is>
          <t>🔧 تشغيلي</t>
        </is>
      </c>
      <c r="G58" s="11" t="inlineStr">
        <is>
          <t>النمو · التوسع في المواقع</t>
        </is>
      </c>
      <c r="H58" s="15" t="inlineStr">
        <is>
          <t>العمليات الداخلية</t>
        </is>
      </c>
      <c r="I58" s="64" t="n">
        <v>0.05</v>
      </c>
      <c r="J58" s="15" t="inlineStr">
        <is>
          <t>مدير الاستثمار</t>
        </is>
      </c>
      <c r="K58" s="11" t="inlineStr">
        <is>
          <t>نظام إدارة العقود (CRM)</t>
        </is>
      </c>
      <c r="L58" s="15" t="inlineStr">
        <is>
          <t>شهري</t>
        </is>
      </c>
      <c r="M58" s="15" t="inlineStr">
        <is>
          <t>مدير الاستثمار</t>
        </is>
      </c>
      <c r="N58" s="57" t="n"/>
    </row>
    <row r="59" ht="30" customHeight="1">
      <c r="A59" s="15" t="n">
        <v>57</v>
      </c>
      <c r="B59" s="13" t="inlineStr">
        <is>
          <t>الاستثمار</t>
        </is>
      </c>
      <c r="C59" s="21" t="inlineStr">
        <is>
          <t>عقود الاستثمار العادي الجديدة</t>
        </is>
      </c>
      <c r="D59" s="76" t="inlineStr">
        <is>
          <t>يقيس عقود الاستثمار العادي الجديدة ضمن محور «نمو المحفظة»، ويعكس مساهمة الإدارة في ركيزة النمو.</t>
        </is>
      </c>
      <c r="E59" s="11" t="inlineStr">
        <is>
          <t>إجمالي العدد خلال الفترة</t>
        </is>
      </c>
      <c r="F59" s="15" t="inlineStr">
        <is>
          <t>🔧 تشغيلي</t>
        </is>
      </c>
      <c r="G59" s="11" t="inlineStr">
        <is>
          <t>النمو · التوسع في المواقع</t>
        </is>
      </c>
      <c r="H59" s="15" t="inlineStr">
        <is>
          <t>العمليات الداخلية</t>
        </is>
      </c>
      <c r="I59" s="64" t="n">
        <v>0.05</v>
      </c>
      <c r="J59" s="15" t="inlineStr">
        <is>
          <t>مدير الاستثمار</t>
        </is>
      </c>
      <c r="K59" s="11" t="inlineStr">
        <is>
          <t>نظام إدارة العقود (CRM)</t>
        </is>
      </c>
      <c r="L59" s="15" t="inlineStr">
        <is>
          <t>شهري</t>
        </is>
      </c>
      <c r="M59" s="15" t="inlineStr">
        <is>
          <t>مدير الاستثمار</t>
        </is>
      </c>
      <c r="N59" s="57" t="n"/>
    </row>
    <row r="60" ht="30" customHeight="1">
      <c r="A60" s="15" t="n">
        <v>58</v>
      </c>
      <c r="B60" s="13" t="inlineStr">
        <is>
          <t>الاستثمار</t>
        </is>
      </c>
      <c r="C60" s="21" t="inlineStr">
        <is>
          <t>عقود الاستحواذ الجديدة</t>
        </is>
      </c>
      <c r="D60" s="76" t="inlineStr">
        <is>
          <t>يقيس عقود الاستحواذ الجديدة ضمن محور «نمو المحفظة»، ويعكس مساهمة الإدارة في ركيزة النمو.</t>
        </is>
      </c>
      <c r="E60" s="11" t="inlineStr">
        <is>
          <t>إجمالي العدد خلال الفترة</t>
        </is>
      </c>
      <c r="F60" s="15" t="inlineStr">
        <is>
          <t>🔧 تشغيلي</t>
        </is>
      </c>
      <c r="G60" s="11" t="inlineStr">
        <is>
          <t>النمو · التوسع في المواقع</t>
        </is>
      </c>
      <c r="H60" s="15" t="inlineStr">
        <is>
          <t>العمليات الداخلية</t>
        </is>
      </c>
      <c r="I60" s="64" t="n">
        <v>0.05</v>
      </c>
      <c r="J60" s="15" t="inlineStr">
        <is>
          <t>مدير الاستثمار</t>
        </is>
      </c>
      <c r="K60" s="11" t="inlineStr">
        <is>
          <t>نظام إدارة العقود (CRM)</t>
        </is>
      </c>
      <c r="L60" s="15" t="inlineStr">
        <is>
          <t>شهري</t>
        </is>
      </c>
      <c r="M60" s="15" t="inlineStr">
        <is>
          <t>مدير الاستثمار</t>
        </is>
      </c>
      <c r="N60" s="57" t="n"/>
    </row>
    <row r="61" ht="30" customHeight="1">
      <c r="A61" s="15" t="n">
        <v>59</v>
      </c>
      <c r="B61" s="13" t="inlineStr">
        <is>
          <t>الاستثمار</t>
        </is>
      </c>
      <c r="C61" s="21" t="inlineStr">
        <is>
          <t>المحطات المستحوَذ عليها المشغّلة (تراكمي)</t>
        </is>
      </c>
      <c r="D61" s="76" t="inlineStr">
        <is>
          <t>يقيس المحطات المستحوَذ عليها المشغّلة (تراكمي) ضمن محور «نمو المحفظة»، ويعكس مساهمة الإدارة في ركيزة النمو.</t>
        </is>
      </c>
      <c r="E61" s="11" t="inlineStr">
        <is>
          <t>إجمالي العدد خلال الفترة</t>
        </is>
      </c>
      <c r="F61" s="15" t="inlineStr">
        <is>
          <t>🔧 تشغيلي</t>
        </is>
      </c>
      <c r="G61" s="11" t="inlineStr">
        <is>
          <t>النمو · التوسع في المواقع</t>
        </is>
      </c>
      <c r="H61" s="15" t="inlineStr">
        <is>
          <t>العمليات الداخلية</t>
        </is>
      </c>
      <c r="I61" s="64" t="n">
        <v>0.05</v>
      </c>
      <c r="J61" s="15" t="inlineStr">
        <is>
          <t>مدير الاستثمار</t>
        </is>
      </c>
      <c r="K61" s="11" t="inlineStr">
        <is>
          <t>نظام تشغيل المحطات</t>
        </is>
      </c>
      <c r="L61" s="15" t="inlineStr">
        <is>
          <t>شهري</t>
        </is>
      </c>
      <c r="M61" s="15" t="inlineStr">
        <is>
          <t>مدير الاستثمار</t>
        </is>
      </c>
      <c r="N61" s="57" t="n"/>
    </row>
    <row r="62" ht="30" customHeight="1">
      <c r="A62" s="15" t="n">
        <v>60</v>
      </c>
      <c r="B62" s="13" t="inlineStr">
        <is>
          <t>الاستثمار</t>
        </is>
      </c>
      <c r="C62" s="21" t="inlineStr">
        <is>
          <t>عقود تأجير الأرض الجديدة</t>
        </is>
      </c>
      <c r="D62" s="76" t="inlineStr">
        <is>
          <t>يقيس عقود تأجير الأرض الجديدة ضمن محور «نمو المحفظة»، ويعكس مساهمة الإدارة في ركيزة النمو.</t>
        </is>
      </c>
      <c r="E62" s="11" t="inlineStr">
        <is>
          <t>إجمالي العدد خلال الفترة</t>
        </is>
      </c>
      <c r="F62" s="15" t="inlineStr">
        <is>
          <t>🔧 تشغيلي</t>
        </is>
      </c>
      <c r="G62" s="11" t="inlineStr">
        <is>
          <t>النمو · التوسع في المواقع</t>
        </is>
      </c>
      <c r="H62" s="15" t="inlineStr">
        <is>
          <t>العمليات الداخلية</t>
        </is>
      </c>
      <c r="I62" s="64" t="n">
        <v>0.05</v>
      </c>
      <c r="J62" s="15" t="inlineStr">
        <is>
          <t>مدير الاستثمار</t>
        </is>
      </c>
      <c r="K62" s="11" t="inlineStr">
        <is>
          <t>نظام إدارة العقود (CRM)</t>
        </is>
      </c>
      <c r="L62" s="15" t="inlineStr">
        <is>
          <t>شهري</t>
        </is>
      </c>
      <c r="M62" s="15" t="inlineStr">
        <is>
          <t>مدير الاستثمار</t>
        </is>
      </c>
      <c r="N62" s="57" t="n"/>
    </row>
    <row r="63" ht="30" customHeight="1">
      <c r="A63" s="15" t="n">
        <v>61</v>
      </c>
      <c r="B63" s="13" t="inlineStr">
        <is>
          <t>الاستثمار</t>
        </is>
      </c>
      <c r="C63" s="21" t="inlineStr">
        <is>
          <t>عقود إيجار المحطة الجديدة</t>
        </is>
      </c>
      <c r="D63" s="76" t="inlineStr">
        <is>
          <t>يقيس عقود إيجار المحطة الجديدة ضمن محور «نمو المحفظة»، ويعكس مساهمة الإدارة في ركيزة النمو.</t>
        </is>
      </c>
      <c r="E63" s="11" t="inlineStr">
        <is>
          <t>إجمالي العدد خلال الفترة</t>
        </is>
      </c>
      <c r="F63" s="15" t="inlineStr">
        <is>
          <t>🔧 تشغيلي</t>
        </is>
      </c>
      <c r="G63" s="11" t="inlineStr">
        <is>
          <t>النمو · التوسع في المواقع</t>
        </is>
      </c>
      <c r="H63" s="15" t="inlineStr">
        <is>
          <t>العمليات الداخلية</t>
        </is>
      </c>
      <c r="I63" s="64" t="n">
        <v>0.05</v>
      </c>
      <c r="J63" s="15" t="inlineStr">
        <is>
          <t>مدير الاستثمار</t>
        </is>
      </c>
      <c r="K63" s="11" t="inlineStr">
        <is>
          <t>نظام إدارة العقود (CRM)</t>
        </is>
      </c>
      <c r="L63" s="15" t="inlineStr">
        <is>
          <t>شهري</t>
        </is>
      </c>
      <c r="M63" s="15" t="inlineStr">
        <is>
          <t>مدير الاستثمار</t>
        </is>
      </c>
      <c r="N63" s="57" t="n"/>
    </row>
    <row r="64" ht="30" customHeight="1">
      <c r="A64" s="15" t="n">
        <v>62</v>
      </c>
      <c r="B64" s="13" t="inlineStr">
        <is>
          <t>الاستثمار</t>
        </is>
      </c>
      <c r="C64" s="21" t="inlineStr">
        <is>
          <t>عقود تشغيل المحطة الجديدة</t>
        </is>
      </c>
      <c r="D64" s="76" t="inlineStr">
        <is>
          <t>يقيس عقود تشغيل المحطة الجديدة ضمن محور «نمو المحفظة»، ويعكس مساهمة الإدارة في ركيزة النمو.</t>
        </is>
      </c>
      <c r="E64" s="11" t="inlineStr">
        <is>
          <t>إجمالي العدد خلال الفترة</t>
        </is>
      </c>
      <c r="F64" s="15" t="inlineStr">
        <is>
          <t>🔧 تشغيلي</t>
        </is>
      </c>
      <c r="G64" s="11" t="inlineStr">
        <is>
          <t>النمو · التوسع في المواقع</t>
        </is>
      </c>
      <c r="H64" s="15" t="inlineStr">
        <is>
          <t>العمليات الداخلية</t>
        </is>
      </c>
      <c r="I64" s="64" t="n">
        <v>0.05</v>
      </c>
      <c r="J64" s="15" t="inlineStr">
        <is>
          <t>مدير الاستثمار</t>
        </is>
      </c>
      <c r="K64" s="11" t="inlineStr">
        <is>
          <t>نظام إدارة العقود (CRM)</t>
        </is>
      </c>
      <c r="L64" s="15" t="inlineStr">
        <is>
          <t>شهري</t>
        </is>
      </c>
      <c r="M64" s="15" t="inlineStr">
        <is>
          <t>مدير الاستثمار</t>
        </is>
      </c>
      <c r="N64" s="57" t="n"/>
    </row>
    <row r="65" ht="30" customHeight="1">
      <c r="A65" s="15" t="n">
        <v>63</v>
      </c>
      <c r="B65" s="13" t="inlineStr">
        <is>
          <t>الاستثمار</t>
        </is>
      </c>
      <c r="C65" s="21" t="inlineStr">
        <is>
          <t>نسبة المواقع المعتمدة ذات العائد المجدي</t>
        </is>
      </c>
      <c r="D65" s="76" t="inlineStr">
        <is>
          <t>يقيس نسبة المواقع المعتمدة ذات العائد المجدي ضمن محور «الربحية وجودة الموقع»، ويعكس مساهمة الإدارة في ركيزة الاستدامة.</t>
        </is>
      </c>
      <c r="E65" s="11" t="inlineStr">
        <is>
          <t>(المتحقّق ÷ الإجمالي) × 100٪</t>
        </is>
      </c>
      <c r="F65" s="15" t="inlineStr">
        <is>
          <t>🎯 نتيجة</t>
        </is>
      </c>
      <c r="G65" s="11" t="inlineStr">
        <is>
          <t>الاستدامة · جودة التشغيل</t>
        </is>
      </c>
      <c r="H65" s="15" t="inlineStr">
        <is>
          <t>مالي</t>
        </is>
      </c>
      <c r="I65" s="64" t="n">
        <v>0.05</v>
      </c>
      <c r="J65" s="15" t="inlineStr">
        <is>
          <t>مدير الاستثمار</t>
        </is>
      </c>
      <c r="K65" s="11" t="inlineStr">
        <is>
          <t>نظام المحاسبة / ERP (D365)</t>
        </is>
      </c>
      <c r="L65" s="15" t="inlineStr">
        <is>
          <t>شهري</t>
        </is>
      </c>
      <c r="M65" s="15" t="inlineStr">
        <is>
          <t>الإدارة المالية</t>
        </is>
      </c>
      <c r="N65" s="57" t="n"/>
    </row>
    <row r="66" ht="30" customHeight="1">
      <c r="A66" s="15" t="n">
        <v>64</v>
      </c>
      <c r="B66" s="13" t="inlineStr">
        <is>
          <t>الاستثمار</t>
        </is>
      </c>
      <c r="C66" s="21" t="inlineStr">
        <is>
          <t>متوسط فترة استرداد رأس المال</t>
        </is>
      </c>
      <c r="D66" s="76" t="inlineStr">
        <is>
          <t>يقيس متوسط فترة استرداد رأس المال ضمن محور «الربحية وجودة الموقع»، ويعكس مساهمة الإدارة في ركيزة الاستدامة.</t>
        </is>
      </c>
      <c r="E66" s="11" t="inlineStr">
        <is>
          <t>متوسط سنة خلال الفترة</t>
        </is>
      </c>
      <c r="F66" s="15" t="inlineStr">
        <is>
          <t>🔧 تشغيلي</t>
        </is>
      </c>
      <c r="G66" s="11" t="inlineStr">
        <is>
          <t>الاستدامة · جودة التشغيل</t>
        </is>
      </c>
      <c r="H66" s="15" t="inlineStr">
        <is>
          <t>مالي</t>
        </is>
      </c>
      <c r="I66" s="64" t="n">
        <v>0.03</v>
      </c>
      <c r="J66" s="15" t="inlineStr">
        <is>
          <t>مدير الاستثمار</t>
        </is>
      </c>
      <c r="K66" s="11" t="inlineStr">
        <is>
          <t>نظام المحاسبة / ERP (D365)</t>
        </is>
      </c>
      <c r="L66" s="15" t="inlineStr">
        <is>
          <t>شهري</t>
        </is>
      </c>
      <c r="M66" s="15" t="inlineStr">
        <is>
          <t>الإدارة المالية</t>
        </is>
      </c>
      <c r="N66" s="57" t="n"/>
    </row>
    <row r="67" ht="30" customHeight="1">
      <c r="A67" s="15" t="n">
        <v>65</v>
      </c>
      <c r="B67" s="13" t="inlineStr">
        <is>
          <t>الاستثمار</t>
        </is>
      </c>
      <c r="C67" s="21" t="inlineStr">
        <is>
          <t>متوسط قيمة عقد الإيجار السنوي (أرض)</t>
        </is>
      </c>
      <c r="D67" s="76" t="inlineStr">
        <is>
          <t>يقيس متوسط قيمة عقد الإيجار السنوي (أرض) ضمن محور «الربحية وجودة الموقع»، ويعكس مساهمة الإدارة في ركيزة النمو.</t>
        </is>
      </c>
      <c r="E67" s="11" t="inlineStr">
        <is>
          <t>إجمالي القيمة (ر.س) خلال الفترة</t>
        </is>
      </c>
      <c r="F67" s="15" t="inlineStr">
        <is>
          <t>🎯 نتيجة</t>
        </is>
      </c>
      <c r="G67" s="11" t="inlineStr">
        <is>
          <t>النمو · التوسع في المواقع</t>
        </is>
      </c>
      <c r="H67" s="15" t="inlineStr">
        <is>
          <t>مالي</t>
        </is>
      </c>
      <c r="I67" s="64" t="n">
        <v>0.05</v>
      </c>
      <c r="J67" s="15" t="inlineStr">
        <is>
          <t>مدير الاستثمار</t>
        </is>
      </c>
      <c r="K67" s="11" t="inlineStr">
        <is>
          <t>نظام المحاسبة / ERP (D365)</t>
        </is>
      </c>
      <c r="L67" s="15" t="inlineStr">
        <is>
          <t>شهري</t>
        </is>
      </c>
      <c r="M67" s="15" t="inlineStr">
        <is>
          <t>الإدارة المالية</t>
        </is>
      </c>
      <c r="N67" s="57" t="n"/>
    </row>
    <row r="68" ht="30" customHeight="1">
      <c r="A68" s="15" t="n">
        <v>66</v>
      </c>
      <c r="B68" s="13" t="inlineStr">
        <is>
          <t>الاستثمار</t>
        </is>
      </c>
      <c r="C68" s="21" t="inlineStr">
        <is>
          <t>نسبة العقود التي تغطي المناطق الـ13</t>
        </is>
      </c>
      <c r="D68" s="76" t="inlineStr">
        <is>
          <t>يقيس نسبة العقود التي تغطي المناطق الـ13 ضمن محور «التوسع الإقليمي»، ويعكس مساهمة الإدارة في ركيزة النمو.</t>
        </is>
      </c>
      <c r="E68" s="11" t="inlineStr">
        <is>
          <t>(المتحقّق ÷ الإجمالي) × 100٪</t>
        </is>
      </c>
      <c r="F68" s="15" t="inlineStr">
        <is>
          <t>🔧 تشغيلي</t>
        </is>
      </c>
      <c r="G68" s="11" t="inlineStr">
        <is>
          <t>النمو · التوسع في المواقع</t>
        </is>
      </c>
      <c r="H68" s="15" t="inlineStr">
        <is>
          <t>العمليات الداخلية</t>
        </is>
      </c>
      <c r="I68" s="64" t="n">
        <v>0.05</v>
      </c>
      <c r="J68" s="15" t="inlineStr">
        <is>
          <t>مدير الاستثمار</t>
        </is>
      </c>
      <c r="K68" s="11" t="inlineStr">
        <is>
          <t>نظام إدارة العقود (CRM)</t>
        </is>
      </c>
      <c r="L68" s="15" t="inlineStr">
        <is>
          <t>شهري</t>
        </is>
      </c>
      <c r="M68" s="15" t="inlineStr">
        <is>
          <t>مدير الاستثمار</t>
        </is>
      </c>
      <c r="N68" s="57" t="n"/>
    </row>
    <row r="69" ht="30" customHeight="1">
      <c r="A69" s="15" t="n">
        <v>67</v>
      </c>
      <c r="B69" s="13" t="inlineStr">
        <is>
          <t>الاستثمار</t>
        </is>
      </c>
      <c r="C69" s="21" t="inlineStr">
        <is>
          <t>نسبة العقود خارج المدن الرئيسية</t>
        </is>
      </c>
      <c r="D69" s="76" t="inlineStr">
        <is>
          <t>يقيس نسبة العقود خارج المدن الرئيسية ضمن محور «التوسع الإقليمي»، ويعكس مساهمة الإدارة في ركيزة النمو.</t>
        </is>
      </c>
      <c r="E69" s="11" t="inlineStr">
        <is>
          <t>(المتحقّق ÷ الإجمالي) × 100٪</t>
        </is>
      </c>
      <c r="F69" s="15" t="inlineStr">
        <is>
          <t>🔧 تشغيلي</t>
        </is>
      </c>
      <c r="G69" s="11" t="inlineStr">
        <is>
          <t>النمو · التوسع في المواقع</t>
        </is>
      </c>
      <c r="H69" s="15" t="inlineStr">
        <is>
          <t>العمليات الداخلية</t>
        </is>
      </c>
      <c r="I69" s="64" t="n">
        <v>0.05</v>
      </c>
      <c r="J69" s="15" t="inlineStr">
        <is>
          <t>مدير الاستثمار</t>
        </is>
      </c>
      <c r="K69" s="11" t="inlineStr">
        <is>
          <t>نظام إدارة العقود (CRM)</t>
        </is>
      </c>
      <c r="L69" s="15" t="inlineStr">
        <is>
          <t>شهري</t>
        </is>
      </c>
      <c r="M69" s="15" t="inlineStr">
        <is>
          <t>مدير الاستثمار</t>
        </is>
      </c>
      <c r="N69" s="57" t="n"/>
    </row>
    <row r="70" ht="30" customHeight="1">
      <c r="A70" s="15" t="n">
        <v>68</v>
      </c>
      <c r="B70" s="13" t="inlineStr">
        <is>
          <t>الاستثمار</t>
        </is>
      </c>
      <c r="C70" s="21" t="inlineStr">
        <is>
          <t>نسبة العقود في الـ12 مدينة الرئيسية</t>
        </is>
      </c>
      <c r="D70" s="76" t="inlineStr">
        <is>
          <t>يقيس نسبة العقود في الـ12 مدينة الرئيسية ضمن محور «التوسع الإقليمي»، ويعكس مساهمة الإدارة في ركيزة النمو.</t>
        </is>
      </c>
      <c r="E70" s="11" t="inlineStr">
        <is>
          <t>(المتحقّق ÷ الإجمالي) × 100٪</t>
        </is>
      </c>
      <c r="F70" s="15" t="inlineStr">
        <is>
          <t>🔧 تشغيلي</t>
        </is>
      </c>
      <c r="G70" s="11" t="inlineStr">
        <is>
          <t>النمو · التوسع في المواقع</t>
        </is>
      </c>
      <c r="H70" s="15" t="inlineStr">
        <is>
          <t>العمليات الداخلية</t>
        </is>
      </c>
      <c r="I70" s="64" t="n">
        <v>0.05</v>
      </c>
      <c r="J70" s="15" t="inlineStr">
        <is>
          <t>مدير الاستثمار</t>
        </is>
      </c>
      <c r="K70" s="11" t="inlineStr">
        <is>
          <t>نظام المحاسبة / ERP (D365)</t>
        </is>
      </c>
      <c r="L70" s="15" t="inlineStr">
        <is>
          <t>شهري</t>
        </is>
      </c>
      <c r="M70" s="15" t="inlineStr">
        <is>
          <t>الإدارة المالية</t>
        </is>
      </c>
      <c r="N70" s="57" t="n"/>
    </row>
    <row r="71" ht="30" customHeight="1">
      <c r="A71" s="15" t="n">
        <v>69</v>
      </c>
      <c r="B71" s="13" t="inlineStr">
        <is>
          <t>الاستثمار</t>
        </is>
      </c>
      <c r="C71" s="21" t="inlineStr">
        <is>
          <t>نسبة العقود على الطرق الإقليمية</t>
        </is>
      </c>
      <c r="D71" s="76" t="inlineStr">
        <is>
          <t>يقيس نسبة العقود على الطرق الإقليمية ضمن محور «التوسع الإقليمي»، ويعكس مساهمة الإدارة في ركيزة النمو.</t>
        </is>
      </c>
      <c r="E71" s="11" t="inlineStr">
        <is>
          <t>(المتحقّق ÷ الإجمالي) × 100٪</t>
        </is>
      </c>
      <c r="F71" s="15" t="inlineStr">
        <is>
          <t>🔧 تشغيلي</t>
        </is>
      </c>
      <c r="G71" s="11" t="inlineStr">
        <is>
          <t>النمو · التوسع في المواقع</t>
        </is>
      </c>
      <c r="H71" s="15" t="inlineStr">
        <is>
          <t>العمليات الداخلية</t>
        </is>
      </c>
      <c r="I71" s="64" t="n">
        <v>0.05</v>
      </c>
      <c r="J71" s="15" t="inlineStr">
        <is>
          <t>مدير الاستثمار</t>
        </is>
      </c>
      <c r="K71" s="11" t="inlineStr">
        <is>
          <t>نظام إدارة العقود (CRM)</t>
        </is>
      </c>
      <c r="L71" s="15" t="inlineStr">
        <is>
          <t>شهري</t>
        </is>
      </c>
      <c r="M71" s="15" t="inlineStr">
        <is>
          <t>مدير الاستثمار</t>
        </is>
      </c>
      <c r="N71" s="57" t="n"/>
    </row>
    <row r="72" ht="30" customHeight="1">
      <c r="A72" s="15" t="n">
        <v>70</v>
      </c>
      <c r="B72" s="13" t="inlineStr">
        <is>
          <t>الاستثمار</t>
        </is>
      </c>
      <c r="C72" s="21" t="inlineStr">
        <is>
          <t>متوسط مدة إغلاق عقد الاستثمار</t>
        </is>
      </c>
      <c r="D72" s="76" t="inlineStr">
        <is>
          <t>يقيس متوسط مدة إغلاق عقد الاستثمار ضمن محور «كفاءة الدورة»، ويعكس مساهمة الإدارة في ركيزة النمو.</t>
        </is>
      </c>
      <c r="E72" s="11" t="inlineStr">
        <is>
          <t>متوسط أسبوع خلال الفترة</t>
        </is>
      </c>
      <c r="F72" s="15" t="inlineStr">
        <is>
          <t>🎯 نتيجة</t>
        </is>
      </c>
      <c r="G72" s="11" t="inlineStr">
        <is>
          <t>النمو · التوسع في المواقع</t>
        </is>
      </c>
      <c r="H72" s="15" t="inlineStr">
        <is>
          <t>العمليات الداخلية</t>
        </is>
      </c>
      <c r="I72" s="64" t="n">
        <v>0.05</v>
      </c>
      <c r="J72" s="15" t="inlineStr">
        <is>
          <t>مدير الاستثمار</t>
        </is>
      </c>
      <c r="K72" s="11" t="inlineStr">
        <is>
          <t>نظام إدارة العقود (CRM)</t>
        </is>
      </c>
      <c r="L72" s="15" t="inlineStr">
        <is>
          <t>شهري</t>
        </is>
      </c>
      <c r="M72" s="15" t="inlineStr">
        <is>
          <t>مدير الاستثمار</t>
        </is>
      </c>
      <c r="N72" s="57" t="n"/>
    </row>
    <row r="73" ht="30" customHeight="1">
      <c r="A73" s="15" t="n">
        <v>71</v>
      </c>
      <c r="B73" s="13" t="inlineStr">
        <is>
          <t>الاستثمار</t>
        </is>
      </c>
      <c r="C73" s="21" t="inlineStr">
        <is>
          <t>نسبة العقود المتحوّلة لمحطات مشغّلة</t>
        </is>
      </c>
      <c r="D73" s="76" t="inlineStr">
        <is>
          <t>يقيس نسبة العقود المتحوّلة لمحطات مشغّلة ضمن محور «كفاءة الدورة»، ويعكس مساهمة الإدارة في ركيزة النمو.</t>
        </is>
      </c>
      <c r="E73" s="11" t="inlineStr">
        <is>
          <t>(المتحقّق ÷ الإجمالي) × 100٪</t>
        </is>
      </c>
      <c r="F73" s="15" t="inlineStr">
        <is>
          <t>🔧 تشغيلي</t>
        </is>
      </c>
      <c r="G73" s="11" t="inlineStr">
        <is>
          <t>النمو · التوسع في المواقع</t>
        </is>
      </c>
      <c r="H73" s="15" t="inlineStr">
        <is>
          <t>العمليات الداخلية</t>
        </is>
      </c>
      <c r="I73" s="64" t="n">
        <v>0.05</v>
      </c>
      <c r="J73" s="15" t="inlineStr">
        <is>
          <t>مدير الاستثمار</t>
        </is>
      </c>
      <c r="K73" s="11" t="inlineStr">
        <is>
          <t>نظام إدارة العقود (CRM)</t>
        </is>
      </c>
      <c r="L73" s="15" t="inlineStr">
        <is>
          <t>شهري</t>
        </is>
      </c>
      <c r="M73" s="15" t="inlineStr">
        <is>
          <t>مدير الاستثمار</t>
        </is>
      </c>
      <c r="N73" s="57" t="n"/>
    </row>
    <row r="74" ht="30" customHeight="1">
      <c r="A74" s="15" t="n">
        <v>72</v>
      </c>
      <c r="B74" s="13" t="inlineStr">
        <is>
          <t>الاستثمار</t>
        </is>
      </c>
      <c r="C74" s="21" t="inlineStr">
        <is>
          <t>نسبة تخفيض إيجار المواقع عالية التكاليف</t>
        </is>
      </c>
      <c r="D74" s="76" t="inlineStr">
        <is>
          <t>يقيس نسبة تخفيض إيجار المواقع عالية التكاليف ضمن محور «كفاءة الدورة»، ويعكس مساهمة الإدارة في ركيزة الاستدامة.</t>
        </is>
      </c>
      <c r="E74" s="11" t="inlineStr">
        <is>
          <t>(المتحقّق ÷ الإجمالي) × 100٪</t>
        </is>
      </c>
      <c r="F74" s="15" t="inlineStr">
        <is>
          <t>🔧 تشغيلي</t>
        </is>
      </c>
      <c r="G74" s="11" t="inlineStr">
        <is>
          <t>الاستدامة · جودة التشغيل</t>
        </is>
      </c>
      <c r="H74" s="15" t="inlineStr">
        <is>
          <t>العمليات الداخلية</t>
        </is>
      </c>
      <c r="I74" s="64" t="n">
        <v>0.03</v>
      </c>
      <c r="J74" s="15" t="inlineStr">
        <is>
          <t>مدير الاستثمار</t>
        </is>
      </c>
      <c r="K74" s="11" t="inlineStr">
        <is>
          <t>نظام إدارة العقود (CRM)</t>
        </is>
      </c>
      <c r="L74" s="15" t="inlineStr">
        <is>
          <t>شهري</t>
        </is>
      </c>
      <c r="M74" s="15" t="inlineStr">
        <is>
          <t>مدير الاستثمار</t>
        </is>
      </c>
      <c r="N74" s="57" t="n"/>
    </row>
    <row r="75" ht="30" customHeight="1">
      <c r="A75" s="15" t="n">
        <v>73</v>
      </c>
      <c r="B75" s="13" t="inlineStr">
        <is>
          <t>الاستثمار</t>
        </is>
      </c>
      <c r="C75" s="21" t="inlineStr">
        <is>
          <t>نسبة اكتمال المستندات النظامية قبل التوقيع</t>
        </is>
      </c>
      <c r="D75" s="76" t="inlineStr">
        <is>
          <t>يقيس نسبة اكتمال المستندات النظامية قبل التوقيع ضمن محور «الامتثال»، ويعكس مساهمة الإدارة في ركيزة الاستدامة.</t>
        </is>
      </c>
      <c r="E75" s="11" t="inlineStr">
        <is>
          <t>(المتحقّق ÷ الإجمالي) × 100٪</t>
        </is>
      </c>
      <c r="F75" s="15" t="inlineStr">
        <is>
          <t>⚙️ نشاط</t>
        </is>
      </c>
      <c r="G75" s="11" t="inlineStr">
        <is>
          <t>الاستدامة · جودة التشغيل</t>
        </is>
      </c>
      <c r="H75" s="15" t="inlineStr">
        <is>
          <t>العمليات الداخلية</t>
        </is>
      </c>
      <c r="I75" s="64" t="n">
        <v>0.01</v>
      </c>
      <c r="J75" s="15" t="inlineStr">
        <is>
          <t>مدير الاستثمار</t>
        </is>
      </c>
      <c r="K75" s="11" t="inlineStr">
        <is>
          <t>نظام إدارة الجودة (QMS)</t>
        </is>
      </c>
      <c r="L75" s="15" t="inlineStr">
        <is>
          <t>شهري</t>
        </is>
      </c>
      <c r="M75" s="15" t="inlineStr">
        <is>
          <t>مدير الاستثمار</t>
        </is>
      </c>
      <c r="N75" s="57" t="n"/>
    </row>
    <row r="76" ht="30" customHeight="1">
      <c r="A76" s="15" t="n">
        <v>74</v>
      </c>
      <c r="B76" s="13" t="inlineStr">
        <is>
          <t>الاستثمار</t>
        </is>
      </c>
      <c r="C76" s="21" t="inlineStr">
        <is>
          <t>نسبة العقود المؤرشفة إلكترونياً خلال 48 ساعة</t>
        </is>
      </c>
      <c r="D76" s="76" t="inlineStr">
        <is>
          <t>يقيس نسبة العقود المؤرشفة إلكترونياً خلال 48 ساعة ضمن محور «الامتثال»، ويعكس مساهمة الإدارة في ركيزة الاستدامة.</t>
        </is>
      </c>
      <c r="E76" s="11" t="inlineStr">
        <is>
          <t>(المتحقّق ÷ الإجمالي) × 100٪</t>
        </is>
      </c>
      <c r="F76" s="15" t="inlineStr">
        <is>
          <t>🔧 تشغيلي</t>
        </is>
      </c>
      <c r="G76" s="11" t="inlineStr">
        <is>
          <t>الاستدامة · جودة التشغيل</t>
        </is>
      </c>
      <c r="H76" s="15" t="inlineStr">
        <is>
          <t>العمليات الداخلية</t>
        </is>
      </c>
      <c r="I76" s="64" t="n">
        <v>0.05</v>
      </c>
      <c r="J76" s="15" t="inlineStr">
        <is>
          <t>مدير الاستثمار</t>
        </is>
      </c>
      <c r="K76" s="11" t="inlineStr">
        <is>
          <t>نظام إدارة الجودة (QMS)</t>
        </is>
      </c>
      <c r="L76" s="15" t="inlineStr">
        <is>
          <t>شهري</t>
        </is>
      </c>
      <c r="M76" s="15" t="inlineStr">
        <is>
          <t>مدير الاستثمار</t>
        </is>
      </c>
      <c r="N76" s="57" t="n"/>
    </row>
    <row r="77" ht="30" customHeight="1">
      <c r="A77" s="15" t="n">
        <v>75</v>
      </c>
      <c r="B77" s="13" t="inlineStr">
        <is>
          <t>الاستثمار</t>
        </is>
      </c>
      <c r="C77" s="21" t="inlineStr">
        <is>
          <t>جودة التفاوض مع المستثمرين</t>
        </is>
      </c>
      <c r="D77" s="76" t="inlineStr">
        <is>
          <t>يقيس جودة التفاوض مع المستثمرين ضمن محور «جودة التعاقد»، ويعكس مساهمة الإدارة في ركيزة النمو.</t>
        </is>
      </c>
      <c r="E77" s="11" t="inlineStr">
        <is>
          <t>(المتحقّق ÷ الإجمالي) × 100٪</t>
        </is>
      </c>
      <c r="F77" s="15" t="inlineStr">
        <is>
          <t>🔧 تشغيلي</t>
        </is>
      </c>
      <c r="G77" s="11" t="inlineStr">
        <is>
          <t>النمو · التوسع في المواقع</t>
        </is>
      </c>
      <c r="H77" s="15" t="inlineStr">
        <is>
          <t>العمليات الداخلية</t>
        </is>
      </c>
      <c r="I77" s="64" t="n">
        <v>0.03</v>
      </c>
      <c r="J77" s="15" t="inlineStr">
        <is>
          <t>مدير الاستثمار</t>
        </is>
      </c>
      <c r="K77" s="11" t="inlineStr">
        <is>
          <t>نظام إدارة الجودة (QMS)</t>
        </is>
      </c>
      <c r="L77" s="15" t="inlineStr">
        <is>
          <t>شهري</t>
        </is>
      </c>
      <c r="M77" s="15" t="inlineStr">
        <is>
          <t>مدير الاستثمار</t>
        </is>
      </c>
      <c r="N77" s="57" t="n"/>
    </row>
    <row r="78" ht="30" customHeight="1">
      <c r="A78" s="15" t="n">
        <v>76</v>
      </c>
      <c r="B78" s="13" t="inlineStr">
        <is>
          <t>الاستثمار</t>
        </is>
      </c>
      <c r="C78" s="21" t="inlineStr">
        <is>
          <t>سرعة إنجاز إجراءات التعاقد</t>
        </is>
      </c>
      <c r="D78" s="76" t="inlineStr">
        <is>
          <t>يقيس سرعة إنجاز إجراءات التعاقد ضمن محور «جودة التعاقد»، ويعكس مساهمة الإدارة في ركيزة النمو.</t>
        </is>
      </c>
      <c r="E78" s="11" t="inlineStr">
        <is>
          <t>متوسط أسبوع خلال الفترة</t>
        </is>
      </c>
      <c r="F78" s="15" t="inlineStr">
        <is>
          <t>🔧 تشغيلي</t>
        </is>
      </c>
      <c r="G78" s="11" t="inlineStr">
        <is>
          <t>النمو · التوسع في المواقع</t>
        </is>
      </c>
      <c r="H78" s="15" t="inlineStr">
        <is>
          <t>العمليات الداخلية</t>
        </is>
      </c>
      <c r="I78" s="64" t="n">
        <v>0.03</v>
      </c>
      <c r="J78" s="15" t="inlineStr">
        <is>
          <t>مدير الاستثمار</t>
        </is>
      </c>
      <c r="K78" s="11" t="inlineStr">
        <is>
          <t>نظام إدارة الجودة (QMS)</t>
        </is>
      </c>
      <c r="L78" s="15" t="inlineStr">
        <is>
          <t>شهري</t>
        </is>
      </c>
      <c r="M78" s="15" t="inlineStr">
        <is>
          <t>مدير الاستثمار</t>
        </is>
      </c>
      <c r="N78" s="57" t="n"/>
    </row>
    <row r="79" ht="30" customHeight="1">
      <c r="A79" s="15" t="n">
        <v>77</v>
      </c>
      <c r="B79" s="13" t="inlineStr">
        <is>
          <t>الاستثمار</t>
        </is>
      </c>
      <c r="C79" s="21" t="inlineStr">
        <is>
          <t>مدى رضا المستثمرين وشركاء الاستثمار</t>
        </is>
      </c>
      <c r="D79" s="76" t="inlineStr">
        <is>
          <t>يقيس مدى رضا المستثمرين وشركاء الاستثمار ضمن محور «جودة التعاقد»، ويعكس مساهمة الإدارة في ركيزة الاستدامة.</t>
        </is>
      </c>
      <c r="E79" s="11" t="inlineStr">
        <is>
          <t>(المتحقّق ÷ الإجمالي) × 100٪</t>
        </is>
      </c>
      <c r="F79" s="15" t="inlineStr">
        <is>
          <t>🎯 نتيجة</t>
        </is>
      </c>
      <c r="G79" s="11" t="inlineStr">
        <is>
          <t>الاستدامة · تعزيز تجربة العملاء</t>
        </is>
      </c>
      <c r="H79" s="15" t="inlineStr">
        <is>
          <t>العملاء</t>
        </is>
      </c>
      <c r="I79" s="64" t="n">
        <v>0.05</v>
      </c>
      <c r="J79" s="15" t="inlineStr">
        <is>
          <t>مدير الاستثمار</t>
        </is>
      </c>
      <c r="K79" s="11" t="inlineStr">
        <is>
          <t>استبيان دوري</t>
        </is>
      </c>
      <c r="L79" s="15" t="inlineStr">
        <is>
          <t>ربعي</t>
        </is>
      </c>
      <c r="M79" s="15" t="inlineStr">
        <is>
          <t>مدير الاستثمار</t>
        </is>
      </c>
      <c r="N79" s="57" t="n"/>
    </row>
    <row r="80" ht="30" customHeight="1">
      <c r="A80" s="15" t="n">
        <v>78</v>
      </c>
      <c r="B80" s="13" t="inlineStr">
        <is>
          <t>الاستثمار</t>
        </is>
      </c>
      <c r="C80" s="21" t="inlineStr">
        <is>
          <t>نسبة اكتمال أرشفة ملفات العملاء</t>
        </is>
      </c>
      <c r="D80" s="76" t="inlineStr">
        <is>
          <t>يقيس نسبة اكتمال أرشفة ملفات العملاء ضمن محور «جودة التعاقد»، ويعكس مساهمة الإدارة في ركيزة الاستدامة.</t>
        </is>
      </c>
      <c r="E80" s="11" t="inlineStr">
        <is>
          <t>(المتحقّق ÷ الإجمالي) × 100٪</t>
        </is>
      </c>
      <c r="F80" s="15" t="inlineStr">
        <is>
          <t>⚙️ نشاط</t>
        </is>
      </c>
      <c r="G80" s="11" t="inlineStr">
        <is>
          <t>الاستدامة · جودة التشغيل</t>
        </is>
      </c>
      <c r="H80" s="15" t="inlineStr">
        <is>
          <t>العملاء</t>
        </is>
      </c>
      <c r="I80" s="64" t="n">
        <v>0.01</v>
      </c>
      <c r="J80" s="15" t="inlineStr">
        <is>
          <t>مدير الاستثمار</t>
        </is>
      </c>
      <c r="K80" s="11" t="inlineStr">
        <is>
          <t>نظام إدارة الجودة (QMS)</t>
        </is>
      </c>
      <c r="L80" s="15" t="inlineStr">
        <is>
          <t>شهري</t>
        </is>
      </c>
      <c r="M80" s="15" t="inlineStr">
        <is>
          <t>مدير الاستثمار</t>
        </is>
      </c>
      <c r="N80" s="57" t="n"/>
    </row>
    <row r="81" ht="30" customHeight="1">
      <c r="A81" s="15" t="n">
        <v>79</v>
      </c>
      <c r="B81" s="13" t="inlineStr">
        <is>
          <t>الاستثمار</t>
        </is>
      </c>
      <c r="C81" s="21" t="inlineStr">
        <is>
          <t>نسبة إنجاز التقارير الدورية في موعدها</t>
        </is>
      </c>
      <c r="D81" s="76" t="inlineStr">
        <is>
          <t>يقيس نسبة إنجاز التقارير الدورية في موعدها ضمن محور «جودة التعاقد»، ويعكس مساهمة الإدارة في ركيزة الاستدامة.</t>
        </is>
      </c>
      <c r="E81" s="11" t="inlineStr">
        <is>
          <t>(المتحقّق ÷ الإجمالي) × 100٪</t>
        </is>
      </c>
      <c r="F81" s="15" t="inlineStr">
        <is>
          <t>⚙️ نشاط</t>
        </is>
      </c>
      <c r="G81" s="11" t="inlineStr">
        <is>
          <t>الاستدامة · جودة التشغيل</t>
        </is>
      </c>
      <c r="H81" s="15" t="inlineStr">
        <is>
          <t>العمليات الداخلية</t>
        </is>
      </c>
      <c r="I81" s="64" t="n">
        <v>0.01</v>
      </c>
      <c r="J81" s="15" t="inlineStr">
        <is>
          <t>مدير الاستثمار</t>
        </is>
      </c>
      <c r="K81" s="11" t="inlineStr">
        <is>
          <t>نظام إدارة الجودة (QMS)</t>
        </is>
      </c>
      <c r="L81" s="15" t="inlineStr">
        <is>
          <t>شهري</t>
        </is>
      </c>
      <c r="M81" s="15" t="inlineStr">
        <is>
          <t>مدير الاستثمار</t>
        </is>
      </c>
      <c r="N81" s="57" t="n"/>
    </row>
    <row r="82" ht="30" customHeight="1">
      <c r="A82" s="15" t="n">
        <v>80</v>
      </c>
      <c r="B82" s="13" t="inlineStr">
        <is>
          <t>العقار</t>
        </is>
      </c>
      <c r="C82" s="21" t="inlineStr">
        <is>
          <t>نمو الإيرادات الإيجارية</t>
        </is>
      </c>
      <c r="D82" s="76" t="inlineStr">
        <is>
          <t>يقيس نمو الإيرادات الإيجارية ضمن محور «الإدارة»، ويعكس مساهمة الإدارة في ركيزة الاستدامة.</t>
        </is>
      </c>
      <c r="E82" s="11" t="inlineStr">
        <is>
          <t>(المتحقّق ÷ الإجمالي) × 100٪</t>
        </is>
      </c>
      <c r="F82" s="15" t="inlineStr">
        <is>
          <t>🎯 نتيجة</t>
        </is>
      </c>
      <c r="G82" s="11" t="inlineStr">
        <is>
          <t>الاستدامة · منظومة التأجير</t>
        </is>
      </c>
      <c r="H82" s="15" t="inlineStr">
        <is>
          <t>مالي</t>
        </is>
      </c>
      <c r="I82" s="64" t="n">
        <v>0.08</v>
      </c>
      <c r="J82" s="15" t="inlineStr">
        <is>
          <t>مدير العقار</t>
        </is>
      </c>
      <c r="K82" s="11" t="inlineStr">
        <is>
          <t>نظام المحاسبة / ERP (D365)</t>
        </is>
      </c>
      <c r="L82" s="15" t="inlineStr">
        <is>
          <t>ربعي</t>
        </is>
      </c>
      <c r="M82" s="15" t="inlineStr">
        <is>
          <t>الإدارة المالية</t>
        </is>
      </c>
      <c r="N82" s="57" t="n"/>
    </row>
    <row r="83" ht="30" customHeight="1">
      <c r="A83" s="15" t="n">
        <v>81</v>
      </c>
      <c r="B83" s="13" t="inlineStr">
        <is>
          <t>العقار</t>
        </is>
      </c>
      <c r="C83" s="21" t="inlineStr">
        <is>
          <t>نسبة الالتزام بالعقود</t>
        </is>
      </c>
      <c r="D83" s="76" t="inlineStr">
        <is>
          <t>يقيس نسبة الالتزام بالعقود ضمن محور «الإدارة»، ويعكس مساهمة الإدارة في ركيزة الاستدامة.</t>
        </is>
      </c>
      <c r="E83" s="11" t="inlineStr">
        <is>
          <t>(المتحقّق ÷ الإجمالي) × 100٪</t>
        </is>
      </c>
      <c r="F83" s="15" t="inlineStr">
        <is>
          <t>🎯 نتيجة</t>
        </is>
      </c>
      <c r="G83" s="11" t="inlineStr">
        <is>
          <t>الاستدامة · منظومة التأجير</t>
        </is>
      </c>
      <c r="H83" s="15" t="inlineStr">
        <is>
          <t>العمليات الداخلية</t>
        </is>
      </c>
      <c r="I83" s="64" t="n">
        <v>0.08</v>
      </c>
      <c r="J83" s="15" t="inlineStr">
        <is>
          <t>مدير العقار</t>
        </is>
      </c>
      <c r="K83" s="11" t="inlineStr">
        <is>
          <t>نظام إدارة العقود (CRM)</t>
        </is>
      </c>
      <c r="L83" s="15" t="inlineStr">
        <is>
          <t>شهري</t>
        </is>
      </c>
      <c r="M83" s="15" t="inlineStr">
        <is>
          <t>مدير العقار</t>
        </is>
      </c>
      <c r="N83" s="57" t="n"/>
    </row>
    <row r="84" ht="30" customHeight="1">
      <c r="A84" s="15" t="n">
        <v>82</v>
      </c>
      <c r="B84" s="13" t="inlineStr">
        <is>
          <t>العقار</t>
        </is>
      </c>
      <c r="C84" s="21" t="inlineStr">
        <is>
          <t>نسبة تحصيل الإيجارات</t>
        </is>
      </c>
      <c r="D84" s="76" t="inlineStr">
        <is>
          <t>يقيس نسبة تحصيل الإيجارات ضمن محور «الإدارة»، ويعكس مساهمة الإدارة في ركيزة الاستدامة.</t>
        </is>
      </c>
      <c r="E84" s="11" t="inlineStr">
        <is>
          <t>(المتحقّق ÷ الإجمالي) × 100٪</t>
        </is>
      </c>
      <c r="F84" s="15" t="inlineStr">
        <is>
          <t>🎯 نتيجة</t>
        </is>
      </c>
      <c r="G84" s="11" t="inlineStr">
        <is>
          <t>الاستدامة · منظومة التأجير</t>
        </is>
      </c>
      <c r="H84" s="15" t="inlineStr">
        <is>
          <t>مالي</t>
        </is>
      </c>
      <c r="I84" s="64" t="n">
        <v>0.08</v>
      </c>
      <c r="J84" s="15" t="inlineStr">
        <is>
          <t>مدير العقار</t>
        </is>
      </c>
      <c r="K84" s="11" t="inlineStr">
        <is>
          <t>نظام المحاسبة / ERP (D365)</t>
        </is>
      </c>
      <c r="L84" s="15" t="inlineStr">
        <is>
          <t>شهري</t>
        </is>
      </c>
      <c r="M84" s="15" t="inlineStr">
        <is>
          <t>الإدارة المالية</t>
        </is>
      </c>
      <c r="N84" s="57" t="n"/>
    </row>
    <row r="85" ht="30" customHeight="1">
      <c r="A85" s="15" t="n">
        <v>83</v>
      </c>
      <c r="B85" s="13" t="inlineStr">
        <is>
          <t>العقار</t>
        </is>
      </c>
      <c r="C85" s="21" t="inlineStr">
        <is>
          <t>نسبة الإشغال</t>
        </is>
      </c>
      <c r="D85" s="76" t="inlineStr">
        <is>
          <t>يقيس نسبة الإشغال ضمن محور «التأجير»، ويعكس مساهمة الإدارة في ركيزة الاستدامة.</t>
        </is>
      </c>
      <c r="E85" s="11" t="inlineStr">
        <is>
          <t>(المتحقّق ÷ الإجمالي) × 100٪</t>
        </is>
      </c>
      <c r="F85" s="15" t="inlineStr">
        <is>
          <t>🎯 نتيجة</t>
        </is>
      </c>
      <c r="G85" s="11" t="inlineStr">
        <is>
          <t>الاستدامة · منظومة التأجير</t>
        </is>
      </c>
      <c r="H85" s="15" t="inlineStr">
        <is>
          <t>العمليات الداخلية</t>
        </is>
      </c>
      <c r="I85" s="64" t="n">
        <v>0.08</v>
      </c>
      <c r="J85" s="15" t="inlineStr">
        <is>
          <t>مدير العقار</t>
        </is>
      </c>
      <c r="K85" s="11" t="inlineStr">
        <is>
          <t>نظام إدارة العقود (CRM)</t>
        </is>
      </c>
      <c r="L85" s="15" t="inlineStr">
        <is>
          <t>شهري</t>
        </is>
      </c>
      <c r="M85" s="15" t="inlineStr">
        <is>
          <t>مدير العقار</t>
        </is>
      </c>
      <c r="N85" s="57" t="n"/>
    </row>
    <row r="86" ht="30" customHeight="1">
      <c r="A86" s="15" t="n">
        <v>84</v>
      </c>
      <c r="B86" s="13" t="inlineStr">
        <is>
          <t>العقار</t>
        </is>
      </c>
      <c r="C86" s="21" t="inlineStr">
        <is>
          <t>الوحدات المؤجَّرة شهرياً</t>
        </is>
      </c>
      <c r="D86" s="76" t="inlineStr">
        <is>
          <t>يقيس الوحدات المؤجَّرة شهرياً ضمن محور «التأجير»، ويعكس مساهمة الإدارة في ركيزة الاستدامة.</t>
        </is>
      </c>
      <c r="E86" s="11" t="inlineStr">
        <is>
          <t>إجمالي العدد خلال الفترة</t>
        </is>
      </c>
      <c r="F86" s="15" t="inlineStr">
        <is>
          <t>🔧 تشغيلي</t>
        </is>
      </c>
      <c r="G86" s="11" t="inlineStr">
        <is>
          <t>الاستدامة · منظومة التأجير</t>
        </is>
      </c>
      <c r="H86" s="15" t="inlineStr">
        <is>
          <t>العمليات الداخلية</t>
        </is>
      </c>
      <c r="I86" s="64" t="n">
        <v>0.05</v>
      </c>
      <c r="J86" s="15" t="inlineStr">
        <is>
          <t>مدير العقار</t>
        </is>
      </c>
      <c r="K86" s="11" t="inlineStr">
        <is>
          <t>نظام إدارة العقود (CRM)</t>
        </is>
      </c>
      <c r="L86" s="15" t="inlineStr">
        <is>
          <t>شهري</t>
        </is>
      </c>
      <c r="M86" s="15" t="inlineStr">
        <is>
          <t>مدير العقار</t>
        </is>
      </c>
      <c r="N86" s="57" t="n"/>
    </row>
    <row r="87" ht="30" customHeight="1">
      <c r="A87" s="15" t="n">
        <v>85</v>
      </c>
      <c r="B87" s="13" t="inlineStr">
        <is>
          <t>العقار</t>
        </is>
      </c>
      <c r="C87" s="21" t="inlineStr">
        <is>
          <t>العملاء المحتملون (LEADS)</t>
        </is>
      </c>
      <c r="D87" s="76" t="inlineStr">
        <is>
          <t>يقيس العملاء المحتملون (LEADS) ضمن محور «التأجير»، ويعكس مساهمة الإدارة في ركيزة النمو.</t>
        </is>
      </c>
      <c r="E87" s="11" t="inlineStr">
        <is>
          <t>إجمالي العدد خلال الفترة</t>
        </is>
      </c>
      <c r="F87" s="15" t="inlineStr">
        <is>
          <t>🔧 تشغيلي</t>
        </is>
      </c>
      <c r="G87" s="11" t="inlineStr">
        <is>
          <t>النمو · زيادة وصول العملاء</t>
        </is>
      </c>
      <c r="H87" s="15" t="inlineStr">
        <is>
          <t>العملاء</t>
        </is>
      </c>
      <c r="I87" s="64" t="n">
        <v>0.05</v>
      </c>
      <c r="J87" s="15" t="inlineStr">
        <is>
          <t>مدير العقار</t>
        </is>
      </c>
      <c r="K87" s="11" t="inlineStr">
        <is>
          <t>نظام إدارة العقود (CRM)</t>
        </is>
      </c>
      <c r="L87" s="15" t="inlineStr">
        <is>
          <t>شهري</t>
        </is>
      </c>
      <c r="M87" s="15" t="inlineStr">
        <is>
          <t>مدير العقار</t>
        </is>
      </c>
      <c r="N87" s="57" t="n"/>
    </row>
    <row r="88" ht="30" customHeight="1">
      <c r="A88" s="15" t="n">
        <v>86</v>
      </c>
      <c r="B88" s="13" t="inlineStr">
        <is>
          <t>العقار</t>
        </is>
      </c>
      <c r="C88" s="21" t="inlineStr">
        <is>
          <t>معدل التحويل</t>
        </is>
      </c>
      <c r="D88" s="76" t="inlineStr">
        <is>
          <t>يقيس معدل التحويل ضمن محور «التأجير»، ويعكس مساهمة الإدارة في ركيزة النمو.</t>
        </is>
      </c>
      <c r="E88" s="11" t="inlineStr">
        <is>
          <t>(المتحقّق ÷ الإجمالي) × 100٪</t>
        </is>
      </c>
      <c r="F88" s="15" t="inlineStr">
        <is>
          <t>🔧 تشغيلي</t>
        </is>
      </c>
      <c r="G88" s="11" t="inlineStr">
        <is>
          <t>النمو · زيادة وصول العملاء</t>
        </is>
      </c>
      <c r="H88" s="15" t="inlineStr">
        <is>
          <t>العمليات الداخلية</t>
        </is>
      </c>
      <c r="I88" s="64" t="n">
        <v>0.08</v>
      </c>
      <c r="J88" s="15" t="inlineStr">
        <is>
          <t>مدير العقار</t>
        </is>
      </c>
      <c r="K88" s="11" t="inlineStr">
        <is>
          <t>نظام إدارة العقود (CRM)</t>
        </is>
      </c>
      <c r="L88" s="15" t="inlineStr">
        <is>
          <t>شهري</t>
        </is>
      </c>
      <c r="M88" s="15" t="inlineStr">
        <is>
          <t>مدير العقار</t>
        </is>
      </c>
      <c r="N88" s="57" t="n"/>
    </row>
    <row r="89" ht="30" customHeight="1">
      <c r="A89" s="15" t="n">
        <v>87</v>
      </c>
      <c r="B89" s="13" t="inlineStr">
        <is>
          <t>العقار</t>
        </is>
      </c>
      <c r="C89" s="21" t="inlineStr">
        <is>
          <t>زيادة عدد العلامات التجارية</t>
        </is>
      </c>
      <c r="D89" s="76" t="inlineStr">
        <is>
          <t>يقيس زيادة عدد العلامات التجارية ضمن محور «التأجير»، ويعكس مساهمة الإدارة في ركيزة الاستدامة.</t>
        </is>
      </c>
      <c r="E89" s="11" t="inlineStr">
        <is>
          <t>إجمالي العدد خلال الفترة</t>
        </is>
      </c>
      <c r="F89" s="15" t="inlineStr">
        <is>
          <t>⚙️ نشاط</t>
        </is>
      </c>
      <c r="G89" s="11" t="inlineStr">
        <is>
          <t>الاستدامة · منظومة التأجير</t>
        </is>
      </c>
      <c r="H89" s="15" t="inlineStr">
        <is>
          <t>العمليات الداخلية</t>
        </is>
      </c>
      <c r="I89" s="64" t="n">
        <v>0.05</v>
      </c>
      <c r="J89" s="15" t="inlineStr">
        <is>
          <t>مدير العقار</t>
        </is>
      </c>
      <c r="K89" s="11" t="inlineStr">
        <is>
          <t>نظام إدارة العقود (CRM)</t>
        </is>
      </c>
      <c r="L89" s="15" t="inlineStr">
        <is>
          <t>شهري</t>
        </is>
      </c>
      <c r="M89" s="15" t="inlineStr">
        <is>
          <t>مدير العقار</t>
        </is>
      </c>
      <c r="N89" s="57" t="n"/>
    </row>
    <row r="90" ht="30" customHeight="1">
      <c r="A90" s="15" t="n">
        <v>88</v>
      </c>
      <c r="B90" s="13" t="inlineStr">
        <is>
          <t>العقار</t>
        </is>
      </c>
      <c r="C90" s="21" t="inlineStr">
        <is>
          <t>نسبة تأجير ساحة درب</t>
        </is>
      </c>
      <c r="D90" s="76" t="inlineStr">
        <is>
          <t>يقيس نسبة تأجير ساحة درب ضمن محور «الإبداع والتكامل»، ويعكس مساهمة الإدارة في ركيزة الابتكار.</t>
        </is>
      </c>
      <c r="E90" s="11" t="inlineStr">
        <is>
          <t>(المتحقّق ÷ الإجمالي) × 100٪</t>
        </is>
      </c>
      <c r="F90" s="15" t="inlineStr">
        <is>
          <t>🔧 تشغيلي</t>
        </is>
      </c>
      <c r="G90" s="11" t="inlineStr">
        <is>
          <t>الابتكار · ساحات درب</t>
        </is>
      </c>
      <c r="H90" s="15" t="inlineStr">
        <is>
          <t>العمليات الداخلية</t>
        </is>
      </c>
      <c r="I90" s="64" t="n">
        <v>0.05</v>
      </c>
      <c r="J90" s="15" t="inlineStr">
        <is>
          <t>مدير العقار</t>
        </is>
      </c>
      <c r="K90" s="11" t="inlineStr">
        <is>
          <t>مكتب إدارة المشاريع (PMO)</t>
        </is>
      </c>
      <c r="L90" s="15" t="inlineStr">
        <is>
          <t>شهري</t>
        </is>
      </c>
      <c r="M90" s="15" t="inlineStr">
        <is>
          <t>مدير العقار</t>
        </is>
      </c>
      <c r="N90" s="57" t="n"/>
    </row>
    <row r="91" ht="30" customHeight="1">
      <c r="A91" s="15" t="n">
        <v>89</v>
      </c>
      <c r="B91" s="13" t="inlineStr">
        <is>
          <t>العقار</t>
        </is>
      </c>
      <c r="C91" s="21" t="inlineStr">
        <is>
          <t>علامات تجارية جديدة (ساحة درب)</t>
        </is>
      </c>
      <c r="D91" s="76" t="inlineStr">
        <is>
          <t>يقيس علامات تجارية جديدة (ساحة درب) ضمن محور «الإبداع والتكامل»، ويعكس مساهمة الإدارة في ركيزة الابتكار.</t>
        </is>
      </c>
      <c r="E91" s="11" t="inlineStr">
        <is>
          <t>إجمالي العدد خلال الفترة</t>
        </is>
      </c>
      <c r="F91" s="15" t="inlineStr">
        <is>
          <t>🔧 تشغيلي</t>
        </is>
      </c>
      <c r="G91" s="11" t="inlineStr">
        <is>
          <t>الابتكار · ساحات درب</t>
        </is>
      </c>
      <c r="H91" s="15" t="inlineStr">
        <is>
          <t>العمليات الداخلية</t>
        </is>
      </c>
      <c r="I91" s="64" t="n">
        <v>0.05</v>
      </c>
      <c r="J91" s="15" t="inlineStr">
        <is>
          <t>مدير العقار</t>
        </is>
      </c>
      <c r="K91" s="11" t="inlineStr">
        <is>
          <t>مكتب إدارة المشاريع (PMO)</t>
        </is>
      </c>
      <c r="L91" s="15" t="inlineStr">
        <is>
          <t>شهري</t>
        </is>
      </c>
      <c r="M91" s="15" t="inlineStr">
        <is>
          <t>مدير العقار</t>
        </is>
      </c>
      <c r="N91" s="57" t="n"/>
    </row>
    <row r="92" ht="30" customHeight="1">
      <c r="A92" s="15" t="n">
        <v>90</v>
      </c>
      <c r="B92" s="13" t="inlineStr">
        <is>
          <t>العقار</t>
        </is>
      </c>
      <c r="C92" s="21" t="inlineStr">
        <is>
          <t>الشراكات الاستراتيجية</t>
        </is>
      </c>
      <c r="D92" s="76" t="inlineStr">
        <is>
          <t>يقيس الشراكات الاستراتيجية ضمن محور «الإبداع والتكامل»، ويعكس مساهمة الإدارة في ركيزة الابتكار.</t>
        </is>
      </c>
      <c r="E92" s="11" t="inlineStr">
        <is>
          <t>إجمالي العدد خلال الفترة</t>
        </is>
      </c>
      <c r="F92" s="15" t="inlineStr">
        <is>
          <t>🔧 تشغيلي</t>
        </is>
      </c>
      <c r="G92" s="11" t="inlineStr">
        <is>
          <t>الابتكار · إطلاق مشاريع جديدة</t>
        </is>
      </c>
      <c r="H92" s="15" t="inlineStr">
        <is>
          <t>التعلّم والنمو</t>
        </is>
      </c>
      <c r="I92" s="64" t="n">
        <v>0.05</v>
      </c>
      <c r="J92" s="15" t="inlineStr">
        <is>
          <t>مدير العقار</t>
        </is>
      </c>
      <c r="K92" s="11" t="inlineStr">
        <is>
          <t>مكتب إدارة المشاريع (PMO)</t>
        </is>
      </c>
      <c r="L92" s="15" t="inlineStr">
        <is>
          <t>شهري</t>
        </is>
      </c>
      <c r="M92" s="15" t="inlineStr">
        <is>
          <t>مدير العقار</t>
        </is>
      </c>
      <c r="N92" s="57" t="n"/>
    </row>
    <row r="93" ht="30" customHeight="1">
      <c r="A93" s="15" t="n">
        <v>91</v>
      </c>
      <c r="B93" s="13" t="inlineStr">
        <is>
          <t>العقار</t>
        </is>
      </c>
      <c r="C93" s="21" t="inlineStr">
        <is>
          <t>نسبة تجديد العقود</t>
        </is>
      </c>
      <c r="D93" s="76" t="inlineStr">
        <is>
          <t>يقيس نسبة تجديد العقود ضمن محور «إدارة الأملاك»، ويعكس مساهمة الإدارة في ركيزة الاستدامة.</t>
        </is>
      </c>
      <c r="E93" s="11" t="inlineStr">
        <is>
          <t>(المتحقّق ÷ الإجمالي) × 100٪</t>
        </is>
      </c>
      <c r="F93" s="15" t="inlineStr">
        <is>
          <t>🎯 نتيجة</t>
        </is>
      </c>
      <c r="G93" s="11" t="inlineStr">
        <is>
          <t>الاستدامة · منظومة التأجير</t>
        </is>
      </c>
      <c r="H93" s="15" t="inlineStr">
        <is>
          <t>العمليات الداخلية</t>
        </is>
      </c>
      <c r="I93" s="64" t="n">
        <v>0.08</v>
      </c>
      <c r="J93" s="15" t="inlineStr">
        <is>
          <t>مدير العقار</t>
        </is>
      </c>
      <c r="K93" s="11" t="inlineStr">
        <is>
          <t>نظام إدارة العقود (CRM)</t>
        </is>
      </c>
      <c r="L93" s="15" t="inlineStr">
        <is>
          <t>شهري</t>
        </is>
      </c>
      <c r="M93" s="15" t="inlineStr">
        <is>
          <t>مدير العقار</t>
        </is>
      </c>
      <c r="N93" s="57" t="n"/>
    </row>
    <row r="94" ht="30" customHeight="1">
      <c r="A94" s="15" t="n">
        <v>92</v>
      </c>
      <c r="B94" s="13" t="inlineStr">
        <is>
          <t>العقار</t>
        </is>
      </c>
      <c r="C94" s="21" t="inlineStr">
        <is>
          <t>متوسط زمن تسليم الوحدة</t>
        </is>
      </c>
      <c r="D94" s="76" t="inlineStr">
        <is>
          <t>يقيس متوسط زمن تسليم الوحدة ضمن محور «تنسيق المشاريع»، ويعكس مساهمة الإدارة في ركيزة الاستدامة.</t>
        </is>
      </c>
      <c r="E94" s="11" t="inlineStr">
        <is>
          <t>متوسط يوم خلال الفترة</t>
        </is>
      </c>
      <c r="F94" s="15" t="inlineStr">
        <is>
          <t>🔧 تشغيلي</t>
        </is>
      </c>
      <c r="G94" s="11" t="inlineStr">
        <is>
          <t>الاستدامة · جودة التشغيل</t>
        </is>
      </c>
      <c r="H94" s="15" t="inlineStr">
        <is>
          <t>العمليات الداخلية</t>
        </is>
      </c>
      <c r="I94" s="64" t="n">
        <v>0.05</v>
      </c>
      <c r="J94" s="15" t="inlineStr">
        <is>
          <t>مدير العقار</t>
        </is>
      </c>
      <c r="K94" s="11" t="inlineStr">
        <is>
          <t>سجلات الإدارة</t>
        </is>
      </c>
      <c r="L94" s="15" t="inlineStr">
        <is>
          <t>شهري</t>
        </is>
      </c>
      <c r="M94" s="15" t="inlineStr">
        <is>
          <t>مدير العقار</t>
        </is>
      </c>
      <c r="N94" s="57" t="n"/>
    </row>
    <row r="95" ht="30" customHeight="1">
      <c r="A95" s="15" t="n">
        <v>93</v>
      </c>
      <c r="B95" s="13" t="inlineStr">
        <is>
          <t>العقار</t>
        </is>
      </c>
      <c r="C95" s="21" t="inlineStr">
        <is>
          <t>نسبة إغلاق الطلبات خلال 3 أسابيع</t>
        </is>
      </c>
      <c r="D95" s="76" t="inlineStr">
        <is>
          <t>يقيس نسبة إغلاق الطلبات خلال 3 أسابيع ضمن محور «تنسيق المشاريع»، ويعكس مساهمة الإدارة في ركيزة الاستدامة.</t>
        </is>
      </c>
      <c r="E95" s="11" t="inlineStr">
        <is>
          <t>(المتحقّق ÷ الإجمالي) × 100٪</t>
        </is>
      </c>
      <c r="F95" s="15" t="inlineStr">
        <is>
          <t>🎯 نتيجة</t>
        </is>
      </c>
      <c r="G95" s="11" t="inlineStr">
        <is>
          <t>الاستدامة · جودة التشغيل</t>
        </is>
      </c>
      <c r="H95" s="15" t="inlineStr">
        <is>
          <t>العمليات الداخلية</t>
        </is>
      </c>
      <c r="I95" s="64" t="n">
        <v>0.05</v>
      </c>
      <c r="J95" s="15" t="inlineStr">
        <is>
          <t>مدير العقار</t>
        </is>
      </c>
      <c r="K95" s="11" t="inlineStr">
        <is>
          <t>سجلات الإدارة</t>
        </is>
      </c>
      <c r="L95" s="15" t="inlineStr">
        <is>
          <t>شهري</t>
        </is>
      </c>
      <c r="M95" s="15" t="inlineStr">
        <is>
          <t>مدير العقار</t>
        </is>
      </c>
      <c r="N95" s="57" t="n"/>
    </row>
    <row r="96" ht="30" customHeight="1">
      <c r="A96" s="15" t="n">
        <v>94</v>
      </c>
      <c r="B96" s="13" t="inlineStr">
        <is>
          <t>العقار</t>
        </is>
      </c>
      <c r="C96" s="21" t="inlineStr">
        <is>
          <t>استدامة المستأجرين (لم يُنهَ مبكراً)</t>
        </is>
      </c>
      <c r="D96" s="76" t="inlineStr">
        <is>
          <t>يقيس استدامة المستأجرين (لم يُنهَ مبكراً) ضمن محور «الجودة والاستدامة»، ويعكس مساهمة الإدارة في ركيزة الاستدامة.</t>
        </is>
      </c>
      <c r="E96" s="11" t="inlineStr">
        <is>
          <t>(المتحقّق ÷ الإجمالي) × 100٪</t>
        </is>
      </c>
      <c r="F96" s="15" t="inlineStr">
        <is>
          <t>🎯 نتيجة</t>
        </is>
      </c>
      <c r="G96" s="11" t="inlineStr">
        <is>
          <t>الاستدامة · تعزيز تجربة العملاء</t>
        </is>
      </c>
      <c r="H96" s="15" t="inlineStr">
        <is>
          <t>العملاء</t>
        </is>
      </c>
      <c r="I96" s="64" t="n">
        <v>0.05</v>
      </c>
      <c r="J96" s="15" t="inlineStr">
        <is>
          <t>مدير العقار</t>
        </is>
      </c>
      <c r="K96" s="11" t="inlineStr">
        <is>
          <t>نظام إدارة الجودة (QMS)</t>
        </is>
      </c>
      <c r="L96" s="15" t="inlineStr">
        <is>
          <t>شهري</t>
        </is>
      </c>
      <c r="M96" s="15" t="inlineStr">
        <is>
          <t>مدير العقار</t>
        </is>
      </c>
      <c r="N96" s="57" t="n"/>
    </row>
    <row r="97" ht="30" customHeight="1">
      <c r="A97" s="15" t="n">
        <v>95</v>
      </c>
      <c r="B97" s="13" t="inlineStr">
        <is>
          <t>العقار</t>
        </is>
      </c>
      <c r="C97" s="21" t="inlineStr">
        <is>
          <t>معدل رضا المستأجرين (استبيان ربعي)</t>
        </is>
      </c>
      <c r="D97" s="76" t="inlineStr">
        <is>
          <t>يقيس معدل رضا المستأجرين (استبيان ربعي) ضمن محور «الجودة والاستدامة»، ويعكس مساهمة الإدارة في ركيزة الاستدامة.</t>
        </is>
      </c>
      <c r="E97" s="11" t="inlineStr">
        <is>
          <t>(المتحقّق ÷ الإجمالي) × 100٪</t>
        </is>
      </c>
      <c r="F97" s="15" t="inlineStr">
        <is>
          <t>🎯 نتيجة</t>
        </is>
      </c>
      <c r="G97" s="11" t="inlineStr">
        <is>
          <t>الاستدامة · تعزيز تجربة العملاء</t>
        </is>
      </c>
      <c r="H97" s="15" t="inlineStr">
        <is>
          <t>العملاء</t>
        </is>
      </c>
      <c r="I97" s="64" t="n">
        <v>0.07000000000000001</v>
      </c>
      <c r="J97" s="15" t="inlineStr">
        <is>
          <t>مدير العقار</t>
        </is>
      </c>
      <c r="K97" s="11" t="inlineStr">
        <is>
          <t>استبيان دوري</t>
        </is>
      </c>
      <c r="L97" s="15" t="inlineStr">
        <is>
          <t>ربعي</t>
        </is>
      </c>
      <c r="M97" s="15" t="inlineStr">
        <is>
          <t>مدير العقار</t>
        </is>
      </c>
      <c r="N97" s="57" t="n"/>
    </row>
    <row r="98" ht="30" customHeight="1">
      <c r="A98" s="15" t="n">
        <v>96</v>
      </c>
      <c r="B98" s="13" t="inlineStr">
        <is>
          <t>إدارة المشاريع</t>
        </is>
      </c>
      <c r="C98" s="21" t="inlineStr">
        <is>
          <t>عدد محطات الشركة المُسلَّمة</t>
        </is>
      </c>
      <c r="D98" s="76" t="inlineStr">
        <is>
          <t>يقيس عدد محطات الشركة المُسلَّمة ضمن محور «تسليم محطات الشركة»، ويعكس مساهمة الإدارة في ركيزة النمو.</t>
        </is>
      </c>
      <c r="E98" s="11" t="inlineStr">
        <is>
          <t>إجمالي العدد خلال الفترة</t>
        </is>
      </c>
      <c r="F98" s="15" t="inlineStr">
        <is>
          <t>⚙️ نشاط</t>
        </is>
      </c>
      <c r="G98" s="11" t="inlineStr">
        <is>
          <t>النمو · التوسع في المواقع</t>
        </is>
      </c>
      <c r="H98" s="15" t="inlineStr">
        <is>
          <t>العمليات الداخلية</t>
        </is>
      </c>
      <c r="I98" s="64" t="n">
        <v>0.08</v>
      </c>
      <c r="J98" s="15" t="inlineStr">
        <is>
          <t>مدير إدارة المشاريع</t>
        </is>
      </c>
      <c r="K98" s="11" t="inlineStr">
        <is>
          <t>نظام إدارة المشاريع (PMO/Primavera)</t>
        </is>
      </c>
      <c r="L98" s="15" t="inlineStr">
        <is>
          <t>شهري</t>
        </is>
      </c>
      <c r="M98" s="15" t="inlineStr">
        <is>
          <t>مدير إدارة المشاريع</t>
        </is>
      </c>
      <c r="N98" s="57" t="n"/>
    </row>
    <row r="99" ht="30" customHeight="1">
      <c r="A99" s="15" t="n">
        <v>97</v>
      </c>
      <c r="B99" s="13" t="inlineStr">
        <is>
          <t>إدارة المشاريع</t>
        </is>
      </c>
      <c r="C99" s="21" t="inlineStr">
        <is>
          <t>نسبة إنجاز محفظة مشاريع التوسع</t>
        </is>
      </c>
      <c r="D99" s="76" t="inlineStr">
        <is>
          <t>يقيس نسبة إنجاز محفظة مشاريع التوسع ضمن محور «تسليم محطات الشركة»، ويعكس مساهمة الإدارة في ركيزة النمو.</t>
        </is>
      </c>
      <c r="E99" s="11" t="inlineStr">
        <is>
          <t>(المتحقّق ÷ الإجمالي) × 100٪</t>
        </is>
      </c>
      <c r="F99" s="15" t="inlineStr">
        <is>
          <t>🎯 نتيجة</t>
        </is>
      </c>
      <c r="G99" s="11" t="inlineStr">
        <is>
          <t>النمو · التوسع في المواقع</t>
        </is>
      </c>
      <c r="H99" s="15" t="inlineStr">
        <is>
          <t>العمليات الداخلية</t>
        </is>
      </c>
      <c r="I99" s="64" t="n">
        <v>0.08</v>
      </c>
      <c r="J99" s="15" t="inlineStr">
        <is>
          <t>مدير إدارة المشاريع</t>
        </is>
      </c>
      <c r="K99" s="11" t="inlineStr">
        <is>
          <t>نظام إدارة المشاريع (PMO/Primavera)</t>
        </is>
      </c>
      <c r="L99" s="15" t="inlineStr">
        <is>
          <t>شهري</t>
        </is>
      </c>
      <c r="M99" s="15" t="inlineStr">
        <is>
          <t>مدير إدارة المشاريع</t>
        </is>
      </c>
      <c r="N99" s="57" t="n"/>
    </row>
    <row r="100" ht="30" customHeight="1">
      <c r="A100" s="15" t="n">
        <v>98</v>
      </c>
      <c r="B100" s="13" t="inlineStr">
        <is>
          <t>إدارة المشاريع</t>
        </is>
      </c>
      <c r="C100" s="21" t="inlineStr">
        <is>
          <t>نسبة تسليم المحطات في الموعد المخطط</t>
        </is>
      </c>
      <c r="D100" s="76" t="inlineStr">
        <is>
          <t>يقيس نسبة تسليم المحطات في الموعد المخطط ضمن محور «تسليم محطات الشركة»، ويعكس مساهمة الإدارة في ركيزة النمو.</t>
        </is>
      </c>
      <c r="E100" s="11" t="inlineStr">
        <is>
          <t>(المتحقّق ÷ الإجمالي) × 100٪</t>
        </is>
      </c>
      <c r="F100" s="15" t="inlineStr">
        <is>
          <t>🔧 تشغيلي</t>
        </is>
      </c>
      <c r="G100" s="11" t="inlineStr">
        <is>
          <t>النمو · التوسع في المواقع</t>
        </is>
      </c>
      <c r="H100" s="15" t="inlineStr">
        <is>
          <t>العمليات الداخلية</t>
        </is>
      </c>
      <c r="I100" s="64" t="n">
        <v>0.08</v>
      </c>
      <c r="J100" s="15" t="inlineStr">
        <is>
          <t>مدير إدارة المشاريع</t>
        </is>
      </c>
      <c r="K100" s="11" t="inlineStr">
        <is>
          <t>نظام إدارة المشاريع (PMO/Primavera)</t>
        </is>
      </c>
      <c r="L100" s="15" t="inlineStr">
        <is>
          <t>شهري</t>
        </is>
      </c>
      <c r="M100" s="15" t="inlineStr">
        <is>
          <t>مدير إدارة المشاريع</t>
        </is>
      </c>
      <c r="N100" s="57" t="n"/>
    </row>
    <row r="101" ht="30" customHeight="1">
      <c r="A101" s="15" t="n">
        <v>99</v>
      </c>
      <c r="B101" s="13" t="inlineStr">
        <is>
          <t>إدارة المشاريع</t>
        </is>
      </c>
      <c r="C101" s="21" t="inlineStr">
        <is>
          <t>نسبة المشاريع المنفّذة ضمن الميزانية</t>
        </is>
      </c>
      <c r="D101" s="76" t="inlineStr">
        <is>
          <t>يقيس نسبة المشاريع المنفّذة ضمن الميزانية ضمن محور «تسليم محطات الشركة»، ويعكس مساهمة الإدارة في ركيزة الاستدامة.</t>
        </is>
      </c>
      <c r="E101" s="11" t="inlineStr">
        <is>
          <t>(المتحقّق ÷ الإجمالي) × 100٪</t>
        </is>
      </c>
      <c r="F101" s="15" t="inlineStr">
        <is>
          <t>🔧 تشغيلي</t>
        </is>
      </c>
      <c r="G101" s="11" t="inlineStr">
        <is>
          <t>الاستدامة · جودة التشغيل</t>
        </is>
      </c>
      <c r="H101" s="15" t="inlineStr">
        <is>
          <t>العمليات الداخلية</t>
        </is>
      </c>
      <c r="I101" s="64" t="n">
        <v>0.06</v>
      </c>
      <c r="J101" s="15" t="inlineStr">
        <is>
          <t>مدير إدارة المشاريع</t>
        </is>
      </c>
      <c r="K101" s="11" t="inlineStr">
        <is>
          <t>نظام إدارة المشاريع (PMO/Primavera)</t>
        </is>
      </c>
      <c r="L101" s="15" t="inlineStr">
        <is>
          <t>شهري</t>
        </is>
      </c>
      <c r="M101" s="15" t="inlineStr">
        <is>
          <t>مدير إدارة المشاريع</t>
        </is>
      </c>
      <c r="N101" s="57" t="n"/>
    </row>
    <row r="102" ht="30" customHeight="1">
      <c r="A102" s="15" t="n">
        <v>100</v>
      </c>
      <c r="B102" s="13" t="inlineStr">
        <is>
          <t>إدارة المشاريع</t>
        </is>
      </c>
      <c r="C102" s="21" t="inlineStr">
        <is>
          <t>عدد محطات الامتياز المُسلَّمة بالهوية</t>
        </is>
      </c>
      <c r="D102" s="76" t="inlineStr">
        <is>
          <t>يقيس عدد محطات الامتياز المُسلَّمة بالهوية ضمن محور «الإشراف على الامتياز»، ويعكس مساهمة الإدارة في ركيزة النمو.</t>
        </is>
      </c>
      <c r="E102" s="11" t="inlineStr">
        <is>
          <t>إجمالي العدد خلال الفترة</t>
        </is>
      </c>
      <c r="F102" s="15" t="inlineStr">
        <is>
          <t>⚙️ نشاط</t>
        </is>
      </c>
      <c r="G102" s="11" t="inlineStr">
        <is>
          <t>النمو · الامتياز التجاري</t>
        </is>
      </c>
      <c r="H102" s="15" t="inlineStr">
        <is>
          <t>التعلّم والنمو</t>
        </is>
      </c>
      <c r="I102" s="64" t="n">
        <v>0.08</v>
      </c>
      <c r="J102" s="15" t="inlineStr">
        <is>
          <t>مدير إدارة المشاريع</t>
        </is>
      </c>
      <c r="K102" s="11" t="inlineStr">
        <is>
          <t>نظام إدارة المشاريع (PMO/Primavera)</t>
        </is>
      </c>
      <c r="L102" s="15" t="inlineStr">
        <is>
          <t>شهري</t>
        </is>
      </c>
      <c r="M102" s="15" t="inlineStr">
        <is>
          <t>مدير إدارة المشاريع</t>
        </is>
      </c>
      <c r="N102" s="57" t="n"/>
    </row>
    <row r="103" ht="30" customHeight="1">
      <c r="A103" s="15" t="n">
        <v>101</v>
      </c>
      <c r="B103" s="13" t="inlineStr">
        <is>
          <t>إدارة المشاريع</t>
        </is>
      </c>
      <c r="C103" s="21" t="inlineStr">
        <is>
          <t>نسبة تنفيذ زيارات الإشراف المجدولة</t>
        </is>
      </c>
      <c r="D103" s="76" t="inlineStr">
        <is>
          <t>يقيس نسبة تنفيذ زيارات الإشراف المجدولة ضمن محور «الإشراف على الامتياز»، ويعكس مساهمة الإدارة في ركيزة الاستدامة.</t>
        </is>
      </c>
      <c r="E103" s="11" t="inlineStr">
        <is>
          <t>(المتحقّق ÷ الإجمالي) × 100٪</t>
        </is>
      </c>
      <c r="F103" s="15" t="inlineStr">
        <is>
          <t>⚙️ نشاط</t>
        </is>
      </c>
      <c r="G103" s="11" t="inlineStr">
        <is>
          <t>الاستدامة · الامتياز التجاري</t>
        </is>
      </c>
      <c r="H103" s="15" t="inlineStr">
        <is>
          <t>العمليات الداخلية</t>
        </is>
      </c>
      <c r="I103" s="64" t="n">
        <v>0.06</v>
      </c>
      <c r="J103" s="15" t="inlineStr">
        <is>
          <t>مدير إدارة المشاريع</t>
        </is>
      </c>
      <c r="K103" s="11" t="inlineStr">
        <is>
          <t>نظام إدارة المشاريع (PMO/Primavera)</t>
        </is>
      </c>
      <c r="L103" s="15" t="inlineStr">
        <is>
          <t>شهري</t>
        </is>
      </c>
      <c r="M103" s="15" t="inlineStr">
        <is>
          <t>مدير إدارة المشاريع</t>
        </is>
      </c>
      <c r="N103" s="57" t="n"/>
    </row>
    <row r="104" ht="30" customHeight="1">
      <c r="A104" s="15" t="n">
        <v>102</v>
      </c>
      <c r="B104" s="13" t="inlineStr">
        <is>
          <t>إدارة المشاريع</t>
        </is>
      </c>
      <c r="C104" s="21" t="inlineStr">
        <is>
          <t>نسبة التزام المطوّرين بالجدول الزمني</t>
        </is>
      </c>
      <c r="D104" s="76" t="inlineStr">
        <is>
          <t>يقيس نسبة التزام المطوّرين بالجدول الزمني ضمن محور «الإشراف على الامتياز»، ويعكس مساهمة الإدارة في ركيزة الاستدامة.</t>
        </is>
      </c>
      <c r="E104" s="11" t="inlineStr">
        <is>
          <t>(المتحقّق ÷ الإجمالي) × 100٪</t>
        </is>
      </c>
      <c r="F104" s="15" t="inlineStr">
        <is>
          <t>🎯 نتيجة</t>
        </is>
      </c>
      <c r="G104" s="11" t="inlineStr">
        <is>
          <t>الاستدامة · الامتياز التجاري</t>
        </is>
      </c>
      <c r="H104" s="15" t="inlineStr">
        <is>
          <t>العمليات الداخلية</t>
        </is>
      </c>
      <c r="I104" s="64" t="n">
        <v>0.06</v>
      </c>
      <c r="J104" s="15" t="inlineStr">
        <is>
          <t>مدير إدارة المشاريع</t>
        </is>
      </c>
      <c r="K104" s="11" t="inlineStr">
        <is>
          <t>نظام إدارة المشاريع (PMO/Primavera)</t>
        </is>
      </c>
      <c r="L104" s="15" t="inlineStr">
        <is>
          <t>شهري</t>
        </is>
      </c>
      <c r="M104" s="15" t="inlineStr">
        <is>
          <t>مدير إدارة المشاريع</t>
        </is>
      </c>
      <c r="N104" s="57" t="n"/>
    </row>
    <row r="105" ht="30" customHeight="1">
      <c r="A105" s="15" t="n">
        <v>103</v>
      </c>
      <c r="B105" s="13" t="inlineStr">
        <is>
          <t>إدارة المشاريع</t>
        </is>
      </c>
      <c r="C105" s="21" t="inlineStr">
        <is>
          <t>نسبة إغلاق ملاحظات الجودة على المطوّرين</t>
        </is>
      </c>
      <c r="D105" s="76" t="inlineStr">
        <is>
          <t>يقيس نسبة إغلاق ملاحظات الجودة على المطوّرين ضمن محور «الإشراف على الامتياز»، ويعكس مساهمة الإدارة في ركيزة الاستدامة.</t>
        </is>
      </c>
      <c r="E105" s="11" t="inlineStr">
        <is>
          <t>(المتحقّق ÷ الإجمالي) × 100٪</t>
        </is>
      </c>
      <c r="F105" s="15" t="inlineStr">
        <is>
          <t>🎯 نتيجة</t>
        </is>
      </c>
      <c r="G105" s="11" t="inlineStr">
        <is>
          <t>الاستدامة · الامتياز التجاري</t>
        </is>
      </c>
      <c r="H105" s="15" t="inlineStr">
        <is>
          <t>العمليات الداخلية</t>
        </is>
      </c>
      <c r="I105" s="64" t="n">
        <v>0.06</v>
      </c>
      <c r="J105" s="15" t="inlineStr">
        <is>
          <t>مدير إدارة المشاريع</t>
        </is>
      </c>
      <c r="K105" s="11" t="inlineStr">
        <is>
          <t>نظام إدارة المشاريع (PMO/Primavera)</t>
        </is>
      </c>
      <c r="L105" s="15" t="inlineStr">
        <is>
          <t>شهري</t>
        </is>
      </c>
      <c r="M105" s="15" t="inlineStr">
        <is>
          <t>مدير إدارة المشاريع</t>
        </is>
      </c>
      <c r="N105" s="57" t="n"/>
    </row>
    <row r="106" ht="30" customHeight="1">
      <c r="A106" s="15" t="n">
        <v>104</v>
      </c>
      <c r="B106" s="13" t="inlineStr">
        <is>
          <t>إدارة المشاريع</t>
        </is>
      </c>
      <c r="C106" s="21" t="inlineStr">
        <is>
          <t>إجمالي المحطات المُسلَّمة بالهوية (شركة + امتياز)</t>
        </is>
      </c>
      <c r="D106" s="76" t="inlineStr">
        <is>
          <t>يقيس إجمالي المحطات المُسلَّمة بالهوية (شركة + امتياز) ضمن محور «إجمالي التسليم»، ويعكس مساهمة الإدارة في ركيزة النمو.</t>
        </is>
      </c>
      <c r="E106" s="11" t="inlineStr">
        <is>
          <t>إجمالي العدد خلال الفترة</t>
        </is>
      </c>
      <c r="F106" s="15" t="inlineStr">
        <is>
          <t>🔧 تشغيلي</t>
        </is>
      </c>
      <c r="G106" s="11" t="inlineStr">
        <is>
          <t>النمو · التوسع في المواقع</t>
        </is>
      </c>
      <c r="H106" s="15" t="inlineStr">
        <is>
          <t>التعلّم والنمو</t>
        </is>
      </c>
      <c r="I106" s="64" t="n">
        <v>0.08</v>
      </c>
      <c r="J106" s="15" t="inlineStr">
        <is>
          <t>مدير إدارة المشاريع</t>
        </is>
      </c>
      <c r="K106" s="11" t="inlineStr">
        <is>
          <t>نظام إدارة المشاريع (PMO/Primavera)</t>
        </is>
      </c>
      <c r="L106" s="15" t="inlineStr">
        <is>
          <t>شهري</t>
        </is>
      </c>
      <c r="M106" s="15" t="inlineStr">
        <is>
          <t>مدير إدارة المشاريع</t>
        </is>
      </c>
      <c r="N106" s="57" t="n"/>
    </row>
    <row r="107" ht="30" customHeight="1">
      <c r="A107" s="15" t="n">
        <v>105</v>
      </c>
      <c r="B107" s="13" t="inlineStr">
        <is>
          <t>إدارة المشاريع</t>
        </is>
      </c>
      <c r="C107" s="21" t="inlineStr">
        <is>
          <t>نسبة المشاريع الخالية من مخالفات الجودة</t>
        </is>
      </c>
      <c r="D107" s="76" t="inlineStr">
        <is>
          <t>يقيس نسبة المشاريع الخالية من مخالفات الجودة ضمن محور «الجودة والمقاولون»، ويعكس مساهمة الإدارة في ركيزة الاستدامة.</t>
        </is>
      </c>
      <c r="E107" s="11" t="inlineStr">
        <is>
          <t>(المتحقّق ÷ الإجمالي) × 100٪</t>
        </is>
      </c>
      <c r="F107" s="15" t="inlineStr">
        <is>
          <t>🔧 تشغيلي</t>
        </is>
      </c>
      <c r="G107" s="11" t="inlineStr">
        <is>
          <t>الاستدامة · جودة التشغيل</t>
        </is>
      </c>
      <c r="H107" s="15" t="inlineStr">
        <is>
          <t>العمليات الداخلية</t>
        </is>
      </c>
      <c r="I107" s="64" t="n">
        <v>0.06</v>
      </c>
      <c r="J107" s="15" t="inlineStr">
        <is>
          <t>مدير إدارة المشاريع</t>
        </is>
      </c>
      <c r="K107" s="11" t="inlineStr">
        <is>
          <t>نظام إدارة المشاريع (PMO/Primavera)</t>
        </is>
      </c>
      <c r="L107" s="15" t="inlineStr">
        <is>
          <t>شهري</t>
        </is>
      </c>
      <c r="M107" s="15" t="inlineStr">
        <is>
          <t>مدير إدارة المشاريع</t>
        </is>
      </c>
      <c r="N107" s="57" t="n"/>
    </row>
    <row r="108" ht="30" customHeight="1">
      <c r="A108" s="15" t="n">
        <v>106</v>
      </c>
      <c r="B108" s="13" t="inlineStr">
        <is>
          <t>إدارة المشاريع</t>
        </is>
      </c>
      <c r="C108" s="21" t="inlineStr">
        <is>
          <t>عدد مخالفات المقاولين (سنوي)</t>
        </is>
      </c>
      <c r="D108" s="76" t="inlineStr">
        <is>
          <t>يقيس عدد مخالفات المقاولين (سنوي) ضمن محور «الجودة والمقاولون»، ويعكس مساهمة الإدارة في ركيزة الاستدامة.</t>
        </is>
      </c>
      <c r="E108" s="11" t="inlineStr">
        <is>
          <t>إجمالي العدد خلال الفترة</t>
        </is>
      </c>
      <c r="F108" s="15" t="inlineStr">
        <is>
          <t>⚙️ نشاط</t>
        </is>
      </c>
      <c r="G108" s="11" t="inlineStr">
        <is>
          <t>الاستدامة · جودة التشغيل</t>
        </is>
      </c>
      <c r="H108" s="15" t="inlineStr">
        <is>
          <t>العمليات الداخلية</t>
        </is>
      </c>
      <c r="I108" s="64" t="n">
        <v>0.06</v>
      </c>
      <c r="J108" s="15" t="inlineStr">
        <is>
          <t>مدير إدارة المشاريع</t>
        </is>
      </c>
      <c r="K108" s="11" t="inlineStr">
        <is>
          <t>نظام إدارة المشاريع (PMO/Primavera)</t>
        </is>
      </c>
      <c r="L108" s="15" t="inlineStr">
        <is>
          <t>شهري</t>
        </is>
      </c>
      <c r="M108" s="15" t="inlineStr">
        <is>
          <t>مدير إدارة المشاريع</t>
        </is>
      </c>
      <c r="N108" s="57" t="n"/>
    </row>
    <row r="109" ht="30" customHeight="1">
      <c r="A109" s="15" t="n">
        <v>107</v>
      </c>
      <c r="B109" s="13" t="inlineStr">
        <is>
          <t>إدارة المشاريع</t>
        </is>
      </c>
      <c r="C109" s="21" t="inlineStr">
        <is>
          <t>نسبة التزام المقاولين بمعايير السلامة</t>
        </is>
      </c>
      <c r="D109" s="76" t="inlineStr">
        <is>
          <t>يقيس نسبة التزام المقاولين بمعايير السلامة ضمن محور «الجودة والمقاولون»، ويعكس مساهمة الإدارة في ركيزة الاستدامة.</t>
        </is>
      </c>
      <c r="E109" s="11" t="inlineStr">
        <is>
          <t>(المتحقّق ÷ الإجمالي) × 100٪</t>
        </is>
      </c>
      <c r="F109" s="15" t="inlineStr">
        <is>
          <t>🎯 نتيجة</t>
        </is>
      </c>
      <c r="G109" s="11" t="inlineStr">
        <is>
          <t>الاستدامة · جودة التشغيل</t>
        </is>
      </c>
      <c r="H109" s="15" t="inlineStr">
        <is>
          <t>العمليات الداخلية</t>
        </is>
      </c>
      <c r="I109" s="64" t="n">
        <v>0.08</v>
      </c>
      <c r="J109" s="15" t="inlineStr">
        <is>
          <t>مدير إدارة المشاريع</t>
        </is>
      </c>
      <c r="K109" s="11" t="inlineStr">
        <is>
          <t>نظام إدارة المشاريع (PMO/Primavera)</t>
        </is>
      </c>
      <c r="L109" s="15" t="inlineStr">
        <is>
          <t>شهري</t>
        </is>
      </c>
      <c r="M109" s="15" t="inlineStr">
        <is>
          <t>مدير إدارة المشاريع</t>
        </is>
      </c>
      <c r="N109" s="57" t="n"/>
    </row>
    <row r="110" ht="30" customHeight="1">
      <c r="A110" s="15" t="n">
        <v>108</v>
      </c>
      <c r="B110" s="13" t="inlineStr">
        <is>
          <t>إدارة المشاريع</t>
        </is>
      </c>
      <c r="C110" s="21" t="inlineStr">
        <is>
          <t>نسبة الالتزام بالميزانية المعتمدة</t>
        </is>
      </c>
      <c r="D110" s="76" t="inlineStr">
        <is>
          <t>يقيس نسبة الالتزام بالميزانية المعتمدة ضمن محور «الالتزام بالخطة»، ويعكس مساهمة الإدارة في ركيزة الاستدامة.</t>
        </is>
      </c>
      <c r="E110" s="11" t="inlineStr">
        <is>
          <t>(المتحقّق ÷ الإجمالي) × 100٪</t>
        </is>
      </c>
      <c r="F110" s="15" t="inlineStr">
        <is>
          <t>🎯 نتيجة</t>
        </is>
      </c>
      <c r="G110" s="11" t="inlineStr">
        <is>
          <t>الاستدامة · جودة التشغيل</t>
        </is>
      </c>
      <c r="H110" s="15" t="inlineStr">
        <is>
          <t>العمليات الداخلية</t>
        </is>
      </c>
      <c r="I110" s="64" t="n">
        <v>0.06</v>
      </c>
      <c r="J110" s="15" t="inlineStr">
        <is>
          <t>مدير إدارة المشاريع</t>
        </is>
      </c>
      <c r="K110" s="11" t="inlineStr">
        <is>
          <t>نظام إدارة المشاريع (PMO/Primavera)</t>
        </is>
      </c>
      <c r="L110" s="15" t="inlineStr">
        <is>
          <t>شهري</t>
        </is>
      </c>
      <c r="M110" s="15" t="inlineStr">
        <is>
          <t>مدير إدارة المشاريع</t>
        </is>
      </c>
      <c r="N110" s="57" t="n"/>
    </row>
    <row r="111" ht="30" customHeight="1">
      <c r="A111" s="15" t="n">
        <v>109</v>
      </c>
      <c r="B111" s="13" t="inlineStr">
        <is>
          <t>إدارة المشاريع</t>
        </is>
      </c>
      <c r="C111" s="21" t="inlineStr">
        <is>
          <t>نسبة الالتزام بالجدول الزمني العام</t>
        </is>
      </c>
      <c r="D111" s="76" t="inlineStr">
        <is>
          <t>يقيس نسبة الالتزام بالجدول الزمني العام ضمن محور «الالتزام بالخطة»، ويعكس مساهمة الإدارة في ركيزة الاستدامة.</t>
        </is>
      </c>
      <c r="E111" s="11" t="inlineStr">
        <is>
          <t>(المتحقّق ÷ الإجمالي) × 100٪</t>
        </is>
      </c>
      <c r="F111" s="15" t="inlineStr">
        <is>
          <t>🎯 نتيجة</t>
        </is>
      </c>
      <c r="G111" s="11" t="inlineStr">
        <is>
          <t>الاستدامة · جودة التشغيل</t>
        </is>
      </c>
      <c r="H111" s="15" t="inlineStr">
        <is>
          <t>العمليات الداخلية</t>
        </is>
      </c>
      <c r="I111" s="64" t="n">
        <v>0.05</v>
      </c>
      <c r="J111" s="15" t="inlineStr">
        <is>
          <t>مدير إدارة المشاريع</t>
        </is>
      </c>
      <c r="K111" s="11" t="inlineStr">
        <is>
          <t>نظام إدارة المشاريع (PMO/Primavera)</t>
        </is>
      </c>
      <c r="L111" s="15" t="inlineStr">
        <is>
          <t>شهري</t>
        </is>
      </c>
      <c r="M111" s="15" t="inlineStr">
        <is>
          <t>مدير إدارة المشاريع</t>
        </is>
      </c>
      <c r="N111" s="57" t="n"/>
    </row>
    <row r="112" ht="30" customHeight="1">
      <c r="A112" s="15" t="n">
        <v>110</v>
      </c>
      <c r="B112" s="13" t="inlineStr">
        <is>
          <t>إدارة المشاريع</t>
        </is>
      </c>
      <c r="C112" s="21" t="inlineStr">
        <is>
          <t>متوسط مدة إغلاق قائمة الملاحظات النهائية</t>
        </is>
      </c>
      <c r="D112" s="76" t="inlineStr">
        <is>
          <t>يقيس متوسط مدة إغلاق قائمة الملاحظات النهائية ضمن محور «التصاميم وأوامر التغيير»، ويعكس مساهمة الإدارة في ركيزة الاستدامة.</t>
        </is>
      </c>
      <c r="E112" s="11" t="inlineStr">
        <is>
          <t>متوسط يوم خلال الفترة</t>
        </is>
      </c>
      <c r="F112" s="15" t="inlineStr">
        <is>
          <t>🎯 نتيجة</t>
        </is>
      </c>
      <c r="G112" s="11" t="inlineStr">
        <is>
          <t>الاستدامة · جودة التشغيل</t>
        </is>
      </c>
      <c r="H112" s="15" t="inlineStr">
        <is>
          <t>العمليات الداخلية</t>
        </is>
      </c>
      <c r="I112" s="64" t="n">
        <v>0.05</v>
      </c>
      <c r="J112" s="15" t="inlineStr">
        <is>
          <t>مدير إدارة المشاريع</t>
        </is>
      </c>
      <c r="K112" s="11" t="inlineStr">
        <is>
          <t>نظام إدارة المشاريع (PMO/Primavera)</t>
        </is>
      </c>
      <c r="L112" s="15" t="inlineStr">
        <is>
          <t>شهري</t>
        </is>
      </c>
      <c r="M112" s="15" t="inlineStr">
        <is>
          <t>مدير إدارة المشاريع</t>
        </is>
      </c>
      <c r="N112" s="57" t="n"/>
    </row>
    <row r="113" ht="30" customHeight="1">
      <c r="A113" s="15" t="n">
        <v>111</v>
      </c>
      <c r="B113" s="13" t="inlineStr">
        <is>
          <t>سلاسل الإمداد</t>
        </is>
      </c>
      <c r="C113" s="21" t="inlineStr">
        <is>
          <t>نسبة تلبية طلبات المحطات من الوقود Fill Rate</t>
        </is>
      </c>
      <c r="D113" s="76" t="inlineStr">
        <is>
          <t>يقيس نسبة تلبية طلبات المحطات من الوقود Fill Rate ضمن محور «خدمة العميل والتوفّر»، ويعكس مساهمة الإدارة في ركيزة النمو.</t>
        </is>
      </c>
      <c r="E113" s="11" t="inlineStr">
        <is>
          <t>(المتحقّق ÷ الإجمالي) × 100٪</t>
        </is>
      </c>
      <c r="F113" s="15" t="inlineStr">
        <is>
          <t>🔧 تشغيلي</t>
        </is>
      </c>
      <c r="G113" s="11" t="inlineStr">
        <is>
          <t>النمو · زيادة وصول العملاء</t>
        </is>
      </c>
      <c r="H113" s="15" t="inlineStr">
        <is>
          <t>العمليات الداخلية</t>
        </is>
      </c>
      <c r="I113" s="64" t="n">
        <v>0.13</v>
      </c>
      <c r="J113" s="15" t="inlineStr">
        <is>
          <t>مدير سلاسل الإمداد</t>
        </is>
      </c>
      <c r="K113" s="11" t="inlineStr">
        <is>
          <t>نظام سلاسل الإمداد والمخزون (WMS/ERP)</t>
        </is>
      </c>
      <c r="L113" s="15" t="inlineStr">
        <is>
          <t>شهري</t>
        </is>
      </c>
      <c r="M113" s="15" t="inlineStr">
        <is>
          <t>مدير سلاسل الإمداد</t>
        </is>
      </c>
      <c r="N113" s="57" t="n"/>
    </row>
    <row r="114" ht="30" customHeight="1">
      <c r="A114" s="15" t="n">
        <v>112</v>
      </c>
      <c r="B114" s="13" t="inlineStr">
        <is>
          <t>سلاسل الإمداد</t>
        </is>
      </c>
      <c r="C114" s="21" t="inlineStr">
        <is>
          <t>عدد انقطاعات التوريد المؤثرة شهريًا</t>
        </is>
      </c>
      <c r="D114" s="76" t="inlineStr">
        <is>
          <t>يقيس عدد انقطاعات التوريد المؤثرة شهريًا ضمن محور «خدمة العميل والتوفّر»، ويعكس مساهمة الإدارة في ركيزة الاستدامة.</t>
        </is>
      </c>
      <c r="E114" s="11" t="inlineStr">
        <is>
          <t>إجمالي العدد خلال الفترة</t>
        </is>
      </c>
      <c r="F114" s="15" t="inlineStr">
        <is>
          <t>⚙️ نشاط</t>
        </is>
      </c>
      <c r="G114" s="11" t="inlineStr">
        <is>
          <t>الاستدامة · جودة التشغيل</t>
        </is>
      </c>
      <c r="H114" s="15" t="inlineStr">
        <is>
          <t>العمليات الداخلية</t>
        </is>
      </c>
      <c r="I114" s="64" t="n">
        <v>0.1</v>
      </c>
      <c r="J114" s="15" t="inlineStr">
        <is>
          <t>مدير سلاسل الإمداد</t>
        </is>
      </c>
      <c r="K114" s="11" t="inlineStr">
        <is>
          <t>نظام سلاسل الإمداد والمخزون (WMS/ERP)</t>
        </is>
      </c>
      <c r="L114" s="15" t="inlineStr">
        <is>
          <t>شهري</t>
        </is>
      </c>
      <c r="M114" s="15" t="inlineStr">
        <is>
          <t>مدير سلاسل الإمداد</t>
        </is>
      </c>
      <c r="N114" s="57" t="n"/>
    </row>
    <row r="115" ht="30" customHeight="1">
      <c r="A115" s="15" t="n">
        <v>113</v>
      </c>
      <c r="B115" s="13" t="inlineStr">
        <is>
          <t>سلاسل الإمداد</t>
        </is>
      </c>
      <c r="C115" s="21" t="inlineStr">
        <is>
          <t>نسبة تغطية مخزون الوقود بالأيام</t>
        </is>
      </c>
      <c r="D115" s="76" t="inlineStr">
        <is>
          <t>يقيس نسبة تغطية مخزون الوقود بالأيام ضمن محور «المخزون»، ويعكس مساهمة الإدارة في ركيزة الاستدامة.</t>
        </is>
      </c>
      <c r="E115" s="11" t="inlineStr">
        <is>
          <t>(المتحقّق ÷ الإجمالي) × 100٪</t>
        </is>
      </c>
      <c r="F115" s="15" t="inlineStr">
        <is>
          <t>🔧 تشغيلي</t>
        </is>
      </c>
      <c r="G115" s="11" t="inlineStr">
        <is>
          <t>الاستدامة · جودة التشغيل</t>
        </is>
      </c>
      <c r="H115" s="15" t="inlineStr">
        <is>
          <t>العمليات الداخلية</t>
        </is>
      </c>
      <c r="I115" s="64" t="n">
        <v>0.09</v>
      </c>
      <c r="J115" s="15" t="inlineStr">
        <is>
          <t>مدير سلاسل الإمداد</t>
        </is>
      </c>
      <c r="K115" s="11" t="inlineStr">
        <is>
          <t>نظام سلاسل الإمداد والمخزون (WMS/ERP)</t>
        </is>
      </c>
      <c r="L115" s="15" t="inlineStr">
        <is>
          <t>شهري</t>
        </is>
      </c>
      <c r="M115" s="15" t="inlineStr">
        <is>
          <t>مدير سلاسل الإمداد</t>
        </is>
      </c>
      <c r="N115" s="57" t="n"/>
    </row>
    <row r="116" ht="30" customHeight="1">
      <c r="A116" s="15" t="n">
        <v>114</v>
      </c>
      <c r="B116" s="13" t="inlineStr">
        <is>
          <t>سلاسل الإمداد</t>
        </is>
      </c>
      <c r="C116" s="21" t="inlineStr">
        <is>
          <t>نسبة توفر المواد المخزنية والحرجة</t>
        </is>
      </c>
      <c r="D116" s="76" t="inlineStr">
        <is>
          <t>يقيس نسبة توفر المواد المخزنية والحرجة ضمن محور «المخزون»، ويعكس مساهمة الإدارة في ركيزة الاستدامة.</t>
        </is>
      </c>
      <c r="E116" s="11" t="inlineStr">
        <is>
          <t>(المتحقّق ÷ الإجمالي) × 100٪</t>
        </is>
      </c>
      <c r="F116" s="15" t="inlineStr">
        <is>
          <t>🔧 تشغيلي</t>
        </is>
      </c>
      <c r="G116" s="11" t="inlineStr">
        <is>
          <t>الاستدامة · جودة التشغيل</t>
        </is>
      </c>
      <c r="H116" s="15" t="inlineStr">
        <is>
          <t>العمليات الداخلية</t>
        </is>
      </c>
      <c r="I116" s="64" t="n">
        <v>0.09</v>
      </c>
      <c r="J116" s="15" t="inlineStr">
        <is>
          <t>مدير سلاسل الإمداد</t>
        </is>
      </c>
      <c r="K116" s="11" t="inlineStr">
        <is>
          <t>نظام سلاسل الإمداد والمخزون (WMS/ERP)</t>
        </is>
      </c>
      <c r="L116" s="15" t="inlineStr">
        <is>
          <t>شهري</t>
        </is>
      </c>
      <c r="M116" s="15" t="inlineStr">
        <is>
          <t>مدير سلاسل الإمداد</t>
        </is>
      </c>
      <c r="N116" s="57" t="n"/>
    </row>
    <row r="117" ht="30" customHeight="1">
      <c r="A117" s="15" t="n">
        <v>115</v>
      </c>
      <c r="B117" s="13" t="inlineStr">
        <is>
          <t>سلاسل الإمداد</t>
        </is>
      </c>
      <c r="C117" s="21" t="inlineStr">
        <is>
          <t>نسبة المواد الراكدة من المخزون</t>
        </is>
      </c>
      <c r="D117" s="76" t="inlineStr">
        <is>
          <t>يقيس نسبة المواد الراكدة من المخزون ضمن محور «المخزون»، ويعكس مساهمة الإدارة في ركيزة الاستدامة.</t>
        </is>
      </c>
      <c r="E117" s="11" t="inlineStr">
        <is>
          <t>(المتحقّق ÷ الإجمالي) × 100٪</t>
        </is>
      </c>
      <c r="F117" s="15" t="inlineStr">
        <is>
          <t>🔧 تشغيلي</t>
        </is>
      </c>
      <c r="G117" s="11" t="inlineStr">
        <is>
          <t>الاستدامة · جودة التشغيل</t>
        </is>
      </c>
      <c r="H117" s="15" t="inlineStr">
        <is>
          <t>العمليات الداخلية</t>
        </is>
      </c>
      <c r="I117" s="64" t="n">
        <v>0.06</v>
      </c>
      <c r="J117" s="15" t="inlineStr">
        <is>
          <t>مدير سلاسل الإمداد</t>
        </is>
      </c>
      <c r="K117" s="11" t="inlineStr">
        <is>
          <t>نظام سلاسل الإمداد والمخزون (WMS/ERP)</t>
        </is>
      </c>
      <c r="L117" s="15" t="inlineStr">
        <is>
          <t>شهري</t>
        </is>
      </c>
      <c r="M117" s="15" t="inlineStr">
        <is>
          <t>مدير سلاسل الإمداد</t>
        </is>
      </c>
      <c r="N117" s="57" t="n"/>
    </row>
    <row r="118" ht="30" customHeight="1">
      <c r="A118" s="15" t="n">
        <v>116</v>
      </c>
      <c r="B118" s="13" t="inlineStr">
        <is>
          <t>سلاسل الإمداد</t>
        </is>
      </c>
      <c r="C118" s="21" t="inlineStr">
        <is>
          <t>دقة أوامر الشراء ومستنداتها</t>
        </is>
      </c>
      <c r="D118" s="76" t="inlineStr">
        <is>
          <t>يقيس دقة أوامر الشراء ومستنداتها ضمن محور «المشتريات»، ويعكس مساهمة الإدارة في ركيزة الاستدامة.</t>
        </is>
      </c>
      <c r="E118" s="11" t="inlineStr">
        <is>
          <t>(المتحقّق ÷ الإجمالي) × 100٪</t>
        </is>
      </c>
      <c r="F118" s="15" t="inlineStr">
        <is>
          <t>🎯 نتيجة</t>
        </is>
      </c>
      <c r="G118" s="11" t="inlineStr">
        <is>
          <t>الاستدامة · جودة التشغيل</t>
        </is>
      </c>
      <c r="H118" s="15" t="inlineStr">
        <is>
          <t>العمليات الداخلية</t>
        </is>
      </c>
      <c r="I118" s="64" t="n">
        <v>0.1</v>
      </c>
      <c r="J118" s="15" t="inlineStr">
        <is>
          <t>مدير سلاسل الإمداد</t>
        </is>
      </c>
      <c r="K118" s="11" t="inlineStr">
        <is>
          <t>نظام سلاسل الإمداد والمخزون (WMS/ERP)</t>
        </is>
      </c>
      <c r="L118" s="15" t="inlineStr">
        <is>
          <t>شهري</t>
        </is>
      </c>
      <c r="M118" s="15" t="inlineStr">
        <is>
          <t>مدير سلاسل الإمداد</t>
        </is>
      </c>
      <c r="N118" s="57" t="n"/>
    </row>
    <row r="119" ht="30" customHeight="1">
      <c r="A119" s="15" t="n">
        <v>117</v>
      </c>
      <c r="B119" s="13" t="inlineStr">
        <is>
          <t>سلاسل الإمداد</t>
        </is>
      </c>
      <c r="C119" s="21" t="inlineStr">
        <is>
          <t>نسبة إنجاز أوامر الشراء خلال المدة المستهدفة</t>
        </is>
      </c>
      <c r="D119" s="76" t="inlineStr">
        <is>
          <t>يقيس نسبة إنجاز أوامر الشراء خلال المدة المستهدفة ضمن محور «المشتريات»، ويعكس مساهمة الإدارة في ركيزة الاستدامة.</t>
        </is>
      </c>
      <c r="E119" s="11" t="inlineStr">
        <is>
          <t>(المتحقّق ÷ الإجمالي) × 100٪</t>
        </is>
      </c>
      <c r="F119" s="15" t="inlineStr">
        <is>
          <t>🔧 تشغيلي</t>
        </is>
      </c>
      <c r="G119" s="11" t="inlineStr">
        <is>
          <t>الاستدامة · جودة التشغيل</t>
        </is>
      </c>
      <c r="H119" s="15" t="inlineStr">
        <is>
          <t>العمليات الداخلية</t>
        </is>
      </c>
      <c r="I119" s="64" t="n">
        <v>0.08</v>
      </c>
      <c r="J119" s="15" t="inlineStr">
        <is>
          <t>مدير سلاسل الإمداد</t>
        </is>
      </c>
      <c r="K119" s="11" t="inlineStr">
        <is>
          <t>نظام سلاسل الإمداد والمخزون (WMS/ERP)</t>
        </is>
      </c>
      <c r="L119" s="15" t="inlineStr">
        <is>
          <t>شهري</t>
        </is>
      </c>
      <c r="M119" s="15" t="inlineStr">
        <is>
          <t>مدير سلاسل الإمداد</t>
        </is>
      </c>
      <c r="N119" s="57" t="n"/>
    </row>
    <row r="120" ht="30" customHeight="1">
      <c r="A120" s="15" t="n">
        <v>118</v>
      </c>
      <c r="B120" s="13" t="inlineStr">
        <is>
          <t>سلاسل الإمداد</t>
        </is>
      </c>
      <c r="C120" s="21" t="inlineStr">
        <is>
          <t>نسبة الالتزام بزمن التسليم والتوريد للمحطات والإدارات</t>
        </is>
      </c>
      <c r="D120" s="76" t="inlineStr">
        <is>
          <t>يقيس نسبة الالتزام بزمن التسليم والتوريد للمحطات والإدارات ضمن محور «التوريد والتسليم»، ويعكس مساهمة الإدارة في ركيزة الاستدامة.</t>
        </is>
      </c>
      <c r="E120" s="11" t="inlineStr">
        <is>
          <t>(المتحقّق ÷ الإجمالي) × 100٪</t>
        </is>
      </c>
      <c r="F120" s="15" t="inlineStr">
        <is>
          <t>🎯 نتيجة</t>
        </is>
      </c>
      <c r="G120" s="11" t="inlineStr">
        <is>
          <t>الاستدامة · جودة التشغيل</t>
        </is>
      </c>
      <c r="H120" s="15" t="inlineStr">
        <is>
          <t>العمليات الداخلية</t>
        </is>
      </c>
      <c r="I120" s="64" t="n">
        <v>0.1</v>
      </c>
      <c r="J120" s="15" t="inlineStr">
        <is>
          <t>مدير سلاسل الإمداد</t>
        </is>
      </c>
      <c r="K120" s="11" t="inlineStr">
        <is>
          <t>نظام سلاسل الإمداد والمخزون (WMS/ERP)</t>
        </is>
      </c>
      <c r="L120" s="15" t="inlineStr">
        <is>
          <t>شهري</t>
        </is>
      </c>
      <c r="M120" s="15" t="inlineStr">
        <is>
          <t>مدير سلاسل الإمداد</t>
        </is>
      </c>
      <c r="N120" s="57" t="n"/>
    </row>
    <row r="121" ht="30" customHeight="1">
      <c r="A121" s="15" t="n">
        <v>119</v>
      </c>
      <c r="B121" s="13" t="inlineStr">
        <is>
          <t>سلاسل الإمداد</t>
        </is>
      </c>
      <c r="C121" s="21" t="inlineStr">
        <is>
          <t>نسبة جاهزية الإمداد للمحطات الجديدة وخطط الافتتاح</t>
        </is>
      </c>
      <c r="D121" s="76" t="inlineStr">
        <is>
          <t>يقيس نسبة جاهزية الإمداد للمحطات الجديدة وخطط الافتتاح ضمن محور «التوريد والتسليم»، ويعكس مساهمة الإدارة في ركيزة النمو.</t>
        </is>
      </c>
      <c r="E121" s="11" t="inlineStr">
        <is>
          <t>(المتحقّق ÷ الإجمالي) × 100٪</t>
        </is>
      </c>
      <c r="F121" s="15" t="inlineStr">
        <is>
          <t>🎯 نتيجة</t>
        </is>
      </c>
      <c r="G121" s="11" t="inlineStr">
        <is>
          <t>النمو · التوسع في المواقع</t>
        </is>
      </c>
      <c r="H121" s="15" t="inlineStr">
        <is>
          <t>العمليات الداخلية</t>
        </is>
      </c>
      <c r="I121" s="64" t="n">
        <v>0.08</v>
      </c>
      <c r="J121" s="15" t="inlineStr">
        <is>
          <t>مدير سلاسل الإمداد</t>
        </is>
      </c>
      <c r="K121" s="11" t="inlineStr">
        <is>
          <t>نظام سلاسل الإمداد والمخزون (WMS/ERP)</t>
        </is>
      </c>
      <c r="L121" s="15" t="inlineStr">
        <is>
          <t>شهري</t>
        </is>
      </c>
      <c r="M121" s="15" t="inlineStr">
        <is>
          <t>مدير سلاسل الإمداد</t>
        </is>
      </c>
      <c r="N121" s="57" t="n"/>
    </row>
    <row r="122" ht="30" customHeight="1">
      <c r="A122" s="15" t="n">
        <v>120</v>
      </c>
      <c r="B122" s="13" t="inlineStr">
        <is>
          <t>سلاسل الإمداد</t>
        </is>
      </c>
      <c r="C122" s="21" t="inlineStr">
        <is>
          <t>نسبة الالتزام بجدول النقل واستخدام الأسطول بكفاءة</t>
        </is>
      </c>
      <c r="D122" s="76" t="inlineStr">
        <is>
          <t>يقيس نسبة الالتزام بجدول النقل واستخدام الأسطول بكفاءة ضمن محور «النقل والأسطول»، ويعكس مساهمة الإدارة في ركيزة الاستدامة.</t>
        </is>
      </c>
      <c r="E122" s="11" t="inlineStr">
        <is>
          <t>(المتحقّق ÷ الإجمالي) × 100٪</t>
        </is>
      </c>
      <c r="F122" s="15" t="inlineStr">
        <is>
          <t>🎯 نتيجة</t>
        </is>
      </c>
      <c r="G122" s="11" t="inlineStr">
        <is>
          <t>الاستدامة · جودة التشغيل</t>
        </is>
      </c>
      <c r="H122" s="15" t="inlineStr">
        <is>
          <t>العمليات الداخلية</t>
        </is>
      </c>
      <c r="I122" s="64" t="n">
        <v>0.07000000000000001</v>
      </c>
      <c r="J122" s="15" t="inlineStr">
        <is>
          <t>مدير سلاسل الإمداد</t>
        </is>
      </c>
      <c r="K122" s="11" t="inlineStr">
        <is>
          <t>نظام سلاسل الإمداد والمخزون (WMS/ERP)</t>
        </is>
      </c>
      <c r="L122" s="15" t="inlineStr">
        <is>
          <t>شهري</t>
        </is>
      </c>
      <c r="M122" s="15" t="inlineStr">
        <is>
          <t>مدير سلاسل الإمداد</t>
        </is>
      </c>
      <c r="N122" s="57" t="n"/>
    </row>
    <row r="123" ht="30" customHeight="1">
      <c r="A123" s="15" t="n">
        <v>121</v>
      </c>
      <c r="B123" s="13" t="inlineStr">
        <is>
          <t>سلاسل الإمداد</t>
        </is>
      </c>
      <c r="C123" s="21" t="inlineStr">
        <is>
          <t>كفاءة إدارة الموردين</t>
        </is>
      </c>
      <c r="D123" s="76" t="inlineStr">
        <is>
          <t>يقيس كفاءة إدارة الموردين ضمن محور «الموردون والرضا»، ويعكس مساهمة الإدارة في ركيزة الاستدامة.</t>
        </is>
      </c>
      <c r="E123" s="11" t="inlineStr">
        <is>
          <t>(المتحقّق ÷ الإجمالي) × 100٪</t>
        </is>
      </c>
      <c r="F123" s="15" t="inlineStr">
        <is>
          <t>🔧 تشغيلي</t>
        </is>
      </c>
      <c r="G123" s="11" t="inlineStr">
        <is>
          <t>الاستدامة · جودة التشغيل</t>
        </is>
      </c>
      <c r="H123" s="15" t="inlineStr">
        <is>
          <t>العمليات الداخلية</t>
        </is>
      </c>
      <c r="I123" s="64" t="n">
        <v>0.06</v>
      </c>
      <c r="J123" s="15" t="inlineStr">
        <is>
          <t>مدير سلاسل الإمداد</t>
        </is>
      </c>
      <c r="K123" s="11" t="inlineStr">
        <is>
          <t>نظام سلاسل الإمداد والمخزون (WMS/ERP)</t>
        </is>
      </c>
      <c r="L123" s="15" t="inlineStr">
        <is>
          <t>شهري</t>
        </is>
      </c>
      <c r="M123" s="15" t="inlineStr">
        <is>
          <t>مدير سلاسل الإمداد</t>
        </is>
      </c>
      <c r="N123" s="57" t="n"/>
    </row>
    <row r="124" ht="30" customHeight="1">
      <c r="A124" s="15" t="n">
        <v>122</v>
      </c>
      <c r="B124" s="13" t="inlineStr">
        <is>
          <t>سلاسل الإمداد</t>
        </is>
      </c>
      <c r="C124" s="21" t="inlineStr">
        <is>
          <t>مستوى رضا الإدارات عن خدمات سلاسل الإمداد</t>
        </is>
      </c>
      <c r="D124" s="76" t="inlineStr">
        <is>
          <t>يقيس مستوى رضا الإدارات عن خدمات سلاسل الإمداد ضمن محور «الموردون والرضا»، ويعكس مساهمة الإدارة في ركيزة الاستدامة.</t>
        </is>
      </c>
      <c r="E124" s="11" t="inlineStr">
        <is>
          <t>(المتحقّق ÷ الإجمالي) × 100٪</t>
        </is>
      </c>
      <c r="F124" s="15" t="inlineStr">
        <is>
          <t>🎯 نتيجة</t>
        </is>
      </c>
      <c r="G124" s="11" t="inlineStr">
        <is>
          <t>الاستدامة · جودة التشغيل</t>
        </is>
      </c>
      <c r="H124" s="15" t="inlineStr">
        <is>
          <t>العملاء</t>
        </is>
      </c>
      <c r="I124" s="64" t="n">
        <v>0.04</v>
      </c>
      <c r="J124" s="15" t="inlineStr">
        <is>
          <t>مدير سلاسل الإمداد</t>
        </is>
      </c>
      <c r="K124" s="11" t="inlineStr">
        <is>
          <t>نظام سلاسل الإمداد والمخزون (WMS/ERP)</t>
        </is>
      </c>
      <c r="L124" s="15" t="inlineStr">
        <is>
          <t>ربعي</t>
        </is>
      </c>
      <c r="M124" s="15" t="inlineStr">
        <is>
          <t>مدير سلاسل الإمداد</t>
        </is>
      </c>
      <c r="N124" s="57" t="n"/>
    </row>
    <row r="125" ht="30" customHeight="1">
      <c r="A125" s="15" t="n">
        <v>123</v>
      </c>
      <c r="B125" s="13" t="inlineStr">
        <is>
          <t>الصيانة والأتمتة</t>
        </is>
      </c>
      <c r="C125" s="21" t="inlineStr">
        <is>
          <t>نسبة الجاهزية الفنية للأصول والمعدات (Availability)</t>
        </is>
      </c>
      <c r="D125" s="76" t="inlineStr">
        <is>
          <t>يقيس نسبة الجاهزية الفنية للأصول والمعدات (Availability) ضمن محور «جاهزية الأصول»، ويعكس مساهمة الإدارة في ركيزة الاستدامة.</t>
        </is>
      </c>
      <c r="E125" s="11" t="inlineStr">
        <is>
          <t>(المتحقّق ÷ الإجمالي) × 100٪</t>
        </is>
      </c>
      <c r="F125" s="15" t="inlineStr">
        <is>
          <t>🎯 نتيجة</t>
        </is>
      </c>
      <c r="G125" s="11" t="inlineStr">
        <is>
          <t>الاستدامة · جودة التشغيل</t>
        </is>
      </c>
      <c r="H125" s="15" t="inlineStr">
        <is>
          <t>العمليات الداخلية</t>
        </is>
      </c>
      <c r="I125" s="64" t="n">
        <v>0.15</v>
      </c>
      <c r="J125" s="15" t="inlineStr">
        <is>
          <t>مدير الصيانة والأتمتة</t>
        </is>
      </c>
      <c r="K125" s="11" t="inlineStr">
        <is>
          <t>نظام إدارة الصيانة (CMMS) وأنظمة الأتمتة (SCADA)</t>
        </is>
      </c>
      <c r="L125" s="15" t="inlineStr">
        <is>
          <t>شهري</t>
        </is>
      </c>
      <c r="M125" s="15" t="inlineStr">
        <is>
          <t>مدير الصيانة والأتمتة</t>
        </is>
      </c>
      <c r="N125" s="57" t="n"/>
    </row>
    <row r="126" ht="30" customHeight="1">
      <c r="A126" s="15" t="n">
        <v>124</v>
      </c>
      <c r="B126" s="13" t="inlineStr">
        <is>
          <t>الصيانة والأتمتة</t>
        </is>
      </c>
      <c r="C126" s="21" t="inlineStr">
        <is>
          <t>نسبة تنفيذ الصيانة الوقائية في موعدها (PM)</t>
        </is>
      </c>
      <c r="D126" s="76" t="inlineStr">
        <is>
          <t>يقيس نسبة تنفيذ الصيانة الوقائية في موعدها (PM) ضمن محور «جاهزية الأصول»، ويعكس مساهمة الإدارة في ركيزة الاستدامة.</t>
        </is>
      </c>
      <c r="E126" s="11" t="inlineStr">
        <is>
          <t>(المتحقّق ÷ الإجمالي) × 100٪</t>
        </is>
      </c>
      <c r="F126" s="15" t="inlineStr">
        <is>
          <t>⚙️ نشاط</t>
        </is>
      </c>
      <c r="G126" s="11" t="inlineStr">
        <is>
          <t>الاستدامة · جودة التشغيل</t>
        </is>
      </c>
      <c r="H126" s="15" t="inlineStr">
        <is>
          <t>العمليات الداخلية</t>
        </is>
      </c>
      <c r="I126" s="64" t="n">
        <v>0.12</v>
      </c>
      <c r="J126" s="15" t="inlineStr">
        <is>
          <t>مدير الصيانة والأتمتة</t>
        </is>
      </c>
      <c r="K126" s="11" t="inlineStr">
        <is>
          <t>نظام إدارة الصيانة (CMMS) وأنظمة الأتمتة (SCADA)</t>
        </is>
      </c>
      <c r="L126" s="15" t="inlineStr">
        <is>
          <t>شهري</t>
        </is>
      </c>
      <c r="M126" s="15" t="inlineStr">
        <is>
          <t>مدير الصيانة والأتمتة</t>
        </is>
      </c>
      <c r="N126" s="57" t="n"/>
    </row>
    <row r="127" ht="30" customHeight="1">
      <c r="A127" s="15" t="n">
        <v>125</v>
      </c>
      <c r="B127" s="13" t="inlineStr">
        <is>
          <t>الصيانة والأتمتة</t>
        </is>
      </c>
      <c r="C127" s="21" t="inlineStr">
        <is>
          <t>نسبة إغلاق بلاغات الصيانة ضمن اتفاقية الخدمة (SLA)</t>
        </is>
      </c>
      <c r="D127" s="76" t="inlineStr">
        <is>
          <t>يقيس نسبة إغلاق بلاغات الصيانة ضمن اتفاقية الخدمة (SLA) ضمن محور «الاستجابة والإصلاح»، ويعكس مساهمة الإدارة في ركيزة الاستدامة.</t>
        </is>
      </c>
      <c r="E127" s="11" t="inlineStr">
        <is>
          <t>(المتحقّق ÷ الإجمالي) × 100٪</t>
        </is>
      </c>
      <c r="F127" s="15" t="inlineStr">
        <is>
          <t>🎯 نتيجة</t>
        </is>
      </c>
      <c r="G127" s="11" t="inlineStr">
        <is>
          <t>الاستدامة · جودة التشغيل</t>
        </is>
      </c>
      <c r="H127" s="15" t="inlineStr">
        <is>
          <t>العمليات الداخلية</t>
        </is>
      </c>
      <c r="I127" s="64" t="n">
        <v>0.1</v>
      </c>
      <c r="J127" s="15" t="inlineStr">
        <is>
          <t>مدير الصيانة والأتمتة</t>
        </is>
      </c>
      <c r="K127" s="11" t="inlineStr">
        <is>
          <t>نظام إدارة الصيانة (CMMS) وأنظمة الأتمتة (SCADA)</t>
        </is>
      </c>
      <c r="L127" s="15" t="inlineStr">
        <is>
          <t>شهري</t>
        </is>
      </c>
      <c r="M127" s="15" t="inlineStr">
        <is>
          <t>مدير الصيانة والأتمتة</t>
        </is>
      </c>
      <c r="N127" s="57" t="n"/>
    </row>
    <row r="128" ht="30" customHeight="1">
      <c r="A128" s="15" t="n">
        <v>126</v>
      </c>
      <c r="B128" s="13" t="inlineStr">
        <is>
          <t>الصيانة والأتمتة</t>
        </is>
      </c>
      <c r="C128" s="21" t="inlineStr">
        <is>
          <t>متوسط زمن الاستجابة للبلاغات الطارئة</t>
        </is>
      </c>
      <c r="D128" s="76" t="inlineStr">
        <is>
          <t>يقيس متوسط زمن الاستجابة للبلاغات الطارئة ضمن محور «الاستجابة والإصلاح»، ويعكس مساهمة الإدارة في ركيزة الاستدامة.</t>
        </is>
      </c>
      <c r="E128" s="11" t="inlineStr">
        <is>
          <t>متوسط دقيقة خلال الفترة</t>
        </is>
      </c>
      <c r="F128" s="15" t="inlineStr">
        <is>
          <t>🔧 تشغيلي</t>
        </is>
      </c>
      <c r="G128" s="11" t="inlineStr">
        <is>
          <t>الاستدامة · جودة التشغيل</t>
        </is>
      </c>
      <c r="H128" s="15" t="inlineStr">
        <is>
          <t>العمليات الداخلية</t>
        </is>
      </c>
      <c r="I128" s="64" t="n">
        <v>0.08</v>
      </c>
      <c r="J128" s="15" t="inlineStr">
        <is>
          <t>مدير الصيانة والأتمتة</t>
        </is>
      </c>
      <c r="K128" s="11" t="inlineStr">
        <is>
          <t>نظام إدارة الصيانة (CMMS) وأنظمة الأتمتة (SCADA)</t>
        </is>
      </c>
      <c r="L128" s="15" t="inlineStr">
        <is>
          <t>شهري</t>
        </is>
      </c>
      <c r="M128" s="15" t="inlineStr">
        <is>
          <t>مدير الصيانة والأتمتة</t>
        </is>
      </c>
      <c r="N128" s="57" t="n"/>
    </row>
    <row r="129" ht="30" customHeight="1">
      <c r="A129" s="15" t="n">
        <v>127</v>
      </c>
      <c r="B129" s="13" t="inlineStr">
        <is>
          <t>الصيانة والأتمتة</t>
        </is>
      </c>
      <c r="C129" s="21" t="inlineStr">
        <is>
          <t>متوسط زمن إصلاح الأعطال (MTTR)</t>
        </is>
      </c>
      <c r="D129" s="76" t="inlineStr">
        <is>
          <t>يقيس متوسط زمن إصلاح الأعطال (MTTR) ضمن محور «الاستجابة والإصلاح»، ويعكس مساهمة الإدارة في ركيزة الاستدامة.</t>
        </is>
      </c>
      <c r="E129" s="11" t="inlineStr">
        <is>
          <t>متوسط ساعة خلال الفترة</t>
        </is>
      </c>
      <c r="F129" s="15" t="inlineStr">
        <is>
          <t>🔧 تشغيلي</t>
        </is>
      </c>
      <c r="G129" s="11" t="inlineStr">
        <is>
          <t>الاستدامة · جودة التشغيل</t>
        </is>
      </c>
      <c r="H129" s="15" t="inlineStr">
        <is>
          <t>العمليات الداخلية</t>
        </is>
      </c>
      <c r="I129" s="64" t="n">
        <v>0.08</v>
      </c>
      <c r="J129" s="15" t="inlineStr">
        <is>
          <t>مدير الصيانة والأتمتة</t>
        </is>
      </c>
      <c r="K129" s="11" t="inlineStr">
        <is>
          <t>نظام إدارة الصيانة (CMMS) وأنظمة الأتمتة (SCADA)</t>
        </is>
      </c>
      <c r="L129" s="15" t="inlineStr">
        <is>
          <t>شهري</t>
        </is>
      </c>
      <c r="M129" s="15" t="inlineStr">
        <is>
          <t>مدير الصيانة والأتمتة</t>
        </is>
      </c>
      <c r="N129" s="57" t="n"/>
    </row>
    <row r="130" ht="30" customHeight="1">
      <c r="A130" s="15" t="n">
        <v>128</v>
      </c>
      <c r="B130" s="13" t="inlineStr">
        <is>
          <t>الصيانة والأتمتة</t>
        </is>
      </c>
      <c r="C130" s="21" t="inlineStr">
        <is>
          <t>معدل تكرار الأعطال</t>
        </is>
      </c>
      <c r="D130" s="76" t="inlineStr">
        <is>
          <t>يقيس معدل تكرار الأعطال ضمن محور «الاستجابة والإصلاح»، ويعكس مساهمة الإدارة في ركيزة الاستدامة.</t>
        </is>
      </c>
      <c r="E130" s="11" t="inlineStr">
        <is>
          <t>(المتحقّق ÷ الإجمالي) × 100٪</t>
        </is>
      </c>
      <c r="F130" s="15" t="inlineStr">
        <is>
          <t>🔧 تشغيلي</t>
        </is>
      </c>
      <c r="G130" s="11" t="inlineStr">
        <is>
          <t>الاستدامة · جودة التشغيل</t>
        </is>
      </c>
      <c r="H130" s="15" t="inlineStr">
        <is>
          <t>العمليات الداخلية</t>
        </is>
      </c>
      <c r="I130" s="64" t="n">
        <v>0.1</v>
      </c>
      <c r="J130" s="15" t="inlineStr">
        <is>
          <t>مدير الصيانة والأتمتة</t>
        </is>
      </c>
      <c r="K130" s="11" t="inlineStr">
        <is>
          <t>نظام إدارة الصيانة (CMMS) وأنظمة الأتمتة (SCADA)</t>
        </is>
      </c>
      <c r="L130" s="15" t="inlineStr">
        <is>
          <t>شهري</t>
        </is>
      </c>
      <c r="M130" s="15" t="inlineStr">
        <is>
          <t>مدير الصيانة والأتمتة</t>
        </is>
      </c>
      <c r="N130" s="57" t="n"/>
    </row>
    <row r="131" ht="30" customHeight="1">
      <c r="A131" s="15" t="n">
        <v>129</v>
      </c>
      <c r="B131" s="13" t="inlineStr">
        <is>
          <t>الصيانة والأتمتة</t>
        </is>
      </c>
      <c r="C131" s="21" t="inlineStr">
        <is>
          <t>نسبة استمرارية تشغيل المحطات دون توقف فني</t>
        </is>
      </c>
      <c r="D131" s="76" t="inlineStr">
        <is>
          <t>يقيس نسبة استمرارية تشغيل المحطات دون توقف فني ضمن محور «استمرارية التشغيل»، ويعكس مساهمة الإدارة في ركيزة الاستدامة.</t>
        </is>
      </c>
      <c r="E131" s="11" t="inlineStr">
        <is>
          <t>(المتحقّق ÷ الإجمالي) × 100٪</t>
        </is>
      </c>
      <c r="F131" s="15" t="inlineStr">
        <is>
          <t>🔧 تشغيلي</t>
        </is>
      </c>
      <c r="G131" s="11" t="inlineStr">
        <is>
          <t>الاستدامة · جودة التشغيل</t>
        </is>
      </c>
      <c r="H131" s="15" t="inlineStr">
        <is>
          <t>العمليات الداخلية</t>
        </is>
      </c>
      <c r="I131" s="64" t="n">
        <v>0.15</v>
      </c>
      <c r="J131" s="15" t="inlineStr">
        <is>
          <t>مدير الصيانة والأتمتة</t>
        </is>
      </c>
      <c r="K131" s="11" t="inlineStr">
        <is>
          <t>نظام إدارة الصيانة (CMMS) وأنظمة الأتمتة (SCADA)</t>
        </is>
      </c>
      <c r="L131" s="15" t="inlineStr">
        <is>
          <t>شهري</t>
        </is>
      </c>
      <c r="M131" s="15" t="inlineStr">
        <is>
          <t>مدير الصيانة والأتمتة</t>
        </is>
      </c>
      <c r="N131" s="57" t="n"/>
    </row>
    <row r="132" ht="30" customHeight="1">
      <c r="A132" s="15" t="n">
        <v>130</v>
      </c>
      <c r="B132" s="13" t="inlineStr">
        <is>
          <t>الصيانة والأتمتة</t>
        </is>
      </c>
      <c r="C132" s="21" t="inlineStr">
        <is>
          <t>نسبة التشغيل السليم لأنظمة الأتمتة (Uptime)</t>
        </is>
      </c>
      <c r="D132" s="76" t="inlineStr">
        <is>
          <t>يقيس نسبة التشغيل السليم لأنظمة الأتمتة (Uptime) ضمن محور «موثوقية الأتمتة»، ويعكس مساهمة الإدارة في ركيزة الابتكار.</t>
        </is>
      </c>
      <c r="E132" s="11" t="inlineStr">
        <is>
          <t>(المتحقّق ÷ الإجمالي) × 100٪</t>
        </is>
      </c>
      <c r="F132" s="15" t="inlineStr">
        <is>
          <t>🎯 نتيجة</t>
        </is>
      </c>
      <c r="G132" s="11" t="inlineStr">
        <is>
          <t>الابتكار · التحول التقني</t>
        </is>
      </c>
      <c r="H132" s="15" t="inlineStr">
        <is>
          <t>التعلّم والنمو</t>
        </is>
      </c>
      <c r="I132" s="64" t="n">
        <v>0.1</v>
      </c>
      <c r="J132" s="15" t="inlineStr">
        <is>
          <t>مدير الصيانة والأتمتة</t>
        </is>
      </c>
      <c r="K132" s="11" t="inlineStr">
        <is>
          <t>نظام إدارة الصيانة (CMMS) وأنظمة الأتمتة (SCADA)</t>
        </is>
      </c>
      <c r="L132" s="15" t="inlineStr">
        <is>
          <t>شهري</t>
        </is>
      </c>
      <c r="M132" s="15" t="inlineStr">
        <is>
          <t>مدير الصيانة والأتمتة</t>
        </is>
      </c>
      <c r="N132" s="57" t="n"/>
    </row>
    <row r="133" ht="30" customHeight="1">
      <c r="A133" s="15" t="n">
        <v>131</v>
      </c>
      <c r="B133" s="13" t="inlineStr">
        <is>
          <t>الصيانة والأتمتة</t>
        </is>
      </c>
      <c r="C133" s="21" t="inlineStr">
        <is>
          <t>نسبة استعادة أنظمة الأتمتة ضمن الزمن المحدد</t>
        </is>
      </c>
      <c r="D133" s="76" t="inlineStr">
        <is>
          <t>يقيس نسبة استعادة أنظمة الأتمتة ضمن الزمن المحدد ضمن محور «موثوقية الأتمتة»، ويعكس مساهمة الإدارة في ركيزة الابتكار.</t>
        </is>
      </c>
      <c r="E133" s="11" t="inlineStr">
        <is>
          <t>(المتحقّق ÷ الإجمالي) × 100٪</t>
        </is>
      </c>
      <c r="F133" s="15" t="inlineStr">
        <is>
          <t>🔧 تشغيلي</t>
        </is>
      </c>
      <c r="G133" s="11" t="inlineStr">
        <is>
          <t>الابتكار · التحول التقني</t>
        </is>
      </c>
      <c r="H133" s="15" t="inlineStr">
        <is>
          <t>التعلّم والنمو</t>
        </is>
      </c>
      <c r="I133" s="64" t="n">
        <v>0.08</v>
      </c>
      <c r="J133" s="15" t="inlineStr">
        <is>
          <t>مدير الصيانة والأتمتة</t>
        </is>
      </c>
      <c r="K133" s="11" t="inlineStr">
        <is>
          <t>نظام إدارة الصيانة (CMMS) وأنظمة الأتمتة (SCADA)</t>
        </is>
      </c>
      <c r="L133" s="15" t="inlineStr">
        <is>
          <t>شهري</t>
        </is>
      </c>
      <c r="M133" s="15" t="inlineStr">
        <is>
          <t>مدير الصيانة والأتمتة</t>
        </is>
      </c>
      <c r="N133" s="57" t="n"/>
    </row>
    <row r="134" ht="30" customHeight="1">
      <c r="A134" s="15" t="n">
        <v>132</v>
      </c>
      <c r="B134" s="13" t="inlineStr">
        <is>
          <t>الصيانة والأتمتة</t>
        </is>
      </c>
      <c r="C134" s="21" t="inlineStr">
        <is>
          <t>كفاءة تكاليف الصيانة (الالتزام بالميزانية)</t>
        </is>
      </c>
      <c r="D134" s="76" t="inlineStr">
        <is>
          <t>يقيس كفاءة تكاليف الصيانة (الالتزام بالميزانية) ضمن محور «كفاءة التكاليف»، ويعكس مساهمة الإدارة في ركيزة الاستدامة.</t>
        </is>
      </c>
      <c r="E134" s="11" t="inlineStr">
        <is>
          <t>(المتحقّق ÷ الإجمالي) × 100٪</t>
        </is>
      </c>
      <c r="F134" s="15" t="inlineStr">
        <is>
          <t>🎯 نتيجة</t>
        </is>
      </c>
      <c r="G134" s="11" t="inlineStr">
        <is>
          <t>الاستدامة · جودة التشغيل</t>
        </is>
      </c>
      <c r="H134" s="15" t="inlineStr">
        <is>
          <t>العمليات الداخلية</t>
        </is>
      </c>
      <c r="I134" s="64" t="n">
        <v>0.04</v>
      </c>
      <c r="J134" s="15" t="inlineStr">
        <is>
          <t>مدير الصيانة والأتمتة</t>
        </is>
      </c>
      <c r="K134" s="11" t="inlineStr">
        <is>
          <t>نظام إدارة الصيانة (CMMS) وأنظمة الأتمتة (SCADA)</t>
        </is>
      </c>
      <c r="L134" s="15" t="inlineStr">
        <is>
          <t>شهري</t>
        </is>
      </c>
      <c r="M134" s="15" t="inlineStr">
        <is>
          <t>مدير الصيانة والأتمتة</t>
        </is>
      </c>
      <c r="N134" s="57" t="n"/>
    </row>
    <row r="135" ht="30" customHeight="1">
      <c r="A135" s="15" t="n">
        <v>133</v>
      </c>
      <c r="B135" s="13" t="inlineStr">
        <is>
          <t>التقنية الرقمية</t>
        </is>
      </c>
      <c r="C135" s="21" t="inlineStr">
        <is>
          <t>نسبة توفر الأنظمة والخدمات التقنية المركزية</t>
        </is>
      </c>
      <c r="D135" s="76" t="inlineStr">
        <is>
          <t>يقيس نسبة توفر الأنظمة والخدمات التقنية المركزية ضمن محور «توفّر واستقرار الأنظمة»، ويعكس مساهمة الإدارة في ركيزة الابتكار.</t>
        </is>
      </c>
      <c r="E135" s="11" t="inlineStr">
        <is>
          <t>(المتحقّق ÷ الإجمالي) × 100٪</t>
        </is>
      </c>
      <c r="F135" s="15" t="inlineStr">
        <is>
          <t>🔧 تشغيلي</t>
        </is>
      </c>
      <c r="G135" s="11" t="inlineStr">
        <is>
          <t>الابتكار · التحول التقني</t>
        </is>
      </c>
      <c r="H135" s="15" t="inlineStr">
        <is>
          <t>التعلّم والنمو</t>
        </is>
      </c>
      <c r="I135" s="64" t="n">
        <v>0.13</v>
      </c>
      <c r="J135" s="15" t="inlineStr">
        <is>
          <t>مدير التقنية</t>
        </is>
      </c>
      <c r="K135" s="11" t="inlineStr">
        <is>
          <t>أنظمة تقنية المعلومات (ERP/ITSM/SIEM)</t>
        </is>
      </c>
      <c r="L135" s="15" t="inlineStr">
        <is>
          <t>شهري</t>
        </is>
      </c>
      <c r="M135" s="15" t="inlineStr">
        <is>
          <t>مدير التقنية</t>
        </is>
      </c>
      <c r="N135" s="57" t="n"/>
    </row>
    <row r="136" ht="30" customHeight="1">
      <c r="A136" s="15" t="n">
        <v>134</v>
      </c>
      <c r="B136" s="13" t="inlineStr">
        <is>
          <t>التقنية الرقمية</t>
        </is>
      </c>
      <c r="C136" s="21" t="inlineStr">
        <is>
          <t>نسبة معالجة الأعطال وطلبات الدعم الفني ضمن المدة المستهدفة SLA</t>
        </is>
      </c>
      <c r="D136" s="76" t="inlineStr">
        <is>
          <t>يقيس نسبة معالجة الأعطال وطلبات الدعم الفني ضمن المدة المستهدفة SLA ضمن محور «توفّر واستقرار الأنظمة»، ويعكس مساهمة الإدارة في ركيزة الابتكار.</t>
        </is>
      </c>
      <c r="E136" s="11" t="inlineStr">
        <is>
          <t>(المتحقّق ÷ الإجمالي) × 100٪</t>
        </is>
      </c>
      <c r="F136" s="15" t="inlineStr">
        <is>
          <t>🎯 نتيجة</t>
        </is>
      </c>
      <c r="G136" s="11" t="inlineStr">
        <is>
          <t>الابتكار · التحول التقني</t>
        </is>
      </c>
      <c r="H136" s="15" t="inlineStr">
        <is>
          <t>العمليات الداخلية</t>
        </is>
      </c>
      <c r="I136" s="64" t="n">
        <v>0.12</v>
      </c>
      <c r="J136" s="15" t="inlineStr">
        <is>
          <t>مدير التقنية</t>
        </is>
      </c>
      <c r="K136" s="11" t="inlineStr">
        <is>
          <t>أنظمة تقنية المعلومات (ERP/ITSM/SIEM)</t>
        </is>
      </c>
      <c r="L136" s="15" t="inlineStr">
        <is>
          <t>شهري</t>
        </is>
      </c>
      <c r="M136" s="15" t="inlineStr">
        <is>
          <t>مدير التقنية</t>
        </is>
      </c>
      <c r="N136" s="57" t="n"/>
    </row>
    <row r="137" ht="30" customHeight="1">
      <c r="A137" s="15" t="n">
        <v>135</v>
      </c>
      <c r="B137" s="13" t="inlineStr">
        <is>
          <t>التقنية الرقمية</t>
        </is>
      </c>
      <c r="C137" s="21" t="inlineStr">
        <is>
          <t>نسبة استقرار التشغيل التقني للمحطات</t>
        </is>
      </c>
      <c r="D137" s="76" t="inlineStr">
        <is>
          <t>يقيس نسبة استقرار التشغيل التقني للمحطات ضمن محور «توفّر واستقرار الأنظمة»، ويعكس مساهمة الإدارة في ركيزة الابتكار.</t>
        </is>
      </c>
      <c r="E137" s="11" t="inlineStr">
        <is>
          <t>(المتحقّق ÷ الإجمالي) × 100٪</t>
        </is>
      </c>
      <c r="F137" s="15" t="inlineStr">
        <is>
          <t>🔧 تشغيلي</t>
        </is>
      </c>
      <c r="G137" s="11" t="inlineStr">
        <is>
          <t>الابتكار · التحول التقني</t>
        </is>
      </c>
      <c r="H137" s="15" t="inlineStr">
        <is>
          <t>العمليات الداخلية</t>
        </is>
      </c>
      <c r="I137" s="64" t="n">
        <v>0.1</v>
      </c>
      <c r="J137" s="15" t="inlineStr">
        <is>
          <t>مدير التقنية</t>
        </is>
      </c>
      <c r="K137" s="11" t="inlineStr">
        <is>
          <t>أنظمة تقنية المعلومات (ERP/ITSM/SIEM)</t>
        </is>
      </c>
      <c r="L137" s="15" t="inlineStr">
        <is>
          <t>شهري</t>
        </is>
      </c>
      <c r="M137" s="15" t="inlineStr">
        <is>
          <t>مدير التقنية</t>
        </is>
      </c>
      <c r="N137" s="57" t="n"/>
    </row>
    <row r="138" ht="30" customHeight="1">
      <c r="A138" s="15" t="n">
        <v>136</v>
      </c>
      <c r="B138" s="13" t="inlineStr">
        <is>
          <t>التقنية الرقمية</t>
        </is>
      </c>
      <c r="C138" s="21" t="inlineStr">
        <is>
          <t>نسبة إنجاز مشاريع التحول الرقمي والمشاريع التقنية حسب الخطة</t>
        </is>
      </c>
      <c r="D138" s="76" t="inlineStr">
        <is>
          <t>يقيس نسبة إنجاز مشاريع التحول الرقمي والمشاريع التقنية حسب الخطة ضمن محور «المشاريع التقنية»، ويعكس مساهمة الإدارة في ركيزة الابتكار.</t>
        </is>
      </c>
      <c r="E138" s="11" t="inlineStr">
        <is>
          <t>(المتحقّق ÷ الإجمالي) × 100٪</t>
        </is>
      </c>
      <c r="F138" s="15" t="inlineStr">
        <is>
          <t>🔧 تشغيلي</t>
        </is>
      </c>
      <c r="G138" s="11" t="inlineStr">
        <is>
          <t>الابتكار · التحول التقني</t>
        </is>
      </c>
      <c r="H138" s="15" t="inlineStr">
        <is>
          <t>التعلّم والنمو</t>
        </is>
      </c>
      <c r="I138" s="64" t="n">
        <v>0.1</v>
      </c>
      <c r="J138" s="15" t="inlineStr">
        <is>
          <t>مدير التقنية</t>
        </is>
      </c>
      <c r="K138" s="11" t="inlineStr">
        <is>
          <t>أنظمة تقنية المعلومات (ERP/ITSM/SIEM)</t>
        </is>
      </c>
      <c r="L138" s="15" t="inlineStr">
        <is>
          <t>شهري</t>
        </is>
      </c>
      <c r="M138" s="15" t="inlineStr">
        <is>
          <t>مدير التقنية</t>
        </is>
      </c>
      <c r="N138" s="57" t="n"/>
    </row>
    <row r="139" ht="30" customHeight="1">
      <c r="A139" s="15" t="n">
        <v>137</v>
      </c>
      <c r="B139" s="13" t="inlineStr">
        <is>
          <t>التقنية الرقمية</t>
        </is>
      </c>
      <c r="C139" s="21" t="inlineStr">
        <is>
          <t>نسبة تسليم المشاريع التقنية ضمن الوقت والميزانية ونطاق العمل المعتمد</t>
        </is>
      </c>
      <c r="D139" s="76" t="inlineStr">
        <is>
          <t>يقيس نسبة تسليم المشاريع التقنية ضمن الوقت والميزانية ونطاق العمل المعتمد ضمن محور «المشاريع التقنية»، ويعكس مساهمة الإدارة في ركيزة الابتكار.</t>
        </is>
      </c>
      <c r="E139" s="11" t="inlineStr">
        <is>
          <t>(المتحقّق ÷ الإجمالي) × 100٪</t>
        </is>
      </c>
      <c r="F139" s="15" t="inlineStr">
        <is>
          <t>🔧 تشغيلي</t>
        </is>
      </c>
      <c r="G139" s="11" t="inlineStr">
        <is>
          <t>الابتكار · التحول التقني</t>
        </is>
      </c>
      <c r="H139" s="15" t="inlineStr">
        <is>
          <t>العمليات الداخلية</t>
        </is>
      </c>
      <c r="I139" s="64" t="n">
        <v>0.09</v>
      </c>
      <c r="J139" s="15" t="inlineStr">
        <is>
          <t>مدير التقنية</t>
        </is>
      </c>
      <c r="K139" s="11" t="inlineStr">
        <is>
          <t>أنظمة تقنية المعلومات (ERP/ITSM/SIEM)</t>
        </is>
      </c>
      <c r="L139" s="15" t="inlineStr">
        <is>
          <t>شهري</t>
        </is>
      </c>
      <c r="M139" s="15" t="inlineStr">
        <is>
          <t>مدير التقنية</t>
        </is>
      </c>
      <c r="N139" s="57" t="n"/>
    </row>
    <row r="140" ht="30" customHeight="1">
      <c r="A140" s="15" t="n">
        <v>138</v>
      </c>
      <c r="B140" s="13" t="inlineStr">
        <is>
          <t>التقنية الرقمية</t>
        </is>
      </c>
      <c r="C140" s="21" t="inlineStr">
        <is>
          <t>نسبة الالتزام بإدارة صلاحيات المستخدمين والحسابات</t>
        </is>
      </c>
      <c r="D140" s="76" t="inlineStr">
        <is>
          <t>يقيس نسبة الالتزام بإدارة صلاحيات المستخدمين والحسابات ضمن محور «الأمن والصلاحيات»، ويعكس مساهمة الإدارة في ركيزة الابتكار.</t>
        </is>
      </c>
      <c r="E140" s="11" t="inlineStr">
        <is>
          <t>(المتحقّق ÷ الإجمالي) × 100٪</t>
        </is>
      </c>
      <c r="F140" s="15" t="inlineStr">
        <is>
          <t>🎯 نتيجة</t>
        </is>
      </c>
      <c r="G140" s="11" t="inlineStr">
        <is>
          <t>الابتكار · التحول التقني</t>
        </is>
      </c>
      <c r="H140" s="15" t="inlineStr">
        <is>
          <t>التعلّم والنمو</t>
        </is>
      </c>
      <c r="I140" s="64" t="n">
        <v>0.1</v>
      </c>
      <c r="J140" s="15" t="inlineStr">
        <is>
          <t>مدير التقنية</t>
        </is>
      </c>
      <c r="K140" s="11" t="inlineStr">
        <is>
          <t>أنظمة تقنية المعلومات (ERP/ITSM/SIEM)</t>
        </is>
      </c>
      <c r="L140" s="15" t="inlineStr">
        <is>
          <t>شهري</t>
        </is>
      </c>
      <c r="M140" s="15" t="inlineStr">
        <is>
          <t>مدير التقنية</t>
        </is>
      </c>
      <c r="N140" s="57" t="n"/>
    </row>
    <row r="141" ht="30" customHeight="1">
      <c r="A141" s="15" t="n">
        <v>139</v>
      </c>
      <c r="B141" s="13" t="inlineStr">
        <is>
          <t>التقنية الرقمية</t>
        </is>
      </c>
      <c r="C141" s="21" t="inlineStr">
        <is>
          <t>نسبة نجاح النسخ الاحتياطي واختبارات استعادة البيانات</t>
        </is>
      </c>
      <c r="D141" s="76" t="inlineStr">
        <is>
          <t>يقيس نسبة نجاح النسخ الاحتياطي واختبارات استعادة البيانات ضمن محور «الأمن والصلاحيات»، ويعكس مساهمة الإدارة في ركيزة الابتكار.</t>
        </is>
      </c>
      <c r="E141" s="11" t="inlineStr">
        <is>
          <t>(المتحقّق ÷ الإجمالي) × 100٪</t>
        </is>
      </c>
      <c r="F141" s="15" t="inlineStr">
        <is>
          <t>🔧 تشغيلي</t>
        </is>
      </c>
      <c r="G141" s="11" t="inlineStr">
        <is>
          <t>الابتكار · التحول التقني</t>
        </is>
      </c>
      <c r="H141" s="15" t="inlineStr">
        <is>
          <t>العمليات الداخلية</t>
        </is>
      </c>
      <c r="I141" s="64" t="n">
        <v>0.08</v>
      </c>
      <c r="J141" s="15" t="inlineStr">
        <is>
          <t>مدير التقنية</t>
        </is>
      </c>
      <c r="K141" s="11" t="inlineStr">
        <is>
          <t>أنظمة تقنية المعلومات (ERP/ITSM/SIEM)</t>
        </is>
      </c>
      <c r="L141" s="15" t="inlineStr">
        <is>
          <t>شهري</t>
        </is>
      </c>
      <c r="M141" s="15" t="inlineStr">
        <is>
          <t>مدير التقنية</t>
        </is>
      </c>
      <c r="N141" s="57" t="n"/>
    </row>
    <row r="142" ht="30" customHeight="1">
      <c r="A142" s="15" t="n">
        <v>140</v>
      </c>
      <c r="B142" s="13" t="inlineStr">
        <is>
          <t>التقنية الرقمية</t>
        </is>
      </c>
      <c r="C142" s="21" t="inlineStr">
        <is>
          <t>نسبة الامتثال لضوابط الأمن السيبراني الأساسية</t>
        </is>
      </c>
      <c r="D142" s="76" t="inlineStr">
        <is>
          <t>يقيس نسبة الامتثال لضوابط الأمن السيبراني الأساسية ضمن محور «الأمن والصلاحيات»، ويعكس مساهمة الإدارة في ركيزة الابتكار.</t>
        </is>
      </c>
      <c r="E142" s="11" t="inlineStr">
        <is>
          <t>(المتحقّق ÷ الإجمالي) × 100٪</t>
        </is>
      </c>
      <c r="F142" s="15" t="inlineStr">
        <is>
          <t>🎯 نتيجة</t>
        </is>
      </c>
      <c r="G142" s="11" t="inlineStr">
        <is>
          <t>الابتكار · التحول التقني</t>
        </is>
      </c>
      <c r="H142" s="15" t="inlineStr">
        <is>
          <t>التعلّم والنمو</t>
        </is>
      </c>
      <c r="I142" s="64" t="n">
        <v>0.08</v>
      </c>
      <c r="J142" s="15" t="inlineStr">
        <is>
          <t>مدير التقنية</t>
        </is>
      </c>
      <c r="K142" s="11" t="inlineStr">
        <is>
          <t>أنظمة تقنية المعلومات (ERP/ITSM/SIEM)</t>
        </is>
      </c>
      <c r="L142" s="15" t="inlineStr">
        <is>
          <t>شهري</t>
        </is>
      </c>
      <c r="M142" s="15" t="inlineStr">
        <is>
          <t>مدير التقنية</t>
        </is>
      </c>
      <c r="N142" s="57" t="n"/>
    </row>
    <row r="143" ht="30" customHeight="1">
      <c r="A143" s="15" t="n">
        <v>141</v>
      </c>
      <c r="B143" s="13" t="inlineStr">
        <is>
          <t>التقنية الرقمية</t>
        </is>
      </c>
      <c r="C143" s="21" t="inlineStr">
        <is>
          <t>نسبة دقة وتكامل البيانات بين الأنظمة الرقمية</t>
        </is>
      </c>
      <c r="D143" s="76" t="inlineStr">
        <is>
          <t>يقيس نسبة دقة وتكامل البيانات بين الأنظمة الرقمية ضمن محور «الحوكمة والبيانات»، ويعكس مساهمة الإدارة في ركيزة الابتكار.</t>
        </is>
      </c>
      <c r="E143" s="11" t="inlineStr">
        <is>
          <t>(المتحقّق ÷ الإجمالي) × 100٪</t>
        </is>
      </c>
      <c r="F143" s="15" t="inlineStr">
        <is>
          <t>🎯 نتيجة</t>
        </is>
      </c>
      <c r="G143" s="11" t="inlineStr">
        <is>
          <t>الابتكار · التحول التقني</t>
        </is>
      </c>
      <c r="H143" s="15" t="inlineStr">
        <is>
          <t>التعلّم والنمو</t>
        </is>
      </c>
      <c r="I143" s="64" t="n">
        <v>0.06</v>
      </c>
      <c r="J143" s="15" t="inlineStr">
        <is>
          <t>مدير التقنية</t>
        </is>
      </c>
      <c r="K143" s="11" t="inlineStr">
        <is>
          <t>أنظمة تقنية المعلومات (ERP/ITSM/SIEM)</t>
        </is>
      </c>
      <c r="L143" s="15" t="inlineStr">
        <is>
          <t>شهري</t>
        </is>
      </c>
      <c r="M143" s="15" t="inlineStr">
        <is>
          <t>مدير التقنية</t>
        </is>
      </c>
      <c r="N143" s="57" t="n"/>
    </row>
    <row r="144" ht="30" customHeight="1">
      <c r="A144" s="15" t="n">
        <v>142</v>
      </c>
      <c r="B144" s="13" t="inlineStr">
        <is>
          <t>التقنية الرقمية</t>
        </is>
      </c>
      <c r="C144" s="21" t="inlineStr">
        <is>
          <t>نسبة الالتزام بتحديث وتوثيق أصول تقنية المعلومات والتراخيص</t>
        </is>
      </c>
      <c r="D144" s="76" t="inlineStr">
        <is>
          <t>يقيس نسبة الالتزام بتحديث وتوثيق أصول تقنية المعلومات والتراخيص ضمن محور «الحوكمة والبيانات»، ويعكس مساهمة الإدارة في ركيزة الابتكار.</t>
        </is>
      </c>
      <c r="E144" s="11" t="inlineStr">
        <is>
          <t>(المتحقّق ÷ الإجمالي) × 100٪</t>
        </is>
      </c>
      <c r="F144" s="15" t="inlineStr">
        <is>
          <t>🎯 نتيجة</t>
        </is>
      </c>
      <c r="G144" s="11" t="inlineStr">
        <is>
          <t>الابتكار · التحول التقني</t>
        </is>
      </c>
      <c r="H144" s="15" t="inlineStr">
        <is>
          <t>العمليات الداخلية</t>
        </is>
      </c>
      <c r="I144" s="64" t="n">
        <v>0.05</v>
      </c>
      <c r="J144" s="15" t="inlineStr">
        <is>
          <t>مدير التقنية</t>
        </is>
      </c>
      <c r="K144" s="11" t="inlineStr">
        <is>
          <t>أنظمة تقنية المعلومات (ERP/ITSM/SIEM)</t>
        </is>
      </c>
      <c r="L144" s="15" t="inlineStr">
        <is>
          <t>شهري</t>
        </is>
      </c>
      <c r="M144" s="15" t="inlineStr">
        <is>
          <t>مدير التقنية</t>
        </is>
      </c>
      <c r="N144" s="57" t="n"/>
    </row>
    <row r="145" ht="30" customHeight="1">
      <c r="A145" s="15" t="n">
        <v>143</v>
      </c>
      <c r="B145" s="13" t="inlineStr">
        <is>
          <t>التقنية الرقمية</t>
        </is>
      </c>
      <c r="C145" s="21" t="inlineStr">
        <is>
          <t>نسبة تنفيذ الصيانة الوقائية للأجهزة والبنية التقنية</t>
        </is>
      </c>
      <c r="D145" s="76" t="inlineStr">
        <is>
          <t>يقيس نسبة تنفيذ الصيانة الوقائية للأجهزة والبنية التقنية ضمن محور «الصيانة والرضا»، ويعكس مساهمة الإدارة في ركيزة الابتكار.</t>
        </is>
      </c>
      <c r="E145" s="11" t="inlineStr">
        <is>
          <t>(المتحقّق ÷ الإجمالي) × 100٪</t>
        </is>
      </c>
      <c r="F145" s="15" t="inlineStr">
        <is>
          <t>⚙️ نشاط</t>
        </is>
      </c>
      <c r="G145" s="11" t="inlineStr">
        <is>
          <t>الابتكار · التحول التقني</t>
        </is>
      </c>
      <c r="H145" s="15" t="inlineStr">
        <is>
          <t>العمليات الداخلية</t>
        </is>
      </c>
      <c r="I145" s="64" t="n">
        <v>0.05</v>
      </c>
      <c r="J145" s="15" t="inlineStr">
        <is>
          <t>مدير التقنية</t>
        </is>
      </c>
      <c r="K145" s="11" t="inlineStr">
        <is>
          <t>أنظمة تقنية المعلومات (ERP/ITSM/SIEM)</t>
        </is>
      </c>
      <c r="L145" s="15" t="inlineStr">
        <is>
          <t>شهري</t>
        </is>
      </c>
      <c r="M145" s="15" t="inlineStr">
        <is>
          <t>مدير التقنية</t>
        </is>
      </c>
      <c r="N145" s="57" t="n"/>
    </row>
    <row r="146" ht="30" customHeight="1">
      <c r="A146" s="15" t="n">
        <v>144</v>
      </c>
      <c r="B146" s="13" t="inlineStr">
        <is>
          <t>التقنية الرقمية</t>
        </is>
      </c>
      <c r="C146" s="21" t="inlineStr">
        <is>
          <t>مستوى رضا الإدارات والمستخدمين عن خدمات تقنية المعلومات</t>
        </is>
      </c>
      <c r="D146" s="76" t="inlineStr">
        <is>
          <t>يقيس مستوى رضا الإدارات والمستخدمين عن خدمات تقنية المعلومات ضمن محور «الصيانة والرضا»، ويعكس مساهمة الإدارة في ركيزة الابتكار.</t>
        </is>
      </c>
      <c r="E146" s="11" t="inlineStr">
        <is>
          <t>(المتحقّق ÷ الإجمالي) × 100٪</t>
        </is>
      </c>
      <c r="F146" s="15" t="inlineStr">
        <is>
          <t>🎯 نتيجة</t>
        </is>
      </c>
      <c r="G146" s="11" t="inlineStr">
        <is>
          <t>الابتكار · التحول التقني</t>
        </is>
      </c>
      <c r="H146" s="15" t="inlineStr">
        <is>
          <t>التعلّم والنمو</t>
        </is>
      </c>
      <c r="I146" s="64" t="n">
        <v>0.04</v>
      </c>
      <c r="J146" s="15" t="inlineStr">
        <is>
          <t>مدير التقنية</t>
        </is>
      </c>
      <c r="K146" s="11" t="inlineStr">
        <is>
          <t>أنظمة تقنية المعلومات (ERP/ITSM/SIEM)</t>
        </is>
      </c>
      <c r="L146" s="15" t="inlineStr">
        <is>
          <t>ربعي</t>
        </is>
      </c>
      <c r="M146" s="15" t="inlineStr">
        <is>
          <t>مدير التقنية</t>
        </is>
      </c>
      <c r="N146" s="57" t="n"/>
    </row>
    <row r="147" ht="30" customHeight="1">
      <c r="A147" s="15" t="n">
        <v>145</v>
      </c>
      <c r="B147" s="13" t="inlineStr">
        <is>
          <t>الموارد البشرية</t>
        </is>
      </c>
      <c r="C147" s="21" t="inlineStr">
        <is>
          <t>نسبة الالتزام بالتوطين والامتثال الحكومي دون مخالفات</t>
        </is>
      </c>
      <c r="D147" s="76" t="inlineStr">
        <is>
          <t>يقيس نسبة الالتزام بالتوطين والامتثال الحكومي دون مخالفات ضمن محور «الامتثال والالتزام»، ويعكس مساهمة الإدارة في ركيزة الاستدامة.</t>
        </is>
      </c>
      <c r="E147" s="11" t="inlineStr">
        <is>
          <t>(المتحقّق ÷ الإجمالي) × 100٪</t>
        </is>
      </c>
      <c r="F147" s="15" t="inlineStr">
        <is>
          <t>🎯 نتيجة</t>
        </is>
      </c>
      <c r="G147" s="11" t="inlineStr">
        <is>
          <t>الاستدامة · الاستثمار في الموظفين</t>
        </is>
      </c>
      <c r="H147" s="15" t="inlineStr">
        <is>
          <t>العمليات الداخلية</t>
        </is>
      </c>
      <c r="I147" s="64" t="n">
        <v>0.11</v>
      </c>
      <c r="J147" s="15" t="inlineStr">
        <is>
          <t>مدير الموارد البشرية</t>
        </is>
      </c>
      <c r="K147" s="11" t="inlineStr">
        <is>
          <t>نظام الموارد البشرية (HRMS)</t>
        </is>
      </c>
      <c r="L147" s="15" t="inlineStr">
        <is>
          <t>شهري</t>
        </is>
      </c>
      <c r="M147" s="15" t="inlineStr">
        <is>
          <t>مدير الموارد البشرية</t>
        </is>
      </c>
      <c r="N147" s="57" t="n"/>
    </row>
    <row r="148" ht="30" customHeight="1">
      <c r="A148" s="15" t="n">
        <v>146</v>
      </c>
      <c r="B148" s="13" t="inlineStr">
        <is>
          <t>الموارد البشرية</t>
        </is>
      </c>
      <c r="C148" s="21" t="inlineStr">
        <is>
          <t>نسبة الالتزام بنظام العمل واللوائح وخطة القوى العاملة المعتمدة</t>
        </is>
      </c>
      <c r="D148" s="76" t="inlineStr">
        <is>
          <t>يقيس نسبة الالتزام بنظام العمل واللوائح وخطة القوى العاملة المعتمدة ضمن محور «الامتثال والالتزام»، ويعكس مساهمة الإدارة في ركيزة الاستدامة.</t>
        </is>
      </c>
      <c r="E148" s="11" t="inlineStr">
        <is>
          <t>(المتحقّق ÷ الإجمالي) × 100٪</t>
        </is>
      </c>
      <c r="F148" s="15" t="inlineStr">
        <is>
          <t>🎯 نتيجة</t>
        </is>
      </c>
      <c r="G148" s="11" t="inlineStr">
        <is>
          <t>الاستدامة · الاستثمار في الموظفين</t>
        </is>
      </c>
      <c r="H148" s="15" t="inlineStr">
        <is>
          <t>العمليات الداخلية</t>
        </is>
      </c>
      <c r="I148" s="64" t="n">
        <v>0.11</v>
      </c>
      <c r="J148" s="15" t="inlineStr">
        <is>
          <t>مدير الموارد البشرية</t>
        </is>
      </c>
      <c r="K148" s="11" t="inlineStr">
        <is>
          <t>نظام الموارد البشرية (HRMS)</t>
        </is>
      </c>
      <c r="L148" s="15" t="inlineStr">
        <is>
          <t>شهري</t>
        </is>
      </c>
      <c r="M148" s="15" t="inlineStr">
        <is>
          <t>مدير الموارد البشرية</t>
        </is>
      </c>
      <c r="N148" s="57" t="n"/>
    </row>
    <row r="149" ht="30" customHeight="1">
      <c r="A149" s="15" t="n">
        <v>147</v>
      </c>
      <c r="B149" s="13" t="inlineStr">
        <is>
          <t>الموارد البشرية</t>
        </is>
      </c>
      <c r="C149" s="21" t="inlineStr">
        <is>
          <t>نسبة إنجاز معاملات شؤون الموظفين ضمن المدة المستهدفة SLA</t>
        </is>
      </c>
      <c r="D149" s="76" t="inlineStr">
        <is>
          <t>يقيس نسبة إنجاز معاملات شؤون الموظفين ضمن المدة المستهدفة SLA ضمن محور «خدمات الموظفين»، ويعكس مساهمة الإدارة في ركيزة الاستدامة.</t>
        </is>
      </c>
      <c r="E149" s="11" t="inlineStr">
        <is>
          <t>(المتحقّق ÷ الإجمالي) × 100٪</t>
        </is>
      </c>
      <c r="F149" s="15" t="inlineStr">
        <is>
          <t>🔧 تشغيلي</t>
        </is>
      </c>
      <c r="G149" s="11" t="inlineStr">
        <is>
          <t>الاستدامة · الاستثمار في الموظفين</t>
        </is>
      </c>
      <c r="H149" s="15" t="inlineStr">
        <is>
          <t>التعلّم والنمو</t>
        </is>
      </c>
      <c r="I149" s="64" t="n">
        <v>0.09</v>
      </c>
      <c r="J149" s="15" t="inlineStr">
        <is>
          <t>مدير الموارد البشرية</t>
        </is>
      </c>
      <c r="K149" s="11" t="inlineStr">
        <is>
          <t>نظام الموارد البشرية (HRMS)</t>
        </is>
      </c>
      <c r="L149" s="15" t="inlineStr">
        <is>
          <t>شهري</t>
        </is>
      </c>
      <c r="M149" s="15" t="inlineStr">
        <is>
          <t>مدير الموارد البشرية</t>
        </is>
      </c>
      <c r="N149" s="57" t="n"/>
    </row>
    <row r="150" ht="30" customHeight="1">
      <c r="A150" s="15" t="n">
        <v>148</v>
      </c>
      <c r="B150" s="13" t="inlineStr">
        <is>
          <t>الموارد البشرية</t>
        </is>
      </c>
      <c r="C150" s="21" t="inlineStr">
        <is>
          <t>نسبة الالتزام بتجديد الوثائق واكتمال ملفات الموظفين</t>
        </is>
      </c>
      <c r="D150" s="76" t="inlineStr">
        <is>
          <t>يقيس نسبة الالتزام بتجديد الوثائق واكتمال ملفات الموظفين ضمن محور «الامتثال والالتزام»، ويعكس مساهمة الإدارة في ركيزة الاستدامة.</t>
        </is>
      </c>
      <c r="E150" s="11" t="inlineStr">
        <is>
          <t>(المتحقّق ÷ الإجمالي) × 100٪</t>
        </is>
      </c>
      <c r="F150" s="15" t="inlineStr">
        <is>
          <t>🎯 نتيجة</t>
        </is>
      </c>
      <c r="G150" s="11" t="inlineStr">
        <is>
          <t>الاستدامة · الاستثمار في الموظفين</t>
        </is>
      </c>
      <c r="H150" s="15" t="inlineStr">
        <is>
          <t>التعلّم والنمو</t>
        </is>
      </c>
      <c r="I150" s="64" t="n">
        <v>0.09</v>
      </c>
      <c r="J150" s="15" t="inlineStr">
        <is>
          <t>مدير الموارد البشرية</t>
        </is>
      </c>
      <c r="K150" s="11" t="inlineStr">
        <is>
          <t>نظام الموارد البشرية (HRMS)</t>
        </is>
      </c>
      <c r="L150" s="15" t="inlineStr">
        <is>
          <t>شهري</t>
        </is>
      </c>
      <c r="M150" s="15" t="inlineStr">
        <is>
          <t>مدير الموارد البشرية</t>
        </is>
      </c>
      <c r="N150" s="57" t="n"/>
    </row>
    <row r="151" ht="30" customHeight="1">
      <c r="A151" s="15" t="n">
        <v>149</v>
      </c>
      <c r="B151" s="13" t="inlineStr">
        <is>
          <t>الموارد البشرية</t>
        </is>
      </c>
      <c r="C151" s="21" t="inlineStr">
        <is>
          <t>نسبة جاهزية وتغطية عمالة المحطات حسب خطة التشغيل والافتتاحات</t>
        </is>
      </c>
      <c r="D151" s="76" t="inlineStr">
        <is>
          <t>يقيس نسبة جاهزية وتغطية عمالة المحطات حسب خطة التشغيل والافتتاحات ضمن محور «التشغيل والتغطية»، ويعكس مساهمة الإدارة في ركيزة الاستدامة.</t>
        </is>
      </c>
      <c r="E151" s="11" t="inlineStr">
        <is>
          <t>(المتحقّق ÷ الإجمالي) × 100٪</t>
        </is>
      </c>
      <c r="F151" s="15" t="inlineStr">
        <is>
          <t>🎯 نتيجة</t>
        </is>
      </c>
      <c r="G151" s="11" t="inlineStr">
        <is>
          <t>الاستدامة · الاستثمار في الموظفين</t>
        </is>
      </c>
      <c r="H151" s="15" t="inlineStr">
        <is>
          <t>العمليات الداخلية</t>
        </is>
      </c>
      <c r="I151" s="64" t="n">
        <v>0.11</v>
      </c>
      <c r="J151" s="15" t="inlineStr">
        <is>
          <t>مدير الموارد البشرية</t>
        </is>
      </c>
      <c r="K151" s="11" t="inlineStr">
        <is>
          <t>نظام الموارد البشرية (HRMS)</t>
        </is>
      </c>
      <c r="L151" s="15" t="inlineStr">
        <is>
          <t>شهري</t>
        </is>
      </c>
      <c r="M151" s="15" t="inlineStr">
        <is>
          <t>مدير الموارد البشرية</t>
        </is>
      </c>
      <c r="N151" s="57" t="n"/>
    </row>
    <row r="152" ht="30" customHeight="1">
      <c r="A152" s="15" t="n">
        <v>150</v>
      </c>
      <c r="B152" s="13" t="inlineStr">
        <is>
          <t>الموارد البشرية</t>
        </is>
      </c>
      <c r="C152" s="21" t="inlineStr">
        <is>
          <t>متوسط مدة إغلاق الشواغر المعتمدة</t>
        </is>
      </c>
      <c r="D152" s="76" t="inlineStr">
        <is>
          <t>يقيس متوسط مدة إغلاق الشواغر المعتمدة ضمن محور «الاستقطاب»، ويعكس مساهمة الإدارة في ركيزة الاستدامة.</t>
        </is>
      </c>
      <c r="E152" s="11" t="inlineStr">
        <is>
          <t>متوسط يوم خلال الفترة</t>
        </is>
      </c>
      <c r="F152" s="15" t="inlineStr">
        <is>
          <t>🎯 نتيجة</t>
        </is>
      </c>
      <c r="G152" s="11" t="inlineStr">
        <is>
          <t>الاستدامة · الاستثمار في الموظفين</t>
        </is>
      </c>
      <c r="H152" s="15" t="inlineStr">
        <is>
          <t>العمليات الداخلية</t>
        </is>
      </c>
      <c r="I152" s="64" t="n">
        <v>0.08</v>
      </c>
      <c r="J152" s="15" t="inlineStr">
        <is>
          <t>مدير الموارد البشرية</t>
        </is>
      </c>
      <c r="K152" s="11" t="inlineStr">
        <is>
          <t>نظام الموارد البشرية (HRMS)</t>
        </is>
      </c>
      <c r="L152" s="15" t="inlineStr">
        <is>
          <t>شهري</t>
        </is>
      </c>
      <c r="M152" s="15" t="inlineStr">
        <is>
          <t>مدير الموارد البشرية</t>
        </is>
      </c>
      <c r="N152" s="57" t="n"/>
    </row>
    <row r="153" ht="30" customHeight="1">
      <c r="A153" s="15" t="n">
        <v>151</v>
      </c>
      <c r="B153" s="13" t="inlineStr">
        <is>
          <t>الموارد البشرية</t>
        </is>
      </c>
      <c r="C153" s="21" t="inlineStr">
        <is>
          <t>نسبة نجاح التعيينات الجديدة خلال فترة التجربة</t>
        </is>
      </c>
      <c r="D153" s="76" t="inlineStr">
        <is>
          <t>يقيس نسبة نجاح التعيينات الجديدة خلال فترة التجربة ضمن محور «الاستقطاب»، ويعكس مساهمة الإدارة في ركيزة الاستدامة.</t>
        </is>
      </c>
      <c r="E153" s="11" t="inlineStr">
        <is>
          <t>(المتحقّق ÷ الإجمالي) × 100٪</t>
        </is>
      </c>
      <c r="F153" s="15" t="inlineStr">
        <is>
          <t>🔧 تشغيلي</t>
        </is>
      </c>
      <c r="G153" s="11" t="inlineStr">
        <is>
          <t>الاستدامة · الاستثمار في الموظفين</t>
        </is>
      </c>
      <c r="H153" s="15" t="inlineStr">
        <is>
          <t>العملاء</t>
        </is>
      </c>
      <c r="I153" s="64" t="n">
        <v>0.08</v>
      </c>
      <c r="J153" s="15" t="inlineStr">
        <is>
          <t>مدير الموارد البشرية</t>
        </is>
      </c>
      <c r="K153" s="11" t="inlineStr">
        <is>
          <t>نظام الموارد البشرية (HRMS)</t>
        </is>
      </c>
      <c r="L153" s="15" t="inlineStr">
        <is>
          <t>شهري</t>
        </is>
      </c>
      <c r="M153" s="15" t="inlineStr">
        <is>
          <t>مدير الموارد البشرية</t>
        </is>
      </c>
      <c r="N153" s="57" t="n"/>
    </row>
    <row r="154" ht="30" customHeight="1">
      <c r="A154" s="15" t="n">
        <v>152</v>
      </c>
      <c r="B154" s="13" t="inlineStr">
        <is>
          <t>الموارد البشرية</t>
        </is>
      </c>
      <c r="C154" s="21" t="inlineStr">
        <is>
          <t>نسبة كفاءة تكلفة القوى العاملة</t>
        </is>
      </c>
      <c r="D154" s="76" t="inlineStr">
        <is>
          <t>يقيس نسبة كفاءة تكلفة القوى العاملة ضمن محور «التكلفة والرواتب»، ويعكس مساهمة الإدارة في ركيزة الاستدامة.</t>
        </is>
      </c>
      <c r="E154" s="11" t="inlineStr">
        <is>
          <t>(المتحقّق ÷ الإجمالي) × 100٪</t>
        </is>
      </c>
      <c r="F154" s="15" t="inlineStr">
        <is>
          <t>🔧 تشغيلي</t>
        </is>
      </c>
      <c r="G154" s="11" t="inlineStr">
        <is>
          <t>الاستدامة · الاستثمار في الموظفين</t>
        </is>
      </c>
      <c r="H154" s="15" t="inlineStr">
        <is>
          <t>مالي</t>
        </is>
      </c>
      <c r="I154" s="64" t="n">
        <v>0.09</v>
      </c>
      <c r="J154" s="15" t="inlineStr">
        <is>
          <t>مدير الموارد البشرية</t>
        </is>
      </c>
      <c r="K154" s="11" t="inlineStr">
        <is>
          <t>نظام الرواتب (Payroll) / حماية الأجور</t>
        </is>
      </c>
      <c r="L154" s="15" t="inlineStr">
        <is>
          <t>شهري</t>
        </is>
      </c>
      <c r="M154" s="15" t="inlineStr">
        <is>
          <t>مدير الموارد البشرية</t>
        </is>
      </c>
      <c r="N154" s="57" t="n"/>
    </row>
    <row r="155" ht="30" customHeight="1">
      <c r="A155" s="15" t="n">
        <v>153</v>
      </c>
      <c r="B155" s="13" t="inlineStr">
        <is>
          <t>الموارد البشرية</t>
        </is>
      </c>
      <c r="C155" s="21" t="inlineStr">
        <is>
          <t>نسبة دقة الرواتب والمستحقات الشهرية</t>
        </is>
      </c>
      <c r="D155" s="76" t="inlineStr">
        <is>
          <t>يقيس نسبة دقة الرواتب والمستحقات الشهرية ضمن محور «التكلفة والرواتب»، ويعكس مساهمة الإدارة في ركيزة الاستدامة.</t>
        </is>
      </c>
      <c r="E155" s="11" t="inlineStr">
        <is>
          <t>(المتحقّق ÷ الإجمالي) × 100٪</t>
        </is>
      </c>
      <c r="F155" s="15" t="inlineStr">
        <is>
          <t>🎯 نتيجة</t>
        </is>
      </c>
      <c r="G155" s="11" t="inlineStr">
        <is>
          <t>الاستدامة · الاستثمار في الموظفين</t>
        </is>
      </c>
      <c r="H155" s="15" t="inlineStr">
        <is>
          <t>مالي</t>
        </is>
      </c>
      <c r="I155" s="64" t="n">
        <v>0.08</v>
      </c>
      <c r="J155" s="15" t="inlineStr">
        <is>
          <t>مدير الموارد البشرية</t>
        </is>
      </c>
      <c r="K155" s="11" t="inlineStr">
        <is>
          <t>نظام الرواتب (Payroll) / حماية الأجور</t>
        </is>
      </c>
      <c r="L155" s="15" t="inlineStr">
        <is>
          <t>شهري</t>
        </is>
      </c>
      <c r="M155" s="15" t="inlineStr">
        <is>
          <t>مدير الموارد البشرية</t>
        </is>
      </c>
      <c r="N155" s="57" t="n"/>
    </row>
    <row r="156" ht="30" customHeight="1">
      <c r="A156" s="15" t="n">
        <v>154</v>
      </c>
      <c r="B156" s="13" t="inlineStr">
        <is>
          <t>الموارد البشرية</t>
        </is>
      </c>
      <c r="C156" s="21" t="inlineStr">
        <is>
          <t>معدل دوران الموظفين</t>
        </is>
      </c>
      <c r="D156" s="76" t="inlineStr">
        <is>
          <t>يقيس معدل دوران الموظفين ضمن محور «الاستقرار والتطوير»، ويعكس مساهمة الإدارة في ركيزة الاستدامة.</t>
        </is>
      </c>
      <c r="E156" s="11" t="inlineStr">
        <is>
          <t>(المتحقّق ÷ الإجمالي) × 100٪</t>
        </is>
      </c>
      <c r="F156" s="15" t="inlineStr">
        <is>
          <t>🔧 تشغيلي</t>
        </is>
      </c>
      <c r="G156" s="11" t="inlineStr">
        <is>
          <t>الاستدامة · الاستثمار في الموظفين</t>
        </is>
      </c>
      <c r="H156" s="15" t="inlineStr">
        <is>
          <t>التعلّم والنمو</t>
        </is>
      </c>
      <c r="I156" s="64" t="n">
        <v>0.06</v>
      </c>
      <c r="J156" s="15" t="inlineStr">
        <is>
          <t>مدير الموارد البشرية</t>
        </is>
      </c>
      <c r="K156" s="11" t="inlineStr">
        <is>
          <t>نظام الموارد البشرية (HRMS)</t>
        </is>
      </c>
      <c r="L156" s="15" t="inlineStr">
        <is>
          <t>شهري</t>
        </is>
      </c>
      <c r="M156" s="15" t="inlineStr">
        <is>
          <t>مدير الموارد البشرية</t>
        </is>
      </c>
      <c r="N156" s="57" t="n"/>
    </row>
    <row r="157" ht="30" customHeight="1">
      <c r="A157" s="15" t="n">
        <v>155</v>
      </c>
      <c r="B157" s="13" t="inlineStr">
        <is>
          <t>الموارد البشرية</t>
        </is>
      </c>
      <c r="C157" s="21" t="inlineStr">
        <is>
          <t>نسبة تنفيذ برامج التدريب والتأهيل المعتمدة</t>
        </is>
      </c>
      <c r="D157" s="76" t="inlineStr">
        <is>
          <t>يقيس نسبة تنفيذ برامج التدريب والتأهيل المعتمدة ضمن محور «الاستقرار والتطوير»، ويعكس مساهمة الإدارة في ركيزة الاستدامة.</t>
        </is>
      </c>
      <c r="E157" s="11" t="inlineStr">
        <is>
          <t>(المتحقّق ÷ الإجمالي) × 100٪</t>
        </is>
      </c>
      <c r="F157" s="15" t="inlineStr">
        <is>
          <t>⚙️ نشاط</t>
        </is>
      </c>
      <c r="G157" s="11" t="inlineStr">
        <is>
          <t>الاستدامة · الاستثمار في الموظفين</t>
        </is>
      </c>
      <c r="H157" s="15" t="inlineStr">
        <is>
          <t>التعلّم والنمو</t>
        </is>
      </c>
      <c r="I157" s="64" t="n">
        <v>0.06</v>
      </c>
      <c r="J157" s="15" t="inlineStr">
        <is>
          <t>مدير الموارد البشرية</t>
        </is>
      </c>
      <c r="K157" s="11" t="inlineStr">
        <is>
          <t>نظام الموارد البشرية (HRMS)</t>
        </is>
      </c>
      <c r="L157" s="15" t="inlineStr">
        <is>
          <t>شهري</t>
        </is>
      </c>
      <c r="M157" s="15" t="inlineStr">
        <is>
          <t>مدير الموارد البشرية</t>
        </is>
      </c>
      <c r="N157" s="57" t="n"/>
    </row>
    <row r="158" ht="30" customHeight="1">
      <c r="A158" s="15" t="n">
        <v>156</v>
      </c>
      <c r="B158" s="13" t="inlineStr">
        <is>
          <t>الموارد البشرية</t>
        </is>
      </c>
      <c r="C158" s="21" t="inlineStr">
        <is>
          <t>نسبة إغلاق تقييمات الأداء وخطط الإحلال للوظائف الحرجة</t>
        </is>
      </c>
      <c r="D158" s="76" t="inlineStr">
        <is>
          <t>يقيس نسبة إغلاق تقييمات الأداء وخطط الإحلال للوظائف الحرجة ضمن محور «الاستقرار والتطوير»، ويعكس مساهمة الإدارة في ركيزة الاستدامة.</t>
        </is>
      </c>
      <c r="E158" s="11" t="inlineStr">
        <is>
          <t>(المتحقّق ÷ الإجمالي) × 100٪</t>
        </is>
      </c>
      <c r="F158" s="15" t="inlineStr">
        <is>
          <t>🎯 نتيجة</t>
        </is>
      </c>
      <c r="G158" s="11" t="inlineStr">
        <is>
          <t>الاستدامة · الاستثمار في الموظفين</t>
        </is>
      </c>
      <c r="H158" s="15" t="inlineStr">
        <is>
          <t>العمليات الداخلية</t>
        </is>
      </c>
      <c r="I158" s="64" t="n">
        <v>0.04</v>
      </c>
      <c r="J158" s="15" t="inlineStr">
        <is>
          <t>مدير الموارد البشرية</t>
        </is>
      </c>
      <c r="K158" s="11" t="inlineStr">
        <is>
          <t>نظام الموارد البشرية (HRMS)</t>
        </is>
      </c>
      <c r="L158" s="15" t="inlineStr">
        <is>
          <t>شهري</t>
        </is>
      </c>
      <c r="M158" s="15" t="inlineStr">
        <is>
          <t>مدير الموارد البشرية</t>
        </is>
      </c>
      <c r="N158" s="57" t="n"/>
    </row>
    <row r="159" ht="30" customHeight="1">
      <c r="A159" s="15" t="n">
        <v>157</v>
      </c>
      <c r="B159" s="13" t="inlineStr">
        <is>
          <t>التسويق</t>
        </is>
      </c>
      <c r="C159" s="21" t="inlineStr">
        <is>
          <t>الوصول الكلي (Total Reach)</t>
        </is>
      </c>
      <c r="D159" s="76" t="inlineStr">
        <is>
          <t>يقيس الوصول الكلي (Total Reach) ضمن محور «الإدارة العامة»، ويعكس مساهمة الإدارة في ركيزة النمو.</t>
        </is>
      </c>
      <c r="E159" s="11" t="inlineStr">
        <is>
          <t>إجمالي العدد خلال الفترة</t>
        </is>
      </c>
      <c r="F159" s="15" t="inlineStr">
        <is>
          <t>🎯 نتيجة</t>
        </is>
      </c>
      <c r="G159" s="11" t="inlineStr">
        <is>
          <t>النمو · زيادة وصول العملاء</t>
        </is>
      </c>
      <c r="H159" s="15" t="inlineStr">
        <is>
          <t>العملاء</t>
        </is>
      </c>
      <c r="I159" s="64" t="n">
        <v>0.08</v>
      </c>
      <c r="J159" s="15" t="inlineStr">
        <is>
          <t>مدير التسويق</t>
        </is>
      </c>
      <c r="K159" s="11" t="inlineStr">
        <is>
          <t>أنظمة التسويق الرقمي / تانكي</t>
        </is>
      </c>
      <c r="L159" s="15" t="inlineStr">
        <is>
          <t>شهري</t>
        </is>
      </c>
      <c r="M159" s="15" t="inlineStr">
        <is>
          <t>مدير التسويق</t>
        </is>
      </c>
      <c r="N159" s="57" t="n"/>
    </row>
    <row r="160" ht="30" customHeight="1">
      <c r="A160" s="15" t="n">
        <v>158</v>
      </c>
      <c r="B160" s="13" t="inlineStr">
        <is>
          <t>التسويق</t>
        </is>
      </c>
      <c r="C160" s="21" t="inlineStr">
        <is>
          <t>عملاء تجاريون جدد</t>
        </is>
      </c>
      <c r="D160" s="76" t="inlineStr">
        <is>
          <t>يقيس عملاء تجاريون جدد ضمن محور «الإدارة العامة»، ويعكس مساهمة الإدارة في ركيزة النمو.</t>
        </is>
      </c>
      <c r="E160" s="11" t="inlineStr">
        <is>
          <t>إجمالي العدد خلال الفترة</t>
        </is>
      </c>
      <c r="F160" s="15" t="inlineStr">
        <is>
          <t>🔧 تشغيلي</t>
        </is>
      </c>
      <c r="G160" s="11" t="inlineStr">
        <is>
          <t>النمو · زيادة وصول العملاء</t>
        </is>
      </c>
      <c r="H160" s="15" t="inlineStr">
        <is>
          <t>العملاء</t>
        </is>
      </c>
      <c r="I160" s="64" t="n">
        <v>0.06</v>
      </c>
      <c r="J160" s="15" t="inlineStr">
        <is>
          <t>مدير التسويق</t>
        </is>
      </c>
      <c r="K160" s="11" t="inlineStr">
        <is>
          <t>سجلات الإدارة</t>
        </is>
      </c>
      <c r="L160" s="15" t="inlineStr">
        <is>
          <t>شهري</t>
        </is>
      </c>
      <c r="M160" s="15" t="inlineStr">
        <is>
          <t>مدير التسويق</t>
        </is>
      </c>
      <c r="N160" s="57" t="n"/>
    </row>
    <row r="161" ht="30" customHeight="1">
      <c r="A161" s="15" t="n">
        <v>159</v>
      </c>
      <c r="B161" s="13" t="inlineStr">
        <is>
          <t>التسويق</t>
        </is>
      </c>
      <c r="C161" s="21" t="inlineStr">
        <is>
          <t>إجمالي المتابعين (كل المنصات)</t>
        </is>
      </c>
      <c r="D161" s="76" t="inlineStr">
        <is>
          <t>يقيس إجمالي المتابعين (كل المنصات) ضمن محور «الفريق الإبداعي»، ويعكس مساهمة الإدارة في ركيزة النمو.</t>
        </is>
      </c>
      <c r="E161" s="11" t="inlineStr">
        <is>
          <t>إجمالي العدد خلال الفترة</t>
        </is>
      </c>
      <c r="F161" s="15" t="inlineStr">
        <is>
          <t>🔧 تشغيلي</t>
        </is>
      </c>
      <c r="G161" s="11" t="inlineStr">
        <is>
          <t>النمو · زيادة وصول العملاء</t>
        </is>
      </c>
      <c r="H161" s="15" t="inlineStr">
        <is>
          <t>العملاء</t>
        </is>
      </c>
      <c r="I161" s="64" t="n">
        <v>0.08</v>
      </c>
      <c r="J161" s="15" t="inlineStr">
        <is>
          <t>مدير التسويق</t>
        </is>
      </c>
      <c r="K161" s="11" t="inlineStr">
        <is>
          <t>أنظمة التسويق الرقمي / تانكي</t>
        </is>
      </c>
      <c r="L161" s="15" t="inlineStr">
        <is>
          <t>شهري</t>
        </is>
      </c>
      <c r="M161" s="15" t="inlineStr">
        <is>
          <t>مدير التسويق</t>
        </is>
      </c>
      <c r="N161" s="57" t="n"/>
    </row>
    <row r="162" ht="30" customHeight="1">
      <c r="A162" s="15" t="n">
        <v>160</v>
      </c>
      <c r="B162" s="13" t="inlineStr">
        <is>
          <t>التسويق</t>
        </is>
      </c>
      <c r="C162" s="21" t="inlineStr">
        <is>
          <t>معدل التفاعل (Engagement)</t>
        </is>
      </c>
      <c r="D162" s="76" t="inlineStr">
        <is>
          <t>يقيس معدل التفاعل (Engagement) ضمن محور «الفريق الإبداعي»، ويعكس مساهمة الإدارة في ركيزة النمو.</t>
        </is>
      </c>
      <c r="E162" s="11" t="inlineStr">
        <is>
          <t>(المتحقّق ÷ الإجمالي) × 100٪</t>
        </is>
      </c>
      <c r="F162" s="15" t="inlineStr">
        <is>
          <t>🔧 تشغيلي</t>
        </is>
      </c>
      <c r="G162" s="11" t="inlineStr">
        <is>
          <t>النمو · زيادة وصول العملاء</t>
        </is>
      </c>
      <c r="H162" s="15" t="inlineStr">
        <is>
          <t>العملاء</t>
        </is>
      </c>
      <c r="I162" s="64" t="n">
        <v>0.08</v>
      </c>
      <c r="J162" s="15" t="inlineStr">
        <is>
          <t>مدير التسويق</t>
        </is>
      </c>
      <c r="K162" s="11" t="inlineStr">
        <is>
          <t>أنظمة التسويق الرقمي / تانكي</t>
        </is>
      </c>
      <c r="L162" s="15" t="inlineStr">
        <is>
          <t>شهري</t>
        </is>
      </c>
      <c r="M162" s="15" t="inlineStr">
        <is>
          <t>مدير التسويق</t>
        </is>
      </c>
      <c r="N162" s="57" t="n"/>
    </row>
    <row r="163" ht="30" customHeight="1">
      <c r="A163" s="15" t="n">
        <v>161</v>
      </c>
      <c r="B163" s="13" t="inlineStr">
        <is>
          <t>التسويق</t>
        </is>
      </c>
      <c r="C163" s="21" t="inlineStr">
        <is>
          <t>حملات تسويقية منجزة</t>
        </is>
      </c>
      <c r="D163" s="76" t="inlineStr">
        <is>
          <t>يقيس حملات تسويقية منجزة ضمن محور «الحملات التسويقية»، ويعكس مساهمة الإدارة في ركيزة النمو.</t>
        </is>
      </c>
      <c r="E163" s="11" t="inlineStr">
        <is>
          <t>إجمالي العدد خلال الفترة</t>
        </is>
      </c>
      <c r="F163" s="15" t="inlineStr">
        <is>
          <t>⚙️ نشاط</t>
        </is>
      </c>
      <c r="G163" s="11" t="inlineStr">
        <is>
          <t>النمو · زيادة وصول العملاء</t>
        </is>
      </c>
      <c r="H163" s="15" t="inlineStr">
        <is>
          <t>العمليات الداخلية</t>
        </is>
      </c>
      <c r="I163" s="64" t="n">
        <v>0.06</v>
      </c>
      <c r="J163" s="15" t="inlineStr">
        <is>
          <t>مدير التسويق</t>
        </is>
      </c>
      <c r="K163" s="11" t="inlineStr">
        <is>
          <t>أنظمة التسويق الرقمي / تانكي</t>
        </is>
      </c>
      <c r="L163" s="15" t="inlineStr">
        <is>
          <t>شهري</t>
        </is>
      </c>
      <c r="M163" s="15" t="inlineStr">
        <is>
          <t>مدير التسويق</t>
        </is>
      </c>
      <c r="N163" s="57" t="n"/>
    </row>
    <row r="164" ht="30" customHeight="1">
      <c r="A164" s="15" t="n">
        <v>162</v>
      </c>
      <c r="B164" s="13" t="inlineStr">
        <is>
          <t>التسويق</t>
        </is>
      </c>
      <c r="C164" s="21" t="inlineStr">
        <is>
          <t>تحويل الفرص إلى عقود</t>
        </is>
      </c>
      <c r="D164" s="76" t="inlineStr">
        <is>
          <t>يقيس تحويل الفرص إلى عقود ضمن محور «الحملات التسويقية»، ويعكس مساهمة الإدارة في ركيزة النمو.</t>
        </is>
      </c>
      <c r="E164" s="11" t="inlineStr">
        <is>
          <t>(المتحقّق ÷ الإجمالي) × 100٪</t>
        </is>
      </c>
      <c r="F164" s="15" t="inlineStr">
        <is>
          <t>🔧 تشغيلي</t>
        </is>
      </c>
      <c r="G164" s="11" t="inlineStr">
        <is>
          <t>النمو · زيادة وصول العملاء</t>
        </is>
      </c>
      <c r="H164" s="15" t="inlineStr">
        <is>
          <t>العمليات الداخلية</t>
        </is>
      </c>
      <c r="I164" s="64" t="n">
        <v>0.08</v>
      </c>
      <c r="J164" s="15" t="inlineStr">
        <is>
          <t>مدير التسويق</t>
        </is>
      </c>
      <c r="K164" s="11" t="inlineStr">
        <is>
          <t>أنظمة التسويق الرقمي / تانكي</t>
        </is>
      </c>
      <c r="L164" s="15" t="inlineStr">
        <is>
          <t>شهري</t>
        </is>
      </c>
      <c r="M164" s="15" t="inlineStr">
        <is>
          <t>مدير التسويق</t>
        </is>
      </c>
      <c r="N164" s="57" t="n"/>
    </row>
    <row r="165" ht="30" customHeight="1">
      <c r="A165" s="15" t="n">
        <v>163</v>
      </c>
      <c r="B165" s="13" t="inlineStr">
        <is>
          <t>التسويق</t>
        </is>
      </c>
      <c r="C165" s="21" t="inlineStr">
        <is>
          <t>نسبة المبيعات لكل حملة</t>
        </is>
      </c>
      <c r="D165" s="76" t="inlineStr">
        <is>
          <t>يقيس نسبة المبيعات لكل حملة ضمن محور «الحملات التسويقية»، ويعكس مساهمة الإدارة في ركيزة النمو.</t>
        </is>
      </c>
      <c r="E165" s="11" t="inlineStr">
        <is>
          <t>(المتحقّق ÷ الإجمالي) × 100٪</t>
        </is>
      </c>
      <c r="F165" s="15" t="inlineStr">
        <is>
          <t>⚙️ نشاط</t>
        </is>
      </c>
      <c r="G165" s="11" t="inlineStr">
        <is>
          <t>النمو · زيادة وصول العملاء</t>
        </is>
      </c>
      <c r="H165" s="15" t="inlineStr">
        <is>
          <t>مالي</t>
        </is>
      </c>
      <c r="I165" s="64" t="n">
        <v>0.08</v>
      </c>
      <c r="J165" s="15" t="inlineStr">
        <is>
          <t>مدير التسويق</t>
        </is>
      </c>
      <c r="K165" s="11" t="inlineStr">
        <is>
          <t>أنظمة التسويق الرقمي / تانكي</t>
        </is>
      </c>
      <c r="L165" s="15" t="inlineStr">
        <is>
          <t>شهري</t>
        </is>
      </c>
      <c r="M165" s="15" t="inlineStr">
        <is>
          <t>مدير التسويق</t>
        </is>
      </c>
      <c r="N165" s="57" t="n"/>
    </row>
    <row r="166" ht="30" customHeight="1">
      <c r="A166" s="15" t="n">
        <v>164</v>
      </c>
      <c r="B166" s="13" t="inlineStr">
        <is>
          <t>التسويق</t>
        </is>
      </c>
      <c r="C166" s="21" t="inlineStr">
        <is>
          <t>نسبة التزام الهوية البصرية</t>
        </is>
      </c>
      <c r="D166" s="76" t="inlineStr">
        <is>
          <t>يقيس نسبة التزام الهوية البصرية ضمن محور «الدعاية والإعلان»، ويعكس مساهمة الإدارة في ركيزة الابتكار.</t>
        </is>
      </c>
      <c r="E166" s="11" t="inlineStr">
        <is>
          <t>(المتحقّق ÷ الإجمالي) × 100٪</t>
        </is>
      </c>
      <c r="F166" s="15" t="inlineStr">
        <is>
          <t>🎯 نتيجة</t>
        </is>
      </c>
      <c r="G166" s="11" t="inlineStr">
        <is>
          <t>الابتكار · تطوير التصاميم والهوية</t>
        </is>
      </c>
      <c r="H166" s="15" t="inlineStr">
        <is>
          <t>التعلّم والنمو</t>
        </is>
      </c>
      <c r="I166" s="64" t="n">
        <v>0.08</v>
      </c>
      <c r="J166" s="15" t="inlineStr">
        <is>
          <t>مدير التسويق</t>
        </is>
      </c>
      <c r="K166" s="11" t="inlineStr">
        <is>
          <t>سجلات الإدارة</t>
        </is>
      </c>
      <c r="L166" s="15" t="inlineStr">
        <is>
          <t>شهري</t>
        </is>
      </c>
      <c r="M166" s="15" t="inlineStr">
        <is>
          <t>مدير التسويق</t>
        </is>
      </c>
      <c r="N166" s="57" t="n"/>
    </row>
    <row r="167" ht="30" customHeight="1">
      <c r="A167" s="15" t="n">
        <v>165</v>
      </c>
      <c r="B167" s="13" t="inlineStr">
        <is>
          <t>التسويق</t>
        </is>
      </c>
      <c r="C167" s="21" t="inlineStr">
        <is>
          <t>وصول العلاقات العامة (PR)</t>
        </is>
      </c>
      <c r="D167" s="76" t="inlineStr">
        <is>
          <t>يقيس وصول العلاقات العامة (PR) ضمن محور «العلاقات والشراكات»، ويعكس مساهمة الإدارة في ركيزة النمو.</t>
        </is>
      </c>
      <c r="E167" s="11" t="inlineStr">
        <is>
          <t>إجمالي العدد خلال الفترة</t>
        </is>
      </c>
      <c r="F167" s="15" t="inlineStr">
        <is>
          <t>🔧 تشغيلي</t>
        </is>
      </c>
      <c r="G167" s="11" t="inlineStr">
        <is>
          <t>النمو · زيادة وصول العملاء</t>
        </is>
      </c>
      <c r="H167" s="15" t="inlineStr">
        <is>
          <t>العملاء</t>
        </is>
      </c>
      <c r="I167" s="64" t="n">
        <v>0.06</v>
      </c>
      <c r="J167" s="15" t="inlineStr">
        <is>
          <t>مدير التسويق</t>
        </is>
      </c>
      <c r="K167" s="11" t="inlineStr">
        <is>
          <t>أنظمة التسويق الرقمي / تانكي</t>
        </is>
      </c>
      <c r="L167" s="15" t="inlineStr">
        <is>
          <t>شهري</t>
        </is>
      </c>
      <c r="M167" s="15" t="inlineStr">
        <is>
          <t>مدير التسويق</t>
        </is>
      </c>
      <c r="N167" s="57" t="n"/>
    </row>
    <row r="168" ht="30" customHeight="1">
      <c r="A168" s="15" t="n">
        <v>166</v>
      </c>
      <c r="B168" s="13" t="inlineStr">
        <is>
          <t>التسويق</t>
        </is>
      </c>
      <c r="C168" s="21" t="inlineStr">
        <is>
          <t>عدد المعارض بالسنة</t>
        </is>
      </c>
      <c r="D168" s="76" t="inlineStr">
        <is>
          <t>يقيس عدد المعارض بالسنة ضمن محور «العلاقات والشراكات»، ويعكس مساهمة الإدارة في ركيزة الابتكار.</t>
        </is>
      </c>
      <c r="E168" s="11" t="inlineStr">
        <is>
          <t>إجمالي العدد خلال الفترة</t>
        </is>
      </c>
      <c r="F168" s="15" t="inlineStr">
        <is>
          <t>⚙️ نشاط</t>
        </is>
      </c>
      <c r="G168" s="11" t="inlineStr">
        <is>
          <t>الابتكار · إطلاق مشاريع جديدة</t>
        </is>
      </c>
      <c r="H168" s="15" t="inlineStr">
        <is>
          <t>العمليات الداخلية</t>
        </is>
      </c>
      <c r="I168" s="64" t="n">
        <v>0.06</v>
      </c>
      <c r="J168" s="15" t="inlineStr">
        <is>
          <t>مدير التسويق</t>
        </is>
      </c>
      <c r="K168" s="11" t="inlineStr">
        <is>
          <t>سجلات الإدارة</t>
        </is>
      </c>
      <c r="L168" s="15" t="inlineStr">
        <is>
          <t>شهري</t>
        </is>
      </c>
      <c r="M168" s="15" t="inlineStr">
        <is>
          <t>مدير التسويق</t>
        </is>
      </c>
      <c r="N168" s="57" t="n"/>
    </row>
    <row r="169" ht="30" customHeight="1">
      <c r="A169" s="15" t="n">
        <v>167</v>
      </c>
      <c r="B169" s="13" t="inlineStr">
        <is>
          <t>التسويق</t>
        </is>
      </c>
      <c r="C169" s="21" t="inlineStr">
        <is>
          <t>اتفاقيات استراتيجية</t>
        </is>
      </c>
      <c r="D169" s="76" t="inlineStr">
        <is>
          <t>يقيس اتفاقيات استراتيجية ضمن محور «العلاقات والشراكات»، ويعكس مساهمة الإدارة في ركيزة الابتكار.</t>
        </is>
      </c>
      <c r="E169" s="11" t="inlineStr">
        <is>
          <t>إجمالي العدد خلال الفترة</t>
        </is>
      </c>
      <c r="F169" s="15" t="inlineStr">
        <is>
          <t>🔧 تشغيلي</t>
        </is>
      </c>
      <c r="G169" s="11" t="inlineStr">
        <is>
          <t>الابتكار · إطلاق مشاريع جديدة</t>
        </is>
      </c>
      <c r="H169" s="15" t="inlineStr">
        <is>
          <t>العمليات الداخلية</t>
        </is>
      </c>
      <c r="I169" s="64" t="n">
        <v>0.06</v>
      </c>
      <c r="J169" s="15" t="inlineStr">
        <is>
          <t>مدير التسويق</t>
        </is>
      </c>
      <c r="K169" s="11" t="inlineStr">
        <is>
          <t>سجلات الإدارة</t>
        </is>
      </c>
      <c r="L169" s="15" t="inlineStr">
        <is>
          <t>شهري</t>
        </is>
      </c>
      <c r="M169" s="15" t="inlineStr">
        <is>
          <t>مدير التسويق</t>
        </is>
      </c>
      <c r="N169" s="57" t="n"/>
    </row>
    <row r="170" ht="30" customHeight="1">
      <c r="A170" s="15" t="n">
        <v>168</v>
      </c>
      <c r="B170" s="13" t="inlineStr">
        <is>
          <t>التسويق</t>
        </is>
      </c>
      <c r="C170" s="21" t="inlineStr">
        <is>
          <t>تقييم خرائط قوقل</t>
        </is>
      </c>
      <c r="D170" s="76" t="inlineStr">
        <is>
          <t>يقيس تقييم خرائط قوقل ضمن محور «خدمة العملاء والدعم»، ويعكس مساهمة الإدارة في ركيزة الاستدامة.</t>
        </is>
      </c>
      <c r="E170" s="11" t="inlineStr">
        <is>
          <t>متوسط التقييم (من 5)</t>
        </is>
      </c>
      <c r="F170" s="15" t="inlineStr">
        <is>
          <t>🎯 نتيجة</t>
        </is>
      </c>
      <c r="G170" s="11" t="inlineStr">
        <is>
          <t>الاستدامة · تعزيز تجربة العملاء</t>
        </is>
      </c>
      <c r="H170" s="15" t="inlineStr">
        <is>
          <t>العملاء</t>
        </is>
      </c>
      <c r="I170" s="64" t="n">
        <v>0.06</v>
      </c>
      <c r="J170" s="15" t="inlineStr">
        <is>
          <t>مدير التسويق</t>
        </is>
      </c>
      <c r="K170" s="11" t="inlineStr">
        <is>
          <t>تقييمات خرائط قوقل</t>
        </is>
      </c>
      <c r="L170" s="15" t="inlineStr">
        <is>
          <t>شهري</t>
        </is>
      </c>
      <c r="M170" s="15" t="inlineStr">
        <is>
          <t>مدير التسويق</t>
        </is>
      </c>
      <c r="N170" s="57" t="n"/>
    </row>
    <row r="171" ht="30" customHeight="1">
      <c r="A171" s="15" t="n">
        <v>169</v>
      </c>
      <c r="B171" s="13" t="inlineStr">
        <is>
          <t>التسويق</t>
        </is>
      </c>
      <c r="C171" s="21" t="inlineStr">
        <is>
          <t>معدل خفض الشكاوى</t>
        </is>
      </c>
      <c r="D171" s="76" t="inlineStr">
        <is>
          <t>يقيس معدل خفض الشكاوى ضمن محور «خدمة العملاء والدعم»، ويعكس مساهمة الإدارة في ركيزة الاستدامة.</t>
        </is>
      </c>
      <c r="E171" s="11" t="inlineStr">
        <is>
          <t>(المتحقّق ÷ الإجمالي) × 100٪</t>
        </is>
      </c>
      <c r="F171" s="15" t="inlineStr">
        <is>
          <t>🎯 نتيجة</t>
        </is>
      </c>
      <c r="G171" s="11" t="inlineStr">
        <is>
          <t>الاستدامة · تعزيز تجربة العملاء</t>
        </is>
      </c>
      <c r="H171" s="15" t="inlineStr">
        <is>
          <t>العملاء</t>
        </is>
      </c>
      <c r="I171" s="64" t="n">
        <v>0.06</v>
      </c>
      <c r="J171" s="15" t="inlineStr">
        <is>
          <t>مدير التسويق</t>
        </is>
      </c>
      <c r="K171" s="11" t="inlineStr">
        <is>
          <t>سجلات الإدارة</t>
        </is>
      </c>
      <c r="L171" s="15" t="inlineStr">
        <is>
          <t>شهري</t>
        </is>
      </c>
      <c r="M171" s="15" t="inlineStr">
        <is>
          <t>مدير التسويق</t>
        </is>
      </c>
      <c r="N171" s="57" t="n"/>
    </row>
    <row r="172" ht="30" customHeight="1">
      <c r="A172" s="15" t="n">
        <v>170</v>
      </c>
      <c r="B172" s="13" t="inlineStr">
        <is>
          <t>التسويق</t>
        </is>
      </c>
      <c r="C172" s="21" t="inlineStr">
        <is>
          <t>وصول محتوى تطبيق تانكي</t>
        </is>
      </c>
      <c r="D172" s="76" t="inlineStr">
        <is>
          <t>يقيس وصول محتوى تطبيق تانكي ضمن محور «تطبيق تانكي»، ويعكس مساهمة الإدارة في ركيزة الابتكار.</t>
        </is>
      </c>
      <c r="E172" s="11" t="inlineStr">
        <is>
          <t>إجمالي العدد خلال الفترة</t>
        </is>
      </c>
      <c r="F172" s="15" t="inlineStr">
        <is>
          <t>🔧 تشغيلي</t>
        </is>
      </c>
      <c r="G172" s="11" t="inlineStr">
        <is>
          <t>الابتكار · تطبيق «تانكي»</t>
        </is>
      </c>
      <c r="H172" s="15" t="inlineStr">
        <is>
          <t>العملاء</t>
        </is>
      </c>
      <c r="I172" s="64" t="n">
        <v>0.05</v>
      </c>
      <c r="J172" s="15" t="inlineStr">
        <is>
          <t>مدير التسويق</t>
        </is>
      </c>
      <c r="K172" s="11" t="inlineStr">
        <is>
          <t>أنظمة التسويق الرقمي / تانكي</t>
        </is>
      </c>
      <c r="L172" s="15" t="inlineStr">
        <is>
          <t>شهري</t>
        </is>
      </c>
      <c r="M172" s="15" t="inlineStr">
        <is>
          <t>مدير التسويق</t>
        </is>
      </c>
      <c r="N172" s="57" t="n"/>
    </row>
    <row r="173" ht="30" customHeight="1">
      <c r="A173" s="15" t="n">
        <v>171</v>
      </c>
      <c r="B173" s="13" t="inlineStr">
        <is>
          <t>التسويق</t>
        </is>
      </c>
      <c r="C173" s="21" t="inlineStr">
        <is>
          <t>مشاركات تطبيق تانكي</t>
        </is>
      </c>
      <c r="D173" s="76" t="inlineStr">
        <is>
          <t>يقيس مشاركات تطبيق تانكي ضمن محور «تطبيق تانكي»، ويعكس مساهمة الإدارة في ركيزة الابتكار.</t>
        </is>
      </c>
      <c r="E173" s="11" t="inlineStr">
        <is>
          <t>إجمالي العدد خلال الفترة</t>
        </is>
      </c>
      <c r="F173" s="15" t="inlineStr">
        <is>
          <t>🔧 تشغيلي</t>
        </is>
      </c>
      <c r="G173" s="11" t="inlineStr">
        <is>
          <t>الابتكار · تطبيق «تانكي»</t>
        </is>
      </c>
      <c r="H173" s="15" t="inlineStr">
        <is>
          <t>العمليات الداخلية</t>
        </is>
      </c>
      <c r="I173" s="64" t="n">
        <v>0.05</v>
      </c>
      <c r="J173" s="15" t="inlineStr">
        <is>
          <t>مدير التسويق</t>
        </is>
      </c>
      <c r="K173" s="11" t="inlineStr">
        <is>
          <t>أنظمة التسويق الرقمي / تانكي</t>
        </is>
      </c>
      <c r="L173" s="15" t="inlineStr">
        <is>
          <t>شهري</t>
        </is>
      </c>
      <c r="M173" s="15" t="inlineStr">
        <is>
          <t>مدير التسويق</t>
        </is>
      </c>
      <c r="N173" s="57" t="n"/>
    </row>
    <row r="174" ht="30" customHeight="1">
      <c r="A174" s="15" t="n">
        <v>172</v>
      </c>
      <c r="B174" s="13" t="inlineStr">
        <is>
          <t>الجودة</t>
        </is>
      </c>
      <c r="C174" s="21" t="inlineStr">
        <is>
          <t>نسبة المحطات الحرجة</t>
        </is>
      </c>
      <c r="D174" s="76" t="inlineStr">
        <is>
          <t>يقيس نسبة المحطات الحرجة ضمن محور «مخاطر الجودة»، ويعكس مساهمة الإدارة في ركيزة الاستدامة.</t>
        </is>
      </c>
      <c r="E174" s="11" t="inlineStr">
        <is>
          <t>(المتحقّق ÷ الإجمالي) × 100٪</t>
        </is>
      </c>
      <c r="F174" s="15" t="inlineStr">
        <is>
          <t>🔧 تشغيلي</t>
        </is>
      </c>
      <c r="G174" s="11" t="inlineStr">
        <is>
          <t>الاستدامة · جودة التشغيل</t>
        </is>
      </c>
      <c r="H174" s="15" t="inlineStr">
        <is>
          <t>العمليات الداخلية</t>
        </is>
      </c>
      <c r="I174" s="64" t="n">
        <v>0.1</v>
      </c>
      <c r="J174" s="15" t="inlineStr">
        <is>
          <t>مدير الجودة</t>
        </is>
      </c>
      <c r="K174" s="11" t="inlineStr">
        <is>
          <t>نظام إدارة الجودة (QMS)</t>
        </is>
      </c>
      <c r="L174" s="15" t="inlineStr">
        <is>
          <t>شهري</t>
        </is>
      </c>
      <c r="M174" s="15" t="inlineStr">
        <is>
          <t>مدير الجودة</t>
        </is>
      </c>
      <c r="N174" s="57" t="n"/>
    </row>
    <row r="175" ht="30" customHeight="1">
      <c r="A175" s="15" t="n">
        <v>173</v>
      </c>
      <c r="B175" s="13" t="inlineStr">
        <is>
          <t>الجودة</t>
        </is>
      </c>
      <c r="C175" s="21" t="inlineStr">
        <is>
          <t>نسبة مطابقة جودة الوقود</t>
        </is>
      </c>
      <c r="D175" s="76" t="inlineStr">
        <is>
          <t>يقيس نسبة مطابقة جودة الوقود ضمن محور «جودة الوقود»، ويعكس مساهمة الإدارة في ركيزة الاستدامة.</t>
        </is>
      </c>
      <c r="E175" s="11" t="inlineStr">
        <is>
          <t>(المتحقّق ÷ الإجمالي) × 100٪</t>
        </is>
      </c>
      <c r="F175" s="15" t="inlineStr">
        <is>
          <t>🎯 نتيجة</t>
        </is>
      </c>
      <c r="G175" s="11" t="inlineStr">
        <is>
          <t>الاستدامة · جودة التشغيل</t>
        </is>
      </c>
      <c r="H175" s="15" t="inlineStr">
        <is>
          <t>العمليات الداخلية</t>
        </is>
      </c>
      <c r="I175" s="64" t="n">
        <v>0.07000000000000001</v>
      </c>
      <c r="J175" s="15" t="inlineStr">
        <is>
          <t>مدير الجودة</t>
        </is>
      </c>
      <c r="K175" s="11" t="inlineStr">
        <is>
          <t>نظام إدارة الجودة (QMS)</t>
        </is>
      </c>
      <c r="L175" s="15" t="inlineStr">
        <is>
          <t>شهري</t>
        </is>
      </c>
      <c r="M175" s="15" t="inlineStr">
        <is>
          <t>مدير الجودة</t>
        </is>
      </c>
      <c r="N175" s="57" t="n"/>
    </row>
    <row r="176" ht="30" customHeight="1">
      <c r="A176" s="15" t="n">
        <v>174</v>
      </c>
      <c r="B176" s="13" t="inlineStr">
        <is>
          <t>الجودة</t>
        </is>
      </c>
      <c r="C176" s="21" t="inlineStr">
        <is>
          <t>نسبة إغلاق الملاحظات في الوقت المحدد</t>
        </is>
      </c>
      <c r="D176" s="76" t="inlineStr">
        <is>
          <t>يقيس نسبة إغلاق الملاحظات في الوقت المحدد ضمن محور «معالجة وتصحيح»، ويعكس مساهمة الإدارة في ركيزة الاستدامة.</t>
        </is>
      </c>
      <c r="E176" s="11" t="inlineStr">
        <is>
          <t>(المتحقّق ÷ الإجمالي) × 100٪</t>
        </is>
      </c>
      <c r="F176" s="15" t="inlineStr">
        <is>
          <t>🎯 نتيجة</t>
        </is>
      </c>
      <c r="G176" s="11" t="inlineStr">
        <is>
          <t>الاستدامة · جودة التشغيل</t>
        </is>
      </c>
      <c r="H176" s="15" t="inlineStr">
        <is>
          <t>العمليات الداخلية</t>
        </is>
      </c>
      <c r="I176" s="64" t="n">
        <v>0.07000000000000001</v>
      </c>
      <c r="J176" s="15" t="inlineStr">
        <is>
          <t>مدير الجودة</t>
        </is>
      </c>
      <c r="K176" s="11" t="inlineStr">
        <is>
          <t>نظام إدارة الجودة (QMS)</t>
        </is>
      </c>
      <c r="L176" s="15" t="inlineStr">
        <is>
          <t>شهري</t>
        </is>
      </c>
      <c r="M176" s="15" t="inlineStr">
        <is>
          <t>مدير الجودة</t>
        </is>
      </c>
      <c r="N176" s="57" t="n"/>
    </row>
    <row r="177" ht="30" customHeight="1">
      <c r="A177" s="15" t="n">
        <v>175</v>
      </c>
      <c r="B177" s="13" t="inlineStr">
        <is>
          <t>الجودة</t>
        </is>
      </c>
      <c r="C177" s="21" t="inlineStr">
        <is>
          <t>نسبة فعالية الإجراءات التصحيحية</t>
        </is>
      </c>
      <c r="D177" s="76" t="inlineStr">
        <is>
          <t>يقيس نسبة فعالية الإجراءات التصحيحية ضمن محور «تحسين ووقاية»، ويعكس مساهمة الإدارة في ركيزة الاستدامة.</t>
        </is>
      </c>
      <c r="E177" s="11" t="inlineStr">
        <is>
          <t>(المتحقّق ÷ الإجمالي) × 100٪</t>
        </is>
      </c>
      <c r="F177" s="15" t="inlineStr">
        <is>
          <t>🎯 نتيجة</t>
        </is>
      </c>
      <c r="G177" s="11" t="inlineStr">
        <is>
          <t>الاستدامة · جودة التشغيل</t>
        </is>
      </c>
      <c r="H177" s="15" t="inlineStr">
        <is>
          <t>العمليات الداخلية</t>
        </is>
      </c>
      <c r="I177" s="64" t="n">
        <v>0.07000000000000001</v>
      </c>
      <c r="J177" s="15" t="inlineStr">
        <is>
          <t>مدير الجودة</t>
        </is>
      </c>
      <c r="K177" s="11" t="inlineStr">
        <is>
          <t>سجلات الإدارة</t>
        </is>
      </c>
      <c r="L177" s="15" t="inlineStr">
        <is>
          <t>شهري</t>
        </is>
      </c>
      <c r="M177" s="15" t="inlineStr">
        <is>
          <t>مدير الجودة</t>
        </is>
      </c>
      <c r="N177" s="57" t="n"/>
    </row>
    <row r="178" ht="30" customHeight="1">
      <c r="A178" s="15" t="n">
        <v>176</v>
      </c>
      <c r="B178" s="13" t="inlineStr">
        <is>
          <t>الجودة</t>
        </is>
      </c>
      <c r="C178" s="21" t="inlineStr">
        <is>
          <t>نسبة تكرار الملاحظات</t>
        </is>
      </c>
      <c r="D178" s="76" t="inlineStr">
        <is>
          <t>يقيس نسبة تكرار الملاحظات ضمن محور «منع التكرار»، ويعكس مساهمة الإدارة في ركيزة الاستدامة.</t>
        </is>
      </c>
      <c r="E178" s="11" t="inlineStr">
        <is>
          <t>(المتحقّق ÷ الإجمالي) × 100٪</t>
        </is>
      </c>
      <c r="F178" s="15" t="inlineStr">
        <is>
          <t>🔧 تشغيلي</t>
        </is>
      </c>
      <c r="G178" s="11" t="inlineStr">
        <is>
          <t>الاستدامة · جودة التشغيل</t>
        </is>
      </c>
      <c r="H178" s="15" t="inlineStr">
        <is>
          <t>العمليات الداخلية</t>
        </is>
      </c>
      <c r="I178" s="64" t="n">
        <v>0.07000000000000001</v>
      </c>
      <c r="J178" s="15" t="inlineStr">
        <is>
          <t>مدير الجودة</t>
        </is>
      </c>
      <c r="K178" s="11" t="inlineStr">
        <is>
          <t>نظام إدارة الجودة (QMS)</t>
        </is>
      </c>
      <c r="L178" s="15" t="inlineStr">
        <is>
          <t>شهري</t>
        </is>
      </c>
      <c r="M178" s="15" t="inlineStr">
        <is>
          <t>مدير الجودة</t>
        </is>
      </c>
      <c r="N178" s="57" t="n"/>
    </row>
    <row r="179" ht="30" customHeight="1">
      <c r="A179" s="15" t="n">
        <v>177</v>
      </c>
      <c r="B179" s="13" t="inlineStr">
        <is>
          <t>الجودة</t>
        </is>
      </c>
      <c r="C179" s="21" t="inlineStr">
        <is>
          <t>نسبة تنفيذ خطة التفتيش والتدقيق</t>
        </is>
      </c>
      <c r="D179" s="76" t="inlineStr">
        <is>
          <t>يقيس نسبة تنفيذ خطة التفتيش والتدقيق ضمن محور «تفتيش وتدقيق»، ويعكس مساهمة الإدارة في ركيزة الاستدامة.</t>
        </is>
      </c>
      <c r="E179" s="11" t="inlineStr">
        <is>
          <t>(المتحقّق ÷ الإجمالي) × 100٪</t>
        </is>
      </c>
      <c r="F179" s="15" t="inlineStr">
        <is>
          <t>⚙️ نشاط</t>
        </is>
      </c>
      <c r="G179" s="11" t="inlineStr">
        <is>
          <t>الاستدامة · جودة التشغيل</t>
        </is>
      </c>
      <c r="H179" s="15" t="inlineStr">
        <is>
          <t>العمليات الداخلية</t>
        </is>
      </c>
      <c r="I179" s="64" t="n">
        <v>0.07000000000000001</v>
      </c>
      <c r="J179" s="15" t="inlineStr">
        <is>
          <t>مدير الجودة</t>
        </is>
      </c>
      <c r="K179" s="11" t="inlineStr">
        <is>
          <t>نظام المحاسبة / ERP (D365)</t>
        </is>
      </c>
      <c r="L179" s="15" t="inlineStr">
        <is>
          <t>ربعي</t>
        </is>
      </c>
      <c r="M179" s="15" t="inlineStr">
        <is>
          <t>الإدارة المالية</t>
        </is>
      </c>
      <c r="N179" s="57" t="n"/>
    </row>
    <row r="180" ht="30" customHeight="1">
      <c r="A180" s="15" t="n">
        <v>178</v>
      </c>
      <c r="B180" s="13" t="inlineStr">
        <is>
          <t>الجودة</t>
        </is>
      </c>
      <c r="C180" s="21" t="inlineStr">
        <is>
          <t>نسبة جاهزية نظام إدارة الجودة QMS</t>
        </is>
      </c>
      <c r="D180" s="76" t="inlineStr">
        <is>
          <t>يقيس نسبة جاهزية نظام إدارة الجودة QMS ضمن محور «حوكمة الجودة»، ويعكس مساهمة الإدارة في ركيزة الاستدامة.</t>
        </is>
      </c>
      <c r="E180" s="11" t="inlineStr">
        <is>
          <t>(المتحقّق ÷ الإجمالي) × 100٪</t>
        </is>
      </c>
      <c r="F180" s="15" t="inlineStr">
        <is>
          <t>🎯 نتيجة</t>
        </is>
      </c>
      <c r="G180" s="11" t="inlineStr">
        <is>
          <t>الاستدامة · جودة التشغيل</t>
        </is>
      </c>
      <c r="H180" s="15" t="inlineStr">
        <is>
          <t>العمليات الداخلية</t>
        </is>
      </c>
      <c r="I180" s="64" t="n">
        <v>0.1</v>
      </c>
      <c r="J180" s="15" t="inlineStr">
        <is>
          <t>مدير الجودة</t>
        </is>
      </c>
      <c r="K180" s="11" t="inlineStr">
        <is>
          <t>نظام إدارة الجودة (QMS)</t>
        </is>
      </c>
      <c r="L180" s="15" t="inlineStr">
        <is>
          <t>شهري</t>
        </is>
      </c>
      <c r="M180" s="15" t="inlineStr">
        <is>
          <t>مدير الجودة</t>
        </is>
      </c>
      <c r="N180" s="57" t="n"/>
    </row>
    <row r="181" ht="30" customHeight="1">
      <c r="A181" s="15" t="n">
        <v>179</v>
      </c>
      <c r="B181" s="13" t="inlineStr">
        <is>
          <t>الجودة</t>
        </is>
      </c>
      <c r="C181" s="21" t="inlineStr">
        <is>
          <t>عدد مخاطر الجودة الحرجة المفتوحة</t>
        </is>
      </c>
      <c r="D181" s="76" t="inlineStr">
        <is>
          <t>يقيس عدد مخاطر الجودة الحرجة المفتوحة ضمن محور «مخاطر الجودة»، ويعكس مساهمة الإدارة في ركيزة الاستدامة.</t>
        </is>
      </c>
      <c r="E181" s="11" t="inlineStr">
        <is>
          <t>إجمالي العدد خلال الفترة</t>
        </is>
      </c>
      <c r="F181" s="15" t="inlineStr">
        <is>
          <t>⚙️ نشاط</t>
        </is>
      </c>
      <c r="G181" s="11" t="inlineStr">
        <is>
          <t>الاستدامة · جودة التشغيل</t>
        </is>
      </c>
      <c r="H181" s="15" t="inlineStr">
        <is>
          <t>العمليات الداخلية</t>
        </is>
      </c>
      <c r="I181" s="64" t="n">
        <v>0.07000000000000001</v>
      </c>
      <c r="J181" s="15" t="inlineStr">
        <is>
          <t>مدير الجودة</t>
        </is>
      </c>
      <c r="K181" s="11" t="inlineStr">
        <is>
          <t>نظام إدارة الجودة (QMS)</t>
        </is>
      </c>
      <c r="L181" s="15" t="inlineStr">
        <is>
          <t>شهري</t>
        </is>
      </c>
      <c r="M181" s="15" t="inlineStr">
        <is>
          <t>مدير الجودة</t>
        </is>
      </c>
      <c r="N181" s="57" t="n"/>
    </row>
    <row r="182" ht="30" customHeight="1">
      <c r="A182" s="15" t="n">
        <v>180</v>
      </c>
      <c r="B182" s="13" t="inlineStr">
        <is>
          <t>الجودة</t>
        </is>
      </c>
      <c r="C182" s="21" t="inlineStr">
        <is>
          <t>نسبة إغلاق مخاطر الجودة في الوقت المحدد</t>
        </is>
      </c>
      <c r="D182" s="76" t="inlineStr">
        <is>
          <t>يقيس نسبة إغلاق مخاطر الجودة في الوقت المحدد ضمن محور «مخاطر الجودة»، ويعكس مساهمة الإدارة في ركيزة الاستدامة.</t>
        </is>
      </c>
      <c r="E182" s="11" t="inlineStr">
        <is>
          <t>(المتحقّق ÷ الإجمالي) × 100٪</t>
        </is>
      </c>
      <c r="F182" s="15" t="inlineStr">
        <is>
          <t>🎯 نتيجة</t>
        </is>
      </c>
      <c r="G182" s="11" t="inlineStr">
        <is>
          <t>الاستدامة · جودة التشغيل</t>
        </is>
      </c>
      <c r="H182" s="15" t="inlineStr">
        <is>
          <t>العمليات الداخلية</t>
        </is>
      </c>
      <c r="I182" s="64" t="n">
        <v>0.07000000000000001</v>
      </c>
      <c r="J182" s="15" t="inlineStr">
        <is>
          <t>مدير الجودة</t>
        </is>
      </c>
      <c r="K182" s="11" t="inlineStr">
        <is>
          <t>نظام إدارة الجودة (QMS)</t>
        </is>
      </c>
      <c r="L182" s="15" t="inlineStr">
        <is>
          <t>شهري</t>
        </is>
      </c>
      <c r="M182" s="15" t="inlineStr">
        <is>
          <t>مدير الجودة</t>
        </is>
      </c>
      <c r="N182" s="57" t="n"/>
    </row>
    <row r="183" ht="30" customHeight="1">
      <c r="A183" s="15" t="n">
        <v>181</v>
      </c>
      <c r="B183" s="13" t="inlineStr">
        <is>
          <t>الجودة</t>
        </is>
      </c>
      <c r="C183" s="21" t="inlineStr">
        <is>
          <t>نسبة انخفاض الشكاوى المتكررة ذات العلاقة بالجودة</t>
        </is>
      </c>
      <c r="D183" s="76" t="inlineStr">
        <is>
          <t>يقيس نسبة انخفاض الشكاوى المتكررة ذات العلاقة بالجودة ضمن محور «تجربة العميل»، ويعكس مساهمة الإدارة في ركيزة الاستدامة.</t>
        </is>
      </c>
      <c r="E183" s="11" t="inlineStr">
        <is>
          <t>(المتحقّق ÷ الإجمالي) × 100٪</t>
        </is>
      </c>
      <c r="F183" s="15" t="inlineStr">
        <is>
          <t>🎯 نتيجة</t>
        </is>
      </c>
      <c r="G183" s="11" t="inlineStr">
        <is>
          <t>الاستدامة · تعزيز تجربة العملاء</t>
        </is>
      </c>
      <c r="H183" s="15" t="inlineStr">
        <is>
          <t>العملاء</t>
        </is>
      </c>
      <c r="I183" s="64" t="n">
        <v>0.07000000000000001</v>
      </c>
      <c r="J183" s="15" t="inlineStr">
        <is>
          <t>مدير الجودة</t>
        </is>
      </c>
      <c r="K183" s="11" t="inlineStr">
        <is>
          <t>نظام إدارة الجودة (QMS)</t>
        </is>
      </c>
      <c r="L183" s="15" t="inlineStr">
        <is>
          <t>شهري</t>
        </is>
      </c>
      <c r="M183" s="15" t="inlineStr">
        <is>
          <t>مدير الجودة</t>
        </is>
      </c>
      <c r="N183" s="57" t="n"/>
    </row>
    <row r="184" ht="30" customHeight="1">
      <c r="A184" s="15" t="n">
        <v>182</v>
      </c>
      <c r="B184" s="13" t="inlineStr">
        <is>
          <t>الجودة</t>
        </is>
      </c>
      <c r="C184" s="21" t="inlineStr">
        <is>
          <t>نسبة اكتمال وتحديث الإجراءات المعتمدة</t>
        </is>
      </c>
      <c r="D184" s="76" t="inlineStr">
        <is>
          <t>يقيس نسبة اكتمال وتحديث الإجراءات المعتمدة ضمن محور «الجودة الإدارية»، ويعكس مساهمة الإدارة في ركيزة الاستدامة.</t>
        </is>
      </c>
      <c r="E184" s="11" t="inlineStr">
        <is>
          <t>(المتحقّق ÷ الإجمالي) × 100٪</t>
        </is>
      </c>
      <c r="F184" s="15" t="inlineStr">
        <is>
          <t>🔧 تشغيلي</t>
        </is>
      </c>
      <c r="G184" s="11" t="inlineStr">
        <is>
          <t>الاستدامة · جودة التشغيل</t>
        </is>
      </c>
      <c r="H184" s="15" t="inlineStr">
        <is>
          <t>العمليات الداخلية</t>
        </is>
      </c>
      <c r="I184" s="64" t="n">
        <v>0.03</v>
      </c>
      <c r="J184" s="15" t="inlineStr">
        <is>
          <t>مدير الجودة</t>
        </is>
      </c>
      <c r="K184" s="11" t="inlineStr">
        <is>
          <t>نظام إدارة الجودة (QMS)</t>
        </is>
      </c>
      <c r="L184" s="15" t="inlineStr">
        <is>
          <t>شهري</t>
        </is>
      </c>
      <c r="M184" s="15" t="inlineStr">
        <is>
          <t>مدير الجودة</t>
        </is>
      </c>
      <c r="N184" s="57" t="n"/>
    </row>
    <row r="185" ht="30" customHeight="1">
      <c r="A185" s="15" t="n">
        <v>183</v>
      </c>
      <c r="B185" s="13" t="inlineStr">
        <is>
          <t>الجودة</t>
        </is>
      </c>
      <c r="C185" s="21" t="inlineStr">
        <is>
          <t>نسبة اكتمال سجلات الجودة</t>
        </is>
      </c>
      <c r="D185" s="76" t="inlineStr">
        <is>
          <t>يقيس نسبة اكتمال سجلات الجودة ضمن محور «توثيق وحوكمة»، ويعكس مساهمة الإدارة في ركيزة الاستدامة.</t>
        </is>
      </c>
      <c r="E185" s="11" t="inlineStr">
        <is>
          <t>(المتحقّق ÷ الإجمالي) × 100٪</t>
        </is>
      </c>
      <c r="F185" s="15" t="inlineStr">
        <is>
          <t>🔧 تشغيلي</t>
        </is>
      </c>
      <c r="G185" s="11" t="inlineStr">
        <is>
          <t>الاستدامة · جودة التشغيل</t>
        </is>
      </c>
      <c r="H185" s="15" t="inlineStr">
        <is>
          <t>العمليات الداخلية</t>
        </is>
      </c>
      <c r="I185" s="64" t="n">
        <v>0.07000000000000001</v>
      </c>
      <c r="J185" s="15" t="inlineStr">
        <is>
          <t>مدير الجودة</t>
        </is>
      </c>
      <c r="K185" s="11" t="inlineStr">
        <is>
          <t>نظام إدارة الجودة (QMS)</t>
        </is>
      </c>
      <c r="L185" s="15" t="inlineStr">
        <is>
          <t>شهري</t>
        </is>
      </c>
      <c r="M185" s="15" t="inlineStr">
        <is>
          <t>مدير الجودة</t>
        </is>
      </c>
      <c r="N185" s="57" t="n"/>
    </row>
    <row r="186" ht="30" customHeight="1">
      <c r="A186" s="15" t="n">
        <v>184</v>
      </c>
      <c r="B186" s="13" t="inlineStr">
        <is>
          <t>الجودة</t>
        </is>
      </c>
      <c r="C186" s="21" t="inlineStr">
        <is>
          <t>نسبة رقمنة عمليات الجودة</t>
        </is>
      </c>
      <c r="D186" s="76" t="inlineStr">
        <is>
          <t>يقيس نسبة رقمنة عمليات الجودة ضمن محور «الابتكار والرقمنة»، ويعكس مساهمة الإدارة في ركيزة الابتكار.</t>
        </is>
      </c>
      <c r="E186" s="11" t="inlineStr">
        <is>
          <t>(المتحقّق ÷ الإجمالي) × 100٪</t>
        </is>
      </c>
      <c r="F186" s="15" t="inlineStr">
        <is>
          <t>🔧 تشغيلي</t>
        </is>
      </c>
      <c r="G186" s="11" t="inlineStr">
        <is>
          <t>الابتكار · التحول التقني</t>
        </is>
      </c>
      <c r="H186" s="15" t="inlineStr">
        <is>
          <t>التعلّم والنمو</t>
        </is>
      </c>
      <c r="I186" s="64" t="n">
        <v>0.07000000000000001</v>
      </c>
      <c r="J186" s="15" t="inlineStr">
        <is>
          <t>مدير الجودة</t>
        </is>
      </c>
      <c r="K186" s="11" t="inlineStr">
        <is>
          <t>نظام إدارة الجودة (QMS)</t>
        </is>
      </c>
      <c r="L186" s="15" t="inlineStr">
        <is>
          <t>شهري</t>
        </is>
      </c>
      <c r="M186" s="15" t="inlineStr">
        <is>
          <t>مدير الجودة</t>
        </is>
      </c>
      <c r="N186" s="57" t="n"/>
    </row>
    <row r="187" ht="30" customHeight="1">
      <c r="A187" s="15" t="n">
        <v>185</v>
      </c>
      <c r="B187" s="13" t="inlineStr">
        <is>
          <t>الجودة</t>
        </is>
      </c>
      <c r="C187" s="21" t="inlineStr">
        <is>
          <t>عدد مبادرات التحسين المؤثرة</t>
        </is>
      </c>
      <c r="D187" s="76" t="inlineStr">
        <is>
          <t>يقيس عدد مبادرات التحسين المؤثرة ضمن محور «التحسين المستمر»، ويعكس مساهمة الإدارة في ركيزة الاستدامة.</t>
        </is>
      </c>
      <c r="E187" s="11" t="inlineStr">
        <is>
          <t>إجمالي العدد خلال الفترة</t>
        </is>
      </c>
      <c r="F187" s="15" t="inlineStr">
        <is>
          <t>⚙️ نشاط</t>
        </is>
      </c>
      <c r="G187" s="11" t="inlineStr">
        <is>
          <t>الاستدامة · جودة التشغيل</t>
        </is>
      </c>
      <c r="H187" s="15" t="inlineStr">
        <is>
          <t>التعلّم والنمو</t>
        </is>
      </c>
      <c r="I187" s="64" t="n">
        <v>0.07000000000000001</v>
      </c>
      <c r="J187" s="15" t="inlineStr">
        <is>
          <t>مدير الجودة</t>
        </is>
      </c>
      <c r="K187" s="11" t="inlineStr">
        <is>
          <t>سجلات الإدارة</t>
        </is>
      </c>
      <c r="L187" s="15" t="inlineStr">
        <is>
          <t>ربعي</t>
        </is>
      </c>
      <c r="M187" s="15" t="inlineStr">
        <is>
          <t>مدير الجودة</t>
        </is>
      </c>
      <c r="N187" s="57" t="n"/>
    </row>
    <row r="188" ht="30" customHeight="1">
      <c r="A188" s="15" t="n">
        <v>186</v>
      </c>
      <c r="B188" s="13" t="inlineStr">
        <is>
          <t>الإدارة القانونية</t>
        </is>
      </c>
      <c r="C188" s="21" t="inlineStr">
        <is>
          <t>نسبة العقود المُراجَعة قانونياً قبل التوقيع</t>
        </is>
      </c>
      <c r="D188" s="76" t="inlineStr">
        <is>
          <t>يقيس نسبة العقود المُراجَعة قانونياً قبل التوقيع ضمن محور «أعمال العقود»، ويعكس مساهمة الإدارة في ركيزة الاستدامة.</t>
        </is>
      </c>
      <c r="E188" s="11" t="inlineStr">
        <is>
          <t>(المتحقّق ÷ الإجمالي) × 100٪</t>
        </is>
      </c>
      <c r="F188" s="15" t="inlineStr">
        <is>
          <t>🔧 تشغيلي</t>
        </is>
      </c>
      <c r="G188" s="11" t="inlineStr">
        <is>
          <t>الاستدامة · جودة التشغيل</t>
        </is>
      </c>
      <c r="H188" s="15" t="inlineStr">
        <is>
          <t>العمليات الداخلية</t>
        </is>
      </c>
      <c r="I188" s="64" t="n">
        <v>0.1</v>
      </c>
      <c r="J188" s="15" t="inlineStr">
        <is>
          <t>المدير القانوني</t>
        </is>
      </c>
      <c r="K188" s="11" t="inlineStr">
        <is>
          <t>نظام إدارة العقود (CRM)</t>
        </is>
      </c>
      <c r="L188" s="15" t="inlineStr">
        <is>
          <t>شهري</t>
        </is>
      </c>
      <c r="M188" s="15" t="inlineStr">
        <is>
          <t>المدير القانوني</t>
        </is>
      </c>
      <c r="N188" s="57" t="n"/>
    </row>
    <row r="189" ht="30" customHeight="1">
      <c r="A189" s="15" t="n">
        <v>187</v>
      </c>
      <c r="B189" s="13" t="inlineStr">
        <is>
          <t>الإدارة القانونية</t>
        </is>
      </c>
      <c r="C189" s="21" t="inlineStr">
        <is>
          <t>متوسط زمن صياغة ومراجعة العقد</t>
        </is>
      </c>
      <c r="D189" s="76" t="inlineStr">
        <is>
          <t>يقيس متوسط زمن صياغة ومراجعة العقد ضمن محور «أعمال العقود»، ويعكس مساهمة الإدارة في ركيزة الاستدامة.</t>
        </is>
      </c>
      <c r="E189" s="11" t="inlineStr">
        <is>
          <t>متوسط يوم خلال الفترة</t>
        </is>
      </c>
      <c r="F189" s="15" t="inlineStr">
        <is>
          <t>🔧 تشغيلي</t>
        </is>
      </c>
      <c r="G189" s="11" t="inlineStr">
        <is>
          <t>الاستدامة · جودة التشغيل</t>
        </is>
      </c>
      <c r="H189" s="15" t="inlineStr">
        <is>
          <t>العمليات الداخلية</t>
        </is>
      </c>
      <c r="I189" s="64" t="n">
        <v>0.1</v>
      </c>
      <c r="J189" s="15" t="inlineStr">
        <is>
          <t>المدير القانوني</t>
        </is>
      </c>
      <c r="K189" s="11" t="inlineStr">
        <is>
          <t>نظام إدارة القضايا والتحقيقات</t>
        </is>
      </c>
      <c r="L189" s="15" t="inlineStr">
        <is>
          <t>شهري</t>
        </is>
      </c>
      <c r="M189" s="15" t="inlineStr">
        <is>
          <t>المدير القانوني</t>
        </is>
      </c>
      <c r="N189" s="57" t="n"/>
    </row>
    <row r="190" ht="30" customHeight="1">
      <c r="A190" s="15" t="n">
        <v>188</v>
      </c>
      <c r="B190" s="13" t="inlineStr">
        <is>
          <t>الإدارة القانونية</t>
        </is>
      </c>
      <c r="C190" s="21" t="inlineStr">
        <is>
          <t>نسبة العقود الخالية من الملاحظات والمخاطر القانونية</t>
        </is>
      </c>
      <c r="D190" s="76" t="inlineStr">
        <is>
          <t>يقيس نسبة العقود الخالية من الملاحظات والمخاطر القانونية ضمن محور «أعمال العقود»، ويعكس مساهمة الإدارة في ركيزة الاستدامة.</t>
        </is>
      </c>
      <c r="E190" s="11" t="inlineStr">
        <is>
          <t>(المتحقّق ÷ الإجمالي) × 100٪</t>
        </is>
      </c>
      <c r="F190" s="15" t="inlineStr">
        <is>
          <t>🎯 نتيجة</t>
        </is>
      </c>
      <c r="G190" s="11" t="inlineStr">
        <is>
          <t>الاستدامة · جودة التشغيل</t>
        </is>
      </c>
      <c r="H190" s="15" t="inlineStr">
        <is>
          <t>العمليات الداخلية</t>
        </is>
      </c>
      <c r="I190" s="64" t="n">
        <v>0.1</v>
      </c>
      <c r="J190" s="15" t="inlineStr">
        <is>
          <t>المدير القانوني</t>
        </is>
      </c>
      <c r="K190" s="11" t="inlineStr">
        <is>
          <t>نظام إدارة الجودة (QMS)</t>
        </is>
      </c>
      <c r="L190" s="15" t="inlineStr">
        <is>
          <t>شهري</t>
        </is>
      </c>
      <c r="M190" s="15" t="inlineStr">
        <is>
          <t>المدير القانوني</t>
        </is>
      </c>
      <c r="N190" s="57" t="n"/>
    </row>
    <row r="191" ht="30" customHeight="1">
      <c r="A191" s="15" t="n">
        <v>189</v>
      </c>
      <c r="B191" s="13" t="inlineStr">
        <is>
          <t>الإدارة القانونية</t>
        </is>
      </c>
      <c r="C191" s="21" t="inlineStr">
        <is>
          <t>نسبة القضايا المُغلقة لصالح الشركة</t>
        </is>
      </c>
      <c r="D191" s="76" t="inlineStr">
        <is>
          <t>يقيس نسبة القضايا المُغلقة لصالح الشركة ضمن محور «أعمال القضايا»، ويعكس مساهمة الإدارة في ركيزة الاستدامة.</t>
        </is>
      </c>
      <c r="E191" s="11" t="inlineStr">
        <is>
          <t>(المتحقّق ÷ الإجمالي) × 100٪</t>
        </is>
      </c>
      <c r="F191" s="15" t="inlineStr">
        <is>
          <t>🔧 تشغيلي</t>
        </is>
      </c>
      <c r="G191" s="11" t="inlineStr">
        <is>
          <t>الاستدامة · جودة التشغيل</t>
        </is>
      </c>
      <c r="H191" s="15" t="inlineStr">
        <is>
          <t>العمليات الداخلية</t>
        </is>
      </c>
      <c r="I191" s="64" t="n">
        <v>0.07000000000000001</v>
      </c>
      <c r="J191" s="15" t="inlineStr">
        <is>
          <t>المدير القانوني</t>
        </is>
      </c>
      <c r="K191" s="11" t="inlineStr">
        <is>
          <t>نظام إدارة القضايا والتحقيقات</t>
        </is>
      </c>
      <c r="L191" s="15" t="inlineStr">
        <is>
          <t>شهري</t>
        </is>
      </c>
      <c r="M191" s="15" t="inlineStr">
        <is>
          <t>المدير القانوني</t>
        </is>
      </c>
      <c r="N191" s="57" t="n"/>
    </row>
    <row r="192" ht="30" customHeight="1">
      <c r="A192" s="15" t="n">
        <v>190</v>
      </c>
      <c r="B192" s="13" t="inlineStr">
        <is>
          <t>الإدارة القانونية</t>
        </is>
      </c>
      <c r="C192" s="21" t="inlineStr">
        <is>
          <t>نسبة تقديم المذكرات والردود في المواعيد النظامية</t>
        </is>
      </c>
      <c r="D192" s="76" t="inlineStr">
        <is>
          <t>يقيس نسبة تقديم المذكرات والردود في المواعيد النظامية ضمن محور «أعمال القضايا»، ويعكس مساهمة الإدارة في ركيزة الاستدامة.</t>
        </is>
      </c>
      <c r="E192" s="11" t="inlineStr">
        <is>
          <t>(المتحقّق ÷ الإجمالي) × 100٪</t>
        </is>
      </c>
      <c r="F192" s="15" t="inlineStr">
        <is>
          <t>🔧 تشغيلي</t>
        </is>
      </c>
      <c r="G192" s="11" t="inlineStr">
        <is>
          <t>الاستدامة · جودة التشغيل</t>
        </is>
      </c>
      <c r="H192" s="15" t="inlineStr">
        <is>
          <t>العمليات الداخلية</t>
        </is>
      </c>
      <c r="I192" s="64" t="n">
        <v>0.07000000000000001</v>
      </c>
      <c r="J192" s="15" t="inlineStr">
        <is>
          <t>المدير القانوني</t>
        </is>
      </c>
      <c r="K192" s="11" t="inlineStr">
        <is>
          <t>نظام إدارة القضايا والتحقيقات</t>
        </is>
      </c>
      <c r="L192" s="15" t="inlineStr">
        <is>
          <t>شهري</t>
        </is>
      </c>
      <c r="M192" s="15" t="inlineStr">
        <is>
          <t>المدير القانوني</t>
        </is>
      </c>
      <c r="N192" s="57" t="n"/>
    </row>
    <row r="193" ht="30" customHeight="1">
      <c r="A193" s="15" t="n">
        <v>191</v>
      </c>
      <c r="B193" s="13" t="inlineStr">
        <is>
          <t>الإدارة القانونية</t>
        </is>
      </c>
      <c r="C193" s="21" t="inlineStr">
        <is>
          <t>متوسط زمن إعداد المذكرة القانونية</t>
        </is>
      </c>
      <c r="D193" s="76" t="inlineStr">
        <is>
          <t>يقيس متوسط زمن إعداد المذكرة القانونية ضمن محور «أعمال القضايا»، ويعكس مساهمة الإدارة في ركيزة الاستدامة.</t>
        </is>
      </c>
      <c r="E193" s="11" t="inlineStr">
        <is>
          <t>متوسط يوم خلال الفترة</t>
        </is>
      </c>
      <c r="F193" s="15" t="inlineStr">
        <is>
          <t>⚙️ نشاط</t>
        </is>
      </c>
      <c r="G193" s="11" t="inlineStr">
        <is>
          <t>الاستدامة · جودة التشغيل</t>
        </is>
      </c>
      <c r="H193" s="15" t="inlineStr">
        <is>
          <t>العمليات الداخلية</t>
        </is>
      </c>
      <c r="I193" s="64" t="n">
        <v>0.07000000000000001</v>
      </c>
      <c r="J193" s="15" t="inlineStr">
        <is>
          <t>المدير القانوني</t>
        </is>
      </c>
      <c r="K193" s="11" t="inlineStr">
        <is>
          <t>نظام إدارة القضايا والتحقيقات</t>
        </is>
      </c>
      <c r="L193" s="15" t="inlineStr">
        <is>
          <t>شهري</t>
        </is>
      </c>
      <c r="M193" s="15" t="inlineStr">
        <is>
          <t>المدير القانوني</t>
        </is>
      </c>
      <c r="N193" s="57" t="n"/>
    </row>
    <row r="194" ht="30" customHeight="1">
      <c r="A194" s="15" t="n">
        <v>192</v>
      </c>
      <c r="B194" s="13" t="inlineStr">
        <is>
          <t>الإدارة القانونية</t>
        </is>
      </c>
      <c r="C194" s="21" t="inlineStr">
        <is>
          <t>نسبة الاستشارات المُنجزة ضمن المدة المستهدفة (SLA)</t>
        </is>
      </c>
      <c r="D194" s="76" t="inlineStr">
        <is>
          <t>يقيس نسبة الاستشارات المُنجزة ضمن المدة المستهدفة (SLA) ضمن محور «الاستشارات القانونية»، ويعكس مساهمة الإدارة في ركيزة الاستدامة.</t>
        </is>
      </c>
      <c r="E194" s="11" t="inlineStr">
        <is>
          <t>(المتحقّق ÷ الإجمالي) × 100٪</t>
        </is>
      </c>
      <c r="F194" s="15" t="inlineStr">
        <is>
          <t>🔧 تشغيلي</t>
        </is>
      </c>
      <c r="G194" s="11" t="inlineStr">
        <is>
          <t>الاستدامة · جودة التشغيل</t>
        </is>
      </c>
      <c r="H194" s="15" t="inlineStr">
        <is>
          <t>العمليات الداخلية</t>
        </is>
      </c>
      <c r="I194" s="64" t="n">
        <v>0.07000000000000001</v>
      </c>
      <c r="J194" s="15" t="inlineStr">
        <is>
          <t>المدير القانوني</t>
        </is>
      </c>
      <c r="K194" s="11" t="inlineStr">
        <is>
          <t>نظام إدارة القضايا والتحقيقات</t>
        </is>
      </c>
      <c r="L194" s="15" t="inlineStr">
        <is>
          <t>شهري</t>
        </is>
      </c>
      <c r="M194" s="15" t="inlineStr">
        <is>
          <t>المدير القانوني</t>
        </is>
      </c>
      <c r="N194" s="57" t="n"/>
    </row>
    <row r="195" ht="30" customHeight="1">
      <c r="A195" s="15" t="n">
        <v>193</v>
      </c>
      <c r="B195" s="13" t="inlineStr">
        <is>
          <t>الإدارة القانونية</t>
        </is>
      </c>
      <c r="C195" s="21" t="inlineStr">
        <is>
          <t>مستوى رضا الإدارات عن الدعم القانوني</t>
        </is>
      </c>
      <c r="D195" s="76" t="inlineStr">
        <is>
          <t>يقيس مستوى رضا الإدارات عن الدعم القانوني ضمن محور «الاستشارات القانونية»، ويعكس مساهمة الإدارة في ركيزة الاستدامة.</t>
        </is>
      </c>
      <c r="E195" s="11" t="inlineStr">
        <is>
          <t>(المتحقّق ÷ الإجمالي) × 100٪</t>
        </is>
      </c>
      <c r="F195" s="15" t="inlineStr">
        <is>
          <t>🎯 نتيجة</t>
        </is>
      </c>
      <c r="G195" s="11" t="inlineStr">
        <is>
          <t>الاستدامة · جودة التشغيل</t>
        </is>
      </c>
      <c r="H195" s="15" t="inlineStr">
        <is>
          <t>العملاء</t>
        </is>
      </c>
      <c r="I195" s="64" t="n">
        <v>0.1</v>
      </c>
      <c r="J195" s="15" t="inlineStr">
        <is>
          <t>المدير القانوني</t>
        </is>
      </c>
      <c r="K195" s="11" t="inlineStr">
        <is>
          <t>استبيان دوري</t>
        </is>
      </c>
      <c r="L195" s="15" t="inlineStr">
        <is>
          <t>ربعي</t>
        </is>
      </c>
      <c r="M195" s="15" t="inlineStr">
        <is>
          <t>المدير القانوني</t>
        </is>
      </c>
      <c r="N195" s="57" t="n"/>
    </row>
    <row r="196" ht="30" customHeight="1">
      <c r="A196" s="15" t="n">
        <v>194</v>
      </c>
      <c r="B196" s="13" t="inlineStr">
        <is>
          <t>الإدارة القانونية</t>
        </is>
      </c>
      <c r="C196" s="21" t="inlineStr">
        <is>
          <t>نسبة إنجاز التحقيقات ضمن المدة المحددة</t>
        </is>
      </c>
      <c r="D196" s="76" t="inlineStr">
        <is>
          <t>يقيس نسبة إنجاز التحقيقات ضمن المدة المحددة ضمن محور «التحقيق»، ويعكس مساهمة الإدارة في ركيزة الاستدامة.</t>
        </is>
      </c>
      <c r="E196" s="11" t="inlineStr">
        <is>
          <t>(المتحقّق ÷ الإجمالي) × 100٪</t>
        </is>
      </c>
      <c r="F196" s="15" t="inlineStr">
        <is>
          <t>🔧 تشغيلي</t>
        </is>
      </c>
      <c r="G196" s="11" t="inlineStr">
        <is>
          <t>الاستدامة · جودة التشغيل</t>
        </is>
      </c>
      <c r="H196" s="15" t="inlineStr">
        <is>
          <t>العمليات الداخلية</t>
        </is>
      </c>
      <c r="I196" s="64" t="n">
        <v>0.07000000000000001</v>
      </c>
      <c r="J196" s="15" t="inlineStr">
        <is>
          <t>المدير القانوني</t>
        </is>
      </c>
      <c r="K196" s="11" t="inlineStr">
        <is>
          <t>نظام إدارة القضايا والتحقيقات</t>
        </is>
      </c>
      <c r="L196" s="15" t="inlineStr">
        <is>
          <t>شهري</t>
        </is>
      </c>
      <c r="M196" s="15" t="inlineStr">
        <is>
          <t>المدير القانوني</t>
        </is>
      </c>
      <c r="N196" s="57" t="n"/>
    </row>
    <row r="197" ht="30" customHeight="1">
      <c r="A197" s="15" t="n">
        <v>195</v>
      </c>
      <c r="B197" s="13" t="inlineStr">
        <is>
          <t>الإدارة القانونية</t>
        </is>
      </c>
      <c r="C197" s="21" t="inlineStr">
        <is>
          <t>نسبة التحقيقات المُغلقة من إجمالي المُحالة</t>
        </is>
      </c>
      <c r="D197" s="76" t="inlineStr">
        <is>
          <t>يقيس نسبة التحقيقات المُغلقة من إجمالي المُحالة ضمن محور «التحقيق»، ويعكس مساهمة الإدارة في ركيزة الاستدامة.</t>
        </is>
      </c>
      <c r="E197" s="11" t="inlineStr">
        <is>
          <t>(المتحقّق ÷ الإجمالي) × 100٪</t>
        </is>
      </c>
      <c r="F197" s="15" t="inlineStr">
        <is>
          <t>🔧 تشغيلي</t>
        </is>
      </c>
      <c r="G197" s="11" t="inlineStr">
        <is>
          <t>الاستدامة · جودة التشغيل</t>
        </is>
      </c>
      <c r="H197" s="15" t="inlineStr">
        <is>
          <t>العمليات الداخلية</t>
        </is>
      </c>
      <c r="I197" s="64" t="n">
        <v>0.07000000000000001</v>
      </c>
      <c r="J197" s="15" t="inlineStr">
        <is>
          <t>المدير القانوني</t>
        </is>
      </c>
      <c r="K197" s="11" t="inlineStr">
        <is>
          <t>نظام إدارة القضايا والتحقيقات</t>
        </is>
      </c>
      <c r="L197" s="15" t="inlineStr">
        <is>
          <t>شهري</t>
        </is>
      </c>
      <c r="M197" s="15" t="inlineStr">
        <is>
          <t>المدير القانوني</t>
        </is>
      </c>
      <c r="N197" s="57" t="n"/>
    </row>
    <row r="198" ht="30" customHeight="1">
      <c r="A198" s="15" t="n">
        <v>196</v>
      </c>
      <c r="B198" s="13" t="inlineStr">
        <is>
          <t>الإدارة القانونية</t>
        </is>
      </c>
      <c r="C198" s="21" t="inlineStr">
        <is>
          <t>متوسط زمن إغلاق قضية التحقيق</t>
        </is>
      </c>
      <c r="D198" s="76" t="inlineStr">
        <is>
          <t>يقيس متوسط زمن إغلاق قضية التحقيق ضمن محور «التحقيق»، ويعكس مساهمة الإدارة في ركيزة الاستدامة.</t>
        </is>
      </c>
      <c r="E198" s="11" t="inlineStr">
        <is>
          <t>متوسط يوم خلال الفترة</t>
        </is>
      </c>
      <c r="F198" s="15" t="inlineStr">
        <is>
          <t>🎯 نتيجة</t>
        </is>
      </c>
      <c r="G198" s="11" t="inlineStr">
        <is>
          <t>الاستدامة · جودة التشغيل</t>
        </is>
      </c>
      <c r="H198" s="15" t="inlineStr">
        <is>
          <t>العمليات الداخلية</t>
        </is>
      </c>
      <c r="I198" s="64" t="n">
        <v>0.06</v>
      </c>
      <c r="J198" s="15" t="inlineStr">
        <is>
          <t>المدير القانوني</t>
        </is>
      </c>
      <c r="K198" s="11" t="inlineStr">
        <is>
          <t>نظام إدارة القضايا والتحقيقات</t>
        </is>
      </c>
      <c r="L198" s="15" t="inlineStr">
        <is>
          <t>شهري</t>
        </is>
      </c>
      <c r="M198" s="15" t="inlineStr">
        <is>
          <t>المدير القانوني</t>
        </is>
      </c>
      <c r="N198" s="57" t="n"/>
    </row>
    <row r="199" ht="30" customHeight="1">
      <c r="A199" s="15" t="n">
        <v>197</v>
      </c>
      <c r="B199" s="13" t="inlineStr">
        <is>
          <t>الإدارة القانونية</t>
        </is>
      </c>
      <c r="C199" s="21" t="inlineStr">
        <is>
          <t>نسبة تنفيذ التوصيات الصادرة عن التحقيقات</t>
        </is>
      </c>
      <c r="D199" s="76" t="inlineStr">
        <is>
          <t>يقيس نسبة تنفيذ التوصيات الصادرة عن التحقيقات ضمن محور «التحقيق»، ويعكس مساهمة الإدارة في ركيزة الاستدامة.</t>
        </is>
      </c>
      <c r="E199" s="11" t="inlineStr">
        <is>
          <t>(المتحقّق ÷ الإجمالي) × 100٪</t>
        </is>
      </c>
      <c r="F199" s="15" t="inlineStr">
        <is>
          <t>⚙️ نشاط</t>
        </is>
      </c>
      <c r="G199" s="11" t="inlineStr">
        <is>
          <t>الاستدامة · جودة التشغيل</t>
        </is>
      </c>
      <c r="H199" s="15" t="inlineStr">
        <is>
          <t>العمليات الداخلية</t>
        </is>
      </c>
      <c r="I199" s="64" t="n">
        <v>0.06</v>
      </c>
      <c r="J199" s="15" t="inlineStr">
        <is>
          <t>المدير القانوني</t>
        </is>
      </c>
      <c r="K199" s="11" t="inlineStr">
        <is>
          <t>نظام إدارة القضايا والتحقيقات</t>
        </is>
      </c>
      <c r="L199" s="15" t="inlineStr">
        <is>
          <t>شهري</t>
        </is>
      </c>
      <c r="M199" s="15" t="inlineStr">
        <is>
          <t>المدير القانوني</t>
        </is>
      </c>
      <c r="N199" s="57" t="n"/>
    </row>
    <row r="200" ht="30" customHeight="1">
      <c r="A200" s="15" t="n">
        <v>198</v>
      </c>
      <c r="B200" s="13" t="inlineStr">
        <is>
          <t>الإدارة القانونية</t>
        </is>
      </c>
      <c r="C200" s="21" t="inlineStr">
        <is>
          <t>نسبة التزام التحقيقات بالإجراءات النظامية والعدالة الإجرائية</t>
        </is>
      </c>
      <c r="D200" s="76" t="inlineStr">
        <is>
          <t>يقيس نسبة التزام التحقيقات بالإجراءات النظامية والعدالة الإجرائية ضمن محور «التحقيق»، ويعكس مساهمة الإدارة في ركيزة الاستدامة.</t>
        </is>
      </c>
      <c r="E200" s="11" t="inlineStr">
        <is>
          <t>(المتحقّق ÷ الإجمالي) × 100٪</t>
        </is>
      </c>
      <c r="F200" s="15" t="inlineStr">
        <is>
          <t>🎯 نتيجة</t>
        </is>
      </c>
      <c r="G200" s="11" t="inlineStr">
        <is>
          <t>الاستدامة · جودة التشغيل</t>
        </is>
      </c>
      <c r="H200" s="15" t="inlineStr">
        <is>
          <t>العمليات الداخلية</t>
        </is>
      </c>
      <c r="I200" s="64" t="n">
        <v>0.06</v>
      </c>
      <c r="J200" s="15" t="inlineStr">
        <is>
          <t>المدير القانوني</t>
        </is>
      </c>
      <c r="K200" s="11" t="inlineStr">
        <is>
          <t>نظام إدارة القضايا والتحقيقات</t>
        </is>
      </c>
      <c r="L200" s="15" t="inlineStr">
        <is>
          <t>شهري</t>
        </is>
      </c>
      <c r="M200" s="15" t="inlineStr">
        <is>
          <t>المدير القانوني</t>
        </is>
      </c>
      <c r="N200" s="57" t="n"/>
    </row>
    <row r="201" ht="30" customHeight="1">
      <c r="A201" s="15" t="n">
        <v>199</v>
      </c>
      <c r="B201" s="13" t="inlineStr">
        <is>
          <t>الإدارة المالية</t>
        </is>
      </c>
      <c r="C201" s="21" t="inlineStr">
        <is>
          <t>نمو الإيرادات السنوي</t>
        </is>
      </c>
      <c r="D201" s="76" t="inlineStr">
        <is>
          <t>يقيس نمو الإيرادات السنوي ضمن محور «المالية الاستراتيجية»، ويعكس مساهمة الإدارة في ركيزة النمو.</t>
        </is>
      </c>
      <c r="E201" s="11" t="inlineStr">
        <is>
          <t>(المتحقّق ÷ الإجمالي) × 100٪</t>
        </is>
      </c>
      <c r="F201" s="15" t="inlineStr">
        <is>
          <t>🎯 نتيجة</t>
        </is>
      </c>
      <c r="G201" s="11" t="inlineStr">
        <is>
          <t>النمو · زيادة وصول العملاء</t>
        </is>
      </c>
      <c r="H201" s="15" t="inlineStr">
        <is>
          <t>مالي</t>
        </is>
      </c>
      <c r="I201" s="64" t="n">
        <v>0.05</v>
      </c>
      <c r="J201" s="15" t="inlineStr">
        <is>
          <t>المدير المالي</t>
        </is>
      </c>
      <c r="K201" s="11" t="inlineStr">
        <is>
          <t>نظام المحاسبة / ERP (D365)</t>
        </is>
      </c>
      <c r="L201" s="15" t="inlineStr">
        <is>
          <t>ربعي</t>
        </is>
      </c>
      <c r="M201" s="15" t="inlineStr">
        <is>
          <t>الإدارة المالية</t>
        </is>
      </c>
      <c r="N201" s="57" t="n"/>
    </row>
    <row r="202" ht="30" customHeight="1">
      <c r="A202" s="15" t="n">
        <v>200</v>
      </c>
      <c r="B202" s="13" t="inlineStr">
        <is>
          <t>الإدارة المالية</t>
        </is>
      </c>
      <c r="C202" s="21" t="inlineStr">
        <is>
          <t>هامش EBITDA</t>
        </is>
      </c>
      <c r="D202" s="76" t="inlineStr">
        <is>
          <t>يقيس هامش EBITDA ضمن محور «المالية الاستراتيجية»، ويعكس مساهمة الإدارة في ركيزة النمو.</t>
        </is>
      </c>
      <c r="E202" s="11" t="inlineStr">
        <is>
          <t>(المتحقّق ÷ الإجمالي) × 100٪</t>
        </is>
      </c>
      <c r="F202" s="15" t="inlineStr">
        <is>
          <t>🎯 نتيجة</t>
        </is>
      </c>
      <c r="G202" s="11" t="inlineStr">
        <is>
          <t>النمو · زيادة وصول العملاء</t>
        </is>
      </c>
      <c r="H202" s="15" t="inlineStr">
        <is>
          <t>مالي</t>
        </is>
      </c>
      <c r="I202" s="64" t="n">
        <v>0.04</v>
      </c>
      <c r="J202" s="15" t="inlineStr">
        <is>
          <t>المدير المالي</t>
        </is>
      </c>
      <c r="K202" s="11" t="inlineStr">
        <is>
          <t>نظام المحاسبة / ERP (D365)</t>
        </is>
      </c>
      <c r="L202" s="15" t="inlineStr">
        <is>
          <t>شهري</t>
        </is>
      </c>
      <c r="M202" s="15" t="inlineStr">
        <is>
          <t>الإدارة المالية</t>
        </is>
      </c>
      <c r="N202" s="57" t="n"/>
    </row>
    <row r="203" ht="30" customHeight="1">
      <c r="A203" s="15" t="n">
        <v>201</v>
      </c>
      <c r="B203" s="13" t="inlineStr">
        <is>
          <t>الإدارة المالية</t>
        </is>
      </c>
      <c r="C203" s="21" t="inlineStr">
        <is>
          <t>هامش صافي الربح</t>
        </is>
      </c>
      <c r="D203" s="76" t="inlineStr">
        <is>
          <t>يقيس هامش صافي الربح ضمن محور «المالية الاستراتيجية»، ويعكس مساهمة الإدارة في ركيزة النمو.</t>
        </is>
      </c>
      <c r="E203" s="11" t="inlineStr">
        <is>
          <t>(المتحقّق ÷ الإجمالي) × 100٪</t>
        </is>
      </c>
      <c r="F203" s="15" t="inlineStr">
        <is>
          <t>🎯 نتيجة</t>
        </is>
      </c>
      <c r="G203" s="11" t="inlineStr">
        <is>
          <t>النمو · زيادة وصول العملاء</t>
        </is>
      </c>
      <c r="H203" s="15" t="inlineStr">
        <is>
          <t>مالي</t>
        </is>
      </c>
      <c r="I203" s="64" t="n">
        <v>0.04</v>
      </c>
      <c r="J203" s="15" t="inlineStr">
        <is>
          <t>المدير المالي</t>
        </is>
      </c>
      <c r="K203" s="11" t="inlineStr">
        <is>
          <t>نظام المحاسبة / ERP (D365)</t>
        </is>
      </c>
      <c r="L203" s="15" t="inlineStr">
        <is>
          <t>شهري</t>
        </is>
      </c>
      <c r="M203" s="15" t="inlineStr">
        <is>
          <t>الإدارة المالية</t>
        </is>
      </c>
      <c r="N203" s="57" t="n"/>
    </row>
    <row r="204" ht="30" customHeight="1">
      <c r="A204" s="15" t="n">
        <v>202</v>
      </c>
      <c r="B204" s="13" t="inlineStr">
        <is>
          <t>الإدارة المالية</t>
        </is>
      </c>
      <c r="C204" s="21" t="inlineStr">
        <is>
          <t>العائد على حقوق الملكية (ROE)</t>
        </is>
      </c>
      <c r="D204" s="76" t="inlineStr">
        <is>
          <t>يقيس العائد على حقوق الملكية (ROE) ضمن محور «المالية الاستراتيجية»، ويعكس مساهمة الإدارة في ركيزة النمو.</t>
        </is>
      </c>
      <c r="E204" s="11" t="inlineStr">
        <is>
          <t>(المتحقّق ÷ الإجمالي) × 100٪</t>
        </is>
      </c>
      <c r="F204" s="15" t="inlineStr">
        <is>
          <t>🎯 نتيجة</t>
        </is>
      </c>
      <c r="G204" s="11" t="inlineStr">
        <is>
          <t>النمو · زيادة وصول العملاء</t>
        </is>
      </c>
      <c r="H204" s="15" t="inlineStr">
        <is>
          <t>مالي</t>
        </is>
      </c>
      <c r="I204" s="64" t="n">
        <v>0.05</v>
      </c>
      <c r="J204" s="15" t="inlineStr">
        <is>
          <t>المدير المالي</t>
        </is>
      </c>
      <c r="K204" s="11" t="inlineStr">
        <is>
          <t>نظام المحاسبة / ERP (D365)</t>
        </is>
      </c>
      <c r="L204" s="15" t="inlineStr">
        <is>
          <t>ربعي</t>
        </is>
      </c>
      <c r="M204" s="15" t="inlineStr">
        <is>
          <t>الإدارة المالية</t>
        </is>
      </c>
      <c r="N204" s="57" t="n"/>
    </row>
    <row r="205" ht="30" customHeight="1">
      <c r="A205" s="15" t="n">
        <v>203</v>
      </c>
      <c r="B205" s="13" t="inlineStr">
        <is>
          <t>الإدارة المالية</t>
        </is>
      </c>
      <c r="C205" s="21" t="inlineStr">
        <is>
          <t>نسبة التدفق النقدي التشغيلي</t>
        </is>
      </c>
      <c r="D205" s="76" t="inlineStr">
        <is>
          <t>يقيس نسبة التدفق النقدي التشغيلي ضمن محور «المالية الاستراتيجية»، ويعكس مساهمة الإدارة في ركيزة الاستدامة.</t>
        </is>
      </c>
      <c r="E205" s="11" t="inlineStr">
        <is>
          <t>(المتحقّق ÷ الإجمالي) × 100٪</t>
        </is>
      </c>
      <c r="F205" s="15" t="inlineStr">
        <is>
          <t>🔧 تشغيلي</t>
        </is>
      </c>
      <c r="G205" s="11" t="inlineStr">
        <is>
          <t>الاستدامة · جودة التشغيل</t>
        </is>
      </c>
      <c r="H205" s="15" t="inlineStr">
        <is>
          <t>العمليات الداخلية</t>
        </is>
      </c>
      <c r="I205" s="64" t="n">
        <v>0.04</v>
      </c>
      <c r="J205" s="15" t="inlineStr">
        <is>
          <t>المدير المالي</t>
        </is>
      </c>
      <c r="K205" s="11" t="inlineStr">
        <is>
          <t>نظام المحاسبة / ERP (D365)</t>
        </is>
      </c>
      <c r="L205" s="15" t="inlineStr">
        <is>
          <t>شهري</t>
        </is>
      </c>
      <c r="M205" s="15" t="inlineStr">
        <is>
          <t>الإدارة المالية</t>
        </is>
      </c>
      <c r="N205" s="57" t="n"/>
    </row>
    <row r="206" ht="30" customHeight="1">
      <c r="A206" s="15" t="n">
        <v>204</v>
      </c>
      <c r="B206" s="13" t="inlineStr">
        <is>
          <t>الإدارة المالية</t>
        </is>
      </c>
      <c r="C206" s="21" t="inlineStr">
        <is>
          <t>النسبة الجارية (Current Ratio)</t>
        </is>
      </c>
      <c r="D206" s="76" t="inlineStr">
        <is>
          <t>يقيس النسبة الجارية (Current Ratio) ضمن محور «السيولة ورأس المال»، ويعكس مساهمة الإدارة في ركيزة الاستدامة.</t>
        </is>
      </c>
      <c r="E206" s="11" t="inlineStr">
        <is>
          <t>(المتحقّق ÷ الإجمالي) × 100٪</t>
        </is>
      </c>
      <c r="F206" s="15" t="inlineStr">
        <is>
          <t>🔧 تشغيلي</t>
        </is>
      </c>
      <c r="G206" s="11" t="inlineStr">
        <is>
          <t>الاستدامة · جودة التشغيل</t>
        </is>
      </c>
      <c r="H206" s="15" t="inlineStr">
        <is>
          <t>العمليات الداخلية</t>
        </is>
      </c>
      <c r="I206" s="64" t="n">
        <v>0.04</v>
      </c>
      <c r="J206" s="15" t="inlineStr">
        <is>
          <t>المدير المالي</t>
        </is>
      </c>
      <c r="K206" s="11" t="inlineStr">
        <is>
          <t>سجلات الإدارة</t>
        </is>
      </c>
      <c r="L206" s="15" t="inlineStr">
        <is>
          <t>شهري</t>
        </is>
      </c>
      <c r="M206" s="15" t="inlineStr">
        <is>
          <t>المدير المالي</t>
        </is>
      </c>
      <c r="N206" s="57" t="n"/>
    </row>
    <row r="207" ht="30" customHeight="1">
      <c r="A207" s="15" t="n">
        <v>205</v>
      </c>
      <c r="B207" s="13" t="inlineStr">
        <is>
          <t>الإدارة المالية</t>
        </is>
      </c>
      <c r="C207" s="21" t="inlineStr">
        <is>
          <t>دورة التحويل النقدي</t>
        </is>
      </c>
      <c r="D207" s="76" t="inlineStr">
        <is>
          <t>يقيس دورة التحويل النقدي ضمن محور «السيولة ورأس المال»، ويعكس مساهمة الإدارة في ركيزة الاستدامة.</t>
        </is>
      </c>
      <c r="E207" s="11" t="inlineStr">
        <is>
          <t>متوسط يوم خلال الفترة</t>
        </is>
      </c>
      <c r="F207" s="15" t="inlineStr">
        <is>
          <t>🔧 تشغيلي</t>
        </is>
      </c>
      <c r="G207" s="11" t="inlineStr">
        <is>
          <t>الاستدامة · جودة التشغيل</t>
        </is>
      </c>
      <c r="H207" s="15" t="inlineStr">
        <is>
          <t>العمليات الداخلية</t>
        </is>
      </c>
      <c r="I207" s="64" t="n">
        <v>0.05</v>
      </c>
      <c r="J207" s="15" t="inlineStr">
        <is>
          <t>المدير المالي</t>
        </is>
      </c>
      <c r="K207" s="11" t="inlineStr">
        <is>
          <t>نظام المحاسبة / ERP (D365)</t>
        </is>
      </c>
      <c r="L207" s="15" t="inlineStr">
        <is>
          <t>شهري</t>
        </is>
      </c>
      <c r="M207" s="15" t="inlineStr">
        <is>
          <t>الإدارة المالية</t>
        </is>
      </c>
      <c r="N207" s="57" t="n"/>
    </row>
    <row r="208" ht="30" customHeight="1">
      <c r="A208" s="15" t="n">
        <v>206</v>
      </c>
      <c r="B208" s="13" t="inlineStr">
        <is>
          <t>الإدارة المالية</t>
        </is>
      </c>
      <c r="C208" s="21" t="inlineStr">
        <is>
          <t>متوسط أيام التحصيل العام (DSO)</t>
        </is>
      </c>
      <c r="D208" s="76" t="inlineStr">
        <is>
          <t>يقيس متوسط أيام التحصيل العام (DSO) ضمن محور «الذمم المدينة»، ويعكس مساهمة الإدارة في ركيزة الاستدامة.</t>
        </is>
      </c>
      <c r="E208" s="11" t="inlineStr">
        <is>
          <t>متوسط يوم خلال الفترة</t>
        </is>
      </c>
      <c r="F208" s="15" t="inlineStr">
        <is>
          <t>🎯 نتيجة</t>
        </is>
      </c>
      <c r="G208" s="11" t="inlineStr">
        <is>
          <t>الاستدامة · جودة التشغيل</t>
        </is>
      </c>
      <c r="H208" s="15" t="inlineStr">
        <is>
          <t>مالي</t>
        </is>
      </c>
      <c r="I208" s="64" t="n">
        <v>0.05</v>
      </c>
      <c r="J208" s="15" t="inlineStr">
        <is>
          <t>المدير المالي</t>
        </is>
      </c>
      <c r="K208" s="11" t="inlineStr">
        <is>
          <t>نظام المحاسبة / ERP (D365)</t>
        </is>
      </c>
      <c r="L208" s="15" t="inlineStr">
        <is>
          <t>شهري</t>
        </is>
      </c>
      <c r="M208" s="15" t="inlineStr">
        <is>
          <t>الإدارة المالية</t>
        </is>
      </c>
      <c r="N208" s="57" t="n"/>
    </row>
    <row r="209" ht="30" customHeight="1">
      <c r="A209" s="15" t="n">
        <v>207</v>
      </c>
      <c r="B209" s="13" t="inlineStr">
        <is>
          <t>الإدارة المالية</t>
        </is>
      </c>
      <c r="C209" s="21" t="inlineStr">
        <is>
          <t>نسبة التحصيل العام (الشركة)</t>
        </is>
      </c>
      <c r="D209" s="76" t="inlineStr">
        <is>
          <t>يقيس نسبة التحصيل العام (الشركة) ضمن محور «الذمم المدينة»، ويعكس مساهمة الإدارة في ركيزة الاستدامة.</t>
        </is>
      </c>
      <c r="E209" s="11" t="inlineStr">
        <is>
          <t>(المتحقّق ÷ الإجمالي) × 100٪</t>
        </is>
      </c>
      <c r="F209" s="15" t="inlineStr">
        <is>
          <t>🎯 نتيجة</t>
        </is>
      </c>
      <c r="G209" s="11" t="inlineStr">
        <is>
          <t>الاستدامة · جودة التشغيل</t>
        </is>
      </c>
      <c r="H209" s="15" t="inlineStr">
        <is>
          <t>مالي</t>
        </is>
      </c>
      <c r="I209" s="64" t="n">
        <v>0.05</v>
      </c>
      <c r="J209" s="15" t="inlineStr">
        <is>
          <t>المدير المالي</t>
        </is>
      </c>
      <c r="K209" s="11" t="inlineStr">
        <is>
          <t>نظام المحاسبة / ERP (D365)</t>
        </is>
      </c>
      <c r="L209" s="15" t="inlineStr">
        <is>
          <t>شهري</t>
        </is>
      </c>
      <c r="M209" s="15" t="inlineStr">
        <is>
          <t>الإدارة المالية</t>
        </is>
      </c>
      <c r="N209" s="57" t="n"/>
    </row>
    <row r="210" ht="30" customHeight="1">
      <c r="A210" s="15" t="n">
        <v>208</v>
      </c>
      <c r="B210" s="13" t="inlineStr">
        <is>
          <t>الإدارة المالية</t>
        </is>
      </c>
      <c r="C210" s="21" t="inlineStr">
        <is>
          <t>نسبة الذمم المتأخرة</t>
        </is>
      </c>
      <c r="D210" s="76" t="inlineStr">
        <is>
          <t>يقيس نسبة الذمم المتأخرة ضمن محور «الذمم المدينة»، ويعكس مساهمة الإدارة في ركيزة الاستدامة.</t>
        </is>
      </c>
      <c r="E210" s="11" t="inlineStr">
        <is>
          <t>(المتحقّق ÷ الإجمالي) × 100٪</t>
        </is>
      </c>
      <c r="F210" s="15" t="inlineStr">
        <is>
          <t>🔧 تشغيلي</t>
        </is>
      </c>
      <c r="G210" s="11" t="inlineStr">
        <is>
          <t>الاستدامة · جودة التشغيل</t>
        </is>
      </c>
      <c r="H210" s="15" t="inlineStr">
        <is>
          <t>العمليات الداخلية</t>
        </is>
      </c>
      <c r="I210" s="64" t="n">
        <v>0.04</v>
      </c>
      <c r="J210" s="15" t="inlineStr">
        <is>
          <t>المدير المالي</t>
        </is>
      </c>
      <c r="K210" s="11" t="inlineStr">
        <is>
          <t>نظام المحاسبة / ERP (D365)</t>
        </is>
      </c>
      <c r="L210" s="15" t="inlineStr">
        <is>
          <t>شهري</t>
        </is>
      </c>
      <c r="M210" s="15" t="inlineStr">
        <is>
          <t>الإدارة المالية</t>
        </is>
      </c>
      <c r="N210" s="57" t="n"/>
    </row>
    <row r="211" ht="30" customHeight="1">
      <c r="A211" s="15" t="n">
        <v>209</v>
      </c>
      <c r="B211" s="13" t="inlineStr">
        <is>
          <t>الإدارة المالية</t>
        </is>
      </c>
      <c r="C211" s="21" t="inlineStr">
        <is>
          <t>نسبة الديون المعدومة</t>
        </is>
      </c>
      <c r="D211" s="76" t="inlineStr">
        <is>
          <t>يقيس نسبة الديون المعدومة ضمن محور «الذمم المدينة»، ويعكس مساهمة الإدارة في ركيزة الاستدامة.</t>
        </is>
      </c>
      <c r="E211" s="11" t="inlineStr">
        <is>
          <t>(المتحقّق ÷ الإجمالي) × 100٪</t>
        </is>
      </c>
      <c r="F211" s="15" t="inlineStr">
        <is>
          <t>🔧 تشغيلي</t>
        </is>
      </c>
      <c r="G211" s="11" t="inlineStr">
        <is>
          <t>الاستدامة · جودة التشغيل</t>
        </is>
      </c>
      <c r="H211" s="15" t="inlineStr">
        <is>
          <t>العمليات الداخلية</t>
        </is>
      </c>
      <c r="I211" s="64" t="n">
        <v>0.04</v>
      </c>
      <c r="J211" s="15" t="inlineStr">
        <is>
          <t>المدير المالي</t>
        </is>
      </c>
      <c r="K211" s="11" t="inlineStr">
        <is>
          <t>نظام المحاسبة / ERP (D365)</t>
        </is>
      </c>
      <c r="L211" s="15" t="inlineStr">
        <is>
          <t>شهري</t>
        </is>
      </c>
      <c r="M211" s="15" t="inlineStr">
        <is>
          <t>الإدارة المالية</t>
        </is>
      </c>
      <c r="N211" s="57" t="n"/>
    </row>
    <row r="212" ht="30" customHeight="1">
      <c r="A212" s="15" t="n">
        <v>210</v>
      </c>
      <c r="B212" s="13" t="inlineStr">
        <is>
          <t>الإدارة المالية</t>
        </is>
      </c>
      <c r="C212" s="21" t="inlineStr">
        <is>
          <t>سداد الموردين في الموعد</t>
        </is>
      </c>
      <c r="D212" s="76" t="inlineStr">
        <is>
          <t>يقيس سداد الموردين في الموعد ضمن محور «الذمم الدائنة»، ويعكس مساهمة الإدارة في ركيزة الاستدامة.</t>
        </is>
      </c>
      <c r="E212" s="11" t="inlineStr">
        <is>
          <t>(المتحقّق ÷ الإجمالي) × 100٪</t>
        </is>
      </c>
      <c r="F212" s="15" t="inlineStr">
        <is>
          <t>🔧 تشغيلي</t>
        </is>
      </c>
      <c r="G212" s="11" t="inlineStr">
        <is>
          <t>الاستدامة · جودة التشغيل</t>
        </is>
      </c>
      <c r="H212" s="15" t="inlineStr">
        <is>
          <t>مالي</t>
        </is>
      </c>
      <c r="I212" s="64" t="n">
        <v>0.04</v>
      </c>
      <c r="J212" s="15" t="inlineStr">
        <is>
          <t>المدير المالي</t>
        </is>
      </c>
      <c r="K212" s="11" t="inlineStr">
        <is>
          <t>نظام المحاسبة / ERP (D365)</t>
        </is>
      </c>
      <c r="L212" s="15" t="inlineStr">
        <is>
          <t>شهري</t>
        </is>
      </c>
      <c r="M212" s="15" t="inlineStr">
        <is>
          <t>الإدارة المالية</t>
        </is>
      </c>
      <c r="N212" s="57" t="n"/>
    </row>
    <row r="213" ht="30" customHeight="1">
      <c r="A213" s="15" t="n">
        <v>211</v>
      </c>
      <c r="B213" s="13" t="inlineStr">
        <is>
          <t>الإدارة المالية</t>
        </is>
      </c>
      <c r="C213" s="21" t="inlineStr">
        <is>
          <t>اكتمال مطابقة حسابات الموردين</t>
        </is>
      </c>
      <c r="D213" s="76" t="inlineStr">
        <is>
          <t>يقيس اكتمال مطابقة حسابات الموردين ضمن محور «الذمم الدائنة»، ويعكس مساهمة الإدارة في ركيزة الاستدامة.</t>
        </is>
      </c>
      <c r="E213" s="11" t="inlineStr">
        <is>
          <t>(المتحقّق ÷ الإجمالي) × 100٪</t>
        </is>
      </c>
      <c r="F213" s="15" t="inlineStr">
        <is>
          <t>🎯 نتيجة</t>
        </is>
      </c>
      <c r="G213" s="11" t="inlineStr">
        <is>
          <t>الاستدامة · جودة التشغيل</t>
        </is>
      </c>
      <c r="H213" s="15" t="inlineStr">
        <is>
          <t>العمليات الداخلية</t>
        </is>
      </c>
      <c r="I213" s="64" t="n">
        <v>0.04</v>
      </c>
      <c r="J213" s="15" t="inlineStr">
        <is>
          <t>المدير المالي</t>
        </is>
      </c>
      <c r="K213" s="11" t="inlineStr">
        <is>
          <t>نظام المحاسبة / ERP (D365)</t>
        </is>
      </c>
      <c r="L213" s="15" t="inlineStr">
        <is>
          <t>شهري</t>
        </is>
      </c>
      <c r="M213" s="15" t="inlineStr">
        <is>
          <t>الإدارة المالية</t>
        </is>
      </c>
      <c r="N213" s="57" t="n"/>
    </row>
    <row r="214" ht="30" customHeight="1">
      <c r="A214" s="15" t="n">
        <v>212</v>
      </c>
      <c r="B214" s="13" t="inlineStr">
        <is>
          <t>الإدارة المالية</t>
        </is>
      </c>
      <c r="C214" s="21" t="inlineStr">
        <is>
          <t>دقة التنبؤ النقدي</t>
        </is>
      </c>
      <c r="D214" s="76" t="inlineStr">
        <is>
          <t>يقيس دقة التنبؤ النقدي ضمن محور «الخزينة»، ويعكس مساهمة الإدارة في ركيزة الاستدامة.</t>
        </is>
      </c>
      <c r="E214" s="11" t="inlineStr">
        <is>
          <t>(المتحقّق ÷ الإجمالي) × 100٪</t>
        </is>
      </c>
      <c r="F214" s="15" t="inlineStr">
        <is>
          <t>🎯 نتيجة</t>
        </is>
      </c>
      <c r="G214" s="11" t="inlineStr">
        <is>
          <t>الاستدامة · جودة التشغيل</t>
        </is>
      </c>
      <c r="H214" s="15" t="inlineStr">
        <is>
          <t>العمليات الداخلية</t>
        </is>
      </c>
      <c r="I214" s="64" t="n">
        <v>0.04</v>
      </c>
      <c r="J214" s="15" t="inlineStr">
        <is>
          <t>المدير المالي</t>
        </is>
      </c>
      <c r="K214" s="11" t="inlineStr">
        <is>
          <t>نظام المحاسبة / ERP (D365)</t>
        </is>
      </c>
      <c r="L214" s="15" t="inlineStr">
        <is>
          <t>شهري</t>
        </is>
      </c>
      <c r="M214" s="15" t="inlineStr">
        <is>
          <t>الإدارة المالية</t>
        </is>
      </c>
      <c r="N214" s="57" t="n"/>
    </row>
    <row r="215" ht="30" customHeight="1">
      <c r="A215" s="15" t="n">
        <v>213</v>
      </c>
      <c r="B215" s="13" t="inlineStr">
        <is>
          <t>الإدارة المالية</t>
        </is>
      </c>
      <c r="C215" s="21" t="inlineStr">
        <is>
          <t>تباين مخزون الوقود</t>
        </is>
      </c>
      <c r="D215" s="76" t="inlineStr">
        <is>
          <t>يقيس تباين مخزون الوقود ضمن محور «صناعة الوقود»، ويعكس مساهمة الإدارة في ركيزة الاستدامة.</t>
        </is>
      </c>
      <c r="E215" s="11" t="inlineStr">
        <is>
          <t>(المتحقّق ÷ الإجمالي) × 100٪</t>
        </is>
      </c>
      <c r="F215" s="15" t="inlineStr">
        <is>
          <t>🔧 تشغيلي</t>
        </is>
      </c>
      <c r="G215" s="11" t="inlineStr">
        <is>
          <t>الاستدامة · جودة التشغيل</t>
        </is>
      </c>
      <c r="H215" s="15" t="inlineStr">
        <is>
          <t>العمليات الداخلية</t>
        </is>
      </c>
      <c r="I215" s="64" t="n">
        <v>0.04</v>
      </c>
      <c r="J215" s="15" t="inlineStr">
        <is>
          <t>المدير المالي</t>
        </is>
      </c>
      <c r="K215" s="11" t="inlineStr">
        <is>
          <t>نظام تشغيل المحطات</t>
        </is>
      </c>
      <c r="L215" s="15" t="inlineStr">
        <is>
          <t>شهري</t>
        </is>
      </c>
      <c r="M215" s="15" t="inlineStr">
        <is>
          <t>المدير المالي</t>
        </is>
      </c>
      <c r="N215" s="57" t="n"/>
    </row>
    <row r="216" ht="30" customHeight="1">
      <c r="A216" s="15" t="n">
        <v>214</v>
      </c>
      <c r="B216" s="13" t="inlineStr">
        <is>
          <t>الإدارة المالية</t>
        </is>
      </c>
      <c r="C216" s="21" t="inlineStr">
        <is>
          <t>دقة مطابقة المخزون</t>
        </is>
      </c>
      <c r="D216" s="76" t="inlineStr">
        <is>
          <t>يقيس دقة مطابقة المخزون ضمن محور «صناعة الوقود»، ويعكس مساهمة الإدارة في ركيزة الاستدامة.</t>
        </is>
      </c>
      <c r="E216" s="11" t="inlineStr">
        <is>
          <t>(المتحقّق ÷ الإجمالي) × 100٪</t>
        </is>
      </c>
      <c r="F216" s="15" t="inlineStr">
        <is>
          <t>🎯 نتيجة</t>
        </is>
      </c>
      <c r="G216" s="11" t="inlineStr">
        <is>
          <t>الاستدامة · جودة التشغيل</t>
        </is>
      </c>
      <c r="H216" s="15" t="inlineStr">
        <is>
          <t>العمليات الداخلية</t>
        </is>
      </c>
      <c r="I216" s="64" t="n">
        <v>0.03</v>
      </c>
      <c r="J216" s="15" t="inlineStr">
        <is>
          <t>المدير المالي</t>
        </is>
      </c>
      <c r="K216" s="11" t="inlineStr">
        <is>
          <t>نظام إدارة الجودة (QMS)</t>
        </is>
      </c>
      <c r="L216" s="15" t="inlineStr">
        <is>
          <t>شهري</t>
        </is>
      </c>
      <c r="M216" s="15" t="inlineStr">
        <is>
          <t>المدير المالي</t>
        </is>
      </c>
      <c r="N216" s="57" t="n"/>
    </row>
    <row r="217" ht="30" customHeight="1">
      <c r="A217" s="15" t="n">
        <v>215</v>
      </c>
      <c r="B217" s="13" t="inlineStr">
        <is>
          <t>الإدارة المالية</t>
        </is>
      </c>
      <c r="C217" s="21" t="inlineStr">
        <is>
          <t>دقة تسوية أرامكو</t>
        </is>
      </c>
      <c r="D217" s="76" t="inlineStr">
        <is>
          <t>يقيس دقة تسوية أرامكو ضمن محور «صناعة الوقود»، ويعكس مساهمة الإدارة في ركيزة الاستدامة.</t>
        </is>
      </c>
      <c r="E217" s="11" t="inlineStr">
        <is>
          <t>(المتحقّق ÷ الإجمالي) × 100٪</t>
        </is>
      </c>
      <c r="F217" s="15" t="inlineStr">
        <is>
          <t>🎯 نتيجة</t>
        </is>
      </c>
      <c r="G217" s="11" t="inlineStr">
        <is>
          <t>الاستدامة · جودة التشغيل</t>
        </is>
      </c>
      <c r="H217" s="15" t="inlineStr">
        <is>
          <t>العمليات الداخلية</t>
        </is>
      </c>
      <c r="I217" s="64" t="n">
        <v>0.03</v>
      </c>
      <c r="J217" s="15" t="inlineStr">
        <is>
          <t>المدير المالي</t>
        </is>
      </c>
      <c r="K217" s="11" t="inlineStr">
        <is>
          <t>نظام تشغيل المحطات</t>
        </is>
      </c>
      <c r="L217" s="15" t="inlineStr">
        <is>
          <t>شهري</t>
        </is>
      </c>
      <c r="M217" s="15" t="inlineStr">
        <is>
          <t>المدير المالي</t>
        </is>
      </c>
      <c r="N217" s="57" t="n"/>
    </row>
    <row r="218" ht="30" customHeight="1">
      <c r="A218" s="15" t="n">
        <v>216</v>
      </c>
      <c r="B218" s="13" t="inlineStr">
        <is>
          <t>الإدارة المالية</t>
        </is>
      </c>
      <c r="C218" s="21" t="inlineStr">
        <is>
          <t>نسبة تحصيل الامتياز</t>
        </is>
      </c>
      <c r="D218" s="76" t="inlineStr">
        <is>
          <t>يقيس نسبة تحصيل الامتياز ضمن محور «تمويل الامتياز»، ويعكس مساهمة الإدارة في ركيزة النمو.</t>
        </is>
      </c>
      <c r="E218" s="11" t="inlineStr">
        <is>
          <t>(المتحقّق ÷ الإجمالي) × 100٪</t>
        </is>
      </c>
      <c r="F218" s="15" t="inlineStr">
        <is>
          <t>🎯 نتيجة</t>
        </is>
      </c>
      <c r="G218" s="11" t="inlineStr">
        <is>
          <t>النمو · الامتياز التجاري</t>
        </is>
      </c>
      <c r="H218" s="15" t="inlineStr">
        <is>
          <t>مالي</t>
        </is>
      </c>
      <c r="I218" s="64" t="n">
        <v>0.05</v>
      </c>
      <c r="J218" s="15" t="inlineStr">
        <is>
          <t>المدير المالي</t>
        </is>
      </c>
      <c r="K218" s="11" t="inlineStr">
        <is>
          <t>نظام المحاسبة / ERP (D365)</t>
        </is>
      </c>
      <c r="L218" s="15" t="inlineStr">
        <is>
          <t>شهري</t>
        </is>
      </c>
      <c r="M218" s="15" t="inlineStr">
        <is>
          <t>الإدارة المالية</t>
        </is>
      </c>
      <c r="N218" s="57" t="n"/>
    </row>
    <row r="219" ht="30" customHeight="1">
      <c r="A219" s="15" t="n">
        <v>217</v>
      </c>
      <c r="B219" s="13" t="inlineStr">
        <is>
          <t>الإدارة المالية</t>
        </is>
      </c>
      <c r="C219" s="21" t="inlineStr">
        <is>
          <t>أيام تحصيل رسوم الامتياز</t>
        </is>
      </c>
      <c r="D219" s="76" t="inlineStr">
        <is>
          <t>يقيس أيام تحصيل رسوم الامتياز ضمن محور «تمويل الامتياز»، ويعكس مساهمة الإدارة في ركيزة النمو.</t>
        </is>
      </c>
      <c r="E219" s="11" t="inlineStr">
        <is>
          <t>متوسط يوم خلال الفترة</t>
        </is>
      </c>
      <c r="F219" s="15" t="inlineStr">
        <is>
          <t>🎯 نتيجة</t>
        </is>
      </c>
      <c r="G219" s="11" t="inlineStr">
        <is>
          <t>النمو · الامتياز التجاري</t>
        </is>
      </c>
      <c r="H219" s="15" t="inlineStr">
        <is>
          <t>مالي</t>
        </is>
      </c>
      <c r="I219" s="64" t="n">
        <v>0.05</v>
      </c>
      <c r="J219" s="15" t="inlineStr">
        <is>
          <t>المدير المالي</t>
        </is>
      </c>
      <c r="K219" s="11" t="inlineStr">
        <is>
          <t>نظام المحاسبة / ERP (D365)</t>
        </is>
      </c>
      <c r="L219" s="15" t="inlineStr">
        <is>
          <t>شهري</t>
        </is>
      </c>
      <c r="M219" s="15" t="inlineStr">
        <is>
          <t>الإدارة المالية</t>
        </is>
      </c>
      <c r="N219" s="57" t="n"/>
    </row>
    <row r="220" ht="30" customHeight="1">
      <c r="A220" s="15" t="n">
        <v>218</v>
      </c>
      <c r="B220" s="13" t="inlineStr">
        <is>
          <t>الإدارة المالية</t>
        </is>
      </c>
      <c r="C220" s="21" t="inlineStr">
        <is>
          <t>نسبة تحصيل الإيجار</t>
        </is>
      </c>
      <c r="D220" s="76" t="inlineStr">
        <is>
          <t>يقيس نسبة تحصيل الإيجار ضمن محور «العقار والإيجار»، ويعكس مساهمة الإدارة في ركيزة الاستدامة.</t>
        </is>
      </c>
      <c r="E220" s="11" t="inlineStr">
        <is>
          <t>(المتحقّق ÷ الإجمالي) × 100٪</t>
        </is>
      </c>
      <c r="F220" s="15" t="inlineStr">
        <is>
          <t>🎯 نتيجة</t>
        </is>
      </c>
      <c r="G220" s="11" t="inlineStr">
        <is>
          <t>الاستدامة · منظومة التأجير</t>
        </is>
      </c>
      <c r="H220" s="15" t="inlineStr">
        <is>
          <t>مالي</t>
        </is>
      </c>
      <c r="I220" s="64" t="n">
        <v>0.05</v>
      </c>
      <c r="J220" s="15" t="inlineStr">
        <is>
          <t>المدير المالي</t>
        </is>
      </c>
      <c r="K220" s="11" t="inlineStr">
        <is>
          <t>نظام المحاسبة / ERP (D365)</t>
        </is>
      </c>
      <c r="L220" s="15" t="inlineStr">
        <is>
          <t>شهري</t>
        </is>
      </c>
      <c r="M220" s="15" t="inlineStr">
        <is>
          <t>الإدارة المالية</t>
        </is>
      </c>
      <c r="N220" s="57" t="n"/>
    </row>
    <row r="221" ht="30" customHeight="1">
      <c r="A221" s="15" t="n">
        <v>219</v>
      </c>
      <c r="B221" s="13" t="inlineStr">
        <is>
          <t>الإدارة المالية</t>
        </is>
      </c>
      <c r="C221" s="21" t="inlineStr">
        <is>
          <t>معدل تجديد عقود الإيجار</t>
        </is>
      </c>
      <c r="D221" s="76" t="inlineStr">
        <is>
          <t>يقيس معدل تجديد عقود الإيجار ضمن محور «العقار والإيجار»، ويعكس مساهمة الإدارة في ركيزة الاستدامة.</t>
        </is>
      </c>
      <c r="E221" s="11" t="inlineStr">
        <is>
          <t>(المتحقّق ÷ الإجمالي) × 100٪</t>
        </is>
      </c>
      <c r="F221" s="15" t="inlineStr">
        <is>
          <t>🎯 نتيجة</t>
        </is>
      </c>
      <c r="G221" s="11" t="inlineStr">
        <is>
          <t>الاستدامة · منظومة التأجير</t>
        </is>
      </c>
      <c r="H221" s="15" t="inlineStr">
        <is>
          <t>العمليات الداخلية</t>
        </is>
      </c>
      <c r="I221" s="64" t="n">
        <v>0.05</v>
      </c>
      <c r="J221" s="15" t="inlineStr">
        <is>
          <t>المدير المالي</t>
        </is>
      </c>
      <c r="K221" s="11" t="inlineStr">
        <is>
          <t>نظام إدارة العقود (CRM)</t>
        </is>
      </c>
      <c r="L221" s="15" t="inlineStr">
        <is>
          <t>شهري</t>
        </is>
      </c>
      <c r="M221" s="15" t="inlineStr">
        <is>
          <t>المدير المالي</t>
        </is>
      </c>
      <c r="N221" s="57" t="n"/>
    </row>
    <row r="222" ht="30" customHeight="1">
      <c r="A222" s="15" t="n">
        <v>220</v>
      </c>
      <c r="B222" s="13" t="inlineStr">
        <is>
          <t>الإدارة المالية</t>
        </is>
      </c>
      <c r="C222" s="21" t="inlineStr">
        <is>
          <t>انحراف الموازنة</t>
        </is>
      </c>
      <c r="D222" s="76" t="inlineStr">
        <is>
          <t>يقيس انحراف الموازنة ضمن محور «الموازنة والتقارير»، ويعكس مساهمة الإدارة في ركيزة الاستدامة.</t>
        </is>
      </c>
      <c r="E222" s="11" t="inlineStr">
        <is>
          <t>(المتحقّق ÷ الإجمالي) × 100٪</t>
        </is>
      </c>
      <c r="F222" s="15" t="inlineStr">
        <is>
          <t>🔧 تشغيلي</t>
        </is>
      </c>
      <c r="G222" s="11" t="inlineStr">
        <is>
          <t>الاستدامة · جودة التشغيل</t>
        </is>
      </c>
      <c r="H222" s="15" t="inlineStr">
        <is>
          <t>العمليات الداخلية</t>
        </is>
      </c>
      <c r="I222" s="64" t="n">
        <v>0.03</v>
      </c>
      <c r="J222" s="15" t="inlineStr">
        <is>
          <t>المدير المالي</t>
        </is>
      </c>
      <c r="K222" s="11" t="inlineStr">
        <is>
          <t>نظام المحاسبة / ERP (D365)</t>
        </is>
      </c>
      <c r="L222" s="15" t="inlineStr">
        <is>
          <t>ربعي</t>
        </is>
      </c>
      <c r="M222" s="15" t="inlineStr">
        <is>
          <t>الإدارة المالية</t>
        </is>
      </c>
      <c r="N222" s="57" t="n"/>
    </row>
    <row r="223" ht="30" customHeight="1">
      <c r="A223" s="15" t="n">
        <v>221</v>
      </c>
      <c r="B223" s="13" t="inlineStr">
        <is>
          <t>الإدارة المالية</t>
        </is>
      </c>
      <c r="C223" s="21" t="inlineStr">
        <is>
          <t>أيام الإقفال الشهري</t>
        </is>
      </c>
      <c r="D223" s="76" t="inlineStr">
        <is>
          <t>يقيس أيام الإقفال الشهري ضمن محور «الموازنة والتقارير»، ويعكس مساهمة الإدارة في ركيزة الاستدامة.</t>
        </is>
      </c>
      <c r="E223" s="11" t="inlineStr">
        <is>
          <t>متوسط يوم خلال الفترة</t>
        </is>
      </c>
      <c r="F223" s="15" t="inlineStr">
        <is>
          <t>🔧 تشغيلي</t>
        </is>
      </c>
      <c r="G223" s="11" t="inlineStr">
        <is>
          <t>الاستدامة · جودة التشغيل</t>
        </is>
      </c>
      <c r="H223" s="15" t="inlineStr">
        <is>
          <t>العمليات الداخلية</t>
        </is>
      </c>
      <c r="I223" s="64" t="n">
        <v>0.03</v>
      </c>
      <c r="J223" s="15" t="inlineStr">
        <is>
          <t>المدير المالي</t>
        </is>
      </c>
      <c r="K223" s="11" t="inlineStr">
        <is>
          <t>نظام المحاسبة / ERP (D365)</t>
        </is>
      </c>
      <c r="L223" s="15" t="inlineStr">
        <is>
          <t>شهري</t>
        </is>
      </c>
      <c r="M223" s="15" t="inlineStr">
        <is>
          <t>الإدارة المالية</t>
        </is>
      </c>
      <c r="N223" s="57" t="n"/>
    </row>
    <row r="224" ht="30" customHeight="1">
      <c r="A224" s="15" t="n">
        <v>222</v>
      </c>
      <c r="B224" s="13" t="inlineStr">
        <is>
          <t>الإدارة المالية</t>
        </is>
      </c>
      <c r="C224" s="21" t="inlineStr">
        <is>
          <t>نسبة تسويات التدقيق</t>
        </is>
      </c>
      <c r="D224" s="76" t="inlineStr">
        <is>
          <t>يقيس نسبة تسويات التدقيق ضمن محور «الموازنة والتقارير»، ويعكس مساهمة الإدارة في ركيزة الاستدامة.</t>
        </is>
      </c>
      <c r="E224" s="11" t="inlineStr">
        <is>
          <t>(المتحقّق ÷ الإجمالي) × 100٪</t>
        </is>
      </c>
      <c r="F224" s="15" t="inlineStr">
        <is>
          <t>🔧 تشغيلي</t>
        </is>
      </c>
      <c r="G224" s="11" t="inlineStr">
        <is>
          <t>الاستدامة · جودة التشغيل</t>
        </is>
      </c>
      <c r="H224" s="15" t="inlineStr">
        <is>
          <t>العمليات الداخلية</t>
        </is>
      </c>
      <c r="I224" s="64" t="n">
        <v>0.03</v>
      </c>
      <c r="J224" s="15" t="inlineStr">
        <is>
          <t>المدير المالي</t>
        </is>
      </c>
      <c r="K224" s="11" t="inlineStr">
        <is>
          <t>نظام المحاسبة / ERP (D365)</t>
        </is>
      </c>
      <c r="L224" s="15" t="inlineStr">
        <is>
          <t>ربعي</t>
        </is>
      </c>
      <c r="M224" s="15" t="inlineStr">
        <is>
          <t>الإدارة المالية</t>
        </is>
      </c>
      <c r="N224" s="57" t="n"/>
    </row>
  </sheetData>
  <autoFilter ref="A2:N224"/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1"/>
    <pageSetUpPr/>
  </sheetPr>
  <dimension ref="A1:R16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الإدارة التنفيذية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4" customHeight="1">
      <c r="B4" s="78" t="inlineStr">
        <is>
          <t>النمو</t>
        </is>
      </c>
      <c r="C4" s="79" t="inlineStr">
        <is>
          <t>📊 مؤشر النمو العام</t>
        </is>
      </c>
      <c r="D4" s="80" t="n"/>
      <c r="E4" s="80" t="n"/>
      <c r="F4" s="81" t="inlineStr">
        <is>
          <t>🔷 أساسي</t>
        </is>
      </c>
      <c r="G4" s="82" t="n">
        <v>0.44</v>
      </c>
      <c r="H4" s="80" t="n"/>
      <c r="I4" s="80" t="n"/>
      <c r="J4" s="80" t="n"/>
      <c r="K4" s="80" t="n"/>
      <c r="L4" s="80" t="n"/>
      <c r="M4" s="80" t="n"/>
      <c r="N4" s="83">
        <f>IFERROR(SUMIFS('قاعدة المؤشرات'!$J:$J,'قاعدة المؤشرات'!$B:$B,"الإدارة التنفيذية",'قاعدة المؤشرات'!$L:$L,"النمو")/SUMIFS('قاعدة المؤشرات'!$K:$K,'قاعدة المؤشرات'!$B:$B,"الإدارة التنفيذية",'قاعدة المؤشرات'!$L:$L,"النمو"),"")</f>
        <v/>
      </c>
      <c r="O4" s="84">
        <f>IF($N4="","⏳ بانتظار هدف",IF($N4&gt;=1,"✅ محقق",IF($N4&gt;=0.85,"🟡 قريب","🔴 تحت الهدف")))</f>
        <v/>
      </c>
      <c r="P4" s="80" t="n"/>
      <c r="Q4" s="80" t="n"/>
      <c r="R4" s="80" t="n"/>
    </row>
    <row r="5" outlineLevel="1" ht="26" customHeight="1">
      <c r="A5" s="20" t="n">
        <v>1</v>
      </c>
      <c r="B5" s="21" t="inlineStr">
        <is>
          <t>النمو</t>
        </is>
      </c>
      <c r="C5" s="21" t="inlineStr">
        <is>
          <t>إجمالي المحطات المشغّلة — الشركة (تراكمي)</t>
        </is>
      </c>
      <c r="D5" s="55" t="inlineStr">
        <is>
          <t>محطة</t>
        </is>
      </c>
      <c r="E5" s="55" t="inlineStr">
        <is>
          <t>↑</t>
        </is>
      </c>
      <c r="F5" s="15" t="inlineStr">
        <is>
          <t>🔴 رئيسي</t>
        </is>
      </c>
      <c r="G5" s="64" t="n">
        <v>0.12</v>
      </c>
      <c r="H5" s="60" t="n">
        <v>235</v>
      </c>
      <c r="I5" s="22" t="inlineStr">
        <is>
          <t>≥ 235 محطة</t>
        </is>
      </c>
      <c r="J5" s="85" t="inlineStr">
        <is>
          <t>النمو</t>
        </is>
      </c>
      <c r="K5" s="11" t="inlineStr">
        <is>
          <t>التوسع في المواقع</t>
        </is>
      </c>
      <c r="L5" s="15" t="inlineStr">
        <is>
          <t>العمليات الداخلية</t>
        </is>
      </c>
      <c r="M5" s="61" t="n">
        <v>206.1</v>
      </c>
      <c r="N5" s="10">
        <f>IF($H5="","",IF($M5="","",MIN(1,IF($H5=0,IF($M5&lt;=0,1,0),IF($E5="↓",IFERROR($H5/$M5,0),IFERROR($M5/$H5,0))))))</f>
        <v/>
      </c>
      <c r="O5" s="20">
        <f>IF($N5="","⏳ بانتظار هدف",IF($N5&gt;=1.0,"✅ محقق",IF($N5&gt;=0.85,"🟡 قريب","🔴 تحت الهدف")))</f>
        <v/>
      </c>
      <c r="P5" s="86" t="inlineStr">
        <is>
          <t>مجموع «المحطات المشغّلة — الشركة» خلال الفترة</t>
        </is>
      </c>
      <c r="Q5" s="86" t="inlineStr">
        <is>
          <t>نظام تشغيل المحطات</t>
        </is>
      </c>
      <c r="R5" s="15" t="inlineStr">
        <is>
          <t>شهري</t>
        </is>
      </c>
    </row>
    <row r="6" outlineLevel="1" ht="26" customHeight="1">
      <c r="A6" s="20" t="n">
        <v>2</v>
      </c>
      <c r="B6" s="21" t="inlineStr">
        <is>
          <t>النمو</t>
        </is>
      </c>
      <c r="C6" s="21" t="inlineStr">
        <is>
          <t>إجمالي العقود الجديدة — الشركة</t>
        </is>
      </c>
      <c r="D6" s="55" t="inlineStr">
        <is>
          <t>عقد</t>
        </is>
      </c>
      <c r="E6" s="55" t="inlineStr">
        <is>
          <t>↑</t>
        </is>
      </c>
      <c r="F6" s="15" t="inlineStr">
        <is>
          <t>🔴 رئيسي</t>
        </is>
      </c>
      <c r="G6" s="64" t="n">
        <v>0.12</v>
      </c>
      <c r="H6" s="60" t="n">
        <v>357</v>
      </c>
      <c r="I6" s="22" t="inlineStr">
        <is>
          <t>357 عقد</t>
        </is>
      </c>
      <c r="J6" s="85" t="inlineStr">
        <is>
          <t>النمو</t>
        </is>
      </c>
      <c r="K6" s="11" t="inlineStr">
        <is>
          <t>الامتياز التجاري</t>
        </is>
      </c>
      <c r="L6" s="15" t="inlineStr">
        <is>
          <t>العمليات الداخلية</t>
        </is>
      </c>
      <c r="M6" s="61" t="n">
        <v>346.6</v>
      </c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محقق",IF($N6&gt;=0.85,"🟡 قريب","🔴 تحت الهدف")))</f>
        <v/>
      </c>
      <c r="P6" s="86" t="inlineStr">
        <is>
          <t>مجموع «العقود الجديدة — الشركة» خلال الفترة</t>
        </is>
      </c>
      <c r="Q6" s="86" t="inlineStr">
        <is>
          <t>نظام إدارة العقود (CRM)</t>
        </is>
      </c>
      <c r="R6" s="15" t="inlineStr">
        <is>
          <t>شهري</t>
        </is>
      </c>
    </row>
    <row r="7" outlineLevel="1" ht="26" customHeight="1">
      <c r="A7" s="20" t="n">
        <v>3</v>
      </c>
      <c r="B7" s="21" t="inlineStr">
        <is>
          <t>النمو</t>
        </is>
      </c>
      <c r="C7" s="21" t="inlineStr">
        <is>
          <t>نسبة نمو إيرادات الشركة (سنوي)</t>
        </is>
      </c>
      <c r="D7" s="55" t="inlineStr">
        <is>
          <t>%</t>
        </is>
      </c>
      <c r="E7" s="55" t="inlineStr">
        <is>
          <t>↑</t>
        </is>
      </c>
      <c r="F7" s="15" t="inlineStr">
        <is>
          <t>🔴 رئيسي</t>
        </is>
      </c>
      <c r="G7" s="64" t="n">
        <v>0.12</v>
      </c>
      <c r="H7" s="64" t="n">
        <v>0.15</v>
      </c>
      <c r="I7" s="22" t="inlineStr">
        <is>
          <t>≥ 15%</t>
        </is>
      </c>
      <c r="J7" s="85" t="inlineStr">
        <is>
          <t>النمو</t>
        </is>
      </c>
      <c r="K7" s="11" t="inlineStr">
        <is>
          <t>زيادة وصول العملاء</t>
        </is>
      </c>
      <c r="L7" s="15" t="inlineStr">
        <is>
          <t>مالي</t>
        </is>
      </c>
      <c r="M7" s="65" t="n">
        <v>0.122</v>
      </c>
      <c r="N7" s="10">
        <f>IF($H7="","",IF($M7="","",MIN(1,IF($H7=0,IF($M7&lt;=0,1,0),IF($E7="↓",IFERROR($H7/$M7,0),IFERROR($M7/$H7,0))))))</f>
        <v/>
      </c>
      <c r="O7" s="20">
        <f>IF($N7="","⏳ بانتظار هدف",IF($N7&gt;=1.0,"✅ محقق",IF($N7&gt;=0.85,"🟡 قريب","🔴 تحت الهدف")))</f>
        <v/>
      </c>
      <c r="P7" s="86" t="inlineStr">
        <is>
          <t>قيمة/عدد المتحقّق من «نمو إيرادات الشركة» ÷ الإجمالي المستهدف لنفس البند × 100٪</t>
        </is>
      </c>
      <c r="Q7" s="86" t="inlineStr">
        <is>
          <t>نظام المحاسبة / ERP (D365)</t>
        </is>
      </c>
      <c r="R7" s="15" t="inlineStr">
        <is>
          <t>شهري</t>
        </is>
      </c>
    </row>
    <row r="8" ht="24" customHeight="1">
      <c r="B8" s="78" t="inlineStr">
        <is>
          <t>الابتكار</t>
        </is>
      </c>
      <c r="C8" s="79" t="inlineStr">
        <is>
          <t>📊 مؤشر الابتكار العام</t>
        </is>
      </c>
      <c r="D8" s="80" t="n"/>
      <c r="E8" s="80" t="n"/>
      <c r="F8" s="81" t="inlineStr">
        <is>
          <t>🔷 أساسي</t>
        </is>
      </c>
      <c r="G8" s="82" t="n">
        <v>0.16</v>
      </c>
      <c r="H8" s="80" t="n"/>
      <c r="I8" s="80" t="n"/>
      <c r="J8" s="80" t="n"/>
      <c r="K8" s="80" t="n"/>
      <c r="L8" s="80" t="n"/>
      <c r="M8" s="80" t="n"/>
      <c r="N8" s="83">
        <f>IFERROR(SUMIFS('قاعدة المؤشرات'!$J:$J,'قاعدة المؤشرات'!$B:$B,"الإدارة التنفيذية",'قاعدة المؤشرات'!$L:$L,"الابتكار")/SUMIFS('قاعدة المؤشرات'!$K:$K,'قاعدة المؤشرات'!$B:$B,"الإدارة التنفيذية",'قاعدة المؤشرات'!$L:$L,"الابتكار"),"")</f>
        <v/>
      </c>
      <c r="O8" s="84">
        <f>IF($N8="","⏳ بانتظار هدف",IF($N8&gt;=1,"✅ محقق",IF($N8&gt;=0.85,"🟡 قريب","🔴 تحت الهدف")))</f>
        <v/>
      </c>
      <c r="P8" s="80" t="n"/>
      <c r="Q8" s="80" t="n"/>
      <c r="R8" s="80" t="n"/>
    </row>
    <row r="9" outlineLevel="1" ht="26" customHeight="1">
      <c r="A9" s="20" t="n">
        <v>4</v>
      </c>
      <c r="B9" s="21" t="inlineStr">
        <is>
          <t>الابتكار</t>
        </is>
      </c>
      <c r="C9" s="21" t="inlineStr">
        <is>
          <t>نسبة إنجاز مشاريع الخارطة التنفيذية</t>
        </is>
      </c>
      <c r="D9" s="55" t="inlineStr">
        <is>
          <t>%</t>
        </is>
      </c>
      <c r="E9" s="55" t="inlineStr">
        <is>
          <t>↑</t>
        </is>
      </c>
      <c r="F9" s="15" t="inlineStr">
        <is>
          <t>🟠 مهم</t>
        </is>
      </c>
      <c r="G9" s="64" t="n">
        <v>0.08</v>
      </c>
      <c r="H9" s="64" t="n">
        <v>1</v>
      </c>
      <c r="I9" s="22" t="inlineStr">
        <is>
          <t>100%</t>
        </is>
      </c>
      <c r="J9" s="85" t="inlineStr">
        <is>
          <t>الابتكار</t>
        </is>
      </c>
      <c r="K9" s="11" t="inlineStr">
        <is>
          <t>إطلاق مشاريع جديدة</t>
        </is>
      </c>
      <c r="L9" s="15" t="inlineStr">
        <is>
          <t>العمليات الداخلية</t>
        </is>
      </c>
      <c r="M9" s="65" t="n">
        <v>0.906</v>
      </c>
      <c r="N9" s="10">
        <f>IF($H9="","",IF($M9="","",MIN(1,IF($H9=0,IF($M9&lt;=0,1,0),IF($E9="↓",IFERROR($H9/$M9,0),IFERROR($M9/$H9,0))))))</f>
        <v/>
      </c>
      <c r="O9" s="20">
        <f>IF($N9="","⏳ بانتظار هدف",IF($N9&gt;=1.0,"✅ محقق",IF($N9&gt;=0.85,"🟡 قريب","🔴 تحت الهدف")))</f>
        <v/>
      </c>
      <c r="P9" s="86" t="inlineStr">
        <is>
          <t>قيمة/عدد المتحقّق من «إنجاز مشاريع الخارطة التنفيذية» ÷ الإجمالي المستهدف لنفس البند × 100٪</t>
        </is>
      </c>
      <c r="Q9" s="86" t="inlineStr">
        <is>
          <t>سجلات الإدارة</t>
        </is>
      </c>
      <c r="R9" s="15" t="inlineStr">
        <is>
          <t>شهري</t>
        </is>
      </c>
    </row>
    <row r="10" outlineLevel="1" ht="26" customHeight="1">
      <c r="A10" s="20" t="n">
        <v>5</v>
      </c>
      <c r="B10" s="21" t="inlineStr">
        <is>
          <t>الابتكار</t>
        </is>
      </c>
      <c r="C10" s="21" t="inlineStr">
        <is>
          <t>نسبة التحول الرقمي على مستوى الشركة</t>
        </is>
      </c>
      <c r="D10" s="55" t="inlineStr">
        <is>
          <t>%</t>
        </is>
      </c>
      <c r="E10" s="55" t="inlineStr">
        <is>
          <t>↑</t>
        </is>
      </c>
      <c r="F10" s="15" t="inlineStr">
        <is>
          <t>🟠 مهم</t>
        </is>
      </c>
      <c r="G10" s="64" t="n">
        <v>0.08</v>
      </c>
      <c r="H10" s="64" t="n">
        <v>0.9</v>
      </c>
      <c r="I10" s="22" t="inlineStr">
        <is>
          <t>≥ 90%</t>
        </is>
      </c>
      <c r="J10" s="85" t="inlineStr">
        <is>
          <t>الابتكار</t>
        </is>
      </c>
      <c r="K10" s="11" t="inlineStr">
        <is>
          <t>التحول التقني</t>
        </is>
      </c>
      <c r="L10" s="15" t="inlineStr">
        <is>
          <t>التعلّم والنمو</t>
        </is>
      </c>
      <c r="M10" s="65" t="n">
        <v>0.9389999999999999</v>
      </c>
      <c r="N10" s="10">
        <f>IF($H10="","",IF($M10="","",MIN(1,IF($H10=0,IF($M10&lt;=0,1,0),IF($E10="↓",IFERROR($H10/$M10,0),IFERROR($M10/$H10,0))))))</f>
        <v/>
      </c>
      <c r="O10" s="20">
        <f>IF($N10="","⏳ بانتظار هدف",IF($N10&gt;=1.0,"✅ محقق",IF($N10&gt;=0.85,"🟡 قريب","🔴 تحت الهدف")))</f>
        <v/>
      </c>
      <c r="P10" s="86" t="inlineStr">
        <is>
          <t>قيمة/عدد المتحقّق من «التحول الرقمي على مستوى الشركة» ÷ الإجمالي المستهدف لنفس البند × 100٪</t>
        </is>
      </c>
      <c r="Q10" s="86" t="inlineStr">
        <is>
          <t>سجلات الإدارة</t>
        </is>
      </c>
      <c r="R10" s="15" t="inlineStr">
        <is>
          <t>شهري</t>
        </is>
      </c>
    </row>
    <row r="11" ht="24" customHeight="1">
      <c r="B11" s="78" t="inlineStr">
        <is>
          <t>الاستدامة</t>
        </is>
      </c>
      <c r="C11" s="79" t="inlineStr">
        <is>
          <t>📊 مؤشر الاستدامة العام</t>
        </is>
      </c>
      <c r="D11" s="80" t="n"/>
      <c r="E11" s="80" t="n"/>
      <c r="F11" s="81" t="inlineStr">
        <is>
          <t>🔷 أساسي</t>
        </is>
      </c>
      <c r="G11" s="82" t="n">
        <v>0.32</v>
      </c>
      <c r="H11" s="80" t="n"/>
      <c r="I11" s="80" t="n"/>
      <c r="J11" s="80" t="n"/>
      <c r="K11" s="80" t="n"/>
      <c r="L11" s="80" t="n"/>
      <c r="M11" s="80" t="n"/>
      <c r="N11" s="83">
        <f>IFERROR(SUMIFS('قاعدة المؤشرات'!$J:$J,'قاعدة المؤشرات'!$B:$B,"الإدارة التنفيذية",'قاعدة المؤشرات'!$L:$L,"الاستدامة")/SUMIFS('قاعدة المؤشرات'!$K:$K,'قاعدة المؤشرات'!$B:$B,"الإدارة التنفيذية",'قاعدة المؤشرات'!$L:$L,"الاستدامة"),"")</f>
        <v/>
      </c>
      <c r="O11" s="84">
        <f>IF($N11="","⏳ بانتظار هدف",IF($N11&gt;=1,"✅ محقق",IF($N11&gt;=0.85,"🟡 قريب","🔴 تحت الهدف")))</f>
        <v/>
      </c>
      <c r="P11" s="80" t="n"/>
      <c r="Q11" s="80" t="n"/>
      <c r="R11" s="80" t="n"/>
    </row>
    <row r="12" outlineLevel="1" ht="26" customHeight="1">
      <c r="A12" s="20" t="n">
        <v>6</v>
      </c>
      <c r="B12" s="21" t="inlineStr">
        <is>
          <t>الاستدامة</t>
        </is>
      </c>
      <c r="C12" s="21" t="inlineStr">
        <is>
          <t>مؤشر رضا العملاء العام (الشركة)</t>
        </is>
      </c>
      <c r="D12" s="55" t="inlineStr">
        <is>
          <t>%</t>
        </is>
      </c>
      <c r="E12" s="55" t="inlineStr">
        <is>
          <t>↑</t>
        </is>
      </c>
      <c r="F12" s="15" t="inlineStr">
        <is>
          <t>🔴 رئيسي</t>
        </is>
      </c>
      <c r="G12" s="64" t="n">
        <v>0.12</v>
      </c>
      <c r="H12" s="64" t="n">
        <v>0.9</v>
      </c>
      <c r="I12" s="22" t="inlineStr">
        <is>
          <t>≥ 90%</t>
        </is>
      </c>
      <c r="J12" s="85" t="inlineStr">
        <is>
          <t>الاستدامة</t>
        </is>
      </c>
      <c r="K12" s="11" t="inlineStr">
        <is>
          <t>تعزيز تجربة العملاء</t>
        </is>
      </c>
      <c r="L12" s="15" t="inlineStr">
        <is>
          <t>العملاء</t>
        </is>
      </c>
      <c r="M12" s="65" t="n">
        <v>0.922</v>
      </c>
      <c r="N12" s="10">
        <f>IF($H12="","",IF($M12="","",MIN(1,IF($H12=0,IF($M12&lt;=0,1,0),IF($E12="↓",IFERROR($H12/$M12,0),IFERROR($M12/$H12,0))))))</f>
        <v/>
      </c>
      <c r="O12" s="20">
        <f>IF($N12="","⏳ بانتظار هدف",IF($N12&gt;=0.9,"✅ محقق",IF($N12&gt;=0.75,"🟡 قريب","🔴 تحت الهدف")))</f>
        <v/>
      </c>
      <c r="P12" s="86" t="inlineStr">
        <is>
          <t>القيمة المتحقّقة من «مؤشر رضا العملاء العام» ÷ المستهدف × 100٪</t>
        </is>
      </c>
      <c r="Q12" s="86" t="inlineStr">
        <is>
          <t>استبيان دوري</t>
        </is>
      </c>
      <c r="R12" s="15" t="inlineStr">
        <is>
          <t>ربعي</t>
        </is>
      </c>
    </row>
    <row r="13" outlineLevel="1" ht="26" customHeight="1">
      <c r="A13" s="20" t="n">
        <v>7</v>
      </c>
      <c r="B13" s="21" t="inlineStr">
        <is>
          <t>الاستدامة</t>
        </is>
      </c>
      <c r="C13" s="21" t="inlineStr">
        <is>
          <t>مؤشر رضا الموظفين العام (eNPS)</t>
        </is>
      </c>
      <c r="D13" s="55" t="inlineStr">
        <is>
          <t>نقطة</t>
        </is>
      </c>
      <c r="E13" s="55" t="inlineStr">
        <is>
          <t>↑</t>
        </is>
      </c>
      <c r="F13" s="15" t="inlineStr">
        <is>
          <t>🔴 رئيسي</t>
        </is>
      </c>
      <c r="G13" s="64" t="n">
        <v>0.12</v>
      </c>
      <c r="H13" s="67" t="n">
        <v>30</v>
      </c>
      <c r="I13" s="22" t="inlineStr">
        <is>
          <t>≥ 30</t>
        </is>
      </c>
      <c r="J13" s="85" t="inlineStr">
        <is>
          <t>الاستدامة</t>
        </is>
      </c>
      <c r="K13" s="11" t="inlineStr">
        <is>
          <t>الاستثمار في الموظفين</t>
        </is>
      </c>
      <c r="L13" s="15" t="inlineStr">
        <is>
          <t>التعلّم والنمو</t>
        </is>
      </c>
      <c r="M13" s="68" t="n">
        <v>22.5</v>
      </c>
      <c r="N13" s="10">
        <f>IF($H13="","",IF($M13="","",MIN(1,IF($H13=0,IF($M13&lt;=0,1,0),IF($E13="↓",IFERROR($H13/$M13,0),IFERROR($M13/$H13,0))))))</f>
        <v/>
      </c>
      <c r="O13" s="20">
        <f>IF($N13="","⏳ بانتظار هدف",IF($N13&gt;=0.9,"✅ محقق",IF($N13&gt;=0.75,"🟡 قريب","🔴 تحت الهدف")))</f>
        <v/>
      </c>
      <c r="P13" s="86" t="inlineStr">
        <is>
          <t>٪ الموظفين المروّجين − ٪ المنتقدين (مقياس eNPS)</t>
        </is>
      </c>
      <c r="Q13" s="86" t="inlineStr">
        <is>
          <t>استبيان دوري</t>
        </is>
      </c>
      <c r="R13" s="15" t="inlineStr">
        <is>
          <t>ربعي</t>
        </is>
      </c>
    </row>
    <row r="14" outlineLevel="1" ht="26" customHeight="1">
      <c r="A14" s="20" t="n">
        <v>8</v>
      </c>
      <c r="B14" s="21" t="inlineStr">
        <is>
          <t>الاستدامة</t>
        </is>
      </c>
      <c r="C14" s="21" t="inlineStr">
        <is>
          <t>نسبة تحقيق المستهدفات الاستراتيجية العامة</t>
        </is>
      </c>
      <c r="D14" s="55" t="inlineStr">
        <is>
          <t>%</t>
        </is>
      </c>
      <c r="E14" s="55" t="inlineStr">
        <is>
          <t>↑</t>
        </is>
      </c>
      <c r="F14" s="15" t="inlineStr">
        <is>
          <t>🟠 مهم</t>
        </is>
      </c>
      <c r="G14" s="64" t="n">
        <v>0.08</v>
      </c>
      <c r="H14" s="64" t="n">
        <v>1</v>
      </c>
      <c r="I14" s="22" t="inlineStr">
        <is>
          <t>100%</t>
        </is>
      </c>
      <c r="J14" s="85" t="inlineStr">
        <is>
          <t>الاستدامة</t>
        </is>
      </c>
      <c r="K14" s="11" t="inlineStr">
        <is>
          <t>جودة التشغيل</t>
        </is>
      </c>
      <c r="L14" s="15" t="inlineStr">
        <is>
          <t>العمليات الداخلية</t>
        </is>
      </c>
      <c r="M14" s="65" t="n">
        <v>0.85</v>
      </c>
      <c r="N14" s="10">
        <f>IF($H14="","",IF($M14="","",MIN(1,IF($H14=0,IF($M14&lt;=0,1,0),IF($E14="↓",IFERROR($H14/$M14,0),IFERROR($M14/$H14,0))))))</f>
        <v/>
      </c>
      <c r="O14" s="20">
        <f>IF($N14="","⏳ بانتظار هدف",IF($N14&gt;=1.0,"✅ محقق",IF($N14&gt;=0.85,"🟡 قريب","🔴 تحت الهدف")))</f>
        <v/>
      </c>
      <c r="P14" s="86" t="inlineStr">
        <is>
          <t>قيمة/عدد المتحقّق من «تحقيق المستهدفات الاستراتيجية العامة» ÷ الإجمالي المستهدف لنفس البند × 100٪</t>
        </is>
      </c>
      <c r="Q14" s="86" t="inlineStr">
        <is>
          <t>نظام إدارة القضايا والتحقيقات</t>
        </is>
      </c>
      <c r="R14" s="15" t="inlineStr">
        <is>
          <t>شهري</t>
        </is>
      </c>
    </row>
    <row r="15" ht="26" customHeight="1">
      <c r="A15" s="20" t="n">
        <v>9</v>
      </c>
      <c r="B15" s="21" t="inlineStr">
        <is>
          <t>الحوكمة</t>
        </is>
      </c>
      <c r="C15" s="21" t="inlineStr">
        <is>
          <t>نسبة الالتزام بإطار الحوكمة المؤسسية والامتثال التنظيمي</t>
        </is>
      </c>
      <c r="D15" s="55" t="inlineStr">
        <is>
          <t>%</t>
        </is>
      </c>
      <c r="E15" s="55" t="inlineStr">
        <is>
          <t>↑</t>
        </is>
      </c>
      <c r="F15" s="15" t="inlineStr">
        <is>
          <t>🟠 مهم</t>
        </is>
      </c>
      <c r="G15" s="64" t="n">
        <v>0.08</v>
      </c>
      <c r="H15" s="64" t="n">
        <v>0.95</v>
      </c>
      <c r="I15" s="22" t="inlineStr">
        <is>
          <t>≥ 95%</t>
        </is>
      </c>
      <c r="J15" s="85" t="inlineStr">
        <is>
          <t>الاستدامة</t>
        </is>
      </c>
      <c r="K15" s="11" t="inlineStr">
        <is>
          <t>جودة التشغيل</t>
        </is>
      </c>
      <c r="L15" s="15" t="inlineStr">
        <is>
          <t>العمليات الداخلية</t>
        </is>
      </c>
      <c r="M15" s="65" t="n">
        <v>0.729</v>
      </c>
      <c r="N15" s="10">
        <f>IF($H15="","",IF($M15="","",MIN(1,IF($H15=0,IF($M15&lt;=0,1,0),IF($E15="↓",IFERROR($H15/$M15,0),IFERROR($M15/$H15,0))))))</f>
        <v/>
      </c>
      <c r="O15" s="20">
        <f>IF($N15="","⏳ بانتظار هدف",IF($N15&gt;=1.0,"✅ محقق",IF($N15&gt;=0.97,"🟡 قريب","🔴 تحت الهدف")))</f>
        <v/>
      </c>
      <c r="P15" s="86" t="inlineStr">
        <is>
          <t>قيمة/عدد المتحقّق من «الالتزام بإطار الحوكمة المؤسسية والامتثال التنظيمي» ÷ الإجمالي المستهدف لنفس البند × 100٪</t>
        </is>
      </c>
      <c r="Q15" s="86" t="inlineStr">
        <is>
          <t>نظام إدارة الجودة (QMS)</t>
        </is>
      </c>
      <c r="R15" s="15" t="inlineStr">
        <is>
          <t>شهري</t>
        </is>
      </c>
    </row>
    <row r="16" outlineLevel="1" ht="26" customHeight="1">
      <c r="A16" s="20" t="n">
        <v>10</v>
      </c>
      <c r="B16" s="21" t="inlineStr">
        <is>
          <t>النمو</t>
        </is>
      </c>
      <c r="C16" s="21" t="inlineStr">
        <is>
          <t>الالتزام بمعايير وزارة الطاقة (تغطية 13 منطقة)</t>
        </is>
      </c>
      <c r="D16" s="55" t="inlineStr">
        <is>
          <t>%</t>
        </is>
      </c>
      <c r="E16" s="55" t="inlineStr">
        <is>
          <t>↑</t>
        </is>
      </c>
      <c r="F16" s="15" t="inlineStr">
        <is>
          <t>🟠 مهم</t>
        </is>
      </c>
      <c r="G16" s="64" t="n">
        <v>0.08</v>
      </c>
      <c r="H16" s="64" t="n">
        <v>1</v>
      </c>
      <c r="I16" s="22" t="inlineStr">
        <is>
          <t>100%</t>
        </is>
      </c>
      <c r="J16" s="85" t="inlineStr">
        <is>
          <t>النمو</t>
        </is>
      </c>
      <c r="K16" s="11" t="inlineStr">
        <is>
          <t>التوسع في المواقع</t>
        </is>
      </c>
      <c r="L16" s="15" t="inlineStr">
        <is>
          <t>العمليات الداخلية</t>
        </is>
      </c>
      <c r="M16" s="65" t="n">
        <v>0.749</v>
      </c>
      <c r="N16" s="10">
        <f>IF($H16="","",IF($M16="","",MIN(1,IF($H16=0,IF($M16&lt;=0,1,0),IF($E16="↓",IFERROR($H16/$M16,0),IFERROR($M16/$H16,0))))))</f>
        <v/>
      </c>
      <c r="O16" s="20">
        <f>IF($N16="","⏳ بانتظار هدف",IF($N16&gt;=1.0,"✅ محقق",IF($N16&gt;=0.85,"🟡 قريب","🔴 تحت الهدف")))</f>
        <v/>
      </c>
      <c r="P16" s="86" t="inlineStr">
        <is>
          <t>القيمة المتحقّقة من «الالتزام بمعايير وزارة الطاقة» ÷ المستهدف × 100٪</t>
        </is>
      </c>
      <c r="Q16" s="86" t="inlineStr">
        <is>
          <t>سجلات الإدارة</t>
        </is>
      </c>
      <c r="R16" s="15" t="inlineStr">
        <is>
          <t>شهري</t>
        </is>
      </c>
    </row>
  </sheetData>
  <autoFilter ref="A3:R16"/>
  <mergeCells count="2">
    <mergeCell ref="A2:R2"/>
    <mergeCell ref="A1:R1"/>
  </mergeCells>
  <dataValidations count="1">
    <dataValidation sqref="M5 M6 M7 M9 M10 M12 M13 M14 M15 M16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1"/>
    <pageSetUpPr/>
  </sheetPr>
  <dimension ref="A1:R3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الامتياز التجاري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4" customHeight="1">
      <c r="B4" s="78" t="inlineStr">
        <is>
          <t>النمو والتوسع</t>
        </is>
      </c>
      <c r="C4" s="79" t="inlineStr">
        <is>
          <t>📊 مؤشر النمو والتوسع العام</t>
        </is>
      </c>
      <c r="D4" s="80" t="n"/>
      <c r="E4" s="80" t="n"/>
      <c r="F4" s="81" t="inlineStr">
        <is>
          <t>🔷 أساسي</t>
        </is>
      </c>
      <c r="G4" s="82" t="n">
        <v>0.08</v>
      </c>
      <c r="H4" s="80" t="n"/>
      <c r="I4" s="80" t="n"/>
      <c r="J4" s="80" t="n"/>
      <c r="K4" s="80" t="n"/>
      <c r="L4" s="80" t="n"/>
      <c r="M4" s="80" t="n"/>
      <c r="N4" s="83">
        <f>IFERROR(SUMIFS('قاعدة المؤشرات'!$J:$J,'قاعدة المؤشرات'!$B:$B,"الامتياز التجاري",'قاعدة المؤشرات'!$L:$L,"النمو والتوسع")/SUMIFS('قاعدة المؤشرات'!$K:$K,'قاعدة المؤشرات'!$B:$B,"الامتياز التجاري",'قاعدة المؤشرات'!$L:$L,"النمو والتوسع"),"")</f>
        <v/>
      </c>
      <c r="O4" s="84">
        <f>IF($N4="","⏳ بانتظار هدف",IF($N4&gt;=1,"✅ محقق",IF($N4&gt;=0.85,"🟡 قريب","🔴 تحت الهدف")))</f>
        <v/>
      </c>
      <c r="P4" s="80" t="n"/>
      <c r="Q4" s="80" t="n"/>
      <c r="R4" s="80" t="n"/>
    </row>
    <row r="5" outlineLevel="1" ht="26" customHeight="1">
      <c r="A5" s="20" t="n">
        <v>1</v>
      </c>
      <c r="B5" s="21" t="inlineStr">
        <is>
          <t>النمو والتوسع</t>
        </is>
      </c>
      <c r="C5" s="21" t="inlineStr">
        <is>
          <t>عدد محطات الامتياز المشغّلة (تراكمي)</t>
        </is>
      </c>
      <c r="D5" s="55" t="inlineStr">
        <is>
          <t>محطة</t>
        </is>
      </c>
      <c r="E5" s="55" t="inlineStr">
        <is>
          <t>↑</t>
        </is>
      </c>
      <c r="F5" s="15" t="inlineStr">
        <is>
          <t>🔴 رئيسي</t>
        </is>
      </c>
      <c r="G5" s="64" t="n">
        <v>0.04</v>
      </c>
      <c r="H5" s="60" t="n">
        <v>150</v>
      </c>
      <c r="I5" s="22" t="inlineStr">
        <is>
          <t>150 محطة</t>
        </is>
      </c>
      <c r="J5" s="85" t="inlineStr">
        <is>
          <t>النمو</t>
        </is>
      </c>
      <c r="K5" s="11" t="inlineStr">
        <is>
          <t>التوسع في المواقع</t>
        </is>
      </c>
      <c r="L5" s="15" t="inlineStr">
        <is>
          <t>العمليات الداخلية</t>
        </is>
      </c>
      <c r="M5" s="61" t="n">
        <v>110</v>
      </c>
      <c r="N5" s="10">
        <f>IF($H5="","",IF($M5="","",MIN(1,IF($H5=0,IF($M5&lt;=0,1,0),IF($E5="↓",IFERROR($H5/$M5,0),IFERROR($M5/$H5,0))))))</f>
        <v/>
      </c>
      <c r="O5" s="20">
        <f>IF($N5="","⏳ بانتظار هدف",IF($N5&gt;=1.0,"✅ محقق",IF($N5&gt;=0.85,"🟡 قريب","🔴 تحت الهدف")))</f>
        <v/>
      </c>
      <c r="P5" s="86" t="inlineStr">
        <is>
          <t>إجمالي عدد «محطات الامتياز المشغّلة» تراكمياً حتى نهاية الفترة</t>
        </is>
      </c>
      <c r="Q5" s="86" t="inlineStr">
        <is>
          <t>نظام إدارة العقود (CRM)</t>
        </is>
      </c>
      <c r="R5" s="15" t="inlineStr">
        <is>
          <t>شهري</t>
        </is>
      </c>
    </row>
    <row r="6" outlineLevel="1" ht="26" customHeight="1">
      <c r="A6" s="20" t="n">
        <v>2</v>
      </c>
      <c r="B6" s="21" t="inlineStr">
        <is>
          <t>النمو والتوسع</t>
        </is>
      </c>
      <c r="C6" s="21" t="inlineStr">
        <is>
          <t>عدد عقود الامتياز الجديدة الموقّعة</t>
        </is>
      </c>
      <c r="D6" s="55" t="inlineStr">
        <is>
          <t>عقد</t>
        </is>
      </c>
      <c r="E6" s="55" t="inlineStr">
        <is>
          <t>↑</t>
        </is>
      </c>
      <c r="F6" s="15" t="inlineStr">
        <is>
          <t>🔴 رئيسي</t>
        </is>
      </c>
      <c r="G6" s="64" t="n">
        <v>0.04</v>
      </c>
      <c r="H6" s="60" t="n">
        <v>167</v>
      </c>
      <c r="I6" s="22" t="inlineStr">
        <is>
          <t>167 عقد</t>
        </is>
      </c>
      <c r="J6" s="85" t="inlineStr">
        <is>
          <t>النمو</t>
        </is>
      </c>
      <c r="K6" s="11" t="inlineStr">
        <is>
          <t>الامتياز التجاري</t>
        </is>
      </c>
      <c r="L6" s="15" t="inlineStr">
        <is>
          <t>العمليات الداخلية</t>
        </is>
      </c>
      <c r="M6" s="61" t="n">
        <v>159.2</v>
      </c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محقق",IF($N6&gt;=0.85,"🟡 قريب","🔴 تحت الهدف")))</f>
        <v/>
      </c>
      <c r="P6" s="86" t="inlineStr">
        <is>
          <t>إجمالي عدد «عقود الامتياز الجديدة الموقّعة» المُسجّلة خلال الفترة</t>
        </is>
      </c>
      <c r="Q6" s="86" t="inlineStr">
        <is>
          <t>نظام إدارة العقود (CRM)</t>
        </is>
      </c>
      <c r="R6" s="15" t="inlineStr">
        <is>
          <t>شهري</t>
        </is>
      </c>
    </row>
    <row r="7" ht="24" customHeight="1">
      <c r="B7" s="78" t="inlineStr">
        <is>
          <t>المبيعات والأداء التجاري</t>
        </is>
      </c>
      <c r="C7" s="79" t="inlineStr">
        <is>
          <t>📊 مؤشر المبيعات والأداء التجاري العام</t>
        </is>
      </c>
      <c r="D7" s="80" t="n"/>
      <c r="E7" s="80" t="n"/>
      <c r="F7" s="81" t="inlineStr">
        <is>
          <t>🔷 أساسي</t>
        </is>
      </c>
      <c r="G7" s="82" t="n">
        <v>0.07000000000000001</v>
      </c>
      <c r="H7" s="80" t="n"/>
      <c r="I7" s="80" t="n"/>
      <c r="J7" s="80" t="n"/>
      <c r="K7" s="80" t="n"/>
      <c r="L7" s="80" t="n"/>
      <c r="M7" s="80" t="n"/>
      <c r="N7" s="83">
        <f>IFERROR(SUMIFS('قاعدة المؤشرات'!$J:$J,'قاعدة المؤشرات'!$B:$B,"الامتياز التجاري",'قاعدة المؤشرات'!$L:$L,"المبيعات والأداء التجاري")/SUMIFS('قاعدة المؤشرات'!$K:$K,'قاعدة المؤشرات'!$B:$B,"الامتياز التجاري",'قاعدة المؤشرات'!$L:$L,"المبيعات والأداء التجاري"),"")</f>
        <v/>
      </c>
      <c r="O7" s="84">
        <f>IF($N7="","⏳ بانتظار هدف",IF($N7&gt;=1,"✅ محقق",IF($N7&gt;=0.85,"🟡 قريب","🔴 تحت الهدف")))</f>
        <v/>
      </c>
      <c r="P7" s="80" t="n"/>
      <c r="Q7" s="80" t="n"/>
      <c r="R7" s="80" t="n"/>
    </row>
    <row r="8" outlineLevel="1" ht="26" customHeight="1">
      <c r="A8" s="20" t="n">
        <v>3</v>
      </c>
      <c r="B8" s="21" t="inlineStr">
        <is>
          <t>المبيعات والأداء التجاري</t>
        </is>
      </c>
      <c r="C8" s="21" t="inlineStr">
        <is>
          <t>إجمالي مبيعات وقود محطات الامتياز</t>
        </is>
      </c>
      <c r="D8" s="55" t="inlineStr">
        <is>
          <t>لتر</t>
        </is>
      </c>
      <c r="E8" s="55" t="inlineStr">
        <is>
          <t>↑</t>
        </is>
      </c>
      <c r="F8" s="15" t="inlineStr">
        <is>
          <t>🔴 رئيسي</t>
        </is>
      </c>
      <c r="G8" s="64" t="n">
        <v>0.04</v>
      </c>
      <c r="H8" s="60" t="n">
        <v>718838077</v>
      </c>
      <c r="I8" s="22" t="inlineStr">
        <is>
          <t>718.8M لتر</t>
        </is>
      </c>
      <c r="J8" s="85" t="inlineStr">
        <is>
          <t>النمو</t>
        </is>
      </c>
      <c r="K8" s="11" t="inlineStr">
        <is>
          <t>زيادة وصول العملاء</t>
        </is>
      </c>
      <c r="L8" s="15" t="inlineStr">
        <is>
          <t>مالي</t>
        </is>
      </c>
      <c r="M8" s="61" t="n">
        <v>576630340</v>
      </c>
      <c r="N8" s="10">
        <f>IF($H8="","",IF($M8="","",MIN(1,IF($H8=0,IF($M8&lt;=0,1,0),IF($E8="↓",IFERROR($H8/$M8,0),IFERROR($M8/$H8,0))))))</f>
        <v/>
      </c>
      <c r="O8" s="20">
        <f>IF($N8="","⏳ بانتظار هدف",IF($N8&gt;=1.0,"✅ محقق",IF($N8&gt;=0.85,"🟡 قريب","🔴 تحت الهدف")))</f>
        <v/>
      </c>
      <c r="P8" s="86" t="inlineStr">
        <is>
          <t>مجموع لترات «مبيعات وقود محطات الامتياز» خلال الفترة</t>
        </is>
      </c>
      <c r="Q8" s="86" t="inlineStr">
        <is>
          <t>نظام إدارة العقود (CRM)</t>
        </is>
      </c>
      <c r="R8" s="15" t="inlineStr">
        <is>
          <t>شهري</t>
        </is>
      </c>
    </row>
    <row r="9" outlineLevel="1" ht="26" customHeight="1">
      <c r="A9" s="20" t="n">
        <v>4</v>
      </c>
      <c r="B9" s="21" t="inlineStr">
        <is>
          <t>المبيعات والأداء التجاري</t>
        </is>
      </c>
      <c r="C9" s="21" t="inlineStr">
        <is>
          <t>نسبة تأجير وحدات الامتياز</t>
        </is>
      </c>
      <c r="D9" s="55" t="inlineStr">
        <is>
          <t>%</t>
        </is>
      </c>
      <c r="E9" s="55" t="inlineStr">
        <is>
          <t>↑</t>
        </is>
      </c>
      <c r="F9" s="15" t="inlineStr">
        <is>
          <t>🟠 مهم</t>
        </is>
      </c>
      <c r="G9" s="64" t="n">
        <v>0.03</v>
      </c>
      <c r="H9" s="64" t="n">
        <v>0.7</v>
      </c>
      <c r="I9" s="22" t="inlineStr">
        <is>
          <t>70%</t>
        </is>
      </c>
      <c r="J9" s="85" t="inlineStr">
        <is>
          <t>الاستدامة</t>
        </is>
      </c>
      <c r="K9" s="11" t="inlineStr">
        <is>
          <t>منظومة التأجير</t>
        </is>
      </c>
      <c r="L9" s="15" t="inlineStr">
        <is>
          <t>العمليات الداخلية</t>
        </is>
      </c>
      <c r="M9" s="65" t="n">
        <v>0.709</v>
      </c>
      <c r="N9" s="10">
        <f>IF($H9="","",IF($M9="","",MIN(1,IF($H9=0,IF($M9&lt;=0,1,0),IF($E9="↓",IFERROR($H9/$M9,0),IFERROR($M9/$H9,0))))))</f>
        <v/>
      </c>
      <c r="O9" s="20">
        <f>IF($N9="","⏳ بانتظار هدف",IF($N9&gt;=1.0,"✅ محقق",IF($N9&gt;=0.85,"🟡 قريب","🔴 تحت الهدف")))</f>
        <v/>
      </c>
      <c r="P9" s="86" t="inlineStr">
        <is>
          <t>قيمة/عدد المتحقّق من «تأجير وحدات الامتياز» ÷ الإجمالي المستهدف لنفس البند × 100٪</t>
        </is>
      </c>
      <c r="Q9" s="86" t="inlineStr">
        <is>
          <t>نظام إدارة العقود (CRM)</t>
        </is>
      </c>
      <c r="R9" s="15" t="inlineStr">
        <is>
          <t>شهري</t>
        </is>
      </c>
    </row>
    <row r="10" ht="24" customHeight="1">
      <c r="B10" s="78" t="inlineStr">
        <is>
          <t>الأداء المالي</t>
        </is>
      </c>
      <c r="C10" s="79" t="inlineStr">
        <is>
          <t>📊 مؤشر الأداء المالي العام</t>
        </is>
      </c>
      <c r="D10" s="80" t="n"/>
      <c r="E10" s="80" t="n"/>
      <c r="F10" s="81" t="inlineStr">
        <is>
          <t>🔷 أساسي</t>
        </is>
      </c>
      <c r="G10" s="82" t="n">
        <v>0.28</v>
      </c>
      <c r="H10" s="80" t="n"/>
      <c r="I10" s="80" t="n"/>
      <c r="J10" s="80" t="n"/>
      <c r="K10" s="80" t="n"/>
      <c r="L10" s="80" t="n"/>
      <c r="M10" s="80" t="n"/>
      <c r="N10" s="83">
        <f>IFERROR(SUMIFS('قاعدة المؤشرات'!$J:$J,'قاعدة المؤشرات'!$B:$B,"الامتياز التجاري",'قاعدة المؤشرات'!$L:$L,"الأداء المالي")/SUMIFS('قاعدة المؤشرات'!$K:$K,'قاعدة المؤشرات'!$B:$B,"الامتياز التجاري",'قاعدة المؤشرات'!$L:$L,"الأداء المالي"),"")</f>
        <v/>
      </c>
      <c r="O10" s="84">
        <f>IF($N10="","⏳ بانتظار هدف",IF($N10&gt;=1,"✅ محقق",IF($N10&gt;=0.85,"🟡 قريب","🔴 تحت الهدف")))</f>
        <v/>
      </c>
      <c r="P10" s="80" t="n"/>
      <c r="Q10" s="80" t="n"/>
      <c r="R10" s="80" t="n"/>
    </row>
    <row r="11" outlineLevel="1" ht="26" customHeight="1">
      <c r="A11" s="20" t="n">
        <v>5</v>
      </c>
      <c r="B11" s="21" t="inlineStr">
        <is>
          <t>الأداء المالي</t>
        </is>
      </c>
      <c r="C11" s="21" t="inlineStr">
        <is>
          <t>إجمالي إيرادات إدارة الامتياز</t>
        </is>
      </c>
      <c r="D11" s="55" t="inlineStr">
        <is>
          <t>ر.س</t>
        </is>
      </c>
      <c r="E11" s="55" t="inlineStr">
        <is>
          <t>↑</t>
        </is>
      </c>
      <c r="F11" s="15" t="inlineStr">
        <is>
          <t>🔴 رئيسي</t>
        </is>
      </c>
      <c r="G11" s="64" t="n">
        <v>0.04</v>
      </c>
      <c r="H11" s="55" t="inlineStr"/>
      <c r="I11" s="22" t="inlineStr">
        <is>
          <t>تصاعدي مستمر</t>
        </is>
      </c>
      <c r="J11" s="85" t="inlineStr">
        <is>
          <t>النمو</t>
        </is>
      </c>
      <c r="K11" s="11" t="inlineStr">
        <is>
          <t>الامتياز التجاري</t>
        </is>
      </c>
      <c r="L11" s="15" t="inlineStr">
        <is>
          <t>مالي</t>
        </is>
      </c>
      <c r="M11" s="71" t="n"/>
      <c r="N11" s="10">
        <f>IF($H11="","",IF($M11="","",MIN(1,IF($H11=0,IF($M11&lt;=0,1,0),IF($E11="↓",IFERROR($H11/$M11,0),IFERROR($M11/$H11,0))))))</f>
        <v/>
      </c>
      <c r="O11" s="20">
        <f>IF($N11="","⏳ بانتظار هدف",IF($N11&gt;=1.0,"✅ محقق",IF($N11&gt;=0.85,"🟡 قريب","🔴 تحت الهدف")))</f>
        <v/>
      </c>
      <c r="P11" s="86" t="inlineStr">
        <is>
          <t>مجموع قيمة «إيرادات إدارة الامتياز» بالريال خلال الفترة</t>
        </is>
      </c>
      <c r="Q11" s="86" t="inlineStr">
        <is>
          <t>نظام المحاسبة / ERP (D365)</t>
        </is>
      </c>
      <c r="R11" s="15" t="inlineStr">
        <is>
          <t>شهري</t>
        </is>
      </c>
    </row>
    <row r="12" outlineLevel="1" ht="26" customHeight="1">
      <c r="A12" s="20" t="n">
        <v>6</v>
      </c>
      <c r="B12" s="21" t="inlineStr">
        <is>
          <t>الأداء المالي</t>
        </is>
      </c>
      <c r="C12" s="21" t="inlineStr">
        <is>
          <t>رفع هامش الربحية للامتياز</t>
        </is>
      </c>
      <c r="D12" s="55" t="inlineStr">
        <is>
          <t>هللة/لتر</t>
        </is>
      </c>
      <c r="E12" s="55" t="inlineStr">
        <is>
          <t>↑</t>
        </is>
      </c>
      <c r="F12" s="15" t="inlineStr">
        <is>
          <t>🟠 مهم</t>
        </is>
      </c>
      <c r="G12" s="64" t="n">
        <v>0.03</v>
      </c>
      <c r="H12" s="67" t="n">
        <v>1.8</v>
      </c>
      <c r="I12" s="22" t="inlineStr">
        <is>
          <t>+1.8 هللة/لتر</t>
        </is>
      </c>
      <c r="J12" s="85" t="inlineStr">
        <is>
          <t>النمو</t>
        </is>
      </c>
      <c r="K12" s="11" t="inlineStr">
        <is>
          <t>الامتياز التجاري</t>
        </is>
      </c>
      <c r="L12" s="15" t="inlineStr">
        <is>
          <t>مالي</t>
        </is>
      </c>
      <c r="M12" s="68" t="n">
        <v>1.564</v>
      </c>
      <c r="N12" s="10">
        <f>IF($H12="","",IF($M12="","",MIN(1,IF($H12=0,IF($M12&lt;=0,1,0),IF($E12="↓",IFERROR($H12/$M12,0),IFERROR($M12/$H12,0))))))</f>
        <v/>
      </c>
      <c r="O12" s="20">
        <f>IF($N12="","⏳ بانتظار هدف",IF($N12&gt;=1.0,"✅ محقق",IF($N12&gt;=0.85,"🟡 قريب","🔴 تحت الهدف")))</f>
        <v/>
      </c>
      <c r="P12" s="86" t="inlineStr">
        <is>
          <t>مجموع لترات «رفع هامش الربحية للامتياز» خلال الفترة</t>
        </is>
      </c>
      <c r="Q12" s="86" t="inlineStr">
        <is>
          <t>نظام المحاسبة / ERP (D365)</t>
        </is>
      </c>
      <c r="R12" s="15" t="inlineStr">
        <is>
          <t>شهري</t>
        </is>
      </c>
    </row>
    <row r="13" outlineLevel="1" ht="26" customHeight="1">
      <c r="A13" s="20" t="n">
        <v>7</v>
      </c>
      <c r="B13" s="21" t="inlineStr">
        <is>
          <t>الأداء المالي</t>
        </is>
      </c>
      <c r="C13" s="21" t="inlineStr">
        <is>
          <t>نسبة التحصيل المالي من شركاء الامتياز</t>
        </is>
      </c>
      <c r="D13" s="55" t="inlineStr">
        <is>
          <t>%</t>
        </is>
      </c>
      <c r="E13" s="55" t="inlineStr">
        <is>
          <t>↑</t>
        </is>
      </c>
      <c r="F13" s="15" t="inlineStr">
        <is>
          <t>🔴 رئيسي</t>
        </is>
      </c>
      <c r="G13" s="64" t="n">
        <v>0.04</v>
      </c>
      <c r="H13" s="64" t="n">
        <v>0.95</v>
      </c>
      <c r="I13" s="22" t="inlineStr">
        <is>
          <t>95%+</t>
        </is>
      </c>
      <c r="J13" s="85" t="inlineStr">
        <is>
          <t>الاستدامة</t>
        </is>
      </c>
      <c r="K13" s="11" t="inlineStr">
        <is>
          <t>جودة التشغيل</t>
        </is>
      </c>
      <c r="L13" s="15" t="inlineStr">
        <is>
          <t>مالي</t>
        </is>
      </c>
      <c r="M13" s="65" t="n">
        <v>0.8120000000000001</v>
      </c>
      <c r="N13" s="10">
        <f>IF($H13="","",IF($M13="","",MIN(1,IF($H13=0,IF($M13&lt;=0,1,0),IF($E13="↓",IFERROR($H13/$M13,0),IFERROR($M13/$H13,0))))))</f>
        <v/>
      </c>
      <c r="O13" s="20">
        <f>IF($N13="","⏳ بانتظار هدف",IF($N13&gt;=1.0,"✅ محقق",IF($N13&gt;=0.85,"🟡 قريب","🔴 تحت الهدف")))</f>
        <v/>
      </c>
      <c r="P13" s="86" t="inlineStr">
        <is>
          <t>قيمة/عدد المتحقّق من «التحصيل المالي من شركاء الامتياز» ÷ الإجمالي المستهدف لنفس البند × 100٪</t>
        </is>
      </c>
      <c r="Q13" s="86" t="inlineStr">
        <is>
          <t>نظام المحاسبة / ERP (D365)</t>
        </is>
      </c>
      <c r="R13" s="15" t="inlineStr">
        <is>
          <t>شهري</t>
        </is>
      </c>
    </row>
    <row r="14" outlineLevel="1" ht="26" customHeight="1">
      <c r="A14" s="20" t="n">
        <v>8</v>
      </c>
      <c r="B14" s="21" t="inlineStr">
        <is>
          <t>الأداء المالي</t>
        </is>
      </c>
      <c r="C14" s="21" t="inlineStr">
        <is>
          <t>متوسط أيام تحصيل شركاء الامتياز (DSO)</t>
        </is>
      </c>
      <c r="D14" s="55" t="inlineStr">
        <is>
          <t>يوم</t>
        </is>
      </c>
      <c r="E14" s="55" t="inlineStr">
        <is>
          <t>↓</t>
        </is>
      </c>
      <c r="F14" s="15" t="inlineStr">
        <is>
          <t>🔴 رئيسي</t>
        </is>
      </c>
      <c r="G14" s="64" t="n">
        <v>0.04</v>
      </c>
      <c r="H14" s="67" t="n">
        <v>30</v>
      </c>
      <c r="I14" s="22" t="inlineStr">
        <is>
          <t>≤ 30 يوم</t>
        </is>
      </c>
      <c r="J14" s="85" t="inlineStr">
        <is>
          <t>الاستدامة</t>
        </is>
      </c>
      <c r="K14" s="11" t="inlineStr">
        <is>
          <t>جودة التشغيل</t>
        </is>
      </c>
      <c r="L14" s="15" t="inlineStr">
        <is>
          <t>مالي</t>
        </is>
      </c>
      <c r="M14" s="68" t="n">
        <v>26.2</v>
      </c>
      <c r="N14" s="10">
        <f>IF($H14="","",IF($M14="","",MIN(1,IF($H14=0,IF($M14&lt;=0,1,0),IF($E14="↓",IFERROR($H14/$M14,0),IFERROR($M14/$H14,0))))))</f>
        <v/>
      </c>
      <c r="O14" s="20">
        <f>IF($N14="","⏳ بانتظار هدف",IF($N14&gt;=1.0,"✅ محقق",IF($N14&gt;=0.85,"🟡 قريب","🔴 تحت الهدف")))</f>
        <v/>
      </c>
      <c r="P14" s="86" t="inlineStr">
        <is>
          <t>مجموع أيام «أيام تحصيل شركاء الامتياز» ÷ عدد الحالات</t>
        </is>
      </c>
      <c r="Q14" s="86" t="inlineStr">
        <is>
          <t>نظام المحاسبة / ERP (D365)</t>
        </is>
      </c>
      <c r="R14" s="15" t="inlineStr">
        <is>
          <t>شهري</t>
        </is>
      </c>
    </row>
    <row r="15" outlineLevel="1" ht="26" customHeight="1">
      <c r="A15" s="20" t="n">
        <v>9</v>
      </c>
      <c r="B15" s="21" t="inlineStr">
        <is>
          <t>الأداء المالي</t>
        </is>
      </c>
      <c r="C15" s="21" t="inlineStr">
        <is>
          <t>إجمالي المستحقات المتأخرة (+30 يوم)</t>
        </is>
      </c>
      <c r="D15" s="55" t="inlineStr">
        <is>
          <t>ر.س</t>
        </is>
      </c>
      <c r="E15" s="55" t="inlineStr">
        <is>
          <t>↓</t>
        </is>
      </c>
      <c r="F15" s="15" t="inlineStr">
        <is>
          <t>🟠 مهم</t>
        </is>
      </c>
      <c r="G15" s="64" t="n">
        <v>0.03</v>
      </c>
      <c r="H15" s="55" t="inlineStr"/>
      <c r="I15" s="22" t="inlineStr">
        <is>
          <t>تراجع مستمر</t>
        </is>
      </c>
      <c r="J15" s="85" t="inlineStr">
        <is>
          <t>الاستدامة</t>
        </is>
      </c>
      <c r="K15" s="11" t="inlineStr">
        <is>
          <t>جودة التشغيل</t>
        </is>
      </c>
      <c r="L15" s="15" t="inlineStr">
        <is>
          <t>مالي</t>
        </is>
      </c>
      <c r="M15" s="71" t="n"/>
      <c r="N15" s="10">
        <f>IF($H15="","",IF($M15="","",MIN(1,IF($H15=0,IF($M15&lt;=0,1,0),IF($E15="↓",IFERROR($H15/$M15,0),IFERROR($M15/$H15,0))))))</f>
        <v/>
      </c>
      <c r="O15" s="20">
        <f>IF($N15="","⏳ بانتظار هدف",IF($N15&gt;=1.0,"✅ محقق",IF($N15&gt;=0.85,"🟡 قريب","🔴 تحت الهدف")))</f>
        <v/>
      </c>
      <c r="P15" s="86" t="inlineStr">
        <is>
          <t>مجموع قيمة «المستحقات المتأخرة» بالريال خلال الفترة</t>
        </is>
      </c>
      <c r="Q15" s="86" t="inlineStr">
        <is>
          <t>نظام المحاسبة / ERP (D365)</t>
        </is>
      </c>
      <c r="R15" s="15" t="inlineStr">
        <is>
          <t>شهري</t>
        </is>
      </c>
    </row>
    <row r="16" outlineLevel="1" ht="26" customHeight="1">
      <c r="A16" s="20" t="n">
        <v>10</v>
      </c>
      <c r="B16" s="21" t="inlineStr">
        <is>
          <t>الأداء المالي</t>
        </is>
      </c>
      <c r="C16" s="21" t="inlineStr">
        <is>
          <t>نسبة الشركاء الملتزمين بمواعيد السداد</t>
        </is>
      </c>
      <c r="D16" s="55" t="inlineStr">
        <is>
          <t>%</t>
        </is>
      </c>
      <c r="E16" s="55" t="inlineStr">
        <is>
          <t>↑</t>
        </is>
      </c>
      <c r="F16" s="15" t="inlineStr">
        <is>
          <t>🟠 مهم</t>
        </is>
      </c>
      <c r="G16" s="64" t="n">
        <v>0.03</v>
      </c>
      <c r="H16" s="64" t="n">
        <v>0.9</v>
      </c>
      <c r="I16" s="22" t="inlineStr">
        <is>
          <t>90%+</t>
        </is>
      </c>
      <c r="J16" s="85" t="inlineStr">
        <is>
          <t>الاستدامة</t>
        </is>
      </c>
      <c r="K16" s="11" t="inlineStr">
        <is>
          <t>جودة التشغيل</t>
        </is>
      </c>
      <c r="L16" s="15" t="inlineStr">
        <is>
          <t>مالي</t>
        </is>
      </c>
      <c r="M16" s="65" t="n">
        <v>0.705</v>
      </c>
      <c r="N16" s="10">
        <f>IF($H16="","",IF($M16="","",MIN(1,IF($H16=0,IF($M16&lt;=0,1,0),IF($E16="↓",IFERROR($H16/$M16,0),IFERROR($M16/$H16,0))))))</f>
        <v/>
      </c>
      <c r="O16" s="20">
        <f>IF($N16="","⏳ بانتظار هدف",IF($N16&gt;=1.0,"✅ محقق",IF($N16&gt;=0.85,"🟡 قريب","🔴 تحت الهدف")))</f>
        <v/>
      </c>
      <c r="P16" s="86" t="inlineStr">
        <is>
          <t>قيمة/عدد المتحقّق من «الشركاء الملتزمين بمواعيد السداد» ÷ الإجمالي المستهدف لنفس البند × 100٪</t>
        </is>
      </c>
      <c r="Q16" s="86" t="inlineStr">
        <is>
          <t>نظام المحاسبة / ERP (D365)</t>
        </is>
      </c>
      <c r="R16" s="15" t="inlineStr">
        <is>
          <t>شهري</t>
        </is>
      </c>
    </row>
    <row r="17" outlineLevel="1" ht="26" customHeight="1">
      <c r="A17" s="20" t="n">
        <v>11</v>
      </c>
      <c r="B17" s="21" t="inlineStr">
        <is>
          <t>الأداء المالي</t>
        </is>
      </c>
      <c r="C17" s="21" t="inlineStr">
        <is>
          <t>معدل دوران رأس المال (أيام الدورة)</t>
        </is>
      </c>
      <c r="D17" s="55" t="inlineStr">
        <is>
          <t>يوم</t>
        </is>
      </c>
      <c r="E17" s="55" t="inlineStr">
        <is>
          <t>↓</t>
        </is>
      </c>
      <c r="F17" s="15" t="inlineStr">
        <is>
          <t>🟠 مهم</t>
        </is>
      </c>
      <c r="G17" s="64" t="n">
        <v>0.03</v>
      </c>
      <c r="H17" s="67" t="n">
        <v>5</v>
      </c>
      <c r="I17" s="22" t="inlineStr">
        <is>
          <t>≤ 5 أيام</t>
        </is>
      </c>
      <c r="J17" s="85" t="inlineStr">
        <is>
          <t>الاستدامة</t>
        </is>
      </c>
      <c r="K17" s="11" t="inlineStr">
        <is>
          <t>جودة التشغيل</t>
        </is>
      </c>
      <c r="L17" s="15" t="inlineStr">
        <is>
          <t>مالي</t>
        </is>
      </c>
      <c r="M17" s="68" t="n">
        <v>4.329</v>
      </c>
      <c r="N17" s="10">
        <f>IF($H17="","",IF($M17="","",MIN(1,IF($H17=0,IF($M17&lt;=0,1,0),IF($E17="↓",IFERROR($H17/$M17,0),IFERROR($M17/$H17,0))))))</f>
        <v/>
      </c>
      <c r="O17" s="20">
        <f>IF($N17="","⏳ بانتظار هدف",IF($N17&gt;=1.0,"✅ محقق",IF($N17&gt;=0.85,"🟡 قريب","🔴 تحت الهدف")))</f>
        <v/>
      </c>
      <c r="P17" s="86" t="inlineStr">
        <is>
          <t>عدد حالات «دوران رأس المال» خلال الفترة ÷ إجمالي الحالات القابلة للقياس × 100٪</t>
        </is>
      </c>
      <c r="Q17" s="86" t="inlineStr">
        <is>
          <t>نظام الموارد البشرية (HRMS)</t>
        </is>
      </c>
      <c r="R17" s="15" t="inlineStr">
        <is>
          <t>شهري</t>
        </is>
      </c>
    </row>
    <row r="18" ht="24" customHeight="1">
      <c r="B18" s="78" t="inlineStr">
        <is>
          <t>التشغيل والجودة</t>
        </is>
      </c>
      <c r="C18" s="79" t="inlineStr">
        <is>
          <t>📊 مؤشر التشغيل والجودة العام</t>
        </is>
      </c>
      <c r="D18" s="80" t="n"/>
      <c r="E18" s="80" t="n"/>
      <c r="F18" s="81" t="inlineStr">
        <is>
          <t>🔷 أساسي</t>
        </is>
      </c>
      <c r="G18" s="82" t="n">
        <v>0.3</v>
      </c>
      <c r="H18" s="80" t="n"/>
      <c r="I18" s="80" t="n"/>
      <c r="J18" s="80" t="n"/>
      <c r="K18" s="80" t="n"/>
      <c r="L18" s="80" t="n"/>
      <c r="M18" s="80" t="n"/>
      <c r="N18" s="83">
        <f>IFERROR(SUMIFS('قاعدة المؤشرات'!$J:$J,'قاعدة المؤشرات'!$B:$B,"الامتياز التجاري",'قاعدة المؤشرات'!$L:$L,"التشغيل والجودة")/SUMIFS('قاعدة المؤشرات'!$K:$K,'قاعدة المؤشرات'!$B:$B,"الامتياز التجاري",'قاعدة المؤشرات'!$L:$L,"التشغيل والجودة"),"")</f>
        <v/>
      </c>
      <c r="O18" s="84">
        <f>IF($N18="","⏳ بانتظار هدف",IF($N18&gt;=1,"✅ محقق",IF($N18&gt;=0.85,"🟡 قريب","🔴 تحت الهدف")))</f>
        <v/>
      </c>
      <c r="P18" s="80" t="n"/>
      <c r="Q18" s="80" t="n"/>
      <c r="R18" s="80" t="n"/>
    </row>
    <row r="19" outlineLevel="1" ht="26" customHeight="1">
      <c r="A19" s="20" t="n">
        <v>12</v>
      </c>
      <c r="B19" s="21" t="inlineStr">
        <is>
          <t>التشغيل والجودة</t>
        </is>
      </c>
      <c r="C19" s="21" t="inlineStr">
        <is>
          <t>نسبة جاهزية محطات الامتياز (صفر انقطاع)</t>
        </is>
      </c>
      <c r="D19" s="55" t="inlineStr">
        <is>
          <t>%</t>
        </is>
      </c>
      <c r="E19" s="55" t="inlineStr">
        <is>
          <t>↑</t>
        </is>
      </c>
      <c r="F19" s="15" t="inlineStr">
        <is>
          <t>🔴 رئيسي</t>
        </is>
      </c>
      <c r="G19" s="64" t="n">
        <v>0.04</v>
      </c>
      <c r="H19" s="64" t="n">
        <v>0.99</v>
      </c>
      <c r="I19" s="22" t="inlineStr">
        <is>
          <t>99%+</t>
        </is>
      </c>
      <c r="J19" s="85" t="inlineStr">
        <is>
          <t>الاستدامة</t>
        </is>
      </c>
      <c r="K19" s="11" t="inlineStr">
        <is>
          <t>جودة التشغيل</t>
        </is>
      </c>
      <c r="L19" s="15" t="inlineStr">
        <is>
          <t>العمليات الداخلية</t>
        </is>
      </c>
      <c r="M19" s="65" t="n">
        <v>1</v>
      </c>
      <c r="N19" s="10">
        <f>IF($H19="","",IF($M19="","",MIN(1,IF($H19=0,IF($M19&lt;=0,1,0),IF($E19="↓",IFERROR($H19/$M19,0),IFERROR($M19/$H19,0))))))</f>
        <v/>
      </c>
      <c r="O19" s="20">
        <f>IF($N19="","⏳ بانتظار هدف",IF($N19&gt;=1.0,"✅ محقق",IF($N19&gt;=0.97,"🟡 قريب","🔴 تحت الهدف")))</f>
        <v/>
      </c>
      <c r="P19" s="86" t="inlineStr">
        <is>
          <t>قيمة/عدد المتحقّق من «جاهزية محطات الامتياز» ÷ الإجمالي المستهدف لنفس البند × 100٪</t>
        </is>
      </c>
      <c r="Q19" s="86" t="inlineStr">
        <is>
          <t>نظام إدارة الجودة (QMS)</t>
        </is>
      </c>
      <c r="R19" s="15" t="inlineStr">
        <is>
          <t>شهري</t>
        </is>
      </c>
    </row>
    <row r="20" outlineLevel="1" ht="26" customHeight="1">
      <c r="A20" s="20" t="n">
        <v>13</v>
      </c>
      <c r="B20" s="21" t="inlineStr">
        <is>
          <t>التشغيل والجودة</t>
        </is>
      </c>
      <c r="C20" s="21" t="inlineStr">
        <is>
          <t>عدد حالات انقطاع الوقود الموثّقة</t>
        </is>
      </c>
      <c r="D20" s="55" t="inlineStr">
        <is>
          <t>حالة</t>
        </is>
      </c>
      <c r="E20" s="55" t="inlineStr">
        <is>
          <t>↓</t>
        </is>
      </c>
      <c r="F20" s="15" t="inlineStr">
        <is>
          <t>🔴 رئيسي</t>
        </is>
      </c>
      <c r="G20" s="64" t="n">
        <v>0.04</v>
      </c>
      <c r="H20" s="60" t="n">
        <v>0</v>
      </c>
      <c r="I20" s="22" t="inlineStr">
        <is>
          <t>0 حالة</t>
        </is>
      </c>
      <c r="J20" s="85" t="inlineStr">
        <is>
          <t>الاستدامة</t>
        </is>
      </c>
      <c r="K20" s="11" t="inlineStr">
        <is>
          <t>جودة التشغيل</t>
        </is>
      </c>
      <c r="L20" s="15" t="inlineStr">
        <is>
          <t>العمليات الداخلية</t>
        </is>
      </c>
      <c r="M20" s="61" t="n"/>
      <c r="N20" s="10">
        <f>IF($H20="","",IF($M20="","",MIN(1,IF($H20=0,IF($M20&lt;=0,1,0),IF($E20="↓",IFERROR($H20/$M20,0),IFERROR($M20/$H20,0))))))</f>
        <v/>
      </c>
      <c r="O20" s="20">
        <f>IF($N20="","⏳ بانتظار هدف",IF($N20&gt;=1.0,"✅ محقق",IF($N20&gt;=0.85,"🟡 قريب","🔴 تحت الهدف")))</f>
        <v/>
      </c>
      <c r="P20" s="86" t="inlineStr">
        <is>
          <t>إجمالي عدد «حالات انقطاع الوقود الموثّقة» المُسجّلة خلال الفترة</t>
        </is>
      </c>
      <c r="Q20" s="86" t="inlineStr">
        <is>
          <t>نظام إدارة الجودة (QMS)</t>
        </is>
      </c>
      <c r="R20" s="15" t="inlineStr">
        <is>
          <t>شهري</t>
        </is>
      </c>
    </row>
    <row r="21" outlineLevel="1" ht="26" customHeight="1">
      <c r="A21" s="20" t="n">
        <v>14</v>
      </c>
      <c r="B21" s="21" t="inlineStr">
        <is>
          <t>التشغيل والجودة</t>
        </is>
      </c>
      <c r="C21" s="21" t="inlineStr">
        <is>
          <t>نسبة إغلاق ملاحظات الجودة الميدانية</t>
        </is>
      </c>
      <c r="D21" s="55" t="inlineStr">
        <is>
          <t>%</t>
        </is>
      </c>
      <c r="E21" s="55" t="inlineStr">
        <is>
          <t>↑</t>
        </is>
      </c>
      <c r="F21" s="15" t="inlineStr">
        <is>
          <t>🟠 مهم</t>
        </is>
      </c>
      <c r="G21" s="64" t="n">
        <v>0.03</v>
      </c>
      <c r="H21" s="64" t="n">
        <v>0.95</v>
      </c>
      <c r="I21" s="22" t="inlineStr">
        <is>
          <t>95%+</t>
        </is>
      </c>
      <c r="J21" s="85" t="inlineStr">
        <is>
          <t>الاستدامة</t>
        </is>
      </c>
      <c r="K21" s="11" t="inlineStr">
        <is>
          <t>جودة التشغيل</t>
        </is>
      </c>
      <c r="L21" s="15" t="inlineStr">
        <is>
          <t>العمليات الداخلية</t>
        </is>
      </c>
      <c r="M21" s="65" t="n">
        <v>0.879</v>
      </c>
      <c r="N21" s="10">
        <f>IF($H21="","",IF($M21="","",MIN(1,IF($H21=0,IF($M21&lt;=0,1,0),IF($E21="↓",IFERROR($H21/$M21,0),IFERROR($M21/$H21,0))))))</f>
        <v/>
      </c>
      <c r="O21" s="20">
        <f>IF($N21="","⏳ بانتظار هدف",IF($N21&gt;=1.0,"✅ محقق",IF($N21&gt;=0.85,"🟡 قريب","🔴 تحت الهدف")))</f>
        <v/>
      </c>
      <c r="P21" s="86" t="inlineStr">
        <is>
          <t>قيمة/عدد المتحقّق من «إغلاق ملاحظات الجودة الميدانية» ÷ الإجمالي المستهدف لنفس البند × 100٪</t>
        </is>
      </c>
      <c r="Q21" s="86" t="inlineStr">
        <is>
          <t>نظام إدارة الجودة (QMS)</t>
        </is>
      </c>
      <c r="R21" s="15" t="inlineStr">
        <is>
          <t>شهري</t>
        </is>
      </c>
    </row>
    <row r="22" outlineLevel="1" ht="26" customHeight="1">
      <c r="A22" s="20" t="n">
        <v>15</v>
      </c>
      <c r="B22" s="21" t="inlineStr">
        <is>
          <t>التشغيل والجودة</t>
        </is>
      </c>
      <c r="C22" s="21" t="inlineStr">
        <is>
          <t>متوسط درجة تقييم جودة المحطة (قائمة التحقق)</t>
        </is>
      </c>
      <c r="D22" s="55" t="inlineStr">
        <is>
          <t>درجة/100</t>
        </is>
      </c>
      <c r="E22" s="55" t="inlineStr">
        <is>
          <t>↑</t>
        </is>
      </c>
      <c r="F22" s="15" t="inlineStr">
        <is>
          <t>🔴 رئيسي</t>
        </is>
      </c>
      <c r="G22" s="64" t="n">
        <v>0.04</v>
      </c>
      <c r="H22" s="67" t="n">
        <v>85</v>
      </c>
      <c r="I22" s="22" t="inlineStr">
        <is>
          <t>85+</t>
        </is>
      </c>
      <c r="J22" s="85" t="inlineStr">
        <is>
          <t>الاستدامة</t>
        </is>
      </c>
      <c r="K22" s="11" t="inlineStr">
        <is>
          <t>جودة التشغيل</t>
        </is>
      </c>
      <c r="L22" s="15" t="inlineStr">
        <is>
          <t>العمليات الداخلية</t>
        </is>
      </c>
      <c r="M22" s="68" t="n">
        <v>78.8</v>
      </c>
      <c r="N22" s="10">
        <f>IF($H22="","",IF($M22="","",MIN(1,IF($H22=0,IF($M22&lt;=0,1,0),IF($E22="↓",IFERROR($H22/$M22,0),IFERROR($M22/$H22,0))))))</f>
        <v/>
      </c>
      <c r="O22" s="20">
        <f>IF($N22="","⏳ بانتظار هدف",IF($N22&gt;=1.0,"✅ محقق",IF($N22&gt;=0.85,"🟡 قريب","🔴 تحت الهدف")))</f>
        <v/>
      </c>
      <c r="P22" s="86" t="inlineStr">
        <is>
          <t>مجموع قيم «درجة تقييم جودة المحطة» ÷ عدد المفردات المقيسة</t>
        </is>
      </c>
      <c r="Q22" s="86" t="inlineStr">
        <is>
          <t>نظام إدارة الجودة (QMS)</t>
        </is>
      </c>
      <c r="R22" s="15" t="inlineStr">
        <is>
          <t>شهري</t>
        </is>
      </c>
    </row>
    <row r="23" outlineLevel="1" ht="26" customHeight="1">
      <c r="A23" s="20" t="n">
        <v>16</v>
      </c>
      <c r="B23" s="21" t="inlineStr">
        <is>
          <t>التشغيل والجودة</t>
        </is>
      </c>
      <c r="C23" s="21" t="inlineStr">
        <is>
          <t>نسبة تنفيذ الزيارات الميدانية المجدولة</t>
        </is>
      </c>
      <c r="D23" s="55" t="inlineStr">
        <is>
          <t>%</t>
        </is>
      </c>
      <c r="E23" s="55" t="inlineStr">
        <is>
          <t>↑</t>
        </is>
      </c>
      <c r="F23" s="15" t="inlineStr">
        <is>
          <t>🟠 مهم</t>
        </is>
      </c>
      <c r="G23" s="64" t="n">
        <v>0.03</v>
      </c>
      <c r="H23" s="64" t="n">
        <v>1</v>
      </c>
      <c r="I23" s="22" t="inlineStr">
        <is>
          <t>100%</t>
        </is>
      </c>
      <c r="J23" s="85" t="inlineStr">
        <is>
          <t>الاستدامة</t>
        </is>
      </c>
      <c r="K23" s="11" t="inlineStr">
        <is>
          <t>جودة التشغيل</t>
        </is>
      </c>
      <c r="L23" s="15" t="inlineStr">
        <is>
          <t>العمليات الداخلية</t>
        </is>
      </c>
      <c r="M23" s="65" t="n">
        <v>1.034</v>
      </c>
      <c r="N23" s="10">
        <f>IF($H23="","",IF($M23="","",MIN(1,IF($H23=0,IF($M23&lt;=0,1,0),IF($E23="↓",IFERROR($H23/$M23,0),IFERROR($M23/$H23,0))))))</f>
        <v/>
      </c>
      <c r="O23" s="20">
        <f>IF($N23="","⏳ بانتظار هدف",IF($N23&gt;=1.0,"✅ محقق",IF($N23&gt;=0.85,"🟡 قريب","🔴 تحت الهدف")))</f>
        <v/>
      </c>
      <c r="P23" s="86" t="inlineStr">
        <is>
          <t>قيمة/عدد المتحقّق من «تنفيذ الزيارات الميدانية المجدولة» ÷ الإجمالي المستهدف لنفس البند × 100٪</t>
        </is>
      </c>
      <c r="Q23" s="86" t="inlineStr">
        <is>
          <t>نظام إدارة الجودة (QMS)</t>
        </is>
      </c>
      <c r="R23" s="15" t="inlineStr">
        <is>
          <t>شهري</t>
        </is>
      </c>
    </row>
    <row r="24" outlineLevel="1" ht="26" customHeight="1">
      <c r="A24" s="20" t="n">
        <v>17</v>
      </c>
      <c r="B24" s="21" t="inlineStr">
        <is>
          <t>التشغيل والجودة</t>
        </is>
      </c>
      <c r="C24" s="21" t="inlineStr">
        <is>
          <t>نسبة المحطات المستوفية لمعايير السلامة</t>
        </is>
      </c>
      <c r="D24" s="55" t="inlineStr">
        <is>
          <t>%</t>
        </is>
      </c>
      <c r="E24" s="55" t="inlineStr">
        <is>
          <t>↑</t>
        </is>
      </c>
      <c r="F24" s="15" t="inlineStr">
        <is>
          <t>🔴 رئيسي</t>
        </is>
      </c>
      <c r="G24" s="64" t="n">
        <v>0.04</v>
      </c>
      <c r="H24" s="64" t="n">
        <v>1</v>
      </c>
      <c r="I24" s="22" t="inlineStr">
        <is>
          <t>100%</t>
        </is>
      </c>
      <c r="J24" s="85" t="inlineStr">
        <is>
          <t>الاستدامة</t>
        </is>
      </c>
      <c r="K24" s="11" t="inlineStr">
        <is>
          <t>جودة التشغيل</t>
        </is>
      </c>
      <c r="L24" s="15" t="inlineStr">
        <is>
          <t>العمليات الداخلية</t>
        </is>
      </c>
      <c r="M24" s="65" t="n">
        <v>0.911</v>
      </c>
      <c r="N24" s="10">
        <f>IF($H24="","",IF($M24="","",MIN(1,IF($H24=0,IF($M24&lt;=0,1,0),IF($E24="↓",IFERROR($H24/$M24,0),IFERROR($M24/$H24,0))))))</f>
        <v/>
      </c>
      <c r="O24" s="20">
        <f>IF($N24="","⏳ بانتظار هدف",IF($N24&gt;=1.0,"✅ محقق",IF($N24&gt;=0.97,"🟡 قريب","🔴 تحت الهدف")))</f>
        <v/>
      </c>
      <c r="P24" s="86" t="inlineStr">
        <is>
          <t>قيمة/عدد المتحقّق من «المحطات المستوفية لمعايير السلامة» ÷ الإجمالي المستهدف لنفس البند × 100٪</t>
        </is>
      </c>
      <c r="Q24" s="86" t="inlineStr">
        <is>
          <t>نظام إدارة الجودة (QMS)</t>
        </is>
      </c>
      <c r="R24" s="15" t="inlineStr">
        <is>
          <t>شهري</t>
        </is>
      </c>
    </row>
    <row r="25" outlineLevel="1" ht="26" customHeight="1">
      <c r="A25" s="20" t="n">
        <v>18</v>
      </c>
      <c r="B25" s="21" t="inlineStr">
        <is>
          <t>التشغيل والجودة</t>
        </is>
      </c>
      <c r="C25" s="21" t="inlineStr">
        <is>
          <t>متوسط وقت معالجة البلاغات التشغيلية</t>
        </is>
      </c>
      <c r="D25" s="55" t="inlineStr">
        <is>
          <t>ساعة</t>
        </is>
      </c>
      <c r="E25" s="55" t="inlineStr">
        <is>
          <t>↓</t>
        </is>
      </c>
      <c r="F25" s="15" t="inlineStr">
        <is>
          <t>🟠 مهم</t>
        </is>
      </c>
      <c r="G25" s="64" t="n">
        <v>0.03</v>
      </c>
      <c r="H25" s="67" t="n">
        <v>24</v>
      </c>
      <c r="I25" s="22" t="inlineStr">
        <is>
          <t>≤ 24 ساعة</t>
        </is>
      </c>
      <c r="J25" s="85" t="inlineStr">
        <is>
          <t>الاستدامة</t>
        </is>
      </c>
      <c r="K25" s="11" t="inlineStr">
        <is>
          <t>جودة التشغيل</t>
        </is>
      </c>
      <c r="L25" s="15" t="inlineStr">
        <is>
          <t>العمليات الداخلية</t>
        </is>
      </c>
      <c r="M25" s="68" t="n">
        <v>26.2</v>
      </c>
      <c r="N25" s="10">
        <f>IF($H25="","",IF($M25="","",MIN(1,IF($H25=0,IF($M25&lt;=0,1,0),IF($E25="↓",IFERROR($H25/$M25,0),IFERROR($M25/$H25,0))))))</f>
        <v/>
      </c>
      <c r="O25" s="20">
        <f>IF($N25="","⏳ بانتظار هدف",IF($N25&gt;=1.0,"✅ محقق",IF($N25&gt;=0.85,"🟡 قريب","🔴 تحت الهدف")))</f>
        <v/>
      </c>
      <c r="P25" s="86" t="inlineStr">
        <is>
          <t>مجموع ساعات «وقت معالجة البلاغات التشغيلية» ÷ عدد الحالات المغلقة</t>
        </is>
      </c>
      <c r="Q25" s="86" t="inlineStr">
        <is>
          <t>نظام إدارة الجودة (QMS)</t>
        </is>
      </c>
      <c r="R25" s="15" t="inlineStr">
        <is>
          <t>شهري</t>
        </is>
      </c>
    </row>
    <row r="26" outlineLevel="1" ht="26" customHeight="1">
      <c r="A26" s="20" t="n">
        <v>19</v>
      </c>
      <c r="B26" s="21" t="inlineStr">
        <is>
          <t>التشغيل والجودة</t>
        </is>
      </c>
      <c r="C26" s="21" t="inlineStr">
        <is>
          <t>نسبة أتمتة محطات الامتياز</t>
        </is>
      </c>
      <c r="D26" s="55" t="inlineStr">
        <is>
          <t>%</t>
        </is>
      </c>
      <c r="E26" s="55" t="inlineStr">
        <is>
          <t>↑</t>
        </is>
      </c>
      <c r="F26" s="15" t="inlineStr">
        <is>
          <t>🔴 رئيسي</t>
        </is>
      </c>
      <c r="G26" s="64" t="n">
        <v>0.04</v>
      </c>
      <c r="H26" s="64" t="n">
        <v>0.9</v>
      </c>
      <c r="I26" s="22" t="inlineStr">
        <is>
          <t>90%</t>
        </is>
      </c>
      <c r="J26" s="85" t="inlineStr">
        <is>
          <t>الابتكار</t>
        </is>
      </c>
      <c r="K26" s="11" t="inlineStr">
        <is>
          <t>التحول التقني</t>
        </is>
      </c>
      <c r="L26" s="15" t="inlineStr">
        <is>
          <t>التعلّم والنمو</t>
        </is>
      </c>
      <c r="M26" s="65" t="n">
        <v>0.674</v>
      </c>
      <c r="N26" s="10">
        <f>IF($H26="","",IF($M26="","",MIN(1,IF($H26=0,IF($M26&lt;=0,1,0),IF($E26="↓",IFERROR($H26/$M26,0),IFERROR($M26/$H26,0))))))</f>
        <v/>
      </c>
      <c r="O26" s="20">
        <f>IF($N26="","⏳ بانتظار هدف",IF($N26&gt;=1.0,"✅ محقق",IF($N26&gt;=0.85,"🟡 قريب","🔴 تحت الهدف")))</f>
        <v/>
      </c>
      <c r="P26" s="86" t="inlineStr">
        <is>
          <t>قيمة/عدد المتحقّق من «أتمتة محطات الامتياز» ÷ الإجمالي المستهدف لنفس البند × 100٪</t>
        </is>
      </c>
      <c r="Q26" s="86" t="inlineStr">
        <is>
          <t>مكتب إدارة المشاريع (PMO)</t>
        </is>
      </c>
      <c r="R26" s="15" t="inlineStr">
        <is>
          <t>شهري</t>
        </is>
      </c>
    </row>
    <row r="27" outlineLevel="1" ht="26" customHeight="1">
      <c r="A27" s="20" t="n">
        <v>20</v>
      </c>
      <c r="B27" s="21" t="inlineStr">
        <is>
          <t>التشغيل والجودة</t>
        </is>
      </c>
      <c r="C27" s="21" t="inlineStr">
        <is>
          <t>نسبة تطبيق المعيار الشامل داخل المحطات</t>
        </is>
      </c>
      <c r="D27" s="55" t="inlineStr">
        <is>
          <t>%</t>
        </is>
      </c>
      <c r="E27" s="55" t="inlineStr">
        <is>
          <t>↑</t>
        </is>
      </c>
      <c r="F27" s="15" t="inlineStr">
        <is>
          <t>🟡 متابعة</t>
        </is>
      </c>
      <c r="G27" s="64" t="n">
        <v>0.01</v>
      </c>
      <c r="H27" s="64" t="n">
        <v>0.3</v>
      </c>
      <c r="I27" s="22" t="inlineStr">
        <is>
          <t>30%</t>
        </is>
      </c>
      <c r="J27" s="85" t="inlineStr">
        <is>
          <t>الابتكار</t>
        </is>
      </c>
      <c r="K27" s="11" t="inlineStr">
        <is>
          <t>التحول التقني</t>
        </is>
      </c>
      <c r="L27" s="15" t="inlineStr">
        <is>
          <t>التعلّم والنمو</t>
        </is>
      </c>
      <c r="M27" s="65" t="n">
        <v>0.299</v>
      </c>
      <c r="N27" s="10">
        <f>IF($H27="","",IF($M27="","",MIN(1,IF($H27=0,IF($M27&lt;=0,1,0),IF($E27="↓",IFERROR($H27/$M27,0),IFERROR($M27/$H27,0))))))</f>
        <v/>
      </c>
      <c r="O27" s="20">
        <f>IF($N27="","⏳ بانتظار هدف",IF($N27&gt;=1.0,"✅ محقق",IF($N27&gt;=0.85,"🟡 قريب","🔴 تحت الهدف")))</f>
        <v/>
      </c>
      <c r="P27" s="86" t="inlineStr">
        <is>
          <t>قيمة/عدد المتحقّق من «تطبيق المعيار الشامل داخل المحطات» ÷ الإجمالي المستهدف لنفس البند × 100٪</t>
        </is>
      </c>
      <c r="Q27" s="86" t="inlineStr">
        <is>
          <t>نظام إدارة الجودة (QMS)</t>
        </is>
      </c>
      <c r="R27" s="15" t="inlineStr">
        <is>
          <t>شهري</t>
        </is>
      </c>
    </row>
    <row r="28" ht="26" customHeight="1">
      <c r="A28" s="20" t="n">
        <v>21</v>
      </c>
      <c r="B28" s="21" t="inlineStr">
        <is>
          <t>الهوية والتسويق</t>
        </is>
      </c>
      <c r="C28" s="21" t="inlineStr">
        <is>
          <t>نسبة التزام المحطات بالهوية المؤسسية</t>
        </is>
      </c>
      <c r="D28" s="55" t="inlineStr">
        <is>
          <t>%</t>
        </is>
      </c>
      <c r="E28" s="55" t="inlineStr">
        <is>
          <t>↑</t>
        </is>
      </c>
      <c r="F28" s="15" t="inlineStr">
        <is>
          <t>🔴 رئيسي</t>
        </is>
      </c>
      <c r="G28" s="64" t="n">
        <v>0.04</v>
      </c>
      <c r="H28" s="64" t="n">
        <v>0.55</v>
      </c>
      <c r="I28" s="22" t="inlineStr">
        <is>
          <t>55%</t>
        </is>
      </c>
      <c r="J28" s="85" t="inlineStr">
        <is>
          <t>الابتكار</t>
        </is>
      </c>
      <c r="K28" s="11" t="inlineStr">
        <is>
          <t>تطوير التصاميم والهوية</t>
        </is>
      </c>
      <c r="L28" s="15" t="inlineStr">
        <is>
          <t>التعلّم والنمو</t>
        </is>
      </c>
      <c r="M28" s="65" t="n">
        <v>0.44</v>
      </c>
      <c r="N28" s="10">
        <f>IF($H28="","",IF($M28="","",MIN(1,IF($H28=0,IF($M28&lt;=0,1,0),IF($E28="↓",IFERROR($H28/$M28,0),IFERROR($M28/$H28,0))))))</f>
        <v/>
      </c>
      <c r="O28" s="20">
        <f>IF($N28="","⏳ بانتظار هدف",IF($N28&gt;=1.0,"✅ محقق",IF($N28&gt;=0.85,"🟡 قريب","🔴 تحت الهدف")))</f>
        <v/>
      </c>
      <c r="P28" s="86" t="inlineStr">
        <is>
          <t>قيمة/عدد المتحقّق من «التزام المحطات بالهوية المؤسسية» ÷ الإجمالي المستهدف لنفس البند × 100٪</t>
        </is>
      </c>
      <c r="Q28" s="86" t="inlineStr">
        <is>
          <t>نظام تشغيل المحطات</t>
        </is>
      </c>
      <c r="R28" s="15" t="inlineStr">
        <is>
          <t>شهري</t>
        </is>
      </c>
    </row>
    <row r="29" ht="24" customHeight="1">
      <c r="B29" s="78" t="inlineStr">
        <is>
          <t>تجربة العملاء والشركاء</t>
        </is>
      </c>
      <c r="C29" s="79" t="inlineStr">
        <is>
          <t>📊 مؤشر تجربة العملاء والشركاء العام</t>
        </is>
      </c>
      <c r="D29" s="80" t="n"/>
      <c r="E29" s="80" t="n"/>
      <c r="F29" s="81" t="inlineStr">
        <is>
          <t>🔷 أساسي</t>
        </is>
      </c>
      <c r="G29" s="82" t="n">
        <v>0.14</v>
      </c>
      <c r="H29" s="80" t="n"/>
      <c r="I29" s="80" t="n"/>
      <c r="J29" s="80" t="n"/>
      <c r="K29" s="80" t="n"/>
      <c r="L29" s="80" t="n"/>
      <c r="M29" s="80" t="n"/>
      <c r="N29" s="83">
        <f>IFERROR(SUMIFS('قاعدة المؤشرات'!$J:$J,'قاعدة المؤشرات'!$B:$B,"الامتياز التجاري",'قاعدة المؤشرات'!$L:$L,"تجربة العملاء والشركاء")/SUMIFS('قاعدة المؤشرات'!$K:$K,'قاعدة المؤشرات'!$B:$B,"الامتياز التجاري",'قاعدة المؤشرات'!$L:$L,"تجربة العملاء والشركاء"),"")</f>
        <v/>
      </c>
      <c r="O29" s="84">
        <f>IF($N29="","⏳ بانتظار هدف",IF($N29&gt;=1,"✅ محقق",IF($N29&gt;=0.85,"🟡 قريب","🔴 تحت الهدف")))</f>
        <v/>
      </c>
      <c r="P29" s="80" t="n"/>
      <c r="Q29" s="80" t="n"/>
      <c r="R29" s="80" t="n"/>
    </row>
    <row r="30" outlineLevel="1" ht="26" customHeight="1">
      <c r="A30" s="20" t="n">
        <v>22</v>
      </c>
      <c r="B30" s="21" t="inlineStr">
        <is>
          <t>تجربة العملاء والشركاء</t>
        </is>
      </c>
      <c r="C30" s="21" t="inlineStr">
        <is>
          <t>متوسط تقييم المحطات على خرائط قوقل</t>
        </is>
      </c>
      <c r="D30" s="55" t="inlineStr">
        <is>
          <t>نجمة/5</t>
        </is>
      </c>
      <c r="E30" s="55" t="inlineStr">
        <is>
          <t>↑</t>
        </is>
      </c>
      <c r="F30" s="15" t="inlineStr">
        <is>
          <t>🔴 رئيسي</t>
        </is>
      </c>
      <c r="G30" s="64" t="n">
        <v>0.04</v>
      </c>
      <c r="H30" s="67" t="n">
        <v>4.7</v>
      </c>
      <c r="I30" s="22" t="inlineStr">
        <is>
          <t>≥ 4.7 نجمة</t>
        </is>
      </c>
      <c r="J30" s="85" t="inlineStr">
        <is>
          <t>الاستدامة</t>
        </is>
      </c>
      <c r="K30" s="11" t="inlineStr">
        <is>
          <t>تعزيز تجربة العملاء</t>
        </is>
      </c>
      <c r="L30" s="15" t="inlineStr">
        <is>
          <t>العملاء</t>
        </is>
      </c>
      <c r="M30" s="68" t="n">
        <v>3.474</v>
      </c>
      <c r="N30" s="10">
        <f>IF($H30="","",IF($M30="","",MIN(1,IF($H30=0,IF($M30&lt;=0,1,0),IF($E30="↓",IFERROR($H30/$M30,0),IFERROR($M30/$H30,0))))))</f>
        <v/>
      </c>
      <c r="O30" s="20">
        <f>IF($N30="","⏳ بانتظار هدف",IF($N30&gt;=1.0,"✅ محقق",IF($N30&gt;=0.85,"🟡 قريب","🔴 تحت الهدف")))</f>
        <v/>
      </c>
      <c r="P30" s="86" t="inlineStr">
        <is>
          <t>مجموع قيم «تقييم المحطات على خرائط قوقل» ÷ عدد المفردات المقيسة</t>
        </is>
      </c>
      <c r="Q30" s="86" t="inlineStr">
        <is>
          <t>تقييمات خرائط قوقل</t>
        </is>
      </c>
      <c r="R30" s="15" t="inlineStr">
        <is>
          <t>شهري</t>
        </is>
      </c>
    </row>
    <row r="31" outlineLevel="1" ht="26" customHeight="1">
      <c r="A31" s="20" t="n">
        <v>23</v>
      </c>
      <c r="B31" s="21" t="inlineStr">
        <is>
          <t>تجربة العملاء والشركاء</t>
        </is>
      </c>
      <c r="C31" s="21" t="inlineStr">
        <is>
          <t>معدل رضا شركاء الامتياز (CSAT)</t>
        </is>
      </c>
      <c r="D31" s="55" t="inlineStr">
        <is>
          <t>%</t>
        </is>
      </c>
      <c r="E31" s="55" t="inlineStr">
        <is>
          <t>↑</t>
        </is>
      </c>
      <c r="F31" s="15" t="inlineStr">
        <is>
          <t>🔴 رئيسي</t>
        </is>
      </c>
      <c r="G31" s="64" t="n">
        <v>0.04</v>
      </c>
      <c r="H31" s="64" t="n">
        <v>0.9</v>
      </c>
      <c r="I31" s="22" t="inlineStr">
        <is>
          <t>90%+</t>
        </is>
      </c>
      <c r="J31" s="85" t="inlineStr">
        <is>
          <t>الاستدامة</t>
        </is>
      </c>
      <c r="K31" s="11" t="inlineStr">
        <is>
          <t>تعزيز تجربة العملاء</t>
        </is>
      </c>
      <c r="L31" s="15" t="inlineStr">
        <is>
          <t>العملاء</t>
        </is>
      </c>
      <c r="M31" s="65" t="n">
        <v>0.837</v>
      </c>
      <c r="N31" s="10">
        <f>IF($H31="","",IF($M31="","",MIN(1,IF($H31=0,IF($M31&lt;=0,1,0),IF($E31="↓",IFERROR($H31/$M31,0),IFERROR($M31/$H31,0))))))</f>
        <v/>
      </c>
      <c r="O31" s="20">
        <f>IF($N31="","⏳ بانتظار هدف",IF($N31&gt;=0.9,"✅ محقق",IF($N31&gt;=0.75,"🟡 قريب","🔴 تحت الهدف")))</f>
        <v/>
      </c>
      <c r="P31" s="86" t="inlineStr">
        <is>
          <t>عدد حالات «رضا شركاء الامتياز» خلال الفترة ÷ إجمالي الحالات القابلة للقياس × 100٪</t>
        </is>
      </c>
      <c r="Q31" s="86" t="inlineStr">
        <is>
          <t>استبيان دوري</t>
        </is>
      </c>
      <c r="R31" s="15" t="inlineStr">
        <is>
          <t>ربعي</t>
        </is>
      </c>
    </row>
    <row r="32" outlineLevel="1" ht="26" customHeight="1">
      <c r="A32" s="20" t="n">
        <v>24</v>
      </c>
      <c r="B32" s="21" t="inlineStr">
        <is>
          <t>تجربة العملاء والشركاء</t>
        </is>
      </c>
      <c r="C32" s="21" t="inlineStr">
        <is>
          <t>نسبة حل الشكاوى خلال المدة المحددة</t>
        </is>
      </c>
      <c r="D32" s="55" t="inlineStr">
        <is>
          <t>%</t>
        </is>
      </c>
      <c r="E32" s="55" t="inlineStr">
        <is>
          <t>↑</t>
        </is>
      </c>
      <c r="F32" s="15" t="inlineStr">
        <is>
          <t>🟠 مهم</t>
        </is>
      </c>
      <c r="G32" s="64" t="n">
        <v>0.03</v>
      </c>
      <c r="H32" s="64" t="n">
        <v>0.95</v>
      </c>
      <c r="I32" s="22" t="inlineStr">
        <is>
          <t>95%+</t>
        </is>
      </c>
      <c r="J32" s="85" t="inlineStr">
        <is>
          <t>الاستدامة</t>
        </is>
      </c>
      <c r="K32" s="11" t="inlineStr">
        <is>
          <t>تعزيز تجربة العملاء</t>
        </is>
      </c>
      <c r="L32" s="15" t="inlineStr">
        <is>
          <t>العملاء</t>
        </is>
      </c>
      <c r="M32" s="65" t="n">
        <v>0.922</v>
      </c>
      <c r="N32" s="10">
        <f>IF($H32="","",IF($M32="","",MIN(1,IF($H32=0,IF($M32&lt;=0,1,0),IF($E32="↓",IFERROR($H32/$M32,0),IFERROR($M32/$H32,0))))))</f>
        <v/>
      </c>
      <c r="O32" s="20">
        <f>IF($N32="","⏳ بانتظار هدف",IF($N32&gt;=1.0,"✅ محقق",IF($N32&gt;=0.85,"🟡 قريب","🔴 تحت الهدف")))</f>
        <v/>
      </c>
      <c r="P32" s="86" t="inlineStr">
        <is>
          <t>قيمة/عدد المتحقّق من «حل الشكاوى خلال المدة المحددة» ÷ الإجمالي المستهدف لنفس البند × 100٪</t>
        </is>
      </c>
      <c r="Q32" s="86" t="inlineStr">
        <is>
          <t>سجلات الإدارة</t>
        </is>
      </c>
      <c r="R32" s="15" t="inlineStr">
        <is>
          <t>شهري</t>
        </is>
      </c>
    </row>
    <row r="33" outlineLevel="1" ht="26" customHeight="1">
      <c r="A33" s="20" t="n">
        <v>25</v>
      </c>
      <c r="B33" s="21" t="inlineStr">
        <is>
          <t>تجربة العملاء والشركاء</t>
        </is>
      </c>
      <c r="C33" s="21" t="inlineStr">
        <is>
          <t>نسبة انخفاض الشكاوى التشغيلية والإدارية</t>
        </is>
      </c>
      <c r="D33" s="55" t="inlineStr">
        <is>
          <t>%</t>
        </is>
      </c>
      <c r="E33" s="55" t="inlineStr">
        <is>
          <t>↑</t>
        </is>
      </c>
      <c r="F33" s="15" t="inlineStr">
        <is>
          <t>🟠 مهم</t>
        </is>
      </c>
      <c r="G33" s="64" t="n">
        <v>0.03</v>
      </c>
      <c r="H33" s="64" t="n">
        <v>0.3</v>
      </c>
      <c r="I33" s="22" t="inlineStr">
        <is>
          <t>≥ 30%</t>
        </is>
      </c>
      <c r="J33" s="85" t="inlineStr">
        <is>
          <t>الاستدامة</t>
        </is>
      </c>
      <c r="K33" s="11" t="inlineStr">
        <is>
          <t>تعزيز تجربة العملاء</t>
        </is>
      </c>
      <c r="L33" s="15" t="inlineStr">
        <is>
          <t>العملاء</t>
        </is>
      </c>
      <c r="M33" s="65" t="n">
        <v>0.274</v>
      </c>
      <c r="N33" s="10">
        <f>IF($H33="","",IF($M33="","",MIN(1,IF($H33=0,IF($M33&lt;=0,1,0),IF($E33="↓",IFERROR($H33/$M33,0),IFERROR($M33/$H33,0))))))</f>
        <v/>
      </c>
      <c r="O33" s="20">
        <f>IF($N33="","⏳ بانتظار هدف",IF($N33&gt;=1.0,"✅ محقق",IF($N33&gt;=0.85,"🟡 قريب","🔴 تحت الهدف")))</f>
        <v/>
      </c>
      <c r="P33" s="86" t="inlineStr">
        <is>
          <t>قيمة/عدد المتحقّق من «انخفاض الشكاوى التشغيلية والإدارية» ÷ الإجمالي المستهدف لنفس البند × 100٪</t>
        </is>
      </c>
      <c r="Q33" s="86" t="inlineStr">
        <is>
          <t>سجلات الإدارة</t>
        </is>
      </c>
      <c r="R33" s="15" t="inlineStr">
        <is>
          <t>شهري</t>
        </is>
      </c>
    </row>
    <row r="34" ht="24" customHeight="1">
      <c r="B34" s="78" t="inlineStr">
        <is>
          <t>استدامة الشراكة والامتثال</t>
        </is>
      </c>
      <c r="C34" s="79" t="inlineStr">
        <is>
          <t>📊 مؤشر استدامة الشراكة والامتثال العام</t>
        </is>
      </c>
      <c r="D34" s="80" t="n"/>
      <c r="E34" s="80" t="n"/>
      <c r="F34" s="81" t="inlineStr">
        <is>
          <t>🔷 أساسي</t>
        </is>
      </c>
      <c r="G34" s="82" t="n">
        <v>0.09</v>
      </c>
      <c r="H34" s="80" t="n"/>
      <c r="I34" s="80" t="n"/>
      <c r="J34" s="80" t="n"/>
      <c r="K34" s="80" t="n"/>
      <c r="L34" s="80" t="n"/>
      <c r="M34" s="80" t="n"/>
      <c r="N34" s="83">
        <f>IFERROR(SUMIFS('قاعدة المؤشرات'!$J:$J,'قاعدة المؤشرات'!$B:$B,"الامتياز التجاري",'قاعدة المؤشرات'!$L:$L,"استدامة الشراكة والامتثال")/SUMIFS('قاعدة المؤشرات'!$K:$K,'قاعدة المؤشرات'!$B:$B,"الامتياز التجاري",'قاعدة المؤشرات'!$L:$L,"استدامة الشراكة والامتثال"),"")</f>
        <v/>
      </c>
      <c r="O34" s="84">
        <f>IF($N34="","⏳ بانتظار هدف",IF($N34&gt;=1,"✅ محقق",IF($N34&gt;=0.85,"🟡 قريب","🔴 تحت الهدف")))</f>
        <v/>
      </c>
      <c r="P34" s="80" t="n"/>
      <c r="Q34" s="80" t="n"/>
      <c r="R34" s="80" t="n"/>
    </row>
    <row r="35" outlineLevel="1" ht="26" customHeight="1">
      <c r="A35" s="20" t="n">
        <v>26</v>
      </c>
      <c r="B35" s="21" t="inlineStr">
        <is>
          <t>استدامة الشراكة والامتثال</t>
        </is>
      </c>
      <c r="C35" s="21" t="inlineStr">
        <is>
          <t>نسبة استدامة أصحاب الامتياز (Retention)</t>
        </is>
      </c>
      <c r="D35" s="55" t="inlineStr">
        <is>
          <t>%</t>
        </is>
      </c>
      <c r="E35" s="55" t="inlineStr">
        <is>
          <t>↑</t>
        </is>
      </c>
      <c r="F35" s="15" t="inlineStr">
        <is>
          <t>🟠 مهم</t>
        </is>
      </c>
      <c r="G35" s="64" t="n">
        <v>0.03</v>
      </c>
      <c r="H35" s="64" t="n">
        <v>0.9</v>
      </c>
      <c r="I35" s="22" t="inlineStr">
        <is>
          <t>90%</t>
        </is>
      </c>
      <c r="J35" s="85" t="inlineStr">
        <is>
          <t>الاستدامة</t>
        </is>
      </c>
      <c r="K35" s="11" t="inlineStr">
        <is>
          <t>تعزيز تجربة العملاء</t>
        </is>
      </c>
      <c r="L35" s="15" t="inlineStr">
        <is>
          <t>العمليات الداخلية</t>
        </is>
      </c>
      <c r="M35" s="65" t="n">
        <v>0.853</v>
      </c>
      <c r="N35" s="10">
        <f>IF($H35="","",IF($M35="","",MIN(1,IF($H35=0,IF($M35&lt;=0,1,0),IF($E35="↓",IFERROR($H35/$M35,0),IFERROR($M35/$H35,0))))))</f>
        <v/>
      </c>
      <c r="O35" s="20">
        <f>IF($N35="","⏳ بانتظار هدف",IF($N35&gt;=1.0,"✅ محقق",IF($N35&gt;=0.85,"🟡 قريب","🔴 تحت الهدف")))</f>
        <v/>
      </c>
      <c r="P35" s="86" t="inlineStr">
        <is>
          <t>قيمة/عدد المتحقّق من «استدامة أصحاب الامتياز» ÷ الإجمالي المستهدف لنفس البند × 100٪</t>
        </is>
      </c>
      <c r="Q35" s="86" t="inlineStr">
        <is>
          <t>نظام إدارة الجودة (QMS)</t>
        </is>
      </c>
      <c r="R35" s="15" t="inlineStr">
        <is>
          <t>شهري</t>
        </is>
      </c>
    </row>
    <row r="36" outlineLevel="1" ht="26" customHeight="1">
      <c r="A36" s="20" t="n">
        <v>27</v>
      </c>
      <c r="B36" s="21" t="inlineStr">
        <is>
          <t>استدامة الشراكة والامتثال</t>
        </is>
      </c>
      <c r="C36" s="21" t="inlineStr">
        <is>
          <t>نسبة زيادة عدد أصحاب الامتياز</t>
        </is>
      </c>
      <c r="D36" s="55" t="inlineStr">
        <is>
          <t>%</t>
        </is>
      </c>
      <c r="E36" s="55" t="inlineStr">
        <is>
          <t>↑</t>
        </is>
      </c>
      <c r="F36" s="15" t="inlineStr">
        <is>
          <t>🟠 مهم</t>
        </is>
      </c>
      <c r="G36" s="64" t="n">
        <v>0.02</v>
      </c>
      <c r="H36" s="64" t="n">
        <v>1</v>
      </c>
      <c r="I36" s="22" t="inlineStr">
        <is>
          <t>100% نمو</t>
        </is>
      </c>
      <c r="J36" s="85" t="inlineStr">
        <is>
          <t>الاستدامة</t>
        </is>
      </c>
      <c r="K36" s="11" t="inlineStr">
        <is>
          <t>تعزيز تجربة العملاء</t>
        </is>
      </c>
      <c r="L36" s="15" t="inlineStr">
        <is>
          <t>العمليات الداخلية</t>
        </is>
      </c>
      <c r="M36" s="65" t="n">
        <v>0.8100000000000001</v>
      </c>
      <c r="N36" s="10">
        <f>IF($H36="","",IF($M36="","",MIN(1,IF($H36=0,IF($M36&lt;=0,1,0),IF($E36="↓",IFERROR($H36/$M36,0),IFERROR($M36/$H36,0))))))</f>
        <v/>
      </c>
      <c r="O36" s="20">
        <f>IF($N36="","⏳ بانتظار هدف",IF($N36&gt;=1.0,"✅ محقق",IF($N36&gt;=0.85,"🟡 قريب","🔴 تحت الهدف")))</f>
        <v/>
      </c>
      <c r="P36" s="86" t="inlineStr">
        <is>
          <t>قيمة/عدد المتحقّق من «زيادة عدد أصحاب الامتياز» ÷ الإجمالي المستهدف لنفس البند × 100٪</t>
        </is>
      </c>
      <c r="Q36" s="86" t="inlineStr">
        <is>
          <t>نظام إدارة الجودة (QMS)</t>
        </is>
      </c>
      <c r="R36" s="15" t="inlineStr">
        <is>
          <t>شهري</t>
        </is>
      </c>
    </row>
    <row r="37" outlineLevel="1" ht="26" customHeight="1">
      <c r="A37" s="20" t="n">
        <v>28</v>
      </c>
      <c r="B37" s="21" t="inlineStr">
        <is>
          <t>استدامة الشراكة والامتثال</t>
        </is>
      </c>
      <c r="C37" s="21" t="inlineStr">
        <is>
          <t>متوسط مدة إغلاق عقد الامتياز</t>
        </is>
      </c>
      <c r="D37" s="55" t="inlineStr">
        <is>
          <t>أسبوع</t>
        </is>
      </c>
      <c r="E37" s="55" t="inlineStr">
        <is>
          <t>↓</t>
        </is>
      </c>
      <c r="F37" s="15" t="inlineStr">
        <is>
          <t>🔴 رئيسي</t>
        </is>
      </c>
      <c r="G37" s="64" t="n">
        <v>0.04</v>
      </c>
      <c r="H37" s="67" t="n">
        <v>1</v>
      </c>
      <c r="I37" s="22" t="inlineStr">
        <is>
          <t>≤ أسبوع</t>
        </is>
      </c>
      <c r="J37" s="85" t="inlineStr">
        <is>
          <t>النمو</t>
        </is>
      </c>
      <c r="K37" s="11" t="inlineStr">
        <is>
          <t>الامتياز التجاري</t>
        </is>
      </c>
      <c r="L37" s="15" t="inlineStr">
        <is>
          <t>العمليات الداخلية</t>
        </is>
      </c>
      <c r="M37" s="68" t="n">
        <v>0.899</v>
      </c>
      <c r="N37" s="10">
        <f>IF($H37="","",IF($M37="","",MIN(1,IF($H37=0,IF($M37&lt;=0,1,0),IF($E37="↓",IFERROR($H37/$M37,0),IFERROR($M37/$H37,0))))))</f>
        <v/>
      </c>
      <c r="O37" s="20">
        <f>IF($N37="","⏳ بانتظار هدف",IF($N37&gt;=1.0,"✅ محقق",IF($N37&gt;=0.85,"🟡 قريب","🔴 تحت الهدف")))</f>
        <v/>
      </c>
      <c r="P37" s="86" t="inlineStr">
        <is>
          <t>مجموع قيم «مدة إغلاق عقد الامتياز» ÷ عدد المفردات المقيسة</t>
        </is>
      </c>
      <c r="Q37" s="86" t="inlineStr">
        <is>
          <t>نظام إدارة الجودة (QMS)</t>
        </is>
      </c>
      <c r="R37" s="15" t="inlineStr">
        <is>
          <t>شهري</t>
        </is>
      </c>
    </row>
    <row r="38" outlineLevel="1" ht="26" customHeight="1">
      <c r="A38" s="20" t="n">
        <v>29</v>
      </c>
      <c r="B38" s="21" t="inlineStr">
        <is>
          <t>الأداء المالي</t>
        </is>
      </c>
      <c r="C38" s="21" t="inlineStr">
        <is>
          <t>نسبة التحصيل خلال 5 أيام عمل</t>
        </is>
      </c>
      <c r="D38" s="55" t="inlineStr">
        <is>
          <t>%</t>
        </is>
      </c>
      <c r="E38" s="55" t="inlineStr">
        <is>
          <t>↑</t>
        </is>
      </c>
      <c r="F38" s="15" t="inlineStr">
        <is>
          <t>🔴 رئيسي</t>
        </is>
      </c>
      <c r="G38" s="64" t="n">
        <v>0.04</v>
      </c>
      <c r="H38" s="64" t="n">
        <v>0.9</v>
      </c>
      <c r="I38" s="22" t="inlineStr">
        <is>
          <t>≥ 90%</t>
        </is>
      </c>
      <c r="J38" s="85" t="inlineStr">
        <is>
          <t>الاستدامة</t>
        </is>
      </c>
      <c r="K38" s="11" t="inlineStr">
        <is>
          <t>الامتياز التجاري</t>
        </is>
      </c>
      <c r="L38" s="15" t="inlineStr">
        <is>
          <t>مالي</t>
        </is>
      </c>
      <c r="M38" s="65" t="n">
        <v>0.652</v>
      </c>
      <c r="N38" s="10">
        <f>IF($H38="","",IF($M38="","",MIN(1,IF($H38=0,IF($M38&lt;=0,1,0),IF($E38="↓",IFERROR($H38/$M38,0),IFERROR($M38/$H38,0))))))</f>
        <v/>
      </c>
      <c r="O38" s="20">
        <f>IF($N38="","⏳ بانتظار هدف",IF($N38&gt;=1.0,"✅ محقق",IF($N38&gt;=0.85,"🟡 قريب","🔴 تحت الهدف")))</f>
        <v/>
      </c>
      <c r="P38" s="86" t="inlineStr">
        <is>
          <t>قيمة/عدد المتحقّق من «التحصيل خلال 5 أيام عمل» ÷ الإجمالي المستهدف لنفس البند × 100٪</t>
        </is>
      </c>
      <c r="Q38" s="86" t="inlineStr">
        <is>
          <t>نظام المحاسبة / ERP (D365)</t>
        </is>
      </c>
      <c r="R38" s="15" t="inlineStr">
        <is>
          <t>شهري</t>
        </is>
      </c>
    </row>
  </sheetData>
  <autoFilter ref="A3:R38"/>
  <mergeCells count="2">
    <mergeCell ref="A2:R2"/>
    <mergeCell ref="A1:R1"/>
  </mergeCells>
  <dataValidations count="1">
    <dataValidation sqref="M5 M6 M8 M9 M11 M12 M13 M14 M15 M16 M17 M19 M20 M21 M22 M23 M24 M25 M26 M27 M28 M30 M31 M32 M33 M35 M36 M37 M38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1"/>
    <pageSetUpPr/>
  </sheetPr>
  <dimension ref="A1:R2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التشغيل والمحطات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6" customHeight="1">
      <c r="A4" s="20" t="n">
        <v>1</v>
      </c>
      <c r="B4" s="21" t="inlineStr">
        <is>
          <t>النمو</t>
        </is>
      </c>
      <c r="C4" s="21" t="inlineStr">
        <is>
          <t>عدد المحطات المشغّلة (تراكمي)</t>
        </is>
      </c>
      <c r="D4" s="55" t="inlineStr">
        <is>
          <t>محطة</t>
        </is>
      </c>
      <c r="E4" s="55" t="inlineStr">
        <is>
          <t>↑</t>
        </is>
      </c>
      <c r="F4" s="15" t="inlineStr">
        <is>
          <t>🔴 رئيسي</t>
        </is>
      </c>
      <c r="G4" s="64" t="n">
        <v>0.08</v>
      </c>
      <c r="H4" s="60" t="n">
        <v>85</v>
      </c>
      <c r="I4" s="22" t="inlineStr">
        <is>
          <t>85 محطة</t>
        </is>
      </c>
      <c r="J4" s="85" t="inlineStr">
        <is>
          <t>النمو</t>
        </is>
      </c>
      <c r="K4" s="11" t="inlineStr">
        <is>
          <t>التوسع في المواقع</t>
        </is>
      </c>
      <c r="L4" s="15" t="inlineStr">
        <is>
          <t>العمليات الداخلية</t>
        </is>
      </c>
      <c r="M4" s="61" t="n">
        <v>78.5</v>
      </c>
      <c r="N4" s="10">
        <f>IF($H4="","",IF($M4="","",MIN(1,IF($H4=0,IF($M4&lt;=0,1,0),IF($E4="↓",IFERROR($H4/$M4,0),IFERROR($M4/$H4,0))))))</f>
        <v/>
      </c>
      <c r="O4" s="20">
        <f>IF($N4="","⏳ بانتظار هدف",IF($N4&gt;=1.0,"✅ محقق",IF($N4&gt;=0.85,"🟡 قريب","🔴 تحت الهدف")))</f>
        <v/>
      </c>
      <c r="P4" s="86" t="inlineStr">
        <is>
          <t>إجمالي عدد «المحطات المشغّلة» تراكمياً حتى نهاية الفترة</t>
        </is>
      </c>
      <c r="Q4" s="86" t="inlineStr">
        <is>
          <t>نظام تشغيل المحطات</t>
        </is>
      </c>
      <c r="R4" s="15" t="inlineStr">
        <is>
          <t>شهري</t>
        </is>
      </c>
    </row>
    <row r="5" ht="24" customHeight="1">
      <c r="B5" s="78" t="inlineStr">
        <is>
          <t>الربحية</t>
        </is>
      </c>
      <c r="C5" s="79" t="inlineStr">
        <is>
          <t>📊 نمو مبيعات الوقود</t>
        </is>
      </c>
      <c r="D5" s="80" t="n"/>
      <c r="E5" s="80" t="n"/>
      <c r="F5" s="81" t="inlineStr">
        <is>
          <t>🔷 أساسي</t>
        </is>
      </c>
      <c r="G5" s="82" t="n">
        <v>0.32</v>
      </c>
      <c r="H5" s="80" t="n"/>
      <c r="I5" s="80" t="n"/>
      <c r="J5" s="80" t="n"/>
      <c r="K5" s="80" t="n"/>
      <c r="L5" s="80" t="n"/>
      <c r="M5" s="80" t="n"/>
      <c r="N5" s="83">
        <f>IFERROR(SUMIFS('قاعدة المؤشرات'!$J:$J,'قاعدة المؤشرات'!$B:$B,"التشغيل والمحطات",'قاعدة المؤشرات'!$L:$L,"الربحية")/SUMIFS('قاعدة المؤشرات'!$K:$K,'قاعدة المؤشرات'!$B:$B,"التشغيل والمحطات",'قاعدة المؤشرات'!$L:$L,"الربحية"),"")</f>
        <v/>
      </c>
      <c r="O5" s="84">
        <f>IF($N5="","⏳ بانتظار هدف",IF($N5&gt;=1,"✅ محقق",IF($N5&gt;=0.85,"🟡 قريب","🔴 تحت الهدف")))</f>
        <v/>
      </c>
      <c r="P5" s="80" t="n"/>
      <c r="Q5" s="80" t="n"/>
      <c r="R5" s="80" t="n"/>
    </row>
    <row r="6" outlineLevel="1" ht="26" customHeight="1">
      <c r="A6" s="20" t="n">
        <v>2</v>
      </c>
      <c r="B6" s="21" t="inlineStr">
        <is>
          <t>الربحية</t>
        </is>
      </c>
      <c r="C6" s="21" t="inlineStr">
        <is>
          <t>نمو مبيعات بنزين 91 مقارنة بالعام السابق</t>
        </is>
      </c>
      <c r="D6" s="55" t="inlineStr">
        <is>
          <t>%</t>
        </is>
      </c>
      <c r="E6" s="55" t="inlineStr">
        <is>
          <t>↑</t>
        </is>
      </c>
      <c r="F6" s="15" t="inlineStr">
        <is>
          <t>🔴 رئيسي</t>
        </is>
      </c>
      <c r="G6" s="64" t="n">
        <v>0.08</v>
      </c>
      <c r="H6" s="64" t="n">
        <v>0.1</v>
      </c>
      <c r="I6" s="22" t="inlineStr">
        <is>
          <t>≥ 10%</t>
        </is>
      </c>
      <c r="J6" s="85" t="inlineStr">
        <is>
          <t>النمو</t>
        </is>
      </c>
      <c r="K6" s="11" t="inlineStr">
        <is>
          <t>زيادة وصول العملاء</t>
        </is>
      </c>
      <c r="L6" s="15" t="inlineStr">
        <is>
          <t>مالي</t>
        </is>
      </c>
      <c r="M6" s="65" t="n">
        <v>0.08599999999999999</v>
      </c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محقق",IF($N6&gt;=0.85,"🟡 قريب","🔴 تحت الهدف")))</f>
        <v/>
      </c>
      <c r="P6" s="86" t="inlineStr">
        <is>
          <t>القيمة المتحقّقة من «نمو مبيعات بنزين 91 مقارنة بالعام السابق» ÷ المستهدف × 100٪</t>
        </is>
      </c>
      <c r="Q6" s="86" t="inlineStr">
        <is>
          <t>نظام المحاسبة / ERP (D365)</t>
        </is>
      </c>
      <c r="R6" s="15" t="inlineStr">
        <is>
          <t>شهري</t>
        </is>
      </c>
    </row>
    <row r="7" outlineLevel="1" ht="26" customHeight="1">
      <c r="A7" s="20" t="n">
        <v>3</v>
      </c>
      <c r="B7" s="21" t="inlineStr">
        <is>
          <t>الربحية</t>
        </is>
      </c>
      <c r="C7" s="21" t="inlineStr">
        <is>
          <t>نمو مبيعات بنزين 95 مقارنة بالعام السابق</t>
        </is>
      </c>
      <c r="D7" s="55" t="inlineStr">
        <is>
          <t>%</t>
        </is>
      </c>
      <c r="E7" s="55" t="inlineStr">
        <is>
          <t>↑</t>
        </is>
      </c>
      <c r="F7" s="15" t="inlineStr">
        <is>
          <t>🔴 رئيسي</t>
        </is>
      </c>
      <c r="G7" s="64" t="n">
        <v>0.08</v>
      </c>
      <c r="H7" s="64" t="n">
        <v>0.1</v>
      </c>
      <c r="I7" s="22" t="inlineStr">
        <is>
          <t>≥ 10%</t>
        </is>
      </c>
      <c r="J7" s="85" t="inlineStr">
        <is>
          <t>النمو</t>
        </is>
      </c>
      <c r="K7" s="11" t="inlineStr">
        <is>
          <t>زيادة وصول العملاء</t>
        </is>
      </c>
      <c r="L7" s="15" t="inlineStr">
        <is>
          <t>مالي</t>
        </is>
      </c>
      <c r="M7" s="65" t="n">
        <v>0.08400000000000001</v>
      </c>
      <c r="N7" s="10">
        <f>IF($H7="","",IF($M7="","",MIN(1,IF($H7=0,IF($M7&lt;=0,1,0),IF($E7="↓",IFERROR($H7/$M7,0),IFERROR($M7/$H7,0))))))</f>
        <v/>
      </c>
      <c r="O7" s="20">
        <f>IF($N7="","⏳ بانتظار هدف",IF($N7&gt;=1.0,"✅ محقق",IF($N7&gt;=0.85,"🟡 قريب","🔴 تحت الهدف")))</f>
        <v/>
      </c>
      <c r="P7" s="86" t="inlineStr">
        <is>
          <t>القيمة المتحقّقة من «نمو مبيعات بنزين 95 مقارنة بالعام السابق» ÷ المستهدف × 100٪</t>
        </is>
      </c>
      <c r="Q7" s="86" t="inlineStr">
        <is>
          <t>نظام المحاسبة / ERP (D365)</t>
        </is>
      </c>
      <c r="R7" s="15" t="inlineStr">
        <is>
          <t>شهري</t>
        </is>
      </c>
    </row>
    <row r="8" outlineLevel="1" ht="26" customHeight="1">
      <c r="A8" s="20" t="n">
        <v>4</v>
      </c>
      <c r="B8" s="21" t="inlineStr">
        <is>
          <t>الربحية</t>
        </is>
      </c>
      <c r="C8" s="21" t="inlineStr">
        <is>
          <t>نمو مبيعات بنزين 98 مقارنة بالعام السابق</t>
        </is>
      </c>
      <c r="D8" s="55" t="inlineStr">
        <is>
          <t>%</t>
        </is>
      </c>
      <c r="E8" s="55" t="inlineStr">
        <is>
          <t>↑</t>
        </is>
      </c>
      <c r="F8" s="15" t="inlineStr">
        <is>
          <t>🔴 رئيسي</t>
        </is>
      </c>
      <c r="G8" s="64" t="n">
        <v>0.08</v>
      </c>
      <c r="H8" s="64" t="n">
        <v>0.1</v>
      </c>
      <c r="I8" s="22" t="inlineStr">
        <is>
          <t>≥ 10%</t>
        </is>
      </c>
      <c r="J8" s="85" t="inlineStr">
        <is>
          <t>النمو</t>
        </is>
      </c>
      <c r="K8" s="11" t="inlineStr">
        <is>
          <t>زيادة وصول العملاء</t>
        </is>
      </c>
      <c r="L8" s="15" t="inlineStr">
        <is>
          <t>مالي</t>
        </is>
      </c>
      <c r="M8" s="65" t="n">
        <v>0.076</v>
      </c>
      <c r="N8" s="10">
        <f>IF($H8="","",IF($M8="","",MIN(1,IF($H8=0,IF($M8&lt;=0,1,0),IF($E8="↓",IFERROR($H8/$M8,0),IFERROR($M8/$H8,0))))))</f>
        <v/>
      </c>
      <c r="O8" s="20">
        <f>IF($N8="","⏳ بانتظار هدف",IF($N8&gt;=1.0,"✅ محقق",IF($N8&gt;=0.85,"🟡 قريب","🔴 تحت الهدف")))</f>
        <v/>
      </c>
      <c r="P8" s="86" t="inlineStr">
        <is>
          <t>القيمة المتحقّقة من «نمو مبيعات بنزين 98 مقارنة بالعام السابق» ÷ المستهدف × 100٪</t>
        </is>
      </c>
      <c r="Q8" s="86" t="inlineStr">
        <is>
          <t>نظام المحاسبة / ERP (D365)</t>
        </is>
      </c>
      <c r="R8" s="15" t="inlineStr">
        <is>
          <t>شهري</t>
        </is>
      </c>
    </row>
    <row r="9" outlineLevel="1" ht="26" customHeight="1">
      <c r="A9" s="20" t="n">
        <v>5</v>
      </c>
      <c r="B9" s="21" t="inlineStr">
        <is>
          <t>الربحية</t>
        </is>
      </c>
      <c r="C9" s="21" t="inlineStr">
        <is>
          <t>نمو مبيعات الديزل مقارنة بالعام السابق</t>
        </is>
      </c>
      <c r="D9" s="55" t="inlineStr">
        <is>
          <t>%</t>
        </is>
      </c>
      <c r="E9" s="55" t="inlineStr">
        <is>
          <t>↑</t>
        </is>
      </c>
      <c r="F9" s="15" t="inlineStr">
        <is>
          <t>🔴 رئيسي</t>
        </is>
      </c>
      <c r="G9" s="64" t="n">
        <v>0.08</v>
      </c>
      <c r="H9" s="64" t="n">
        <v>0.1</v>
      </c>
      <c r="I9" s="22" t="inlineStr">
        <is>
          <t>≥ 10%</t>
        </is>
      </c>
      <c r="J9" s="85" t="inlineStr">
        <is>
          <t>النمو</t>
        </is>
      </c>
      <c r="K9" s="11" t="inlineStr">
        <is>
          <t>زيادة وصول العملاء</t>
        </is>
      </c>
      <c r="L9" s="15" t="inlineStr">
        <is>
          <t>مالي</t>
        </is>
      </c>
      <c r="M9" s="65" t="n">
        <v>0.091</v>
      </c>
      <c r="N9" s="10">
        <f>IF($H9="","",IF($M9="","",MIN(1,IF($H9=0,IF($M9&lt;=0,1,0),IF($E9="↓",IFERROR($H9/$M9,0),IFERROR($M9/$H9,0))))))</f>
        <v/>
      </c>
      <c r="O9" s="20">
        <f>IF($N9="","⏳ بانتظار هدف",IF($N9&gt;=1.0,"✅ محقق",IF($N9&gt;=0.85,"🟡 قريب","🔴 تحت الهدف")))</f>
        <v/>
      </c>
      <c r="P9" s="86" t="inlineStr">
        <is>
          <t>القيمة المتحقّقة من «نمو مبيعات الديزل مقارنة بالعام السابق» ÷ المستهدف × 100٪</t>
        </is>
      </c>
      <c r="Q9" s="86" t="inlineStr">
        <is>
          <t>نظام المحاسبة / ERP (D365)</t>
        </is>
      </c>
      <c r="R9" s="15" t="inlineStr">
        <is>
          <t>شهري</t>
        </is>
      </c>
    </row>
    <row r="10" ht="24" customHeight="1">
      <c r="B10" s="78" t="inlineStr">
        <is>
          <t>حماية الإيراد</t>
        </is>
      </c>
      <c r="C10" s="79" t="inlineStr">
        <is>
          <t>📊 جاهزية وتوفّر المحطة</t>
        </is>
      </c>
      <c r="D10" s="80" t="n"/>
      <c r="E10" s="80" t="n"/>
      <c r="F10" s="81" t="inlineStr">
        <is>
          <t>🔷 أساسي</t>
        </is>
      </c>
      <c r="G10" s="82" t="n">
        <v>0.12</v>
      </c>
      <c r="H10" s="80" t="n"/>
      <c r="I10" s="80" t="n"/>
      <c r="J10" s="80" t="n"/>
      <c r="K10" s="80" t="n"/>
      <c r="L10" s="80" t="n"/>
      <c r="M10" s="80" t="n"/>
      <c r="N10" s="83">
        <f>IFERROR(SUMIFS('قاعدة المؤشرات'!$J:$J,'قاعدة المؤشرات'!$B:$B,"التشغيل والمحطات",'قاعدة المؤشرات'!$L:$L,"حماية الإيراد")/SUMIFS('قاعدة المؤشرات'!$K:$K,'قاعدة المؤشرات'!$B:$B,"التشغيل والمحطات",'قاعدة المؤشرات'!$L:$L,"حماية الإيراد"),"")</f>
        <v/>
      </c>
      <c r="O10" s="84">
        <f>IF($N10="","⏳ بانتظار هدف",IF($N10&gt;=1,"✅ محقق",IF($N10&gt;=0.85,"🟡 قريب","🔴 تحت الهدف")))</f>
        <v/>
      </c>
      <c r="P10" s="80" t="n"/>
      <c r="Q10" s="80" t="n"/>
      <c r="R10" s="80" t="n"/>
    </row>
    <row r="11" outlineLevel="1" ht="26" customHeight="1">
      <c r="A11" s="20" t="n">
        <v>6</v>
      </c>
      <c r="B11" s="21" t="inlineStr">
        <is>
          <t>حماية الإيراد</t>
        </is>
      </c>
      <c r="C11" s="21" t="inlineStr">
        <is>
          <t>نسبة جاهزية المحطة الشاملة (Uptime)</t>
        </is>
      </c>
      <c r="D11" s="55" t="inlineStr">
        <is>
          <t>%</t>
        </is>
      </c>
      <c r="E11" s="55" t="inlineStr">
        <is>
          <t>↑</t>
        </is>
      </c>
      <c r="F11" s="15" t="inlineStr">
        <is>
          <t>🔴 رئيسي</t>
        </is>
      </c>
      <c r="G11" s="64" t="n">
        <v>0.07000000000000001</v>
      </c>
      <c r="H11" s="64" t="n">
        <v>0.99</v>
      </c>
      <c r="I11" s="22" t="inlineStr">
        <is>
          <t>99%+</t>
        </is>
      </c>
      <c r="J11" s="85" t="inlineStr">
        <is>
          <t>الاستدامة</t>
        </is>
      </c>
      <c r="K11" s="11" t="inlineStr">
        <is>
          <t>جودة التشغيل</t>
        </is>
      </c>
      <c r="L11" s="15" t="inlineStr">
        <is>
          <t>العمليات الداخلية</t>
        </is>
      </c>
      <c r="M11" s="65" t="n">
        <v>0.831</v>
      </c>
      <c r="N11" s="10">
        <f>IF($H11="","",IF($M11="","",MIN(1,IF($H11=0,IF($M11&lt;=0,1,0),IF($E11="↓",IFERROR($H11/$M11,0),IFERROR($M11/$H11,0))))))</f>
        <v/>
      </c>
      <c r="O11" s="20">
        <f>IF($N11="","⏳ بانتظار هدف",IF($N11&gt;=1.0,"✅ محقق",IF($N11&gt;=0.97,"🟡 قريب","🔴 تحت الهدف")))</f>
        <v/>
      </c>
      <c r="P11" s="86" t="inlineStr">
        <is>
          <t>قيمة/عدد المتحقّق من «جاهزية المحطة الشاملة» ÷ الإجمالي المستهدف لنفس البند × 100٪</t>
        </is>
      </c>
      <c r="Q11" s="86" t="inlineStr">
        <is>
          <t>نظام المحاسبة / ERP (D365)</t>
        </is>
      </c>
      <c r="R11" s="15" t="inlineStr">
        <is>
          <t>شهري</t>
        </is>
      </c>
    </row>
    <row r="12" outlineLevel="1" ht="26" customHeight="1">
      <c r="A12" s="20" t="n">
        <v>7</v>
      </c>
      <c r="B12" s="21" t="inlineStr">
        <is>
          <t>حماية الإيراد</t>
        </is>
      </c>
      <c r="C12" s="21" t="inlineStr">
        <is>
          <t>نسبة المضخات العاملة</t>
        </is>
      </c>
      <c r="D12" s="55" t="inlineStr">
        <is>
          <t>%</t>
        </is>
      </c>
      <c r="E12" s="55" t="inlineStr">
        <is>
          <t>↑</t>
        </is>
      </c>
      <c r="F12" s="15" t="inlineStr">
        <is>
          <t>🟠 مهم</t>
        </is>
      </c>
      <c r="G12" s="64" t="n">
        <v>0.05</v>
      </c>
      <c r="H12" s="64" t="n">
        <v>0.97</v>
      </c>
      <c r="I12" s="22" t="inlineStr">
        <is>
          <t>≥ 97%</t>
        </is>
      </c>
      <c r="J12" s="85" t="inlineStr">
        <is>
          <t>الاستدامة</t>
        </is>
      </c>
      <c r="K12" s="11" t="inlineStr">
        <is>
          <t>جودة التشغيل</t>
        </is>
      </c>
      <c r="L12" s="15" t="inlineStr">
        <is>
          <t>العمليات الداخلية</t>
        </is>
      </c>
      <c r="M12" s="65" t="n">
        <v>0.953</v>
      </c>
      <c r="N12" s="10">
        <f>IF($H12="","",IF($M12="","",MIN(1,IF($H12=0,IF($M12&lt;=0,1,0),IF($E12="↓",IFERROR($H12/$M12,0),IFERROR($M12/$H12,0))))))</f>
        <v/>
      </c>
      <c r="O12" s="20">
        <f>IF($N12="","⏳ بانتظار هدف",IF($N12&gt;=1.0,"✅ محقق",IF($N12&gt;=0.85,"🟡 قريب","🔴 تحت الهدف")))</f>
        <v/>
      </c>
      <c r="P12" s="86" t="inlineStr">
        <is>
          <t>قيمة/عدد المتحقّق من «المضخات العاملة» ÷ الإجمالي المستهدف لنفس البند × 100٪</t>
        </is>
      </c>
      <c r="Q12" s="86" t="inlineStr">
        <is>
          <t>نظام المحاسبة / ERP (D365)</t>
        </is>
      </c>
      <c r="R12" s="15" t="inlineStr">
        <is>
          <t>شهري</t>
        </is>
      </c>
    </row>
    <row r="13" ht="26" customHeight="1">
      <c r="A13" s="20" t="n">
        <v>8</v>
      </c>
      <c r="B13" s="21" t="inlineStr">
        <is>
          <t>ضغط التكلفة</t>
        </is>
      </c>
      <c r="C13" s="21" t="inlineStr">
        <is>
          <t>تكلفة التشغيل لكل لتر مباع</t>
        </is>
      </c>
      <c r="D13" s="55" t="inlineStr">
        <is>
          <t>هللة/لتر</t>
        </is>
      </c>
      <c r="E13" s="55" t="inlineStr">
        <is>
          <t>↓</t>
        </is>
      </c>
      <c r="F13" s="15" t="inlineStr">
        <is>
          <t>🟠 مهم</t>
        </is>
      </c>
      <c r="G13" s="64" t="n">
        <v>0.05</v>
      </c>
      <c r="H13" s="55" t="inlineStr"/>
      <c r="I13" s="22" t="inlineStr">
        <is>
          <t>خفض ≥5% سنوياً</t>
        </is>
      </c>
      <c r="J13" s="85" t="inlineStr">
        <is>
          <t>الاستدامة</t>
        </is>
      </c>
      <c r="K13" s="11" t="inlineStr">
        <is>
          <t>جودة التشغيل</t>
        </is>
      </c>
      <c r="L13" s="15" t="inlineStr">
        <is>
          <t>مالي</t>
        </is>
      </c>
      <c r="M13" s="68" t="n"/>
      <c r="N13" s="10">
        <f>IF($H13="","",IF($M13="","",MIN(1,IF($H13=0,IF($M13&lt;=0,1,0),IF($E13="↓",IFERROR($H13/$M13,0),IFERROR($M13/$H13,0))))))</f>
        <v/>
      </c>
      <c r="O13" s="20">
        <f>IF($N13="","⏳ بانتظار هدف",IF($N13&gt;=1.0,"✅ محقق",IF($N13&gt;=0.85,"🟡 قريب","🔴 تحت الهدف")))</f>
        <v/>
      </c>
      <c r="P13" s="86" t="inlineStr">
        <is>
          <t>مجموع لترات «تكلفة التشغيل لكل لتر مباع» خلال الفترة</t>
        </is>
      </c>
      <c r="Q13" s="86" t="inlineStr">
        <is>
          <t>نظام تشغيل المحطات</t>
        </is>
      </c>
      <c r="R13" s="15" t="inlineStr">
        <is>
          <t>ربعي</t>
        </is>
      </c>
    </row>
    <row r="14" ht="26" customHeight="1">
      <c r="A14" s="20" t="n">
        <v>9</v>
      </c>
      <c r="B14" s="21" t="inlineStr">
        <is>
          <t>حماية الأصول</t>
        </is>
      </c>
      <c r="C14" s="21" t="inlineStr">
        <is>
          <t>نسبة الصيانة الوقائية المنفذة في موعدها</t>
        </is>
      </c>
      <c r="D14" s="55" t="inlineStr">
        <is>
          <t>%</t>
        </is>
      </c>
      <c r="E14" s="55" t="inlineStr">
        <is>
          <t>↑</t>
        </is>
      </c>
      <c r="F14" s="15" t="inlineStr">
        <is>
          <t>🟠 مهم</t>
        </is>
      </c>
      <c r="G14" s="64" t="n">
        <v>0.05</v>
      </c>
      <c r="H14" s="64" t="n">
        <v>0.95</v>
      </c>
      <c r="I14" s="22" t="inlineStr">
        <is>
          <t>≥ 95%</t>
        </is>
      </c>
      <c r="J14" s="85" t="inlineStr">
        <is>
          <t>الاستدامة</t>
        </is>
      </c>
      <c r="K14" s="11" t="inlineStr">
        <is>
          <t>جودة التشغيل</t>
        </is>
      </c>
      <c r="L14" s="15" t="inlineStr">
        <is>
          <t>العمليات الداخلية</t>
        </is>
      </c>
      <c r="M14" s="65" t="n">
        <v>0.758</v>
      </c>
      <c r="N14" s="10">
        <f>IF($H14="","",IF($M14="","",MIN(1,IF($H14=0,IF($M14&lt;=0,1,0),IF($E14="↓",IFERROR($H14/$M14,0),IFERROR($M14/$H14,0))))))</f>
        <v/>
      </c>
      <c r="O14" s="20">
        <f>IF($N14="","⏳ بانتظار هدف",IF($N14&gt;=1.0,"✅ محقق",IF($N14&gt;=0.85,"🟡 قريب","🔴 تحت الهدف")))</f>
        <v/>
      </c>
      <c r="P14" s="86" t="inlineStr">
        <is>
          <t>قيمة/عدد المتحقّق من «الصيانة الوقائية المنفذة في موعدها» ÷ الإجمالي المستهدف لنفس البند × 100٪</t>
        </is>
      </c>
      <c r="Q14" s="86" t="inlineStr">
        <is>
          <t>نظام تشغيل المحطات</t>
        </is>
      </c>
      <c r="R14" s="15" t="inlineStr">
        <is>
          <t>شهري</t>
        </is>
      </c>
    </row>
    <row r="15" ht="24" customHeight="1">
      <c r="B15" s="78" t="inlineStr">
        <is>
          <t>تجربة العميل</t>
        </is>
      </c>
      <c r="C15" s="79" t="inlineStr">
        <is>
          <t>📊 مؤشر تجربة العميل العام</t>
        </is>
      </c>
      <c r="D15" s="80" t="n"/>
      <c r="E15" s="80" t="n"/>
      <c r="F15" s="81" t="inlineStr">
        <is>
          <t>🔷 أساسي</t>
        </is>
      </c>
      <c r="G15" s="82" t="n">
        <v>0.24</v>
      </c>
      <c r="H15" s="80" t="n"/>
      <c r="I15" s="80" t="n"/>
      <c r="J15" s="80" t="n"/>
      <c r="K15" s="80" t="n"/>
      <c r="L15" s="80" t="n"/>
      <c r="M15" s="80" t="n"/>
      <c r="N15" s="83">
        <f>IFERROR(SUMIFS('قاعدة المؤشرات'!$J:$J,'قاعدة المؤشرات'!$B:$B,"التشغيل والمحطات",'قاعدة المؤشرات'!$L:$L,"تجربة العميل")/SUMIFS('قاعدة المؤشرات'!$K:$K,'قاعدة المؤشرات'!$B:$B,"التشغيل والمحطات",'قاعدة المؤشرات'!$L:$L,"تجربة العميل"),"")</f>
        <v/>
      </c>
      <c r="O15" s="84">
        <f>IF($N15="","⏳ بانتظار هدف",IF($N15&gt;=1,"✅ محقق",IF($N15&gt;=0.85,"🟡 قريب","🔴 تحت الهدف")))</f>
        <v/>
      </c>
      <c r="P15" s="80" t="n"/>
      <c r="Q15" s="80" t="n"/>
      <c r="R15" s="80" t="n"/>
    </row>
    <row r="16" outlineLevel="1" ht="26" customHeight="1">
      <c r="A16" s="20" t="n">
        <v>10</v>
      </c>
      <c r="B16" s="21" t="inlineStr">
        <is>
          <t>تجربة العميل</t>
        </is>
      </c>
      <c r="C16" s="21" t="inlineStr">
        <is>
          <t>نسبة انخفاض الشكاوى مقارنة بالشهر السابق</t>
        </is>
      </c>
      <c r="D16" s="55" t="inlineStr">
        <is>
          <t>%</t>
        </is>
      </c>
      <c r="E16" s="55" t="inlineStr">
        <is>
          <t>↑</t>
        </is>
      </c>
      <c r="F16" s="15" t="inlineStr">
        <is>
          <t>🟠 مهم</t>
        </is>
      </c>
      <c r="G16" s="64" t="n">
        <v>0.05</v>
      </c>
      <c r="H16" s="64" t="n">
        <v>0.2</v>
      </c>
      <c r="I16" s="22" t="inlineStr">
        <is>
          <t>≥ 20%</t>
        </is>
      </c>
      <c r="J16" s="85" t="inlineStr">
        <is>
          <t>الاستدامة</t>
        </is>
      </c>
      <c r="K16" s="11" t="inlineStr">
        <is>
          <t>تعزيز تجربة العملاء</t>
        </is>
      </c>
      <c r="L16" s="15" t="inlineStr">
        <is>
          <t>العملاء</t>
        </is>
      </c>
      <c r="M16" s="65" t="n">
        <v>0.163</v>
      </c>
      <c r="N16" s="10">
        <f>IF($H16="","",IF($M16="","",MIN(1,IF($H16=0,IF($M16&lt;=0,1,0),IF($E16="↓",IFERROR($H16/$M16,0),IFERROR($M16/$H16,0))))))</f>
        <v/>
      </c>
      <c r="O16" s="20">
        <f>IF($N16="","⏳ بانتظار هدف",IF($N16&gt;=1.0,"✅ محقق",IF($N16&gt;=0.85,"🟡 قريب","🔴 تحت الهدف")))</f>
        <v/>
      </c>
      <c r="P16" s="86" t="inlineStr">
        <is>
          <t>قيمة/عدد المتحقّق من «انخفاض الشكاوى مقارنة بالشهر السابق» ÷ الإجمالي المستهدف لنفس البند × 100٪</t>
        </is>
      </c>
      <c r="Q16" s="86" t="inlineStr">
        <is>
          <t>سجلات الإدارة</t>
        </is>
      </c>
      <c r="R16" s="15" t="inlineStr">
        <is>
          <t>شهري</t>
        </is>
      </c>
    </row>
    <row r="17" outlineLevel="1" ht="26" customHeight="1">
      <c r="A17" s="20" t="n">
        <v>11</v>
      </c>
      <c r="B17" s="21" t="inlineStr">
        <is>
          <t>تجربة العميل</t>
        </is>
      </c>
      <c r="C17" s="21" t="inlineStr">
        <is>
          <t>تقييم Google Maps للمحطات</t>
        </is>
      </c>
      <c r="D17" s="55" t="inlineStr">
        <is>
          <t>نجمة/5</t>
        </is>
      </c>
      <c r="E17" s="55" t="inlineStr">
        <is>
          <t>↑</t>
        </is>
      </c>
      <c r="F17" s="15" t="inlineStr">
        <is>
          <t>🔴 رئيسي</t>
        </is>
      </c>
      <c r="G17" s="64" t="n">
        <v>0.07000000000000001</v>
      </c>
      <c r="H17" s="67" t="n">
        <v>4.5</v>
      </c>
      <c r="I17" s="22" t="inlineStr">
        <is>
          <t>≥ 4.5</t>
        </is>
      </c>
      <c r="J17" s="85" t="inlineStr">
        <is>
          <t>الاستدامة</t>
        </is>
      </c>
      <c r="K17" s="11" t="inlineStr">
        <is>
          <t>تعزيز تجربة العملاء</t>
        </is>
      </c>
      <c r="L17" s="15" t="inlineStr">
        <is>
          <t>العملاء</t>
        </is>
      </c>
      <c r="M17" s="68" t="n">
        <v>4.048</v>
      </c>
      <c r="N17" s="10">
        <f>IF($H17="","",IF($M17="","",MIN(1,IF($H17=0,IF($M17&lt;=0,1,0),IF($E17="↓",IFERROR($H17/$M17,0),IFERROR($M17/$H17,0))))))</f>
        <v/>
      </c>
      <c r="O17" s="20">
        <f>IF($N17="","⏳ بانتظار هدف",IF($N17&gt;=1.0,"✅ محقق",IF($N17&gt;=0.85,"🟡 قريب","🔴 تحت الهدف")))</f>
        <v/>
      </c>
      <c r="P17" s="86" t="inlineStr">
        <is>
          <t>متوسط تقييم «تقييم Google Maps للمحطات» على مقياسه المعتمد</t>
        </is>
      </c>
      <c r="Q17" s="86" t="inlineStr">
        <is>
          <t>تقييمات خرائط قوقل</t>
        </is>
      </c>
      <c r="R17" s="15" t="inlineStr">
        <is>
          <t>شهري</t>
        </is>
      </c>
    </row>
    <row r="18" outlineLevel="1" ht="26" customHeight="1">
      <c r="A18" s="20" t="n">
        <v>12</v>
      </c>
      <c r="B18" s="21" t="inlineStr">
        <is>
          <t>تجربة العميل</t>
        </is>
      </c>
      <c r="C18" s="21" t="inlineStr">
        <is>
          <t>سرعة تعبئة الوقود</t>
        </is>
      </c>
      <c r="D18" s="55" t="inlineStr">
        <is>
          <t>دقيقة</t>
        </is>
      </c>
      <c r="E18" s="55" t="inlineStr">
        <is>
          <t>↓</t>
        </is>
      </c>
      <c r="F18" s="15" t="inlineStr">
        <is>
          <t>🟠 مهم</t>
        </is>
      </c>
      <c r="G18" s="64" t="n">
        <v>0.05</v>
      </c>
      <c r="H18" s="67" t="n">
        <v>3</v>
      </c>
      <c r="I18" s="22" t="inlineStr">
        <is>
          <t>≤ 3 دقائق</t>
        </is>
      </c>
      <c r="J18" s="85" t="inlineStr">
        <is>
          <t>الاستدامة</t>
        </is>
      </c>
      <c r="K18" s="11" t="inlineStr">
        <is>
          <t>تعزيز تجربة العملاء</t>
        </is>
      </c>
      <c r="L18" s="15" t="inlineStr">
        <is>
          <t>العمليات الداخلية</t>
        </is>
      </c>
      <c r="M18" s="68" t="n">
        <v>3.352</v>
      </c>
      <c r="N18" s="10">
        <f>IF($H18="","",IF($M18="","",MIN(1,IF($H18=0,IF($M18&lt;=0,1,0),IF($E18="↓",IFERROR($H18/$M18,0),IFERROR($M18/$H18,0))))))</f>
        <v/>
      </c>
      <c r="O18" s="20">
        <f>IF($N18="","⏳ بانتظار هدف",IF($N18&gt;=1.0,"✅ محقق",IF($N18&gt;=0.85,"🟡 قريب","🔴 تحت الهدف")))</f>
        <v/>
      </c>
      <c r="P18" s="86" t="inlineStr">
        <is>
          <t>قياس «سرعة تعبئة الوقود» مقابل مستهدفه المعتمد خلال الفترة</t>
        </is>
      </c>
      <c r="Q18" s="86" t="inlineStr">
        <is>
          <t>نظام تشغيل المحطات</t>
        </is>
      </c>
      <c r="R18" s="15" t="inlineStr">
        <is>
          <t>شهري</t>
        </is>
      </c>
    </row>
    <row r="19" outlineLevel="1" ht="26" customHeight="1">
      <c r="A19" s="20" t="n">
        <v>13</v>
      </c>
      <c r="B19" s="21" t="inlineStr">
        <is>
          <t>تجربة العميل</t>
        </is>
      </c>
      <c r="C19" s="21" t="inlineStr">
        <is>
          <t>دقة التعبئة بدون أخطاء</t>
        </is>
      </c>
      <c r="D19" s="55" t="inlineStr">
        <is>
          <t>%</t>
        </is>
      </c>
      <c r="E19" s="55" t="inlineStr">
        <is>
          <t>↑</t>
        </is>
      </c>
      <c r="F19" s="15" t="inlineStr">
        <is>
          <t>🟠 مهم</t>
        </is>
      </c>
      <c r="G19" s="64" t="n">
        <v>0.05</v>
      </c>
      <c r="H19" s="64" t="n">
        <v>0.99</v>
      </c>
      <c r="I19" s="22" t="inlineStr">
        <is>
          <t>≥ 99%</t>
        </is>
      </c>
      <c r="J19" s="85" t="inlineStr">
        <is>
          <t>الاستدامة</t>
        </is>
      </c>
      <c r="K19" s="11" t="inlineStr">
        <is>
          <t>جودة التشغيل</t>
        </is>
      </c>
      <c r="L19" s="15" t="inlineStr">
        <is>
          <t>العمليات الداخلية</t>
        </is>
      </c>
      <c r="M19" s="65" t="n">
        <v>0.831</v>
      </c>
      <c r="N19" s="10">
        <f>IF($H19="","",IF($M19="","",MIN(1,IF($H19=0,IF($M19&lt;=0,1,0),IF($E19="↓",IFERROR($H19/$M19,0),IFERROR($M19/$H19,0))))))</f>
        <v/>
      </c>
      <c r="O19" s="20">
        <f>IF($N19="","⏳ بانتظار هدف",IF($N19&gt;=1.0,"✅ محقق",IF($N19&gt;=0.97,"🟡 قريب","🔴 تحت الهدف")))</f>
        <v/>
      </c>
      <c r="P19" s="86" t="inlineStr">
        <is>
          <t>القيمة المتحقّقة من «دقة التعبئة بدون أخطاء» ÷ المستهدف × 100٪</t>
        </is>
      </c>
      <c r="Q19" s="86" t="inlineStr">
        <is>
          <t>نظام تشغيل المحطات</t>
        </is>
      </c>
      <c r="R19" s="15" t="inlineStr">
        <is>
          <t>شهري</t>
        </is>
      </c>
    </row>
    <row r="20" outlineLevel="1" ht="26" customHeight="1">
      <c r="A20" s="20" t="n">
        <v>14</v>
      </c>
      <c r="B20" s="21" t="inlineStr">
        <is>
          <t>تجربة العميل</t>
        </is>
      </c>
      <c r="C20" s="21" t="inlineStr">
        <is>
          <t>تطبيق المعيار الشامل في المحطات</t>
        </is>
      </c>
      <c r="D20" s="55" t="inlineStr">
        <is>
          <t>%</t>
        </is>
      </c>
      <c r="E20" s="55" t="inlineStr">
        <is>
          <t>↑</t>
        </is>
      </c>
      <c r="F20" s="15" t="inlineStr">
        <is>
          <t>🟡 متابعة</t>
        </is>
      </c>
      <c r="G20" s="64" t="n">
        <v>0.02</v>
      </c>
      <c r="H20" s="64" t="n">
        <v>0.8</v>
      </c>
      <c r="I20" s="22" t="inlineStr">
        <is>
          <t>≥ 80%</t>
        </is>
      </c>
      <c r="J20" s="85" t="inlineStr">
        <is>
          <t>الابتكار</t>
        </is>
      </c>
      <c r="K20" s="11" t="inlineStr">
        <is>
          <t>التحول التقني</t>
        </is>
      </c>
      <c r="L20" s="15" t="inlineStr">
        <is>
          <t>التعلّم والنمو</t>
        </is>
      </c>
      <c r="M20" s="65" t="n">
        <v>0.787</v>
      </c>
      <c r="N20" s="10">
        <f>IF($H20="","",IF($M20="","",MIN(1,IF($H20=0,IF($M20&lt;=0,1,0),IF($E20="↓",IFERROR($H20/$M20,0),IFERROR($M20/$H20,0))))))</f>
        <v/>
      </c>
      <c r="O20" s="20">
        <f>IF($N20="","⏳ بانتظار هدف",IF($N20&gt;=1.0,"✅ محقق",IF($N20&gt;=0.85,"🟡 قريب","🔴 تحت الهدف")))</f>
        <v/>
      </c>
      <c r="P20" s="86" t="inlineStr">
        <is>
          <t>القيمة المتحقّقة من «تطبيق المعيار الشامل في المحطات» ÷ المستهدف × 100٪</t>
        </is>
      </c>
      <c r="Q20" s="86" t="inlineStr">
        <is>
          <t>نظام تشغيل المحطات</t>
        </is>
      </c>
      <c r="R20" s="15" t="inlineStr">
        <is>
          <t>شهري</t>
        </is>
      </c>
    </row>
    <row r="21" ht="26" customHeight="1">
      <c r="A21" s="20" t="n">
        <v>15</v>
      </c>
      <c r="B21" s="21" t="inlineStr">
        <is>
          <t>السلامة</t>
        </is>
      </c>
      <c r="C21" s="21" t="inlineStr">
        <is>
          <t>الالتزام بمعايير السلامة داخل المحطة</t>
        </is>
      </c>
      <c r="D21" s="55" t="inlineStr">
        <is>
          <t>%</t>
        </is>
      </c>
      <c r="E21" s="55" t="inlineStr">
        <is>
          <t>↑</t>
        </is>
      </c>
      <c r="F21" s="15" t="inlineStr">
        <is>
          <t>🔴 رئيسي</t>
        </is>
      </c>
      <c r="G21" s="64" t="n">
        <v>0.07000000000000001</v>
      </c>
      <c r="H21" s="64" t="n">
        <v>1</v>
      </c>
      <c r="I21" s="22" t="inlineStr">
        <is>
          <t>100%</t>
        </is>
      </c>
      <c r="J21" s="85" t="inlineStr">
        <is>
          <t>الاستدامة</t>
        </is>
      </c>
      <c r="K21" s="11" t="inlineStr">
        <is>
          <t>جودة التشغيل</t>
        </is>
      </c>
      <c r="L21" s="15" t="inlineStr">
        <is>
          <t>العمليات الداخلية</t>
        </is>
      </c>
      <c r="M21" s="65" t="n">
        <v>0.837</v>
      </c>
      <c r="N21" s="10">
        <f>IF($H21="","",IF($M21="","",MIN(1,IF($H21=0,IF($M21&lt;=0,1,0),IF($E21="↓",IFERROR($H21/$M21,0),IFERROR($M21/$H21,0))))))</f>
        <v/>
      </c>
      <c r="O21" s="20">
        <f>IF($N21="","⏳ بانتظار هدف",IF($N21&gt;=1.0,"✅ محقق",IF($N21&gt;=0.97,"🟡 قريب","🔴 تحت الهدف")))</f>
        <v/>
      </c>
      <c r="P21" s="86" t="inlineStr">
        <is>
          <t>القيمة المتحقّقة من «الالتزام بمعايير السلامة داخل المحطة» ÷ المستهدف × 100٪</t>
        </is>
      </c>
      <c r="Q21" s="86" t="inlineStr">
        <is>
          <t>نظام تشغيل المحطات</t>
        </is>
      </c>
      <c r="R21" s="15" t="inlineStr">
        <is>
          <t>شهري</t>
        </is>
      </c>
    </row>
    <row r="22" ht="26" customHeight="1">
      <c r="A22" s="20" t="n">
        <v>16</v>
      </c>
      <c r="B22" s="21" t="inlineStr">
        <is>
          <t>البيئة</t>
        </is>
      </c>
      <c r="C22" s="21" t="inlineStr">
        <is>
          <t>التشجير داخل المحطة (معيار الوزارة)</t>
        </is>
      </c>
      <c r="D22" s="55" t="inlineStr">
        <is>
          <t>%</t>
        </is>
      </c>
      <c r="E22" s="55" t="inlineStr">
        <is>
          <t>↑</t>
        </is>
      </c>
      <c r="F22" s="15" t="inlineStr">
        <is>
          <t>🔴 رئيسي</t>
        </is>
      </c>
      <c r="G22" s="64" t="n">
        <v>0.07000000000000001</v>
      </c>
      <c r="H22" s="64" t="n">
        <v>1</v>
      </c>
      <c r="I22" s="22" t="inlineStr">
        <is>
          <t>100%</t>
        </is>
      </c>
      <c r="J22" s="85" t="inlineStr">
        <is>
          <t>الاستدامة</t>
        </is>
      </c>
      <c r="K22" s="11" t="inlineStr">
        <is>
          <t>جودة التشغيل</t>
        </is>
      </c>
      <c r="L22" s="15" t="inlineStr">
        <is>
          <t>العمليات الداخلية</t>
        </is>
      </c>
      <c r="M22" s="65" t="n">
        <v>0.747</v>
      </c>
      <c r="N22" s="10">
        <f>IF($H22="","",IF($M22="","",MIN(1,IF($H22=0,IF($M22&lt;=0,1,0),IF($E22="↓",IFERROR($H22/$M22,0),IFERROR($M22/$H22,0))))))</f>
        <v/>
      </c>
      <c r="O22" s="20">
        <f>IF($N22="","⏳ بانتظار هدف",IF($N22&gt;=1.0,"✅ محقق",IF($N22&gt;=0.85,"🟡 قريب","🔴 تحت الهدف")))</f>
        <v/>
      </c>
      <c r="P22" s="86" t="inlineStr">
        <is>
          <t>القيمة المتحقّقة من «التشجير داخل المحطة» ÷ المستهدف × 100٪</t>
        </is>
      </c>
      <c r="Q22" s="86" t="inlineStr">
        <is>
          <t>نظام تشغيل المحطات</t>
        </is>
      </c>
      <c r="R22" s="15" t="inlineStr">
        <is>
          <t>شهري</t>
        </is>
      </c>
    </row>
  </sheetData>
  <autoFilter ref="A3:R22"/>
  <mergeCells count="2">
    <mergeCell ref="A2:R2"/>
    <mergeCell ref="A1:R1"/>
  </mergeCells>
  <dataValidations count="1">
    <dataValidation sqref="M4 M6 M7 M8 M9 M11 M12 M13 M14 M16 M17 M18 M19 M20 M21 M22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1"/>
    <pageSetUpPr/>
  </sheetPr>
  <dimension ref="A1:R3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الاستثمار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4" customHeight="1">
      <c r="B4" s="78" t="inlineStr">
        <is>
          <t>نمو المحفظة</t>
        </is>
      </c>
      <c r="C4" s="79" t="inlineStr">
        <is>
          <t>📊 مؤشر نمو المحفظة العام</t>
        </is>
      </c>
      <c r="D4" s="80" t="n"/>
      <c r="E4" s="80" t="n"/>
      <c r="F4" s="81" t="inlineStr">
        <is>
          <t>🔷 أساسي</t>
        </is>
      </c>
      <c r="G4" s="82" t="n">
        <v>0.35</v>
      </c>
      <c r="H4" s="80" t="n"/>
      <c r="I4" s="80" t="n"/>
      <c r="J4" s="80" t="n"/>
      <c r="K4" s="80" t="n"/>
      <c r="L4" s="80" t="n"/>
      <c r="M4" s="80" t="n"/>
      <c r="N4" s="83">
        <f>IFERROR(SUMIFS('قاعدة المؤشرات'!$J:$J,'قاعدة المؤشرات'!$B:$B,"الاستثمار",'قاعدة المؤشرات'!$L:$L,"نمو المحفظة")/SUMIFS('قاعدة المؤشرات'!$K:$K,'قاعدة المؤشرات'!$B:$B,"الاستثمار",'قاعدة المؤشرات'!$L:$L,"نمو المحفظة"),"")</f>
        <v/>
      </c>
      <c r="O4" s="84">
        <f>IF($N4="","⏳ بانتظار هدف",IF($N4&gt;=1,"✅ محقق",IF($N4&gt;=0.85,"🟡 قريب","🔴 تحت الهدف")))</f>
        <v/>
      </c>
      <c r="P4" s="80" t="n"/>
      <c r="Q4" s="80" t="n"/>
      <c r="R4" s="80" t="n"/>
    </row>
    <row r="5" outlineLevel="1" ht="26" customHeight="1">
      <c r="A5" s="20" t="n">
        <v>1</v>
      </c>
      <c r="B5" s="21" t="inlineStr">
        <is>
          <t>نمو المحفظة</t>
        </is>
      </c>
      <c r="C5" s="21" t="inlineStr">
        <is>
          <t>إجمالي عقود الاستثمار الجديدة (جميع النماذج)</t>
        </is>
      </c>
      <c r="D5" s="55" t="inlineStr">
        <is>
          <t>عقد</t>
        </is>
      </c>
      <c r="E5" s="55" t="inlineStr">
        <is>
          <t>↑</t>
        </is>
      </c>
      <c r="F5" s="15" t="inlineStr">
        <is>
          <t>🔴 رئيسي</t>
        </is>
      </c>
      <c r="G5" s="64" t="n">
        <v>0.05</v>
      </c>
      <c r="H5" s="60" t="n">
        <v>190</v>
      </c>
      <c r="I5" s="22" t="inlineStr">
        <is>
          <t>190 عقد</t>
        </is>
      </c>
      <c r="J5" s="85" t="inlineStr">
        <is>
          <t>النمو</t>
        </is>
      </c>
      <c r="K5" s="11" t="inlineStr">
        <is>
          <t>التوسع في المواقع</t>
        </is>
      </c>
      <c r="L5" s="15" t="inlineStr">
        <is>
          <t>العمليات الداخلية</t>
        </is>
      </c>
      <c r="M5" s="61" t="n">
        <v>165.7</v>
      </c>
      <c r="N5" s="10">
        <f>IF($H5="","",IF($M5="","",MIN(1,IF($H5=0,IF($M5&lt;=0,1,0),IF($E5="↓",IFERROR($H5/$M5,0),IFERROR($M5/$H5,0))))))</f>
        <v/>
      </c>
      <c r="O5" s="20">
        <f>IF($N5="","⏳ بانتظار هدف",IF($N5&gt;=1.0,"✅ محقق",IF($N5&gt;=0.85,"🟡 قريب","🔴 تحت الهدف")))</f>
        <v/>
      </c>
      <c r="P5" s="86" t="inlineStr">
        <is>
          <t>مجموع «عقود الاستثمار الجديدة» خلال الفترة</t>
        </is>
      </c>
      <c r="Q5" s="86" t="inlineStr">
        <is>
          <t>نظام إدارة العقود (CRM)</t>
        </is>
      </c>
      <c r="R5" s="15" t="inlineStr">
        <is>
          <t>شهري</t>
        </is>
      </c>
    </row>
    <row r="6" outlineLevel="1" ht="26" customHeight="1">
      <c r="A6" s="20" t="n">
        <v>2</v>
      </c>
      <c r="B6" s="21" t="inlineStr">
        <is>
          <t>نمو المحفظة</t>
        </is>
      </c>
      <c r="C6" s="21" t="inlineStr">
        <is>
          <t>عقود الاستثمار العادي الجديدة</t>
        </is>
      </c>
      <c r="D6" s="55" t="inlineStr">
        <is>
          <t>عقد</t>
        </is>
      </c>
      <c r="E6" s="55" t="inlineStr">
        <is>
          <t>↑</t>
        </is>
      </c>
      <c r="F6" s="15" t="inlineStr">
        <is>
          <t>🔴 رئيسي</t>
        </is>
      </c>
      <c r="G6" s="64" t="n">
        <v>0.05</v>
      </c>
      <c r="H6" s="60" t="n">
        <v>90</v>
      </c>
      <c r="I6" s="22" t="inlineStr">
        <is>
          <t>90 عقد</t>
        </is>
      </c>
      <c r="J6" s="85" t="inlineStr">
        <is>
          <t>النمو</t>
        </is>
      </c>
      <c r="K6" s="11" t="inlineStr">
        <is>
          <t>التوسع في المواقع</t>
        </is>
      </c>
      <c r="L6" s="15" t="inlineStr">
        <is>
          <t>العمليات الداخلية</t>
        </is>
      </c>
      <c r="M6" s="61" t="n">
        <v>76.3</v>
      </c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محقق",IF($N6&gt;=0.85,"🟡 قريب","🔴 تحت الهدف")))</f>
        <v/>
      </c>
      <c r="P6" s="86" t="inlineStr">
        <is>
          <t>إجمالي عدد «عقود الاستثمار العادي الجديدة» المُسجّل خلال الفترة</t>
        </is>
      </c>
      <c r="Q6" s="86" t="inlineStr">
        <is>
          <t>نظام إدارة العقود (CRM)</t>
        </is>
      </c>
      <c r="R6" s="15" t="inlineStr">
        <is>
          <t>شهري</t>
        </is>
      </c>
    </row>
    <row r="7" outlineLevel="1" ht="26" customHeight="1">
      <c r="A7" s="20" t="n">
        <v>3</v>
      </c>
      <c r="B7" s="21" t="inlineStr">
        <is>
          <t>نمو المحفظة</t>
        </is>
      </c>
      <c r="C7" s="21" t="inlineStr">
        <is>
          <t>عقود الاستحواذ الجديدة</t>
        </is>
      </c>
      <c r="D7" s="55" t="inlineStr">
        <is>
          <t>عقد</t>
        </is>
      </c>
      <c r="E7" s="55" t="inlineStr">
        <is>
          <t>↑</t>
        </is>
      </c>
      <c r="F7" s="15" t="inlineStr">
        <is>
          <t>🔴 رئيسي</t>
        </is>
      </c>
      <c r="G7" s="64" t="n">
        <v>0.05</v>
      </c>
      <c r="H7" s="60" t="n">
        <v>100</v>
      </c>
      <c r="I7" s="22" t="inlineStr">
        <is>
          <t>100 عقد</t>
        </is>
      </c>
      <c r="J7" s="85" t="inlineStr">
        <is>
          <t>النمو</t>
        </is>
      </c>
      <c r="K7" s="11" t="inlineStr">
        <is>
          <t>التوسع في المواقع</t>
        </is>
      </c>
      <c r="L7" s="15" t="inlineStr">
        <is>
          <t>العمليات الداخلية</t>
        </is>
      </c>
      <c r="M7" s="61" t="n">
        <v>82.2</v>
      </c>
      <c r="N7" s="10">
        <f>IF($H7="","",IF($M7="","",MIN(1,IF($H7=0,IF($M7&lt;=0,1,0),IF($E7="↓",IFERROR($H7/$M7,0),IFERROR($M7/$H7,0))))))</f>
        <v/>
      </c>
      <c r="O7" s="20">
        <f>IF($N7="","⏳ بانتظار هدف",IF($N7&gt;=1.0,"✅ محقق",IF($N7&gt;=0.85,"🟡 قريب","🔴 تحت الهدف")))</f>
        <v/>
      </c>
      <c r="P7" s="86" t="inlineStr">
        <is>
          <t>إجمالي عدد «عقود الاستحواذ الجديدة» المُسجّل خلال الفترة</t>
        </is>
      </c>
      <c r="Q7" s="86" t="inlineStr">
        <is>
          <t>نظام إدارة العقود (CRM)</t>
        </is>
      </c>
      <c r="R7" s="15" t="inlineStr">
        <is>
          <t>شهري</t>
        </is>
      </c>
    </row>
    <row r="8" outlineLevel="1" ht="26" customHeight="1">
      <c r="A8" s="20" t="n">
        <v>4</v>
      </c>
      <c r="B8" s="21" t="inlineStr">
        <is>
          <t>نمو المحفظة</t>
        </is>
      </c>
      <c r="C8" s="21" t="inlineStr">
        <is>
          <t>المحطات المستحوَذ عليها المشغّلة (تراكمي)</t>
        </is>
      </c>
      <c r="D8" s="55" t="inlineStr">
        <is>
          <t>محطة</t>
        </is>
      </c>
      <c r="E8" s="55" t="inlineStr">
        <is>
          <t>↑</t>
        </is>
      </c>
      <c r="F8" s="15" t="inlineStr">
        <is>
          <t>🔴 رئيسي</t>
        </is>
      </c>
      <c r="G8" s="64" t="n">
        <v>0.05</v>
      </c>
      <c r="H8" s="60" t="n">
        <v>120</v>
      </c>
      <c r="I8" s="22" t="inlineStr">
        <is>
          <t>120 محطة</t>
        </is>
      </c>
      <c r="J8" s="85" t="inlineStr">
        <is>
          <t>النمو</t>
        </is>
      </c>
      <c r="K8" s="11" t="inlineStr">
        <is>
          <t>التوسع في المواقع</t>
        </is>
      </c>
      <c r="L8" s="15" t="inlineStr">
        <is>
          <t>العمليات الداخلية</t>
        </is>
      </c>
      <c r="M8" s="61" t="n">
        <v>125.8</v>
      </c>
      <c r="N8" s="10">
        <f>IF($H8="","",IF($M8="","",MIN(1,IF($H8=0,IF($M8&lt;=0,1,0),IF($E8="↓",IFERROR($H8/$M8,0),IFERROR($M8/$H8,0))))))</f>
        <v/>
      </c>
      <c r="O8" s="20">
        <f>IF($N8="","⏳ بانتظار هدف",IF($N8&gt;=1.0,"✅ محقق",IF($N8&gt;=0.85,"🟡 قريب","🔴 تحت الهدف")))</f>
        <v/>
      </c>
      <c r="P8" s="86" t="inlineStr">
        <is>
          <t>إجمالي عدد «المحطات المستحوَذ عليها المشغّلة» المُسجّل خلال الفترة</t>
        </is>
      </c>
      <c r="Q8" s="86" t="inlineStr">
        <is>
          <t>نظام تشغيل المحطات</t>
        </is>
      </c>
      <c r="R8" s="15" t="inlineStr">
        <is>
          <t>شهري</t>
        </is>
      </c>
    </row>
    <row r="9" outlineLevel="1" ht="26" customHeight="1">
      <c r="A9" s="20" t="n">
        <v>5</v>
      </c>
      <c r="B9" s="21" t="inlineStr">
        <is>
          <t>نمو المحفظة</t>
        </is>
      </c>
      <c r="C9" s="21" t="inlineStr">
        <is>
          <t>عقود تأجير الأرض الجديدة</t>
        </is>
      </c>
      <c r="D9" s="55" t="inlineStr">
        <is>
          <t>عقد</t>
        </is>
      </c>
      <c r="E9" s="55" t="inlineStr">
        <is>
          <t>↑</t>
        </is>
      </c>
      <c r="F9" s="15" t="inlineStr">
        <is>
          <t>🔴 رئيسي</t>
        </is>
      </c>
      <c r="G9" s="64" t="n">
        <v>0.05</v>
      </c>
      <c r="H9" s="60" t="n">
        <v>11</v>
      </c>
      <c r="I9" s="22" t="inlineStr">
        <is>
          <t>11 عقد</t>
        </is>
      </c>
      <c r="J9" s="85" t="inlineStr">
        <is>
          <t>النمو</t>
        </is>
      </c>
      <c r="K9" s="11" t="inlineStr">
        <is>
          <t>التوسع في المواقع</t>
        </is>
      </c>
      <c r="L9" s="15" t="inlineStr">
        <is>
          <t>العمليات الداخلية</t>
        </is>
      </c>
      <c r="M9" s="61" t="n">
        <v>8.1</v>
      </c>
      <c r="N9" s="10">
        <f>IF($H9="","",IF($M9="","",MIN(1,IF($H9=0,IF($M9&lt;=0,1,0),IF($E9="↓",IFERROR($H9/$M9,0),IFERROR($M9/$H9,0))))))</f>
        <v/>
      </c>
      <c r="O9" s="20">
        <f>IF($N9="","⏳ بانتظار هدف",IF($N9&gt;=1.0,"✅ محقق",IF($N9&gt;=0.85,"🟡 قريب","🔴 تحت الهدف")))</f>
        <v/>
      </c>
      <c r="P9" s="86" t="inlineStr">
        <is>
          <t>إجمالي عدد «عقود تأجير الأرض الجديدة» المُسجّل خلال الفترة</t>
        </is>
      </c>
      <c r="Q9" s="86" t="inlineStr">
        <is>
          <t>نظام إدارة العقود (CRM)</t>
        </is>
      </c>
      <c r="R9" s="15" t="inlineStr">
        <is>
          <t>شهري</t>
        </is>
      </c>
    </row>
    <row r="10" outlineLevel="1" ht="26" customHeight="1">
      <c r="A10" s="20" t="n">
        <v>6</v>
      </c>
      <c r="B10" s="21" t="inlineStr">
        <is>
          <t>نمو المحفظة</t>
        </is>
      </c>
      <c r="C10" s="21" t="inlineStr">
        <is>
          <t>عقود إيجار المحطة الجديدة</t>
        </is>
      </c>
      <c r="D10" s="55" t="inlineStr">
        <is>
          <t>عقد</t>
        </is>
      </c>
      <c r="E10" s="55" t="inlineStr">
        <is>
          <t>↑</t>
        </is>
      </c>
      <c r="F10" s="15" t="inlineStr">
        <is>
          <t>🔴 رئيسي</t>
        </is>
      </c>
      <c r="G10" s="64" t="n">
        <v>0.05</v>
      </c>
      <c r="H10" s="60" t="n">
        <v>12</v>
      </c>
      <c r="I10" s="22" t="inlineStr">
        <is>
          <t>12 عقد</t>
        </is>
      </c>
      <c r="J10" s="85" t="inlineStr">
        <is>
          <t>النمو</t>
        </is>
      </c>
      <c r="K10" s="11" t="inlineStr">
        <is>
          <t>التوسع في المواقع</t>
        </is>
      </c>
      <c r="L10" s="15" t="inlineStr">
        <is>
          <t>العمليات الداخلية</t>
        </is>
      </c>
      <c r="M10" s="61" t="n">
        <v>12.2</v>
      </c>
      <c r="N10" s="10">
        <f>IF($H10="","",IF($M10="","",MIN(1,IF($H10=0,IF($M10&lt;=0,1,0),IF($E10="↓",IFERROR($H10/$M10,0),IFERROR($M10/$H10,0))))))</f>
        <v/>
      </c>
      <c r="O10" s="20">
        <f>IF($N10="","⏳ بانتظار هدف",IF($N10&gt;=1.0,"✅ محقق",IF($N10&gt;=0.85,"🟡 قريب","🔴 تحت الهدف")))</f>
        <v/>
      </c>
      <c r="P10" s="86" t="inlineStr">
        <is>
          <t>إجمالي عدد «عقود إيجار المحطة الجديدة» المُسجّل خلال الفترة</t>
        </is>
      </c>
      <c r="Q10" s="86" t="inlineStr">
        <is>
          <t>نظام إدارة العقود (CRM)</t>
        </is>
      </c>
      <c r="R10" s="15" t="inlineStr">
        <is>
          <t>شهري</t>
        </is>
      </c>
    </row>
    <row r="11" outlineLevel="1" ht="26" customHeight="1">
      <c r="A11" s="20" t="n">
        <v>7</v>
      </c>
      <c r="B11" s="21" t="inlineStr">
        <is>
          <t>نمو المحفظة</t>
        </is>
      </c>
      <c r="C11" s="21" t="inlineStr">
        <is>
          <t>عقود تشغيل المحطة الجديدة</t>
        </is>
      </c>
      <c r="D11" s="55" t="inlineStr">
        <is>
          <t>عقد</t>
        </is>
      </c>
      <c r="E11" s="55" t="inlineStr">
        <is>
          <t>↑</t>
        </is>
      </c>
      <c r="F11" s="15" t="inlineStr">
        <is>
          <t>🔴 رئيسي</t>
        </is>
      </c>
      <c r="G11" s="64" t="n">
        <v>0.05</v>
      </c>
      <c r="H11" s="60" t="n">
        <v>68</v>
      </c>
      <c r="I11" s="22" t="inlineStr">
        <is>
          <t>68 عقد</t>
        </is>
      </c>
      <c r="J11" s="85" t="inlineStr">
        <is>
          <t>النمو</t>
        </is>
      </c>
      <c r="K11" s="11" t="inlineStr">
        <is>
          <t>التوسع في المواقع</t>
        </is>
      </c>
      <c r="L11" s="15" t="inlineStr">
        <is>
          <t>العمليات الداخلية</t>
        </is>
      </c>
      <c r="M11" s="61" t="n">
        <v>49.4</v>
      </c>
      <c r="N11" s="10">
        <f>IF($H11="","",IF($M11="","",MIN(1,IF($H11=0,IF($M11&lt;=0,1,0),IF($E11="↓",IFERROR($H11/$M11,0),IFERROR($M11/$H11,0))))))</f>
        <v/>
      </c>
      <c r="O11" s="20">
        <f>IF($N11="","⏳ بانتظار هدف",IF($N11&gt;=1.0,"✅ محقق",IF($N11&gt;=0.85,"🟡 قريب","🔴 تحت الهدف")))</f>
        <v/>
      </c>
      <c r="P11" s="86" t="inlineStr">
        <is>
          <t>إجمالي عدد «عقود تشغيل المحطة الجديدة» المُسجّل خلال الفترة</t>
        </is>
      </c>
      <c r="Q11" s="86" t="inlineStr">
        <is>
          <t>نظام إدارة العقود (CRM)</t>
        </is>
      </c>
      <c r="R11" s="15" t="inlineStr">
        <is>
          <t>شهري</t>
        </is>
      </c>
    </row>
    <row r="12" ht="24" customHeight="1">
      <c r="B12" s="78" t="inlineStr">
        <is>
          <t>الربحية وجودة الموقع</t>
        </is>
      </c>
      <c r="C12" s="79" t="inlineStr">
        <is>
          <t>📊 مؤشر الربحية وجودة الموقع العام</t>
        </is>
      </c>
      <c r="D12" s="80" t="n"/>
      <c r="E12" s="80" t="n"/>
      <c r="F12" s="81" t="inlineStr">
        <is>
          <t>🔷 أساسي</t>
        </is>
      </c>
      <c r="G12" s="82" t="n">
        <v>0.13</v>
      </c>
      <c r="H12" s="80" t="n"/>
      <c r="I12" s="80" t="n"/>
      <c r="J12" s="80" t="n"/>
      <c r="K12" s="80" t="n"/>
      <c r="L12" s="80" t="n"/>
      <c r="M12" s="80" t="n"/>
      <c r="N12" s="83">
        <f>IFERROR(SUMIFS('قاعدة المؤشرات'!$J:$J,'قاعدة المؤشرات'!$B:$B,"الاستثمار",'قاعدة المؤشرات'!$L:$L,"الربحية وجودة الموقع")/SUMIFS('قاعدة المؤشرات'!$K:$K,'قاعدة المؤشرات'!$B:$B,"الاستثمار",'قاعدة المؤشرات'!$L:$L,"الربحية وجودة الموقع"),"")</f>
        <v/>
      </c>
      <c r="O12" s="84">
        <f>IF($N12="","⏳ بانتظار هدف",IF($N12&gt;=1,"✅ محقق",IF($N12&gt;=0.85,"🟡 قريب","🔴 تحت الهدف")))</f>
        <v/>
      </c>
      <c r="P12" s="80" t="n"/>
      <c r="Q12" s="80" t="n"/>
      <c r="R12" s="80" t="n"/>
    </row>
    <row r="13" outlineLevel="1" ht="26" customHeight="1">
      <c r="A13" s="20" t="n">
        <v>8</v>
      </c>
      <c r="B13" s="21" t="inlineStr">
        <is>
          <t>الربحية وجودة الموقع</t>
        </is>
      </c>
      <c r="C13" s="21" t="inlineStr">
        <is>
          <t>نسبة المواقع المعتمدة ذات العائد المجدي</t>
        </is>
      </c>
      <c r="D13" s="55" t="inlineStr">
        <is>
          <t>%</t>
        </is>
      </c>
      <c r="E13" s="55" t="inlineStr">
        <is>
          <t>↑</t>
        </is>
      </c>
      <c r="F13" s="15" t="inlineStr">
        <is>
          <t>🔴 رئيسي</t>
        </is>
      </c>
      <c r="G13" s="64" t="n">
        <v>0.05</v>
      </c>
      <c r="H13" s="64" t="n">
        <v>0.8</v>
      </c>
      <c r="I13" s="22" t="inlineStr">
        <is>
          <t>80%+</t>
        </is>
      </c>
      <c r="J13" s="85" t="inlineStr">
        <is>
          <t>الاستدامة</t>
        </is>
      </c>
      <c r="K13" s="11" t="inlineStr">
        <is>
          <t>جودة التشغيل</t>
        </is>
      </c>
      <c r="L13" s="15" t="inlineStr">
        <is>
          <t>مالي</t>
        </is>
      </c>
      <c r="M13" s="65" t="n">
        <v>0.649</v>
      </c>
      <c r="N13" s="10">
        <f>IF($H13="","",IF($M13="","",MIN(1,IF($H13=0,IF($M13&lt;=0,1,0),IF($E13="↓",IFERROR($H13/$M13,0),IFERROR($M13/$H13,0))))))</f>
        <v/>
      </c>
      <c r="O13" s="20">
        <f>IF($N13="","⏳ بانتظار هدف",IF($N13&gt;=1.0,"✅ محقق",IF($N13&gt;=0.85,"🟡 قريب","🔴 تحت الهدف")))</f>
        <v/>
      </c>
      <c r="P13" s="86" t="inlineStr">
        <is>
          <t>قيمة/عدد المتحقّق من «المواقع المعتمدة ذات العائد المجدي» ÷ الإجمالي المستهدف لنفس البند × 100٪</t>
        </is>
      </c>
      <c r="Q13" s="86" t="inlineStr">
        <is>
          <t>نظام المحاسبة / ERP (D365)</t>
        </is>
      </c>
      <c r="R13" s="15" t="inlineStr">
        <is>
          <t>شهري</t>
        </is>
      </c>
    </row>
    <row r="14" outlineLevel="1" ht="26" customHeight="1">
      <c r="A14" s="20" t="n">
        <v>9</v>
      </c>
      <c r="B14" s="21" t="inlineStr">
        <is>
          <t>الربحية وجودة الموقع</t>
        </is>
      </c>
      <c r="C14" s="21" t="inlineStr">
        <is>
          <t>متوسط فترة استرداد رأس المال</t>
        </is>
      </c>
      <c r="D14" s="55" t="inlineStr">
        <is>
          <t>سنة</t>
        </is>
      </c>
      <c r="E14" s="55" t="inlineStr">
        <is>
          <t>↓</t>
        </is>
      </c>
      <c r="F14" s="15" t="inlineStr">
        <is>
          <t>🟠 مهم</t>
        </is>
      </c>
      <c r="G14" s="64" t="n">
        <v>0.03</v>
      </c>
      <c r="H14" s="67" t="n">
        <v>5</v>
      </c>
      <c r="I14" s="22" t="inlineStr">
        <is>
          <t>≤ 5 سنوات</t>
        </is>
      </c>
      <c r="J14" s="85" t="inlineStr">
        <is>
          <t>الاستدامة</t>
        </is>
      </c>
      <c r="K14" s="11" t="inlineStr">
        <is>
          <t>جودة التشغيل</t>
        </is>
      </c>
      <c r="L14" s="15" t="inlineStr">
        <is>
          <t>مالي</t>
        </is>
      </c>
      <c r="M14" s="68" t="n">
        <v>4.983</v>
      </c>
      <c r="N14" s="10">
        <f>IF($H14="","",IF($M14="","",MIN(1,IF($H14=0,IF($M14&lt;=0,1,0),IF($E14="↓",IFERROR($H14/$M14,0),IFERROR($M14/$H14,0))))))</f>
        <v/>
      </c>
      <c r="O14" s="20">
        <f>IF($N14="","⏳ بانتظار هدف",IF($N14&gt;=1.0,"✅ محقق",IF($N14&gt;=0.85,"🟡 قريب","🔴 تحت الهدف")))</f>
        <v/>
      </c>
      <c r="P14" s="86" t="inlineStr">
        <is>
          <t>مجموع قيم «فترة استرداد رأس المال» ÷ عدد المفردات المقيسة</t>
        </is>
      </c>
      <c r="Q14" s="86" t="inlineStr">
        <is>
          <t>نظام المحاسبة / ERP (D365)</t>
        </is>
      </c>
      <c r="R14" s="15" t="inlineStr">
        <is>
          <t>شهري</t>
        </is>
      </c>
    </row>
    <row r="15" outlineLevel="1" ht="26" customHeight="1">
      <c r="A15" s="20" t="n">
        <v>10</v>
      </c>
      <c r="B15" s="21" t="inlineStr">
        <is>
          <t>الربحية وجودة الموقع</t>
        </is>
      </c>
      <c r="C15" s="21" t="inlineStr">
        <is>
          <t>متوسط قيمة عقد الإيجار السنوي (أرض)</t>
        </is>
      </c>
      <c r="D15" s="55" t="inlineStr">
        <is>
          <t>ر.س</t>
        </is>
      </c>
      <c r="E15" s="55" t="inlineStr">
        <is>
          <t>↑</t>
        </is>
      </c>
      <c r="F15" s="15" t="inlineStr">
        <is>
          <t>🔴 رئيسي</t>
        </is>
      </c>
      <c r="G15" s="64" t="n">
        <v>0.05</v>
      </c>
      <c r="H15" s="55" t="inlineStr"/>
      <c r="I15" s="22" t="inlineStr">
        <is>
          <t>يُحدد لاحقاً</t>
        </is>
      </c>
      <c r="J15" s="85" t="inlineStr">
        <is>
          <t>النمو</t>
        </is>
      </c>
      <c r="K15" s="11" t="inlineStr">
        <is>
          <t>التوسع في المواقع</t>
        </is>
      </c>
      <c r="L15" s="15" t="inlineStr">
        <is>
          <t>مالي</t>
        </is>
      </c>
      <c r="M15" s="71" t="n"/>
      <c r="N15" s="10">
        <f>IF($H15="","",IF($M15="","",MIN(1,IF($H15=0,IF($M15&lt;=0,1,0),IF($E15="↓",IFERROR($H15/$M15,0),IFERROR($M15/$H15,0))))))</f>
        <v/>
      </c>
      <c r="O15" s="20">
        <f>IF($N15="","⏳ بانتظار هدف",IF($N15&gt;=1.0,"✅ محقق",IF($N15&gt;=0.85,"🟡 قريب","🔴 تحت الهدف")))</f>
        <v/>
      </c>
      <c r="P15" s="86" t="inlineStr">
        <is>
          <t>مجموع قيم «قيمة عقد الإيجار السنوي» ÷ عدد المفردات المقيسة</t>
        </is>
      </c>
      <c r="Q15" s="86" t="inlineStr">
        <is>
          <t>نظام المحاسبة / ERP (D365)</t>
        </is>
      </c>
      <c r="R15" s="15" t="inlineStr">
        <is>
          <t>شهري</t>
        </is>
      </c>
    </row>
    <row r="16" ht="24" customHeight="1">
      <c r="B16" s="78" t="inlineStr">
        <is>
          <t>التوسع الإقليمي</t>
        </is>
      </c>
      <c r="C16" s="79" t="inlineStr">
        <is>
          <t>📊 مؤشر التوسع الإقليمي العام</t>
        </is>
      </c>
      <c r="D16" s="80" t="n"/>
      <c r="E16" s="80" t="n"/>
      <c r="F16" s="81" t="inlineStr">
        <is>
          <t>🔷 أساسي</t>
        </is>
      </c>
      <c r="G16" s="82" t="n">
        <v>0.2</v>
      </c>
      <c r="H16" s="80" t="n"/>
      <c r="I16" s="80" t="n"/>
      <c r="J16" s="80" t="n"/>
      <c r="K16" s="80" t="n"/>
      <c r="L16" s="80" t="n"/>
      <c r="M16" s="80" t="n"/>
      <c r="N16" s="83">
        <f>IFERROR(SUMIFS('قاعدة المؤشرات'!$J:$J,'قاعدة المؤشرات'!$B:$B,"الاستثمار",'قاعدة المؤشرات'!$L:$L,"التوسع الإقليمي")/SUMIFS('قاعدة المؤشرات'!$K:$K,'قاعدة المؤشرات'!$B:$B,"الاستثمار",'قاعدة المؤشرات'!$L:$L,"التوسع الإقليمي"),"")</f>
        <v/>
      </c>
      <c r="O16" s="84">
        <f>IF($N16="","⏳ بانتظار هدف",IF($N16&gt;=1,"✅ محقق",IF($N16&gt;=0.85,"🟡 قريب","🔴 تحت الهدف")))</f>
        <v/>
      </c>
      <c r="P16" s="80" t="n"/>
      <c r="Q16" s="80" t="n"/>
      <c r="R16" s="80" t="n"/>
    </row>
    <row r="17" outlineLevel="1" ht="26" customHeight="1">
      <c r="A17" s="20" t="n">
        <v>11</v>
      </c>
      <c r="B17" s="21" t="inlineStr">
        <is>
          <t>التوسع الإقليمي</t>
        </is>
      </c>
      <c r="C17" s="21" t="inlineStr">
        <is>
          <t>نسبة العقود التي تغطي المناطق الـ13</t>
        </is>
      </c>
      <c r="D17" s="55" t="inlineStr">
        <is>
          <t>%</t>
        </is>
      </c>
      <c r="E17" s="55" t="inlineStr">
        <is>
          <t>↑</t>
        </is>
      </c>
      <c r="F17" s="15" t="inlineStr">
        <is>
          <t>🔴 رئيسي</t>
        </is>
      </c>
      <c r="G17" s="64" t="n">
        <v>0.05</v>
      </c>
      <c r="H17" s="64" t="n">
        <v>1</v>
      </c>
      <c r="I17" s="22" t="inlineStr">
        <is>
          <t>100%</t>
        </is>
      </c>
      <c r="J17" s="85" t="inlineStr">
        <is>
          <t>النمو</t>
        </is>
      </c>
      <c r="K17" s="11" t="inlineStr">
        <is>
          <t>التوسع في المواقع</t>
        </is>
      </c>
      <c r="L17" s="15" t="inlineStr">
        <is>
          <t>العمليات الداخلية</t>
        </is>
      </c>
      <c r="M17" s="65" t="n">
        <v>1.028</v>
      </c>
      <c r="N17" s="10">
        <f>IF($H17="","",IF($M17="","",MIN(1,IF($H17=0,IF($M17&lt;=0,1,0),IF($E17="↓",IFERROR($H17/$M17,0),IFERROR($M17/$H17,0))))))</f>
        <v/>
      </c>
      <c r="O17" s="20">
        <f>IF($N17="","⏳ بانتظار هدف",IF($N17&gt;=1.0,"✅ محقق",IF($N17&gt;=0.85,"🟡 قريب","🔴 تحت الهدف")))</f>
        <v/>
      </c>
      <c r="P17" s="86" t="inlineStr">
        <is>
          <t>قيمة/عدد المتحقّق من «العقود التي تغطي المناطق الـ13» ÷ الإجمالي المستهدف لنفس البند × 100٪</t>
        </is>
      </c>
      <c r="Q17" s="86" t="inlineStr">
        <is>
          <t>نظام إدارة العقود (CRM)</t>
        </is>
      </c>
      <c r="R17" s="15" t="inlineStr">
        <is>
          <t>شهري</t>
        </is>
      </c>
    </row>
    <row r="18" outlineLevel="1" ht="26" customHeight="1">
      <c r="A18" s="20" t="n">
        <v>12</v>
      </c>
      <c r="B18" s="21" t="inlineStr">
        <is>
          <t>التوسع الإقليمي</t>
        </is>
      </c>
      <c r="C18" s="21" t="inlineStr">
        <is>
          <t>نسبة العقود خارج المدن الرئيسية</t>
        </is>
      </c>
      <c r="D18" s="55" t="inlineStr">
        <is>
          <t>%</t>
        </is>
      </c>
      <c r="E18" s="55" t="inlineStr">
        <is>
          <t>↑</t>
        </is>
      </c>
      <c r="F18" s="15" t="inlineStr">
        <is>
          <t>🔴 رئيسي</t>
        </is>
      </c>
      <c r="G18" s="64" t="n">
        <v>0.05</v>
      </c>
      <c r="H18" s="64" t="n">
        <v>0.6</v>
      </c>
      <c r="I18" s="22" t="inlineStr">
        <is>
          <t>&gt; 60%</t>
        </is>
      </c>
      <c r="J18" s="85" t="inlineStr">
        <is>
          <t>النمو</t>
        </is>
      </c>
      <c r="K18" s="11" t="inlineStr">
        <is>
          <t>التوسع في المواقع</t>
        </is>
      </c>
      <c r="L18" s="15" t="inlineStr">
        <is>
          <t>العمليات الداخلية</t>
        </is>
      </c>
      <c r="M18" s="65" t="n">
        <v>0.516</v>
      </c>
      <c r="N18" s="10">
        <f>IF($H18="","",IF($M18="","",MIN(1,IF($H18=0,IF($M18&lt;=0,1,0),IF($E18="↓",IFERROR($H18/$M18,0),IFERROR($M18/$H18,0))))))</f>
        <v/>
      </c>
      <c r="O18" s="20">
        <f>IF($N18="","⏳ بانتظار هدف",IF($N18&gt;=1.0,"✅ محقق",IF($N18&gt;=0.85,"🟡 قريب","🔴 تحت الهدف")))</f>
        <v/>
      </c>
      <c r="P18" s="86" t="inlineStr">
        <is>
          <t>قيمة/عدد المتحقّق من «العقود خارج المدن الرئيسية» ÷ الإجمالي المستهدف لنفس البند × 100٪</t>
        </is>
      </c>
      <c r="Q18" s="86" t="inlineStr">
        <is>
          <t>نظام إدارة العقود (CRM)</t>
        </is>
      </c>
      <c r="R18" s="15" t="inlineStr">
        <is>
          <t>شهري</t>
        </is>
      </c>
    </row>
    <row r="19" outlineLevel="1" ht="26" customHeight="1">
      <c r="A19" s="20" t="n">
        <v>13</v>
      </c>
      <c r="B19" s="21" t="inlineStr">
        <is>
          <t>التوسع الإقليمي</t>
        </is>
      </c>
      <c r="C19" s="21" t="inlineStr">
        <is>
          <t>نسبة العقود في الـ12 مدينة الرئيسية</t>
        </is>
      </c>
      <c r="D19" s="55" t="inlineStr">
        <is>
          <t>%</t>
        </is>
      </c>
      <c r="E19" s="55" t="inlineStr">
        <is>
          <t>↓</t>
        </is>
      </c>
      <c r="F19" s="15" t="inlineStr">
        <is>
          <t>🔴 رئيسي</t>
        </is>
      </c>
      <c r="G19" s="64" t="n">
        <v>0.05</v>
      </c>
      <c r="H19" s="64" t="n">
        <v>0.4</v>
      </c>
      <c r="I19" s="22" t="inlineStr">
        <is>
          <t>&lt; 40%</t>
        </is>
      </c>
      <c r="J19" s="85" t="inlineStr">
        <is>
          <t>النمو</t>
        </is>
      </c>
      <c r="K19" s="11" t="inlineStr">
        <is>
          <t>التوسع في المواقع</t>
        </is>
      </c>
      <c r="L19" s="15" t="inlineStr">
        <is>
          <t>العمليات الداخلية</t>
        </is>
      </c>
      <c r="M19" s="65" t="n">
        <v>0.415</v>
      </c>
      <c r="N19" s="10">
        <f>IF($H19="","",IF($M19="","",MIN(1,IF($H19=0,IF($M19&lt;=0,1,0),IF($E19="↓",IFERROR($H19/$M19,0),IFERROR($M19/$H19,0))))))</f>
        <v/>
      </c>
      <c r="O19" s="20">
        <f>IF($N19="","⏳ بانتظار هدف",IF($N19&gt;=1.0,"✅ محقق",IF($N19&gt;=0.85,"🟡 قريب","🔴 تحت الهدف")))</f>
        <v/>
      </c>
      <c r="P19" s="86" t="inlineStr">
        <is>
          <t>قيمة/عدد المتحقّق من «العقود في الـ12 مدينة الرئيسية» ÷ الإجمالي المستهدف لنفس البند × 100٪</t>
        </is>
      </c>
      <c r="Q19" s="86" t="inlineStr">
        <is>
          <t>نظام المحاسبة / ERP (D365)</t>
        </is>
      </c>
      <c r="R19" s="15" t="inlineStr">
        <is>
          <t>شهري</t>
        </is>
      </c>
    </row>
    <row r="20" outlineLevel="1" ht="26" customHeight="1">
      <c r="A20" s="20" t="n">
        <v>14</v>
      </c>
      <c r="B20" s="21" t="inlineStr">
        <is>
          <t>التوسع الإقليمي</t>
        </is>
      </c>
      <c r="C20" s="21" t="inlineStr">
        <is>
          <t>نسبة العقود على الطرق الإقليمية</t>
        </is>
      </c>
      <c r="D20" s="55" t="inlineStr">
        <is>
          <t>%</t>
        </is>
      </c>
      <c r="E20" s="55" t="inlineStr">
        <is>
          <t>↑</t>
        </is>
      </c>
      <c r="F20" s="15" t="inlineStr">
        <is>
          <t>🔴 رئيسي</t>
        </is>
      </c>
      <c r="G20" s="64" t="n">
        <v>0.05</v>
      </c>
      <c r="H20" s="64" t="n">
        <v>0.25</v>
      </c>
      <c r="I20" s="22" t="inlineStr">
        <is>
          <t>&gt; 25%</t>
        </is>
      </c>
      <c r="J20" s="85" t="inlineStr">
        <is>
          <t>النمو</t>
        </is>
      </c>
      <c r="K20" s="11" t="inlineStr">
        <is>
          <t>التوسع في المواقع</t>
        </is>
      </c>
      <c r="L20" s="15" t="inlineStr">
        <is>
          <t>العمليات الداخلية</t>
        </is>
      </c>
      <c r="M20" s="65" t="n">
        <v>0.236</v>
      </c>
      <c r="N20" s="10">
        <f>IF($H20="","",IF($M20="","",MIN(1,IF($H20=0,IF($M20&lt;=0,1,0),IF($E20="↓",IFERROR($H20/$M20,0),IFERROR($M20/$H20,0))))))</f>
        <v/>
      </c>
      <c r="O20" s="20">
        <f>IF($N20="","⏳ بانتظار هدف",IF($N20&gt;=1.0,"✅ محقق",IF($N20&gt;=0.85,"🟡 قريب","🔴 تحت الهدف")))</f>
        <v/>
      </c>
      <c r="P20" s="86" t="inlineStr">
        <is>
          <t>قيمة/عدد المتحقّق من «العقود على الطرق الإقليمية» ÷ الإجمالي المستهدف لنفس البند × 100٪</t>
        </is>
      </c>
      <c r="Q20" s="86" t="inlineStr">
        <is>
          <t>نظام إدارة العقود (CRM)</t>
        </is>
      </c>
      <c r="R20" s="15" t="inlineStr">
        <is>
          <t>شهري</t>
        </is>
      </c>
    </row>
    <row r="21" ht="24" customHeight="1">
      <c r="B21" s="78" t="inlineStr">
        <is>
          <t>كفاءة الدورة</t>
        </is>
      </c>
      <c r="C21" s="79" t="inlineStr">
        <is>
          <t>📊 مؤشر كفاءة الدورة العام</t>
        </is>
      </c>
      <c r="D21" s="80" t="n"/>
      <c r="E21" s="80" t="n"/>
      <c r="F21" s="81" t="inlineStr">
        <is>
          <t>🔷 أساسي</t>
        </is>
      </c>
      <c r="G21" s="82" t="n">
        <v>0.13</v>
      </c>
      <c r="H21" s="80" t="n"/>
      <c r="I21" s="80" t="n"/>
      <c r="J21" s="80" t="n"/>
      <c r="K21" s="80" t="n"/>
      <c r="L21" s="80" t="n"/>
      <c r="M21" s="80" t="n"/>
      <c r="N21" s="83">
        <f>IFERROR(SUMIFS('قاعدة المؤشرات'!$J:$J,'قاعدة المؤشرات'!$B:$B,"الاستثمار",'قاعدة المؤشرات'!$L:$L,"كفاءة الدورة")/SUMIFS('قاعدة المؤشرات'!$K:$K,'قاعدة المؤشرات'!$B:$B,"الاستثمار",'قاعدة المؤشرات'!$L:$L,"كفاءة الدورة"),"")</f>
        <v/>
      </c>
      <c r="O21" s="84">
        <f>IF($N21="","⏳ بانتظار هدف",IF($N21&gt;=1,"✅ محقق",IF($N21&gt;=0.85,"🟡 قريب","🔴 تحت الهدف")))</f>
        <v/>
      </c>
      <c r="P21" s="80" t="n"/>
      <c r="Q21" s="80" t="n"/>
      <c r="R21" s="80" t="n"/>
    </row>
    <row r="22" outlineLevel="1" ht="26" customHeight="1">
      <c r="A22" s="20" t="n">
        <v>15</v>
      </c>
      <c r="B22" s="21" t="inlineStr">
        <is>
          <t>كفاءة الدورة</t>
        </is>
      </c>
      <c r="C22" s="21" t="inlineStr">
        <is>
          <t>متوسط مدة إغلاق عقد الاستثمار</t>
        </is>
      </c>
      <c r="D22" s="55" t="inlineStr">
        <is>
          <t>أسبوع</t>
        </is>
      </c>
      <c r="E22" s="55" t="inlineStr">
        <is>
          <t>↓</t>
        </is>
      </c>
      <c r="F22" s="15" t="inlineStr">
        <is>
          <t>🔴 رئيسي</t>
        </is>
      </c>
      <c r="G22" s="64" t="n">
        <v>0.05</v>
      </c>
      <c r="H22" s="67" t="n">
        <v>1</v>
      </c>
      <c r="I22" s="22" t="inlineStr">
        <is>
          <t>≤ أسبوع</t>
        </is>
      </c>
      <c r="J22" s="85" t="inlineStr">
        <is>
          <t>النمو</t>
        </is>
      </c>
      <c r="K22" s="11" t="inlineStr">
        <is>
          <t>التوسع في المواقع</t>
        </is>
      </c>
      <c r="L22" s="15" t="inlineStr">
        <is>
          <t>العمليات الداخلية</t>
        </is>
      </c>
      <c r="M22" s="68" t="n">
        <v>0.912</v>
      </c>
      <c r="N22" s="10">
        <f>IF($H22="","",IF($M22="","",MIN(1,IF($H22=0,IF($M22&lt;=0,1,0),IF($E22="↓",IFERROR($H22/$M22,0),IFERROR($M22/$H22,0))))))</f>
        <v/>
      </c>
      <c r="O22" s="20">
        <f>IF($N22="","⏳ بانتظار هدف",IF($N22&gt;=1.0,"✅ محقق",IF($N22&gt;=0.85,"🟡 قريب","🔴 تحت الهدف")))</f>
        <v/>
      </c>
      <c r="P22" s="86" t="inlineStr">
        <is>
          <t>مجموع قيم «مدة إغلاق عقد الاستثمار» ÷ عدد المفردات المقيسة</t>
        </is>
      </c>
      <c r="Q22" s="86" t="inlineStr">
        <is>
          <t>نظام إدارة العقود (CRM)</t>
        </is>
      </c>
      <c r="R22" s="15" t="inlineStr">
        <is>
          <t>شهري</t>
        </is>
      </c>
    </row>
    <row r="23" outlineLevel="1" ht="26" customHeight="1">
      <c r="A23" s="20" t="n">
        <v>16</v>
      </c>
      <c r="B23" s="21" t="inlineStr">
        <is>
          <t>كفاءة الدورة</t>
        </is>
      </c>
      <c r="C23" s="21" t="inlineStr">
        <is>
          <t>نسبة العقود المتحوّلة لمحطات مشغّلة</t>
        </is>
      </c>
      <c r="D23" s="55" t="inlineStr">
        <is>
          <t>%</t>
        </is>
      </c>
      <c r="E23" s="55" t="inlineStr">
        <is>
          <t>↑</t>
        </is>
      </c>
      <c r="F23" s="15" t="inlineStr">
        <is>
          <t>🔴 رئيسي</t>
        </is>
      </c>
      <c r="G23" s="64" t="n">
        <v>0.05</v>
      </c>
      <c r="H23" s="64" t="n">
        <v>0.3</v>
      </c>
      <c r="I23" s="22" t="inlineStr">
        <is>
          <t>≥ 30%</t>
        </is>
      </c>
      <c r="J23" s="85" t="inlineStr">
        <is>
          <t>النمو</t>
        </is>
      </c>
      <c r="K23" s="11" t="inlineStr">
        <is>
          <t>التوسع في المواقع</t>
        </is>
      </c>
      <c r="L23" s="15" t="inlineStr">
        <is>
          <t>العمليات الداخلية</t>
        </is>
      </c>
      <c r="M23" s="65" t="n">
        <v>0.308</v>
      </c>
      <c r="N23" s="10">
        <f>IF($H23="","",IF($M23="","",MIN(1,IF($H23=0,IF($M23&lt;=0,1,0),IF($E23="↓",IFERROR($H23/$M23,0),IFERROR($M23/$H23,0))))))</f>
        <v/>
      </c>
      <c r="O23" s="20">
        <f>IF($N23="","⏳ بانتظار هدف",IF($N23&gt;=1.0,"✅ محقق",IF($N23&gt;=0.85,"🟡 قريب","🔴 تحت الهدف")))</f>
        <v/>
      </c>
      <c r="P23" s="86" t="inlineStr">
        <is>
          <t>قيمة/عدد المتحقّق من «العقود المتحوّلة لمحطات مشغّلة» ÷ الإجمالي المستهدف لنفس البند × 100٪</t>
        </is>
      </c>
      <c r="Q23" s="86" t="inlineStr">
        <is>
          <t>نظام إدارة العقود (CRM)</t>
        </is>
      </c>
      <c r="R23" s="15" t="inlineStr">
        <is>
          <t>شهري</t>
        </is>
      </c>
    </row>
    <row r="24" outlineLevel="1" ht="26" customHeight="1">
      <c r="A24" s="20" t="n">
        <v>17</v>
      </c>
      <c r="B24" s="21" t="inlineStr">
        <is>
          <t>كفاءة الدورة</t>
        </is>
      </c>
      <c r="C24" s="21" t="inlineStr">
        <is>
          <t>نسبة تخفيض إيجار المواقع عالية التكاليف</t>
        </is>
      </c>
      <c r="D24" s="55" t="inlineStr">
        <is>
          <t>%</t>
        </is>
      </c>
      <c r="E24" s="55" t="inlineStr">
        <is>
          <t>↑</t>
        </is>
      </c>
      <c r="F24" s="15" t="inlineStr">
        <is>
          <t>🟠 مهم</t>
        </is>
      </c>
      <c r="G24" s="64" t="n">
        <v>0.03</v>
      </c>
      <c r="H24" s="64" t="n">
        <v>0.3</v>
      </c>
      <c r="I24" s="22" t="inlineStr">
        <is>
          <t>≥ 30%</t>
        </is>
      </c>
      <c r="J24" s="85" t="inlineStr">
        <is>
          <t>الاستدامة</t>
        </is>
      </c>
      <c r="K24" s="11" t="inlineStr">
        <is>
          <t>جودة التشغيل</t>
        </is>
      </c>
      <c r="L24" s="15" t="inlineStr">
        <is>
          <t>العمليات الداخلية</t>
        </is>
      </c>
      <c r="M24" s="65" t="n">
        <v>0.221</v>
      </c>
      <c r="N24" s="10">
        <f>IF($H24="","",IF($M24="","",MIN(1,IF($H24=0,IF($M24&lt;=0,1,0),IF($E24="↓",IFERROR($H24/$M24,0),IFERROR($M24/$H24,0))))))</f>
        <v/>
      </c>
      <c r="O24" s="20">
        <f>IF($N24="","⏳ بانتظار هدف",IF($N24&gt;=1.0,"✅ محقق",IF($N24&gt;=0.85,"🟡 قريب","🔴 تحت الهدف")))</f>
        <v/>
      </c>
      <c r="P24" s="86" t="inlineStr">
        <is>
          <t>قيمة/عدد المتحقّق من «تخفيض إيجار المواقع عالية التكاليف» ÷ الإجمالي المستهدف لنفس البند × 100٪</t>
        </is>
      </c>
      <c r="Q24" s="86" t="inlineStr">
        <is>
          <t>نظام إدارة العقود (CRM)</t>
        </is>
      </c>
      <c r="R24" s="15" t="inlineStr">
        <is>
          <t>شهري</t>
        </is>
      </c>
    </row>
    <row r="25" ht="24" customHeight="1">
      <c r="B25" s="78" t="inlineStr">
        <is>
          <t>الامتثال</t>
        </is>
      </c>
      <c r="C25" s="79" t="inlineStr">
        <is>
          <t>📊 مؤشر الامتثال العام</t>
        </is>
      </c>
      <c r="D25" s="80" t="n"/>
      <c r="E25" s="80" t="n"/>
      <c r="F25" s="81" t="inlineStr">
        <is>
          <t>🔷 أساسي</t>
        </is>
      </c>
      <c r="G25" s="82" t="n">
        <v>0.06</v>
      </c>
      <c r="H25" s="80" t="n"/>
      <c r="I25" s="80" t="n"/>
      <c r="J25" s="80" t="n"/>
      <c r="K25" s="80" t="n"/>
      <c r="L25" s="80" t="n"/>
      <c r="M25" s="80" t="n"/>
      <c r="N25" s="83">
        <f>IFERROR(SUMIFS('قاعدة المؤشرات'!$J:$J,'قاعدة المؤشرات'!$B:$B,"الاستثمار",'قاعدة المؤشرات'!$L:$L,"الامتثال")/SUMIFS('قاعدة المؤشرات'!$K:$K,'قاعدة المؤشرات'!$B:$B,"الاستثمار",'قاعدة المؤشرات'!$L:$L,"الامتثال"),"")</f>
        <v/>
      </c>
      <c r="O25" s="84">
        <f>IF($N25="","⏳ بانتظار هدف",IF($N25&gt;=1,"✅ محقق",IF($N25&gt;=0.85,"🟡 قريب","🔴 تحت الهدف")))</f>
        <v/>
      </c>
      <c r="P25" s="80" t="n"/>
      <c r="Q25" s="80" t="n"/>
      <c r="R25" s="80" t="n"/>
    </row>
    <row r="26" outlineLevel="1" ht="26" customHeight="1">
      <c r="A26" s="20" t="n">
        <v>18</v>
      </c>
      <c r="B26" s="21" t="inlineStr">
        <is>
          <t>الامتثال</t>
        </is>
      </c>
      <c r="C26" s="21" t="inlineStr">
        <is>
          <t>نسبة اكتمال المستندات النظامية قبل التوقيع</t>
        </is>
      </c>
      <c r="D26" s="55" t="inlineStr">
        <is>
          <t>%</t>
        </is>
      </c>
      <c r="E26" s="55" t="inlineStr">
        <is>
          <t>↑</t>
        </is>
      </c>
      <c r="F26" s="15" t="inlineStr">
        <is>
          <t>🏁 معلم</t>
        </is>
      </c>
      <c r="G26" s="64" t="n">
        <v>0.01</v>
      </c>
      <c r="H26" s="64" t="n">
        <v>1</v>
      </c>
      <c r="I26" s="22" t="inlineStr">
        <is>
          <t>100%</t>
        </is>
      </c>
      <c r="J26" s="85" t="inlineStr">
        <is>
          <t>الاستدامة</t>
        </is>
      </c>
      <c r="K26" s="11" t="inlineStr">
        <is>
          <t>جودة التشغيل</t>
        </is>
      </c>
      <c r="L26" s="15" t="inlineStr">
        <is>
          <t>العمليات الداخلية</t>
        </is>
      </c>
      <c r="M26" s="65" t="n">
        <v>0.751</v>
      </c>
      <c r="N26" s="10">
        <f>IF($H26="","",IF($M26="","",MIN(1,IF($H26=0,IF($M26&lt;=0,1,0),IF($E26="↓",IFERROR($H26/$M26,0),IFERROR($M26/$H26,0))))))</f>
        <v/>
      </c>
      <c r="O26" s="20">
        <f>IF($N26="","⏳ بانتظار هدف",IF($N26&gt;=1.0,"✅ محقق",IF($N26&gt;=0.85,"🟡 قريب","🔴 تحت الهدف")))</f>
        <v/>
      </c>
      <c r="P26" s="86" t="inlineStr">
        <is>
          <t>قيمة/عدد المتحقّق من «اكتمال المستندات النظامية قبل التوقيع» ÷ الإجمالي المستهدف لنفس البند × 100٪</t>
        </is>
      </c>
      <c r="Q26" s="86" t="inlineStr">
        <is>
          <t>نظام إدارة الجودة (QMS)</t>
        </is>
      </c>
      <c r="R26" s="15" t="inlineStr">
        <is>
          <t>شهري</t>
        </is>
      </c>
    </row>
    <row r="27" outlineLevel="1" ht="26" customHeight="1">
      <c r="A27" s="20" t="n">
        <v>19</v>
      </c>
      <c r="B27" s="21" t="inlineStr">
        <is>
          <t>الامتثال</t>
        </is>
      </c>
      <c r="C27" s="21" t="inlineStr">
        <is>
          <t>نسبة العقود المؤرشفة إلكترونياً خلال 48 ساعة</t>
        </is>
      </c>
      <c r="D27" s="55" t="inlineStr">
        <is>
          <t>%</t>
        </is>
      </c>
      <c r="E27" s="55" t="inlineStr">
        <is>
          <t>↑</t>
        </is>
      </c>
      <c r="F27" s="15" t="inlineStr">
        <is>
          <t>🔴 رئيسي</t>
        </is>
      </c>
      <c r="G27" s="64" t="n">
        <v>0.05</v>
      </c>
      <c r="H27" s="64" t="n">
        <v>0.95</v>
      </c>
      <c r="I27" s="22" t="inlineStr">
        <is>
          <t>95%+</t>
        </is>
      </c>
      <c r="J27" s="85" t="inlineStr">
        <is>
          <t>الاستدامة</t>
        </is>
      </c>
      <c r="K27" s="11" t="inlineStr">
        <is>
          <t>جودة التشغيل</t>
        </is>
      </c>
      <c r="L27" s="15" t="inlineStr">
        <is>
          <t>العمليات الداخلية</t>
        </is>
      </c>
      <c r="M27" s="65" t="n">
        <v>0.736</v>
      </c>
      <c r="N27" s="10">
        <f>IF($H27="","",IF($M27="","",MIN(1,IF($H27=0,IF($M27&lt;=0,1,0),IF($E27="↓",IFERROR($H27/$M27,0),IFERROR($M27/$H27,0))))))</f>
        <v/>
      </c>
      <c r="O27" s="20">
        <f>IF($N27="","⏳ بانتظار هدف",IF($N27&gt;=1.0,"✅ محقق",IF($N27&gt;=0.85,"🟡 قريب","🔴 تحت الهدف")))</f>
        <v/>
      </c>
      <c r="P27" s="86" t="inlineStr">
        <is>
          <t>قيمة/عدد المتحقّق من «العقود المؤرشفة إلكترونياً خلال 48 ساعة» ÷ الإجمالي المستهدف لنفس البند × 100٪</t>
        </is>
      </c>
      <c r="Q27" s="86" t="inlineStr">
        <is>
          <t>نظام إدارة الجودة (QMS)</t>
        </is>
      </c>
      <c r="R27" s="15" t="inlineStr">
        <is>
          <t>شهري</t>
        </is>
      </c>
    </row>
    <row r="28" ht="24" customHeight="1">
      <c r="B28" s="78" t="inlineStr">
        <is>
          <t>جودة التعاقد</t>
        </is>
      </c>
      <c r="C28" s="79" t="inlineStr">
        <is>
          <t>📊 مؤشر جودة التعاقد العام</t>
        </is>
      </c>
      <c r="D28" s="80" t="n"/>
      <c r="E28" s="80" t="n"/>
      <c r="F28" s="81" t="inlineStr">
        <is>
          <t>🔷 أساسي</t>
        </is>
      </c>
      <c r="G28" s="82" t="n">
        <v>0.13</v>
      </c>
      <c r="H28" s="80" t="n"/>
      <c r="I28" s="80" t="n"/>
      <c r="J28" s="80" t="n"/>
      <c r="K28" s="80" t="n"/>
      <c r="L28" s="80" t="n"/>
      <c r="M28" s="80" t="n"/>
      <c r="N28" s="83">
        <f>IFERROR(SUMIFS('قاعدة المؤشرات'!$J:$J,'قاعدة المؤشرات'!$B:$B,"الاستثمار",'قاعدة المؤشرات'!$L:$L,"جودة التعاقد")/SUMIFS('قاعدة المؤشرات'!$K:$K,'قاعدة المؤشرات'!$B:$B,"الاستثمار",'قاعدة المؤشرات'!$L:$L,"جودة التعاقد"),"")</f>
        <v/>
      </c>
      <c r="O28" s="84">
        <f>IF($N28="","⏳ بانتظار هدف",IF($N28&gt;=1,"✅ محقق",IF($N28&gt;=0.85,"🟡 قريب","🔴 تحت الهدف")))</f>
        <v/>
      </c>
      <c r="P28" s="80" t="n"/>
      <c r="Q28" s="80" t="n"/>
      <c r="R28" s="80" t="n"/>
    </row>
    <row r="29" outlineLevel="1" ht="26" customHeight="1">
      <c r="A29" s="20" t="n">
        <v>20</v>
      </c>
      <c r="B29" s="21" t="inlineStr">
        <is>
          <t>جودة التعاقد</t>
        </is>
      </c>
      <c r="C29" s="21" t="inlineStr">
        <is>
          <t>جودة التفاوض مع المستثمرين</t>
        </is>
      </c>
      <c r="D29" s="55" t="inlineStr">
        <is>
          <t>%</t>
        </is>
      </c>
      <c r="E29" s="55" t="inlineStr">
        <is>
          <t>↑</t>
        </is>
      </c>
      <c r="F29" s="15" t="inlineStr">
        <is>
          <t>🟠 مهم</t>
        </is>
      </c>
      <c r="G29" s="64" t="n">
        <v>0.03</v>
      </c>
      <c r="H29" s="64" t="n">
        <v>0.98</v>
      </c>
      <c r="I29" s="22" t="inlineStr">
        <is>
          <t>98%</t>
        </is>
      </c>
      <c r="J29" s="85" t="inlineStr">
        <is>
          <t>النمو</t>
        </is>
      </c>
      <c r="K29" s="11" t="inlineStr">
        <is>
          <t>التوسع في المواقع</t>
        </is>
      </c>
      <c r="L29" s="15" t="inlineStr">
        <is>
          <t>العمليات الداخلية</t>
        </is>
      </c>
      <c r="M29" s="65" t="n">
        <v>1.009</v>
      </c>
      <c r="N29" s="10">
        <f>IF($H29="","",IF($M29="","",MIN(1,IF($H29=0,IF($M29&lt;=0,1,0),IF($E29="↓",IFERROR($H29/$M29,0),IFERROR($M29/$H29,0))))))</f>
        <v/>
      </c>
      <c r="O29" s="20">
        <f>IF($N29="","⏳ بانتظار هدف",IF($N29&gt;=1.0,"✅ محقق",IF($N29&gt;=0.85,"🟡 قريب","🔴 تحت الهدف")))</f>
        <v/>
      </c>
      <c r="P29" s="86" t="inlineStr">
        <is>
          <t>القيمة المتحقّقة من «جودة التفاوض مع المستثمرين» ÷ المستهدف × 100٪</t>
        </is>
      </c>
      <c r="Q29" s="86" t="inlineStr">
        <is>
          <t>نظام إدارة الجودة (QMS)</t>
        </is>
      </c>
      <c r="R29" s="15" t="inlineStr">
        <is>
          <t>شهري</t>
        </is>
      </c>
    </row>
    <row r="30" outlineLevel="1" ht="26" customHeight="1">
      <c r="A30" s="20" t="n">
        <v>21</v>
      </c>
      <c r="B30" s="21" t="inlineStr">
        <is>
          <t>جودة التعاقد</t>
        </is>
      </c>
      <c r="C30" s="21" t="inlineStr">
        <is>
          <t>سرعة إنجاز إجراءات التعاقد</t>
        </is>
      </c>
      <c r="D30" s="55" t="inlineStr">
        <is>
          <t>أسبوع</t>
        </is>
      </c>
      <c r="E30" s="55" t="inlineStr">
        <is>
          <t>↓</t>
        </is>
      </c>
      <c r="F30" s="15" t="inlineStr">
        <is>
          <t>🟠 مهم</t>
        </is>
      </c>
      <c r="G30" s="64" t="n">
        <v>0.03</v>
      </c>
      <c r="H30" s="67" t="n">
        <v>1</v>
      </c>
      <c r="I30" s="22" t="inlineStr">
        <is>
          <t>≤ أسبوع</t>
        </is>
      </c>
      <c r="J30" s="85" t="inlineStr">
        <is>
          <t>النمو</t>
        </is>
      </c>
      <c r="K30" s="11" t="inlineStr">
        <is>
          <t>التوسع في المواقع</t>
        </is>
      </c>
      <c r="L30" s="15" t="inlineStr">
        <is>
          <t>العمليات الداخلية</t>
        </is>
      </c>
      <c r="M30" s="68" t="n">
        <v>1.061</v>
      </c>
      <c r="N30" s="10">
        <f>IF($H30="","",IF($M30="","",MIN(1,IF($H30=0,IF($M30&lt;=0,1,0),IF($E30="↓",IFERROR($H30/$M30,0),IFERROR($M30/$H30,0))))))</f>
        <v/>
      </c>
      <c r="O30" s="20">
        <f>IF($N30="","⏳ بانتظار هدف",IF($N30&gt;=1.0,"✅ محقق",IF($N30&gt;=0.85,"🟡 قريب","🔴 تحت الهدف")))</f>
        <v/>
      </c>
      <c r="P30" s="86" t="inlineStr">
        <is>
          <t>قياس «سرعة إنجاز إجراءات التعاقد» مقابل مستهدفه المعتمد خلال الفترة</t>
        </is>
      </c>
      <c r="Q30" s="86" t="inlineStr">
        <is>
          <t>نظام إدارة الجودة (QMS)</t>
        </is>
      </c>
      <c r="R30" s="15" t="inlineStr">
        <is>
          <t>شهري</t>
        </is>
      </c>
    </row>
    <row r="31" outlineLevel="1" ht="26" customHeight="1">
      <c r="A31" s="20" t="n">
        <v>22</v>
      </c>
      <c r="B31" s="21" t="inlineStr">
        <is>
          <t>جودة التعاقد</t>
        </is>
      </c>
      <c r="C31" s="21" t="inlineStr">
        <is>
          <t>مدى رضا المستثمرين وشركاء الاستثمار</t>
        </is>
      </c>
      <c r="D31" s="55" t="inlineStr">
        <is>
          <t>%</t>
        </is>
      </c>
      <c r="E31" s="55" t="inlineStr">
        <is>
          <t>↑</t>
        </is>
      </c>
      <c r="F31" s="15" t="inlineStr">
        <is>
          <t>🔴 رئيسي</t>
        </is>
      </c>
      <c r="G31" s="64" t="n">
        <v>0.05</v>
      </c>
      <c r="H31" s="64" t="n">
        <v>0.8</v>
      </c>
      <c r="I31" s="22" t="inlineStr">
        <is>
          <t>80%+</t>
        </is>
      </c>
      <c r="J31" s="85" t="inlineStr">
        <is>
          <t>الاستدامة</t>
        </is>
      </c>
      <c r="K31" s="11" t="inlineStr">
        <is>
          <t>تعزيز تجربة العملاء</t>
        </is>
      </c>
      <c r="L31" s="15" t="inlineStr">
        <is>
          <t>العملاء</t>
        </is>
      </c>
      <c r="M31" s="65" t="n">
        <v>0.786</v>
      </c>
      <c r="N31" s="10">
        <f>IF($H31="","",IF($M31="","",MIN(1,IF($H31=0,IF($M31&lt;=0,1,0),IF($E31="↓",IFERROR($H31/$M31,0),IFERROR($M31/$H31,0))))))</f>
        <v/>
      </c>
      <c r="O31" s="20">
        <f>IF($N31="","⏳ بانتظار هدف",IF($N31&gt;=0.9,"✅ محقق",IF($N31&gt;=0.75,"🟡 قريب","🔴 تحت الهدف")))</f>
        <v/>
      </c>
      <c r="P31" s="86" t="inlineStr">
        <is>
          <t>القيمة المتحقّقة من «مدى رضا المستثمرين وشركاء الاستثمار» ÷ المستهدف × 100٪</t>
        </is>
      </c>
      <c r="Q31" s="86" t="inlineStr">
        <is>
          <t>استبيان دوري</t>
        </is>
      </c>
      <c r="R31" s="15" t="inlineStr">
        <is>
          <t>ربعي</t>
        </is>
      </c>
    </row>
    <row r="32" outlineLevel="1" ht="26" customHeight="1">
      <c r="A32" s="20" t="n">
        <v>23</v>
      </c>
      <c r="B32" s="21" t="inlineStr">
        <is>
          <t>جودة التعاقد</t>
        </is>
      </c>
      <c r="C32" s="21" t="inlineStr">
        <is>
          <t>نسبة اكتمال أرشفة ملفات العملاء</t>
        </is>
      </c>
      <c r="D32" s="55" t="inlineStr">
        <is>
          <t>%</t>
        </is>
      </c>
      <c r="E32" s="55" t="inlineStr">
        <is>
          <t>↑</t>
        </is>
      </c>
      <c r="F32" s="15" t="inlineStr">
        <is>
          <t>🏁 معلم</t>
        </is>
      </c>
      <c r="G32" s="64" t="n">
        <v>0.01</v>
      </c>
      <c r="H32" s="64" t="n">
        <v>1</v>
      </c>
      <c r="I32" s="22" t="inlineStr">
        <is>
          <t>100%</t>
        </is>
      </c>
      <c r="J32" s="85" t="inlineStr">
        <is>
          <t>الاستدامة</t>
        </is>
      </c>
      <c r="K32" s="11" t="inlineStr">
        <is>
          <t>جودة التشغيل</t>
        </is>
      </c>
      <c r="L32" s="15" t="inlineStr">
        <is>
          <t>العملاء</t>
        </is>
      </c>
      <c r="M32" s="65" t="n">
        <v>0.972</v>
      </c>
      <c r="N32" s="10">
        <f>IF($H32="","",IF($M32="","",MIN(1,IF($H32=0,IF($M32&lt;=0,1,0),IF($E32="↓",IFERROR($H32/$M32,0),IFERROR($M32/$H32,0))))))</f>
        <v/>
      </c>
      <c r="O32" s="20">
        <f>IF($N32="","⏳ بانتظار هدف",IF($N32&gt;=1.0,"✅ محقق",IF($N32&gt;=0.85,"🟡 قريب","🔴 تحت الهدف")))</f>
        <v/>
      </c>
      <c r="P32" s="86" t="inlineStr">
        <is>
          <t>قيمة/عدد المتحقّق من «اكتمال أرشفة ملفات العملاء» ÷ الإجمالي المستهدف لنفس البند × 100٪</t>
        </is>
      </c>
      <c r="Q32" s="86" t="inlineStr">
        <is>
          <t>نظام إدارة الجودة (QMS)</t>
        </is>
      </c>
      <c r="R32" s="15" t="inlineStr">
        <is>
          <t>شهري</t>
        </is>
      </c>
    </row>
    <row r="33" outlineLevel="1" ht="26" customHeight="1">
      <c r="A33" s="20" t="n">
        <v>24</v>
      </c>
      <c r="B33" s="21" t="inlineStr">
        <is>
          <t>جودة التعاقد</t>
        </is>
      </c>
      <c r="C33" s="21" t="inlineStr">
        <is>
          <t>نسبة إنجاز التقارير الدورية في موعدها</t>
        </is>
      </c>
      <c r="D33" s="55" t="inlineStr">
        <is>
          <t>%</t>
        </is>
      </c>
      <c r="E33" s="55" t="inlineStr">
        <is>
          <t>↑</t>
        </is>
      </c>
      <c r="F33" s="15" t="inlineStr">
        <is>
          <t>🟡 متابعة</t>
        </is>
      </c>
      <c r="G33" s="64" t="n">
        <v>0.01</v>
      </c>
      <c r="H33" s="64" t="n">
        <v>1</v>
      </c>
      <c r="I33" s="22" t="inlineStr">
        <is>
          <t>100%</t>
        </is>
      </c>
      <c r="J33" s="85" t="inlineStr">
        <is>
          <t>الاستدامة</t>
        </is>
      </c>
      <c r="K33" s="11" t="inlineStr">
        <is>
          <t>جودة التشغيل</t>
        </is>
      </c>
      <c r="L33" s="15" t="inlineStr">
        <is>
          <t>العمليات الداخلية</t>
        </is>
      </c>
      <c r="M33" s="65" t="n">
        <v>0.961</v>
      </c>
      <c r="N33" s="10">
        <f>IF($H33="","",IF($M33="","",MIN(1,IF($H33=0,IF($M33&lt;=0,1,0),IF($E33="↓",IFERROR($H33/$M33,0),IFERROR($M33/$H33,0))))))</f>
        <v/>
      </c>
      <c r="O33" s="20">
        <f>IF($N33="","⏳ بانتظار هدف",IF($N33&gt;=1.0,"✅ محقق",IF($N33&gt;=0.85,"🟡 قريب","🔴 تحت الهدف")))</f>
        <v/>
      </c>
      <c r="P33" s="86" t="inlineStr">
        <is>
          <t>قيمة/عدد المتحقّق من «إنجاز التقارير الدورية في موعدها» ÷ الإجمالي المستهدف لنفس البند × 100٪</t>
        </is>
      </c>
      <c r="Q33" s="86" t="inlineStr">
        <is>
          <t>نظام إدارة الجودة (QMS)</t>
        </is>
      </c>
      <c r="R33" s="15" t="inlineStr">
        <is>
          <t>شهري</t>
        </is>
      </c>
    </row>
  </sheetData>
  <autoFilter ref="A3:R33"/>
  <mergeCells count="2">
    <mergeCell ref="A2:R2"/>
    <mergeCell ref="A1:R1"/>
  </mergeCells>
  <dataValidations count="1">
    <dataValidation sqref="M5 M6 M7 M8 M9 M10 M11 M13 M14 M15 M17 M18 M19 M20 M22 M23 M24 M26 M27 M29 M30 M31 M32 M3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1"/>
    <pageSetUpPr/>
  </sheetPr>
  <dimension ref="A1:R2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العقار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4" customHeight="1">
      <c r="B4" s="78" t="inlineStr">
        <is>
          <t>الإدارة</t>
        </is>
      </c>
      <c r="C4" s="79" t="inlineStr">
        <is>
          <t>📊 مؤشر الإدارة العام</t>
        </is>
      </c>
      <c r="D4" s="80" t="n"/>
      <c r="E4" s="80" t="n"/>
      <c r="F4" s="81" t="inlineStr">
        <is>
          <t>🔷 أساسي</t>
        </is>
      </c>
      <c r="G4" s="82" t="n">
        <v>0.24</v>
      </c>
      <c r="H4" s="80" t="n"/>
      <c r="I4" s="80" t="n"/>
      <c r="J4" s="80" t="n"/>
      <c r="K4" s="80" t="n"/>
      <c r="L4" s="80" t="n"/>
      <c r="M4" s="80" t="n"/>
      <c r="N4" s="83">
        <f>IFERROR(SUMIFS('قاعدة المؤشرات'!$J:$J,'قاعدة المؤشرات'!$B:$B,"العقار",'قاعدة المؤشرات'!$L:$L,"الإدارة")/SUMIFS('قاعدة المؤشرات'!$K:$K,'قاعدة المؤشرات'!$B:$B,"العقار",'قاعدة المؤشرات'!$L:$L,"الإدارة"),"")</f>
        <v/>
      </c>
      <c r="O4" s="84">
        <f>IF($N4="","⏳ بانتظار هدف",IF($N4&gt;=1,"✅ محقق",IF($N4&gt;=0.85,"🟡 قريب","🔴 تحت الهدف")))</f>
        <v/>
      </c>
      <c r="P4" s="80" t="n"/>
      <c r="Q4" s="80" t="n"/>
      <c r="R4" s="80" t="n"/>
    </row>
    <row r="5" outlineLevel="1" ht="26" customHeight="1">
      <c r="A5" s="20" t="n">
        <v>1</v>
      </c>
      <c r="B5" s="21" t="inlineStr">
        <is>
          <t>الإدارة</t>
        </is>
      </c>
      <c r="C5" s="21" t="inlineStr">
        <is>
          <t>نمو الإيرادات الإيجارية</t>
        </is>
      </c>
      <c r="D5" s="55" t="inlineStr">
        <is>
          <t>%</t>
        </is>
      </c>
      <c r="E5" s="55" t="inlineStr">
        <is>
          <t>↑</t>
        </is>
      </c>
      <c r="F5" s="15" t="inlineStr">
        <is>
          <t>🔴 رئيسي</t>
        </is>
      </c>
      <c r="G5" s="64" t="n">
        <v>0.08</v>
      </c>
      <c r="H5" s="64" t="n">
        <v>0.08</v>
      </c>
      <c r="I5" s="22" t="inlineStr">
        <is>
          <t>&gt; 8% سنوياً</t>
        </is>
      </c>
      <c r="J5" s="85" t="inlineStr">
        <is>
          <t>الاستدامة</t>
        </is>
      </c>
      <c r="K5" s="11" t="inlineStr">
        <is>
          <t>منظومة التأجير</t>
        </is>
      </c>
      <c r="L5" s="15" t="inlineStr">
        <is>
          <t>مالي</t>
        </is>
      </c>
      <c r="M5" s="65" t="n">
        <v>0.068</v>
      </c>
      <c r="N5" s="10">
        <f>IF($H5="","",IF($M5="","",MIN(1,IF($H5=0,IF($M5&lt;=0,1,0),IF($E5="↓",IFERROR($H5/$M5,0),IFERROR($M5/$H5,0))))))</f>
        <v/>
      </c>
      <c r="O5" s="20">
        <f>IF($N5="","⏳ بانتظار هدف",IF($N5&gt;=1.0,"✅ محقق",IF($N5&gt;=0.85,"🟡 قريب","🔴 تحت الهدف")))</f>
        <v/>
      </c>
      <c r="P5" s="86" t="inlineStr">
        <is>
          <t>القيمة المتحقّقة من «نمو الإيرادات الإيجارية» ÷ المستهدف × 100٪</t>
        </is>
      </c>
      <c r="Q5" s="86" t="inlineStr">
        <is>
          <t>نظام المحاسبة / ERP (D365)</t>
        </is>
      </c>
      <c r="R5" s="15" t="inlineStr">
        <is>
          <t>ربعي</t>
        </is>
      </c>
    </row>
    <row r="6" outlineLevel="1" ht="26" customHeight="1">
      <c r="A6" s="20" t="n">
        <v>2</v>
      </c>
      <c r="B6" s="21" t="inlineStr">
        <is>
          <t>الإدارة</t>
        </is>
      </c>
      <c r="C6" s="21" t="inlineStr">
        <is>
          <t>نسبة الالتزام بالعقود</t>
        </is>
      </c>
      <c r="D6" s="55" t="inlineStr">
        <is>
          <t>%</t>
        </is>
      </c>
      <c r="E6" s="55" t="inlineStr">
        <is>
          <t>↑</t>
        </is>
      </c>
      <c r="F6" s="15" t="inlineStr">
        <is>
          <t>🔴 رئيسي</t>
        </is>
      </c>
      <c r="G6" s="64" t="n">
        <v>0.08</v>
      </c>
      <c r="H6" s="64" t="n">
        <v>1</v>
      </c>
      <c r="I6" s="22" t="inlineStr">
        <is>
          <t>100%</t>
        </is>
      </c>
      <c r="J6" s="85" t="inlineStr">
        <is>
          <t>الاستدامة</t>
        </is>
      </c>
      <c r="K6" s="11" t="inlineStr">
        <is>
          <t>منظومة التأجير</t>
        </is>
      </c>
      <c r="L6" s="15" t="inlineStr">
        <is>
          <t>العمليات الداخلية</t>
        </is>
      </c>
      <c r="M6" s="65" t="n">
        <v>1.03</v>
      </c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محقق",IF($N6&gt;=0.85,"🟡 قريب","🔴 تحت الهدف")))</f>
        <v/>
      </c>
      <c r="P6" s="86" t="inlineStr">
        <is>
          <t>قيمة/عدد المتحقّق من «الالتزام بالعقود» ÷ الإجمالي المستهدف لنفس البند × 100٪</t>
        </is>
      </c>
      <c r="Q6" s="86" t="inlineStr">
        <is>
          <t>نظام إدارة العقود (CRM)</t>
        </is>
      </c>
      <c r="R6" s="15" t="inlineStr">
        <is>
          <t>شهري</t>
        </is>
      </c>
    </row>
    <row r="7" outlineLevel="1" ht="26" customHeight="1">
      <c r="A7" s="20" t="n">
        <v>3</v>
      </c>
      <c r="B7" s="21" t="inlineStr">
        <is>
          <t>الإدارة</t>
        </is>
      </c>
      <c r="C7" s="21" t="inlineStr">
        <is>
          <t>نسبة تحصيل الإيجارات</t>
        </is>
      </c>
      <c r="D7" s="55" t="inlineStr">
        <is>
          <t>%</t>
        </is>
      </c>
      <c r="E7" s="55" t="inlineStr">
        <is>
          <t>↑</t>
        </is>
      </c>
      <c r="F7" s="15" t="inlineStr">
        <is>
          <t>🔴 رئيسي</t>
        </is>
      </c>
      <c r="G7" s="64" t="n">
        <v>0.08</v>
      </c>
      <c r="H7" s="64" t="n">
        <v>0.95</v>
      </c>
      <c r="I7" s="22" t="inlineStr">
        <is>
          <t>&gt; 95%</t>
        </is>
      </c>
      <c r="J7" s="85" t="inlineStr">
        <is>
          <t>الاستدامة</t>
        </is>
      </c>
      <c r="K7" s="11" t="inlineStr">
        <is>
          <t>منظومة التأجير</t>
        </is>
      </c>
      <c r="L7" s="15" t="inlineStr">
        <is>
          <t>مالي</t>
        </is>
      </c>
      <c r="M7" s="65" t="n">
        <v>0.805</v>
      </c>
      <c r="N7" s="10">
        <f>IF($H7="","",IF($M7="","",MIN(1,IF($H7=0,IF($M7&lt;=0,1,0),IF($E7="↓",IFERROR($H7/$M7,0),IFERROR($M7/$H7,0))))))</f>
        <v/>
      </c>
      <c r="O7" s="20">
        <f>IF($N7="","⏳ بانتظار هدف",IF($N7&gt;=1.0,"✅ محقق",IF($N7&gt;=0.85,"🟡 قريب","🔴 تحت الهدف")))</f>
        <v/>
      </c>
      <c r="P7" s="86" t="inlineStr">
        <is>
          <t>قيمة/عدد المتحقّق من «تحصيل الإيجارات» ÷ الإجمالي المستهدف لنفس البند × 100٪</t>
        </is>
      </c>
      <c r="Q7" s="86" t="inlineStr">
        <is>
          <t>نظام المحاسبة / ERP (D365)</t>
        </is>
      </c>
      <c r="R7" s="15" t="inlineStr">
        <is>
          <t>شهري</t>
        </is>
      </c>
    </row>
    <row r="8" ht="24" customHeight="1">
      <c r="B8" s="78" t="inlineStr">
        <is>
          <t>التأجير</t>
        </is>
      </c>
      <c r="C8" s="79" t="inlineStr">
        <is>
          <t>📊 مؤشر التأجير العام</t>
        </is>
      </c>
      <c r="D8" s="80" t="n"/>
      <c r="E8" s="80" t="n"/>
      <c r="F8" s="81" t="inlineStr">
        <is>
          <t>🔷 أساسي</t>
        </is>
      </c>
      <c r="G8" s="82" t="n">
        <v>0.31</v>
      </c>
      <c r="H8" s="80" t="n"/>
      <c r="I8" s="80" t="n"/>
      <c r="J8" s="80" t="n"/>
      <c r="K8" s="80" t="n"/>
      <c r="L8" s="80" t="n"/>
      <c r="M8" s="80" t="n"/>
      <c r="N8" s="83">
        <f>IFERROR(SUMIFS('قاعدة المؤشرات'!$J:$J,'قاعدة المؤشرات'!$B:$B,"العقار",'قاعدة المؤشرات'!$L:$L,"التأجير")/SUMIFS('قاعدة المؤشرات'!$K:$K,'قاعدة المؤشرات'!$B:$B,"العقار",'قاعدة المؤشرات'!$L:$L,"التأجير"),"")</f>
        <v/>
      </c>
      <c r="O8" s="84">
        <f>IF($N8="","⏳ بانتظار هدف",IF($N8&gt;=1,"✅ محقق",IF($N8&gt;=0.85,"🟡 قريب","🔴 تحت الهدف")))</f>
        <v/>
      </c>
      <c r="P8" s="80" t="n"/>
      <c r="Q8" s="80" t="n"/>
      <c r="R8" s="80" t="n"/>
    </row>
    <row r="9" outlineLevel="1" ht="26" customHeight="1">
      <c r="A9" s="20" t="n">
        <v>4</v>
      </c>
      <c r="B9" s="21" t="inlineStr">
        <is>
          <t>التأجير</t>
        </is>
      </c>
      <c r="C9" s="21" t="inlineStr">
        <is>
          <t>نسبة الإشغال</t>
        </is>
      </c>
      <c r="D9" s="55" t="inlineStr">
        <is>
          <t>%</t>
        </is>
      </c>
      <c r="E9" s="55" t="inlineStr">
        <is>
          <t>↑</t>
        </is>
      </c>
      <c r="F9" s="15" t="inlineStr">
        <is>
          <t>🔴 رئيسي</t>
        </is>
      </c>
      <c r="G9" s="64" t="n">
        <v>0.08</v>
      </c>
      <c r="H9" s="64" t="n">
        <v>0.6</v>
      </c>
      <c r="I9" s="22" t="inlineStr">
        <is>
          <t>≥ 60%</t>
        </is>
      </c>
      <c r="J9" s="85" t="inlineStr">
        <is>
          <t>الاستدامة</t>
        </is>
      </c>
      <c r="K9" s="11" t="inlineStr">
        <is>
          <t>منظومة التأجير</t>
        </is>
      </c>
      <c r="L9" s="15" t="inlineStr">
        <is>
          <t>العمليات الداخلية</t>
        </is>
      </c>
      <c r="M9" s="65" t="n">
        <v>0.611</v>
      </c>
      <c r="N9" s="10">
        <f>IF($H9="","",IF($M9="","",MIN(1,IF($H9=0,IF($M9&lt;=0,1,0),IF($E9="↓",IFERROR($H9/$M9,0),IFERROR($M9/$H9,0))))))</f>
        <v/>
      </c>
      <c r="O9" s="20">
        <f>IF($N9="","⏳ بانتظار هدف",IF($N9&gt;=1.0,"✅ محقق",IF($N9&gt;=0.85,"🟡 قريب","🔴 تحت الهدف")))</f>
        <v/>
      </c>
      <c r="P9" s="86" t="inlineStr">
        <is>
          <t>قيمة/عدد المتحقّق من «الإشغال» ÷ الإجمالي المستهدف لنفس البند × 100٪</t>
        </is>
      </c>
      <c r="Q9" s="86" t="inlineStr">
        <is>
          <t>نظام إدارة العقود (CRM)</t>
        </is>
      </c>
      <c r="R9" s="15" t="inlineStr">
        <is>
          <t>شهري</t>
        </is>
      </c>
    </row>
    <row r="10" outlineLevel="1" ht="26" customHeight="1">
      <c r="A10" s="20" t="n">
        <v>5</v>
      </c>
      <c r="B10" s="21" t="inlineStr">
        <is>
          <t>التأجير</t>
        </is>
      </c>
      <c r="C10" s="21" t="inlineStr">
        <is>
          <t>الوحدات المؤجَّرة شهرياً</t>
        </is>
      </c>
      <c r="D10" s="55" t="inlineStr">
        <is>
          <t>وحدة</t>
        </is>
      </c>
      <c r="E10" s="55" t="inlineStr">
        <is>
          <t>↑</t>
        </is>
      </c>
      <c r="F10" s="15" t="inlineStr">
        <is>
          <t>🟠 مهم</t>
        </is>
      </c>
      <c r="G10" s="64" t="n">
        <v>0.05</v>
      </c>
      <c r="H10" s="60" t="n">
        <v>68</v>
      </c>
      <c r="I10" s="22" t="inlineStr">
        <is>
          <t>68 شهرياً</t>
        </is>
      </c>
      <c r="J10" s="85" t="inlineStr">
        <is>
          <t>الاستدامة</t>
        </is>
      </c>
      <c r="K10" s="11" t="inlineStr">
        <is>
          <t>منظومة التأجير</t>
        </is>
      </c>
      <c r="L10" s="15" t="inlineStr">
        <is>
          <t>العمليات الداخلية</t>
        </is>
      </c>
      <c r="M10" s="61" t="n">
        <v>54.8</v>
      </c>
      <c r="N10" s="10">
        <f>IF($H10="","",IF($M10="","",MIN(1,IF($H10=0,IF($M10&lt;=0,1,0),IF($E10="↓",IFERROR($H10/$M10,0),IFERROR($M10/$H10,0))))))</f>
        <v/>
      </c>
      <c r="O10" s="20">
        <f>IF($N10="","⏳ بانتظار هدف",IF($N10&gt;=1.0,"✅ محقق",IF($N10&gt;=0.85,"🟡 قريب","🔴 تحت الهدف")))</f>
        <v/>
      </c>
      <c r="P10" s="86" t="inlineStr">
        <is>
          <t>إجمالي عدد «الوحدات المؤجَّرة شهرياً» المُسجّل خلال الفترة</t>
        </is>
      </c>
      <c r="Q10" s="86" t="inlineStr">
        <is>
          <t>نظام إدارة العقود (CRM)</t>
        </is>
      </c>
      <c r="R10" s="15" t="inlineStr">
        <is>
          <t>شهري</t>
        </is>
      </c>
    </row>
    <row r="11" outlineLevel="1" ht="26" customHeight="1">
      <c r="A11" s="20" t="n">
        <v>6</v>
      </c>
      <c r="B11" s="21" t="inlineStr">
        <is>
          <t>التأجير</t>
        </is>
      </c>
      <c r="C11" s="21" t="inlineStr">
        <is>
          <t>العملاء المحتملون (LEADS)</t>
        </is>
      </c>
      <c r="D11" s="55" t="inlineStr">
        <is>
          <t>عميل</t>
        </is>
      </c>
      <c r="E11" s="55" t="inlineStr">
        <is>
          <t>↑</t>
        </is>
      </c>
      <c r="F11" s="15" t="inlineStr">
        <is>
          <t>🟠 مهم</t>
        </is>
      </c>
      <c r="G11" s="64" t="n">
        <v>0.05</v>
      </c>
      <c r="H11" s="60" t="n">
        <v>680</v>
      </c>
      <c r="I11" s="22" t="inlineStr">
        <is>
          <t>544–680</t>
        </is>
      </c>
      <c r="J11" s="85" t="inlineStr">
        <is>
          <t>النمو</t>
        </is>
      </c>
      <c r="K11" s="11" t="inlineStr">
        <is>
          <t>زيادة وصول العملاء</t>
        </is>
      </c>
      <c r="L11" s="15" t="inlineStr">
        <is>
          <t>العملاء</t>
        </is>
      </c>
      <c r="M11" s="61" t="n">
        <v>531.8</v>
      </c>
      <c r="N11" s="10">
        <f>IF($H11="","",IF($M11="","",MIN(1,IF($H11=0,IF($M11&lt;=0,1,0),IF($E11="↓",IFERROR($H11/$M11,0),IFERROR($M11/$H11,0))))))</f>
        <v/>
      </c>
      <c r="O11" s="20">
        <f>IF($N11="","⏳ بانتظار هدف",IF($N11&gt;=1.0,"✅ محقق",IF($N11&gt;=0.85,"🟡 قريب","🔴 تحت الهدف")))</f>
        <v/>
      </c>
      <c r="P11" s="86" t="inlineStr">
        <is>
          <t>إجمالي عدد «العملاء المحتملون» المُسجّل خلال الفترة</t>
        </is>
      </c>
      <c r="Q11" s="86" t="inlineStr">
        <is>
          <t>نظام إدارة العقود (CRM)</t>
        </is>
      </c>
      <c r="R11" s="15" t="inlineStr">
        <is>
          <t>شهري</t>
        </is>
      </c>
    </row>
    <row r="12" outlineLevel="1" ht="26" customHeight="1">
      <c r="A12" s="20" t="n">
        <v>7</v>
      </c>
      <c r="B12" s="21" t="inlineStr">
        <is>
          <t>التأجير</t>
        </is>
      </c>
      <c r="C12" s="21" t="inlineStr">
        <is>
          <t>معدل التحويل</t>
        </is>
      </c>
      <c r="D12" s="55" t="inlineStr">
        <is>
          <t>%</t>
        </is>
      </c>
      <c r="E12" s="55" t="inlineStr">
        <is>
          <t>↑</t>
        </is>
      </c>
      <c r="F12" s="15" t="inlineStr">
        <is>
          <t>🔴 رئيسي</t>
        </is>
      </c>
      <c r="G12" s="64" t="n">
        <v>0.08</v>
      </c>
      <c r="H12" s="64" t="n">
        <v>0.2</v>
      </c>
      <c r="I12" s="22" t="inlineStr">
        <is>
          <t>15–25%</t>
        </is>
      </c>
      <c r="J12" s="85" t="inlineStr">
        <is>
          <t>النمو</t>
        </is>
      </c>
      <c r="K12" s="11" t="inlineStr">
        <is>
          <t>زيادة وصول العملاء</t>
        </is>
      </c>
      <c r="L12" s="15" t="inlineStr">
        <is>
          <t>العمليات الداخلية</t>
        </is>
      </c>
      <c r="M12" s="65" t="n">
        <v>0.208</v>
      </c>
      <c r="N12" s="10">
        <f>IF($H12="","",IF($M12="","",MIN(1,IF($H12=0,IF($M12&lt;=0,1,0),IF($E12="↓",IFERROR($H12/$M12,0),IFERROR($M12/$H12,0))))))</f>
        <v/>
      </c>
      <c r="O12" s="20">
        <f>IF($N12="","⏳ بانتظار هدف",IF($N12&gt;=1.0,"✅ محقق",IF($N12&gt;=0.85,"🟡 قريب","🔴 تحت الهدف")))</f>
        <v/>
      </c>
      <c r="P12" s="86" t="inlineStr">
        <is>
          <t>عدد حالات «التحويل» خلال الفترة ÷ إجمالي الحالات القابلة للقياس × 100٪</t>
        </is>
      </c>
      <c r="Q12" s="86" t="inlineStr">
        <is>
          <t>نظام إدارة العقود (CRM)</t>
        </is>
      </c>
      <c r="R12" s="15" t="inlineStr">
        <is>
          <t>شهري</t>
        </is>
      </c>
    </row>
    <row r="13" outlineLevel="1" ht="26" customHeight="1">
      <c r="A13" s="20" t="n">
        <v>8</v>
      </c>
      <c r="B13" s="21" t="inlineStr">
        <is>
          <t>التأجير</t>
        </is>
      </c>
      <c r="C13" s="21" t="inlineStr">
        <is>
          <t>زيادة عدد العلامات التجارية</t>
        </is>
      </c>
      <c r="D13" s="55" t="inlineStr">
        <is>
          <t>علامة</t>
        </is>
      </c>
      <c r="E13" s="55" t="inlineStr">
        <is>
          <t>↑</t>
        </is>
      </c>
      <c r="F13" s="15" t="inlineStr">
        <is>
          <t>🟠 مهم</t>
        </is>
      </c>
      <c r="G13" s="64" t="n">
        <v>0.05</v>
      </c>
      <c r="H13" s="60" t="n">
        <v>246</v>
      </c>
      <c r="I13" s="22" t="inlineStr">
        <is>
          <t>246 علامة</t>
        </is>
      </c>
      <c r="J13" s="85" t="inlineStr">
        <is>
          <t>الاستدامة</t>
        </is>
      </c>
      <c r="K13" s="11" t="inlineStr">
        <is>
          <t>منظومة التأجير</t>
        </is>
      </c>
      <c r="L13" s="15" t="inlineStr">
        <is>
          <t>العمليات الداخلية</t>
        </is>
      </c>
      <c r="M13" s="61" t="n">
        <v>202.6</v>
      </c>
      <c r="N13" s="10">
        <f>IF($H13="","",IF($M13="","",MIN(1,IF($H13=0,IF($M13&lt;=0,1,0),IF($E13="↓",IFERROR($H13/$M13,0),IFERROR($M13/$H13,0))))))</f>
        <v/>
      </c>
      <c r="O13" s="20">
        <f>IF($N13="","⏳ بانتظار هدف",IF($N13&gt;=1.0,"✅ محقق",IF($N13&gt;=0.85,"🟡 قريب","🔴 تحت الهدف")))</f>
        <v/>
      </c>
      <c r="P13" s="86" t="inlineStr">
        <is>
          <t>إجمالي عدد «زيادة عدد العلامات التجارية» المُسجّل خلال الفترة</t>
        </is>
      </c>
      <c r="Q13" s="86" t="inlineStr">
        <is>
          <t>نظام إدارة العقود (CRM)</t>
        </is>
      </c>
      <c r="R13" s="15" t="inlineStr">
        <is>
          <t>شهري</t>
        </is>
      </c>
    </row>
    <row r="14" ht="24" customHeight="1">
      <c r="B14" s="78" t="inlineStr">
        <is>
          <t>الإبداع والتكامل</t>
        </is>
      </c>
      <c r="C14" s="79" t="inlineStr">
        <is>
          <t>📊 مؤشر الإبداع والتكامل العام</t>
        </is>
      </c>
      <c r="D14" s="80" t="n"/>
      <c r="E14" s="80" t="n"/>
      <c r="F14" s="81" t="inlineStr">
        <is>
          <t>🔷 أساسي</t>
        </is>
      </c>
      <c r="G14" s="82" t="n">
        <v>0.15</v>
      </c>
      <c r="H14" s="80" t="n"/>
      <c r="I14" s="80" t="n"/>
      <c r="J14" s="80" t="n"/>
      <c r="K14" s="80" t="n"/>
      <c r="L14" s="80" t="n"/>
      <c r="M14" s="80" t="n"/>
      <c r="N14" s="83">
        <f>IFERROR(SUMIFS('قاعدة المؤشرات'!$J:$J,'قاعدة المؤشرات'!$B:$B,"العقار",'قاعدة المؤشرات'!$L:$L,"الإبداع والتكامل")/SUMIFS('قاعدة المؤشرات'!$K:$K,'قاعدة المؤشرات'!$B:$B,"العقار",'قاعدة المؤشرات'!$L:$L,"الإبداع والتكامل"),"")</f>
        <v/>
      </c>
      <c r="O14" s="84">
        <f>IF($N14="","⏳ بانتظار هدف",IF($N14&gt;=1,"✅ محقق",IF($N14&gt;=0.85,"🟡 قريب","🔴 تحت الهدف")))</f>
        <v/>
      </c>
      <c r="P14" s="80" t="n"/>
      <c r="Q14" s="80" t="n"/>
      <c r="R14" s="80" t="n"/>
    </row>
    <row r="15" outlineLevel="1" ht="26" customHeight="1">
      <c r="A15" s="20" t="n">
        <v>9</v>
      </c>
      <c r="B15" s="21" t="inlineStr">
        <is>
          <t>الإبداع والتكامل</t>
        </is>
      </c>
      <c r="C15" s="21" t="inlineStr">
        <is>
          <t>نسبة تأجير ساحة درب</t>
        </is>
      </c>
      <c r="D15" s="55" t="inlineStr">
        <is>
          <t>%</t>
        </is>
      </c>
      <c r="E15" s="55" t="inlineStr">
        <is>
          <t>↑</t>
        </is>
      </c>
      <c r="F15" s="15" t="inlineStr">
        <is>
          <t>🟠 مهم</t>
        </is>
      </c>
      <c r="G15" s="64" t="n">
        <v>0.05</v>
      </c>
      <c r="H15" s="64" t="n">
        <v>0.8</v>
      </c>
      <c r="I15" s="22" t="inlineStr">
        <is>
          <t>≥ 80%</t>
        </is>
      </c>
      <c r="J15" s="85" t="inlineStr">
        <is>
          <t>الابتكار</t>
        </is>
      </c>
      <c r="K15" s="11" t="inlineStr">
        <is>
          <t>ساحات درب</t>
        </is>
      </c>
      <c r="L15" s="15" t="inlineStr">
        <is>
          <t>العمليات الداخلية</t>
        </is>
      </c>
      <c r="M15" s="65" t="n">
        <v>0.671</v>
      </c>
      <c r="N15" s="10">
        <f>IF($H15="","",IF($M15="","",MIN(1,IF($H15=0,IF($M15&lt;=0,1,0),IF($E15="↓",IFERROR($H15/$M15,0),IFERROR($M15/$H15,0))))))</f>
        <v/>
      </c>
      <c r="O15" s="20">
        <f>IF($N15="","⏳ بانتظار هدف",IF($N15&gt;=1.0,"✅ محقق",IF($N15&gt;=0.85,"🟡 قريب","🔴 تحت الهدف")))</f>
        <v/>
      </c>
      <c r="P15" s="86" t="inlineStr">
        <is>
          <t>قيمة/عدد المتحقّق من «تأجير ساحة درب» ÷ الإجمالي المستهدف لنفس البند × 100٪</t>
        </is>
      </c>
      <c r="Q15" s="86" t="inlineStr">
        <is>
          <t>مكتب إدارة المشاريع (PMO)</t>
        </is>
      </c>
      <c r="R15" s="15" t="inlineStr">
        <is>
          <t>شهري</t>
        </is>
      </c>
    </row>
    <row r="16" outlineLevel="1" ht="26" customHeight="1">
      <c r="A16" s="20" t="n">
        <v>10</v>
      </c>
      <c r="B16" s="21" t="inlineStr">
        <is>
          <t>الإبداع والتكامل</t>
        </is>
      </c>
      <c r="C16" s="21" t="inlineStr">
        <is>
          <t>علامات تجارية جديدة (ساحة درب)</t>
        </is>
      </c>
      <c r="D16" s="55" t="inlineStr">
        <is>
          <t>علامة</t>
        </is>
      </c>
      <c r="E16" s="55" t="inlineStr">
        <is>
          <t>↑</t>
        </is>
      </c>
      <c r="F16" s="15" t="inlineStr">
        <is>
          <t>🟠 مهم</t>
        </is>
      </c>
      <c r="G16" s="64" t="n">
        <v>0.05</v>
      </c>
      <c r="H16" s="60" t="n">
        <v>6</v>
      </c>
      <c r="I16" s="22" t="inlineStr">
        <is>
          <t>6 علامات</t>
        </is>
      </c>
      <c r="J16" s="85" t="inlineStr">
        <is>
          <t>الابتكار</t>
        </is>
      </c>
      <c r="K16" s="11" t="inlineStr">
        <is>
          <t>ساحات درب</t>
        </is>
      </c>
      <c r="L16" s="15" t="inlineStr">
        <is>
          <t>العمليات الداخلية</t>
        </is>
      </c>
      <c r="M16" s="61" t="n">
        <v>5.769</v>
      </c>
      <c r="N16" s="10">
        <f>IF($H16="","",IF($M16="","",MIN(1,IF($H16=0,IF($M16&lt;=0,1,0),IF($E16="↓",IFERROR($H16/$M16,0),IFERROR($M16/$H16,0))))))</f>
        <v/>
      </c>
      <c r="O16" s="20">
        <f>IF($N16="","⏳ بانتظار هدف",IF($N16&gt;=1.0,"✅ محقق",IF($N16&gt;=0.85,"🟡 قريب","🔴 تحت الهدف")))</f>
        <v/>
      </c>
      <c r="P16" s="86" t="inlineStr">
        <is>
          <t>إجمالي عدد «علامات تجارية جديدة» المُسجّل خلال الفترة</t>
        </is>
      </c>
      <c r="Q16" s="86" t="inlineStr">
        <is>
          <t>مكتب إدارة المشاريع (PMO)</t>
        </is>
      </c>
      <c r="R16" s="15" t="inlineStr">
        <is>
          <t>شهري</t>
        </is>
      </c>
    </row>
    <row r="17" outlineLevel="1" ht="26" customHeight="1">
      <c r="A17" s="20" t="n">
        <v>11</v>
      </c>
      <c r="B17" s="21" t="inlineStr">
        <is>
          <t>الإبداع والتكامل</t>
        </is>
      </c>
      <c r="C17" s="21" t="inlineStr">
        <is>
          <t>الشراكات الاستراتيجية</t>
        </is>
      </c>
      <c r="D17" s="55" t="inlineStr">
        <is>
          <t>شراكة</t>
        </is>
      </c>
      <c r="E17" s="55" t="inlineStr">
        <is>
          <t>↑</t>
        </is>
      </c>
      <c r="F17" s="15" t="inlineStr">
        <is>
          <t>🟠 مهم</t>
        </is>
      </c>
      <c r="G17" s="64" t="n">
        <v>0.05</v>
      </c>
      <c r="H17" s="60" t="n">
        <v>5</v>
      </c>
      <c r="I17" s="22" t="inlineStr">
        <is>
          <t>5 شراكات</t>
        </is>
      </c>
      <c r="J17" s="85" t="inlineStr">
        <is>
          <t>الابتكار</t>
        </is>
      </c>
      <c r="K17" s="11" t="inlineStr">
        <is>
          <t>إطلاق مشاريع جديدة</t>
        </is>
      </c>
      <c r="L17" s="15" t="inlineStr">
        <is>
          <t>التعلّم والنمو</t>
        </is>
      </c>
      <c r="M17" s="61" t="n">
        <v>4.59</v>
      </c>
      <c r="N17" s="10">
        <f>IF($H17="","",IF($M17="","",MIN(1,IF($H17=0,IF($M17&lt;=0,1,0),IF($E17="↓",IFERROR($H17/$M17,0),IFERROR($M17/$H17,0))))))</f>
        <v/>
      </c>
      <c r="O17" s="20">
        <f>IF($N17="","⏳ بانتظار هدف",IF($N17&gt;=1.0,"✅ محقق",IF($N17&gt;=0.85,"🟡 قريب","🔴 تحت الهدف")))</f>
        <v/>
      </c>
      <c r="P17" s="86" t="inlineStr">
        <is>
          <t>إجمالي عدد «الشراكات الاستراتيجية» المُسجّل خلال الفترة</t>
        </is>
      </c>
      <c r="Q17" s="86" t="inlineStr">
        <is>
          <t>مكتب إدارة المشاريع (PMO)</t>
        </is>
      </c>
      <c r="R17" s="15" t="inlineStr">
        <is>
          <t>شهري</t>
        </is>
      </c>
    </row>
    <row r="18" ht="26" customHeight="1">
      <c r="A18" s="20" t="n">
        <v>12</v>
      </c>
      <c r="B18" s="21" t="inlineStr">
        <is>
          <t>إدارة الأملاك</t>
        </is>
      </c>
      <c r="C18" s="21" t="inlineStr">
        <is>
          <t>نسبة تجديد العقود</t>
        </is>
      </c>
      <c r="D18" s="55" t="inlineStr">
        <is>
          <t>%</t>
        </is>
      </c>
      <c r="E18" s="55" t="inlineStr">
        <is>
          <t>↑</t>
        </is>
      </c>
      <c r="F18" s="15" t="inlineStr">
        <is>
          <t>🔴 رئيسي</t>
        </is>
      </c>
      <c r="G18" s="64" t="n">
        <v>0.08</v>
      </c>
      <c r="H18" s="64" t="n">
        <v>1</v>
      </c>
      <c r="I18" s="22" t="inlineStr">
        <is>
          <t>100%</t>
        </is>
      </c>
      <c r="J18" s="85" t="inlineStr">
        <is>
          <t>الاستدامة</t>
        </is>
      </c>
      <c r="K18" s="11" t="inlineStr">
        <is>
          <t>منظومة التأجير</t>
        </is>
      </c>
      <c r="L18" s="15" t="inlineStr">
        <is>
          <t>العمليات الداخلية</t>
        </is>
      </c>
      <c r="M18" s="65" t="n">
        <v>0.792</v>
      </c>
      <c r="N18" s="10">
        <f>IF($H18="","",IF($M18="","",MIN(1,IF($H18=0,IF($M18&lt;=0,1,0),IF($E18="↓",IFERROR($H18/$M18,0),IFERROR($M18/$H18,0))))))</f>
        <v/>
      </c>
      <c r="O18" s="20">
        <f>IF($N18="","⏳ بانتظار هدف",IF($N18&gt;=1.0,"✅ محقق",IF($N18&gt;=0.85,"🟡 قريب","🔴 تحت الهدف")))</f>
        <v/>
      </c>
      <c r="P18" s="86" t="inlineStr">
        <is>
          <t>قيمة/عدد المتحقّق من «تجديد العقود» ÷ الإجمالي المستهدف لنفس البند × 100٪</t>
        </is>
      </c>
      <c r="Q18" s="86" t="inlineStr">
        <is>
          <t>نظام إدارة العقود (CRM)</t>
        </is>
      </c>
      <c r="R18" s="15" t="inlineStr">
        <is>
          <t>شهري</t>
        </is>
      </c>
    </row>
    <row r="19" ht="24" customHeight="1">
      <c r="B19" s="78" t="inlineStr">
        <is>
          <t>تنسيق المشاريع</t>
        </is>
      </c>
      <c r="C19" s="79" t="inlineStr">
        <is>
          <t>📊 مؤشر تنسيق المشاريع العام</t>
        </is>
      </c>
      <c r="D19" s="80" t="n"/>
      <c r="E19" s="80" t="n"/>
      <c r="F19" s="81" t="inlineStr">
        <is>
          <t>🔷 أساسي</t>
        </is>
      </c>
      <c r="G19" s="82" t="n">
        <v>0.1</v>
      </c>
      <c r="H19" s="80" t="n"/>
      <c r="I19" s="80" t="n"/>
      <c r="J19" s="80" t="n"/>
      <c r="K19" s="80" t="n"/>
      <c r="L19" s="80" t="n"/>
      <c r="M19" s="80" t="n"/>
      <c r="N19" s="83">
        <f>IFERROR(SUMIFS('قاعدة المؤشرات'!$J:$J,'قاعدة المؤشرات'!$B:$B,"العقار",'قاعدة المؤشرات'!$L:$L,"تنسيق المشاريع")/SUMIFS('قاعدة المؤشرات'!$K:$K,'قاعدة المؤشرات'!$B:$B,"العقار",'قاعدة المؤشرات'!$L:$L,"تنسيق المشاريع"),"")</f>
        <v/>
      </c>
      <c r="O19" s="84">
        <f>IF($N19="","⏳ بانتظار هدف",IF($N19&gt;=1,"✅ محقق",IF($N19&gt;=0.85,"🟡 قريب","🔴 تحت الهدف")))</f>
        <v/>
      </c>
      <c r="P19" s="80" t="n"/>
      <c r="Q19" s="80" t="n"/>
      <c r="R19" s="80" t="n"/>
    </row>
    <row r="20" outlineLevel="1" ht="26" customHeight="1">
      <c r="A20" s="20" t="n">
        <v>13</v>
      </c>
      <c r="B20" s="21" t="inlineStr">
        <is>
          <t>تنسيق المشاريع</t>
        </is>
      </c>
      <c r="C20" s="21" t="inlineStr">
        <is>
          <t>متوسط زمن تسليم الوحدة</t>
        </is>
      </c>
      <c r="D20" s="55" t="inlineStr">
        <is>
          <t>يوم</t>
        </is>
      </c>
      <c r="E20" s="55" t="inlineStr">
        <is>
          <t>↓</t>
        </is>
      </c>
      <c r="F20" s="15" t="inlineStr">
        <is>
          <t>🟠 مهم</t>
        </is>
      </c>
      <c r="G20" s="64" t="n">
        <v>0.05</v>
      </c>
      <c r="H20" s="67" t="n">
        <v>7</v>
      </c>
      <c r="I20" s="22" t="inlineStr">
        <is>
          <t>≤ 7 أيام</t>
        </is>
      </c>
      <c r="J20" s="85" t="inlineStr">
        <is>
          <t>الاستدامة</t>
        </is>
      </c>
      <c r="K20" s="11" t="inlineStr">
        <is>
          <t>جودة التشغيل</t>
        </is>
      </c>
      <c r="L20" s="15" t="inlineStr">
        <is>
          <t>العمليات الداخلية</t>
        </is>
      </c>
      <c r="M20" s="68" t="n">
        <v>7.983</v>
      </c>
      <c r="N20" s="10">
        <f>IF($H20="","",IF($M20="","",MIN(1,IF($H20=0,IF($M20&lt;=0,1,0),IF($E20="↓",IFERROR($H20/$M20,0),IFERROR($M20/$H20,0))))))</f>
        <v/>
      </c>
      <c r="O20" s="20">
        <f>IF($N20="","⏳ بانتظار هدف",IF($N20&gt;=1.0,"✅ محقق",IF($N20&gt;=0.85,"🟡 قريب","🔴 تحت الهدف")))</f>
        <v/>
      </c>
      <c r="P20" s="86" t="inlineStr">
        <is>
          <t>مجموع أيام «زمن تسليم الوحدة» ÷ عدد الحالات</t>
        </is>
      </c>
      <c r="Q20" s="86" t="inlineStr">
        <is>
          <t>سجلات الإدارة</t>
        </is>
      </c>
      <c r="R20" s="15" t="inlineStr">
        <is>
          <t>شهري</t>
        </is>
      </c>
    </row>
    <row r="21" outlineLevel="1" ht="26" customHeight="1">
      <c r="A21" s="20" t="n">
        <v>14</v>
      </c>
      <c r="B21" s="21" t="inlineStr">
        <is>
          <t>تنسيق المشاريع</t>
        </is>
      </c>
      <c r="C21" s="21" t="inlineStr">
        <is>
          <t>نسبة إغلاق الطلبات خلال 3 أسابيع</t>
        </is>
      </c>
      <c r="D21" s="55" t="inlineStr">
        <is>
          <t>%</t>
        </is>
      </c>
      <c r="E21" s="55" t="inlineStr">
        <is>
          <t>↑</t>
        </is>
      </c>
      <c r="F21" s="15" t="inlineStr">
        <is>
          <t>🟠 مهم</t>
        </is>
      </c>
      <c r="G21" s="64" t="n">
        <v>0.05</v>
      </c>
      <c r="H21" s="64" t="n">
        <v>0.9</v>
      </c>
      <c r="I21" s="22" t="inlineStr">
        <is>
          <t>&gt; 90%</t>
        </is>
      </c>
      <c r="J21" s="85" t="inlineStr">
        <is>
          <t>الاستدامة</t>
        </is>
      </c>
      <c r="K21" s="11" t="inlineStr">
        <is>
          <t>جودة التشغيل</t>
        </is>
      </c>
      <c r="L21" s="15" t="inlineStr">
        <is>
          <t>العمليات الداخلية</t>
        </is>
      </c>
      <c r="M21" s="65" t="n">
        <v>0.698</v>
      </c>
      <c r="N21" s="10">
        <f>IF($H21="","",IF($M21="","",MIN(1,IF($H21=0,IF($M21&lt;=0,1,0),IF($E21="↓",IFERROR($H21/$M21,0),IFERROR($M21/$H21,0))))))</f>
        <v/>
      </c>
      <c r="O21" s="20">
        <f>IF($N21="","⏳ بانتظار هدف",IF($N21&gt;=1.0,"✅ محقق",IF($N21&gt;=0.85,"🟡 قريب","🔴 تحت الهدف")))</f>
        <v/>
      </c>
      <c r="P21" s="86" t="inlineStr">
        <is>
          <t>قيمة/عدد المتحقّق من «إغلاق الطلبات خلال 3 أسابيع» ÷ الإجمالي المستهدف لنفس البند × 100٪</t>
        </is>
      </c>
      <c r="Q21" s="86" t="inlineStr">
        <is>
          <t>سجلات الإدارة</t>
        </is>
      </c>
      <c r="R21" s="15" t="inlineStr">
        <is>
          <t>شهري</t>
        </is>
      </c>
    </row>
    <row r="22" ht="24" customHeight="1">
      <c r="B22" s="78" t="inlineStr">
        <is>
          <t>الجودة والاستدامة</t>
        </is>
      </c>
      <c r="C22" s="79" t="inlineStr">
        <is>
          <t>📊 مؤشر الجودة والاستدامة العام</t>
        </is>
      </c>
      <c r="D22" s="80" t="n"/>
      <c r="E22" s="80" t="n"/>
      <c r="F22" s="81" t="inlineStr">
        <is>
          <t>🔷 أساسي</t>
        </is>
      </c>
      <c r="G22" s="82" t="n">
        <v>0.12</v>
      </c>
      <c r="H22" s="80" t="n"/>
      <c r="I22" s="80" t="n"/>
      <c r="J22" s="80" t="n"/>
      <c r="K22" s="80" t="n"/>
      <c r="L22" s="80" t="n"/>
      <c r="M22" s="80" t="n"/>
      <c r="N22" s="83">
        <f>IFERROR(SUMIFS('قاعدة المؤشرات'!$J:$J,'قاعدة المؤشرات'!$B:$B,"العقار",'قاعدة المؤشرات'!$L:$L,"الجودة والاستدامة")/SUMIFS('قاعدة المؤشرات'!$K:$K,'قاعدة المؤشرات'!$B:$B,"العقار",'قاعدة المؤشرات'!$L:$L,"الجودة والاستدامة"),"")</f>
        <v/>
      </c>
      <c r="O22" s="84">
        <f>IF($N22="","⏳ بانتظار هدف",IF($N22&gt;=1,"✅ محقق",IF($N22&gt;=0.85,"🟡 قريب","🔴 تحت الهدف")))</f>
        <v/>
      </c>
      <c r="P22" s="80" t="n"/>
      <c r="Q22" s="80" t="n"/>
      <c r="R22" s="80" t="n"/>
    </row>
    <row r="23" outlineLevel="1" ht="26" customHeight="1">
      <c r="A23" s="20" t="n">
        <v>15</v>
      </c>
      <c r="B23" s="21" t="inlineStr">
        <is>
          <t>الجودة والاستدامة</t>
        </is>
      </c>
      <c r="C23" s="21" t="inlineStr">
        <is>
          <t>استدامة المستأجرين (لم يُنهَ مبكراً)</t>
        </is>
      </c>
      <c r="D23" s="55" t="inlineStr">
        <is>
          <t>%</t>
        </is>
      </c>
      <c r="E23" s="55" t="inlineStr">
        <is>
          <t>↑</t>
        </is>
      </c>
      <c r="F23" s="15" t="inlineStr">
        <is>
          <t>🟠 مهم</t>
        </is>
      </c>
      <c r="G23" s="64" t="n">
        <v>0.05</v>
      </c>
      <c r="H23" s="64" t="n">
        <v>0.8</v>
      </c>
      <c r="I23" s="22" t="inlineStr">
        <is>
          <t>≥ 80%</t>
        </is>
      </c>
      <c r="J23" s="85" t="inlineStr">
        <is>
          <t>الاستدامة</t>
        </is>
      </c>
      <c r="K23" s="11" t="inlineStr">
        <is>
          <t>تعزيز تجربة العملاء</t>
        </is>
      </c>
      <c r="L23" s="15" t="inlineStr">
        <is>
          <t>العملاء</t>
        </is>
      </c>
      <c r="M23" s="65" t="n">
        <v>0.695</v>
      </c>
      <c r="N23" s="10">
        <f>IF($H23="","",IF($M23="","",MIN(1,IF($H23=0,IF($M23&lt;=0,1,0),IF($E23="↓",IFERROR($H23/$M23,0),IFERROR($M23/$H23,0))))))</f>
        <v/>
      </c>
      <c r="O23" s="20">
        <f>IF($N23="","⏳ بانتظار هدف",IF($N23&gt;=1.0,"✅ محقق",IF($N23&gt;=0.85,"🟡 قريب","🔴 تحت الهدف")))</f>
        <v/>
      </c>
      <c r="P23" s="86" t="inlineStr">
        <is>
          <t>القيمة المتحقّقة من «استدامة المستأجرين» ÷ المستهدف × 100٪</t>
        </is>
      </c>
      <c r="Q23" s="86" t="inlineStr">
        <is>
          <t>نظام إدارة الجودة (QMS)</t>
        </is>
      </c>
      <c r="R23" s="15" t="inlineStr">
        <is>
          <t>شهري</t>
        </is>
      </c>
    </row>
    <row r="24" outlineLevel="1" ht="26" customHeight="1">
      <c r="A24" s="20" t="n">
        <v>16</v>
      </c>
      <c r="B24" s="21" t="inlineStr">
        <is>
          <t>الجودة والاستدامة</t>
        </is>
      </c>
      <c r="C24" s="21" t="inlineStr">
        <is>
          <t>معدل رضا المستأجرين (استبيان ربعي)</t>
        </is>
      </c>
      <c r="D24" s="55" t="inlineStr">
        <is>
          <t>%</t>
        </is>
      </c>
      <c r="E24" s="55" t="inlineStr">
        <is>
          <t>↑</t>
        </is>
      </c>
      <c r="F24" s="15" t="inlineStr">
        <is>
          <t>🔴 رئيسي</t>
        </is>
      </c>
      <c r="G24" s="64" t="n">
        <v>0.07000000000000001</v>
      </c>
      <c r="H24" s="64" t="n">
        <v>0.9</v>
      </c>
      <c r="I24" s="22" t="inlineStr">
        <is>
          <t>≥ 90%</t>
        </is>
      </c>
      <c r="J24" s="85" t="inlineStr">
        <is>
          <t>الاستدامة</t>
        </is>
      </c>
      <c r="K24" s="11" t="inlineStr">
        <is>
          <t>تعزيز تجربة العملاء</t>
        </is>
      </c>
      <c r="L24" s="15" t="inlineStr">
        <is>
          <t>العملاء</t>
        </is>
      </c>
      <c r="M24" s="65" t="n">
        <v>0.894</v>
      </c>
      <c r="N24" s="10">
        <f>IF($H24="","",IF($M24="","",MIN(1,IF($H24=0,IF($M24&lt;=0,1,0),IF($E24="↓",IFERROR($H24/$M24,0),IFERROR($M24/$H24,0))))))</f>
        <v/>
      </c>
      <c r="O24" s="20">
        <f>IF($N24="","⏳ بانتظار هدف",IF($N24&gt;=0.9,"✅ محقق",IF($N24&gt;=0.75,"🟡 قريب","🔴 تحت الهدف")))</f>
        <v/>
      </c>
      <c r="P24" s="86" t="inlineStr">
        <is>
          <t>عدد حالات «رضا المستأجرين» خلال الفترة ÷ إجمالي الحالات القابلة للقياس × 100٪</t>
        </is>
      </c>
      <c r="Q24" s="86" t="inlineStr">
        <is>
          <t>استبيان دوري</t>
        </is>
      </c>
      <c r="R24" s="15" t="inlineStr">
        <is>
          <t>ربعي</t>
        </is>
      </c>
    </row>
  </sheetData>
  <autoFilter ref="A3:R24"/>
  <mergeCells count="2">
    <mergeCell ref="A2:R2"/>
    <mergeCell ref="A1:R1"/>
  </mergeCells>
  <dataValidations count="1">
    <dataValidation sqref="M5 M6 M7 M9 M10 M11 M12 M13 M15 M16 M17 M18 M20 M21 M23 M2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1"/>
    <pageSetUpPr/>
  </sheetPr>
  <dimension ref="A1:R2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إدارة المشاريع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4" customHeight="1">
      <c r="B4" s="78" t="inlineStr">
        <is>
          <t>تسليم محطات الشركة</t>
        </is>
      </c>
      <c r="C4" s="79" t="inlineStr">
        <is>
          <t>📊 مؤشر تسليم محطات الشركة العام</t>
        </is>
      </c>
      <c r="D4" s="80" t="n"/>
      <c r="E4" s="80" t="n"/>
      <c r="F4" s="81" t="inlineStr">
        <is>
          <t>🔷 أساسي</t>
        </is>
      </c>
      <c r="G4" s="82" t="n">
        <v>0.3</v>
      </c>
      <c r="H4" s="80" t="n"/>
      <c r="I4" s="80" t="n"/>
      <c r="J4" s="80" t="n"/>
      <c r="K4" s="80" t="n"/>
      <c r="L4" s="80" t="n"/>
      <c r="M4" s="80" t="n"/>
      <c r="N4" s="83">
        <f>IFERROR(SUMIFS('قاعدة المؤشرات'!$J:$J,'قاعدة المؤشرات'!$B:$B,"إدارة المشاريع",'قاعدة المؤشرات'!$L:$L,"تسليم محطات الشركة")/SUMIFS('قاعدة المؤشرات'!$K:$K,'قاعدة المؤشرات'!$B:$B,"إدارة المشاريع",'قاعدة المؤشرات'!$L:$L,"تسليم محطات الشركة"),"")</f>
        <v/>
      </c>
      <c r="O4" s="84">
        <f>IF($N4="","⏳ بانتظار هدف",IF($N4&gt;=1,"✅ محقق",IF($N4&gt;=0.85,"🟡 قريب","🔴 تحت الهدف")))</f>
        <v/>
      </c>
      <c r="P4" s="80" t="n"/>
      <c r="Q4" s="80" t="n"/>
      <c r="R4" s="80" t="n"/>
    </row>
    <row r="5" outlineLevel="1" ht="26" customHeight="1">
      <c r="A5" s="20" t="n">
        <v>1</v>
      </c>
      <c r="B5" s="21" t="inlineStr">
        <is>
          <t>تسليم محطات الشركة</t>
        </is>
      </c>
      <c r="C5" s="21" t="inlineStr">
        <is>
          <t>عدد محطات الشركة المُسلَّمة</t>
        </is>
      </c>
      <c r="D5" s="55" t="inlineStr">
        <is>
          <t>محطة</t>
        </is>
      </c>
      <c r="E5" s="55" t="inlineStr">
        <is>
          <t>↑</t>
        </is>
      </c>
      <c r="F5" s="15" t="inlineStr">
        <is>
          <t>🔴 رئيسي</t>
        </is>
      </c>
      <c r="G5" s="64" t="n">
        <v>0.08</v>
      </c>
      <c r="H5" s="60" t="n">
        <v>20</v>
      </c>
      <c r="I5" s="22" t="inlineStr">
        <is>
          <t>≥ 20 محطة</t>
        </is>
      </c>
      <c r="J5" s="85" t="inlineStr">
        <is>
          <t>النمو</t>
        </is>
      </c>
      <c r="K5" s="11" t="inlineStr">
        <is>
          <t>التوسع في المواقع</t>
        </is>
      </c>
      <c r="L5" s="15" t="inlineStr">
        <is>
          <t>العمليات الداخلية</t>
        </is>
      </c>
      <c r="M5" s="61" t="n">
        <v>18.8</v>
      </c>
      <c r="N5" s="10">
        <f>IF($H5="","",IF($M5="","",MIN(1,IF($H5=0,IF($M5&lt;=0,1,0),IF($E5="↓",IFERROR($H5/$M5,0),IFERROR($M5/$H5,0))))))</f>
        <v/>
      </c>
      <c r="O5" s="20">
        <f>IF($N5="","⏳ بانتظار هدف",IF($N5&gt;=1.0,"✅ محقق",IF($N5&gt;=0.85,"🟡 قريب","🔴 تحت الهدف")))</f>
        <v/>
      </c>
      <c r="P5" s="86" t="inlineStr">
        <is>
          <t>إجمالي عدد «محطات الشركة المُسلَّمة» المُسجّلة خلال الفترة</t>
        </is>
      </c>
      <c r="Q5" s="86" t="inlineStr">
        <is>
          <t>نظام إدارة المشاريع (PMO/Primavera)</t>
        </is>
      </c>
      <c r="R5" s="15" t="inlineStr">
        <is>
          <t>شهري</t>
        </is>
      </c>
    </row>
    <row r="6" outlineLevel="1" ht="26" customHeight="1">
      <c r="A6" s="20" t="n">
        <v>2</v>
      </c>
      <c r="B6" s="21" t="inlineStr">
        <is>
          <t>تسليم محطات الشركة</t>
        </is>
      </c>
      <c r="C6" s="21" t="inlineStr">
        <is>
          <t>نسبة إنجاز محفظة مشاريع التوسع</t>
        </is>
      </c>
      <c r="D6" s="55" t="inlineStr">
        <is>
          <t>%</t>
        </is>
      </c>
      <c r="E6" s="55" t="inlineStr">
        <is>
          <t>↑</t>
        </is>
      </c>
      <c r="F6" s="15" t="inlineStr">
        <is>
          <t>🔴 رئيسي</t>
        </is>
      </c>
      <c r="G6" s="64" t="n">
        <v>0.08</v>
      </c>
      <c r="H6" s="64" t="n">
        <v>0.7</v>
      </c>
      <c r="I6" s="22" t="inlineStr">
        <is>
          <t>≥ 70%</t>
        </is>
      </c>
      <c r="J6" s="85" t="inlineStr">
        <is>
          <t>النمو</t>
        </is>
      </c>
      <c r="K6" s="11" t="inlineStr">
        <is>
          <t>التوسع في المواقع</t>
        </is>
      </c>
      <c r="L6" s="15" t="inlineStr">
        <is>
          <t>العمليات الداخلية</t>
        </is>
      </c>
      <c r="M6" s="65" t="n">
        <v>0.676</v>
      </c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محقق",IF($N6&gt;=0.85,"🟡 قريب","🔴 تحت الهدف")))</f>
        <v/>
      </c>
      <c r="P6" s="86" t="inlineStr">
        <is>
          <t>قيمة/عدد المتحقّق من «إنجاز محفظة مشاريع التوسع» ÷ الإجمالي المستهدف لنفس البند × 100٪</t>
        </is>
      </c>
      <c r="Q6" s="86" t="inlineStr">
        <is>
          <t>نظام إدارة المشاريع (PMO/Primavera)</t>
        </is>
      </c>
      <c r="R6" s="15" t="inlineStr">
        <is>
          <t>شهري</t>
        </is>
      </c>
    </row>
    <row r="7" outlineLevel="1" ht="26" customHeight="1">
      <c r="A7" s="20" t="n">
        <v>3</v>
      </c>
      <c r="B7" s="21" t="inlineStr">
        <is>
          <t>تسليم محطات الشركة</t>
        </is>
      </c>
      <c r="C7" s="21" t="inlineStr">
        <is>
          <t>نسبة تسليم المحطات في الموعد المخطط</t>
        </is>
      </c>
      <c r="D7" s="55" t="inlineStr">
        <is>
          <t>%</t>
        </is>
      </c>
      <c r="E7" s="55" t="inlineStr">
        <is>
          <t>↑</t>
        </is>
      </c>
      <c r="F7" s="15" t="inlineStr">
        <is>
          <t>🔴 رئيسي</t>
        </is>
      </c>
      <c r="G7" s="64" t="n">
        <v>0.08</v>
      </c>
      <c r="H7" s="64" t="n">
        <v>0.8</v>
      </c>
      <c r="I7" s="22" t="inlineStr">
        <is>
          <t>≥ 80%</t>
        </is>
      </c>
      <c r="J7" s="85" t="inlineStr">
        <is>
          <t>النمو</t>
        </is>
      </c>
      <c r="K7" s="11" t="inlineStr">
        <is>
          <t>التوسع في المواقع</t>
        </is>
      </c>
      <c r="L7" s="15" t="inlineStr">
        <is>
          <t>العمليات الداخلية</t>
        </is>
      </c>
      <c r="M7" s="65" t="n">
        <v>0.805</v>
      </c>
      <c r="N7" s="10">
        <f>IF($H7="","",IF($M7="","",MIN(1,IF($H7=0,IF($M7&lt;=0,1,0),IF($E7="↓",IFERROR($H7/$M7,0),IFERROR($M7/$H7,0))))))</f>
        <v/>
      </c>
      <c r="O7" s="20">
        <f>IF($N7="","⏳ بانتظار هدف",IF($N7&gt;=1.0,"✅ محقق",IF($N7&gt;=0.85,"🟡 قريب","🔴 تحت الهدف")))</f>
        <v/>
      </c>
      <c r="P7" s="86" t="inlineStr">
        <is>
          <t>قيمة/عدد المتحقّق من «تسليم المحطات في الموعد المخطط» ÷ الإجمالي المستهدف لنفس البند × 100٪</t>
        </is>
      </c>
      <c r="Q7" s="86" t="inlineStr">
        <is>
          <t>نظام إدارة المشاريع (PMO/Primavera)</t>
        </is>
      </c>
      <c r="R7" s="15" t="inlineStr">
        <is>
          <t>شهري</t>
        </is>
      </c>
    </row>
    <row r="8" outlineLevel="1" ht="26" customHeight="1">
      <c r="A8" s="20" t="n">
        <v>4</v>
      </c>
      <c r="B8" s="21" t="inlineStr">
        <is>
          <t>تسليم محطات الشركة</t>
        </is>
      </c>
      <c r="C8" s="21" t="inlineStr">
        <is>
          <t>نسبة المشاريع المنفّذة ضمن الميزانية</t>
        </is>
      </c>
      <c r="D8" s="55" t="inlineStr">
        <is>
          <t>%</t>
        </is>
      </c>
      <c r="E8" s="55" t="inlineStr">
        <is>
          <t>↑</t>
        </is>
      </c>
      <c r="F8" s="15" t="inlineStr">
        <is>
          <t>🟠 مهم</t>
        </is>
      </c>
      <c r="G8" s="64" t="n">
        <v>0.06</v>
      </c>
      <c r="H8" s="64" t="n">
        <v>0.85</v>
      </c>
      <c r="I8" s="22" t="inlineStr">
        <is>
          <t>≥ 85%</t>
        </is>
      </c>
      <c r="J8" s="85" t="inlineStr">
        <is>
          <t>الاستدامة</t>
        </is>
      </c>
      <c r="K8" s="11" t="inlineStr">
        <is>
          <t>جودة التشغيل</t>
        </is>
      </c>
      <c r="L8" s="15" t="inlineStr">
        <is>
          <t>العمليات الداخلية</t>
        </is>
      </c>
      <c r="M8" s="65" t="n">
        <v>0.774</v>
      </c>
      <c r="N8" s="10">
        <f>IF($H8="","",IF($M8="","",MIN(1,IF($H8=0,IF($M8&lt;=0,1,0),IF($E8="↓",IFERROR($H8/$M8,0),IFERROR($M8/$H8,0))))))</f>
        <v/>
      </c>
      <c r="O8" s="20">
        <f>IF($N8="","⏳ بانتظار هدف",IF($N8&gt;=1.0,"✅ محقق",IF($N8&gt;=0.85,"🟡 قريب","🔴 تحت الهدف")))</f>
        <v/>
      </c>
      <c r="P8" s="86" t="inlineStr">
        <is>
          <t>قيمة/عدد المتحقّق من «المشاريع المنفّذة ضمن الميزانية» ÷ الإجمالي المستهدف لنفس البند × 100٪</t>
        </is>
      </c>
      <c r="Q8" s="86" t="inlineStr">
        <is>
          <t>نظام إدارة المشاريع (PMO/Primavera)</t>
        </is>
      </c>
      <c r="R8" s="15" t="inlineStr">
        <is>
          <t>شهري</t>
        </is>
      </c>
    </row>
    <row r="9" ht="24" customHeight="1">
      <c r="B9" s="78" t="inlineStr">
        <is>
          <t>الإشراف على الامتياز</t>
        </is>
      </c>
      <c r="C9" s="79" t="inlineStr">
        <is>
          <t>📊 مؤشر الإشراف على الامتياز العام</t>
        </is>
      </c>
      <c r="D9" s="80" t="n"/>
      <c r="E9" s="80" t="n"/>
      <c r="F9" s="81" t="inlineStr">
        <is>
          <t>🔷 أساسي</t>
        </is>
      </c>
      <c r="G9" s="82" t="n">
        <v>0.26</v>
      </c>
      <c r="H9" s="80" t="n"/>
      <c r="I9" s="80" t="n"/>
      <c r="J9" s="80" t="n"/>
      <c r="K9" s="80" t="n"/>
      <c r="L9" s="80" t="n"/>
      <c r="M9" s="80" t="n"/>
      <c r="N9" s="83">
        <f>IFERROR(SUMIFS('قاعدة المؤشرات'!$J:$J,'قاعدة المؤشرات'!$B:$B,"إدارة المشاريع",'قاعدة المؤشرات'!$L:$L,"الإشراف على الامتياز")/SUMIFS('قاعدة المؤشرات'!$K:$K,'قاعدة المؤشرات'!$B:$B,"إدارة المشاريع",'قاعدة المؤشرات'!$L:$L,"الإشراف على الامتياز"),"")</f>
        <v/>
      </c>
      <c r="O9" s="84">
        <f>IF($N9="","⏳ بانتظار هدف",IF($N9&gt;=1,"✅ محقق",IF($N9&gt;=0.85,"🟡 قريب","🔴 تحت الهدف")))</f>
        <v/>
      </c>
      <c r="P9" s="80" t="n"/>
      <c r="Q9" s="80" t="n"/>
      <c r="R9" s="80" t="n"/>
    </row>
    <row r="10" outlineLevel="1" ht="26" customHeight="1">
      <c r="A10" s="20" t="n">
        <v>5</v>
      </c>
      <c r="B10" s="21" t="inlineStr">
        <is>
          <t>الإشراف على الامتياز</t>
        </is>
      </c>
      <c r="C10" s="21" t="inlineStr">
        <is>
          <t>عدد محطات الامتياز المُسلَّمة بالهوية</t>
        </is>
      </c>
      <c r="D10" s="55" t="inlineStr">
        <is>
          <t>محطة</t>
        </is>
      </c>
      <c r="E10" s="55" t="inlineStr">
        <is>
          <t>↑</t>
        </is>
      </c>
      <c r="F10" s="15" t="inlineStr">
        <is>
          <t>🔴 رئيسي</t>
        </is>
      </c>
      <c r="G10" s="64" t="n">
        <v>0.08</v>
      </c>
      <c r="H10" s="60" t="n">
        <v>40</v>
      </c>
      <c r="I10" s="22" t="inlineStr">
        <is>
          <t>≥ 40 محطة</t>
        </is>
      </c>
      <c r="J10" s="85" t="inlineStr">
        <is>
          <t>النمو</t>
        </is>
      </c>
      <c r="K10" s="11" t="inlineStr">
        <is>
          <t>الامتياز التجاري</t>
        </is>
      </c>
      <c r="L10" s="15" t="inlineStr">
        <is>
          <t>التعلّم والنمو</t>
        </is>
      </c>
      <c r="M10" s="61" t="n">
        <v>34.7</v>
      </c>
      <c r="N10" s="10">
        <f>IF($H10="","",IF($M10="","",MIN(1,IF($H10=0,IF($M10&lt;=0,1,0),IF($E10="↓",IFERROR($H10/$M10,0),IFERROR($M10/$H10,0))))))</f>
        <v/>
      </c>
      <c r="O10" s="20">
        <f>IF($N10="","⏳ بانتظار هدف",IF($N10&gt;=1.0,"✅ محقق",IF($N10&gt;=0.85,"🟡 قريب","🔴 تحت الهدف")))</f>
        <v/>
      </c>
      <c r="P10" s="86" t="inlineStr">
        <is>
          <t>إجمالي عدد «محطات الامتياز المُسلَّمة بالهوية» المُسجّلة خلال الفترة</t>
        </is>
      </c>
      <c r="Q10" s="86" t="inlineStr">
        <is>
          <t>نظام إدارة المشاريع (PMO/Primavera)</t>
        </is>
      </c>
      <c r="R10" s="15" t="inlineStr">
        <is>
          <t>شهري</t>
        </is>
      </c>
    </row>
    <row r="11" outlineLevel="1" ht="26" customHeight="1">
      <c r="A11" s="20" t="n">
        <v>6</v>
      </c>
      <c r="B11" s="21" t="inlineStr">
        <is>
          <t>الإشراف على الامتياز</t>
        </is>
      </c>
      <c r="C11" s="21" t="inlineStr">
        <is>
          <t>نسبة تنفيذ زيارات الإشراف المجدولة</t>
        </is>
      </c>
      <c r="D11" s="55" t="inlineStr">
        <is>
          <t>%</t>
        </is>
      </c>
      <c r="E11" s="55" t="inlineStr">
        <is>
          <t>↑</t>
        </is>
      </c>
      <c r="F11" s="15" t="inlineStr">
        <is>
          <t>🟠 مهم</t>
        </is>
      </c>
      <c r="G11" s="64" t="n">
        <v>0.06</v>
      </c>
      <c r="H11" s="64" t="n">
        <v>0.9</v>
      </c>
      <c r="I11" s="22" t="inlineStr">
        <is>
          <t>≥ 90%</t>
        </is>
      </c>
      <c r="J11" s="85" t="inlineStr">
        <is>
          <t>الاستدامة</t>
        </is>
      </c>
      <c r="K11" s="11" t="inlineStr">
        <is>
          <t>الامتياز التجاري</t>
        </is>
      </c>
      <c r="L11" s="15" t="inlineStr">
        <is>
          <t>العمليات الداخلية</t>
        </is>
      </c>
      <c r="M11" s="65" t="n">
        <v>0.928</v>
      </c>
      <c r="N11" s="10">
        <f>IF($H11="","",IF($M11="","",MIN(1,IF($H11=0,IF($M11&lt;=0,1,0),IF($E11="↓",IFERROR($H11/$M11,0),IFERROR($M11/$H11,0))))))</f>
        <v/>
      </c>
      <c r="O11" s="20">
        <f>IF($N11="","⏳ بانتظار هدف",IF($N11&gt;=1.0,"✅ محقق",IF($N11&gt;=0.85,"🟡 قريب","🔴 تحت الهدف")))</f>
        <v/>
      </c>
      <c r="P11" s="86" t="inlineStr">
        <is>
          <t>قيمة/عدد المتحقّق من «تنفيذ زيارات الإشراف المجدولة» ÷ الإجمالي المستهدف لنفس البند × 100٪</t>
        </is>
      </c>
      <c r="Q11" s="86" t="inlineStr">
        <is>
          <t>نظام إدارة المشاريع (PMO/Primavera)</t>
        </is>
      </c>
      <c r="R11" s="15" t="inlineStr">
        <is>
          <t>شهري</t>
        </is>
      </c>
    </row>
    <row r="12" outlineLevel="1" ht="26" customHeight="1">
      <c r="A12" s="20" t="n">
        <v>7</v>
      </c>
      <c r="B12" s="21" t="inlineStr">
        <is>
          <t>الإشراف على الامتياز</t>
        </is>
      </c>
      <c r="C12" s="21" t="inlineStr">
        <is>
          <t>نسبة التزام المطوّرين بالجدول الزمني</t>
        </is>
      </c>
      <c r="D12" s="55" t="inlineStr">
        <is>
          <t>%</t>
        </is>
      </c>
      <c r="E12" s="55" t="inlineStr">
        <is>
          <t>↑</t>
        </is>
      </c>
      <c r="F12" s="15" t="inlineStr">
        <is>
          <t>🟠 مهم</t>
        </is>
      </c>
      <c r="G12" s="64" t="n">
        <v>0.06</v>
      </c>
      <c r="H12" s="64" t="n">
        <v>0.75</v>
      </c>
      <c r="I12" s="22" t="inlineStr">
        <is>
          <t>≥ 75%</t>
        </is>
      </c>
      <c r="J12" s="85" t="inlineStr">
        <is>
          <t>الاستدامة</t>
        </is>
      </c>
      <c r="K12" s="11" t="inlineStr">
        <is>
          <t>الامتياز التجاري</t>
        </is>
      </c>
      <c r="L12" s="15" t="inlineStr">
        <is>
          <t>العمليات الداخلية</t>
        </is>
      </c>
      <c r="M12" s="65" t="n">
        <v>0.652</v>
      </c>
      <c r="N12" s="10">
        <f>IF($H12="","",IF($M12="","",MIN(1,IF($H12=0,IF($M12&lt;=0,1,0),IF($E12="↓",IFERROR($H12/$M12,0),IFERROR($M12/$H12,0))))))</f>
        <v/>
      </c>
      <c r="O12" s="20">
        <f>IF($N12="","⏳ بانتظار هدف",IF($N12&gt;=1.0,"✅ محقق",IF($N12&gt;=0.85,"🟡 قريب","🔴 تحت الهدف")))</f>
        <v/>
      </c>
      <c r="P12" s="86" t="inlineStr">
        <is>
          <t>قيمة/عدد المتحقّق من «التزام المطوّرين بالجدول الزمني» ÷ الإجمالي المستهدف لنفس البند × 100٪</t>
        </is>
      </c>
      <c r="Q12" s="86" t="inlineStr">
        <is>
          <t>نظام إدارة المشاريع (PMO/Primavera)</t>
        </is>
      </c>
      <c r="R12" s="15" t="inlineStr">
        <is>
          <t>شهري</t>
        </is>
      </c>
    </row>
    <row r="13" outlineLevel="1" ht="26" customHeight="1">
      <c r="A13" s="20" t="n">
        <v>8</v>
      </c>
      <c r="B13" s="21" t="inlineStr">
        <is>
          <t>الإشراف على الامتياز</t>
        </is>
      </c>
      <c r="C13" s="21" t="inlineStr">
        <is>
          <t>نسبة إغلاق ملاحظات الجودة على المطوّرين</t>
        </is>
      </c>
      <c r="D13" s="55" t="inlineStr">
        <is>
          <t>%</t>
        </is>
      </c>
      <c r="E13" s="55" t="inlineStr">
        <is>
          <t>↑</t>
        </is>
      </c>
      <c r="F13" s="15" t="inlineStr">
        <is>
          <t>🟠 مهم</t>
        </is>
      </c>
      <c r="G13" s="64" t="n">
        <v>0.06</v>
      </c>
      <c r="H13" s="64" t="n">
        <v>0.9</v>
      </c>
      <c r="I13" s="22" t="inlineStr">
        <is>
          <t>≥ 90%</t>
        </is>
      </c>
      <c r="J13" s="85" t="inlineStr">
        <is>
          <t>الاستدامة</t>
        </is>
      </c>
      <c r="K13" s="11" t="inlineStr">
        <is>
          <t>الامتياز التجاري</t>
        </is>
      </c>
      <c r="L13" s="15" t="inlineStr">
        <is>
          <t>العمليات الداخلية</t>
        </is>
      </c>
      <c r="M13" s="65" t="n">
        <v>0.777</v>
      </c>
      <c r="N13" s="10">
        <f>IF($H13="","",IF($M13="","",MIN(1,IF($H13=0,IF($M13&lt;=0,1,0),IF($E13="↓",IFERROR($H13/$M13,0),IFERROR($M13/$H13,0))))))</f>
        <v/>
      </c>
      <c r="O13" s="20">
        <f>IF($N13="","⏳ بانتظار هدف",IF($N13&gt;=1.0,"✅ محقق",IF($N13&gt;=0.85,"🟡 قريب","🔴 تحت الهدف")))</f>
        <v/>
      </c>
      <c r="P13" s="86" t="inlineStr">
        <is>
          <t>قيمة/عدد المتحقّق من «إغلاق ملاحظات الجودة على المطوّرين» ÷ الإجمالي المستهدف لنفس البند × 100٪</t>
        </is>
      </c>
      <c r="Q13" s="86" t="inlineStr">
        <is>
          <t>نظام إدارة المشاريع (PMO/Primavera)</t>
        </is>
      </c>
      <c r="R13" s="15" t="inlineStr">
        <is>
          <t>شهري</t>
        </is>
      </c>
    </row>
    <row r="14" ht="26" customHeight="1">
      <c r="A14" s="20" t="n">
        <v>9</v>
      </c>
      <c r="B14" s="21" t="inlineStr">
        <is>
          <t>إجمالي التسليم</t>
        </is>
      </c>
      <c r="C14" s="21" t="inlineStr">
        <is>
          <t>إجمالي المحطات المُسلَّمة بالهوية (شركة + امتياز)</t>
        </is>
      </c>
      <c r="D14" s="55" t="inlineStr">
        <is>
          <t>محطة</t>
        </is>
      </c>
      <c r="E14" s="55" t="inlineStr">
        <is>
          <t>↑</t>
        </is>
      </c>
      <c r="F14" s="15" t="inlineStr">
        <is>
          <t>🔴 رئيسي</t>
        </is>
      </c>
      <c r="G14" s="64" t="n">
        <v>0.08</v>
      </c>
      <c r="H14" s="60" t="n">
        <v>60</v>
      </c>
      <c r="I14" s="22" t="inlineStr">
        <is>
          <t>≥ 60 محطة</t>
        </is>
      </c>
      <c r="J14" s="85" t="inlineStr">
        <is>
          <t>النمو</t>
        </is>
      </c>
      <c r="K14" s="11" t="inlineStr">
        <is>
          <t>التوسع في المواقع</t>
        </is>
      </c>
      <c r="L14" s="15" t="inlineStr">
        <is>
          <t>التعلّم والنمو</t>
        </is>
      </c>
      <c r="M14" s="61" t="n">
        <v>61.6</v>
      </c>
      <c r="N14" s="10">
        <f>IF($H14="","",IF($M14="","",MIN(1,IF($H14=0,IF($M14&lt;=0,1,0),IF($E14="↓",IFERROR($H14/$M14,0),IFERROR($M14/$H14,0))))))</f>
        <v/>
      </c>
      <c r="O14" s="20">
        <f>IF($N14="","⏳ بانتظار هدف",IF($N14&gt;=1.0,"✅ محقق",IF($N14&gt;=0.85,"🟡 قريب","🔴 تحت الهدف")))</f>
        <v/>
      </c>
      <c r="P14" s="86" t="inlineStr">
        <is>
          <t>مجموع «المحطات المُسلَّمة بالهوية» خلال الفترة</t>
        </is>
      </c>
      <c r="Q14" s="86" t="inlineStr">
        <is>
          <t>نظام إدارة المشاريع (PMO/Primavera)</t>
        </is>
      </c>
      <c r="R14" s="15" t="inlineStr">
        <is>
          <t>شهري</t>
        </is>
      </c>
    </row>
    <row r="15" ht="24" customHeight="1">
      <c r="B15" s="78" t="inlineStr">
        <is>
          <t>الجودة والمقاولون</t>
        </is>
      </c>
      <c r="C15" s="79" t="inlineStr">
        <is>
          <t>📊 مؤشر الجودة والمقاولون العام</t>
        </is>
      </c>
      <c r="D15" s="80" t="n"/>
      <c r="E15" s="80" t="n"/>
      <c r="F15" s="81" t="inlineStr">
        <is>
          <t>🔷 أساسي</t>
        </is>
      </c>
      <c r="G15" s="82" t="n">
        <v>0.2</v>
      </c>
      <c r="H15" s="80" t="n"/>
      <c r="I15" s="80" t="n"/>
      <c r="J15" s="80" t="n"/>
      <c r="K15" s="80" t="n"/>
      <c r="L15" s="80" t="n"/>
      <c r="M15" s="80" t="n"/>
      <c r="N15" s="83">
        <f>IFERROR(SUMIFS('قاعدة المؤشرات'!$J:$J,'قاعدة المؤشرات'!$B:$B,"إدارة المشاريع",'قاعدة المؤشرات'!$L:$L,"الجودة والمقاولون")/SUMIFS('قاعدة المؤشرات'!$K:$K,'قاعدة المؤشرات'!$B:$B,"إدارة المشاريع",'قاعدة المؤشرات'!$L:$L,"الجودة والمقاولون"),"")</f>
        <v/>
      </c>
      <c r="O15" s="84">
        <f>IF($N15="","⏳ بانتظار هدف",IF($N15&gt;=1,"✅ محقق",IF($N15&gt;=0.85,"🟡 قريب","🔴 تحت الهدف")))</f>
        <v/>
      </c>
      <c r="P15" s="80" t="n"/>
      <c r="Q15" s="80" t="n"/>
      <c r="R15" s="80" t="n"/>
    </row>
    <row r="16" outlineLevel="1" ht="26" customHeight="1">
      <c r="A16" s="20" t="n">
        <v>10</v>
      </c>
      <c r="B16" s="21" t="inlineStr">
        <is>
          <t>الجودة والمقاولون</t>
        </is>
      </c>
      <c r="C16" s="21" t="inlineStr">
        <is>
          <t>نسبة المشاريع الخالية من مخالفات الجودة</t>
        </is>
      </c>
      <c r="D16" s="55" t="inlineStr">
        <is>
          <t>%</t>
        </is>
      </c>
      <c r="E16" s="55" t="inlineStr">
        <is>
          <t>↑</t>
        </is>
      </c>
      <c r="F16" s="15" t="inlineStr">
        <is>
          <t>🟠 مهم</t>
        </is>
      </c>
      <c r="G16" s="64" t="n">
        <v>0.06</v>
      </c>
      <c r="H16" s="64" t="n">
        <v>0.9</v>
      </c>
      <c r="I16" s="22" t="inlineStr">
        <is>
          <t>≥ 90%</t>
        </is>
      </c>
      <c r="J16" s="85" t="inlineStr">
        <is>
          <t>الاستدامة</t>
        </is>
      </c>
      <c r="K16" s="11" t="inlineStr">
        <is>
          <t>جودة التشغيل</t>
        </is>
      </c>
      <c r="L16" s="15" t="inlineStr">
        <is>
          <t>العمليات الداخلية</t>
        </is>
      </c>
      <c r="M16" s="65" t="n">
        <v>0.697</v>
      </c>
      <c r="N16" s="10">
        <f>IF($H16="","",IF($M16="","",MIN(1,IF($H16=0,IF($M16&lt;=0,1,0),IF($E16="↓",IFERROR($H16/$M16,0),IFERROR($M16/$H16,0))))))</f>
        <v/>
      </c>
      <c r="O16" s="20">
        <f>IF($N16="","⏳ بانتظار هدف",IF($N16&gt;=1.0,"✅ محقق",IF($N16&gt;=0.85,"🟡 قريب","🔴 تحت الهدف")))</f>
        <v/>
      </c>
      <c r="P16" s="86" t="inlineStr">
        <is>
          <t>قيمة/عدد المتحقّق من «المشاريع الخالية من مخالفات الجودة» ÷ الإجمالي المستهدف لنفس البند × 100٪</t>
        </is>
      </c>
      <c r="Q16" s="86" t="inlineStr">
        <is>
          <t>نظام إدارة المشاريع (PMO/Primavera)</t>
        </is>
      </c>
      <c r="R16" s="15" t="inlineStr">
        <is>
          <t>شهري</t>
        </is>
      </c>
    </row>
    <row r="17" outlineLevel="1" ht="26" customHeight="1">
      <c r="A17" s="20" t="n">
        <v>11</v>
      </c>
      <c r="B17" s="21" t="inlineStr">
        <is>
          <t>الجودة والمقاولون</t>
        </is>
      </c>
      <c r="C17" s="21" t="inlineStr">
        <is>
          <t>عدد مخالفات المقاولين (سنوي)</t>
        </is>
      </c>
      <c r="D17" s="55" t="inlineStr">
        <is>
          <t>مخالفة</t>
        </is>
      </c>
      <c r="E17" s="55" t="inlineStr">
        <is>
          <t>↓</t>
        </is>
      </c>
      <c r="F17" s="15" t="inlineStr">
        <is>
          <t>🟠 مهم</t>
        </is>
      </c>
      <c r="G17" s="64" t="n">
        <v>0.06</v>
      </c>
      <c r="H17" s="60" t="n">
        <v>10</v>
      </c>
      <c r="I17" s="22" t="inlineStr">
        <is>
          <t>≤ 10</t>
        </is>
      </c>
      <c r="J17" s="85" t="inlineStr">
        <is>
          <t>الاستدامة</t>
        </is>
      </c>
      <c r="K17" s="11" t="inlineStr">
        <is>
          <t>جودة التشغيل</t>
        </is>
      </c>
      <c r="L17" s="15" t="inlineStr">
        <is>
          <t>العمليات الداخلية</t>
        </is>
      </c>
      <c r="M17" s="61" t="n">
        <v>10.4</v>
      </c>
      <c r="N17" s="10">
        <f>IF($H17="","",IF($M17="","",MIN(1,IF($H17=0,IF($M17&lt;=0,1,0),IF($E17="↓",IFERROR($H17/$M17,0),IFERROR($M17/$H17,0))))))</f>
        <v/>
      </c>
      <c r="O17" s="20">
        <f>IF($N17="","⏳ بانتظار هدف",IF($N17&gt;=1.0,"✅ محقق",IF($N17&gt;=0.85,"🟡 قريب","🔴 تحت الهدف")))</f>
        <v/>
      </c>
      <c r="P17" s="86" t="inlineStr">
        <is>
          <t>إجمالي عدد «مخالفات المقاولين» المُسجّلة خلال الفترة</t>
        </is>
      </c>
      <c r="Q17" s="86" t="inlineStr">
        <is>
          <t>نظام إدارة المشاريع (PMO/Primavera)</t>
        </is>
      </c>
      <c r="R17" s="15" t="inlineStr">
        <is>
          <t>شهري</t>
        </is>
      </c>
    </row>
    <row r="18" outlineLevel="1" ht="26" customHeight="1">
      <c r="A18" s="20" t="n">
        <v>12</v>
      </c>
      <c r="B18" s="21" t="inlineStr">
        <is>
          <t>الجودة والمقاولون</t>
        </is>
      </c>
      <c r="C18" s="21" t="inlineStr">
        <is>
          <t>نسبة التزام المقاولين بمعايير السلامة</t>
        </is>
      </c>
      <c r="D18" s="55" t="inlineStr">
        <is>
          <t>%</t>
        </is>
      </c>
      <c r="E18" s="55" t="inlineStr">
        <is>
          <t>↑</t>
        </is>
      </c>
      <c r="F18" s="15" t="inlineStr">
        <is>
          <t>🔴 رئيسي</t>
        </is>
      </c>
      <c r="G18" s="64" t="n">
        <v>0.08</v>
      </c>
      <c r="H18" s="64" t="n">
        <v>0.95</v>
      </c>
      <c r="I18" s="22" t="inlineStr">
        <is>
          <t>≥ 95%</t>
        </is>
      </c>
      <c r="J18" s="85" t="inlineStr">
        <is>
          <t>الاستدامة</t>
        </is>
      </c>
      <c r="K18" s="11" t="inlineStr">
        <is>
          <t>جودة التشغيل</t>
        </is>
      </c>
      <c r="L18" s="15" t="inlineStr">
        <is>
          <t>العمليات الداخلية</t>
        </is>
      </c>
      <c r="M18" s="65" t="n">
        <v>0.852</v>
      </c>
      <c r="N18" s="10">
        <f>IF($H18="","",IF($M18="","",MIN(1,IF($H18=0,IF($M18&lt;=0,1,0),IF($E18="↓",IFERROR($H18/$M18,0),IFERROR($M18/$H18,0))))))</f>
        <v/>
      </c>
      <c r="O18" s="20">
        <f>IF($N18="","⏳ بانتظار هدف",IF($N18&gt;=1.0,"✅ محقق",IF($N18&gt;=0.97,"🟡 قريب","🔴 تحت الهدف")))</f>
        <v/>
      </c>
      <c r="P18" s="86" t="inlineStr">
        <is>
          <t>قيمة/عدد المتحقّق من «التزام المقاولين بمعايير السلامة» ÷ الإجمالي المستهدف لنفس البند × 100٪</t>
        </is>
      </c>
      <c r="Q18" s="86" t="inlineStr">
        <is>
          <t>نظام إدارة المشاريع (PMO/Primavera)</t>
        </is>
      </c>
      <c r="R18" s="15" t="inlineStr">
        <is>
          <t>شهري</t>
        </is>
      </c>
    </row>
    <row r="19" ht="24" customHeight="1">
      <c r="B19" s="78" t="inlineStr">
        <is>
          <t>الالتزام بالخطة</t>
        </is>
      </c>
      <c r="C19" s="79" t="inlineStr">
        <is>
          <t>📊 مؤشر الالتزام بالخطة العام</t>
        </is>
      </c>
      <c r="D19" s="80" t="n"/>
      <c r="E19" s="80" t="n"/>
      <c r="F19" s="81" t="inlineStr">
        <is>
          <t>🔷 أساسي</t>
        </is>
      </c>
      <c r="G19" s="82" t="n">
        <v>0.11</v>
      </c>
      <c r="H19" s="80" t="n"/>
      <c r="I19" s="80" t="n"/>
      <c r="J19" s="80" t="n"/>
      <c r="K19" s="80" t="n"/>
      <c r="L19" s="80" t="n"/>
      <c r="M19" s="80" t="n"/>
      <c r="N19" s="83">
        <f>IFERROR(SUMIFS('قاعدة المؤشرات'!$J:$J,'قاعدة المؤشرات'!$B:$B,"إدارة المشاريع",'قاعدة المؤشرات'!$L:$L,"الالتزام بالخطة")/SUMIFS('قاعدة المؤشرات'!$K:$K,'قاعدة المؤشرات'!$B:$B,"إدارة المشاريع",'قاعدة المؤشرات'!$L:$L,"الالتزام بالخطة"),"")</f>
        <v/>
      </c>
      <c r="O19" s="84">
        <f>IF($N19="","⏳ بانتظار هدف",IF($N19&gt;=1,"✅ محقق",IF($N19&gt;=0.85,"🟡 قريب","🔴 تحت الهدف")))</f>
        <v/>
      </c>
      <c r="P19" s="80" t="n"/>
      <c r="Q19" s="80" t="n"/>
      <c r="R19" s="80" t="n"/>
    </row>
    <row r="20" outlineLevel="1" ht="26" customHeight="1">
      <c r="A20" s="20" t="n">
        <v>13</v>
      </c>
      <c r="B20" s="21" t="inlineStr">
        <is>
          <t>الالتزام بالخطة</t>
        </is>
      </c>
      <c r="C20" s="21" t="inlineStr">
        <is>
          <t>نسبة الالتزام بالميزانية المعتمدة</t>
        </is>
      </c>
      <c r="D20" s="55" t="inlineStr">
        <is>
          <t>%</t>
        </is>
      </c>
      <c r="E20" s="55" t="inlineStr">
        <is>
          <t>↑</t>
        </is>
      </c>
      <c r="F20" s="15" t="inlineStr">
        <is>
          <t>🟠 مهم</t>
        </is>
      </c>
      <c r="G20" s="64" t="n">
        <v>0.06</v>
      </c>
      <c r="H20" s="64" t="n">
        <v>1</v>
      </c>
      <c r="I20" s="22" t="inlineStr">
        <is>
          <t>100%</t>
        </is>
      </c>
      <c r="J20" s="85" t="inlineStr">
        <is>
          <t>الاستدامة</t>
        </is>
      </c>
      <c r="K20" s="11" t="inlineStr">
        <is>
          <t>جودة التشغيل</t>
        </is>
      </c>
      <c r="L20" s="15" t="inlineStr">
        <is>
          <t>العمليات الداخلية</t>
        </is>
      </c>
      <c r="M20" s="65" t="n">
        <v>0.96</v>
      </c>
      <c r="N20" s="10">
        <f>IF($H20="","",IF($M20="","",MIN(1,IF($H20=0,IF($M20&lt;=0,1,0),IF($E20="↓",IFERROR($H20/$M20,0),IFERROR($M20/$H20,0))))))</f>
        <v/>
      </c>
      <c r="O20" s="20">
        <f>IF($N20="","⏳ بانتظار هدف",IF($N20&gt;=1.0,"✅ محقق",IF($N20&gt;=0.85,"🟡 قريب","🔴 تحت الهدف")))</f>
        <v/>
      </c>
      <c r="P20" s="86" t="inlineStr">
        <is>
          <t>قيمة/عدد المتحقّق من «الالتزام بالميزانية المعتمدة» ÷ الإجمالي المستهدف لنفس البند × 100٪</t>
        </is>
      </c>
      <c r="Q20" s="86" t="inlineStr">
        <is>
          <t>نظام إدارة المشاريع (PMO/Primavera)</t>
        </is>
      </c>
      <c r="R20" s="15" t="inlineStr">
        <is>
          <t>شهري</t>
        </is>
      </c>
    </row>
    <row r="21" outlineLevel="1" ht="26" customHeight="1">
      <c r="A21" s="20" t="n">
        <v>14</v>
      </c>
      <c r="B21" s="21" t="inlineStr">
        <is>
          <t>الالتزام بالخطة</t>
        </is>
      </c>
      <c r="C21" s="21" t="inlineStr">
        <is>
          <t>نسبة الالتزام بالجدول الزمني العام</t>
        </is>
      </c>
      <c r="D21" s="55" t="inlineStr">
        <is>
          <t>%</t>
        </is>
      </c>
      <c r="E21" s="55" t="inlineStr">
        <is>
          <t>↑</t>
        </is>
      </c>
      <c r="F21" s="15" t="inlineStr">
        <is>
          <t>🟠 مهم</t>
        </is>
      </c>
      <c r="G21" s="64" t="n">
        <v>0.05</v>
      </c>
      <c r="H21" s="64" t="n">
        <v>1</v>
      </c>
      <c r="I21" s="22" t="inlineStr">
        <is>
          <t>100%</t>
        </is>
      </c>
      <c r="J21" s="85" t="inlineStr">
        <is>
          <t>الاستدامة</t>
        </is>
      </c>
      <c r="K21" s="11" t="inlineStr">
        <is>
          <t>جودة التشغيل</t>
        </is>
      </c>
      <c r="L21" s="15" t="inlineStr">
        <is>
          <t>العمليات الداخلية</t>
        </is>
      </c>
      <c r="M21" s="65" t="n">
        <v>0.798</v>
      </c>
      <c r="N21" s="10">
        <f>IF($H21="","",IF($M21="","",MIN(1,IF($H21=0,IF($M21&lt;=0,1,0),IF($E21="↓",IFERROR($H21/$M21,0),IFERROR($M21/$H21,0))))))</f>
        <v/>
      </c>
      <c r="O21" s="20">
        <f>IF($N21="","⏳ بانتظار هدف",IF($N21&gt;=1.0,"✅ محقق",IF($N21&gt;=0.85,"🟡 قريب","🔴 تحت الهدف")))</f>
        <v/>
      </c>
      <c r="P21" s="86" t="inlineStr">
        <is>
          <t>قيمة/عدد المتحقّق من «الالتزام بالجدول الزمني العام» ÷ الإجمالي المستهدف لنفس البند × 100٪</t>
        </is>
      </c>
      <c r="Q21" s="86" t="inlineStr">
        <is>
          <t>نظام إدارة المشاريع (PMO/Primavera)</t>
        </is>
      </c>
      <c r="R21" s="15" t="inlineStr">
        <is>
          <t>شهري</t>
        </is>
      </c>
    </row>
    <row r="22" ht="26" customHeight="1">
      <c r="A22" s="20" t="n">
        <v>15</v>
      </c>
      <c r="B22" s="21" t="inlineStr">
        <is>
          <t>التصاميم وأوامر التغيير</t>
        </is>
      </c>
      <c r="C22" s="21" t="inlineStr">
        <is>
          <t>متوسط مدة إغلاق قائمة الملاحظات النهائية</t>
        </is>
      </c>
      <c r="D22" s="55" t="inlineStr">
        <is>
          <t>يوم</t>
        </is>
      </c>
      <c r="E22" s="55" t="inlineStr">
        <is>
          <t>↓</t>
        </is>
      </c>
      <c r="F22" s="15" t="inlineStr">
        <is>
          <t>🟠 مهم</t>
        </is>
      </c>
      <c r="G22" s="64" t="n">
        <v>0.05</v>
      </c>
      <c r="H22" s="67" t="n">
        <v>30</v>
      </c>
      <c r="I22" s="22" t="inlineStr">
        <is>
          <t>≤ 30 يوم</t>
        </is>
      </c>
      <c r="J22" s="85" t="inlineStr">
        <is>
          <t>الاستدامة</t>
        </is>
      </c>
      <c r="K22" s="11" t="inlineStr">
        <is>
          <t>جودة التشغيل</t>
        </is>
      </c>
      <c r="L22" s="15" t="inlineStr">
        <is>
          <t>العمليات الداخلية</t>
        </is>
      </c>
      <c r="M22" s="68" t="n">
        <v>32.4</v>
      </c>
      <c r="N22" s="10">
        <f>IF($H22="","",IF($M22="","",MIN(1,IF($H22=0,IF($M22&lt;=0,1,0),IF($E22="↓",IFERROR($H22/$M22,0),IFERROR($M22/$H22,0))))))</f>
        <v/>
      </c>
      <c r="O22" s="20">
        <f>IF($N22="","⏳ بانتظار هدف",IF($N22&gt;=1.0,"✅ محقق",IF($N22&gt;=0.85,"🟡 قريب","🔴 تحت الهدف")))</f>
        <v/>
      </c>
      <c r="P22" s="86" t="inlineStr">
        <is>
          <t>مجموع أيام «مدة إغلاق قائمة الملاحظات النهائية» ÷ عدد الحالات</t>
        </is>
      </c>
      <c r="Q22" s="86" t="inlineStr">
        <is>
          <t>نظام إدارة المشاريع (PMO/Primavera)</t>
        </is>
      </c>
      <c r="R22" s="15" t="inlineStr">
        <is>
          <t>شهري</t>
        </is>
      </c>
    </row>
  </sheetData>
  <autoFilter ref="A3:R22"/>
  <mergeCells count="2">
    <mergeCell ref="A2:R2"/>
    <mergeCell ref="A1:R1"/>
  </mergeCells>
  <dataValidations count="1">
    <dataValidation sqref="M5 M6 M7 M8 M10 M11 M12 M13 M14 M16 M17 M18 M20 M21 M22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1"/>
    <pageSetUpPr/>
  </sheetPr>
  <dimension ref="A1:R2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سلاسل الإمداد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4" customHeight="1">
      <c r="B4" s="78" t="inlineStr">
        <is>
          <t>خدمة العميل والتوفّر</t>
        </is>
      </c>
      <c r="C4" s="79" t="inlineStr">
        <is>
          <t>📊 مؤشر خدمة العميل والتوفّر العام</t>
        </is>
      </c>
      <c r="D4" s="80" t="n"/>
      <c r="E4" s="80" t="n"/>
      <c r="F4" s="81" t="inlineStr">
        <is>
          <t>🔷 أساسي</t>
        </is>
      </c>
      <c r="G4" s="82" t="n">
        <v>0.23</v>
      </c>
      <c r="H4" s="80" t="n"/>
      <c r="I4" s="80" t="n"/>
      <c r="J4" s="80" t="n"/>
      <c r="K4" s="80" t="n"/>
      <c r="L4" s="80" t="n"/>
      <c r="M4" s="80" t="n"/>
      <c r="N4" s="83">
        <f>IFERROR(SUMIFS('قاعدة المؤشرات'!$J:$J,'قاعدة المؤشرات'!$B:$B,"سلاسل الإمداد",'قاعدة المؤشرات'!$L:$L,"خدمة العميل والتوفّر")/SUMIFS('قاعدة المؤشرات'!$K:$K,'قاعدة المؤشرات'!$B:$B,"سلاسل الإمداد",'قاعدة المؤشرات'!$L:$L,"خدمة العميل والتوفّر"),"")</f>
        <v/>
      </c>
      <c r="O4" s="84">
        <f>IF($N4="","⏳ بانتظار هدف",IF($N4&gt;=1,"✅ محقق",IF($N4&gt;=0.85,"🟡 قريب","🔴 تحت الهدف")))</f>
        <v/>
      </c>
      <c r="P4" s="80" t="n"/>
      <c r="Q4" s="80" t="n"/>
      <c r="R4" s="80" t="n"/>
    </row>
    <row r="5" outlineLevel="1" ht="26" customHeight="1">
      <c r="A5" s="20" t="n">
        <v>1</v>
      </c>
      <c r="B5" s="21" t="inlineStr">
        <is>
          <t>خدمة العميل والتوفّر</t>
        </is>
      </c>
      <c r="C5" s="21" t="inlineStr">
        <is>
          <t>نسبة تلبية طلبات المحطات من الوقود Fill Rate</t>
        </is>
      </c>
      <c r="D5" s="55" t="inlineStr">
        <is>
          <t>%</t>
        </is>
      </c>
      <c r="E5" s="55" t="inlineStr">
        <is>
          <t>↑</t>
        </is>
      </c>
      <c r="F5" s="15" t="inlineStr">
        <is>
          <t>🔴 رئيسي</t>
        </is>
      </c>
      <c r="G5" s="64" t="n">
        <v>0.13</v>
      </c>
      <c r="H5" s="64" t="n">
        <v>0.98</v>
      </c>
      <c r="I5" s="22" t="inlineStr">
        <is>
          <t>≥ 98%</t>
        </is>
      </c>
      <c r="J5" s="85" t="inlineStr">
        <is>
          <t>النمو</t>
        </is>
      </c>
      <c r="K5" s="11" t="inlineStr">
        <is>
          <t>زيادة وصول العملاء</t>
        </is>
      </c>
      <c r="L5" s="15" t="inlineStr">
        <is>
          <t>العمليات الداخلية</t>
        </is>
      </c>
      <c r="M5" s="65" t="n">
        <v>0.786</v>
      </c>
      <c r="N5" s="10">
        <f>IF($H5="","",IF($M5="","",MIN(1,IF($H5=0,IF($M5&lt;=0,1,0),IF($E5="↓",IFERROR($H5/$M5,0),IFERROR($M5/$H5,0))))))</f>
        <v/>
      </c>
      <c r="O5" s="20">
        <f>IF($N5="","⏳ بانتظار هدف",IF($N5&gt;=1.0,"✅ محقق",IF($N5&gt;=0.85,"🟡 قريب","🔴 تحت الهدف")))</f>
        <v/>
      </c>
      <c r="P5" s="86" t="inlineStr">
        <is>
          <t>يقيس قدرة سلاسل الإمداد على تلبية طلبات المحطات من الوقود بالكميات المطلوبة وفي الوقت المناسب دون نقص يؤثر على التشغيل أو المبيعات.</t>
        </is>
      </c>
      <c r="Q5" s="86" t="inlineStr">
        <is>
          <t>نظام سلاسل الإمداد والمخزون (WMS/ERP)</t>
        </is>
      </c>
      <c r="R5" s="15" t="inlineStr">
        <is>
          <t>شهري</t>
        </is>
      </c>
    </row>
    <row r="6" outlineLevel="1" ht="26" customHeight="1">
      <c r="A6" s="20" t="n">
        <v>2</v>
      </c>
      <c r="B6" s="21" t="inlineStr">
        <is>
          <t>خدمة العميل والتوفّر</t>
        </is>
      </c>
      <c r="C6" s="21" t="inlineStr">
        <is>
          <t>عدد انقطاعات التوريد المؤثرة شهريًا</t>
        </is>
      </c>
      <c r="D6" s="55" t="inlineStr">
        <is>
          <t>عدد</t>
        </is>
      </c>
      <c r="E6" s="55" t="inlineStr">
        <is>
          <t>↓</t>
        </is>
      </c>
      <c r="F6" s="15" t="inlineStr">
        <is>
          <t>🔴 رئيسي</t>
        </is>
      </c>
      <c r="G6" s="64" t="n">
        <v>0.1</v>
      </c>
      <c r="H6" s="60" t="n">
        <v>0</v>
      </c>
      <c r="I6" s="22" t="inlineStr">
        <is>
          <t>صفر انقطاع</t>
        </is>
      </c>
      <c r="J6" s="85" t="inlineStr">
        <is>
          <t>الاستدامة</t>
        </is>
      </c>
      <c r="K6" s="11" t="inlineStr">
        <is>
          <t>جودة التشغيل</t>
        </is>
      </c>
      <c r="L6" s="15" t="inlineStr">
        <is>
          <t>العمليات الداخلية</t>
        </is>
      </c>
      <c r="M6" s="61" t="n"/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محقق",IF($N6&gt;=0.85,"🟡 قريب","🔴 تحت الهدف")))</f>
        <v/>
      </c>
      <c r="P6" s="86" t="inlineStr">
        <is>
          <t>يقيس عدد حالات انقطاع أو تعثر توريد الوقود أو المواد الحرجة التي أثرت على التشغيل أو المبيعات أو جاهزية المحطات.</t>
        </is>
      </c>
      <c r="Q6" s="86" t="inlineStr">
        <is>
          <t>نظام سلاسل الإمداد والمخزون (WMS/ERP)</t>
        </is>
      </c>
      <c r="R6" s="15" t="inlineStr">
        <is>
          <t>شهري</t>
        </is>
      </c>
    </row>
    <row r="7" ht="24" customHeight="1">
      <c r="B7" s="78" t="inlineStr">
        <is>
          <t>المخزون</t>
        </is>
      </c>
      <c r="C7" s="79" t="inlineStr">
        <is>
          <t>📊 مؤشر المخزون العام</t>
        </is>
      </c>
      <c r="D7" s="80" t="n"/>
      <c r="E7" s="80" t="n"/>
      <c r="F7" s="81" t="inlineStr">
        <is>
          <t>🔷 أساسي</t>
        </is>
      </c>
      <c r="G7" s="82" t="n">
        <v>0.24</v>
      </c>
      <c r="H7" s="80" t="n"/>
      <c r="I7" s="80" t="n"/>
      <c r="J7" s="80" t="n"/>
      <c r="K7" s="80" t="n"/>
      <c r="L7" s="80" t="n"/>
      <c r="M7" s="80" t="n"/>
      <c r="N7" s="83">
        <f>IFERROR(SUMIFS('قاعدة المؤشرات'!$J:$J,'قاعدة المؤشرات'!$B:$B,"سلاسل الإمداد",'قاعدة المؤشرات'!$L:$L,"المخزون")/SUMIFS('قاعدة المؤشرات'!$K:$K,'قاعدة المؤشرات'!$B:$B,"سلاسل الإمداد",'قاعدة المؤشرات'!$L:$L,"المخزون"),"")</f>
        <v/>
      </c>
      <c r="O7" s="84">
        <f>IF($N7="","⏳ بانتظار هدف",IF($N7&gt;=1,"✅ محقق",IF($N7&gt;=0.85,"🟡 قريب","🔴 تحت الهدف")))</f>
        <v/>
      </c>
      <c r="P7" s="80" t="n"/>
      <c r="Q7" s="80" t="n"/>
      <c r="R7" s="80" t="n"/>
    </row>
    <row r="8" outlineLevel="1" ht="26" customHeight="1">
      <c r="A8" s="20" t="n">
        <v>3</v>
      </c>
      <c r="B8" s="21" t="inlineStr">
        <is>
          <t>المخزون</t>
        </is>
      </c>
      <c r="C8" s="21" t="inlineStr">
        <is>
          <t>نسبة تغطية مخزون الوقود بالأيام</t>
        </is>
      </c>
      <c r="D8" s="55" t="inlineStr">
        <is>
          <t>يوم</t>
        </is>
      </c>
      <c r="E8" s="55" t="inlineStr">
        <is>
          <t>↑</t>
        </is>
      </c>
      <c r="F8" s="15" t="inlineStr">
        <is>
          <t>🟠 مهم</t>
        </is>
      </c>
      <c r="G8" s="64" t="n">
        <v>0.09</v>
      </c>
      <c r="H8" s="67" t="n">
        <v>5</v>
      </c>
      <c r="I8" s="22" t="inlineStr">
        <is>
          <t>≥ 5 أيام</t>
        </is>
      </c>
      <c r="J8" s="85" t="inlineStr">
        <is>
          <t>الاستدامة</t>
        </is>
      </c>
      <c r="K8" s="11" t="inlineStr">
        <is>
          <t>جودة التشغيل</t>
        </is>
      </c>
      <c r="L8" s="15" t="inlineStr">
        <is>
          <t>العمليات الداخلية</t>
        </is>
      </c>
      <c r="M8" s="68" t="n">
        <v>4.706</v>
      </c>
      <c r="N8" s="10">
        <f>IF($H8="","",IF($M8="","",MIN(1,IF($H8=0,IF($M8&lt;=0,1,0),IF($E8="↓",IFERROR($H8/$M8,0),IFERROR($M8/$H8,0))))))</f>
        <v/>
      </c>
      <c r="O8" s="20">
        <f>IF($N8="","⏳ بانتظار هدف",IF($N8&gt;=1.0,"✅ محقق",IF($N8&gt;=0.85,"🟡 قريب","🔴 تحت الهدف")))</f>
        <v/>
      </c>
      <c r="P8" s="86" t="inlineStr">
        <is>
          <t>يقيس عدد الأيام التي يغطيها مخزون الوقود المتوفر بناءً على متوسط الاستهلاك اليومي، بهدف المحافظة على الحد الآمن من المخزون.</t>
        </is>
      </c>
      <c r="Q8" s="86" t="inlineStr">
        <is>
          <t>نظام سلاسل الإمداد والمخزون (WMS/ERP)</t>
        </is>
      </c>
      <c r="R8" s="15" t="inlineStr">
        <is>
          <t>شهري</t>
        </is>
      </c>
    </row>
    <row r="9" outlineLevel="1" ht="26" customHeight="1">
      <c r="A9" s="20" t="n">
        <v>4</v>
      </c>
      <c r="B9" s="21" t="inlineStr">
        <is>
          <t>المخزون</t>
        </is>
      </c>
      <c r="C9" s="21" t="inlineStr">
        <is>
          <t>نسبة توفر المواد المخزنية والحرجة</t>
        </is>
      </c>
      <c r="D9" s="55" t="inlineStr">
        <is>
          <t>%</t>
        </is>
      </c>
      <c r="E9" s="55" t="inlineStr">
        <is>
          <t>↑</t>
        </is>
      </c>
      <c r="F9" s="15" t="inlineStr">
        <is>
          <t>🟠 مهم</t>
        </is>
      </c>
      <c r="G9" s="64" t="n">
        <v>0.09</v>
      </c>
      <c r="H9" s="64" t="n">
        <v>0.98</v>
      </c>
      <c r="I9" s="22" t="inlineStr">
        <is>
          <t>≥ 98%</t>
        </is>
      </c>
      <c r="J9" s="85" t="inlineStr">
        <is>
          <t>الاستدامة</t>
        </is>
      </c>
      <c r="K9" s="11" t="inlineStr">
        <is>
          <t>جودة التشغيل</t>
        </is>
      </c>
      <c r="L9" s="15" t="inlineStr">
        <is>
          <t>العمليات الداخلية</t>
        </is>
      </c>
      <c r="M9" s="65" t="n">
        <v>0.766</v>
      </c>
      <c r="N9" s="10">
        <f>IF($H9="","",IF($M9="","",MIN(1,IF($H9=0,IF($M9&lt;=0,1,0),IF($E9="↓",IFERROR($H9/$M9,0),IFERROR($M9/$H9,0))))))</f>
        <v/>
      </c>
      <c r="O9" s="20">
        <f>IF($N9="","⏳ بانتظار هدف",IF($N9&gt;=1.0,"✅ محقق",IF($N9&gt;=0.85,"🟡 قريب","🔴 تحت الهدف")))</f>
        <v/>
      </c>
      <c r="P9" s="86" t="inlineStr">
        <is>
          <t>يقيس توفر المواد المخزنية والمواد التشغيلية الحرجة التي يؤثر عدم توفرها على التشغيل أو الصيانة أو جاهزية المحطات.</t>
        </is>
      </c>
      <c r="Q9" s="86" t="inlineStr">
        <is>
          <t>نظام سلاسل الإمداد والمخزون (WMS/ERP)</t>
        </is>
      </c>
      <c r="R9" s="15" t="inlineStr">
        <is>
          <t>شهري</t>
        </is>
      </c>
    </row>
    <row r="10" outlineLevel="1" ht="26" customHeight="1">
      <c r="A10" s="20" t="n">
        <v>5</v>
      </c>
      <c r="B10" s="21" t="inlineStr">
        <is>
          <t>المخزون</t>
        </is>
      </c>
      <c r="C10" s="21" t="inlineStr">
        <is>
          <t>نسبة المواد الراكدة من المخزون</t>
        </is>
      </c>
      <c r="D10" s="55" t="inlineStr">
        <is>
          <t>%</t>
        </is>
      </c>
      <c r="E10" s="55" t="inlineStr">
        <is>
          <t>↓</t>
        </is>
      </c>
      <c r="F10" s="15" t="inlineStr">
        <is>
          <t>🟠 مهم</t>
        </is>
      </c>
      <c r="G10" s="64" t="n">
        <v>0.06</v>
      </c>
      <c r="H10" s="64" t="n">
        <v>0.05</v>
      </c>
      <c r="I10" s="22" t="inlineStr">
        <is>
          <t>≤ 5%</t>
        </is>
      </c>
      <c r="J10" s="85" t="inlineStr">
        <is>
          <t>الاستدامة</t>
        </is>
      </c>
      <c r="K10" s="11" t="inlineStr">
        <is>
          <t>جودة التشغيل</t>
        </is>
      </c>
      <c r="L10" s="15" t="inlineStr">
        <is>
          <t>العمليات الداخلية</t>
        </is>
      </c>
      <c r="M10" s="65" t="n">
        <v>0.048</v>
      </c>
      <c r="N10" s="10">
        <f>IF($H10="","",IF($M10="","",MIN(1,IF($H10=0,IF($M10&lt;=0,1,0),IF($E10="↓",IFERROR($H10/$M10,0),IFERROR($M10/$H10,0))))))</f>
        <v/>
      </c>
      <c r="O10" s="20">
        <f>IF($N10="","⏳ بانتظار هدف",IF($N10&gt;=1.0,"✅ محقق",IF($N10&gt;=0.85,"🟡 قريب","🔴 تحت الهدف")))</f>
        <v/>
      </c>
      <c r="P10" s="86" t="inlineStr">
        <is>
          <t>يقيس نسبة المواد غير المتحركة أو الراكدة مقارنة بإجمالي المخزون، بهدف تقليل الهدر وتجميد رأس المال في مواد غير مستخدمة.</t>
        </is>
      </c>
      <c r="Q10" s="86" t="inlineStr">
        <is>
          <t>نظام سلاسل الإمداد والمخزون (WMS/ERP)</t>
        </is>
      </c>
      <c r="R10" s="15" t="inlineStr">
        <is>
          <t>شهري</t>
        </is>
      </c>
    </row>
    <row r="11" ht="24" customHeight="1">
      <c r="B11" s="78" t="inlineStr">
        <is>
          <t>المشتريات</t>
        </is>
      </c>
      <c r="C11" s="79" t="inlineStr">
        <is>
          <t>📊 مؤشر المشتريات العام</t>
        </is>
      </c>
      <c r="D11" s="80" t="n"/>
      <c r="E11" s="80" t="n"/>
      <c r="F11" s="81" t="inlineStr">
        <is>
          <t>🔷 أساسي</t>
        </is>
      </c>
      <c r="G11" s="82" t="n">
        <v>0.18</v>
      </c>
      <c r="H11" s="80" t="n"/>
      <c r="I11" s="80" t="n"/>
      <c r="J11" s="80" t="n"/>
      <c r="K11" s="80" t="n"/>
      <c r="L11" s="80" t="n"/>
      <c r="M11" s="80" t="n"/>
      <c r="N11" s="83">
        <f>IFERROR(SUMIFS('قاعدة المؤشرات'!$J:$J,'قاعدة المؤشرات'!$B:$B,"سلاسل الإمداد",'قاعدة المؤشرات'!$L:$L,"المشتريات")/SUMIFS('قاعدة المؤشرات'!$K:$K,'قاعدة المؤشرات'!$B:$B,"سلاسل الإمداد",'قاعدة المؤشرات'!$L:$L,"المشتريات"),"")</f>
        <v/>
      </c>
      <c r="O11" s="84">
        <f>IF($N11="","⏳ بانتظار هدف",IF($N11&gt;=1,"✅ محقق",IF($N11&gt;=0.85,"🟡 قريب","🔴 تحت الهدف")))</f>
        <v/>
      </c>
      <c r="P11" s="80" t="n"/>
      <c r="Q11" s="80" t="n"/>
      <c r="R11" s="80" t="n"/>
    </row>
    <row r="12" outlineLevel="1" ht="26" customHeight="1">
      <c r="A12" s="20" t="n">
        <v>6</v>
      </c>
      <c r="B12" s="21" t="inlineStr">
        <is>
          <t>المشتريات</t>
        </is>
      </c>
      <c r="C12" s="21" t="inlineStr">
        <is>
          <t>دقة أوامر الشراء ومستنداتها</t>
        </is>
      </c>
      <c r="D12" s="55" t="inlineStr">
        <is>
          <t>%</t>
        </is>
      </c>
      <c r="E12" s="55" t="inlineStr">
        <is>
          <t>↑</t>
        </is>
      </c>
      <c r="F12" s="15" t="inlineStr">
        <is>
          <t>🟡 متابعة</t>
        </is>
      </c>
      <c r="G12" s="64" t="n">
        <v>0.1</v>
      </c>
      <c r="H12" s="64" t="n">
        <v>0.98</v>
      </c>
      <c r="I12" s="22" t="inlineStr">
        <is>
          <t>≥ 98%</t>
        </is>
      </c>
      <c r="J12" s="85" t="inlineStr">
        <is>
          <t>الاستدامة</t>
        </is>
      </c>
      <c r="K12" s="11" t="inlineStr">
        <is>
          <t>جودة التشغيل</t>
        </is>
      </c>
      <c r="L12" s="15" t="inlineStr">
        <is>
          <t>العمليات الداخلية</t>
        </is>
      </c>
      <c r="M12" s="65" t="n">
        <v>0.905</v>
      </c>
      <c r="N12" s="10">
        <f>IF($H12="","",IF($M12="","",MIN(1,IF($H12=0,IF($M12&lt;=0,1,0),IF($E12="↓",IFERROR($H12/$M12,0),IFERROR($M12/$H12,0))))))</f>
        <v/>
      </c>
      <c r="O12" s="20">
        <f>IF($N12="","⏳ بانتظار هدف",IF($N12&gt;=1.0,"✅ محقق",IF($N12&gt;=0.85,"🟡 قريب","🔴 تحت الهدف")))</f>
        <v/>
      </c>
      <c r="P12" s="86" t="inlineStr">
        <is>
          <t>يقيس مدى اكتمال وصحة أوامر الشراء ومستنداتها، مثل طلب الشراء، عروض الأسعار، التعميد، أمر الشراء، الاستلام، الفاتورة، والمطابقة النظامية.</t>
        </is>
      </c>
      <c r="Q12" s="86" t="inlineStr">
        <is>
          <t>نظام سلاسل الإمداد والمخزون (WMS/ERP)</t>
        </is>
      </c>
      <c r="R12" s="15" t="inlineStr">
        <is>
          <t>شهري</t>
        </is>
      </c>
    </row>
    <row r="13" outlineLevel="1" ht="26" customHeight="1">
      <c r="A13" s="20" t="n">
        <v>7</v>
      </c>
      <c r="B13" s="21" t="inlineStr">
        <is>
          <t>المشتريات</t>
        </is>
      </c>
      <c r="C13" s="21" t="inlineStr">
        <is>
          <t>نسبة إنجاز أوامر الشراء خلال المدة المستهدفة</t>
        </is>
      </c>
      <c r="D13" s="55" t="inlineStr">
        <is>
          <t>%</t>
        </is>
      </c>
      <c r="E13" s="55" t="inlineStr">
        <is>
          <t>↑</t>
        </is>
      </c>
      <c r="F13" s="15" t="inlineStr">
        <is>
          <t>🟠 مهم</t>
        </is>
      </c>
      <c r="G13" s="64" t="n">
        <v>0.08</v>
      </c>
      <c r="H13" s="64" t="n">
        <v>0.95</v>
      </c>
      <c r="I13" s="22" t="inlineStr">
        <is>
          <t>≥ 95%</t>
        </is>
      </c>
      <c r="J13" s="85" t="inlineStr">
        <is>
          <t>الاستدامة</t>
        </is>
      </c>
      <c r="K13" s="11" t="inlineStr">
        <is>
          <t>جودة التشغيل</t>
        </is>
      </c>
      <c r="L13" s="15" t="inlineStr">
        <is>
          <t>العمليات الداخلية</t>
        </is>
      </c>
      <c r="M13" s="65" t="n">
        <v>0.9320000000000001</v>
      </c>
      <c r="N13" s="10">
        <f>IF($H13="","",IF($M13="","",MIN(1,IF($H13=0,IF($M13&lt;=0,1,0),IF($E13="↓",IFERROR($H13/$M13,0),IFERROR($M13/$H13,0))))))</f>
        <v/>
      </c>
      <c r="O13" s="20">
        <f>IF($N13="","⏳ بانتظار هدف",IF($N13&gt;=1.0,"✅ محقق",IF($N13&gt;=0.85,"🟡 قريب","🔴 تحت الهدف")))</f>
        <v/>
      </c>
      <c r="P13" s="86" t="inlineStr">
        <is>
          <t>يقيس سرعة معالجة أوامر الشراء من تاريخ اعتماد الطلب حتى إصدار أمر الشراء أو التعميد وفق المدة المستهدفة المعتمدة.</t>
        </is>
      </c>
      <c r="Q13" s="86" t="inlineStr">
        <is>
          <t>نظام سلاسل الإمداد والمخزون (WMS/ERP)</t>
        </is>
      </c>
      <c r="R13" s="15" t="inlineStr">
        <is>
          <t>شهري</t>
        </is>
      </c>
    </row>
    <row r="14" ht="24" customHeight="1">
      <c r="B14" s="78" t="inlineStr">
        <is>
          <t>التوريد والتسليم</t>
        </is>
      </c>
      <c r="C14" s="79" t="inlineStr">
        <is>
          <t>📊 مؤشر التوريد والتسليم العام</t>
        </is>
      </c>
      <c r="D14" s="80" t="n"/>
      <c r="E14" s="80" t="n"/>
      <c r="F14" s="81" t="inlineStr">
        <is>
          <t>🔷 أساسي</t>
        </is>
      </c>
      <c r="G14" s="82" t="n">
        <v>0.18</v>
      </c>
      <c r="H14" s="80" t="n"/>
      <c r="I14" s="80" t="n"/>
      <c r="J14" s="80" t="n"/>
      <c r="K14" s="80" t="n"/>
      <c r="L14" s="80" t="n"/>
      <c r="M14" s="80" t="n"/>
      <c r="N14" s="83">
        <f>IFERROR(SUMIFS('قاعدة المؤشرات'!$J:$J,'قاعدة المؤشرات'!$B:$B,"سلاسل الإمداد",'قاعدة المؤشرات'!$L:$L,"التوريد والتسليم")/SUMIFS('قاعدة المؤشرات'!$K:$K,'قاعدة المؤشرات'!$B:$B,"سلاسل الإمداد",'قاعدة المؤشرات'!$L:$L,"التوريد والتسليم"),"")</f>
        <v/>
      </c>
      <c r="O14" s="84">
        <f>IF($N14="","⏳ بانتظار هدف",IF($N14&gt;=1,"✅ محقق",IF($N14&gt;=0.85,"🟡 قريب","🔴 تحت الهدف")))</f>
        <v/>
      </c>
      <c r="P14" s="80" t="n"/>
      <c r="Q14" s="80" t="n"/>
      <c r="R14" s="80" t="n"/>
    </row>
    <row r="15" outlineLevel="1" ht="26" customHeight="1">
      <c r="A15" s="20" t="n">
        <v>8</v>
      </c>
      <c r="B15" s="21" t="inlineStr">
        <is>
          <t>التوريد والتسليم</t>
        </is>
      </c>
      <c r="C15" s="21" t="inlineStr">
        <is>
          <t>نسبة الالتزام بزمن التسليم والتوريد للمحطات والإدارات</t>
        </is>
      </c>
      <c r="D15" s="55" t="inlineStr">
        <is>
          <t>%</t>
        </is>
      </c>
      <c r="E15" s="55" t="inlineStr">
        <is>
          <t>↑</t>
        </is>
      </c>
      <c r="F15" s="15" t="inlineStr">
        <is>
          <t>🔴 رئيسي</t>
        </is>
      </c>
      <c r="G15" s="64" t="n">
        <v>0.1</v>
      </c>
      <c r="H15" s="64" t="n">
        <v>0.95</v>
      </c>
      <c r="I15" s="22" t="inlineStr">
        <is>
          <t>≥ 95%</t>
        </is>
      </c>
      <c r="J15" s="85" t="inlineStr">
        <is>
          <t>الاستدامة</t>
        </is>
      </c>
      <c r="K15" s="11" t="inlineStr">
        <is>
          <t>جودة التشغيل</t>
        </is>
      </c>
      <c r="L15" s="15" t="inlineStr">
        <is>
          <t>العمليات الداخلية</t>
        </is>
      </c>
      <c r="M15" s="65" t="n">
        <v>0.751</v>
      </c>
      <c r="N15" s="10">
        <f>IF($H15="","",IF($M15="","",MIN(1,IF($H15=0,IF($M15&lt;=0,1,0),IF($E15="↓",IFERROR($H15/$M15,0),IFERROR($M15/$H15,0))))))</f>
        <v/>
      </c>
      <c r="O15" s="20">
        <f>IF($N15="","⏳ بانتظار هدف",IF($N15&gt;=1.0,"✅ محقق",IF($N15&gt;=0.85,"🟡 قريب","🔴 تحت الهدف")))</f>
        <v/>
      </c>
      <c r="P15" s="86" t="inlineStr">
        <is>
          <t>يقيس مدى الالتزام بتسليم احتياجات المحطات والإدارات في الوقت المتفق عليه بعد اعتماد الطلب أو أمر الشراء.</t>
        </is>
      </c>
      <c r="Q15" s="86" t="inlineStr">
        <is>
          <t>نظام سلاسل الإمداد والمخزون (WMS/ERP)</t>
        </is>
      </c>
      <c r="R15" s="15" t="inlineStr">
        <is>
          <t>شهري</t>
        </is>
      </c>
    </row>
    <row r="16" outlineLevel="1" ht="26" customHeight="1">
      <c r="A16" s="20" t="n">
        <v>9</v>
      </c>
      <c r="B16" s="21" t="inlineStr">
        <is>
          <t>التوريد والتسليم</t>
        </is>
      </c>
      <c r="C16" s="21" t="inlineStr">
        <is>
          <t>نسبة جاهزية الإمداد للمحطات الجديدة وخطط الافتتاح</t>
        </is>
      </c>
      <c r="D16" s="55" t="inlineStr">
        <is>
          <t>%</t>
        </is>
      </c>
      <c r="E16" s="55" t="inlineStr">
        <is>
          <t>↑</t>
        </is>
      </c>
      <c r="F16" s="15" t="inlineStr">
        <is>
          <t>🔴 رئيسي</t>
        </is>
      </c>
      <c r="G16" s="64" t="n">
        <v>0.08</v>
      </c>
      <c r="H16" s="64" t="n">
        <v>1</v>
      </c>
      <c r="I16" s="22" t="inlineStr">
        <is>
          <t>100%</t>
        </is>
      </c>
      <c r="J16" s="85" t="inlineStr">
        <is>
          <t>النمو</t>
        </is>
      </c>
      <c r="K16" s="11" t="inlineStr">
        <is>
          <t>التوسع في المواقع</t>
        </is>
      </c>
      <c r="L16" s="15" t="inlineStr">
        <is>
          <t>العمليات الداخلية</t>
        </is>
      </c>
      <c r="M16" s="65" t="n">
        <v>0.952</v>
      </c>
      <c r="N16" s="10">
        <f>IF($H16="","",IF($M16="","",MIN(1,IF($H16=0,IF($M16&lt;=0,1,0),IF($E16="↓",IFERROR($H16/$M16,0),IFERROR($M16/$H16,0))))))</f>
        <v/>
      </c>
      <c r="O16" s="20">
        <f>IF($N16="","⏳ بانتظار هدف",IF($N16&gt;=1.0,"✅ محقق",IF($N16&gt;=0.97,"🟡 قريب","🔴 تحت الهدف")))</f>
        <v/>
      </c>
      <c r="P16" s="86" t="inlineStr">
        <is>
          <t>يقيس مدى جاهزية احتياجات المحطات الجديدة قبل التشغيل، مثل الوقود الأولي، المواد التشغيلية، المستلزمات، الزي، أدوات التشغيل، وأي احتياجات معتمدة ضمن خطة الافتتاح.</t>
        </is>
      </c>
      <c r="Q16" s="86" t="inlineStr">
        <is>
          <t>نظام سلاسل الإمداد والمخزون (WMS/ERP)</t>
        </is>
      </c>
      <c r="R16" s="15" t="inlineStr">
        <is>
          <t>شهري</t>
        </is>
      </c>
    </row>
    <row r="17" ht="26" customHeight="1">
      <c r="A17" s="20" t="n">
        <v>10</v>
      </c>
      <c r="B17" s="21" t="inlineStr">
        <is>
          <t>النقل والأسطول</t>
        </is>
      </c>
      <c r="C17" s="21" t="inlineStr">
        <is>
          <t>نسبة الالتزام بجدول النقل واستخدام الأسطول بكفاءة</t>
        </is>
      </c>
      <c r="D17" s="55" t="inlineStr">
        <is>
          <t>%</t>
        </is>
      </c>
      <c r="E17" s="55" t="inlineStr">
        <is>
          <t>↑</t>
        </is>
      </c>
      <c r="F17" s="15" t="inlineStr">
        <is>
          <t>🟠 مهم</t>
        </is>
      </c>
      <c r="G17" s="64" t="n">
        <v>0.07000000000000001</v>
      </c>
      <c r="H17" s="64" t="n">
        <v>0.9</v>
      </c>
      <c r="I17" s="22" t="inlineStr">
        <is>
          <t>≥ 90%</t>
        </is>
      </c>
      <c r="J17" s="85" t="inlineStr">
        <is>
          <t>الاستدامة</t>
        </is>
      </c>
      <c r="K17" s="11" t="inlineStr">
        <is>
          <t>جودة التشغيل</t>
        </is>
      </c>
      <c r="L17" s="15" t="inlineStr">
        <is>
          <t>العمليات الداخلية</t>
        </is>
      </c>
      <c r="M17" s="65" t="n">
        <v>0.751</v>
      </c>
      <c r="N17" s="10">
        <f>IF($H17="","",IF($M17="","",MIN(1,IF($H17=0,IF($M17&lt;=0,1,0),IF($E17="↓",IFERROR($H17/$M17,0),IFERROR($M17/$H17,0))))))</f>
        <v/>
      </c>
      <c r="O17" s="20">
        <f>IF($N17="","⏳ بانتظار هدف",IF($N17&gt;=1.0,"✅ محقق",IF($N17&gt;=0.85,"🟡 قريب","🔴 تحت الهدف")))</f>
        <v/>
      </c>
      <c r="P17" s="86" t="inlineStr">
        <is>
          <t>يقيس التزام النقل بالجدول المعتمد، ومدى كفاءة استخدام الأسطول المملوك مقارنة بإجمالي رحلات النقل، بما يدعم ضبط التكلفة واستمرارية التوريد.</t>
        </is>
      </c>
      <c r="Q17" s="86" t="inlineStr">
        <is>
          <t>نظام سلاسل الإمداد والمخزون (WMS/ERP)</t>
        </is>
      </c>
      <c r="R17" s="15" t="inlineStr">
        <is>
          <t>شهري</t>
        </is>
      </c>
    </row>
    <row r="18" ht="24" customHeight="1">
      <c r="B18" s="78" t="inlineStr">
        <is>
          <t>الموردون والرضا</t>
        </is>
      </c>
      <c r="C18" s="79" t="inlineStr">
        <is>
          <t>📊 مؤشر الموردون والرضا العام</t>
        </is>
      </c>
      <c r="D18" s="80" t="n"/>
      <c r="E18" s="80" t="n"/>
      <c r="F18" s="81" t="inlineStr">
        <is>
          <t>🔷 أساسي</t>
        </is>
      </c>
      <c r="G18" s="82" t="n">
        <v>0.1</v>
      </c>
      <c r="H18" s="80" t="n"/>
      <c r="I18" s="80" t="n"/>
      <c r="J18" s="80" t="n"/>
      <c r="K18" s="80" t="n"/>
      <c r="L18" s="80" t="n"/>
      <c r="M18" s="80" t="n"/>
      <c r="N18" s="83">
        <f>IFERROR(SUMIFS('قاعدة المؤشرات'!$J:$J,'قاعدة المؤشرات'!$B:$B,"سلاسل الإمداد",'قاعدة المؤشرات'!$L:$L,"الموردون والرضا")/SUMIFS('قاعدة المؤشرات'!$K:$K,'قاعدة المؤشرات'!$B:$B,"سلاسل الإمداد",'قاعدة المؤشرات'!$L:$L,"الموردون والرضا"),"")</f>
        <v/>
      </c>
      <c r="O18" s="84">
        <f>IF($N18="","⏳ بانتظار هدف",IF($N18&gt;=1,"✅ محقق",IF($N18&gt;=0.85,"🟡 قريب","🔴 تحت الهدف")))</f>
        <v/>
      </c>
      <c r="P18" s="80" t="n"/>
      <c r="Q18" s="80" t="n"/>
      <c r="R18" s="80" t="n"/>
    </row>
    <row r="19" outlineLevel="1" ht="26" customHeight="1">
      <c r="A19" s="20" t="n">
        <v>11</v>
      </c>
      <c r="B19" s="21" t="inlineStr">
        <is>
          <t>الموردون والرضا</t>
        </is>
      </c>
      <c r="C19" s="21" t="inlineStr">
        <is>
          <t>كفاءة إدارة الموردين</t>
        </is>
      </c>
      <c r="D19" s="55" t="inlineStr">
        <is>
          <t>%</t>
        </is>
      </c>
      <c r="E19" s="55" t="inlineStr">
        <is>
          <t>↑</t>
        </is>
      </c>
      <c r="F19" s="15" t="inlineStr">
        <is>
          <t>🟠 مهم</t>
        </is>
      </c>
      <c r="G19" s="64" t="n">
        <v>0.06</v>
      </c>
      <c r="H19" s="64" t="n">
        <v>0.9</v>
      </c>
      <c r="I19" s="22" t="inlineStr">
        <is>
          <t>≥ 90%</t>
        </is>
      </c>
      <c r="J19" s="85" t="inlineStr">
        <is>
          <t>الاستدامة</t>
        </is>
      </c>
      <c r="K19" s="11" t="inlineStr">
        <is>
          <t>جودة التشغيل</t>
        </is>
      </c>
      <c r="L19" s="15" t="inlineStr">
        <is>
          <t>العمليات الداخلية</t>
        </is>
      </c>
      <c r="M19" s="65" t="n">
        <v>0.881</v>
      </c>
      <c r="N19" s="10">
        <f>IF($H19="","",IF($M19="","",MIN(1,IF($H19=0,IF($M19&lt;=0,1,0),IF($E19="↓",IFERROR($H19/$M19,0),IFERROR($M19/$H19,0))))))</f>
        <v/>
      </c>
      <c r="O19" s="20">
        <f>IF($N19="","⏳ بانتظار هدف",IF($N19&gt;=1.0,"✅ محقق",IF($N19&gt;=0.85,"🟡 قريب","🔴 تحت الهدف")))</f>
        <v/>
      </c>
      <c r="P19" s="86" t="inlineStr">
        <is>
          <t>يقيس أداء الموردين من حيث الالتزام بالمواعيد، جودة المواد أو الخدمة، الاستجابة، معالجة الملاحظات، اكتمال الوثائق، والالتزام بالعقود أو الأسعار المعتمدة.</t>
        </is>
      </c>
      <c r="Q19" s="86" t="inlineStr">
        <is>
          <t>نظام سلاسل الإمداد والمخزون (WMS/ERP)</t>
        </is>
      </c>
      <c r="R19" s="15" t="inlineStr">
        <is>
          <t>شهري</t>
        </is>
      </c>
    </row>
    <row r="20" outlineLevel="1" ht="26" customHeight="1">
      <c r="A20" s="20" t="n">
        <v>12</v>
      </c>
      <c r="B20" s="21" t="inlineStr">
        <is>
          <t>الموردون والرضا</t>
        </is>
      </c>
      <c r="C20" s="21" t="inlineStr">
        <is>
          <t>مستوى رضا الإدارات عن خدمات سلاسل الإمداد</t>
        </is>
      </c>
      <c r="D20" s="55" t="inlineStr">
        <is>
          <t>%</t>
        </is>
      </c>
      <c r="E20" s="55" t="inlineStr">
        <is>
          <t>↑</t>
        </is>
      </c>
      <c r="F20" s="15" t="inlineStr">
        <is>
          <t>🔴 رئيسي</t>
        </is>
      </c>
      <c r="G20" s="64" t="n">
        <v>0.04</v>
      </c>
      <c r="H20" s="64" t="n">
        <v>0.85</v>
      </c>
      <c r="I20" s="22" t="inlineStr">
        <is>
          <t>≥ 85%</t>
        </is>
      </c>
      <c r="J20" s="85" t="inlineStr">
        <is>
          <t>الاستدامة</t>
        </is>
      </c>
      <c r="K20" s="11" t="inlineStr">
        <is>
          <t>جودة التشغيل</t>
        </is>
      </c>
      <c r="L20" s="15" t="inlineStr">
        <is>
          <t>العملاء</t>
        </is>
      </c>
      <c r="M20" s="65" t="n">
        <v>0.802</v>
      </c>
      <c r="N20" s="10">
        <f>IF($H20="","",IF($M20="","",MIN(1,IF($H20=0,IF($M20&lt;=0,1,0),IF($E20="↓",IFERROR($H20/$M20,0),IFERROR($M20/$H20,0))))))</f>
        <v/>
      </c>
      <c r="O20" s="20">
        <f>IF($N20="","⏳ بانتظار هدف",IF($N20&gt;=0.9,"✅ محقق",IF($N20&gt;=0.75,"🟡 قريب","🔴 تحت الهدف")))</f>
        <v/>
      </c>
      <c r="P20" s="86" t="inlineStr">
        <is>
          <t>يقيس رضا الإدارات والمحطات عن سرعة الاستجابة، جودة التوريد، وضوح التواصل، الالتزام بالطلبات، ودعم الاحتياجات التشغيلية.</t>
        </is>
      </c>
      <c r="Q20" s="86" t="inlineStr">
        <is>
          <t>نظام سلاسل الإمداد والمخزون (WMS/ERP)</t>
        </is>
      </c>
      <c r="R20" s="15" t="inlineStr">
        <is>
          <t>ربعي</t>
        </is>
      </c>
    </row>
  </sheetData>
  <autoFilter ref="A3:R20"/>
  <mergeCells count="2">
    <mergeCell ref="A2:R2"/>
    <mergeCell ref="A1:R1"/>
  </mergeCells>
  <dataValidations count="1">
    <dataValidation sqref="M5 M6 M8 M9 M10 M12 M13 M15 M16 M17 M19 M20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1"/>
    <pageSetUpPr/>
  </sheetPr>
  <dimension ref="A1:R16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الصيانة والأتمتة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4" customHeight="1">
      <c r="B4" s="78" t="inlineStr">
        <is>
          <t>جاهزية الأصول</t>
        </is>
      </c>
      <c r="C4" s="79" t="inlineStr">
        <is>
          <t>📊 مؤشر جاهزية الأصول العام</t>
        </is>
      </c>
      <c r="D4" s="80" t="n"/>
      <c r="E4" s="80" t="n"/>
      <c r="F4" s="81" t="inlineStr">
        <is>
          <t>🔷 أساسي</t>
        </is>
      </c>
      <c r="G4" s="82" t="n">
        <v>0.27</v>
      </c>
      <c r="H4" s="80" t="n"/>
      <c r="I4" s="80" t="n"/>
      <c r="J4" s="80" t="n"/>
      <c r="K4" s="80" t="n"/>
      <c r="L4" s="80" t="n"/>
      <c r="M4" s="80" t="n"/>
      <c r="N4" s="83">
        <f>IFERROR(SUMIFS('قاعدة المؤشرات'!$J:$J,'قاعدة المؤشرات'!$B:$B,"الصيانة والأتمتة",'قاعدة المؤشرات'!$L:$L,"جاهزية الأصول")/SUMIFS('قاعدة المؤشرات'!$K:$K,'قاعدة المؤشرات'!$B:$B,"الصيانة والأتمتة",'قاعدة المؤشرات'!$L:$L,"جاهزية الأصول"),"")</f>
        <v/>
      </c>
      <c r="O4" s="84">
        <f>IF($N4="","⏳ بانتظار هدف",IF($N4&gt;=1,"✅ محقق",IF($N4&gt;=0.85,"🟡 قريب","🔴 تحت الهدف")))</f>
        <v/>
      </c>
      <c r="P4" s="80" t="n"/>
      <c r="Q4" s="80" t="n"/>
      <c r="R4" s="80" t="n"/>
    </row>
    <row r="5" outlineLevel="1" ht="26" customHeight="1">
      <c r="A5" s="20" t="n">
        <v>1</v>
      </c>
      <c r="B5" s="21" t="inlineStr">
        <is>
          <t>جاهزية الأصول</t>
        </is>
      </c>
      <c r="C5" s="21" t="inlineStr">
        <is>
          <t>نسبة الجاهزية الفنية للأصول والمعدات (Availability)</t>
        </is>
      </c>
      <c r="D5" s="55" t="inlineStr">
        <is>
          <t>%</t>
        </is>
      </c>
      <c r="E5" s="55" t="inlineStr">
        <is>
          <t>↑</t>
        </is>
      </c>
      <c r="F5" s="15" t="inlineStr">
        <is>
          <t>🔴 رئيسي</t>
        </is>
      </c>
      <c r="G5" s="64" t="n">
        <v>0.15</v>
      </c>
      <c r="H5" s="64" t="n">
        <v>0.98</v>
      </c>
      <c r="I5" s="22" t="inlineStr">
        <is>
          <t>≥ 98%</t>
        </is>
      </c>
      <c r="J5" s="85" t="inlineStr">
        <is>
          <t>الاستدامة</t>
        </is>
      </c>
      <c r="K5" s="11" t="inlineStr">
        <is>
          <t>جودة التشغيل</t>
        </is>
      </c>
      <c r="L5" s="15" t="inlineStr">
        <is>
          <t>العمليات الداخلية</t>
        </is>
      </c>
      <c r="M5" s="65" t="n">
        <v>0.848</v>
      </c>
      <c r="N5" s="10">
        <f>IF($H5="","",IF($M5="","",MIN(1,IF($H5=0,IF($M5&lt;=0,1,0),IF($E5="↓",IFERROR($H5/$M5,0),IFERROR($M5/$H5,0))))))</f>
        <v/>
      </c>
      <c r="O5" s="20">
        <f>IF($N5="","⏳ بانتظار هدف",IF($N5&gt;=1.0,"✅ محقق",IF($N5&gt;=0.97,"🟡 قريب","🔴 تحت الهدف")))</f>
        <v/>
      </c>
      <c r="P5" s="86" t="inlineStr">
        <is>
          <t>إجمالي ساعات جاهزية الأصول والمعدات الحرجة ÷ إجمالي ساعات التشغيل المخططة لها × 100</t>
        </is>
      </c>
      <c r="Q5" s="86" t="inlineStr">
        <is>
          <t>نظام إدارة الصيانة (CMMS) وأنظمة الأتمتة (SCADA)</t>
        </is>
      </c>
      <c r="R5" s="15" t="inlineStr">
        <is>
          <t>شهري</t>
        </is>
      </c>
    </row>
    <row r="6" outlineLevel="1" ht="26" customHeight="1">
      <c r="A6" s="20" t="n">
        <v>2</v>
      </c>
      <c r="B6" s="21" t="inlineStr">
        <is>
          <t>جاهزية الأصول</t>
        </is>
      </c>
      <c r="C6" s="21" t="inlineStr">
        <is>
          <t>نسبة تنفيذ الصيانة الوقائية في موعدها (PM)</t>
        </is>
      </c>
      <c r="D6" s="55" t="inlineStr">
        <is>
          <t>%</t>
        </is>
      </c>
      <c r="E6" s="55" t="inlineStr">
        <is>
          <t>↑</t>
        </is>
      </c>
      <c r="F6" s="15" t="inlineStr">
        <is>
          <t>🟠 مهم</t>
        </is>
      </c>
      <c r="G6" s="64" t="n">
        <v>0.12</v>
      </c>
      <c r="H6" s="64" t="n">
        <v>0.95</v>
      </c>
      <c r="I6" s="22" t="inlineStr">
        <is>
          <t>≥ 95%</t>
        </is>
      </c>
      <c r="J6" s="85" t="inlineStr">
        <is>
          <t>الاستدامة</t>
        </is>
      </c>
      <c r="K6" s="11" t="inlineStr">
        <is>
          <t>جودة التشغيل</t>
        </is>
      </c>
      <c r="L6" s="15" t="inlineStr">
        <is>
          <t>العمليات الداخلية</t>
        </is>
      </c>
      <c r="M6" s="65" t="n">
        <v>0.751</v>
      </c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محقق",IF($N6&gt;=0.85,"🟡 قريب","🔴 تحت الهدف")))</f>
        <v/>
      </c>
      <c r="P6" s="86" t="inlineStr">
        <is>
          <t>عدد أوامر الصيانة الوقائية المنفذة ضمن الموعد المحدد ÷ إجمالي أوامر الصيانة الوقائية المستحقة × 100</t>
        </is>
      </c>
      <c r="Q6" s="86" t="inlineStr">
        <is>
          <t>نظام إدارة الصيانة (CMMS) وأنظمة الأتمتة (SCADA)</t>
        </is>
      </c>
      <c r="R6" s="15" t="inlineStr">
        <is>
          <t>شهري</t>
        </is>
      </c>
    </row>
    <row r="7" ht="24" customHeight="1">
      <c r="B7" s="78" t="inlineStr">
        <is>
          <t>الاستجابة والإصلاح</t>
        </is>
      </c>
      <c r="C7" s="79" t="inlineStr">
        <is>
          <t>📊 مؤشر الاستجابة والإصلاح العام</t>
        </is>
      </c>
      <c r="D7" s="80" t="n"/>
      <c r="E7" s="80" t="n"/>
      <c r="F7" s="81" t="inlineStr">
        <is>
          <t>🔷 أساسي</t>
        </is>
      </c>
      <c r="G7" s="82" t="n">
        <v>0.36</v>
      </c>
      <c r="H7" s="80" t="n"/>
      <c r="I7" s="80" t="n"/>
      <c r="J7" s="80" t="n"/>
      <c r="K7" s="80" t="n"/>
      <c r="L7" s="80" t="n"/>
      <c r="M7" s="80" t="n"/>
      <c r="N7" s="83">
        <f>IFERROR(SUMIFS('قاعدة المؤشرات'!$J:$J,'قاعدة المؤشرات'!$B:$B,"الصيانة والأتمتة",'قاعدة المؤشرات'!$L:$L,"الاستجابة والإصلاح")/SUMIFS('قاعدة المؤشرات'!$K:$K,'قاعدة المؤشرات'!$B:$B,"الصيانة والأتمتة",'قاعدة المؤشرات'!$L:$L,"الاستجابة والإصلاح"),"")</f>
        <v/>
      </c>
      <c r="O7" s="84">
        <f>IF($N7="","⏳ بانتظار هدف",IF($N7&gt;=1,"✅ محقق",IF($N7&gt;=0.85,"🟡 قريب","🔴 تحت الهدف")))</f>
        <v/>
      </c>
      <c r="P7" s="80" t="n"/>
      <c r="Q7" s="80" t="n"/>
      <c r="R7" s="80" t="n"/>
    </row>
    <row r="8" outlineLevel="1" ht="26" customHeight="1">
      <c r="A8" s="20" t="n">
        <v>3</v>
      </c>
      <c r="B8" s="21" t="inlineStr">
        <is>
          <t>الاستجابة والإصلاح</t>
        </is>
      </c>
      <c r="C8" s="21" t="inlineStr">
        <is>
          <t>نسبة إغلاق بلاغات الصيانة ضمن اتفاقية الخدمة (SLA)</t>
        </is>
      </c>
      <c r="D8" s="55" t="inlineStr">
        <is>
          <t>%</t>
        </is>
      </c>
      <c r="E8" s="55" t="inlineStr">
        <is>
          <t>↑</t>
        </is>
      </c>
      <c r="F8" s="15" t="inlineStr">
        <is>
          <t>🟠 مهم</t>
        </is>
      </c>
      <c r="G8" s="64" t="n">
        <v>0.1</v>
      </c>
      <c r="H8" s="64" t="n">
        <v>0.95</v>
      </c>
      <c r="I8" s="22" t="inlineStr">
        <is>
          <t>≥ 95%</t>
        </is>
      </c>
      <c r="J8" s="85" t="inlineStr">
        <is>
          <t>الاستدامة</t>
        </is>
      </c>
      <c r="K8" s="11" t="inlineStr">
        <is>
          <t>جودة التشغيل</t>
        </is>
      </c>
      <c r="L8" s="15" t="inlineStr">
        <is>
          <t>العمليات الداخلية</t>
        </is>
      </c>
      <c r="M8" s="65" t="n">
        <v>0.744</v>
      </c>
      <c r="N8" s="10">
        <f>IF($H8="","",IF($M8="","",MIN(1,IF($H8=0,IF($M8&lt;=0,1,0),IF($E8="↓",IFERROR($H8/$M8,0),IFERROR($M8/$H8,0))))))</f>
        <v/>
      </c>
      <c r="O8" s="20">
        <f>IF($N8="","⏳ بانتظار هدف",IF($N8&gt;=1.0,"✅ محقق",IF($N8&gt;=0.85,"🟡 قريب","🔴 تحت الهدف")))</f>
        <v/>
      </c>
      <c r="P8" s="86" t="inlineStr">
        <is>
          <t>عدد بلاغات الصيانة المغلقة ضمن الزمن المحدد حسب الأولوية ÷ إجمالي البلاغات المغلقة × 100</t>
        </is>
      </c>
      <c r="Q8" s="86" t="inlineStr">
        <is>
          <t>نظام إدارة الصيانة (CMMS) وأنظمة الأتمتة (SCADA)</t>
        </is>
      </c>
      <c r="R8" s="15" t="inlineStr">
        <is>
          <t>شهري</t>
        </is>
      </c>
    </row>
    <row r="9" outlineLevel="1" ht="26" customHeight="1">
      <c r="A9" s="20" t="n">
        <v>4</v>
      </c>
      <c r="B9" s="21" t="inlineStr">
        <is>
          <t>الاستجابة والإصلاح</t>
        </is>
      </c>
      <c r="C9" s="21" t="inlineStr">
        <is>
          <t>متوسط زمن الاستجابة للبلاغات الطارئة</t>
        </is>
      </c>
      <c r="D9" s="55" t="inlineStr">
        <is>
          <t>دقيقة</t>
        </is>
      </c>
      <c r="E9" s="55" t="inlineStr">
        <is>
          <t>↓</t>
        </is>
      </c>
      <c r="F9" s="15" t="inlineStr">
        <is>
          <t>🟠 مهم</t>
        </is>
      </c>
      <c r="G9" s="64" t="n">
        <v>0.08</v>
      </c>
      <c r="H9" s="67" t="n">
        <v>30</v>
      </c>
      <c r="I9" s="22" t="inlineStr">
        <is>
          <t>≤ 30 دقيقة</t>
        </is>
      </c>
      <c r="J9" s="85" t="inlineStr">
        <is>
          <t>الاستدامة</t>
        </is>
      </c>
      <c r="K9" s="11" t="inlineStr">
        <is>
          <t>جودة التشغيل</t>
        </is>
      </c>
      <c r="L9" s="15" t="inlineStr">
        <is>
          <t>العمليات الداخلية</t>
        </is>
      </c>
      <c r="M9" s="68" t="n">
        <v>34.7</v>
      </c>
      <c r="N9" s="10">
        <f>IF($H9="","",IF($M9="","",MIN(1,IF($H9=0,IF($M9&lt;=0,1,0),IF($E9="↓",IFERROR($H9/$M9,0),IFERROR($M9/$H9,0))))))</f>
        <v/>
      </c>
      <c r="O9" s="20">
        <f>IF($N9="","⏳ بانتظار هدف",IF($N9&gt;=1.0,"✅ محقق",IF($N9&gt;=0.85,"🟡 قريب","🔴 تحت الهدف")))</f>
        <v/>
      </c>
      <c r="P9" s="86" t="inlineStr">
        <is>
          <t>مجموع الدقائق من تسجيل البلاغ الطارئ حتى بدء المعالجة الفعلية ÷ إجمالي البلاغات الطارئة</t>
        </is>
      </c>
      <c r="Q9" s="86" t="inlineStr">
        <is>
          <t>نظام إدارة الصيانة (CMMS) وأنظمة الأتمتة (SCADA)</t>
        </is>
      </c>
      <c r="R9" s="15" t="inlineStr">
        <is>
          <t>شهري</t>
        </is>
      </c>
    </row>
    <row r="10" outlineLevel="1" ht="26" customHeight="1">
      <c r="A10" s="20" t="n">
        <v>5</v>
      </c>
      <c r="B10" s="21" t="inlineStr">
        <is>
          <t>الاستجابة والإصلاح</t>
        </is>
      </c>
      <c r="C10" s="21" t="inlineStr">
        <is>
          <t>متوسط زمن إصلاح الأعطال (MTTR)</t>
        </is>
      </c>
      <c r="D10" s="55" t="inlineStr">
        <is>
          <t>ساعة</t>
        </is>
      </c>
      <c r="E10" s="55" t="inlineStr">
        <is>
          <t>↓</t>
        </is>
      </c>
      <c r="F10" s="15" t="inlineStr">
        <is>
          <t>🟠 مهم</t>
        </is>
      </c>
      <c r="G10" s="64" t="n">
        <v>0.08</v>
      </c>
      <c r="H10" s="67" t="n">
        <v>4</v>
      </c>
      <c r="I10" s="22" t="inlineStr">
        <is>
          <t>≤ 4 ساعات</t>
        </is>
      </c>
      <c r="J10" s="85" t="inlineStr">
        <is>
          <t>الاستدامة</t>
        </is>
      </c>
      <c r="K10" s="11" t="inlineStr">
        <is>
          <t>جودة التشغيل</t>
        </is>
      </c>
      <c r="L10" s="15" t="inlineStr">
        <is>
          <t>العمليات الداخلية</t>
        </is>
      </c>
      <c r="M10" s="68" t="n">
        <v>3.603</v>
      </c>
      <c r="N10" s="10">
        <f>IF($H10="","",IF($M10="","",MIN(1,IF($H10=0,IF($M10&lt;=0,1,0),IF($E10="↓",IFERROR($H10/$M10,0),IFERROR($M10/$H10,0))))))</f>
        <v/>
      </c>
      <c r="O10" s="20">
        <f>IF($N10="","⏳ بانتظار هدف",IF($N10&gt;=1.0,"✅ محقق",IF($N10&gt;=0.85,"🟡 قريب","🔴 تحت الهدف")))</f>
        <v/>
      </c>
      <c r="P10" s="86" t="inlineStr">
        <is>
          <t>إجمالي ساعات الإصلاح الفعلية للأعطال المغلقة ÷ إجمالي عدد الأعطال المغلقة</t>
        </is>
      </c>
      <c r="Q10" s="86" t="inlineStr">
        <is>
          <t>نظام إدارة الصيانة (CMMS) وأنظمة الأتمتة (SCADA)</t>
        </is>
      </c>
      <c r="R10" s="15" t="inlineStr">
        <is>
          <t>شهري</t>
        </is>
      </c>
    </row>
    <row r="11" outlineLevel="1" ht="26" customHeight="1">
      <c r="A11" s="20" t="n">
        <v>6</v>
      </c>
      <c r="B11" s="21" t="inlineStr">
        <is>
          <t>الاستجابة والإصلاح</t>
        </is>
      </c>
      <c r="C11" s="21" t="inlineStr">
        <is>
          <t>معدل تكرار الأعطال</t>
        </is>
      </c>
      <c r="D11" s="55" t="inlineStr">
        <is>
          <t>%</t>
        </is>
      </c>
      <c r="E11" s="55" t="inlineStr">
        <is>
          <t>↓</t>
        </is>
      </c>
      <c r="F11" s="15" t="inlineStr">
        <is>
          <t>🟠 مهم</t>
        </is>
      </c>
      <c r="G11" s="64" t="n">
        <v>0.1</v>
      </c>
      <c r="H11" s="64" t="n">
        <v>0.05</v>
      </c>
      <c r="I11" s="22" t="inlineStr">
        <is>
          <t>≤ 5%</t>
        </is>
      </c>
      <c r="J11" s="85" t="inlineStr">
        <is>
          <t>الاستدامة</t>
        </is>
      </c>
      <c r="K11" s="11" t="inlineStr">
        <is>
          <t>جودة التشغيل</t>
        </is>
      </c>
      <c r="L11" s="15" t="inlineStr">
        <is>
          <t>العمليات الداخلية</t>
        </is>
      </c>
      <c r="M11" s="65" t="n">
        <v>0.045</v>
      </c>
      <c r="N11" s="10">
        <f>IF($H11="","",IF($M11="","",MIN(1,IF($H11=0,IF($M11&lt;=0,1,0),IF($E11="↓",IFERROR($H11/$M11,0),IFERROR($M11/$H11,0))))))</f>
        <v/>
      </c>
      <c r="O11" s="20">
        <f>IF($N11="","⏳ بانتظار هدف",IF($N11&gt;=1.0,"✅ محقق",IF($N11&gt;=0.85,"🟡 قريب","🔴 تحت الهدف")))</f>
        <v/>
      </c>
      <c r="P11" s="86" t="inlineStr">
        <is>
          <t>عدد الأعطال المتكررة لنفس الأصل وبنفس السبب ÷ إجمالي عدد الأعطال × 100</t>
        </is>
      </c>
      <c r="Q11" s="86" t="inlineStr">
        <is>
          <t>نظام إدارة الصيانة (CMMS) وأنظمة الأتمتة (SCADA)</t>
        </is>
      </c>
      <c r="R11" s="15" t="inlineStr">
        <is>
          <t>شهري</t>
        </is>
      </c>
    </row>
    <row r="12" ht="26" customHeight="1">
      <c r="A12" s="20" t="n">
        <v>7</v>
      </c>
      <c r="B12" s="21" t="inlineStr">
        <is>
          <t>استمرارية التشغيل</t>
        </is>
      </c>
      <c r="C12" s="21" t="inlineStr">
        <is>
          <t>نسبة استمرارية تشغيل المحطات دون توقف فني</t>
        </is>
      </c>
      <c r="D12" s="55" t="inlineStr">
        <is>
          <t>%</t>
        </is>
      </c>
      <c r="E12" s="55" t="inlineStr">
        <is>
          <t>↑</t>
        </is>
      </c>
      <c r="F12" s="15" t="inlineStr">
        <is>
          <t>🔴 رئيسي</t>
        </is>
      </c>
      <c r="G12" s="64" t="n">
        <v>0.15</v>
      </c>
      <c r="H12" s="64" t="n">
        <v>0.99</v>
      </c>
      <c r="I12" s="22" t="inlineStr">
        <is>
          <t>≥ 99%</t>
        </is>
      </c>
      <c r="J12" s="85" t="inlineStr">
        <is>
          <t>الاستدامة</t>
        </is>
      </c>
      <c r="K12" s="11" t="inlineStr">
        <is>
          <t>جودة التشغيل</t>
        </is>
      </c>
      <c r="L12" s="15" t="inlineStr">
        <is>
          <t>العمليات الداخلية</t>
        </is>
      </c>
      <c r="M12" s="65" t="n">
        <v>0.9320000000000001</v>
      </c>
      <c r="N12" s="10">
        <f>IF($H12="","",IF($M12="","",MIN(1,IF($H12=0,IF($M12&lt;=0,1,0),IF($E12="↓",IFERROR($H12/$M12,0),IFERROR($M12/$H12,0))))))</f>
        <v/>
      </c>
      <c r="O12" s="20">
        <f>IF($N12="","⏳ بانتظار هدف",IF($N12&gt;=1.0,"✅ محقق",IF($N12&gt;=0.85,"🟡 قريب","🔴 تحت الهدف")))</f>
        <v/>
      </c>
      <c r="P12" s="86" t="inlineStr">
        <is>
          <t>عدد المحطات دون توقف كلي بسبب عطل فني ضمن مسؤولية الصيانة ÷ إجمالي المحطات العاملة × 100</t>
        </is>
      </c>
      <c r="Q12" s="86" t="inlineStr">
        <is>
          <t>نظام إدارة الصيانة (CMMS) وأنظمة الأتمتة (SCADA)</t>
        </is>
      </c>
      <c r="R12" s="15" t="inlineStr">
        <is>
          <t>شهري</t>
        </is>
      </c>
    </row>
    <row r="13" ht="24" customHeight="1">
      <c r="B13" s="78" t="inlineStr">
        <is>
          <t>موثوقية الأتمتة</t>
        </is>
      </c>
      <c r="C13" s="79" t="inlineStr">
        <is>
          <t>📊 مؤشر موثوقية الأتمتة العام</t>
        </is>
      </c>
      <c r="D13" s="80" t="n"/>
      <c r="E13" s="80" t="n"/>
      <c r="F13" s="81" t="inlineStr">
        <is>
          <t>🔷 أساسي</t>
        </is>
      </c>
      <c r="G13" s="82" t="n">
        <v>0.18</v>
      </c>
      <c r="H13" s="80" t="n"/>
      <c r="I13" s="80" t="n"/>
      <c r="J13" s="80" t="n"/>
      <c r="K13" s="80" t="n"/>
      <c r="L13" s="80" t="n"/>
      <c r="M13" s="80" t="n"/>
      <c r="N13" s="83">
        <f>IFERROR(SUMIFS('قاعدة المؤشرات'!$J:$J,'قاعدة المؤشرات'!$B:$B,"الصيانة والأتمتة",'قاعدة المؤشرات'!$L:$L,"موثوقية الأتمتة")/SUMIFS('قاعدة المؤشرات'!$K:$K,'قاعدة المؤشرات'!$B:$B,"الصيانة والأتمتة",'قاعدة المؤشرات'!$L:$L,"موثوقية الأتمتة"),"")</f>
        <v/>
      </c>
      <c r="O13" s="84">
        <f>IF($N13="","⏳ بانتظار هدف",IF($N13&gt;=1,"✅ محقق",IF($N13&gt;=0.85,"🟡 قريب","🔴 تحت الهدف")))</f>
        <v/>
      </c>
      <c r="P13" s="80" t="n"/>
      <c r="Q13" s="80" t="n"/>
      <c r="R13" s="80" t="n"/>
    </row>
    <row r="14" outlineLevel="1" ht="26" customHeight="1">
      <c r="A14" s="20" t="n">
        <v>8</v>
      </c>
      <c r="B14" s="21" t="inlineStr">
        <is>
          <t>موثوقية الأتمتة</t>
        </is>
      </c>
      <c r="C14" s="21" t="inlineStr">
        <is>
          <t>نسبة التشغيل السليم لأنظمة الأتمتة (Uptime)</t>
        </is>
      </c>
      <c r="D14" s="55" t="inlineStr">
        <is>
          <t>%</t>
        </is>
      </c>
      <c r="E14" s="55" t="inlineStr">
        <is>
          <t>↑</t>
        </is>
      </c>
      <c r="F14" s="15" t="inlineStr">
        <is>
          <t>🟠 مهم</t>
        </is>
      </c>
      <c r="G14" s="64" t="n">
        <v>0.1</v>
      </c>
      <c r="H14" s="64" t="n">
        <v>0.99</v>
      </c>
      <c r="I14" s="22" t="inlineStr">
        <is>
          <t>≥ 99%</t>
        </is>
      </c>
      <c r="J14" s="85" t="inlineStr">
        <is>
          <t>الابتكار</t>
        </is>
      </c>
      <c r="K14" s="11" t="inlineStr">
        <is>
          <t>التحول التقني</t>
        </is>
      </c>
      <c r="L14" s="15" t="inlineStr">
        <is>
          <t>التعلّم والنمو</t>
        </is>
      </c>
      <c r="M14" s="65" t="n">
        <v>0.715</v>
      </c>
      <c r="N14" s="10">
        <f>IF($H14="","",IF($M14="","",MIN(1,IF($H14=0,IF($M14&lt;=0,1,0),IF($E14="↓",IFERROR($H14/$M14,0),IFERROR($M14/$H14,0))))))</f>
        <v/>
      </c>
      <c r="O14" s="20">
        <f>IF($N14="","⏳ بانتظار هدف",IF($N14&gt;=1.0,"✅ محقق",IF($N14&gt;=0.97,"🟡 قريب","🔴 تحت الهدف")))</f>
        <v/>
      </c>
      <c r="P14" s="86" t="inlineStr">
        <is>
          <t>عدد حالات الأتمتة العاملة والمتصلة بقراءات صحيحة ومحدثة ÷ إجمالي حالات الأتمتة المطلوبة × 100</t>
        </is>
      </c>
      <c r="Q14" s="86" t="inlineStr">
        <is>
          <t>نظام إدارة الصيانة (CMMS) وأنظمة الأتمتة (SCADA)</t>
        </is>
      </c>
      <c r="R14" s="15" t="inlineStr">
        <is>
          <t>شهري</t>
        </is>
      </c>
    </row>
    <row r="15" outlineLevel="1" ht="26" customHeight="1">
      <c r="A15" s="20" t="n">
        <v>9</v>
      </c>
      <c r="B15" s="21" t="inlineStr">
        <is>
          <t>موثوقية الأتمتة</t>
        </is>
      </c>
      <c r="C15" s="21" t="inlineStr">
        <is>
          <t>نسبة استعادة أنظمة الأتمتة ضمن الزمن المحدد</t>
        </is>
      </c>
      <c r="D15" s="55" t="inlineStr">
        <is>
          <t>%</t>
        </is>
      </c>
      <c r="E15" s="55" t="inlineStr">
        <is>
          <t>↑</t>
        </is>
      </c>
      <c r="F15" s="15" t="inlineStr">
        <is>
          <t>🟠 مهم</t>
        </is>
      </c>
      <c r="G15" s="64" t="n">
        <v>0.08</v>
      </c>
      <c r="H15" s="64" t="n">
        <v>0.95</v>
      </c>
      <c r="I15" s="22" t="inlineStr">
        <is>
          <t>≥ 95%</t>
        </is>
      </c>
      <c r="J15" s="85" t="inlineStr">
        <is>
          <t>الابتكار</t>
        </is>
      </c>
      <c r="K15" s="11" t="inlineStr">
        <is>
          <t>التحول التقني</t>
        </is>
      </c>
      <c r="L15" s="15" t="inlineStr">
        <is>
          <t>التعلّم والنمو</t>
        </is>
      </c>
      <c r="M15" s="65" t="n">
        <v>0.9419999999999999</v>
      </c>
      <c r="N15" s="10">
        <f>IF($H15="","",IF($M15="","",MIN(1,IF($H15=0,IF($M15&lt;=0,1,0),IF($E15="↓",IFERROR($H15/$M15,0),IFERROR($M15/$H15,0))))))</f>
        <v/>
      </c>
      <c r="O15" s="20">
        <f>IF($N15="","⏳ بانتظار هدف",IF($N15&gt;=1.0,"✅ محقق",IF($N15&gt;=0.85,"🟡 قريب","🔴 تحت الهدف")))</f>
        <v/>
      </c>
      <c r="P15" s="86" t="inlineStr">
        <is>
          <t>عدد أعطال الأتمتة المستعادة ضمن الزمن المعتمد حسب الأولوية ÷ إجمالي أعطال الأتمتة المغلقة × 100</t>
        </is>
      </c>
      <c r="Q15" s="86" t="inlineStr">
        <is>
          <t>نظام إدارة الصيانة (CMMS) وأنظمة الأتمتة (SCADA)</t>
        </is>
      </c>
      <c r="R15" s="15" t="inlineStr">
        <is>
          <t>شهري</t>
        </is>
      </c>
    </row>
    <row r="16" ht="26" customHeight="1">
      <c r="A16" s="20" t="n">
        <v>10</v>
      </c>
      <c r="B16" s="21" t="inlineStr">
        <is>
          <t>كفاءة التكاليف</t>
        </is>
      </c>
      <c r="C16" s="21" t="inlineStr">
        <is>
          <t>كفاءة تكاليف الصيانة (الالتزام بالميزانية)</t>
        </is>
      </c>
      <c r="D16" s="55" t="inlineStr">
        <is>
          <t>%</t>
        </is>
      </c>
      <c r="E16" s="55" t="inlineStr">
        <is>
          <t>↑</t>
        </is>
      </c>
      <c r="F16" s="15" t="inlineStr">
        <is>
          <t>🟠 مهم</t>
        </is>
      </c>
      <c r="G16" s="64" t="n">
        <v>0.04</v>
      </c>
      <c r="H16" s="64" t="n">
        <v>0.95</v>
      </c>
      <c r="I16" s="22" t="inlineStr">
        <is>
          <t>≥ 95%</t>
        </is>
      </c>
      <c r="J16" s="85" t="inlineStr">
        <is>
          <t>الاستدامة</t>
        </is>
      </c>
      <c r="K16" s="11" t="inlineStr">
        <is>
          <t>جودة التشغيل</t>
        </is>
      </c>
      <c r="L16" s="15" t="inlineStr">
        <is>
          <t>العمليات الداخلية</t>
        </is>
      </c>
      <c r="M16" s="65" t="n">
        <v>0.6919999999999999</v>
      </c>
      <c r="N16" s="10">
        <f>IF($H16="","",IF($M16="","",MIN(1,IF($H16=0,IF($M16&lt;=0,1,0),IF($E16="↓",IFERROR($H16/$M16,0),IFERROR($M16/$H16,0))))))</f>
        <v/>
      </c>
      <c r="O16" s="20">
        <f>IF($N16="","⏳ بانتظار هدف",IF($N16&gt;=1.0,"✅ محقق",IF($N16&gt;=0.85,"🟡 قريب","🔴 تحت الهدف")))</f>
        <v/>
      </c>
      <c r="P16" s="86" t="inlineStr">
        <is>
          <t>(1 − |الفرق بين المصروف الفعلي والميزانية| ÷ الميزانية المعتمدة) × 100</t>
        </is>
      </c>
      <c r="Q16" s="86" t="inlineStr">
        <is>
          <t>نظام إدارة الصيانة (CMMS) وأنظمة الأتمتة (SCADA)</t>
        </is>
      </c>
      <c r="R16" s="15" t="inlineStr">
        <is>
          <t>شهري</t>
        </is>
      </c>
    </row>
  </sheetData>
  <autoFilter ref="A3:R16"/>
  <mergeCells count="2">
    <mergeCell ref="A2:R2"/>
    <mergeCell ref="A1:R1"/>
  </mergeCells>
  <dataValidations count="1">
    <dataValidation sqref="M5 M6 M8 M9 M10 M11 M12 M14 M15 M16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1"/>
    <pageSetUpPr/>
  </sheetPr>
  <dimension ref="A1:R2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التقنية الرقمية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4" customHeight="1">
      <c r="B4" s="78" t="inlineStr">
        <is>
          <t>توفّر واستقرار الأنظمة</t>
        </is>
      </c>
      <c r="C4" s="79" t="inlineStr">
        <is>
          <t>📊 مؤشر توفّر واستقرار الأنظمة العام</t>
        </is>
      </c>
      <c r="D4" s="80" t="n"/>
      <c r="E4" s="80" t="n"/>
      <c r="F4" s="81" t="inlineStr">
        <is>
          <t>🔷 أساسي</t>
        </is>
      </c>
      <c r="G4" s="82" t="n">
        <v>0.35</v>
      </c>
      <c r="H4" s="80" t="n"/>
      <c r="I4" s="80" t="n"/>
      <c r="J4" s="80" t="n"/>
      <c r="K4" s="80" t="n"/>
      <c r="L4" s="80" t="n"/>
      <c r="M4" s="80" t="n"/>
      <c r="N4" s="83">
        <f>IFERROR(SUMIFS('قاعدة المؤشرات'!$J:$J,'قاعدة المؤشرات'!$B:$B,"التقنية الرقمية",'قاعدة المؤشرات'!$L:$L,"توفّر واستقرار الأنظمة")/SUMIFS('قاعدة المؤشرات'!$K:$K,'قاعدة المؤشرات'!$B:$B,"التقنية الرقمية",'قاعدة المؤشرات'!$L:$L,"توفّر واستقرار الأنظمة"),"")</f>
        <v/>
      </c>
      <c r="O4" s="84">
        <f>IF($N4="","⏳ بانتظار هدف",IF($N4&gt;=1,"✅ محقق",IF($N4&gt;=0.85,"🟡 قريب","🔴 تحت الهدف")))</f>
        <v/>
      </c>
      <c r="P4" s="80" t="n"/>
      <c r="Q4" s="80" t="n"/>
      <c r="R4" s="80" t="n"/>
    </row>
    <row r="5" outlineLevel="1" ht="26" customHeight="1">
      <c r="A5" s="20" t="n">
        <v>1</v>
      </c>
      <c r="B5" s="21" t="inlineStr">
        <is>
          <t>توفّر واستقرار الأنظمة</t>
        </is>
      </c>
      <c r="C5" s="21" t="inlineStr">
        <is>
          <t>نسبة توفر الأنظمة والخدمات التقنية المركزية</t>
        </is>
      </c>
      <c r="D5" s="55" t="inlineStr">
        <is>
          <t>%</t>
        </is>
      </c>
      <c r="E5" s="55" t="inlineStr">
        <is>
          <t>↑</t>
        </is>
      </c>
      <c r="F5" s="15" t="inlineStr">
        <is>
          <t>🟠 مهم</t>
        </is>
      </c>
      <c r="G5" s="64" t="n">
        <v>0.13</v>
      </c>
      <c r="H5" s="64" t="n">
        <v>0.99</v>
      </c>
      <c r="I5" s="22" t="inlineStr">
        <is>
          <t>≥ 99%</t>
        </is>
      </c>
      <c r="J5" s="85" t="inlineStr">
        <is>
          <t>الابتكار</t>
        </is>
      </c>
      <c r="K5" s="11" t="inlineStr">
        <is>
          <t>التحول التقني</t>
        </is>
      </c>
      <c r="L5" s="15" t="inlineStr">
        <is>
          <t>التعلّم والنمو</t>
        </is>
      </c>
      <c r="M5" s="65" t="n">
        <v>0.79</v>
      </c>
      <c r="N5" s="10">
        <f>IF($H5="","",IF($M5="","",MIN(1,IF($H5=0,IF($M5&lt;=0,1,0),IF($E5="↓",IFERROR($H5/$M5,0),IFERROR($M5/$H5,0))))))</f>
        <v/>
      </c>
      <c r="O5" s="20">
        <f>IF($N5="","⏳ بانتظار هدف",IF($N5&gt;=1.0,"✅ محقق",IF($N5&gt;=0.85,"🟡 قريب","🔴 تحت الهدف")))</f>
        <v/>
      </c>
      <c r="P5" s="86" t="inlineStr">
        <is>
          <t>يقيس استمرارية عمل الأنظمة والخدمات التقنية المركزية التي تخدم الشركة ككل، مثل ERP، البريد الإلكتروني، الشبكة المركزية، السيرفرات، قواعد البيانات، الإنترنت الرئيسي، وأنظمة المركز الرئيسي.</t>
        </is>
      </c>
      <c r="Q5" s="86" t="inlineStr">
        <is>
          <t>أنظمة تقنية المعلومات (ERP/ITSM/SIEM)</t>
        </is>
      </c>
      <c r="R5" s="15" t="inlineStr">
        <is>
          <t>شهري</t>
        </is>
      </c>
    </row>
    <row r="6" outlineLevel="1" ht="26" customHeight="1">
      <c r="A6" s="20" t="n">
        <v>2</v>
      </c>
      <c r="B6" s="21" t="inlineStr">
        <is>
          <t>توفّر واستقرار الأنظمة</t>
        </is>
      </c>
      <c r="C6" s="21" t="inlineStr">
        <is>
          <t>نسبة معالجة الأعطال وطلبات الدعم الفني ضمن المدة المستهدفة SLA</t>
        </is>
      </c>
      <c r="D6" s="55" t="inlineStr">
        <is>
          <t>%</t>
        </is>
      </c>
      <c r="E6" s="55" t="inlineStr">
        <is>
          <t>↑</t>
        </is>
      </c>
      <c r="F6" s="15" t="inlineStr">
        <is>
          <t>🟠 مهم</t>
        </is>
      </c>
      <c r="G6" s="64" t="n">
        <v>0.12</v>
      </c>
      <c r="H6" s="64" t="n">
        <v>0.95</v>
      </c>
      <c r="I6" s="22" t="inlineStr">
        <is>
          <t>≥ 95%</t>
        </is>
      </c>
      <c r="J6" s="85" t="inlineStr">
        <is>
          <t>الابتكار</t>
        </is>
      </c>
      <c r="K6" s="11" t="inlineStr">
        <is>
          <t>التحول التقني</t>
        </is>
      </c>
      <c r="L6" s="15" t="inlineStr">
        <is>
          <t>العمليات الداخلية</t>
        </is>
      </c>
      <c r="M6" s="65" t="n">
        <v>0.74</v>
      </c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محقق",IF($N6&gt;=0.85,"🟡 قريب","🔴 تحت الهدف")))</f>
        <v/>
      </c>
      <c r="P6" s="86" t="inlineStr">
        <is>
          <t>يقيس كفاءة تقنية المعلومات في إغلاق بلاغات الأعطال وطلبات الدعم الفني ضمن المدد المعتمدة، حسب أولوية البلاغ وتأثيره على العمل.</t>
        </is>
      </c>
      <c r="Q6" s="86" t="inlineStr">
        <is>
          <t>أنظمة تقنية المعلومات (ERP/ITSM/SIEM)</t>
        </is>
      </c>
      <c r="R6" s="15" t="inlineStr">
        <is>
          <t>شهري</t>
        </is>
      </c>
    </row>
    <row r="7" outlineLevel="1" ht="26" customHeight="1">
      <c r="A7" s="20" t="n">
        <v>3</v>
      </c>
      <c r="B7" s="21" t="inlineStr">
        <is>
          <t>توفّر واستقرار الأنظمة</t>
        </is>
      </c>
      <c r="C7" s="21" t="inlineStr">
        <is>
          <t>نسبة استقرار التشغيل التقني للمحطات</t>
        </is>
      </c>
      <c r="D7" s="55" t="inlineStr">
        <is>
          <t>%</t>
        </is>
      </c>
      <c r="E7" s="55" t="inlineStr">
        <is>
          <t>↑</t>
        </is>
      </c>
      <c r="F7" s="15" t="inlineStr">
        <is>
          <t>🔴 رئيسي</t>
        </is>
      </c>
      <c r="G7" s="64" t="n">
        <v>0.1</v>
      </c>
      <c r="H7" s="64" t="n">
        <v>0.99</v>
      </c>
      <c r="I7" s="22" t="inlineStr">
        <is>
          <t>≥ 99%</t>
        </is>
      </c>
      <c r="J7" s="85" t="inlineStr">
        <is>
          <t>الابتكار</t>
        </is>
      </c>
      <c r="K7" s="11" t="inlineStr">
        <is>
          <t>التحول التقني</t>
        </is>
      </c>
      <c r="L7" s="15" t="inlineStr">
        <is>
          <t>العمليات الداخلية</t>
        </is>
      </c>
      <c r="M7" s="65" t="n">
        <v>0.8</v>
      </c>
      <c r="N7" s="10">
        <f>IF($H7="","",IF($M7="","",MIN(1,IF($H7=0,IF($M7&lt;=0,1,0),IF($E7="↓",IFERROR($H7/$M7,0),IFERROR($M7/$H7,0))))))</f>
        <v/>
      </c>
      <c r="O7" s="20">
        <f>IF($N7="","⏳ بانتظار هدف",IF($N7&gt;=1.0,"✅ محقق",IF($N7&gt;=0.85,"🟡 قريب","🔴 تحت الهدف")))</f>
        <v/>
      </c>
      <c r="P7" s="86" t="inlineStr">
        <is>
          <t>يقيس استقرار الأنظمة والخدمات التقنية في المحطات، والتأكد من عدم وجود أعطال مؤثرة على البيع، المخزون، الربط، التقارير، أو متابعة التشغيل، مثل POS وCashIn وATG والشبكة والإنترنت بالمحطة.</t>
        </is>
      </c>
      <c r="Q7" s="86" t="inlineStr">
        <is>
          <t>أنظمة تقنية المعلومات (ERP/ITSM/SIEM)</t>
        </is>
      </c>
      <c r="R7" s="15" t="inlineStr">
        <is>
          <t>شهري</t>
        </is>
      </c>
    </row>
    <row r="8" ht="24" customHeight="1">
      <c r="B8" s="78" t="inlineStr">
        <is>
          <t>المشاريع التقنية</t>
        </is>
      </c>
      <c r="C8" s="79" t="inlineStr">
        <is>
          <t>📊 مؤشر المشاريع التقنية العام</t>
        </is>
      </c>
      <c r="D8" s="80" t="n"/>
      <c r="E8" s="80" t="n"/>
      <c r="F8" s="81" t="inlineStr">
        <is>
          <t>🔷 أساسي</t>
        </is>
      </c>
      <c r="G8" s="82" t="n">
        <v>0.19</v>
      </c>
      <c r="H8" s="80" t="n"/>
      <c r="I8" s="80" t="n"/>
      <c r="J8" s="80" t="n"/>
      <c r="K8" s="80" t="n"/>
      <c r="L8" s="80" t="n"/>
      <c r="M8" s="80" t="n"/>
      <c r="N8" s="83">
        <f>IFERROR(SUMIFS('قاعدة المؤشرات'!$J:$J,'قاعدة المؤشرات'!$B:$B,"التقنية الرقمية",'قاعدة المؤشرات'!$L:$L,"المشاريع التقنية")/SUMIFS('قاعدة المؤشرات'!$K:$K,'قاعدة المؤشرات'!$B:$B,"التقنية الرقمية",'قاعدة المؤشرات'!$L:$L,"المشاريع التقنية"),"")</f>
        <v/>
      </c>
      <c r="O8" s="84">
        <f>IF($N8="","⏳ بانتظار هدف",IF($N8&gt;=1,"✅ محقق",IF($N8&gt;=0.85,"🟡 قريب","🔴 تحت الهدف")))</f>
        <v/>
      </c>
      <c r="P8" s="80" t="n"/>
      <c r="Q8" s="80" t="n"/>
      <c r="R8" s="80" t="n"/>
    </row>
    <row r="9" outlineLevel="1" ht="26" customHeight="1">
      <c r="A9" s="20" t="n">
        <v>4</v>
      </c>
      <c r="B9" s="21" t="inlineStr">
        <is>
          <t>المشاريع التقنية</t>
        </is>
      </c>
      <c r="C9" s="21" t="inlineStr">
        <is>
          <t>نسبة إنجاز مشاريع التحول الرقمي والمشاريع التقنية حسب الخطة</t>
        </is>
      </c>
      <c r="D9" s="55" t="inlineStr">
        <is>
          <t>%</t>
        </is>
      </c>
      <c r="E9" s="55" t="inlineStr">
        <is>
          <t>↑</t>
        </is>
      </c>
      <c r="F9" s="15" t="inlineStr">
        <is>
          <t>🟠 مهم</t>
        </is>
      </c>
      <c r="G9" s="64" t="n">
        <v>0.1</v>
      </c>
      <c r="H9" s="64" t="n">
        <v>0.9</v>
      </c>
      <c r="I9" s="22" t="inlineStr">
        <is>
          <t>≥ 90%</t>
        </is>
      </c>
      <c r="J9" s="85" t="inlineStr">
        <is>
          <t>الابتكار</t>
        </is>
      </c>
      <c r="K9" s="11" t="inlineStr">
        <is>
          <t>التحول التقني</t>
        </is>
      </c>
      <c r="L9" s="15" t="inlineStr">
        <is>
          <t>التعلّم والنمو</t>
        </is>
      </c>
      <c r="M9" s="65" t="n">
        <v>0.89</v>
      </c>
      <c r="N9" s="10">
        <f>IF($H9="","",IF($M9="","",MIN(1,IF($H9=0,IF($M9&lt;=0,1,0),IF($E9="↓",IFERROR($H9/$M9,0),IFERROR($M9/$H9,0))))))</f>
        <v/>
      </c>
      <c r="O9" s="20">
        <f>IF($N9="","⏳ بانتظار هدف",IF($N9&gt;=1.0,"✅ محقق",IF($N9&gt;=0.85,"🟡 قريب","🔴 تحت الهدف")))</f>
        <v/>
      </c>
      <c r="P9" s="86" t="inlineStr">
        <is>
          <t>يقيس مدى إنجاز محفظة مشاريع التحول الرقمي والمشاريع التقنية وفق الخطة الزمنية والأولويات المعتمدة.</t>
        </is>
      </c>
      <c r="Q9" s="86" t="inlineStr">
        <is>
          <t>أنظمة تقنية المعلومات (ERP/ITSM/SIEM)</t>
        </is>
      </c>
      <c r="R9" s="15" t="inlineStr">
        <is>
          <t>شهري</t>
        </is>
      </c>
    </row>
    <row r="10" outlineLevel="1" ht="26" customHeight="1">
      <c r="A10" s="20" t="n">
        <v>5</v>
      </c>
      <c r="B10" s="21" t="inlineStr">
        <is>
          <t>المشاريع التقنية</t>
        </is>
      </c>
      <c r="C10" s="21" t="inlineStr">
        <is>
          <t>نسبة تسليم المشاريع التقنية ضمن الوقت والميزانية ونطاق العمل المعتمد</t>
        </is>
      </c>
      <c r="D10" s="55" t="inlineStr">
        <is>
          <t>%</t>
        </is>
      </c>
      <c r="E10" s="55" t="inlineStr">
        <is>
          <t>↑</t>
        </is>
      </c>
      <c r="F10" s="15" t="inlineStr">
        <is>
          <t>🟠 مهم</t>
        </is>
      </c>
      <c r="G10" s="64" t="n">
        <v>0.09</v>
      </c>
      <c r="H10" s="64" t="n">
        <v>0.9</v>
      </c>
      <c r="I10" s="22" t="inlineStr">
        <is>
          <t>≥ 90%</t>
        </is>
      </c>
      <c r="J10" s="85" t="inlineStr">
        <is>
          <t>الابتكار</t>
        </is>
      </c>
      <c r="K10" s="11" t="inlineStr">
        <is>
          <t>التحول التقني</t>
        </is>
      </c>
      <c r="L10" s="15" t="inlineStr">
        <is>
          <t>العمليات الداخلية</t>
        </is>
      </c>
      <c r="M10" s="65" t="n">
        <v>0.701</v>
      </c>
      <c r="N10" s="10">
        <f>IF($H10="","",IF($M10="","",MIN(1,IF($H10=0,IF($M10&lt;=0,1,0),IF($E10="↓",IFERROR($H10/$M10,0),IFERROR($M10/$H10,0))))))</f>
        <v/>
      </c>
      <c r="O10" s="20">
        <f>IF($N10="","⏳ بانتظار هدف",IF($N10&gt;=1.0,"✅ محقق",IF($N10&gt;=0.85,"🟡 قريب","🔴 تحت الهدف")))</f>
        <v/>
      </c>
      <c r="P10" s="86" t="inlineStr">
        <is>
          <t>يقيس انضباط تنفيذ المشاريع التقنية من حيث الالتزام بالجدول الزمني، والميزانية، ونطاق العمل المعتمد، والحد من التوسع غير المعتمد في النطاق.</t>
        </is>
      </c>
      <c r="Q10" s="86" t="inlineStr">
        <is>
          <t>أنظمة تقنية المعلومات (ERP/ITSM/SIEM)</t>
        </is>
      </c>
      <c r="R10" s="15" t="inlineStr">
        <is>
          <t>شهري</t>
        </is>
      </c>
    </row>
    <row r="11" ht="24" customHeight="1">
      <c r="B11" s="78" t="inlineStr">
        <is>
          <t>الأمن والصلاحيات</t>
        </is>
      </c>
      <c r="C11" s="79" t="inlineStr">
        <is>
          <t>📊 مؤشر الأمن والصلاحيات العام</t>
        </is>
      </c>
      <c r="D11" s="80" t="n"/>
      <c r="E11" s="80" t="n"/>
      <c r="F11" s="81" t="inlineStr">
        <is>
          <t>🔷 أساسي</t>
        </is>
      </c>
      <c r="G11" s="82" t="n">
        <v>0.26</v>
      </c>
      <c r="H11" s="80" t="n"/>
      <c r="I11" s="80" t="n"/>
      <c r="J11" s="80" t="n"/>
      <c r="K11" s="80" t="n"/>
      <c r="L11" s="80" t="n"/>
      <c r="M11" s="80" t="n"/>
      <c r="N11" s="83">
        <f>IFERROR(SUMIFS('قاعدة المؤشرات'!$J:$J,'قاعدة المؤشرات'!$B:$B,"التقنية الرقمية",'قاعدة المؤشرات'!$L:$L,"الأمن والصلاحيات")/SUMIFS('قاعدة المؤشرات'!$K:$K,'قاعدة المؤشرات'!$B:$B,"التقنية الرقمية",'قاعدة المؤشرات'!$L:$L,"الأمن والصلاحيات"),"")</f>
        <v/>
      </c>
      <c r="O11" s="84">
        <f>IF($N11="","⏳ بانتظار هدف",IF($N11&gt;=1,"✅ محقق",IF($N11&gt;=0.85,"🟡 قريب","🔴 تحت الهدف")))</f>
        <v/>
      </c>
      <c r="P11" s="80" t="n"/>
      <c r="Q11" s="80" t="n"/>
      <c r="R11" s="80" t="n"/>
    </row>
    <row r="12" outlineLevel="1" ht="26" customHeight="1">
      <c r="A12" s="20" t="n">
        <v>6</v>
      </c>
      <c r="B12" s="21" t="inlineStr">
        <is>
          <t>الأمن والصلاحيات</t>
        </is>
      </c>
      <c r="C12" s="21" t="inlineStr">
        <is>
          <t>نسبة الالتزام بإدارة صلاحيات المستخدمين والحسابات</t>
        </is>
      </c>
      <c r="D12" s="55" t="inlineStr">
        <is>
          <t>%</t>
        </is>
      </c>
      <c r="E12" s="55" t="inlineStr">
        <is>
          <t>↑</t>
        </is>
      </c>
      <c r="F12" s="15" t="inlineStr">
        <is>
          <t>🟠 مهم</t>
        </is>
      </c>
      <c r="G12" s="64" t="n">
        <v>0.1</v>
      </c>
      <c r="H12" s="64" t="n">
        <v>1</v>
      </c>
      <c r="I12" s="22" t="inlineStr">
        <is>
          <t>100%</t>
        </is>
      </c>
      <c r="J12" s="85" t="inlineStr">
        <is>
          <t>الابتكار</t>
        </is>
      </c>
      <c r="K12" s="11" t="inlineStr">
        <is>
          <t>التحول التقني</t>
        </is>
      </c>
      <c r="L12" s="15" t="inlineStr">
        <is>
          <t>التعلّم والنمو</t>
        </is>
      </c>
      <c r="M12" s="65" t="n">
        <v>0.756</v>
      </c>
      <c r="N12" s="10">
        <f>IF($H12="","",IF($M12="","",MIN(1,IF($H12=0,IF($M12&lt;=0,1,0),IF($E12="↓",IFERROR($H12/$M12,0),IFERROR($M12/$H12,0))))))</f>
        <v/>
      </c>
      <c r="O12" s="20">
        <f>IF($N12="","⏳ بانتظار هدف",IF($N12&gt;=1.0,"✅ محقق",IF($N12&gt;=0.85,"🟡 قريب","🔴 تحت الهدف")))</f>
        <v/>
      </c>
      <c r="P12" s="86" t="inlineStr">
        <is>
          <t>يقيس مدى الالتزام بإنشاء وتعديل وإيقاف صلاحيات المستخدمين وفق طلبات معتمدة، مع إيقاف حسابات المنتهية خدماتهم ومنع الصلاحيات الزائدة عن الحاجة.</t>
        </is>
      </c>
      <c r="Q12" s="86" t="inlineStr">
        <is>
          <t>أنظمة تقنية المعلومات (ERP/ITSM/SIEM)</t>
        </is>
      </c>
      <c r="R12" s="15" t="inlineStr">
        <is>
          <t>شهري</t>
        </is>
      </c>
    </row>
    <row r="13" outlineLevel="1" ht="26" customHeight="1">
      <c r="A13" s="20" t="n">
        <v>7</v>
      </c>
      <c r="B13" s="21" t="inlineStr">
        <is>
          <t>الأمن والصلاحيات</t>
        </is>
      </c>
      <c r="C13" s="21" t="inlineStr">
        <is>
          <t>نسبة نجاح النسخ الاحتياطي واختبارات استعادة البيانات</t>
        </is>
      </c>
      <c r="D13" s="55" t="inlineStr">
        <is>
          <t>%</t>
        </is>
      </c>
      <c r="E13" s="55" t="inlineStr">
        <is>
          <t>↑</t>
        </is>
      </c>
      <c r="F13" s="15" t="inlineStr">
        <is>
          <t>🟠 مهم</t>
        </is>
      </c>
      <c r="G13" s="64" t="n">
        <v>0.08</v>
      </c>
      <c r="H13" s="64" t="n">
        <v>1</v>
      </c>
      <c r="I13" s="22" t="inlineStr">
        <is>
          <t>100%</t>
        </is>
      </c>
      <c r="J13" s="85" t="inlineStr">
        <is>
          <t>الابتكار</t>
        </is>
      </c>
      <c r="K13" s="11" t="inlineStr">
        <is>
          <t>التحول التقني</t>
        </is>
      </c>
      <c r="L13" s="15" t="inlineStr">
        <is>
          <t>العمليات الداخلية</t>
        </is>
      </c>
      <c r="M13" s="65" t="n">
        <v>0.794</v>
      </c>
      <c r="N13" s="10">
        <f>IF($H13="","",IF($M13="","",MIN(1,IF($H13=0,IF($M13&lt;=0,1,0),IF($E13="↓",IFERROR($H13/$M13,0),IFERROR($M13/$H13,0))))))</f>
        <v/>
      </c>
      <c r="O13" s="20">
        <f>IF($N13="","⏳ بانتظار هدف",IF($N13&gt;=1.0,"✅ محقق",IF($N13&gt;=0.85,"🟡 قريب","🔴 تحت الهدف")))</f>
        <v/>
      </c>
      <c r="P13" s="86" t="inlineStr">
        <is>
          <t>يقيس انتظام ونجاح النسخ الاحتياطي للأنظمة والبيانات المهمة، مع اختبار قابلية استعادة البيانات عند الحاجة.</t>
        </is>
      </c>
      <c r="Q13" s="86" t="inlineStr">
        <is>
          <t>أنظمة تقنية المعلومات (ERP/ITSM/SIEM)</t>
        </is>
      </c>
      <c r="R13" s="15" t="inlineStr">
        <is>
          <t>شهري</t>
        </is>
      </c>
    </row>
    <row r="14" outlineLevel="1" ht="26" customHeight="1">
      <c r="A14" s="20" t="n">
        <v>8</v>
      </c>
      <c r="B14" s="21" t="inlineStr">
        <is>
          <t>الأمن والصلاحيات</t>
        </is>
      </c>
      <c r="C14" s="21" t="inlineStr">
        <is>
          <t>نسبة الامتثال لضوابط الأمن السيبراني الأساسية</t>
        </is>
      </c>
      <c r="D14" s="55" t="inlineStr">
        <is>
          <t>%</t>
        </is>
      </c>
      <c r="E14" s="55" t="inlineStr">
        <is>
          <t>↑</t>
        </is>
      </c>
      <c r="F14" s="15" t="inlineStr">
        <is>
          <t>🟠 مهم</t>
        </is>
      </c>
      <c r="G14" s="64" t="n">
        <v>0.08</v>
      </c>
      <c r="H14" s="64" t="n">
        <v>0.95</v>
      </c>
      <c r="I14" s="22" t="inlineStr">
        <is>
          <t>≥ 95%</t>
        </is>
      </c>
      <c r="J14" s="85" t="inlineStr">
        <is>
          <t>الابتكار</t>
        </is>
      </c>
      <c r="K14" s="11" t="inlineStr">
        <is>
          <t>التحول التقني</t>
        </is>
      </c>
      <c r="L14" s="15" t="inlineStr">
        <is>
          <t>التعلّم والنمو</t>
        </is>
      </c>
      <c r="M14" s="65" t="n">
        <v>0.8070000000000001</v>
      </c>
      <c r="N14" s="10">
        <f>IF($H14="","",IF($M14="","",MIN(1,IF($H14=0,IF($M14&lt;=0,1,0),IF($E14="↓",IFERROR($H14/$M14,0),IFERROR($M14/$H14,0))))))</f>
        <v/>
      </c>
      <c r="O14" s="20">
        <f>IF($N14="","⏳ بانتظار هدف",IF($N14&gt;=1.0,"✅ محقق",IF($N14&gt;=0.97,"🟡 قريب","🔴 تحت الهدف")))</f>
        <v/>
      </c>
      <c r="P14" s="86" t="inlineStr">
        <is>
          <t>يقيس مدى تطبيق الضوابط الأساسية للأمن السيبراني، مثل التحديثات، مضادات الفيروسات، كلمات المرور، سجلات الدخول، حماية الأجهزة، ومراقبة محاولات الدخول غير المصرح.</t>
        </is>
      </c>
      <c r="Q14" s="86" t="inlineStr">
        <is>
          <t>أنظمة تقنية المعلومات (ERP/ITSM/SIEM)</t>
        </is>
      </c>
      <c r="R14" s="15" t="inlineStr">
        <is>
          <t>شهري</t>
        </is>
      </c>
    </row>
    <row r="15" ht="24" customHeight="1">
      <c r="B15" s="78" t="inlineStr">
        <is>
          <t>الحوكمة والبيانات</t>
        </is>
      </c>
      <c r="C15" s="79" t="inlineStr">
        <is>
          <t>📊 مؤشر الحوكمة والبيانات العام</t>
        </is>
      </c>
      <c r="D15" s="80" t="n"/>
      <c r="E15" s="80" t="n"/>
      <c r="F15" s="81" t="inlineStr">
        <is>
          <t>🔷 أساسي</t>
        </is>
      </c>
      <c r="G15" s="82" t="n">
        <v>0.11</v>
      </c>
      <c r="H15" s="80" t="n"/>
      <c r="I15" s="80" t="n"/>
      <c r="J15" s="80" t="n"/>
      <c r="K15" s="80" t="n"/>
      <c r="L15" s="80" t="n"/>
      <c r="M15" s="80" t="n"/>
      <c r="N15" s="83">
        <f>IFERROR(SUMIFS('قاعدة المؤشرات'!$J:$J,'قاعدة المؤشرات'!$B:$B,"التقنية الرقمية",'قاعدة المؤشرات'!$L:$L,"الحوكمة والبيانات")/SUMIFS('قاعدة المؤشرات'!$K:$K,'قاعدة المؤشرات'!$B:$B,"التقنية الرقمية",'قاعدة المؤشرات'!$L:$L,"الحوكمة والبيانات"),"")</f>
        <v/>
      </c>
      <c r="O15" s="84">
        <f>IF($N15="","⏳ بانتظار هدف",IF($N15&gt;=1,"✅ محقق",IF($N15&gt;=0.85,"🟡 قريب","🔴 تحت الهدف")))</f>
        <v/>
      </c>
      <c r="P15" s="80" t="n"/>
      <c r="Q15" s="80" t="n"/>
      <c r="R15" s="80" t="n"/>
    </row>
    <row r="16" outlineLevel="1" ht="26" customHeight="1">
      <c r="A16" s="20" t="n">
        <v>9</v>
      </c>
      <c r="B16" s="21" t="inlineStr">
        <is>
          <t>الحوكمة والبيانات</t>
        </is>
      </c>
      <c r="C16" s="21" t="inlineStr">
        <is>
          <t>نسبة دقة وتكامل البيانات بين الأنظمة الرقمية</t>
        </is>
      </c>
      <c r="D16" s="55" t="inlineStr">
        <is>
          <t>%</t>
        </is>
      </c>
      <c r="E16" s="55" t="inlineStr">
        <is>
          <t>↑</t>
        </is>
      </c>
      <c r="F16" s="15" t="inlineStr">
        <is>
          <t>🟠 مهم</t>
        </is>
      </c>
      <c r="G16" s="64" t="n">
        <v>0.06</v>
      </c>
      <c r="H16" s="64" t="n">
        <v>0.98</v>
      </c>
      <c r="I16" s="22" t="inlineStr">
        <is>
          <t>≥ 98%</t>
        </is>
      </c>
      <c r="J16" s="85" t="inlineStr">
        <is>
          <t>الابتكار</t>
        </is>
      </c>
      <c r="K16" s="11" t="inlineStr">
        <is>
          <t>التحول التقني</t>
        </is>
      </c>
      <c r="L16" s="15" t="inlineStr">
        <is>
          <t>التعلّم والنمو</t>
        </is>
      </c>
      <c r="M16" s="65" t="n">
        <v>1.012</v>
      </c>
      <c r="N16" s="10">
        <f>IF($H16="","",IF($M16="","",MIN(1,IF($H16=0,IF($M16&lt;=0,1,0),IF($E16="↓",IFERROR($H16/$M16,0),IFERROR($M16/$H16,0))))))</f>
        <v/>
      </c>
      <c r="O16" s="20">
        <f>IF($N16="","⏳ بانتظار هدف",IF($N16&gt;=1.0,"✅ محقق",IF($N16&gt;=0.85,"🟡 قريب","🔴 تحت الهدف")))</f>
        <v/>
      </c>
      <c r="P16" s="86" t="inlineStr">
        <is>
          <t>يقيس مدى صحة وتطابق البيانات بين الأنظمة المختلفة، مثل ERP وPOS وCashIn وATG وإيجار والأنظمة الأخرى، وتقليل الفروقات الناتجة عن أخطاء التكامل أو الترحيل.</t>
        </is>
      </c>
      <c r="Q16" s="86" t="inlineStr">
        <is>
          <t>أنظمة تقنية المعلومات (ERP/ITSM/SIEM)</t>
        </is>
      </c>
      <c r="R16" s="15" t="inlineStr">
        <is>
          <t>شهري</t>
        </is>
      </c>
    </row>
    <row r="17" outlineLevel="1" ht="26" customHeight="1">
      <c r="A17" s="20" t="n">
        <v>10</v>
      </c>
      <c r="B17" s="21" t="inlineStr">
        <is>
          <t>الحوكمة والبيانات</t>
        </is>
      </c>
      <c r="C17" s="21" t="inlineStr">
        <is>
          <t>نسبة الالتزام بتحديث وتوثيق أصول تقنية المعلومات والتراخيص</t>
        </is>
      </c>
      <c r="D17" s="55" t="inlineStr">
        <is>
          <t>%</t>
        </is>
      </c>
      <c r="E17" s="55" t="inlineStr">
        <is>
          <t>↑</t>
        </is>
      </c>
      <c r="F17" s="15" t="inlineStr">
        <is>
          <t>🟡 متابعة</t>
        </is>
      </c>
      <c r="G17" s="64" t="n">
        <v>0.05</v>
      </c>
      <c r="H17" s="64" t="n">
        <v>0.95</v>
      </c>
      <c r="I17" s="22" t="inlineStr">
        <is>
          <t>≥ 95%</t>
        </is>
      </c>
      <c r="J17" s="85" t="inlineStr">
        <is>
          <t>الابتكار</t>
        </is>
      </c>
      <c r="K17" s="11" t="inlineStr">
        <is>
          <t>التحول التقني</t>
        </is>
      </c>
      <c r="L17" s="15" t="inlineStr">
        <is>
          <t>العمليات الداخلية</t>
        </is>
      </c>
      <c r="M17" s="65" t="n">
        <v>0.958</v>
      </c>
      <c r="N17" s="10">
        <f>IF($H17="","",IF($M17="","",MIN(1,IF($H17=0,IF($M17&lt;=0,1,0),IF($E17="↓",IFERROR($H17/$M17,0),IFERROR($M17/$H17,0))))))</f>
        <v/>
      </c>
      <c r="O17" s="20">
        <f>IF($N17="","⏳ بانتظار هدف",IF($N17&gt;=1.0,"✅ محقق",IF($N17&gt;=0.85,"🟡 قريب","🔴 تحت الهدف")))</f>
        <v/>
      </c>
      <c r="P17" s="86" t="inlineStr">
        <is>
          <t>يقيس مدى اكتمال وتحديث سجل أصول تقنية المعلومات، بما يشمل الأجهزة، السيرفرات، نقاط البيع، أجهزة الشبكات، أجهزة المستخدمين، التراخيص، الاشتراكات، الضمانات، والعهد التقنية.</t>
        </is>
      </c>
      <c r="Q17" s="86" t="inlineStr">
        <is>
          <t>أنظمة تقنية المعلومات (ERP/ITSM/SIEM)</t>
        </is>
      </c>
      <c r="R17" s="15" t="inlineStr">
        <is>
          <t>شهري</t>
        </is>
      </c>
    </row>
    <row r="18" ht="24" customHeight="1">
      <c r="B18" s="78" t="inlineStr">
        <is>
          <t>الصيانة والرضا</t>
        </is>
      </c>
      <c r="C18" s="79" t="inlineStr">
        <is>
          <t>📊 مؤشر الصيانة والرضا العام</t>
        </is>
      </c>
      <c r="D18" s="80" t="n"/>
      <c r="E18" s="80" t="n"/>
      <c r="F18" s="81" t="inlineStr">
        <is>
          <t>🔷 أساسي</t>
        </is>
      </c>
      <c r="G18" s="82" t="n">
        <v>0.09</v>
      </c>
      <c r="H18" s="80" t="n"/>
      <c r="I18" s="80" t="n"/>
      <c r="J18" s="80" t="n"/>
      <c r="K18" s="80" t="n"/>
      <c r="L18" s="80" t="n"/>
      <c r="M18" s="80" t="n"/>
      <c r="N18" s="83">
        <f>IFERROR(SUMIFS('قاعدة المؤشرات'!$J:$J,'قاعدة المؤشرات'!$B:$B,"التقنية الرقمية",'قاعدة المؤشرات'!$L:$L,"الصيانة والرضا")/SUMIFS('قاعدة المؤشرات'!$K:$K,'قاعدة المؤشرات'!$B:$B,"التقنية الرقمية",'قاعدة المؤشرات'!$L:$L,"الصيانة والرضا"),"")</f>
        <v/>
      </c>
      <c r="O18" s="84">
        <f>IF($N18="","⏳ بانتظار هدف",IF($N18&gt;=1,"✅ محقق",IF($N18&gt;=0.85,"🟡 قريب","🔴 تحت الهدف")))</f>
        <v/>
      </c>
      <c r="P18" s="80" t="n"/>
      <c r="Q18" s="80" t="n"/>
      <c r="R18" s="80" t="n"/>
    </row>
    <row r="19" outlineLevel="1" ht="26" customHeight="1">
      <c r="A19" s="20" t="n">
        <v>11</v>
      </c>
      <c r="B19" s="21" t="inlineStr">
        <is>
          <t>الصيانة والرضا</t>
        </is>
      </c>
      <c r="C19" s="21" t="inlineStr">
        <is>
          <t>نسبة تنفيذ الصيانة الوقائية للأجهزة والبنية التقنية</t>
        </is>
      </c>
      <c r="D19" s="55" t="inlineStr">
        <is>
          <t>%</t>
        </is>
      </c>
      <c r="E19" s="55" t="inlineStr">
        <is>
          <t>↑</t>
        </is>
      </c>
      <c r="F19" s="15" t="inlineStr">
        <is>
          <t>🟠 مهم</t>
        </is>
      </c>
      <c r="G19" s="64" t="n">
        <v>0.05</v>
      </c>
      <c r="H19" s="64" t="n">
        <v>0.95</v>
      </c>
      <c r="I19" s="22" t="inlineStr">
        <is>
          <t>≥ 95%</t>
        </is>
      </c>
      <c r="J19" s="85" t="inlineStr">
        <is>
          <t>الابتكار</t>
        </is>
      </c>
      <c r="K19" s="11" t="inlineStr">
        <is>
          <t>التحول التقني</t>
        </is>
      </c>
      <c r="L19" s="15" t="inlineStr">
        <is>
          <t>العمليات الداخلية</t>
        </is>
      </c>
      <c r="M19" s="65" t="n">
        <v>0.756</v>
      </c>
      <c r="N19" s="10">
        <f>IF($H19="","",IF($M19="","",MIN(1,IF($H19=0,IF($M19&lt;=0,1,0),IF($E19="↓",IFERROR($H19/$M19,0),IFERROR($M19/$H19,0))))))</f>
        <v/>
      </c>
      <c r="O19" s="20">
        <f>IF($N19="","⏳ بانتظار هدف",IF($N19&gt;=1.0,"✅ محقق",IF($N19&gt;=0.85,"🟡 قريب","🔴 تحت الهدف")))</f>
        <v/>
      </c>
      <c r="P19" s="86" t="inlineStr">
        <is>
          <t>يقيس مدى تنفيذ الصيانة الوقائية لأجهزة الشبكة، نقاط البيع، السيرفرات، الطابعات، الكاميرات، وأجهزة المحطات حسب الخطة المعتمدة.</t>
        </is>
      </c>
      <c r="Q19" s="86" t="inlineStr">
        <is>
          <t>أنظمة تقنية المعلومات (ERP/ITSM/SIEM)</t>
        </is>
      </c>
      <c r="R19" s="15" t="inlineStr">
        <is>
          <t>شهري</t>
        </is>
      </c>
    </row>
    <row r="20" outlineLevel="1" ht="26" customHeight="1">
      <c r="A20" s="20" t="n">
        <v>12</v>
      </c>
      <c r="B20" s="21" t="inlineStr">
        <is>
          <t>الصيانة والرضا</t>
        </is>
      </c>
      <c r="C20" s="21" t="inlineStr">
        <is>
          <t>مستوى رضا الإدارات والمستخدمين عن خدمات تقنية المعلومات</t>
        </is>
      </c>
      <c r="D20" s="55" t="inlineStr">
        <is>
          <t>%</t>
        </is>
      </c>
      <c r="E20" s="55" t="inlineStr">
        <is>
          <t>↑</t>
        </is>
      </c>
      <c r="F20" s="15" t="inlineStr">
        <is>
          <t>🔴 رئيسي</t>
        </is>
      </c>
      <c r="G20" s="64" t="n">
        <v>0.04</v>
      </c>
      <c r="H20" s="64" t="n">
        <v>0.85</v>
      </c>
      <c r="I20" s="22" t="inlineStr">
        <is>
          <t>≥ 85%</t>
        </is>
      </c>
      <c r="J20" s="85" t="inlineStr">
        <is>
          <t>الابتكار</t>
        </is>
      </c>
      <c r="K20" s="11" t="inlineStr">
        <is>
          <t>التحول التقني</t>
        </is>
      </c>
      <c r="L20" s="15" t="inlineStr">
        <is>
          <t>التعلّم والنمو</t>
        </is>
      </c>
      <c r="M20" s="65" t="n">
        <v>0.775</v>
      </c>
      <c r="N20" s="10">
        <f>IF($H20="","",IF($M20="","",MIN(1,IF($H20=0,IF($M20&lt;=0,1,0),IF($E20="↓",IFERROR($H20/$M20,0),IFERROR($M20/$H20,0))))))</f>
        <v/>
      </c>
      <c r="O20" s="20">
        <f>IF($N20="","⏳ بانتظار هدف",IF($N20&gt;=0.9,"✅ محقق",IF($N20&gt;=0.75,"🟡 قريب","🔴 تحت الهدف")))</f>
        <v/>
      </c>
      <c r="P20" s="86" t="inlineStr">
        <is>
          <t>يقيس رضا الإدارات والمستخدمين عن سرعة الاستجابة، جودة الحلول، وضوح التواصل، واستقرار الخدمات التقنية المقدمة.</t>
        </is>
      </c>
      <c r="Q20" s="86" t="inlineStr">
        <is>
          <t>أنظمة تقنية المعلومات (ERP/ITSM/SIEM)</t>
        </is>
      </c>
      <c r="R20" s="15" t="inlineStr">
        <is>
          <t>ربعي</t>
        </is>
      </c>
    </row>
  </sheetData>
  <autoFilter ref="A3:R20"/>
  <mergeCells count="2">
    <mergeCell ref="A2:R2"/>
    <mergeCell ref="A1:R1"/>
  </mergeCells>
  <dataValidations count="1">
    <dataValidation sqref="M5 M6 M7 M9 M10 M12 M13 M14 M16 M17 M19 M20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1"/>
    <pageSetUpPr/>
  </sheetPr>
  <dimension ref="A1:R1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الموارد البشرية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4" customHeight="1">
      <c r="B4" s="78" t="inlineStr">
        <is>
          <t>الامتثال والالتزام</t>
        </is>
      </c>
      <c r="C4" s="79" t="inlineStr">
        <is>
          <t>📊 مؤشر الامتثال والالتزام العام</t>
        </is>
      </c>
      <c r="D4" s="80" t="n"/>
      <c r="E4" s="80" t="n"/>
      <c r="F4" s="81" t="inlineStr">
        <is>
          <t>🔷 أساسي</t>
        </is>
      </c>
      <c r="G4" s="82" t="n">
        <v>0.31</v>
      </c>
      <c r="H4" s="80" t="n"/>
      <c r="I4" s="80" t="n"/>
      <c r="J4" s="80" t="n"/>
      <c r="K4" s="80" t="n"/>
      <c r="L4" s="80" t="n"/>
      <c r="M4" s="80" t="n"/>
      <c r="N4" s="83">
        <f>IFERROR(SUMIFS('قاعدة المؤشرات'!$J:$J,'قاعدة المؤشرات'!$B:$B,"الموارد البشرية",'قاعدة المؤشرات'!$L:$L,"الامتثال والالتزام")/SUMIFS('قاعدة المؤشرات'!$K:$K,'قاعدة المؤشرات'!$B:$B,"الموارد البشرية",'قاعدة المؤشرات'!$L:$L,"الامتثال والالتزام"),"")</f>
        <v/>
      </c>
      <c r="O4" s="84">
        <f>IF($N4="","⏳ بانتظار هدف",IF($N4&gt;=1,"✅ محقق",IF($N4&gt;=0.85,"🟡 قريب","🔴 تحت الهدف")))</f>
        <v/>
      </c>
      <c r="P4" s="80" t="n"/>
      <c r="Q4" s="80" t="n"/>
      <c r="R4" s="80" t="n"/>
    </row>
    <row r="5" outlineLevel="1" ht="26" customHeight="1">
      <c r="A5" s="20" t="n">
        <v>1</v>
      </c>
      <c r="B5" s="21" t="inlineStr">
        <is>
          <t>الامتثال والالتزام</t>
        </is>
      </c>
      <c r="C5" s="21" t="inlineStr">
        <is>
          <t>نسبة الالتزام بالتوطين والامتثال الحكومي دون مخالفات</t>
        </is>
      </c>
      <c r="D5" s="55" t="inlineStr">
        <is>
          <t>%</t>
        </is>
      </c>
      <c r="E5" s="55" t="inlineStr">
        <is>
          <t>↑</t>
        </is>
      </c>
      <c r="F5" s="15" t="inlineStr">
        <is>
          <t>🟠 مهم</t>
        </is>
      </c>
      <c r="G5" s="64" t="n">
        <v>0.11</v>
      </c>
      <c r="H5" s="64" t="n">
        <v>1</v>
      </c>
      <c r="I5" s="22" t="inlineStr">
        <is>
          <t>100%</t>
        </is>
      </c>
      <c r="J5" s="85" t="inlineStr">
        <is>
          <t>الاستدامة</t>
        </is>
      </c>
      <c r="K5" s="11" t="inlineStr">
        <is>
          <t>الاستثمار في الموظفين</t>
        </is>
      </c>
      <c r="L5" s="15" t="inlineStr">
        <is>
          <t>العمليات الداخلية</t>
        </is>
      </c>
      <c r="M5" s="65" t="n">
        <v>0.77</v>
      </c>
      <c r="N5" s="10">
        <f>IF($H5="","",IF($M5="","",MIN(1,IF($H5=0,IF($M5&lt;=0,1,0),IF($E5="↓",IFERROR($H5/$M5,0),IFERROR($M5/$H5,0))))))</f>
        <v/>
      </c>
      <c r="O5" s="20">
        <f>IF($N5="","⏳ بانتظار هدف",IF($N5&gt;=1.0,"✅ محقق",IF($N5&gt;=0.97,"🟡 قريب","🔴 تحت الهدف")))</f>
        <v/>
      </c>
      <c r="P5" s="86" t="inlineStr">
        <is>
          <t>يقيس التزام الموارد البشرية بمتطلبات التوطين ونطاقات والمنصات الحكومية ذات العلاقة، مع متابعة المخالفات والغرامات النظامية المرتبطة بالموارد البشرية.</t>
        </is>
      </c>
      <c r="Q5" s="86" t="inlineStr">
        <is>
          <t>نظام الموارد البشرية (HRMS)</t>
        </is>
      </c>
      <c r="R5" s="15" t="inlineStr">
        <is>
          <t>شهري</t>
        </is>
      </c>
    </row>
    <row r="6" outlineLevel="1" ht="26" customHeight="1">
      <c r="A6" s="20" t="n">
        <v>2</v>
      </c>
      <c r="B6" s="21" t="inlineStr">
        <is>
          <t>الامتثال والالتزام</t>
        </is>
      </c>
      <c r="C6" s="21" t="inlineStr">
        <is>
          <t>نسبة الالتزام بنظام العمل واللوائح وخطة القوى العاملة المعتمدة</t>
        </is>
      </c>
      <c r="D6" s="55" t="inlineStr">
        <is>
          <t>%</t>
        </is>
      </c>
      <c r="E6" s="55" t="inlineStr">
        <is>
          <t>↑</t>
        </is>
      </c>
      <c r="F6" s="15" t="inlineStr">
        <is>
          <t>🟠 مهم</t>
        </is>
      </c>
      <c r="G6" s="64" t="n">
        <v>0.11</v>
      </c>
      <c r="H6" s="64" t="n">
        <v>1</v>
      </c>
      <c r="I6" s="22" t="inlineStr">
        <is>
          <t>100%</t>
        </is>
      </c>
      <c r="J6" s="85" t="inlineStr">
        <is>
          <t>الاستدامة</t>
        </is>
      </c>
      <c r="K6" s="11" t="inlineStr">
        <is>
          <t>الاستثمار في الموظفين</t>
        </is>
      </c>
      <c r="L6" s="15" t="inlineStr">
        <is>
          <t>العمليات الداخلية</t>
        </is>
      </c>
      <c r="M6" s="65" t="n">
        <v>1.016</v>
      </c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محقق",IF($N6&gt;=0.85,"🟡 قريب","🔴 تحت الهدف")))</f>
        <v/>
      </c>
      <c r="P6" s="86" t="inlineStr">
        <is>
          <t>يقيس الالتزام بنظام العمل واللائحة الداخلية، وعدم تنفيذ أي توظيف أو استحداث أو تعديل وظيفي خارج الهيكل أو خطة القوى العاملة أو الصلاحيات المعتمدة.</t>
        </is>
      </c>
      <c r="Q6" s="86" t="inlineStr">
        <is>
          <t>نظام الموارد البشرية (HRMS)</t>
        </is>
      </c>
      <c r="R6" s="15" t="inlineStr">
        <is>
          <t>شهري</t>
        </is>
      </c>
    </row>
    <row r="7" ht="26" customHeight="1">
      <c r="A7" s="20" t="n">
        <v>3</v>
      </c>
      <c r="B7" s="21" t="inlineStr">
        <is>
          <t>خدمات الموظفين</t>
        </is>
      </c>
      <c r="C7" s="21" t="inlineStr">
        <is>
          <t>نسبة إنجاز معاملات شؤون الموظفين ضمن المدة المستهدفة SLA</t>
        </is>
      </c>
      <c r="D7" s="55" t="inlineStr">
        <is>
          <t>%</t>
        </is>
      </c>
      <c r="E7" s="55" t="inlineStr">
        <is>
          <t>↑</t>
        </is>
      </c>
      <c r="F7" s="15" t="inlineStr">
        <is>
          <t>🟠 مهم</t>
        </is>
      </c>
      <c r="G7" s="64" t="n">
        <v>0.09</v>
      </c>
      <c r="H7" s="64" t="n">
        <v>0.9</v>
      </c>
      <c r="I7" s="22" t="inlineStr">
        <is>
          <t>≥ 90%</t>
        </is>
      </c>
      <c r="J7" s="85" t="inlineStr">
        <is>
          <t>الاستدامة</t>
        </is>
      </c>
      <c r="K7" s="11" t="inlineStr">
        <is>
          <t>الاستثمار في الموظفين</t>
        </is>
      </c>
      <c r="L7" s="15" t="inlineStr">
        <is>
          <t>التعلّم والنمو</t>
        </is>
      </c>
      <c r="M7" s="65" t="n">
        <v>0.733</v>
      </c>
      <c r="N7" s="10">
        <f>IF($H7="","",IF($M7="","",MIN(1,IF($H7=0,IF($M7&lt;=0,1,0),IF($E7="↓",IFERROR($H7/$M7,0),IFERROR($M7/$H7,0))))))</f>
        <v/>
      </c>
      <c r="O7" s="20">
        <f>IF($N7="","⏳ بانتظار هدف",IF($N7&gt;=1.0,"✅ محقق",IF($N7&gt;=0.85,"🟡 قريب","🔴 تحت الهدف")))</f>
        <v/>
      </c>
      <c r="P7" s="86" t="inlineStr">
        <is>
          <t>يقيس سرعة إنجاز معاملات الموظفين والإدارات، مثل التعاريف، الإجازات، المباشرات، الإخلاءات، الإنذارات، تحديث البيانات، والتعديلات الوظيفية.</t>
        </is>
      </c>
      <c r="Q7" s="86" t="inlineStr">
        <is>
          <t>نظام الموارد البشرية (HRMS)</t>
        </is>
      </c>
      <c r="R7" s="15" t="inlineStr">
        <is>
          <t>شهري</t>
        </is>
      </c>
    </row>
    <row r="8" outlineLevel="1" ht="26" customHeight="1">
      <c r="A8" s="20" t="n">
        <v>4</v>
      </c>
      <c r="B8" s="21" t="inlineStr">
        <is>
          <t>الامتثال والالتزام</t>
        </is>
      </c>
      <c r="C8" s="21" t="inlineStr">
        <is>
          <t>نسبة الالتزام بتجديد الوثائق واكتمال ملفات الموظفين</t>
        </is>
      </c>
      <c r="D8" s="55" t="inlineStr">
        <is>
          <t>%</t>
        </is>
      </c>
      <c r="E8" s="55" t="inlineStr">
        <is>
          <t>↑</t>
        </is>
      </c>
      <c r="F8" s="15" t="inlineStr">
        <is>
          <t>🟠 مهم</t>
        </is>
      </c>
      <c r="G8" s="64" t="n">
        <v>0.09</v>
      </c>
      <c r="H8" s="64" t="n">
        <v>1</v>
      </c>
      <c r="I8" s="22" t="inlineStr">
        <is>
          <t>100%</t>
        </is>
      </c>
      <c r="J8" s="85" t="inlineStr">
        <is>
          <t>الاستدامة</t>
        </is>
      </c>
      <c r="K8" s="11" t="inlineStr">
        <is>
          <t>الاستثمار في الموظفين</t>
        </is>
      </c>
      <c r="L8" s="15" t="inlineStr">
        <is>
          <t>التعلّم والنمو</t>
        </is>
      </c>
      <c r="M8" s="65" t="n">
        <v>0.796</v>
      </c>
      <c r="N8" s="10">
        <f>IF($H8="","",IF($M8="","",MIN(1,IF($H8=0,IF($M8&lt;=0,1,0),IF($E8="↓",IFERROR($H8/$M8,0),IFERROR($M8/$H8,0))))))</f>
        <v/>
      </c>
      <c r="O8" s="20">
        <f>IF($N8="","⏳ بانتظار هدف",IF($N8&gt;=1.0,"✅ محقق",IF($N8&gt;=0.85,"🟡 قريب","🔴 تحت الهدف")))</f>
        <v/>
      </c>
      <c r="P8" s="86" t="inlineStr">
        <is>
          <t>يقيس الالتزام بتجديد الإقامات، رخص العمل، العقود، التأمينات، الشهادات الصحية، مع اكتمال ودقة ملفات الموظفين ورقيًا أو إلكترونيًا.</t>
        </is>
      </c>
      <c r="Q8" s="86" t="inlineStr">
        <is>
          <t>نظام الموارد البشرية (HRMS)</t>
        </is>
      </c>
      <c r="R8" s="15" t="inlineStr">
        <is>
          <t>شهري</t>
        </is>
      </c>
    </row>
    <row r="9" ht="26" customHeight="1">
      <c r="A9" s="20" t="n">
        <v>5</v>
      </c>
      <c r="B9" s="21" t="inlineStr">
        <is>
          <t>التشغيل والتغطية</t>
        </is>
      </c>
      <c r="C9" s="21" t="inlineStr">
        <is>
          <t>نسبة جاهزية وتغطية عمالة المحطات حسب خطة التشغيل والافتتاحات</t>
        </is>
      </c>
      <c r="D9" s="55" t="inlineStr">
        <is>
          <t>%</t>
        </is>
      </c>
      <c r="E9" s="55" t="inlineStr">
        <is>
          <t>↑</t>
        </is>
      </c>
      <c r="F9" s="15" t="inlineStr">
        <is>
          <t>🔴 رئيسي</t>
        </is>
      </c>
      <c r="G9" s="64" t="n">
        <v>0.11</v>
      </c>
      <c r="H9" s="64" t="n">
        <v>0.95</v>
      </c>
      <c r="I9" s="22" t="inlineStr">
        <is>
          <t>≥ 95%</t>
        </is>
      </c>
      <c r="J9" s="85" t="inlineStr">
        <is>
          <t>الاستدامة</t>
        </is>
      </c>
      <c r="K9" s="11" t="inlineStr">
        <is>
          <t>الاستثمار في الموظفين</t>
        </is>
      </c>
      <c r="L9" s="15" t="inlineStr">
        <is>
          <t>العمليات الداخلية</t>
        </is>
      </c>
      <c r="M9" s="65" t="n">
        <v>0.903</v>
      </c>
      <c r="N9" s="10">
        <f>IF($H9="","",IF($M9="","",MIN(1,IF($H9=0,IF($M9&lt;=0,1,0),IF($E9="↓",IFERROR($H9/$M9,0),IFERROR($M9/$H9,0))))))</f>
        <v/>
      </c>
      <c r="O9" s="20">
        <f>IF($N9="","⏳ بانتظار هدف",IF($N9&gt;=1.0,"✅ محقق",IF($N9&gt;=0.97,"🟡 قريب","🔴 تحت الهدف")))</f>
        <v/>
      </c>
      <c r="P9" s="86" t="inlineStr">
        <is>
          <t>يقيس قدرة الموارد البشرية على توفير وتغطية عمالة المحطات وفق خطة التشغيل والافتتاحات، بما يشمل التوظيف في الوقت المناسب، التدريب قبل المباشرة، إدارة الإجازات، وتوفير البدلاء.</t>
        </is>
      </c>
      <c r="Q9" s="86" t="inlineStr">
        <is>
          <t>نظام الموارد البشرية (HRMS)</t>
        </is>
      </c>
      <c r="R9" s="15" t="inlineStr">
        <is>
          <t>شهري</t>
        </is>
      </c>
    </row>
    <row r="10" ht="24" customHeight="1">
      <c r="B10" s="78" t="inlineStr">
        <is>
          <t>الاستقطاب</t>
        </is>
      </c>
      <c r="C10" s="79" t="inlineStr">
        <is>
          <t>📊 مؤشر الاستقطاب العام</t>
        </is>
      </c>
      <c r="D10" s="80" t="n"/>
      <c r="E10" s="80" t="n"/>
      <c r="F10" s="81" t="inlineStr">
        <is>
          <t>🔷 أساسي</t>
        </is>
      </c>
      <c r="G10" s="82" t="n">
        <v>0.16</v>
      </c>
      <c r="H10" s="80" t="n"/>
      <c r="I10" s="80" t="n"/>
      <c r="J10" s="80" t="n"/>
      <c r="K10" s="80" t="n"/>
      <c r="L10" s="80" t="n"/>
      <c r="M10" s="80" t="n"/>
      <c r="N10" s="83">
        <f>IFERROR(SUMIFS('قاعدة المؤشرات'!$J:$J,'قاعدة المؤشرات'!$B:$B,"الموارد البشرية",'قاعدة المؤشرات'!$L:$L,"الاستقطاب")/SUMIFS('قاعدة المؤشرات'!$K:$K,'قاعدة المؤشرات'!$B:$B,"الموارد البشرية",'قاعدة المؤشرات'!$L:$L,"الاستقطاب"),"")</f>
        <v/>
      </c>
      <c r="O10" s="84">
        <f>IF($N10="","⏳ بانتظار هدف",IF($N10&gt;=1,"✅ محقق",IF($N10&gt;=0.85,"🟡 قريب","🔴 تحت الهدف")))</f>
        <v/>
      </c>
      <c r="P10" s="80" t="n"/>
      <c r="Q10" s="80" t="n"/>
      <c r="R10" s="80" t="n"/>
    </row>
    <row r="11" outlineLevel="1" ht="26" customHeight="1">
      <c r="A11" s="20" t="n">
        <v>6</v>
      </c>
      <c r="B11" s="21" t="inlineStr">
        <is>
          <t>الاستقطاب</t>
        </is>
      </c>
      <c r="C11" s="21" t="inlineStr">
        <is>
          <t>متوسط مدة إغلاق الشواغر المعتمدة</t>
        </is>
      </c>
      <c r="D11" s="55" t="inlineStr">
        <is>
          <t>يوم</t>
        </is>
      </c>
      <c r="E11" s="55" t="inlineStr">
        <is>
          <t>↓</t>
        </is>
      </c>
      <c r="F11" s="15" t="inlineStr">
        <is>
          <t>🟠 مهم</t>
        </is>
      </c>
      <c r="G11" s="64" t="n">
        <v>0.08</v>
      </c>
      <c r="H11" s="67" t="n">
        <v>30</v>
      </c>
      <c r="I11" s="22" t="inlineStr">
        <is>
          <t>≤ 30 يوم</t>
        </is>
      </c>
      <c r="J11" s="85" t="inlineStr">
        <is>
          <t>الاستدامة</t>
        </is>
      </c>
      <c r="K11" s="11" t="inlineStr">
        <is>
          <t>الاستثمار في الموظفين</t>
        </is>
      </c>
      <c r="L11" s="15" t="inlineStr">
        <is>
          <t>العمليات الداخلية</t>
        </is>
      </c>
      <c r="M11" s="68" t="n">
        <v>33.5</v>
      </c>
      <c r="N11" s="10">
        <f>IF($H11="","",IF($M11="","",MIN(1,IF($H11=0,IF($M11&lt;=0,1,0),IF($E11="↓",IFERROR($H11/$M11,0),IFERROR($M11/$H11,0))))))</f>
        <v/>
      </c>
      <c r="O11" s="20">
        <f>IF($N11="","⏳ بانتظار هدف",IF($N11&gt;=1.0,"✅ محقق",IF($N11&gt;=0.85,"🟡 قريب","🔴 تحت الهدف")))</f>
        <v/>
      </c>
      <c r="P11" s="86" t="inlineStr">
        <is>
          <t>يقيس متوسط المدة من تاريخ اعتماد الاحتياج الوظيفي حتى قبول المرشح أو مباشرته، بما يعكس سرعة الاستقطاب وتلبية احتياج الإدارات.</t>
        </is>
      </c>
      <c r="Q11" s="86" t="inlineStr">
        <is>
          <t>نظام الموارد البشرية (HRMS)</t>
        </is>
      </c>
      <c r="R11" s="15" t="inlineStr">
        <is>
          <t>شهري</t>
        </is>
      </c>
    </row>
    <row r="12" outlineLevel="1" ht="26" customHeight="1">
      <c r="A12" s="20" t="n">
        <v>7</v>
      </c>
      <c r="B12" s="21" t="inlineStr">
        <is>
          <t>الاستقطاب</t>
        </is>
      </c>
      <c r="C12" s="21" t="inlineStr">
        <is>
          <t>نسبة نجاح التعيينات الجديدة خلال فترة التجربة</t>
        </is>
      </c>
      <c r="D12" s="55" t="inlineStr">
        <is>
          <t>%</t>
        </is>
      </c>
      <c r="E12" s="55" t="inlineStr">
        <is>
          <t>↑</t>
        </is>
      </c>
      <c r="F12" s="15" t="inlineStr">
        <is>
          <t>🟠 مهم</t>
        </is>
      </c>
      <c r="G12" s="64" t="n">
        <v>0.08</v>
      </c>
      <c r="H12" s="64" t="n">
        <v>0.9</v>
      </c>
      <c r="I12" s="22" t="inlineStr">
        <is>
          <t>≥ 90%</t>
        </is>
      </c>
      <c r="J12" s="85" t="inlineStr">
        <is>
          <t>الاستدامة</t>
        </is>
      </c>
      <c r="K12" s="11" t="inlineStr">
        <is>
          <t>الاستثمار في الموظفين</t>
        </is>
      </c>
      <c r="L12" s="15" t="inlineStr">
        <is>
          <t>العملاء</t>
        </is>
      </c>
      <c r="M12" s="65" t="n">
        <v>0.929</v>
      </c>
      <c r="N12" s="10">
        <f>IF($H12="","",IF($M12="","",MIN(1,IF($H12=0,IF($M12&lt;=0,1,0),IF($E12="↓",IFERROR($H12/$M12,0),IFERROR($M12/$H12,0))))))</f>
        <v/>
      </c>
      <c r="O12" s="20">
        <f>IF($N12="","⏳ بانتظار هدف",IF($N12&gt;=1.0,"✅ محقق",IF($N12&gt;=0.85,"🟡 قريب","🔴 تحت الهدف")))</f>
        <v/>
      </c>
      <c r="P12" s="86" t="inlineStr">
        <is>
          <t>يقيس جودة الاستقطاب والاختيار من خلال نسبة الموظفين الجدد الذين اجتازوا فترة التجربة بنجاح واستمروا في العمل دون عدم ملاءمة.</t>
        </is>
      </c>
      <c r="Q12" s="86" t="inlineStr">
        <is>
          <t>نظام الموارد البشرية (HRMS)</t>
        </is>
      </c>
      <c r="R12" s="15" t="inlineStr">
        <is>
          <t>شهري</t>
        </is>
      </c>
    </row>
    <row r="13" ht="24" customHeight="1">
      <c r="B13" s="78" t="inlineStr">
        <is>
          <t>التكلفة والرواتب</t>
        </is>
      </c>
      <c r="C13" s="79" t="inlineStr">
        <is>
          <t>📊 مؤشر التكلفة والرواتب العام</t>
        </is>
      </c>
      <c r="D13" s="80" t="n"/>
      <c r="E13" s="80" t="n"/>
      <c r="F13" s="81" t="inlineStr">
        <is>
          <t>🔷 أساسي</t>
        </is>
      </c>
      <c r="G13" s="82" t="n">
        <v>0.17</v>
      </c>
      <c r="H13" s="80" t="n"/>
      <c r="I13" s="80" t="n"/>
      <c r="J13" s="80" t="n"/>
      <c r="K13" s="80" t="n"/>
      <c r="L13" s="80" t="n"/>
      <c r="M13" s="80" t="n"/>
      <c r="N13" s="83">
        <f>IFERROR(SUMIFS('قاعدة المؤشرات'!$J:$J,'قاعدة المؤشرات'!$B:$B,"الموارد البشرية",'قاعدة المؤشرات'!$L:$L,"التكلفة والرواتب")/SUMIFS('قاعدة المؤشرات'!$K:$K,'قاعدة المؤشرات'!$B:$B,"الموارد البشرية",'قاعدة المؤشرات'!$L:$L,"التكلفة والرواتب"),"")</f>
        <v/>
      </c>
      <c r="O13" s="84">
        <f>IF($N13="","⏳ بانتظار هدف",IF($N13&gt;=1,"✅ محقق",IF($N13&gt;=0.85,"🟡 قريب","🔴 تحت الهدف")))</f>
        <v/>
      </c>
      <c r="P13" s="80" t="n"/>
      <c r="Q13" s="80" t="n"/>
      <c r="R13" s="80" t="n"/>
    </row>
    <row r="14" outlineLevel="1" ht="26" customHeight="1">
      <c r="A14" s="20" t="n">
        <v>8</v>
      </c>
      <c r="B14" s="21" t="inlineStr">
        <is>
          <t>التكلفة والرواتب</t>
        </is>
      </c>
      <c r="C14" s="21" t="inlineStr">
        <is>
          <t>نسبة كفاءة تكلفة القوى العاملة</t>
        </is>
      </c>
      <c r="D14" s="55" t="inlineStr">
        <is>
          <t>%</t>
        </is>
      </c>
      <c r="E14" s="55" t="inlineStr">
        <is>
          <t>↑</t>
        </is>
      </c>
      <c r="F14" s="15" t="inlineStr">
        <is>
          <t>🟠 مهم</t>
        </is>
      </c>
      <c r="G14" s="64" t="n">
        <v>0.09</v>
      </c>
      <c r="H14" s="64" t="n">
        <v>0.95</v>
      </c>
      <c r="I14" s="22" t="inlineStr">
        <is>
          <t>≥ 95%</t>
        </is>
      </c>
      <c r="J14" s="85" t="inlineStr">
        <is>
          <t>الاستدامة</t>
        </is>
      </c>
      <c r="K14" s="11" t="inlineStr">
        <is>
          <t>الاستثمار في الموظفين</t>
        </is>
      </c>
      <c r="L14" s="15" t="inlineStr">
        <is>
          <t>مالي</t>
        </is>
      </c>
      <c r="M14" s="65" t="n">
        <v>0.917</v>
      </c>
      <c r="N14" s="10">
        <f>IF($H14="","",IF($M14="","",MIN(1,IF($H14=0,IF($M14&lt;=0,1,0),IF($E14="↓",IFERROR($H14/$M14,0),IFERROR($M14/$H14,0))))))</f>
        <v/>
      </c>
      <c r="O14" s="20">
        <f>IF($N14="","⏳ بانتظار هدف",IF($N14&gt;=1.0,"✅ محقق",IF($N14&gt;=0.85,"🟡 قريب","🔴 تحت الهدف")))</f>
        <v/>
      </c>
      <c r="P14" s="86" t="inlineStr">
        <is>
          <t>يقيس مدى ضبط تكلفة القوى العاملة مقارنة بالميزانية المعتمدة، بما يشمل الرواتب، البدلات، العمل الإضافي، الاستقدام، التدريب، التأمين، السكن، النقل، والتكاليف غير المباشرة.</t>
        </is>
      </c>
      <c r="Q14" s="86" t="inlineStr">
        <is>
          <t>نظام الرواتب (Payroll) / حماية الأجور</t>
        </is>
      </c>
      <c r="R14" s="15" t="inlineStr">
        <is>
          <t>شهري</t>
        </is>
      </c>
    </row>
    <row r="15" outlineLevel="1" ht="26" customHeight="1">
      <c r="A15" s="20" t="n">
        <v>9</v>
      </c>
      <c r="B15" s="21" t="inlineStr">
        <is>
          <t>التكلفة والرواتب</t>
        </is>
      </c>
      <c r="C15" s="21" t="inlineStr">
        <is>
          <t>نسبة دقة الرواتب والمستحقات الشهرية</t>
        </is>
      </c>
      <c r="D15" s="55" t="inlineStr">
        <is>
          <t>%</t>
        </is>
      </c>
      <c r="E15" s="55" t="inlineStr">
        <is>
          <t>↑</t>
        </is>
      </c>
      <c r="F15" s="15" t="inlineStr">
        <is>
          <t>🔴 رئيسي</t>
        </is>
      </c>
      <c r="G15" s="64" t="n">
        <v>0.08</v>
      </c>
      <c r="H15" s="64" t="n">
        <v>0.995</v>
      </c>
      <c r="I15" s="22" t="inlineStr">
        <is>
          <t>≥ 99.5%</t>
        </is>
      </c>
      <c r="J15" s="85" t="inlineStr">
        <is>
          <t>الاستدامة</t>
        </is>
      </c>
      <c r="K15" s="11" t="inlineStr">
        <is>
          <t>الاستثمار في الموظفين</t>
        </is>
      </c>
      <c r="L15" s="15" t="inlineStr">
        <is>
          <t>مالي</t>
        </is>
      </c>
      <c r="M15" s="65" t="n">
        <v>0.888</v>
      </c>
      <c r="N15" s="10">
        <f>IF($H15="","",IF($M15="","",MIN(1,IF($H15=0,IF($M15&lt;=0,1,0),IF($E15="↓",IFERROR($H15/$M15,0),IFERROR($M15/$H15,0))))))</f>
        <v/>
      </c>
      <c r="O15" s="20">
        <f>IF($N15="","⏳ بانتظار هدف",IF($N15&gt;=1.0,"✅ محقق",IF($N15&gt;=0.85,"🟡 قريب","🔴 تحت الهدف")))</f>
        <v/>
      </c>
      <c r="P15" s="86" t="inlineStr">
        <is>
          <t>يقيس مدى خلو الرواتب والمستحقات من الأخطاء أو التأخير، مثل الرواتب، البدلات، الخصومات، الإجازات، نهاية الخدمة، التأمينات، والعمل الإضافي.</t>
        </is>
      </c>
      <c r="Q15" s="86" t="inlineStr">
        <is>
          <t>نظام الرواتب (Payroll) / حماية الأجور</t>
        </is>
      </c>
      <c r="R15" s="15" t="inlineStr">
        <is>
          <t>شهري</t>
        </is>
      </c>
    </row>
    <row r="16" ht="24" customHeight="1">
      <c r="B16" s="78" t="inlineStr">
        <is>
          <t>الاستقرار والتطوير</t>
        </is>
      </c>
      <c r="C16" s="79" t="inlineStr">
        <is>
          <t>📊 مؤشر الاستقرار والتطوير العام</t>
        </is>
      </c>
      <c r="D16" s="80" t="n"/>
      <c r="E16" s="80" t="n"/>
      <c r="F16" s="81" t="inlineStr">
        <is>
          <t>🔷 أساسي</t>
        </is>
      </c>
      <c r="G16" s="82" t="n">
        <v>0.16</v>
      </c>
      <c r="H16" s="80" t="n"/>
      <c r="I16" s="80" t="n"/>
      <c r="J16" s="80" t="n"/>
      <c r="K16" s="80" t="n"/>
      <c r="L16" s="80" t="n"/>
      <c r="M16" s="80" t="n"/>
      <c r="N16" s="83">
        <f>IFERROR(SUMIFS('قاعدة المؤشرات'!$J:$J,'قاعدة المؤشرات'!$B:$B,"الموارد البشرية",'قاعدة المؤشرات'!$L:$L,"الاستقرار والتطوير")/SUMIFS('قاعدة المؤشرات'!$K:$K,'قاعدة المؤشرات'!$B:$B,"الموارد البشرية",'قاعدة المؤشرات'!$L:$L,"الاستقرار والتطوير"),"")</f>
        <v/>
      </c>
      <c r="O16" s="84">
        <f>IF($N16="","⏳ بانتظار هدف",IF($N16&gt;=1,"✅ محقق",IF($N16&gt;=0.85,"🟡 قريب","🔴 تحت الهدف")))</f>
        <v/>
      </c>
      <c r="P16" s="80" t="n"/>
      <c r="Q16" s="80" t="n"/>
      <c r="R16" s="80" t="n"/>
    </row>
    <row r="17" outlineLevel="1" ht="26" customHeight="1">
      <c r="A17" s="20" t="n">
        <v>10</v>
      </c>
      <c r="B17" s="21" t="inlineStr">
        <is>
          <t>الاستقرار والتطوير</t>
        </is>
      </c>
      <c r="C17" s="21" t="inlineStr">
        <is>
          <t>معدل دوران الموظفين</t>
        </is>
      </c>
      <c r="D17" s="55" t="inlineStr">
        <is>
          <t>%</t>
        </is>
      </c>
      <c r="E17" s="55" t="inlineStr">
        <is>
          <t>↓</t>
        </is>
      </c>
      <c r="F17" s="15" t="inlineStr">
        <is>
          <t>🟠 مهم</t>
        </is>
      </c>
      <c r="G17" s="64" t="n">
        <v>0.06</v>
      </c>
      <c r="H17" s="64" t="n">
        <v>0.1</v>
      </c>
      <c r="I17" s="22" t="inlineStr">
        <is>
          <t>≤ 10%</t>
        </is>
      </c>
      <c r="J17" s="85" t="inlineStr">
        <is>
          <t>الاستدامة</t>
        </is>
      </c>
      <c r="K17" s="11" t="inlineStr">
        <is>
          <t>الاستثمار في الموظفين</t>
        </is>
      </c>
      <c r="L17" s="15" t="inlineStr">
        <is>
          <t>التعلّم والنمو</t>
        </is>
      </c>
      <c r="M17" s="65" t="n">
        <v>0.097</v>
      </c>
      <c r="N17" s="10">
        <f>IF($H17="","",IF($M17="","",MIN(1,IF($H17=0,IF($M17&lt;=0,1,0),IF($E17="↓",IFERROR($H17/$M17,0),IFERROR($M17/$H17,0))))))</f>
        <v/>
      </c>
      <c r="O17" s="20">
        <f>IF($N17="","⏳ بانتظار هدف",IF($N17&gt;=1.0,"✅ محقق",IF($N17&gt;=0.85,"🟡 قريب","🔴 تحت الهدف")))</f>
        <v/>
      </c>
      <c r="P17" s="86" t="inlineStr">
        <is>
          <t>يقيس نسبة مغادرة الموظفين مقارنة بمتوسط عدد الموظفين خلال الفترة، ويساعد في كشف مشاكل الاستقرار الوظيفي أو بيئة العمل أو جودة التوظيف.</t>
        </is>
      </c>
      <c r="Q17" s="86" t="inlineStr">
        <is>
          <t>نظام الموارد البشرية (HRMS)</t>
        </is>
      </c>
      <c r="R17" s="15" t="inlineStr">
        <is>
          <t>شهري</t>
        </is>
      </c>
    </row>
    <row r="18" outlineLevel="1" ht="26" customHeight="1">
      <c r="A18" s="20" t="n">
        <v>11</v>
      </c>
      <c r="B18" s="21" t="inlineStr">
        <is>
          <t>الاستقرار والتطوير</t>
        </is>
      </c>
      <c r="C18" s="21" t="inlineStr">
        <is>
          <t>نسبة تنفيذ برامج التدريب والتأهيل المعتمدة</t>
        </is>
      </c>
      <c r="D18" s="55" t="inlineStr">
        <is>
          <t>%</t>
        </is>
      </c>
      <c r="E18" s="55" t="inlineStr">
        <is>
          <t>↑</t>
        </is>
      </c>
      <c r="F18" s="15" t="inlineStr">
        <is>
          <t>🟠 مهم</t>
        </is>
      </c>
      <c r="G18" s="64" t="n">
        <v>0.06</v>
      </c>
      <c r="H18" s="64" t="n">
        <v>0.9</v>
      </c>
      <c r="I18" s="22" t="inlineStr">
        <is>
          <t>≥ 90%</t>
        </is>
      </c>
      <c r="J18" s="85" t="inlineStr">
        <is>
          <t>الاستدامة</t>
        </is>
      </c>
      <c r="K18" s="11" t="inlineStr">
        <is>
          <t>الاستثمار في الموظفين</t>
        </is>
      </c>
      <c r="L18" s="15" t="inlineStr">
        <is>
          <t>التعلّم والنمو</t>
        </is>
      </c>
      <c r="M18" s="65" t="n">
        <v>0.6899999999999999</v>
      </c>
      <c r="N18" s="10">
        <f>IF($H18="","",IF($M18="","",MIN(1,IF($H18=0,IF($M18&lt;=0,1,0),IF($E18="↓",IFERROR($H18/$M18,0),IFERROR($M18/$H18,0))))))</f>
        <v/>
      </c>
      <c r="O18" s="20">
        <f>IF($N18="","⏳ بانتظار هدف",IF($N18&gt;=1.0,"✅ محقق",IF($N18&gt;=0.85,"🟡 قريب","🔴 تحت الهدف")))</f>
        <v/>
      </c>
      <c r="P18" s="86" t="inlineStr">
        <is>
          <t>يقيس مدى تنفيذ برامج التدريب والتأهيل، خصوصًا التدريب المرتبط بعمالة المحطات، السلامة، خدمة العملاء، والمهارات الوظيفية الأساسية.</t>
        </is>
      </c>
      <c r="Q18" s="86" t="inlineStr">
        <is>
          <t>نظام الموارد البشرية (HRMS)</t>
        </is>
      </c>
      <c r="R18" s="15" t="inlineStr">
        <is>
          <t>شهري</t>
        </is>
      </c>
    </row>
    <row r="19" outlineLevel="1" ht="26" customHeight="1">
      <c r="A19" s="20" t="n">
        <v>12</v>
      </c>
      <c r="B19" s="21" t="inlineStr">
        <is>
          <t>الاستقرار والتطوير</t>
        </is>
      </c>
      <c r="C19" s="21" t="inlineStr">
        <is>
          <t>نسبة إغلاق تقييمات الأداء وخطط الإحلال للوظائف الحرجة</t>
        </is>
      </c>
      <c r="D19" s="55" t="inlineStr">
        <is>
          <t>%</t>
        </is>
      </c>
      <c r="E19" s="55" t="inlineStr">
        <is>
          <t>↑</t>
        </is>
      </c>
      <c r="F19" s="15" t="inlineStr">
        <is>
          <t>🟠 مهم</t>
        </is>
      </c>
      <c r="G19" s="64" t="n">
        <v>0.04</v>
      </c>
      <c r="H19" s="64" t="n">
        <v>0.95</v>
      </c>
      <c r="I19" s="22" t="inlineStr">
        <is>
          <t>≥ 95%</t>
        </is>
      </c>
      <c r="J19" s="85" t="inlineStr">
        <is>
          <t>الاستدامة</t>
        </is>
      </c>
      <c r="K19" s="11" t="inlineStr">
        <is>
          <t>الاستثمار في الموظفين</t>
        </is>
      </c>
      <c r="L19" s="15" t="inlineStr">
        <is>
          <t>العمليات الداخلية</t>
        </is>
      </c>
      <c r="M19" s="65" t="n">
        <v>0.696</v>
      </c>
      <c r="N19" s="10">
        <f>IF($H19="","",IF($M19="","",MIN(1,IF($H19=0,IF($M19&lt;=0,1,0),IF($E19="↓",IFERROR($H19/$M19,0),IFERROR($M19/$H19,0))))))</f>
        <v/>
      </c>
      <c r="O19" s="20">
        <f>IF($N19="","⏳ بانتظار هدف",IF($N19&gt;=1.0,"✅ محقق",IF($N19&gt;=0.85,"🟡 قريب","🔴 تحت الهدف")))</f>
        <v/>
      </c>
      <c r="P19" s="86" t="inlineStr">
        <is>
          <t>يقيس إكمال تقييمات الأداء ضمن المدة المحددة، ومدى توفر بدلاء أو مرشحين داخليين للوظائف الحرجة والقيادية لدعم استمرارية الأعمال.</t>
        </is>
      </c>
      <c r="Q19" s="86" t="inlineStr">
        <is>
          <t>نظام الموارد البشرية (HRMS)</t>
        </is>
      </c>
      <c r="R19" s="15" t="inlineStr">
        <is>
          <t>شهري</t>
        </is>
      </c>
    </row>
  </sheetData>
  <autoFilter ref="A3:R19"/>
  <mergeCells count="2">
    <mergeCell ref="A2:R2"/>
    <mergeCell ref="A1:R1"/>
  </mergeCells>
  <dataValidations count="1">
    <dataValidation sqref="M5 M6 M7 M8 M9 M11 M12 M14 M15 M17 M18 M19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1"/>
    <pageSetUpPr/>
  </sheetPr>
  <dimension ref="A1:R2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التسويق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4" customHeight="1">
      <c r="B4" s="78" t="inlineStr">
        <is>
          <t>الإدارة العامة</t>
        </is>
      </c>
      <c r="C4" s="79" t="inlineStr">
        <is>
          <t>📊 مؤشر الإدارة العامة العام</t>
        </is>
      </c>
      <c r="D4" s="80" t="n"/>
      <c r="E4" s="80" t="n"/>
      <c r="F4" s="81" t="inlineStr">
        <is>
          <t>🔷 أساسي</t>
        </is>
      </c>
      <c r="G4" s="82" t="n">
        <v>0.14</v>
      </c>
      <c r="H4" s="80" t="n"/>
      <c r="I4" s="80" t="n"/>
      <c r="J4" s="80" t="n"/>
      <c r="K4" s="80" t="n"/>
      <c r="L4" s="80" t="n"/>
      <c r="M4" s="80" t="n"/>
      <c r="N4" s="83">
        <f>IFERROR(SUMIFS('قاعدة المؤشرات'!$J:$J,'قاعدة المؤشرات'!$B:$B,"التسويق",'قاعدة المؤشرات'!$L:$L,"الإدارة العامة")/SUMIFS('قاعدة المؤشرات'!$K:$K,'قاعدة المؤشرات'!$B:$B,"التسويق",'قاعدة المؤشرات'!$L:$L,"الإدارة العامة"),"")</f>
        <v/>
      </c>
      <c r="O4" s="84">
        <f>IF($N4="","⏳ بانتظار هدف",IF($N4&gt;=1,"✅ محقق",IF($N4&gt;=0.85,"🟡 قريب","🔴 تحت الهدف")))</f>
        <v/>
      </c>
      <c r="P4" s="80" t="n"/>
      <c r="Q4" s="80" t="n"/>
      <c r="R4" s="80" t="n"/>
    </row>
    <row r="5" outlineLevel="1" ht="26" customHeight="1">
      <c r="A5" s="20" t="n">
        <v>1</v>
      </c>
      <c r="B5" s="21" t="inlineStr">
        <is>
          <t>الإدارة العامة</t>
        </is>
      </c>
      <c r="C5" s="21" t="inlineStr">
        <is>
          <t>الوصول الكلي (Total Reach)</t>
        </is>
      </c>
      <c r="D5" s="55" t="inlineStr">
        <is>
          <t>وصول</t>
        </is>
      </c>
      <c r="E5" s="55" t="inlineStr">
        <is>
          <t>↑</t>
        </is>
      </c>
      <c r="F5" s="15" t="inlineStr">
        <is>
          <t>🔴 رئيسي</t>
        </is>
      </c>
      <c r="G5" s="64" t="n">
        <v>0.08</v>
      </c>
      <c r="H5" s="60" t="n">
        <v>50000000</v>
      </c>
      <c r="I5" s="22" t="inlineStr">
        <is>
          <t>50م وصول</t>
        </is>
      </c>
      <c r="J5" s="85" t="inlineStr">
        <is>
          <t>النمو</t>
        </is>
      </c>
      <c r="K5" s="11" t="inlineStr">
        <is>
          <t>زيادة وصول العملاء</t>
        </is>
      </c>
      <c r="L5" s="15" t="inlineStr">
        <is>
          <t>العملاء</t>
        </is>
      </c>
      <c r="M5" s="61" t="n">
        <v>5000000</v>
      </c>
      <c r="N5" s="10">
        <f>IF($H5="","",IF($M5="","",MIN(1,IF($H5=0,IF($M5&lt;=0,1,0),IF($E5="↓",IFERROR($H5/$M5,0),IFERROR($M5/$H5,0))))))</f>
        <v/>
      </c>
      <c r="O5" s="20">
        <f>IF($N5="","⏳ بانتظار هدف",IF($N5&gt;=0.9,"✅ محقق",IF($N5&gt;=0.75,"🟡 قريب","🔴 تحت الهدف")))</f>
        <v/>
      </c>
      <c r="P5" s="86" t="inlineStr">
        <is>
          <t>إجمالي عدد «الوصول الكلي» المُسجّل خلال الفترة</t>
        </is>
      </c>
      <c r="Q5" s="86" t="inlineStr">
        <is>
          <t>أنظمة التسويق الرقمي / تانكي</t>
        </is>
      </c>
      <c r="R5" s="15" t="inlineStr">
        <is>
          <t>شهري</t>
        </is>
      </c>
    </row>
    <row r="6" outlineLevel="1" ht="26" customHeight="1">
      <c r="A6" s="20" t="n">
        <v>2</v>
      </c>
      <c r="B6" s="21" t="inlineStr">
        <is>
          <t>الإدارة العامة</t>
        </is>
      </c>
      <c r="C6" s="21" t="inlineStr">
        <is>
          <t>عملاء تجاريون جدد</t>
        </is>
      </c>
      <c r="D6" s="55" t="inlineStr">
        <is>
          <t>عميل</t>
        </is>
      </c>
      <c r="E6" s="55" t="inlineStr">
        <is>
          <t>↑</t>
        </is>
      </c>
      <c r="F6" s="15" t="inlineStr">
        <is>
          <t>🟠 مهم</t>
        </is>
      </c>
      <c r="G6" s="64" t="n">
        <v>0.06</v>
      </c>
      <c r="H6" s="60" t="n">
        <v>200</v>
      </c>
      <c r="I6" s="22" t="inlineStr">
        <is>
          <t>200 عميل</t>
        </is>
      </c>
      <c r="J6" s="85" t="inlineStr">
        <is>
          <t>النمو</t>
        </is>
      </c>
      <c r="K6" s="11" t="inlineStr">
        <is>
          <t>زيادة وصول العملاء</t>
        </is>
      </c>
      <c r="L6" s="15" t="inlineStr">
        <is>
          <t>العملاء</t>
        </is>
      </c>
      <c r="M6" s="61" t="n">
        <v>1</v>
      </c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محقق",IF($N6&gt;=0.85,"🟡 قريب","🔴 تحت الهدف")))</f>
        <v/>
      </c>
      <c r="P6" s="86" t="inlineStr">
        <is>
          <t>إجمالي عدد «عملاء تجاريون جدد» المُسجّل خلال الفترة</t>
        </is>
      </c>
      <c r="Q6" s="86" t="inlineStr">
        <is>
          <t>سجلات الإدارة</t>
        </is>
      </c>
      <c r="R6" s="15" t="inlineStr">
        <is>
          <t>شهري</t>
        </is>
      </c>
    </row>
    <row r="7" ht="24" customHeight="1">
      <c r="B7" s="78" t="inlineStr">
        <is>
          <t>الفريق الإبداعي</t>
        </is>
      </c>
      <c r="C7" s="79" t="inlineStr">
        <is>
          <t>📊 مؤشر الفريق الإبداعي العام</t>
        </is>
      </c>
      <c r="D7" s="80" t="n"/>
      <c r="E7" s="80" t="n"/>
      <c r="F7" s="81" t="inlineStr">
        <is>
          <t>🔷 أساسي</t>
        </is>
      </c>
      <c r="G7" s="82" t="n">
        <v>0.16</v>
      </c>
      <c r="H7" s="80" t="n"/>
      <c r="I7" s="80" t="n"/>
      <c r="J7" s="80" t="n"/>
      <c r="K7" s="80" t="n"/>
      <c r="L7" s="80" t="n"/>
      <c r="M7" s="80" t="n"/>
      <c r="N7" s="83">
        <f>IFERROR(SUMIFS('قاعدة المؤشرات'!$J:$J,'قاعدة المؤشرات'!$B:$B,"التسويق",'قاعدة المؤشرات'!$L:$L,"الفريق الإبداعي")/SUMIFS('قاعدة المؤشرات'!$K:$K,'قاعدة المؤشرات'!$B:$B,"التسويق",'قاعدة المؤشرات'!$L:$L,"الفريق الإبداعي"),"")</f>
        <v/>
      </c>
      <c r="O7" s="84">
        <f>IF($N7="","⏳ بانتظار هدف",IF($N7&gt;=1,"✅ محقق",IF($N7&gt;=0.85,"🟡 قريب","🔴 تحت الهدف")))</f>
        <v/>
      </c>
      <c r="P7" s="80" t="n"/>
      <c r="Q7" s="80" t="n"/>
      <c r="R7" s="80" t="n"/>
    </row>
    <row r="8" outlineLevel="1" ht="26" customHeight="1">
      <c r="A8" s="20" t="n">
        <v>3</v>
      </c>
      <c r="B8" s="21" t="inlineStr">
        <is>
          <t>الفريق الإبداعي</t>
        </is>
      </c>
      <c r="C8" s="21" t="inlineStr">
        <is>
          <t>إجمالي المتابعين (كل المنصات)</t>
        </is>
      </c>
      <c r="D8" s="55" t="inlineStr">
        <is>
          <t>متابع</t>
        </is>
      </c>
      <c r="E8" s="55" t="inlineStr">
        <is>
          <t>↑</t>
        </is>
      </c>
      <c r="F8" s="15" t="inlineStr">
        <is>
          <t>🔴 رئيسي</t>
        </is>
      </c>
      <c r="G8" s="64" t="n">
        <v>0.08</v>
      </c>
      <c r="H8" s="60" t="n">
        <v>380000</v>
      </c>
      <c r="I8" s="22" t="inlineStr">
        <is>
          <t>380ك متابع</t>
        </is>
      </c>
      <c r="J8" s="85" t="inlineStr">
        <is>
          <t>النمو</t>
        </is>
      </c>
      <c r="K8" s="11" t="inlineStr">
        <is>
          <t>زيادة وصول العملاء</t>
        </is>
      </c>
      <c r="L8" s="15" t="inlineStr">
        <is>
          <t>العملاء</t>
        </is>
      </c>
      <c r="M8" s="61" t="n">
        <v>253000</v>
      </c>
      <c r="N8" s="10">
        <f>IF($H8="","",IF($M8="","",MIN(1,IF($H8=0,IF($M8&lt;=0,1,0),IF($E8="↓",IFERROR($H8/$M8,0),IFERROR($M8/$H8,0))))))</f>
        <v/>
      </c>
      <c r="O8" s="20">
        <f>IF($N8="","⏳ بانتظار هدف",IF($N8&gt;=0.9,"✅ محقق",IF($N8&gt;=0.75,"🟡 قريب","🔴 تحت الهدف")))</f>
        <v/>
      </c>
      <c r="P8" s="86" t="inlineStr">
        <is>
          <t>مجموع «المتابعين» خلال الفترة</t>
        </is>
      </c>
      <c r="Q8" s="86" t="inlineStr">
        <is>
          <t>أنظمة التسويق الرقمي / تانكي</t>
        </is>
      </c>
      <c r="R8" s="15" t="inlineStr">
        <is>
          <t>شهري</t>
        </is>
      </c>
    </row>
    <row r="9" outlineLevel="1" ht="26" customHeight="1">
      <c r="A9" s="20" t="n">
        <v>4</v>
      </c>
      <c r="B9" s="21" t="inlineStr">
        <is>
          <t>الفريق الإبداعي</t>
        </is>
      </c>
      <c r="C9" s="21" t="inlineStr">
        <is>
          <t>معدل التفاعل (Engagement)</t>
        </is>
      </c>
      <c r="D9" s="55" t="inlineStr">
        <is>
          <t>%</t>
        </is>
      </c>
      <c r="E9" s="55" t="inlineStr">
        <is>
          <t>↑</t>
        </is>
      </c>
      <c r="F9" s="15" t="inlineStr">
        <is>
          <t>🔴 رئيسي</t>
        </is>
      </c>
      <c r="G9" s="64" t="n">
        <v>0.08</v>
      </c>
      <c r="H9" s="64" t="n">
        <v>0.5</v>
      </c>
      <c r="I9" s="22" t="inlineStr">
        <is>
          <t>50%</t>
        </is>
      </c>
      <c r="J9" s="85" t="inlineStr">
        <is>
          <t>النمو</t>
        </is>
      </c>
      <c r="K9" s="11" t="inlineStr">
        <is>
          <t>زيادة وصول العملاء</t>
        </is>
      </c>
      <c r="L9" s="15" t="inlineStr">
        <is>
          <t>العملاء</t>
        </is>
      </c>
      <c r="M9" s="65" t="n">
        <v>0</v>
      </c>
      <c r="N9" s="10">
        <f>IF($H9="","",IF($M9="","",MIN(1,IF($H9=0,IF($M9&lt;=0,1,0),IF($E9="↓",IFERROR($H9/$M9,0),IFERROR($M9/$H9,0))))))</f>
        <v/>
      </c>
      <c r="O9" s="20">
        <f>IF($N9="","⏳ بانتظار هدف",IF($N9&gt;=0.9,"✅ محقق",IF($N9&gt;=0.75,"🟡 قريب","🔴 تحت الهدف")))</f>
        <v/>
      </c>
      <c r="P9" s="86" t="inlineStr">
        <is>
          <t>عدد حالات «التفاعل» خلال الفترة ÷ إجمالي الحالات القابلة للقياس × 100٪</t>
        </is>
      </c>
      <c r="Q9" s="86" t="inlineStr">
        <is>
          <t>أنظمة التسويق الرقمي / تانكي</t>
        </is>
      </c>
      <c r="R9" s="15" t="inlineStr">
        <is>
          <t>شهري</t>
        </is>
      </c>
    </row>
    <row r="10" ht="24" customHeight="1">
      <c r="B10" s="78" t="inlineStr">
        <is>
          <t>الحملات التسويقية</t>
        </is>
      </c>
      <c r="C10" s="79" t="inlineStr">
        <is>
          <t>📊 مؤشر الحملات التسويقية العام</t>
        </is>
      </c>
      <c r="D10" s="80" t="n"/>
      <c r="E10" s="80" t="n"/>
      <c r="F10" s="81" t="inlineStr">
        <is>
          <t>🔷 أساسي</t>
        </is>
      </c>
      <c r="G10" s="82" t="n">
        <v>0.22</v>
      </c>
      <c r="H10" s="80" t="n"/>
      <c r="I10" s="80" t="n"/>
      <c r="J10" s="80" t="n"/>
      <c r="K10" s="80" t="n"/>
      <c r="L10" s="80" t="n"/>
      <c r="M10" s="80" t="n"/>
      <c r="N10" s="83">
        <f>IFERROR(SUMIFS('قاعدة المؤشرات'!$J:$J,'قاعدة المؤشرات'!$B:$B,"التسويق",'قاعدة المؤشرات'!$L:$L,"الحملات التسويقية")/SUMIFS('قاعدة المؤشرات'!$K:$K,'قاعدة المؤشرات'!$B:$B,"التسويق",'قاعدة المؤشرات'!$L:$L,"الحملات التسويقية"),"")</f>
        <v/>
      </c>
      <c r="O10" s="84">
        <f>IF($N10="","⏳ بانتظار هدف",IF($N10&gt;=1,"✅ محقق",IF($N10&gt;=0.85,"🟡 قريب","🔴 تحت الهدف")))</f>
        <v/>
      </c>
      <c r="P10" s="80" t="n"/>
      <c r="Q10" s="80" t="n"/>
      <c r="R10" s="80" t="n"/>
    </row>
    <row r="11" outlineLevel="1" ht="26" customHeight="1">
      <c r="A11" s="20" t="n">
        <v>5</v>
      </c>
      <c r="B11" s="21" t="inlineStr">
        <is>
          <t>الحملات التسويقية</t>
        </is>
      </c>
      <c r="C11" s="21" t="inlineStr">
        <is>
          <t>حملات تسويقية منجزة</t>
        </is>
      </c>
      <c r="D11" s="55" t="inlineStr">
        <is>
          <t>حملة</t>
        </is>
      </c>
      <c r="E11" s="55" t="inlineStr">
        <is>
          <t>↑</t>
        </is>
      </c>
      <c r="F11" s="15" t="inlineStr">
        <is>
          <t>🟠 مهم</t>
        </is>
      </c>
      <c r="G11" s="64" t="n">
        <v>0.06</v>
      </c>
      <c r="H11" s="60" t="n">
        <v>48</v>
      </c>
      <c r="I11" s="22" t="inlineStr">
        <is>
          <t>48 حملة</t>
        </is>
      </c>
      <c r="J11" s="85" t="inlineStr">
        <is>
          <t>النمو</t>
        </is>
      </c>
      <c r="K11" s="11" t="inlineStr">
        <is>
          <t>زيادة وصول العملاء</t>
        </is>
      </c>
      <c r="L11" s="15" t="inlineStr">
        <is>
          <t>العمليات الداخلية</t>
        </is>
      </c>
      <c r="M11" s="61" t="n">
        <v>11</v>
      </c>
      <c r="N11" s="10">
        <f>IF($H11="","",IF($M11="","",MIN(1,IF($H11=0,IF($M11&lt;=0,1,0),IF($E11="↓",IFERROR($H11/$M11,0),IFERROR($M11/$H11,0))))))</f>
        <v/>
      </c>
      <c r="O11" s="20">
        <f>IF($N11="","⏳ بانتظار هدف",IF($N11&gt;=1.0,"✅ محقق",IF($N11&gt;=0.85,"🟡 قريب","🔴 تحت الهدف")))</f>
        <v/>
      </c>
      <c r="P11" s="86" t="inlineStr">
        <is>
          <t>إجمالي عدد «حملات تسويقية منجزة» المُسجّل خلال الفترة</t>
        </is>
      </c>
      <c r="Q11" s="86" t="inlineStr">
        <is>
          <t>أنظمة التسويق الرقمي / تانكي</t>
        </is>
      </c>
      <c r="R11" s="15" t="inlineStr">
        <is>
          <t>شهري</t>
        </is>
      </c>
    </row>
    <row r="12" outlineLevel="1" ht="26" customHeight="1">
      <c r="A12" s="20" t="n">
        <v>6</v>
      </c>
      <c r="B12" s="21" t="inlineStr">
        <is>
          <t>الحملات التسويقية</t>
        </is>
      </c>
      <c r="C12" s="21" t="inlineStr">
        <is>
          <t>تحويل الفرص إلى عقود</t>
        </is>
      </c>
      <c r="D12" s="55" t="inlineStr">
        <is>
          <t>%</t>
        </is>
      </c>
      <c r="E12" s="55" t="inlineStr">
        <is>
          <t>↑</t>
        </is>
      </c>
      <c r="F12" s="15" t="inlineStr">
        <is>
          <t>🔴 رئيسي</t>
        </is>
      </c>
      <c r="G12" s="64" t="n">
        <v>0.08</v>
      </c>
      <c r="H12" s="64" t="n">
        <v>0.25</v>
      </c>
      <c r="I12" s="22" t="inlineStr">
        <is>
          <t>25%</t>
        </is>
      </c>
      <c r="J12" s="85" t="inlineStr">
        <is>
          <t>النمو</t>
        </is>
      </c>
      <c r="K12" s="11" t="inlineStr">
        <is>
          <t>زيادة وصول العملاء</t>
        </is>
      </c>
      <c r="L12" s="15" t="inlineStr">
        <is>
          <t>العمليات الداخلية</t>
        </is>
      </c>
      <c r="M12" s="65" t="n">
        <v>0.17</v>
      </c>
      <c r="N12" s="10">
        <f>IF($H12="","",IF($M12="","",MIN(1,IF($H12=0,IF($M12&lt;=0,1,0),IF($E12="↓",IFERROR($H12/$M12,0),IFERROR($M12/$H12,0))))))</f>
        <v/>
      </c>
      <c r="O12" s="20">
        <f>IF($N12="","⏳ بانتظار هدف",IF($N12&gt;=1.0,"✅ محقق",IF($N12&gt;=0.85,"🟡 قريب","🔴 تحت الهدف")))</f>
        <v/>
      </c>
      <c r="P12" s="86" t="inlineStr">
        <is>
          <t>القيمة المتحقّقة من «تحويل الفرص إلى عقود» ÷ المستهدف × 100٪</t>
        </is>
      </c>
      <c r="Q12" s="86" t="inlineStr">
        <is>
          <t>أنظمة التسويق الرقمي / تانكي</t>
        </is>
      </c>
      <c r="R12" s="15" t="inlineStr">
        <is>
          <t>شهري</t>
        </is>
      </c>
    </row>
    <row r="13" outlineLevel="1" ht="26" customHeight="1">
      <c r="A13" s="20" t="n">
        <v>7</v>
      </c>
      <c r="B13" s="21" t="inlineStr">
        <is>
          <t>الحملات التسويقية</t>
        </is>
      </c>
      <c r="C13" s="21" t="inlineStr">
        <is>
          <t>نسبة المبيعات لكل حملة</t>
        </is>
      </c>
      <c r="D13" s="55" t="inlineStr">
        <is>
          <t>%</t>
        </is>
      </c>
      <c r="E13" s="55" t="inlineStr">
        <is>
          <t>↑</t>
        </is>
      </c>
      <c r="F13" s="15" t="inlineStr">
        <is>
          <t>🔴 رئيسي</t>
        </is>
      </c>
      <c r="G13" s="64" t="n">
        <v>0.08</v>
      </c>
      <c r="H13" s="64" t="n">
        <v>1</v>
      </c>
      <c r="I13" s="22" t="inlineStr">
        <is>
          <t>100%</t>
        </is>
      </c>
      <c r="J13" s="85" t="inlineStr">
        <is>
          <t>النمو</t>
        </is>
      </c>
      <c r="K13" s="11" t="inlineStr">
        <is>
          <t>زيادة وصول العملاء</t>
        </is>
      </c>
      <c r="L13" s="15" t="inlineStr">
        <is>
          <t>مالي</t>
        </is>
      </c>
      <c r="M13" s="65" t="n">
        <v>0.16</v>
      </c>
      <c r="N13" s="10">
        <f>IF($H13="","",IF($M13="","",MIN(1,IF($H13=0,IF($M13&lt;=0,1,0),IF($E13="↓",IFERROR($H13/$M13,0),IFERROR($M13/$H13,0))))))</f>
        <v/>
      </c>
      <c r="O13" s="20">
        <f>IF($N13="","⏳ بانتظار هدف",IF($N13&gt;=1.0,"✅ محقق",IF($N13&gt;=0.85,"🟡 قريب","🔴 تحت الهدف")))</f>
        <v/>
      </c>
      <c r="P13" s="86" t="inlineStr">
        <is>
          <t>قيمة/عدد المتحقّق من «المبيعات لكل حملة» ÷ الإجمالي المستهدف لنفس البند × 100٪</t>
        </is>
      </c>
      <c r="Q13" s="86" t="inlineStr">
        <is>
          <t>أنظمة التسويق الرقمي / تانكي</t>
        </is>
      </c>
      <c r="R13" s="15" t="inlineStr">
        <is>
          <t>شهري</t>
        </is>
      </c>
    </row>
    <row r="14" ht="26" customHeight="1">
      <c r="A14" s="20" t="n">
        <v>8</v>
      </c>
      <c r="B14" s="21" t="inlineStr">
        <is>
          <t>الدعاية والإعلان</t>
        </is>
      </c>
      <c r="C14" s="21" t="inlineStr">
        <is>
          <t>نسبة التزام الهوية البصرية</t>
        </is>
      </c>
      <c r="D14" s="55" t="inlineStr">
        <is>
          <t>%</t>
        </is>
      </c>
      <c r="E14" s="55" t="inlineStr">
        <is>
          <t>↑</t>
        </is>
      </c>
      <c r="F14" s="15" t="inlineStr">
        <is>
          <t>🔴 رئيسي</t>
        </is>
      </c>
      <c r="G14" s="64" t="n">
        <v>0.08</v>
      </c>
      <c r="H14" s="64" t="n">
        <v>1</v>
      </c>
      <c r="I14" s="22" t="inlineStr">
        <is>
          <t>100%</t>
        </is>
      </c>
      <c r="J14" s="85" t="inlineStr">
        <is>
          <t>الابتكار</t>
        </is>
      </c>
      <c r="K14" s="11" t="inlineStr">
        <is>
          <t>تطوير التصاميم والهوية</t>
        </is>
      </c>
      <c r="L14" s="15" t="inlineStr">
        <is>
          <t>التعلّم والنمو</t>
        </is>
      </c>
      <c r="M14" s="65" t="n">
        <v>0.1</v>
      </c>
      <c r="N14" s="10">
        <f>IF($H14="","",IF($M14="","",MIN(1,IF($H14=0,IF($M14&lt;=0,1,0),IF($E14="↓",IFERROR($H14/$M14,0),IFERROR($M14/$H14,0))))))</f>
        <v/>
      </c>
      <c r="O14" s="20">
        <f>IF($N14="","⏳ بانتظار هدف",IF($N14&gt;=1.0,"✅ محقق",IF($N14&gt;=0.85,"🟡 قريب","🔴 تحت الهدف")))</f>
        <v/>
      </c>
      <c r="P14" s="86" t="inlineStr">
        <is>
          <t>قيمة/عدد المتحقّق من «التزام الهوية البصرية» ÷ الإجمالي المستهدف لنفس البند × 100٪</t>
        </is>
      </c>
      <c r="Q14" s="86" t="inlineStr">
        <is>
          <t>سجلات الإدارة</t>
        </is>
      </c>
      <c r="R14" s="15" t="inlineStr">
        <is>
          <t>شهري</t>
        </is>
      </c>
    </row>
    <row r="15" ht="24" customHeight="1">
      <c r="B15" s="78" t="inlineStr">
        <is>
          <t>العلاقات والشراكات</t>
        </is>
      </c>
      <c r="C15" s="79" t="inlineStr">
        <is>
          <t>📊 مؤشر العلاقات والشراكات العام</t>
        </is>
      </c>
      <c r="D15" s="80" t="n"/>
      <c r="E15" s="80" t="n"/>
      <c r="F15" s="81" t="inlineStr">
        <is>
          <t>🔷 أساسي</t>
        </is>
      </c>
      <c r="G15" s="82" t="n">
        <v>0.18</v>
      </c>
      <c r="H15" s="80" t="n"/>
      <c r="I15" s="80" t="n"/>
      <c r="J15" s="80" t="n"/>
      <c r="K15" s="80" t="n"/>
      <c r="L15" s="80" t="n"/>
      <c r="M15" s="80" t="n"/>
      <c r="N15" s="83">
        <f>IFERROR(SUMIFS('قاعدة المؤشرات'!$J:$J,'قاعدة المؤشرات'!$B:$B,"التسويق",'قاعدة المؤشرات'!$L:$L,"العلاقات والشراكات")/SUMIFS('قاعدة المؤشرات'!$K:$K,'قاعدة المؤشرات'!$B:$B,"التسويق",'قاعدة المؤشرات'!$L:$L,"العلاقات والشراكات"),"")</f>
        <v/>
      </c>
      <c r="O15" s="84">
        <f>IF($N15="","⏳ بانتظار هدف",IF($N15&gt;=1,"✅ محقق",IF($N15&gt;=0.85,"🟡 قريب","🔴 تحت الهدف")))</f>
        <v/>
      </c>
      <c r="P15" s="80" t="n"/>
      <c r="Q15" s="80" t="n"/>
      <c r="R15" s="80" t="n"/>
    </row>
    <row r="16" outlineLevel="1" ht="26" customHeight="1">
      <c r="A16" s="20" t="n">
        <v>9</v>
      </c>
      <c r="B16" s="21" t="inlineStr">
        <is>
          <t>العلاقات والشراكات</t>
        </is>
      </c>
      <c r="C16" s="21" t="inlineStr">
        <is>
          <t>وصول العلاقات العامة (PR)</t>
        </is>
      </c>
      <c r="D16" s="55" t="inlineStr">
        <is>
          <t>وصول</t>
        </is>
      </c>
      <c r="E16" s="55" t="inlineStr">
        <is>
          <t>↑</t>
        </is>
      </c>
      <c r="F16" s="15" t="inlineStr">
        <is>
          <t>🟠 مهم</t>
        </is>
      </c>
      <c r="G16" s="64" t="n">
        <v>0.06</v>
      </c>
      <c r="H16" s="60" t="n">
        <v>7000000</v>
      </c>
      <c r="I16" s="22" t="inlineStr">
        <is>
          <t>7م وصول</t>
        </is>
      </c>
      <c r="J16" s="85" t="inlineStr">
        <is>
          <t>النمو</t>
        </is>
      </c>
      <c r="K16" s="11" t="inlineStr">
        <is>
          <t>زيادة وصول العملاء</t>
        </is>
      </c>
      <c r="L16" s="15" t="inlineStr">
        <is>
          <t>العملاء</t>
        </is>
      </c>
      <c r="M16" s="61" t="n">
        <v>1500000</v>
      </c>
      <c r="N16" s="10">
        <f>IF($H16="","",IF($M16="","",MIN(1,IF($H16=0,IF($M16&lt;=0,1,0),IF($E16="↓",IFERROR($H16/$M16,0),IFERROR($M16/$H16,0))))))</f>
        <v/>
      </c>
      <c r="O16" s="20">
        <f>IF($N16="","⏳ بانتظار هدف",IF($N16&gt;=1.0,"✅ محقق",IF($N16&gt;=0.85,"🟡 قريب","🔴 تحت الهدف")))</f>
        <v/>
      </c>
      <c r="P16" s="86" t="inlineStr">
        <is>
          <t>إجمالي عدد «وصول العلاقات العامة» المُسجّل خلال الفترة</t>
        </is>
      </c>
      <c r="Q16" s="86" t="inlineStr">
        <is>
          <t>أنظمة التسويق الرقمي / تانكي</t>
        </is>
      </c>
      <c r="R16" s="15" t="inlineStr">
        <is>
          <t>شهري</t>
        </is>
      </c>
    </row>
    <row r="17" outlineLevel="1" ht="26" customHeight="1">
      <c r="A17" s="20" t="n">
        <v>10</v>
      </c>
      <c r="B17" s="21" t="inlineStr">
        <is>
          <t>العلاقات والشراكات</t>
        </is>
      </c>
      <c r="C17" s="21" t="inlineStr">
        <is>
          <t>عدد المعارض بالسنة</t>
        </is>
      </c>
      <c r="D17" s="55" t="inlineStr">
        <is>
          <t>معرض</t>
        </is>
      </c>
      <c r="E17" s="55" t="inlineStr">
        <is>
          <t>↑</t>
        </is>
      </c>
      <c r="F17" s="15" t="inlineStr">
        <is>
          <t>🟠 مهم</t>
        </is>
      </c>
      <c r="G17" s="64" t="n">
        <v>0.06</v>
      </c>
      <c r="H17" s="60" t="n">
        <v>3</v>
      </c>
      <c r="I17" s="22" t="inlineStr">
        <is>
          <t>3 معارض</t>
        </is>
      </c>
      <c r="J17" s="85" t="inlineStr">
        <is>
          <t>الابتكار</t>
        </is>
      </c>
      <c r="K17" s="11" t="inlineStr">
        <is>
          <t>إطلاق مشاريع جديدة</t>
        </is>
      </c>
      <c r="L17" s="15" t="inlineStr">
        <is>
          <t>العمليات الداخلية</t>
        </is>
      </c>
      <c r="M17" s="61" t="n">
        <v>0</v>
      </c>
      <c r="N17" s="10">
        <f>IF($H17="","",IF($M17="","",MIN(1,IF($H17=0,IF($M17&lt;=0,1,0),IF($E17="↓",IFERROR($H17/$M17,0),IFERROR($M17/$H17,0))))))</f>
        <v/>
      </c>
      <c r="O17" s="20">
        <f>IF($N17="","⏳ بانتظار هدف",IF($N17&gt;=1.0,"✅ محقق",IF($N17&gt;=0.85,"🟡 قريب","🔴 تحت الهدف")))</f>
        <v/>
      </c>
      <c r="P17" s="86" t="inlineStr">
        <is>
          <t>إجمالي عدد «المعارض بالسنة» المُسجّلة خلال الفترة</t>
        </is>
      </c>
      <c r="Q17" s="86" t="inlineStr">
        <is>
          <t>سجلات الإدارة</t>
        </is>
      </c>
      <c r="R17" s="15" t="inlineStr">
        <is>
          <t>شهري</t>
        </is>
      </c>
    </row>
    <row r="18" outlineLevel="1" ht="26" customHeight="1">
      <c r="A18" s="20" t="n">
        <v>11</v>
      </c>
      <c r="B18" s="21" t="inlineStr">
        <is>
          <t>العلاقات والشراكات</t>
        </is>
      </c>
      <c r="C18" s="21" t="inlineStr">
        <is>
          <t>اتفاقيات استراتيجية</t>
        </is>
      </c>
      <c r="D18" s="55" t="inlineStr">
        <is>
          <t>اتفاقية</t>
        </is>
      </c>
      <c r="E18" s="55" t="inlineStr">
        <is>
          <t>↑</t>
        </is>
      </c>
      <c r="F18" s="15" t="inlineStr">
        <is>
          <t>🟠 مهم</t>
        </is>
      </c>
      <c r="G18" s="64" t="n">
        <v>0.06</v>
      </c>
      <c r="H18" s="60" t="n">
        <v>3</v>
      </c>
      <c r="I18" s="22" t="inlineStr">
        <is>
          <t>3 اتفاقيات</t>
        </is>
      </c>
      <c r="J18" s="85" t="inlineStr">
        <is>
          <t>الابتكار</t>
        </is>
      </c>
      <c r="K18" s="11" t="inlineStr">
        <is>
          <t>إطلاق مشاريع جديدة</t>
        </is>
      </c>
      <c r="L18" s="15" t="inlineStr">
        <is>
          <t>العمليات الداخلية</t>
        </is>
      </c>
      <c r="M18" s="61" t="n">
        <v>0</v>
      </c>
      <c r="N18" s="10">
        <f>IF($H18="","",IF($M18="","",MIN(1,IF($H18=0,IF($M18&lt;=0,1,0),IF($E18="↓",IFERROR($H18/$M18,0),IFERROR($M18/$H18,0))))))</f>
        <v/>
      </c>
      <c r="O18" s="20">
        <f>IF($N18="","⏳ بانتظار هدف",IF($N18&gt;=1.0,"✅ محقق",IF($N18&gt;=0.85,"🟡 قريب","🔴 تحت الهدف")))</f>
        <v/>
      </c>
      <c r="P18" s="86" t="inlineStr">
        <is>
          <t>إجمالي عدد «اتفاقيات استراتيجية» المُسجّل خلال الفترة</t>
        </is>
      </c>
      <c r="Q18" s="86" t="inlineStr">
        <is>
          <t>سجلات الإدارة</t>
        </is>
      </c>
      <c r="R18" s="15" t="inlineStr">
        <is>
          <t>شهري</t>
        </is>
      </c>
    </row>
    <row r="19" ht="24" customHeight="1">
      <c r="B19" s="78" t="inlineStr">
        <is>
          <t>خدمة العملاء والدعم</t>
        </is>
      </c>
      <c r="C19" s="79" t="inlineStr">
        <is>
          <t>📊 مؤشر خدمة العملاء والدعم العام</t>
        </is>
      </c>
      <c r="D19" s="80" t="n"/>
      <c r="E19" s="80" t="n"/>
      <c r="F19" s="81" t="inlineStr">
        <is>
          <t>🔷 أساسي</t>
        </is>
      </c>
      <c r="G19" s="82" t="n">
        <v>0.12</v>
      </c>
      <c r="H19" s="80" t="n"/>
      <c r="I19" s="80" t="n"/>
      <c r="J19" s="80" t="n"/>
      <c r="K19" s="80" t="n"/>
      <c r="L19" s="80" t="n"/>
      <c r="M19" s="80" t="n"/>
      <c r="N19" s="83">
        <f>IFERROR(SUMIFS('قاعدة المؤشرات'!$J:$J,'قاعدة المؤشرات'!$B:$B,"التسويق",'قاعدة المؤشرات'!$L:$L,"خدمة العملاء والدعم")/SUMIFS('قاعدة المؤشرات'!$K:$K,'قاعدة المؤشرات'!$B:$B,"التسويق",'قاعدة المؤشرات'!$L:$L,"خدمة العملاء والدعم"),"")</f>
        <v/>
      </c>
      <c r="O19" s="84">
        <f>IF($N19="","⏳ بانتظار هدف",IF($N19&gt;=1,"✅ محقق",IF($N19&gt;=0.85,"🟡 قريب","🔴 تحت الهدف")))</f>
        <v/>
      </c>
      <c r="P19" s="80" t="n"/>
      <c r="Q19" s="80" t="n"/>
      <c r="R19" s="80" t="n"/>
    </row>
    <row r="20" outlineLevel="1" ht="26" customHeight="1">
      <c r="A20" s="20" t="n">
        <v>12</v>
      </c>
      <c r="B20" s="21" t="inlineStr">
        <is>
          <t>خدمة العملاء والدعم</t>
        </is>
      </c>
      <c r="C20" s="21" t="inlineStr">
        <is>
          <t>تقييم خرائط قوقل</t>
        </is>
      </c>
      <c r="D20" s="55" t="inlineStr">
        <is>
          <t>نجمة/5</t>
        </is>
      </c>
      <c r="E20" s="55" t="inlineStr">
        <is>
          <t>↑</t>
        </is>
      </c>
      <c r="F20" s="15" t="inlineStr">
        <is>
          <t>🟠 مهم</t>
        </is>
      </c>
      <c r="G20" s="64" t="n">
        <v>0.06</v>
      </c>
      <c r="H20" s="67" t="n">
        <v>4.7</v>
      </c>
      <c r="I20" s="22" t="inlineStr">
        <is>
          <t>4.7 ⭐</t>
        </is>
      </c>
      <c r="J20" s="85" t="inlineStr">
        <is>
          <t>الاستدامة</t>
        </is>
      </c>
      <c r="K20" s="11" t="inlineStr">
        <is>
          <t>تعزيز تجربة العملاء</t>
        </is>
      </c>
      <c r="L20" s="15" t="inlineStr">
        <is>
          <t>العملاء</t>
        </is>
      </c>
      <c r="M20" s="68" t="n">
        <v>4</v>
      </c>
      <c r="N20" s="10">
        <f>IF($H20="","",IF($M20="","",MIN(1,IF($H20=0,IF($M20&lt;=0,1,0),IF($E20="↓",IFERROR($H20/$M20,0),IFERROR($M20/$H20,0))))))</f>
        <v/>
      </c>
      <c r="O20" s="20">
        <f>IF($N20="","⏳ بانتظار هدف",IF($N20&gt;=1.0,"✅ محقق",IF($N20&gt;=0.85,"🟡 قريب","🔴 تحت الهدف")))</f>
        <v/>
      </c>
      <c r="P20" s="86" t="inlineStr">
        <is>
          <t>متوسط تقييم «تقييم خرائط قوقل» على مقياسه المعتمد</t>
        </is>
      </c>
      <c r="Q20" s="86" t="inlineStr">
        <is>
          <t>تقييمات خرائط قوقل</t>
        </is>
      </c>
      <c r="R20" s="15" t="inlineStr">
        <is>
          <t>شهري</t>
        </is>
      </c>
    </row>
    <row r="21" outlineLevel="1" ht="26" customHeight="1">
      <c r="A21" s="20" t="n">
        <v>13</v>
      </c>
      <c r="B21" s="21" t="inlineStr">
        <is>
          <t>خدمة العملاء والدعم</t>
        </is>
      </c>
      <c r="C21" s="21" t="inlineStr">
        <is>
          <t>معدل خفض الشكاوى</t>
        </is>
      </c>
      <c r="D21" s="55" t="inlineStr">
        <is>
          <t>%</t>
        </is>
      </c>
      <c r="E21" s="55" t="inlineStr">
        <is>
          <t>↑</t>
        </is>
      </c>
      <c r="F21" s="15" t="inlineStr">
        <is>
          <t>🟠 مهم</t>
        </is>
      </c>
      <c r="G21" s="64" t="n">
        <v>0.06</v>
      </c>
      <c r="H21" s="64" t="n">
        <v>0.3</v>
      </c>
      <c r="I21" s="22" t="inlineStr">
        <is>
          <t>30%</t>
        </is>
      </c>
      <c r="J21" s="85" t="inlineStr">
        <is>
          <t>الاستدامة</t>
        </is>
      </c>
      <c r="K21" s="11" t="inlineStr">
        <is>
          <t>تعزيز تجربة العملاء</t>
        </is>
      </c>
      <c r="L21" s="15" t="inlineStr">
        <is>
          <t>العملاء</t>
        </is>
      </c>
      <c r="M21" s="65" t="n">
        <v>0.21</v>
      </c>
      <c r="N21" s="10">
        <f>IF($H21="","",IF($M21="","",MIN(1,IF($H21=0,IF($M21&lt;=0,1,0),IF($E21="↓",IFERROR($H21/$M21,0),IFERROR($M21/$H21,0))))))</f>
        <v/>
      </c>
      <c r="O21" s="20">
        <f>IF($N21="","⏳ بانتظار هدف",IF($N21&gt;=1.0,"✅ محقق",IF($N21&gt;=0.85,"🟡 قريب","🔴 تحت الهدف")))</f>
        <v/>
      </c>
      <c r="P21" s="86" t="inlineStr">
        <is>
          <t>عدد حالات «خفض الشكاوى» خلال الفترة ÷ إجمالي الحالات القابلة للقياس × 100٪</t>
        </is>
      </c>
      <c r="Q21" s="86" t="inlineStr">
        <is>
          <t>سجلات الإدارة</t>
        </is>
      </c>
      <c r="R21" s="15" t="inlineStr">
        <is>
          <t>شهري</t>
        </is>
      </c>
    </row>
    <row r="22" ht="24" customHeight="1">
      <c r="B22" s="78" t="inlineStr">
        <is>
          <t>تطبيق تانكي</t>
        </is>
      </c>
      <c r="C22" s="79" t="inlineStr">
        <is>
          <t>📊 مؤشر تطبيق تانكي العام</t>
        </is>
      </c>
      <c r="D22" s="80" t="n"/>
      <c r="E22" s="80" t="n"/>
      <c r="F22" s="81" t="inlineStr">
        <is>
          <t>🔷 أساسي</t>
        </is>
      </c>
      <c r="G22" s="82" t="n">
        <v>0.1</v>
      </c>
      <c r="H22" s="80" t="n"/>
      <c r="I22" s="80" t="n"/>
      <c r="J22" s="80" t="n"/>
      <c r="K22" s="80" t="n"/>
      <c r="L22" s="80" t="n"/>
      <c r="M22" s="80" t="n"/>
      <c r="N22" s="83">
        <f>IFERROR(SUMIFS('قاعدة المؤشرات'!$J:$J,'قاعدة المؤشرات'!$B:$B,"التسويق",'قاعدة المؤشرات'!$L:$L,"تطبيق تانكي")/SUMIFS('قاعدة المؤشرات'!$K:$K,'قاعدة المؤشرات'!$B:$B,"التسويق",'قاعدة المؤشرات'!$L:$L,"تطبيق تانكي"),"")</f>
        <v/>
      </c>
      <c r="O22" s="84">
        <f>IF($N22="","⏳ بانتظار هدف",IF($N22&gt;=1,"✅ محقق",IF($N22&gt;=0.85,"🟡 قريب","🔴 تحت الهدف")))</f>
        <v/>
      </c>
      <c r="P22" s="80" t="n"/>
      <c r="Q22" s="80" t="n"/>
      <c r="R22" s="80" t="n"/>
    </row>
    <row r="23" outlineLevel="1" ht="26" customHeight="1">
      <c r="A23" s="20" t="n">
        <v>14</v>
      </c>
      <c r="B23" s="21" t="inlineStr">
        <is>
          <t>تطبيق تانكي</t>
        </is>
      </c>
      <c r="C23" s="21" t="inlineStr">
        <is>
          <t>وصول محتوى تطبيق تانكي</t>
        </is>
      </c>
      <c r="D23" s="55" t="inlineStr">
        <is>
          <t>وصول</t>
        </is>
      </c>
      <c r="E23" s="55" t="inlineStr">
        <is>
          <t>↑</t>
        </is>
      </c>
      <c r="F23" s="15" t="inlineStr">
        <is>
          <t>🟠 مهم</t>
        </is>
      </c>
      <c r="G23" s="64" t="n">
        <v>0.05</v>
      </c>
      <c r="H23" s="60" t="n">
        <v>1000000</v>
      </c>
      <c r="I23" s="22" t="inlineStr">
        <is>
          <t>1م وصول</t>
        </is>
      </c>
      <c r="J23" s="85" t="inlineStr">
        <is>
          <t>الابتكار</t>
        </is>
      </c>
      <c r="K23" s="11" t="inlineStr">
        <is>
          <t>تطبيق «تانكي»</t>
        </is>
      </c>
      <c r="L23" s="15" t="inlineStr">
        <is>
          <t>العملاء</t>
        </is>
      </c>
      <c r="M23" s="61" t="n">
        <v>946380</v>
      </c>
      <c r="N23" s="10">
        <f>IF($H23="","",IF($M23="","",MIN(1,IF($H23=0,IF($M23&lt;=0,1,0),IF($E23="↓",IFERROR($H23/$M23,0),IFERROR($M23/$H23,0))))))</f>
        <v/>
      </c>
      <c r="O23" s="20">
        <f>IF($N23="","⏳ بانتظار هدف",IF($N23&gt;=1.0,"✅ محقق",IF($N23&gt;=0.85,"🟡 قريب","🔴 تحت الهدف")))</f>
        <v/>
      </c>
      <c r="P23" s="86" t="inlineStr">
        <is>
          <t>إجمالي عدد «وصول محتوى تطبيق تانكي» المُسجّل خلال الفترة</t>
        </is>
      </c>
      <c r="Q23" s="86" t="inlineStr">
        <is>
          <t>أنظمة التسويق الرقمي / تانكي</t>
        </is>
      </c>
      <c r="R23" s="15" t="inlineStr">
        <is>
          <t>شهري</t>
        </is>
      </c>
    </row>
    <row r="24" outlineLevel="1" ht="26" customHeight="1">
      <c r="A24" s="20" t="n">
        <v>15</v>
      </c>
      <c r="B24" s="21" t="inlineStr">
        <is>
          <t>تطبيق تانكي</t>
        </is>
      </c>
      <c r="C24" s="21" t="inlineStr">
        <is>
          <t>مشاركات تطبيق تانكي</t>
        </is>
      </c>
      <c r="D24" s="55" t="inlineStr">
        <is>
          <t>مشاركة</t>
        </is>
      </c>
      <c r="E24" s="55" t="inlineStr">
        <is>
          <t>↑</t>
        </is>
      </c>
      <c r="F24" s="15" t="inlineStr">
        <is>
          <t>🟠 مهم</t>
        </is>
      </c>
      <c r="G24" s="64" t="n">
        <v>0.05</v>
      </c>
      <c r="H24" s="60" t="n">
        <v>250</v>
      </c>
      <c r="I24" s="22" t="inlineStr">
        <is>
          <t>250 مشاركة</t>
        </is>
      </c>
      <c r="J24" s="85" t="inlineStr">
        <is>
          <t>الابتكار</t>
        </is>
      </c>
      <c r="K24" s="11" t="inlineStr">
        <is>
          <t>تطبيق «تانكي»</t>
        </is>
      </c>
      <c r="L24" s="15" t="inlineStr">
        <is>
          <t>العمليات الداخلية</t>
        </is>
      </c>
      <c r="M24" s="61" t="n">
        <v>180.7</v>
      </c>
      <c r="N24" s="10">
        <f>IF($H24="","",IF($M24="","",MIN(1,IF($H24=0,IF($M24&lt;=0,1,0),IF($E24="↓",IFERROR($H24/$M24,0),IFERROR($M24/$H24,0))))))</f>
        <v/>
      </c>
      <c r="O24" s="20">
        <f>IF($N24="","⏳ بانتظار هدف",IF($N24&gt;=1.0,"✅ محقق",IF($N24&gt;=0.85,"🟡 قريب","🔴 تحت الهدف")))</f>
        <v/>
      </c>
      <c r="P24" s="86" t="inlineStr">
        <is>
          <t>إجمالي عدد «مشاركات تطبيق تانكي» المُسجّل خلال الفترة</t>
        </is>
      </c>
      <c r="Q24" s="86" t="inlineStr">
        <is>
          <t>أنظمة التسويق الرقمي / تانكي</t>
        </is>
      </c>
      <c r="R24" s="15" t="inlineStr">
        <is>
          <t>شهري</t>
        </is>
      </c>
    </row>
  </sheetData>
  <autoFilter ref="A3:R24"/>
  <mergeCells count="2">
    <mergeCell ref="A2:R2"/>
    <mergeCell ref="A1:R1"/>
  </mergeCells>
  <dataValidations count="1">
    <dataValidation sqref="M5 M6 M8 M9 M11 M12 M13 M14 M16 M17 M18 M20 M21 M23 M2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1"/>
    <pageSetUpPr/>
  </sheetPr>
  <dimension ref="A1:R1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الجودة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4" customHeight="1">
      <c r="B4" s="78" t="inlineStr">
        <is>
          <t>مخاطر الجودة</t>
        </is>
      </c>
      <c r="C4" s="79" t="inlineStr">
        <is>
          <t>📊 مؤشر مخاطر الجودة العام</t>
        </is>
      </c>
      <c r="D4" s="80" t="n"/>
      <c r="E4" s="80" t="n"/>
      <c r="F4" s="81" t="inlineStr">
        <is>
          <t>🔷 أساسي</t>
        </is>
      </c>
      <c r="G4" s="82" t="n">
        <v>0.24</v>
      </c>
      <c r="H4" s="80" t="n"/>
      <c r="I4" s="80" t="n"/>
      <c r="J4" s="80" t="n"/>
      <c r="K4" s="80" t="n"/>
      <c r="L4" s="80" t="n"/>
      <c r="M4" s="80" t="n"/>
      <c r="N4" s="83">
        <f>IFERROR(SUMIFS('قاعدة المؤشرات'!$J:$J,'قاعدة المؤشرات'!$B:$B,"الجودة",'قاعدة المؤشرات'!$L:$L,"مخاطر الجودة")/SUMIFS('قاعدة المؤشرات'!$K:$K,'قاعدة المؤشرات'!$B:$B,"الجودة",'قاعدة المؤشرات'!$L:$L,"مخاطر الجودة"),"")</f>
        <v/>
      </c>
      <c r="O4" s="84">
        <f>IF($N4="","⏳ بانتظار هدف",IF($N4&gt;=1,"✅ محقق",IF($N4&gt;=0.85,"🟡 قريب","🔴 تحت الهدف")))</f>
        <v/>
      </c>
      <c r="P4" s="80" t="n"/>
      <c r="Q4" s="80" t="n"/>
      <c r="R4" s="80" t="n"/>
    </row>
    <row r="5" outlineLevel="1" ht="26" customHeight="1">
      <c r="A5" s="20" t="n">
        <v>1</v>
      </c>
      <c r="B5" s="21" t="inlineStr">
        <is>
          <t>مخاطر الجودة</t>
        </is>
      </c>
      <c r="C5" s="21" t="inlineStr">
        <is>
          <t>نسبة المحطات الحرجة</t>
        </is>
      </c>
      <c r="D5" s="55" t="inlineStr">
        <is>
          <t>%</t>
        </is>
      </c>
      <c r="E5" s="55" t="inlineStr">
        <is>
          <t>↓</t>
        </is>
      </c>
      <c r="F5" s="15" t="inlineStr">
        <is>
          <t>🔴 رئيسي</t>
        </is>
      </c>
      <c r="G5" s="64" t="n">
        <v>0.1</v>
      </c>
      <c r="H5" s="64" t="n">
        <v>0.05</v>
      </c>
      <c r="I5" s="22" t="inlineStr">
        <is>
          <t>&lt; 5%</t>
        </is>
      </c>
      <c r="J5" s="85" t="inlineStr">
        <is>
          <t>الاستدامة</t>
        </is>
      </c>
      <c r="K5" s="11" t="inlineStr">
        <is>
          <t>جودة التشغيل</t>
        </is>
      </c>
      <c r="L5" s="15" t="inlineStr">
        <is>
          <t>العمليات الداخلية</t>
        </is>
      </c>
      <c r="M5" s="65" t="n">
        <v>0.054</v>
      </c>
      <c r="N5" s="10">
        <f>IF($H5="","",IF($M5="","",MIN(1,IF($H5=0,IF($M5&lt;=0,1,0),IF($E5="↓",IFERROR($H5/$M5,0),IFERROR($M5/$H5,0))))))</f>
        <v/>
      </c>
      <c r="O5" s="20">
        <f>IF($N5="","⏳ بانتظار هدف",IF($N5&gt;=1.0,"✅ محقق",IF($N5&gt;=0.85,"🟡 قريب","🔴 تحت الهدف")))</f>
        <v/>
      </c>
      <c r="P5" s="86" t="inlineStr">
        <is>
          <t>قيمة/عدد المتحقّق من «المحطات الحرجة» ÷ الإجمالي المستهدف لنفس البند × 100٪</t>
        </is>
      </c>
      <c r="Q5" s="86" t="inlineStr">
        <is>
          <t>نظام إدارة الجودة (QMS)</t>
        </is>
      </c>
      <c r="R5" s="15" t="inlineStr">
        <is>
          <t>شهري</t>
        </is>
      </c>
    </row>
    <row r="6" ht="26" customHeight="1">
      <c r="A6" s="20" t="n">
        <v>2</v>
      </c>
      <c r="B6" s="21" t="inlineStr">
        <is>
          <t>جودة الوقود</t>
        </is>
      </c>
      <c r="C6" s="21" t="inlineStr">
        <is>
          <t>نسبة مطابقة جودة الوقود</t>
        </is>
      </c>
      <c r="D6" s="55" t="inlineStr">
        <is>
          <t>%</t>
        </is>
      </c>
      <c r="E6" s="55" t="inlineStr">
        <is>
          <t>↑</t>
        </is>
      </c>
      <c r="F6" s="15" t="inlineStr">
        <is>
          <t>🟠 مهم</t>
        </is>
      </c>
      <c r="G6" s="64" t="n">
        <v>0.07000000000000001</v>
      </c>
      <c r="H6" s="64" t="n">
        <v>0.995</v>
      </c>
      <c r="I6" s="22" t="inlineStr">
        <is>
          <t>99.5%</t>
        </is>
      </c>
      <c r="J6" s="85" t="inlineStr">
        <is>
          <t>الاستدامة</t>
        </is>
      </c>
      <c r="K6" s="11" t="inlineStr">
        <is>
          <t>جودة التشغيل</t>
        </is>
      </c>
      <c r="L6" s="15" t="inlineStr">
        <is>
          <t>العمليات الداخلية</t>
        </is>
      </c>
      <c r="M6" s="65" t="n">
        <v>0.804</v>
      </c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محقق",IF($N6&gt;=0.97,"🟡 قريب","🔴 تحت الهدف")))</f>
        <v/>
      </c>
      <c r="P6" s="86" t="inlineStr">
        <is>
          <t>قيمة/عدد المتحقّق من «مطابقة جودة الوقود» ÷ الإجمالي المستهدف لنفس البند × 100٪</t>
        </is>
      </c>
      <c r="Q6" s="86" t="inlineStr">
        <is>
          <t>نظام إدارة الجودة (QMS)</t>
        </is>
      </c>
      <c r="R6" s="15" t="inlineStr">
        <is>
          <t>شهري</t>
        </is>
      </c>
    </row>
    <row r="7" ht="26" customHeight="1">
      <c r="A7" s="20" t="n">
        <v>3</v>
      </c>
      <c r="B7" s="21" t="inlineStr">
        <is>
          <t>معالجة وتصحيح</t>
        </is>
      </c>
      <c r="C7" s="21" t="inlineStr">
        <is>
          <t>نسبة إغلاق الملاحظات في الوقت المحدد</t>
        </is>
      </c>
      <c r="D7" s="55" t="inlineStr">
        <is>
          <t>%</t>
        </is>
      </c>
      <c r="E7" s="55" t="inlineStr">
        <is>
          <t>↑</t>
        </is>
      </c>
      <c r="F7" s="15" t="inlineStr">
        <is>
          <t>🟠 مهم</t>
        </is>
      </c>
      <c r="G7" s="64" t="n">
        <v>0.07000000000000001</v>
      </c>
      <c r="H7" s="64" t="n">
        <v>0.9</v>
      </c>
      <c r="I7" s="22" t="inlineStr">
        <is>
          <t>≥ 90%</t>
        </is>
      </c>
      <c r="J7" s="85" t="inlineStr">
        <is>
          <t>الاستدامة</t>
        </is>
      </c>
      <c r="K7" s="11" t="inlineStr">
        <is>
          <t>جودة التشغيل</t>
        </is>
      </c>
      <c r="L7" s="15" t="inlineStr">
        <is>
          <t>العمليات الداخلية</t>
        </is>
      </c>
      <c r="M7" s="65" t="n">
        <v>0.6870000000000001</v>
      </c>
      <c r="N7" s="10">
        <f>IF($H7="","",IF($M7="","",MIN(1,IF($H7=0,IF($M7&lt;=0,1,0),IF($E7="↓",IFERROR($H7/$M7,0),IFERROR($M7/$H7,0))))))</f>
        <v/>
      </c>
      <c r="O7" s="20">
        <f>IF($N7="","⏳ بانتظار هدف",IF($N7&gt;=1.0,"✅ محقق",IF($N7&gt;=0.85,"🟡 قريب","🔴 تحت الهدف")))</f>
        <v/>
      </c>
      <c r="P7" s="86" t="inlineStr">
        <is>
          <t>قيمة/عدد المتحقّق من «إغلاق الملاحظات في الوقت المحدد» ÷ الإجمالي المستهدف لنفس البند × 100٪</t>
        </is>
      </c>
      <c r="Q7" s="86" t="inlineStr">
        <is>
          <t>نظام إدارة الجودة (QMS)</t>
        </is>
      </c>
      <c r="R7" s="15" t="inlineStr">
        <is>
          <t>شهري</t>
        </is>
      </c>
    </row>
    <row r="8" ht="26" customHeight="1">
      <c r="A8" s="20" t="n">
        <v>4</v>
      </c>
      <c r="B8" s="21" t="inlineStr">
        <is>
          <t>تحسين ووقاية</t>
        </is>
      </c>
      <c r="C8" s="21" t="inlineStr">
        <is>
          <t>نسبة فعالية الإجراءات التصحيحية</t>
        </is>
      </c>
      <c r="D8" s="55" t="inlineStr">
        <is>
          <t>%</t>
        </is>
      </c>
      <c r="E8" s="55" t="inlineStr">
        <is>
          <t>↑</t>
        </is>
      </c>
      <c r="F8" s="15" t="inlineStr">
        <is>
          <t>🟠 مهم</t>
        </is>
      </c>
      <c r="G8" s="64" t="n">
        <v>0.07000000000000001</v>
      </c>
      <c r="H8" s="64" t="n">
        <v>0.85</v>
      </c>
      <c r="I8" s="22" t="inlineStr">
        <is>
          <t>≥ 85%</t>
        </is>
      </c>
      <c r="J8" s="85" t="inlineStr">
        <is>
          <t>الاستدامة</t>
        </is>
      </c>
      <c r="K8" s="11" t="inlineStr">
        <is>
          <t>جودة التشغيل</t>
        </is>
      </c>
      <c r="L8" s="15" t="inlineStr">
        <is>
          <t>العمليات الداخلية</t>
        </is>
      </c>
      <c r="M8" s="65" t="n">
        <v>0.648</v>
      </c>
      <c r="N8" s="10">
        <f>IF($H8="","",IF($M8="","",MIN(1,IF($H8=0,IF($M8&lt;=0,1,0),IF($E8="↓",IFERROR($H8/$M8,0),IFERROR($M8/$H8,0))))))</f>
        <v/>
      </c>
      <c r="O8" s="20">
        <f>IF($N8="","⏳ بانتظار هدف",IF($N8&gt;=1.0,"✅ محقق",IF($N8&gt;=0.85,"🟡 قريب","🔴 تحت الهدف")))</f>
        <v/>
      </c>
      <c r="P8" s="86" t="inlineStr">
        <is>
          <t>قيمة/عدد المتحقّق من «فعالية الإجراءات التصحيحية» ÷ الإجمالي المستهدف لنفس البند × 100٪</t>
        </is>
      </c>
      <c r="Q8" s="86" t="inlineStr">
        <is>
          <t>سجلات الإدارة</t>
        </is>
      </c>
      <c r="R8" s="15" t="inlineStr">
        <is>
          <t>شهري</t>
        </is>
      </c>
    </row>
    <row r="9" ht="26" customHeight="1">
      <c r="A9" s="20" t="n">
        <v>5</v>
      </c>
      <c r="B9" s="21" t="inlineStr">
        <is>
          <t>منع التكرار</t>
        </is>
      </c>
      <c r="C9" s="21" t="inlineStr">
        <is>
          <t>نسبة تكرار الملاحظات</t>
        </is>
      </c>
      <c r="D9" s="55" t="inlineStr">
        <is>
          <t>%</t>
        </is>
      </c>
      <c r="E9" s="55" t="inlineStr">
        <is>
          <t>↓</t>
        </is>
      </c>
      <c r="F9" s="15" t="inlineStr">
        <is>
          <t>🟠 مهم</t>
        </is>
      </c>
      <c r="G9" s="64" t="n">
        <v>0.07000000000000001</v>
      </c>
      <c r="H9" s="64" t="n">
        <v>0.1</v>
      </c>
      <c r="I9" s="22" t="inlineStr">
        <is>
          <t>&lt; 10%</t>
        </is>
      </c>
      <c r="J9" s="85" t="inlineStr">
        <is>
          <t>الاستدامة</t>
        </is>
      </c>
      <c r="K9" s="11" t="inlineStr">
        <is>
          <t>جودة التشغيل</t>
        </is>
      </c>
      <c r="L9" s="15" t="inlineStr">
        <is>
          <t>العمليات الداخلية</t>
        </is>
      </c>
      <c r="M9" s="65" t="n">
        <v>0.114</v>
      </c>
      <c r="N9" s="10">
        <f>IF($H9="","",IF($M9="","",MIN(1,IF($H9=0,IF($M9&lt;=0,1,0),IF($E9="↓",IFERROR($H9/$M9,0),IFERROR($M9/$H9,0))))))</f>
        <v/>
      </c>
      <c r="O9" s="20">
        <f>IF($N9="","⏳ بانتظار هدف",IF($N9&gt;=1.0,"✅ محقق",IF($N9&gt;=0.85,"🟡 قريب","🔴 تحت الهدف")))</f>
        <v/>
      </c>
      <c r="P9" s="86" t="inlineStr">
        <is>
          <t>قيمة/عدد المتحقّق من «تكرار الملاحظات» ÷ الإجمالي المستهدف لنفس البند × 100٪</t>
        </is>
      </c>
      <c r="Q9" s="86" t="inlineStr">
        <is>
          <t>نظام إدارة الجودة (QMS)</t>
        </is>
      </c>
      <c r="R9" s="15" t="inlineStr">
        <is>
          <t>شهري</t>
        </is>
      </c>
    </row>
    <row r="10" ht="26" customHeight="1">
      <c r="A10" s="20" t="n">
        <v>6</v>
      </c>
      <c r="B10" s="21" t="inlineStr">
        <is>
          <t>تفتيش وتدقيق</t>
        </is>
      </c>
      <c r="C10" s="21" t="inlineStr">
        <is>
          <t>نسبة تنفيذ خطة التفتيش والتدقيق</t>
        </is>
      </c>
      <c r="D10" s="55" t="inlineStr">
        <is>
          <t>%</t>
        </is>
      </c>
      <c r="E10" s="55" t="inlineStr">
        <is>
          <t>↑</t>
        </is>
      </c>
      <c r="F10" s="15" t="inlineStr">
        <is>
          <t>🟠 مهم</t>
        </is>
      </c>
      <c r="G10" s="64" t="n">
        <v>0.07000000000000001</v>
      </c>
      <c r="H10" s="64" t="n">
        <v>0.95</v>
      </c>
      <c r="I10" s="22" t="inlineStr">
        <is>
          <t>≥ 95%</t>
        </is>
      </c>
      <c r="J10" s="85" t="inlineStr">
        <is>
          <t>الاستدامة</t>
        </is>
      </c>
      <c r="K10" s="11" t="inlineStr">
        <is>
          <t>جودة التشغيل</t>
        </is>
      </c>
      <c r="L10" s="15" t="inlineStr">
        <is>
          <t>العمليات الداخلية</t>
        </is>
      </c>
      <c r="M10" s="65" t="n">
        <v>0.728</v>
      </c>
      <c r="N10" s="10">
        <f>IF($H10="","",IF($M10="","",MIN(1,IF($H10=0,IF($M10&lt;=0,1,0),IF($E10="↓",IFERROR($H10/$M10,0),IFERROR($M10/$H10,0))))))</f>
        <v/>
      </c>
      <c r="O10" s="20">
        <f>IF($N10="","⏳ بانتظار هدف",IF($N10&gt;=1.0,"✅ محقق",IF($N10&gt;=0.85,"🟡 قريب","🔴 تحت الهدف")))</f>
        <v/>
      </c>
      <c r="P10" s="86" t="inlineStr">
        <is>
          <t>قيمة/عدد المتحقّق من «تنفيذ خطة التفتيش والتدقيق» ÷ الإجمالي المستهدف لنفس البند × 100٪</t>
        </is>
      </c>
      <c r="Q10" s="86" t="inlineStr">
        <is>
          <t>نظام المحاسبة / ERP (D365)</t>
        </is>
      </c>
      <c r="R10" s="15" t="inlineStr">
        <is>
          <t>ربعي</t>
        </is>
      </c>
    </row>
    <row r="11" ht="26" customHeight="1">
      <c r="A11" s="20" t="n">
        <v>7</v>
      </c>
      <c r="B11" s="21" t="inlineStr">
        <is>
          <t>حوكمة الجودة</t>
        </is>
      </c>
      <c r="C11" s="21" t="inlineStr">
        <is>
          <t>نسبة جاهزية نظام إدارة الجودة QMS</t>
        </is>
      </c>
      <c r="D11" s="55" t="inlineStr">
        <is>
          <t>%</t>
        </is>
      </c>
      <c r="E11" s="55" t="inlineStr">
        <is>
          <t>↑</t>
        </is>
      </c>
      <c r="F11" s="15" t="inlineStr">
        <is>
          <t>🔴 رئيسي</t>
        </is>
      </c>
      <c r="G11" s="64" t="n">
        <v>0.1</v>
      </c>
      <c r="H11" s="64" t="n">
        <v>0.9</v>
      </c>
      <c r="I11" s="22" t="inlineStr">
        <is>
          <t>80% ← 90%</t>
        </is>
      </c>
      <c r="J11" s="85" t="inlineStr">
        <is>
          <t>الاستدامة</t>
        </is>
      </c>
      <c r="K11" s="11" t="inlineStr">
        <is>
          <t>جودة التشغيل</t>
        </is>
      </c>
      <c r="L11" s="15" t="inlineStr">
        <is>
          <t>العمليات الداخلية</t>
        </is>
      </c>
      <c r="M11" s="65" t="n">
        <v>0.754</v>
      </c>
      <c r="N11" s="10">
        <f>IF($H11="","",IF($M11="","",MIN(1,IF($H11=0,IF($M11&lt;=0,1,0),IF($E11="↓",IFERROR($H11/$M11,0),IFERROR($M11/$H11,0))))))</f>
        <v/>
      </c>
      <c r="O11" s="20">
        <f>IF($N11="","⏳ بانتظار هدف",IF($N11&gt;=1.0,"✅ محقق",IF($N11&gt;=0.97,"🟡 قريب","🔴 تحت الهدف")))</f>
        <v/>
      </c>
      <c r="P11" s="86" t="inlineStr">
        <is>
          <t>قيمة/عدد المتحقّق من «جاهزية نظام إدارة الجودة QMS» ÷ الإجمالي المستهدف لنفس البند × 100٪</t>
        </is>
      </c>
      <c r="Q11" s="86" t="inlineStr">
        <is>
          <t>نظام إدارة الجودة (QMS)</t>
        </is>
      </c>
      <c r="R11" s="15" t="inlineStr">
        <is>
          <t>شهري</t>
        </is>
      </c>
    </row>
    <row r="12" outlineLevel="1" ht="26" customHeight="1">
      <c r="A12" s="20" t="n">
        <v>8</v>
      </c>
      <c r="B12" s="21" t="inlineStr">
        <is>
          <t>مخاطر الجودة</t>
        </is>
      </c>
      <c r="C12" s="21" t="inlineStr">
        <is>
          <t>عدد مخاطر الجودة الحرجة المفتوحة</t>
        </is>
      </c>
      <c r="D12" s="55" t="inlineStr">
        <is>
          <t>خطر</t>
        </is>
      </c>
      <c r="E12" s="55" t="inlineStr">
        <is>
          <t>↓</t>
        </is>
      </c>
      <c r="F12" s="15" t="inlineStr">
        <is>
          <t>🟠 مهم</t>
        </is>
      </c>
      <c r="G12" s="64" t="n">
        <v>0.07000000000000001</v>
      </c>
      <c r="H12" s="60" t="n">
        <v>0</v>
      </c>
      <c r="I12" s="22" t="inlineStr">
        <is>
          <t>صفر</t>
        </is>
      </c>
      <c r="J12" s="85" t="inlineStr">
        <is>
          <t>الاستدامة</t>
        </is>
      </c>
      <c r="K12" s="11" t="inlineStr">
        <is>
          <t>جودة التشغيل</t>
        </is>
      </c>
      <c r="L12" s="15" t="inlineStr">
        <is>
          <t>العمليات الداخلية</t>
        </is>
      </c>
      <c r="M12" s="61" t="n"/>
      <c r="N12" s="10">
        <f>IF($H12="","",IF($M12="","",MIN(1,IF($H12=0,IF($M12&lt;=0,1,0),IF($E12="↓",IFERROR($H12/$M12,0),IFERROR($M12/$H12,0))))))</f>
        <v/>
      </c>
      <c r="O12" s="20">
        <f>IF($N12="","⏳ بانتظار هدف",IF($N12&gt;=1.0,"✅ محقق",IF($N12&gt;=0.85,"🟡 قريب","🔴 تحت الهدف")))</f>
        <v/>
      </c>
      <c r="P12" s="86" t="inlineStr">
        <is>
          <t>إجمالي عدد «مخاطر الجودة الحرجة المفتوحة» تراكمياً حتى نهاية الفترة</t>
        </is>
      </c>
      <c r="Q12" s="86" t="inlineStr">
        <is>
          <t>نظام إدارة الجودة (QMS)</t>
        </is>
      </c>
      <c r="R12" s="15" t="inlineStr">
        <is>
          <t>شهري</t>
        </is>
      </c>
    </row>
    <row r="13" outlineLevel="1" ht="26" customHeight="1">
      <c r="A13" s="20" t="n">
        <v>9</v>
      </c>
      <c r="B13" s="21" t="inlineStr">
        <is>
          <t>مخاطر الجودة</t>
        </is>
      </c>
      <c r="C13" s="21" t="inlineStr">
        <is>
          <t>نسبة إغلاق مخاطر الجودة في الوقت المحدد</t>
        </is>
      </c>
      <c r="D13" s="55" t="inlineStr">
        <is>
          <t>%</t>
        </is>
      </c>
      <c r="E13" s="55" t="inlineStr">
        <is>
          <t>↑</t>
        </is>
      </c>
      <c r="F13" s="15" t="inlineStr">
        <is>
          <t>🟠 مهم</t>
        </is>
      </c>
      <c r="G13" s="64" t="n">
        <v>0.07000000000000001</v>
      </c>
      <c r="H13" s="64" t="n">
        <v>0.9</v>
      </c>
      <c r="I13" s="22" t="inlineStr">
        <is>
          <t>≥ 90%</t>
        </is>
      </c>
      <c r="J13" s="85" t="inlineStr">
        <is>
          <t>الاستدامة</t>
        </is>
      </c>
      <c r="K13" s="11" t="inlineStr">
        <is>
          <t>جودة التشغيل</t>
        </is>
      </c>
      <c r="L13" s="15" t="inlineStr">
        <is>
          <t>العمليات الداخلية</t>
        </is>
      </c>
      <c r="M13" s="65" t="n">
        <v>0.908</v>
      </c>
      <c r="N13" s="10">
        <f>IF($H13="","",IF($M13="","",MIN(1,IF($H13=0,IF($M13&lt;=0,1,0),IF($E13="↓",IFERROR($H13/$M13,0),IFERROR($M13/$H13,0))))))</f>
        <v/>
      </c>
      <c r="O13" s="20">
        <f>IF($N13="","⏳ بانتظار هدف",IF($N13&gt;=1.0,"✅ محقق",IF($N13&gt;=0.85,"🟡 قريب","🔴 تحت الهدف")))</f>
        <v/>
      </c>
      <c r="P13" s="86" t="inlineStr">
        <is>
          <t>قيمة/عدد المتحقّق من «إغلاق مخاطر الجودة في الوقت المحدد» ÷ الإجمالي المستهدف لنفس البند × 100٪</t>
        </is>
      </c>
      <c r="Q13" s="86" t="inlineStr">
        <is>
          <t>نظام إدارة الجودة (QMS)</t>
        </is>
      </c>
      <c r="R13" s="15" t="inlineStr">
        <is>
          <t>شهري</t>
        </is>
      </c>
    </row>
    <row r="14" ht="26" customHeight="1">
      <c r="A14" s="20" t="n">
        <v>10</v>
      </c>
      <c r="B14" s="21" t="inlineStr">
        <is>
          <t>تجربة العميل</t>
        </is>
      </c>
      <c r="C14" s="21" t="inlineStr">
        <is>
          <t>نسبة انخفاض الشكاوى المتكررة ذات العلاقة بالجودة</t>
        </is>
      </c>
      <c r="D14" s="55" t="inlineStr">
        <is>
          <t>%</t>
        </is>
      </c>
      <c r="E14" s="55" t="inlineStr">
        <is>
          <t>↑</t>
        </is>
      </c>
      <c r="F14" s="15" t="inlineStr">
        <is>
          <t>🟠 مهم</t>
        </is>
      </c>
      <c r="G14" s="64" t="n">
        <v>0.07000000000000001</v>
      </c>
      <c r="H14" s="64" t="n">
        <v>0.15</v>
      </c>
      <c r="I14" s="22" t="inlineStr">
        <is>
          <t>انخفاض 15% ربعياً</t>
        </is>
      </c>
      <c r="J14" s="85" t="inlineStr">
        <is>
          <t>الاستدامة</t>
        </is>
      </c>
      <c r="K14" s="11" t="inlineStr">
        <is>
          <t>تعزيز تجربة العملاء</t>
        </is>
      </c>
      <c r="L14" s="15" t="inlineStr">
        <is>
          <t>العملاء</t>
        </is>
      </c>
      <c r="M14" s="65" t="n">
        <v>0.126</v>
      </c>
      <c r="N14" s="10">
        <f>IF($H14="","",IF($M14="","",MIN(1,IF($H14=0,IF($M14&lt;=0,1,0),IF($E14="↓",IFERROR($H14/$M14,0),IFERROR($M14/$H14,0))))))</f>
        <v/>
      </c>
      <c r="O14" s="20">
        <f>IF($N14="","⏳ بانتظار هدف",IF($N14&gt;=1.0,"✅ محقق",IF($N14&gt;=0.85,"🟡 قريب","🔴 تحت الهدف")))</f>
        <v/>
      </c>
      <c r="P14" s="86" t="inlineStr">
        <is>
          <t>قيمة/عدد المتحقّق من «انخفاض الشكاوى المتكررة ذات العلاقة بالجودة» ÷ الإجمالي المستهدف لنفس البند × 100٪</t>
        </is>
      </c>
      <c r="Q14" s="86" t="inlineStr">
        <is>
          <t>نظام إدارة الجودة (QMS)</t>
        </is>
      </c>
      <c r="R14" s="15" t="inlineStr">
        <is>
          <t>شهري</t>
        </is>
      </c>
    </row>
    <row r="15" ht="26" customHeight="1">
      <c r="A15" s="20" t="n">
        <v>11</v>
      </c>
      <c r="B15" s="21" t="inlineStr">
        <is>
          <t>الجودة الإدارية</t>
        </is>
      </c>
      <c r="C15" s="21" t="inlineStr">
        <is>
          <t>نسبة اكتمال وتحديث الإجراءات المعتمدة</t>
        </is>
      </c>
      <c r="D15" s="55" t="inlineStr">
        <is>
          <t>%</t>
        </is>
      </c>
      <c r="E15" s="55" t="inlineStr">
        <is>
          <t>↑</t>
        </is>
      </c>
      <c r="F15" s="15" t="inlineStr">
        <is>
          <t>🟡 متابعة</t>
        </is>
      </c>
      <c r="G15" s="64" t="n">
        <v>0.03</v>
      </c>
      <c r="H15" s="64" t="n">
        <v>0.95</v>
      </c>
      <c r="I15" s="22" t="inlineStr">
        <is>
          <t>≥ 95%</t>
        </is>
      </c>
      <c r="J15" s="85" t="inlineStr">
        <is>
          <t>الاستدامة</t>
        </is>
      </c>
      <c r="K15" s="11" t="inlineStr">
        <is>
          <t>جودة التشغيل</t>
        </is>
      </c>
      <c r="L15" s="15" t="inlineStr">
        <is>
          <t>العمليات الداخلية</t>
        </is>
      </c>
      <c r="M15" s="65" t="n">
        <v>0.944</v>
      </c>
      <c r="N15" s="10">
        <f>IF($H15="","",IF($M15="","",MIN(1,IF($H15=0,IF($M15&lt;=0,1,0),IF($E15="↓",IFERROR($H15/$M15,0),IFERROR($M15/$H15,0))))))</f>
        <v/>
      </c>
      <c r="O15" s="20">
        <f>IF($N15="","⏳ بانتظار هدف",IF($N15&gt;=1.0,"✅ محقق",IF($N15&gt;=0.85,"🟡 قريب","🔴 تحت الهدف")))</f>
        <v/>
      </c>
      <c r="P15" s="86" t="inlineStr">
        <is>
          <t>قيمة/عدد المتحقّق من «اكتمال وتحديث الإجراءات المعتمدة» ÷ الإجمالي المستهدف لنفس البند × 100٪</t>
        </is>
      </c>
      <c r="Q15" s="86" t="inlineStr">
        <is>
          <t>نظام إدارة الجودة (QMS)</t>
        </is>
      </c>
      <c r="R15" s="15" t="inlineStr">
        <is>
          <t>شهري</t>
        </is>
      </c>
    </row>
    <row r="16" ht="26" customHeight="1">
      <c r="A16" s="20" t="n">
        <v>12</v>
      </c>
      <c r="B16" s="21" t="inlineStr">
        <is>
          <t>توثيق وحوكمة</t>
        </is>
      </c>
      <c r="C16" s="21" t="inlineStr">
        <is>
          <t>نسبة اكتمال سجلات الجودة</t>
        </is>
      </c>
      <c r="D16" s="55" t="inlineStr">
        <is>
          <t>%</t>
        </is>
      </c>
      <c r="E16" s="55" t="inlineStr">
        <is>
          <t>↑</t>
        </is>
      </c>
      <c r="F16" s="15" t="inlineStr">
        <is>
          <t>🟠 مهم</t>
        </is>
      </c>
      <c r="G16" s="64" t="n">
        <v>0.07000000000000001</v>
      </c>
      <c r="H16" s="64" t="n">
        <v>0.95</v>
      </c>
      <c r="I16" s="22" t="inlineStr">
        <is>
          <t>≥ 95%</t>
        </is>
      </c>
      <c r="J16" s="85" t="inlineStr">
        <is>
          <t>الاستدامة</t>
        </is>
      </c>
      <c r="K16" s="11" t="inlineStr">
        <is>
          <t>جودة التشغيل</t>
        </is>
      </c>
      <c r="L16" s="15" t="inlineStr">
        <is>
          <t>العمليات الداخلية</t>
        </is>
      </c>
      <c r="M16" s="65" t="n">
        <v>0.982</v>
      </c>
      <c r="N16" s="10">
        <f>IF($H16="","",IF($M16="","",MIN(1,IF($H16=0,IF($M16&lt;=0,1,0),IF($E16="↓",IFERROR($H16/$M16,0),IFERROR($M16/$H16,0))))))</f>
        <v/>
      </c>
      <c r="O16" s="20">
        <f>IF($N16="","⏳ بانتظار هدف",IF($N16&gt;=1.0,"✅ محقق",IF($N16&gt;=0.85,"🟡 قريب","🔴 تحت الهدف")))</f>
        <v/>
      </c>
      <c r="P16" s="86" t="inlineStr">
        <is>
          <t>قيمة/عدد المتحقّق من «اكتمال سجلات الجودة» ÷ الإجمالي المستهدف لنفس البند × 100٪</t>
        </is>
      </c>
      <c r="Q16" s="86" t="inlineStr">
        <is>
          <t>نظام إدارة الجودة (QMS)</t>
        </is>
      </c>
      <c r="R16" s="15" t="inlineStr">
        <is>
          <t>شهري</t>
        </is>
      </c>
    </row>
    <row r="17" ht="26" customHeight="1">
      <c r="A17" s="20" t="n">
        <v>13</v>
      </c>
      <c r="B17" s="21" t="inlineStr">
        <is>
          <t>الابتكار والرقمنة</t>
        </is>
      </c>
      <c r="C17" s="21" t="inlineStr">
        <is>
          <t>نسبة رقمنة عمليات الجودة</t>
        </is>
      </c>
      <c r="D17" s="55" t="inlineStr">
        <is>
          <t>%</t>
        </is>
      </c>
      <c r="E17" s="55" t="inlineStr">
        <is>
          <t>↑</t>
        </is>
      </c>
      <c r="F17" s="15" t="inlineStr">
        <is>
          <t>🟠 مهم</t>
        </is>
      </c>
      <c r="G17" s="64" t="n">
        <v>0.07000000000000001</v>
      </c>
      <c r="H17" s="64" t="n">
        <v>0.8</v>
      </c>
      <c r="I17" s="22" t="inlineStr">
        <is>
          <t>≥ 80%</t>
        </is>
      </c>
      <c r="J17" s="85" t="inlineStr">
        <is>
          <t>الابتكار</t>
        </is>
      </c>
      <c r="K17" s="11" t="inlineStr">
        <is>
          <t>التحول التقني</t>
        </is>
      </c>
      <c r="L17" s="15" t="inlineStr">
        <is>
          <t>التعلّم والنمو</t>
        </is>
      </c>
      <c r="M17" s="65" t="n">
        <v>0.834</v>
      </c>
      <c r="N17" s="10">
        <f>IF($H17="","",IF($M17="","",MIN(1,IF($H17=0,IF($M17&lt;=0,1,0),IF($E17="↓",IFERROR($H17/$M17,0),IFERROR($M17/$H17,0))))))</f>
        <v/>
      </c>
      <c r="O17" s="20">
        <f>IF($N17="","⏳ بانتظار هدف",IF($N17&gt;=1.0,"✅ محقق",IF($N17&gt;=0.85,"🟡 قريب","🔴 تحت الهدف")))</f>
        <v/>
      </c>
      <c r="P17" s="86" t="inlineStr">
        <is>
          <t>قيمة/عدد المتحقّق من «رقمنة عمليات الجودة» ÷ الإجمالي المستهدف لنفس البند × 100٪</t>
        </is>
      </c>
      <c r="Q17" s="86" t="inlineStr">
        <is>
          <t>نظام إدارة الجودة (QMS)</t>
        </is>
      </c>
      <c r="R17" s="15" t="inlineStr">
        <is>
          <t>شهري</t>
        </is>
      </c>
    </row>
    <row r="18" ht="26" customHeight="1">
      <c r="A18" s="20" t="n">
        <v>14</v>
      </c>
      <c r="B18" s="21" t="inlineStr">
        <is>
          <t>التحسين المستمر</t>
        </is>
      </c>
      <c r="C18" s="21" t="inlineStr">
        <is>
          <t>عدد مبادرات التحسين المؤثرة</t>
        </is>
      </c>
      <c r="D18" s="55" t="inlineStr">
        <is>
          <t>مبادرة</t>
        </is>
      </c>
      <c r="E18" s="55" t="inlineStr">
        <is>
          <t>↑</t>
        </is>
      </c>
      <c r="F18" s="15" t="inlineStr">
        <is>
          <t>🟠 مهم</t>
        </is>
      </c>
      <c r="G18" s="64" t="n">
        <v>0.07000000000000001</v>
      </c>
      <c r="H18" s="60" t="n">
        <v>8</v>
      </c>
      <c r="I18" s="22" t="inlineStr">
        <is>
          <t>≥ 8 سنوياً (2 ربعياً)</t>
        </is>
      </c>
      <c r="J18" s="85" t="inlineStr">
        <is>
          <t>الاستدامة</t>
        </is>
      </c>
      <c r="K18" s="11" t="inlineStr">
        <is>
          <t>جودة التشغيل</t>
        </is>
      </c>
      <c r="L18" s="15" t="inlineStr">
        <is>
          <t>التعلّم والنمو</t>
        </is>
      </c>
      <c r="M18" s="61" t="n">
        <v>6.827</v>
      </c>
      <c r="N18" s="10">
        <f>IF($H18="","",IF($M18="","",MIN(1,IF($H18=0,IF($M18&lt;=0,1,0),IF($E18="↓",IFERROR($H18/$M18,0),IFERROR($M18/$H18,0))))))</f>
        <v/>
      </c>
      <c r="O18" s="20">
        <f>IF($N18="","⏳ بانتظار هدف",IF($N18&gt;=1.0,"✅ محقق",IF($N18&gt;=0.85,"🟡 قريب","🔴 تحت الهدف")))</f>
        <v/>
      </c>
      <c r="P18" s="86" t="inlineStr">
        <is>
          <t>إجمالي عدد «مبادرات التحسين المؤثرة» المُسجّلة خلال الفترة</t>
        </is>
      </c>
      <c r="Q18" s="86" t="inlineStr">
        <is>
          <t>سجلات الإدارة</t>
        </is>
      </c>
      <c r="R18" s="15" t="inlineStr">
        <is>
          <t>ربعي</t>
        </is>
      </c>
    </row>
  </sheetData>
  <autoFilter ref="A3:R18"/>
  <mergeCells count="2">
    <mergeCell ref="A2:R2"/>
    <mergeCell ref="A1:R1"/>
  </mergeCells>
  <dataValidations count="1">
    <dataValidation sqref="M5 M6 M7 M8 M9 M10 M11 M12 M13 M14 M15 M16 M17 M18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1"/>
    <pageSetUpPr/>
  </sheetPr>
  <dimension ref="A1:R2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الإدارة القانونية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4" customHeight="1">
      <c r="B4" s="78" t="inlineStr">
        <is>
          <t>أعمال العقود</t>
        </is>
      </c>
      <c r="C4" s="79" t="inlineStr">
        <is>
          <t>📊 مؤشر أعمال العقود العام</t>
        </is>
      </c>
      <c r="D4" s="80" t="n"/>
      <c r="E4" s="80" t="n"/>
      <c r="F4" s="81" t="inlineStr">
        <is>
          <t>🔷 أساسي</t>
        </is>
      </c>
      <c r="G4" s="82" t="n">
        <v>0.3</v>
      </c>
      <c r="H4" s="80" t="n"/>
      <c r="I4" s="80" t="n"/>
      <c r="J4" s="80" t="n"/>
      <c r="K4" s="80" t="n"/>
      <c r="L4" s="80" t="n"/>
      <c r="M4" s="80" t="n"/>
      <c r="N4" s="83">
        <f>IFERROR(SUMIFS('قاعدة المؤشرات'!$J:$J,'قاعدة المؤشرات'!$B:$B,"الإدارة القانونية",'قاعدة المؤشرات'!$L:$L,"أعمال العقود")/SUMIFS('قاعدة المؤشرات'!$K:$K,'قاعدة المؤشرات'!$B:$B,"الإدارة القانونية",'قاعدة المؤشرات'!$L:$L,"أعمال العقود"),"")</f>
        <v/>
      </c>
      <c r="O4" s="84">
        <f>IF($N4="","⏳ بانتظار هدف",IF($N4&gt;=1,"✅ محقق",IF($N4&gt;=0.85,"🟡 قريب","🔴 تحت الهدف")))</f>
        <v/>
      </c>
      <c r="P4" s="80" t="n"/>
      <c r="Q4" s="80" t="n"/>
      <c r="R4" s="80" t="n"/>
    </row>
    <row r="5" outlineLevel="1" ht="26" customHeight="1">
      <c r="A5" s="20" t="n">
        <v>1</v>
      </c>
      <c r="B5" s="21" t="inlineStr">
        <is>
          <t>أعمال العقود</t>
        </is>
      </c>
      <c r="C5" s="21" t="inlineStr">
        <is>
          <t>نسبة العقود المُراجَعة قانونياً قبل التوقيع</t>
        </is>
      </c>
      <c r="D5" s="55" t="inlineStr">
        <is>
          <t>%</t>
        </is>
      </c>
      <c r="E5" s="55" t="inlineStr">
        <is>
          <t>↑</t>
        </is>
      </c>
      <c r="F5" s="15" t="inlineStr">
        <is>
          <t>🔴 رئيسي</t>
        </is>
      </c>
      <c r="G5" s="64" t="n">
        <v>0.1</v>
      </c>
      <c r="H5" s="64" t="n">
        <v>1</v>
      </c>
      <c r="I5" s="22" t="inlineStr">
        <is>
          <t>100%</t>
        </is>
      </c>
      <c r="J5" s="85" t="inlineStr">
        <is>
          <t>الاستدامة</t>
        </is>
      </c>
      <c r="K5" s="11" t="inlineStr">
        <is>
          <t>جودة التشغيل</t>
        </is>
      </c>
      <c r="L5" s="15" t="inlineStr">
        <is>
          <t>العمليات الداخلية</t>
        </is>
      </c>
      <c r="M5" s="65" t="n">
        <v>1.013</v>
      </c>
      <c r="N5" s="10">
        <f>IF($H5="","",IF($M5="","",MIN(1,IF($H5=0,IF($M5&lt;=0,1,0),IF($E5="↓",IFERROR($H5/$M5,0),IFERROR($M5/$H5,0))))))</f>
        <v/>
      </c>
      <c r="O5" s="20">
        <f>IF($N5="","⏳ بانتظار هدف",IF($N5&gt;=1.0,"✅ محقق",IF($N5&gt;=0.85,"🟡 قريب","🔴 تحت الهدف")))</f>
        <v/>
      </c>
      <c r="P5" s="86" t="inlineStr">
        <is>
          <t>قيمة/عدد المتحقّق من «العقود المُراجَعة قانونياً قبل التوقيع» ÷ الإجمالي المستهدف لنفس البند × 100٪</t>
        </is>
      </c>
      <c r="Q5" s="86" t="inlineStr">
        <is>
          <t>نظام إدارة العقود (CRM)</t>
        </is>
      </c>
      <c r="R5" s="15" t="inlineStr">
        <is>
          <t>شهري</t>
        </is>
      </c>
    </row>
    <row r="6" outlineLevel="1" ht="26" customHeight="1">
      <c r="A6" s="20" t="n">
        <v>2</v>
      </c>
      <c r="B6" s="21" t="inlineStr">
        <is>
          <t>أعمال العقود</t>
        </is>
      </c>
      <c r="C6" s="21" t="inlineStr">
        <is>
          <t>متوسط زمن صياغة ومراجعة العقد</t>
        </is>
      </c>
      <c r="D6" s="55" t="inlineStr">
        <is>
          <t>يوم</t>
        </is>
      </c>
      <c r="E6" s="55" t="inlineStr">
        <is>
          <t>↓</t>
        </is>
      </c>
      <c r="F6" s="15" t="inlineStr">
        <is>
          <t>🔴 رئيسي</t>
        </is>
      </c>
      <c r="G6" s="64" t="n">
        <v>0.1</v>
      </c>
      <c r="H6" s="67" t="n">
        <v>3</v>
      </c>
      <c r="I6" s="22" t="inlineStr">
        <is>
          <t>≤ 3 أيام</t>
        </is>
      </c>
      <c r="J6" s="85" t="inlineStr">
        <is>
          <t>الاستدامة</t>
        </is>
      </c>
      <c r="K6" s="11" t="inlineStr">
        <is>
          <t>جودة التشغيل</t>
        </is>
      </c>
      <c r="L6" s="15" t="inlineStr">
        <is>
          <t>العمليات الداخلية</t>
        </is>
      </c>
      <c r="M6" s="68" t="n">
        <v>2.994</v>
      </c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محقق",IF($N6&gt;=0.85,"🟡 قريب","🔴 تحت الهدف")))</f>
        <v/>
      </c>
      <c r="P6" s="86" t="inlineStr">
        <is>
          <t>مجموع أيام «زمن صياغة ومراجعة العقد» ÷ عدد الحالات</t>
        </is>
      </c>
      <c r="Q6" s="86" t="inlineStr">
        <is>
          <t>نظام إدارة القضايا والتحقيقات</t>
        </is>
      </c>
      <c r="R6" s="15" t="inlineStr">
        <is>
          <t>شهري</t>
        </is>
      </c>
    </row>
    <row r="7" outlineLevel="1" ht="26" customHeight="1">
      <c r="A7" s="20" t="n">
        <v>3</v>
      </c>
      <c r="B7" s="21" t="inlineStr">
        <is>
          <t>أعمال العقود</t>
        </is>
      </c>
      <c r="C7" s="21" t="inlineStr">
        <is>
          <t>نسبة العقود الخالية من الملاحظات والمخاطر القانونية</t>
        </is>
      </c>
      <c r="D7" s="55" t="inlineStr">
        <is>
          <t>%</t>
        </is>
      </c>
      <c r="E7" s="55" t="inlineStr">
        <is>
          <t>↑</t>
        </is>
      </c>
      <c r="F7" s="15" t="inlineStr">
        <is>
          <t>🔴 رئيسي</t>
        </is>
      </c>
      <c r="G7" s="64" t="n">
        <v>0.1</v>
      </c>
      <c r="H7" s="64" t="n">
        <v>0.95</v>
      </c>
      <c r="I7" s="22" t="inlineStr">
        <is>
          <t>≥ 95%</t>
        </is>
      </c>
      <c r="J7" s="85" t="inlineStr">
        <is>
          <t>الاستدامة</t>
        </is>
      </c>
      <c r="K7" s="11" t="inlineStr">
        <is>
          <t>جودة التشغيل</t>
        </is>
      </c>
      <c r="L7" s="15" t="inlineStr">
        <is>
          <t>العمليات الداخلية</t>
        </is>
      </c>
      <c r="M7" s="65" t="n">
        <v>0.924</v>
      </c>
      <c r="N7" s="10">
        <f>IF($H7="","",IF($M7="","",MIN(1,IF($H7=0,IF($M7&lt;=0,1,0),IF($E7="↓",IFERROR($H7/$M7,0),IFERROR($M7/$H7,0))))))</f>
        <v/>
      </c>
      <c r="O7" s="20">
        <f>IF($N7="","⏳ بانتظار هدف",IF($N7&gt;=1.0,"✅ محقق",IF($N7&gt;=0.85,"🟡 قريب","🔴 تحت الهدف")))</f>
        <v/>
      </c>
      <c r="P7" s="86" t="inlineStr">
        <is>
          <t>قيمة/عدد المتحقّق من «العقود الخالية من الملاحظات والمخاطر القانونية» ÷ الإجمالي المستهدف لنفس البند × 100٪</t>
        </is>
      </c>
      <c r="Q7" s="86" t="inlineStr">
        <is>
          <t>نظام إدارة الجودة (QMS)</t>
        </is>
      </c>
      <c r="R7" s="15" t="inlineStr">
        <is>
          <t>شهري</t>
        </is>
      </c>
    </row>
    <row r="8" ht="24" customHeight="1">
      <c r="B8" s="78" t="inlineStr">
        <is>
          <t>أعمال القضايا</t>
        </is>
      </c>
      <c r="C8" s="79" t="inlineStr">
        <is>
          <t>📊 مؤشر أعمال القضايا العام</t>
        </is>
      </c>
      <c r="D8" s="80" t="n"/>
      <c r="E8" s="80" t="n"/>
      <c r="F8" s="81" t="inlineStr">
        <is>
          <t>🔷 أساسي</t>
        </is>
      </c>
      <c r="G8" s="82" t="n">
        <v>0.21</v>
      </c>
      <c r="H8" s="80" t="n"/>
      <c r="I8" s="80" t="n"/>
      <c r="J8" s="80" t="n"/>
      <c r="K8" s="80" t="n"/>
      <c r="L8" s="80" t="n"/>
      <c r="M8" s="80" t="n"/>
      <c r="N8" s="83">
        <f>IFERROR(SUMIFS('قاعدة المؤشرات'!$J:$J,'قاعدة المؤشرات'!$B:$B,"الإدارة القانونية",'قاعدة المؤشرات'!$L:$L,"أعمال القضايا")/SUMIFS('قاعدة المؤشرات'!$K:$K,'قاعدة المؤشرات'!$B:$B,"الإدارة القانونية",'قاعدة المؤشرات'!$L:$L,"أعمال القضايا"),"")</f>
        <v/>
      </c>
      <c r="O8" s="84">
        <f>IF($N8="","⏳ بانتظار هدف",IF($N8&gt;=1,"✅ محقق",IF($N8&gt;=0.85,"🟡 قريب","🔴 تحت الهدف")))</f>
        <v/>
      </c>
      <c r="P8" s="80" t="n"/>
      <c r="Q8" s="80" t="n"/>
      <c r="R8" s="80" t="n"/>
    </row>
    <row r="9" outlineLevel="1" ht="26" customHeight="1">
      <c r="A9" s="20" t="n">
        <v>4</v>
      </c>
      <c r="B9" s="21" t="inlineStr">
        <is>
          <t>أعمال القضايا</t>
        </is>
      </c>
      <c r="C9" s="21" t="inlineStr">
        <is>
          <t>نسبة القضايا المُغلقة لصالح الشركة</t>
        </is>
      </c>
      <c r="D9" s="55" t="inlineStr">
        <is>
          <t>%</t>
        </is>
      </c>
      <c r="E9" s="55" t="inlineStr">
        <is>
          <t>↑</t>
        </is>
      </c>
      <c r="F9" s="15" t="inlineStr">
        <is>
          <t>🟠 مهم</t>
        </is>
      </c>
      <c r="G9" s="64" t="n">
        <v>0.07000000000000001</v>
      </c>
      <c r="H9" s="64" t="n">
        <v>0.8</v>
      </c>
      <c r="I9" s="22" t="inlineStr">
        <is>
          <t>≥ 80%</t>
        </is>
      </c>
      <c r="J9" s="85" t="inlineStr">
        <is>
          <t>الاستدامة</t>
        </is>
      </c>
      <c r="K9" s="11" t="inlineStr">
        <is>
          <t>جودة التشغيل</t>
        </is>
      </c>
      <c r="L9" s="15" t="inlineStr">
        <is>
          <t>العمليات الداخلية</t>
        </is>
      </c>
      <c r="M9" s="65" t="n">
        <v>0.664</v>
      </c>
      <c r="N9" s="10">
        <f>IF($H9="","",IF($M9="","",MIN(1,IF($H9=0,IF($M9&lt;=0,1,0),IF($E9="↓",IFERROR($H9/$M9,0),IFERROR($M9/$H9,0))))))</f>
        <v/>
      </c>
      <c r="O9" s="20">
        <f>IF($N9="","⏳ بانتظار هدف",IF($N9&gt;=1.0,"✅ محقق",IF($N9&gt;=0.85,"🟡 قريب","🔴 تحت الهدف")))</f>
        <v/>
      </c>
      <c r="P9" s="86" t="inlineStr">
        <is>
          <t>قيمة/عدد المتحقّق من «القضايا المُغلقة لصالح الشركة» ÷ الإجمالي المستهدف لنفس البند × 100٪</t>
        </is>
      </c>
      <c r="Q9" s="86" t="inlineStr">
        <is>
          <t>نظام إدارة القضايا والتحقيقات</t>
        </is>
      </c>
      <c r="R9" s="15" t="inlineStr">
        <is>
          <t>شهري</t>
        </is>
      </c>
    </row>
    <row r="10" outlineLevel="1" ht="26" customHeight="1">
      <c r="A10" s="20" t="n">
        <v>5</v>
      </c>
      <c r="B10" s="21" t="inlineStr">
        <is>
          <t>أعمال القضايا</t>
        </is>
      </c>
      <c r="C10" s="21" t="inlineStr">
        <is>
          <t>نسبة تقديم المذكرات والردود في المواعيد النظامية</t>
        </is>
      </c>
      <c r="D10" s="55" t="inlineStr">
        <is>
          <t>%</t>
        </is>
      </c>
      <c r="E10" s="55" t="inlineStr">
        <is>
          <t>↑</t>
        </is>
      </c>
      <c r="F10" s="15" t="inlineStr">
        <is>
          <t>🟠 مهم</t>
        </is>
      </c>
      <c r="G10" s="64" t="n">
        <v>0.07000000000000001</v>
      </c>
      <c r="H10" s="64" t="n">
        <v>1</v>
      </c>
      <c r="I10" s="22" t="inlineStr">
        <is>
          <t>100%</t>
        </is>
      </c>
      <c r="J10" s="85" t="inlineStr">
        <is>
          <t>الاستدامة</t>
        </is>
      </c>
      <c r="K10" s="11" t="inlineStr">
        <is>
          <t>جودة التشغيل</t>
        </is>
      </c>
      <c r="L10" s="15" t="inlineStr">
        <is>
          <t>العمليات الداخلية</t>
        </is>
      </c>
      <c r="M10" s="65" t="n">
        <v>0.797</v>
      </c>
      <c r="N10" s="10">
        <f>IF($H10="","",IF($M10="","",MIN(1,IF($H10=0,IF($M10&lt;=0,1,0),IF($E10="↓",IFERROR($H10/$M10,0),IFERROR($M10/$H10,0))))))</f>
        <v/>
      </c>
      <c r="O10" s="20">
        <f>IF($N10="","⏳ بانتظار هدف",IF($N10&gt;=1.0,"✅ محقق",IF($N10&gt;=0.85,"🟡 قريب","🔴 تحت الهدف")))</f>
        <v/>
      </c>
      <c r="P10" s="86" t="inlineStr">
        <is>
          <t>قيمة/عدد المتحقّق من «تقديم المذكرات والردود في المواعيد النظامية» ÷ الإجمالي المستهدف لنفس البند × 100٪</t>
        </is>
      </c>
      <c r="Q10" s="86" t="inlineStr">
        <is>
          <t>نظام إدارة القضايا والتحقيقات</t>
        </is>
      </c>
      <c r="R10" s="15" t="inlineStr">
        <is>
          <t>شهري</t>
        </is>
      </c>
    </row>
    <row r="11" outlineLevel="1" ht="26" customHeight="1">
      <c r="A11" s="20" t="n">
        <v>6</v>
      </c>
      <c r="B11" s="21" t="inlineStr">
        <is>
          <t>أعمال القضايا</t>
        </is>
      </c>
      <c r="C11" s="21" t="inlineStr">
        <is>
          <t>متوسط زمن إعداد المذكرة القانونية</t>
        </is>
      </c>
      <c r="D11" s="55" t="inlineStr">
        <is>
          <t>يوم</t>
        </is>
      </c>
      <c r="E11" s="55" t="inlineStr">
        <is>
          <t>↓</t>
        </is>
      </c>
      <c r="F11" s="15" t="inlineStr">
        <is>
          <t>🟠 مهم</t>
        </is>
      </c>
      <c r="G11" s="64" t="n">
        <v>0.07000000000000001</v>
      </c>
      <c r="H11" s="67" t="n">
        <v>5</v>
      </c>
      <c r="I11" s="22" t="inlineStr">
        <is>
          <t>≤ 5 أيام</t>
        </is>
      </c>
      <c r="J11" s="85" t="inlineStr">
        <is>
          <t>الاستدامة</t>
        </is>
      </c>
      <c r="K11" s="11" t="inlineStr">
        <is>
          <t>جودة التشغيل</t>
        </is>
      </c>
      <c r="L11" s="15" t="inlineStr">
        <is>
          <t>العمليات الداخلية</t>
        </is>
      </c>
      <c r="M11" s="68" t="n">
        <v>4.545</v>
      </c>
      <c r="N11" s="10">
        <f>IF($H11="","",IF($M11="","",MIN(1,IF($H11=0,IF($M11&lt;=0,1,0),IF($E11="↓",IFERROR($H11/$M11,0),IFERROR($M11/$H11,0))))))</f>
        <v/>
      </c>
      <c r="O11" s="20">
        <f>IF($N11="","⏳ بانتظار هدف",IF($N11&gt;=1.0,"✅ محقق",IF($N11&gt;=0.85,"🟡 قريب","🔴 تحت الهدف")))</f>
        <v/>
      </c>
      <c r="P11" s="86" t="inlineStr">
        <is>
          <t>مجموع أيام «زمن إعداد المذكرة القانونية» ÷ عدد الحالات</t>
        </is>
      </c>
      <c r="Q11" s="86" t="inlineStr">
        <is>
          <t>نظام إدارة القضايا والتحقيقات</t>
        </is>
      </c>
      <c r="R11" s="15" t="inlineStr">
        <is>
          <t>شهري</t>
        </is>
      </c>
    </row>
    <row r="12" ht="24" customHeight="1">
      <c r="B12" s="78" t="inlineStr">
        <is>
          <t>الاستشارات القانونية</t>
        </is>
      </c>
      <c r="C12" s="79" t="inlineStr">
        <is>
          <t>📊 مؤشر الاستشارات القانونية العام</t>
        </is>
      </c>
      <c r="D12" s="80" t="n"/>
      <c r="E12" s="80" t="n"/>
      <c r="F12" s="81" t="inlineStr">
        <is>
          <t>🔷 أساسي</t>
        </is>
      </c>
      <c r="G12" s="82" t="n">
        <v>0.17</v>
      </c>
      <c r="H12" s="80" t="n"/>
      <c r="I12" s="80" t="n"/>
      <c r="J12" s="80" t="n"/>
      <c r="K12" s="80" t="n"/>
      <c r="L12" s="80" t="n"/>
      <c r="M12" s="80" t="n"/>
      <c r="N12" s="83">
        <f>IFERROR(SUMIFS('قاعدة المؤشرات'!$J:$J,'قاعدة المؤشرات'!$B:$B,"الإدارة القانونية",'قاعدة المؤشرات'!$L:$L,"الاستشارات القانونية")/SUMIFS('قاعدة المؤشرات'!$K:$K,'قاعدة المؤشرات'!$B:$B,"الإدارة القانونية",'قاعدة المؤشرات'!$L:$L,"الاستشارات القانونية"),"")</f>
        <v/>
      </c>
      <c r="O12" s="84">
        <f>IF($N12="","⏳ بانتظار هدف",IF($N12&gt;=1,"✅ محقق",IF($N12&gt;=0.85,"🟡 قريب","🔴 تحت الهدف")))</f>
        <v/>
      </c>
      <c r="P12" s="80" t="n"/>
      <c r="Q12" s="80" t="n"/>
      <c r="R12" s="80" t="n"/>
    </row>
    <row r="13" outlineLevel="1" ht="26" customHeight="1">
      <c r="A13" s="20" t="n">
        <v>7</v>
      </c>
      <c r="B13" s="21" t="inlineStr">
        <is>
          <t>الاستشارات القانونية</t>
        </is>
      </c>
      <c r="C13" s="21" t="inlineStr">
        <is>
          <t>نسبة الاستشارات المُنجزة ضمن المدة المستهدفة (SLA)</t>
        </is>
      </c>
      <c r="D13" s="55" t="inlineStr">
        <is>
          <t>%</t>
        </is>
      </c>
      <c r="E13" s="55" t="inlineStr">
        <is>
          <t>↑</t>
        </is>
      </c>
      <c r="F13" s="15" t="inlineStr">
        <is>
          <t>🟠 مهم</t>
        </is>
      </c>
      <c r="G13" s="64" t="n">
        <v>0.07000000000000001</v>
      </c>
      <c r="H13" s="64" t="n">
        <v>0.9</v>
      </c>
      <c r="I13" s="22" t="inlineStr">
        <is>
          <t>≥ 90%</t>
        </is>
      </c>
      <c r="J13" s="85" t="inlineStr">
        <is>
          <t>الاستدامة</t>
        </is>
      </c>
      <c r="K13" s="11" t="inlineStr">
        <is>
          <t>جودة التشغيل</t>
        </is>
      </c>
      <c r="L13" s="15" t="inlineStr">
        <is>
          <t>العمليات الداخلية</t>
        </is>
      </c>
      <c r="M13" s="65" t="n">
        <v>0.659</v>
      </c>
      <c r="N13" s="10">
        <f>IF($H13="","",IF($M13="","",MIN(1,IF($H13=0,IF($M13&lt;=0,1,0),IF($E13="↓",IFERROR($H13/$M13,0),IFERROR($M13/$H13,0))))))</f>
        <v/>
      </c>
      <c r="O13" s="20">
        <f>IF($N13="","⏳ بانتظار هدف",IF($N13&gt;=1.0,"✅ محقق",IF($N13&gt;=0.85,"🟡 قريب","🔴 تحت الهدف")))</f>
        <v/>
      </c>
      <c r="P13" s="86" t="inlineStr">
        <is>
          <t>قيمة/عدد المتحقّق من «الاستشارات المُنجزة ضمن المدة المستهدفة» ÷ الإجمالي المستهدف لنفس البند × 100٪</t>
        </is>
      </c>
      <c r="Q13" s="86" t="inlineStr">
        <is>
          <t>نظام إدارة القضايا والتحقيقات</t>
        </is>
      </c>
      <c r="R13" s="15" t="inlineStr">
        <is>
          <t>شهري</t>
        </is>
      </c>
    </row>
    <row r="14" outlineLevel="1" ht="26" customHeight="1">
      <c r="A14" s="20" t="n">
        <v>8</v>
      </c>
      <c r="B14" s="21" t="inlineStr">
        <is>
          <t>الاستشارات القانونية</t>
        </is>
      </c>
      <c r="C14" s="21" t="inlineStr">
        <is>
          <t>مستوى رضا الإدارات عن الدعم القانوني</t>
        </is>
      </c>
      <c r="D14" s="55" t="inlineStr">
        <is>
          <t>%</t>
        </is>
      </c>
      <c r="E14" s="55" t="inlineStr">
        <is>
          <t>↑</t>
        </is>
      </c>
      <c r="F14" s="15" t="inlineStr">
        <is>
          <t>🔴 رئيسي</t>
        </is>
      </c>
      <c r="G14" s="64" t="n">
        <v>0.1</v>
      </c>
      <c r="H14" s="64" t="n">
        <v>0.85</v>
      </c>
      <c r="I14" s="22" t="inlineStr">
        <is>
          <t>≥ 85%</t>
        </is>
      </c>
      <c r="J14" s="85" t="inlineStr">
        <is>
          <t>الاستدامة</t>
        </is>
      </c>
      <c r="K14" s="11" t="inlineStr">
        <is>
          <t>جودة التشغيل</t>
        </is>
      </c>
      <c r="L14" s="15" t="inlineStr">
        <is>
          <t>العملاء</t>
        </is>
      </c>
      <c r="M14" s="65" t="n">
        <v>0.674</v>
      </c>
      <c r="N14" s="10">
        <f>IF($H14="","",IF($M14="","",MIN(1,IF($H14=0,IF($M14&lt;=0,1,0),IF($E14="↓",IFERROR($H14/$M14,0),IFERROR($M14/$H14,0))))))</f>
        <v/>
      </c>
      <c r="O14" s="20">
        <f>IF($N14="","⏳ بانتظار هدف",IF($N14&gt;=0.9,"✅ محقق",IF($N14&gt;=0.75,"🟡 قريب","🔴 تحت الهدف")))</f>
        <v/>
      </c>
      <c r="P14" s="86" t="inlineStr">
        <is>
          <t>القيمة المتحقّقة من «مستوى رضا الإدارات عن الدعم القانوني» ÷ المستهدف × 100٪</t>
        </is>
      </c>
      <c r="Q14" s="86" t="inlineStr">
        <is>
          <t>استبيان دوري</t>
        </is>
      </c>
      <c r="R14" s="15" t="inlineStr">
        <is>
          <t>ربعي</t>
        </is>
      </c>
    </row>
    <row r="15" ht="24" customHeight="1">
      <c r="B15" s="78" t="inlineStr">
        <is>
          <t>التحقيق</t>
        </is>
      </c>
      <c r="C15" s="79" t="inlineStr">
        <is>
          <t>📊 مؤشر التحقيق العام</t>
        </is>
      </c>
      <c r="D15" s="80" t="n"/>
      <c r="E15" s="80" t="n"/>
      <c r="F15" s="81" t="inlineStr">
        <is>
          <t>🔷 أساسي</t>
        </is>
      </c>
      <c r="G15" s="82" t="n">
        <v>0.32</v>
      </c>
      <c r="H15" s="80" t="n"/>
      <c r="I15" s="80" t="n"/>
      <c r="J15" s="80" t="n"/>
      <c r="K15" s="80" t="n"/>
      <c r="L15" s="80" t="n"/>
      <c r="M15" s="80" t="n"/>
      <c r="N15" s="83">
        <f>IFERROR(SUMIFS('قاعدة المؤشرات'!$J:$J,'قاعدة المؤشرات'!$B:$B,"الإدارة القانونية",'قاعدة المؤشرات'!$L:$L,"التحقيق")/SUMIFS('قاعدة المؤشرات'!$K:$K,'قاعدة المؤشرات'!$B:$B,"الإدارة القانونية",'قاعدة المؤشرات'!$L:$L,"التحقيق"),"")</f>
        <v/>
      </c>
      <c r="O15" s="84">
        <f>IF($N15="","⏳ بانتظار هدف",IF($N15&gt;=1,"✅ محقق",IF($N15&gt;=0.85,"🟡 قريب","🔴 تحت الهدف")))</f>
        <v/>
      </c>
      <c r="P15" s="80" t="n"/>
      <c r="Q15" s="80" t="n"/>
      <c r="R15" s="80" t="n"/>
    </row>
    <row r="16" outlineLevel="1" ht="26" customHeight="1">
      <c r="A16" s="20" t="n">
        <v>9</v>
      </c>
      <c r="B16" s="21" t="inlineStr">
        <is>
          <t>التحقيق</t>
        </is>
      </c>
      <c r="C16" s="21" t="inlineStr">
        <is>
          <t>نسبة إنجاز التحقيقات ضمن المدة المحددة</t>
        </is>
      </c>
      <c r="D16" s="55" t="inlineStr">
        <is>
          <t>%</t>
        </is>
      </c>
      <c r="E16" s="55" t="inlineStr">
        <is>
          <t>↑</t>
        </is>
      </c>
      <c r="F16" s="15" t="inlineStr">
        <is>
          <t>🟠 مهم</t>
        </is>
      </c>
      <c r="G16" s="64" t="n">
        <v>0.07000000000000001</v>
      </c>
      <c r="H16" s="64" t="n">
        <v>0.9</v>
      </c>
      <c r="I16" s="22" t="inlineStr">
        <is>
          <t>≥ 90%</t>
        </is>
      </c>
      <c r="J16" s="85" t="inlineStr">
        <is>
          <t>الاستدامة</t>
        </is>
      </c>
      <c r="K16" s="11" t="inlineStr">
        <is>
          <t>جودة التشغيل</t>
        </is>
      </c>
      <c r="L16" s="15" t="inlineStr">
        <is>
          <t>العمليات الداخلية</t>
        </is>
      </c>
      <c r="M16" s="65" t="n">
        <v>0.753</v>
      </c>
      <c r="N16" s="10">
        <f>IF($H16="","",IF($M16="","",MIN(1,IF($H16=0,IF($M16&lt;=0,1,0),IF($E16="↓",IFERROR($H16/$M16,0),IFERROR($M16/$H16,0))))))</f>
        <v/>
      </c>
      <c r="O16" s="20">
        <f>IF($N16="","⏳ بانتظار هدف",IF($N16&gt;=1.0,"✅ محقق",IF($N16&gt;=0.85,"🟡 قريب","🔴 تحت الهدف")))</f>
        <v/>
      </c>
      <c r="P16" s="86" t="inlineStr">
        <is>
          <t>قيمة/عدد المتحقّق من «إنجاز التحقيقات ضمن المدة المحددة» ÷ الإجمالي المستهدف لنفس البند × 100٪</t>
        </is>
      </c>
      <c r="Q16" s="86" t="inlineStr">
        <is>
          <t>نظام إدارة القضايا والتحقيقات</t>
        </is>
      </c>
      <c r="R16" s="15" t="inlineStr">
        <is>
          <t>شهري</t>
        </is>
      </c>
    </row>
    <row r="17" outlineLevel="1" ht="26" customHeight="1">
      <c r="A17" s="20" t="n">
        <v>10</v>
      </c>
      <c r="B17" s="21" t="inlineStr">
        <is>
          <t>التحقيق</t>
        </is>
      </c>
      <c r="C17" s="21" t="inlineStr">
        <is>
          <t>نسبة التحقيقات المُغلقة من إجمالي المُحالة</t>
        </is>
      </c>
      <c r="D17" s="55" t="inlineStr">
        <is>
          <t>%</t>
        </is>
      </c>
      <c r="E17" s="55" t="inlineStr">
        <is>
          <t>↑</t>
        </is>
      </c>
      <c r="F17" s="15" t="inlineStr">
        <is>
          <t>🟠 مهم</t>
        </is>
      </c>
      <c r="G17" s="64" t="n">
        <v>0.07000000000000001</v>
      </c>
      <c r="H17" s="64" t="n">
        <v>0.95</v>
      </c>
      <c r="I17" s="22" t="inlineStr">
        <is>
          <t>≥ 95%</t>
        </is>
      </c>
      <c r="J17" s="85" t="inlineStr">
        <is>
          <t>الاستدامة</t>
        </is>
      </c>
      <c r="K17" s="11" t="inlineStr">
        <is>
          <t>جودة التشغيل</t>
        </is>
      </c>
      <c r="L17" s="15" t="inlineStr">
        <is>
          <t>العمليات الداخلية</t>
        </is>
      </c>
      <c r="M17" s="65" t="n">
        <v>0.719</v>
      </c>
      <c r="N17" s="10">
        <f>IF($H17="","",IF($M17="","",MIN(1,IF($H17=0,IF($M17&lt;=0,1,0),IF($E17="↓",IFERROR($H17/$M17,0),IFERROR($M17/$H17,0))))))</f>
        <v/>
      </c>
      <c r="O17" s="20">
        <f>IF($N17="","⏳ بانتظار هدف",IF($N17&gt;=1.0,"✅ محقق",IF($N17&gt;=0.85,"🟡 قريب","🔴 تحت الهدف")))</f>
        <v/>
      </c>
      <c r="P17" s="86" t="inlineStr">
        <is>
          <t>قيمة/عدد المتحقّق من «التحقيقات المُغلقة من إجمالي المُحالة» ÷ الإجمالي المستهدف لنفس البند × 100٪</t>
        </is>
      </c>
      <c r="Q17" s="86" t="inlineStr">
        <is>
          <t>نظام إدارة القضايا والتحقيقات</t>
        </is>
      </c>
      <c r="R17" s="15" t="inlineStr">
        <is>
          <t>شهري</t>
        </is>
      </c>
    </row>
    <row r="18" outlineLevel="1" ht="26" customHeight="1">
      <c r="A18" s="20" t="n">
        <v>11</v>
      </c>
      <c r="B18" s="21" t="inlineStr">
        <is>
          <t>التحقيق</t>
        </is>
      </c>
      <c r="C18" s="21" t="inlineStr">
        <is>
          <t>متوسط زمن إغلاق قضية التحقيق</t>
        </is>
      </c>
      <c r="D18" s="55" t="inlineStr">
        <is>
          <t>يوم</t>
        </is>
      </c>
      <c r="E18" s="55" t="inlineStr">
        <is>
          <t>↓</t>
        </is>
      </c>
      <c r="F18" s="15" t="inlineStr">
        <is>
          <t>🟠 مهم</t>
        </is>
      </c>
      <c r="G18" s="64" t="n">
        <v>0.06</v>
      </c>
      <c r="H18" s="67" t="n">
        <v>30</v>
      </c>
      <c r="I18" s="22" t="inlineStr">
        <is>
          <t>≤ 30 يوم</t>
        </is>
      </c>
      <c r="J18" s="85" t="inlineStr">
        <is>
          <t>الاستدامة</t>
        </is>
      </c>
      <c r="K18" s="11" t="inlineStr">
        <is>
          <t>جودة التشغيل</t>
        </is>
      </c>
      <c r="L18" s="15" t="inlineStr">
        <is>
          <t>العمليات الداخلية</t>
        </is>
      </c>
      <c r="M18" s="68" t="n">
        <v>31.9</v>
      </c>
      <c r="N18" s="10">
        <f>IF($H18="","",IF($M18="","",MIN(1,IF($H18=0,IF($M18&lt;=0,1,0),IF($E18="↓",IFERROR($H18/$M18,0),IFERROR($M18/$H18,0))))))</f>
        <v/>
      </c>
      <c r="O18" s="20">
        <f>IF($N18="","⏳ بانتظار هدف",IF($N18&gt;=1.0,"✅ محقق",IF($N18&gt;=0.85,"🟡 قريب","🔴 تحت الهدف")))</f>
        <v/>
      </c>
      <c r="P18" s="86" t="inlineStr">
        <is>
          <t>مجموع أيام «زمن إغلاق قضية التحقيق» ÷ عدد الحالات</t>
        </is>
      </c>
      <c r="Q18" s="86" t="inlineStr">
        <is>
          <t>نظام إدارة القضايا والتحقيقات</t>
        </is>
      </c>
      <c r="R18" s="15" t="inlineStr">
        <is>
          <t>شهري</t>
        </is>
      </c>
    </row>
    <row r="19" outlineLevel="1" ht="26" customHeight="1">
      <c r="A19" s="20" t="n">
        <v>12</v>
      </c>
      <c r="B19" s="21" t="inlineStr">
        <is>
          <t>التحقيق</t>
        </is>
      </c>
      <c r="C19" s="21" t="inlineStr">
        <is>
          <t>نسبة تنفيذ التوصيات الصادرة عن التحقيقات</t>
        </is>
      </c>
      <c r="D19" s="55" t="inlineStr">
        <is>
          <t>%</t>
        </is>
      </c>
      <c r="E19" s="55" t="inlineStr">
        <is>
          <t>↑</t>
        </is>
      </c>
      <c r="F19" s="15" t="inlineStr">
        <is>
          <t>🟠 مهم</t>
        </is>
      </c>
      <c r="G19" s="64" t="n">
        <v>0.06</v>
      </c>
      <c r="H19" s="64" t="n">
        <v>0.9</v>
      </c>
      <c r="I19" s="22" t="inlineStr">
        <is>
          <t>≥ 90%</t>
        </is>
      </c>
      <c r="J19" s="85" t="inlineStr">
        <is>
          <t>الاستدامة</t>
        </is>
      </c>
      <c r="K19" s="11" t="inlineStr">
        <is>
          <t>جودة التشغيل</t>
        </is>
      </c>
      <c r="L19" s="15" t="inlineStr">
        <is>
          <t>العمليات الداخلية</t>
        </is>
      </c>
      <c r="M19" s="65" t="n">
        <v>0.651</v>
      </c>
      <c r="N19" s="10">
        <f>IF($H19="","",IF($M19="","",MIN(1,IF($H19=0,IF($M19&lt;=0,1,0),IF($E19="↓",IFERROR($H19/$M19,0),IFERROR($M19/$H19,0))))))</f>
        <v/>
      </c>
      <c r="O19" s="20">
        <f>IF($N19="","⏳ بانتظار هدف",IF($N19&gt;=1.0,"✅ محقق",IF($N19&gt;=0.85,"🟡 قريب","🔴 تحت الهدف")))</f>
        <v/>
      </c>
      <c r="P19" s="86" t="inlineStr">
        <is>
          <t>قيمة/عدد المتحقّق من «تنفيذ التوصيات الصادرة عن التحقيقات» ÷ الإجمالي المستهدف لنفس البند × 100٪</t>
        </is>
      </c>
      <c r="Q19" s="86" t="inlineStr">
        <is>
          <t>نظام إدارة القضايا والتحقيقات</t>
        </is>
      </c>
      <c r="R19" s="15" t="inlineStr">
        <is>
          <t>شهري</t>
        </is>
      </c>
    </row>
    <row r="20" outlineLevel="1" ht="26" customHeight="1">
      <c r="A20" s="20" t="n">
        <v>13</v>
      </c>
      <c r="B20" s="21" t="inlineStr">
        <is>
          <t>التحقيق</t>
        </is>
      </c>
      <c r="C20" s="21" t="inlineStr">
        <is>
          <t>نسبة التزام التحقيقات بالإجراءات النظامية والعدالة الإجرائية</t>
        </is>
      </c>
      <c r="D20" s="55" t="inlineStr">
        <is>
          <t>%</t>
        </is>
      </c>
      <c r="E20" s="55" t="inlineStr">
        <is>
          <t>↑</t>
        </is>
      </c>
      <c r="F20" s="15" t="inlineStr">
        <is>
          <t>🟠 مهم</t>
        </is>
      </c>
      <c r="G20" s="64" t="n">
        <v>0.06</v>
      </c>
      <c r="H20" s="64" t="n">
        <v>1</v>
      </c>
      <c r="I20" s="22" t="inlineStr">
        <is>
          <t>100%</t>
        </is>
      </c>
      <c r="J20" s="85" t="inlineStr">
        <is>
          <t>الاستدامة</t>
        </is>
      </c>
      <c r="K20" s="11" t="inlineStr">
        <is>
          <t>جودة التشغيل</t>
        </is>
      </c>
      <c r="L20" s="15" t="inlineStr">
        <is>
          <t>العمليات الداخلية</t>
        </is>
      </c>
      <c r="M20" s="65" t="n">
        <v>0.76</v>
      </c>
      <c r="N20" s="10">
        <f>IF($H20="","",IF($M20="","",MIN(1,IF($H20=0,IF($M20&lt;=0,1,0),IF($E20="↓",IFERROR($H20/$M20,0),IFERROR($M20/$H20,0))))))</f>
        <v/>
      </c>
      <c r="O20" s="20">
        <f>IF($N20="","⏳ بانتظار هدف",IF($N20&gt;=1.0,"✅ محقق",IF($N20&gt;=0.85,"🟡 قريب","🔴 تحت الهدف")))</f>
        <v/>
      </c>
      <c r="P20" s="86" t="inlineStr">
        <is>
          <t>قيمة/عدد المتحقّق من «التزام التحقيقات بالإجراءات النظامية والعدالة الإجرائية» ÷ الإجمالي المستهدف لنفس البند × 100٪</t>
        </is>
      </c>
      <c r="Q20" s="86" t="inlineStr">
        <is>
          <t>نظام إدارة القضايا والتحقيقات</t>
        </is>
      </c>
      <c r="R20" s="15" t="inlineStr">
        <is>
          <t>شهري</t>
        </is>
      </c>
    </row>
  </sheetData>
  <autoFilter ref="A3:R20"/>
  <mergeCells count="2">
    <mergeCell ref="A2:R2"/>
    <mergeCell ref="A1:R1"/>
  </mergeCells>
  <dataValidations count="1">
    <dataValidation sqref="M5 M6 M7 M9 M10 M11 M13 M14 M16 M17 M18 M19 M20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1"/>
    <pageSetUpPr/>
  </sheetPr>
  <dimension ref="A1:R3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9" customWidth="1" min="4" max="4"/>
    <col width="7" customWidth="1" min="5" max="5"/>
    <col width="12" customWidth="1" min="6" max="6"/>
    <col width="8" customWidth="1" min="7" max="7"/>
    <col width="12" customWidth="1" min="8" max="8"/>
    <col width="16" customWidth="1" min="9" max="9"/>
    <col width="12" customWidth="1" min="10" max="10"/>
    <col width="22" customWidth="1" min="11" max="11"/>
    <col width="15" customWidth="1" min="12" max="12"/>
    <col width="12" customWidth="1" min="13" max="13"/>
    <col width="12" customWidth="1" min="14" max="14"/>
    <col width="14" customWidth="1" min="15" max="15"/>
    <col width="48" customWidth="1" min="16" max="16"/>
    <col width="24" customWidth="1" min="17" max="17"/>
    <col width="11" customWidth="1" min="18" max="18"/>
  </cols>
  <sheetData>
    <row r="1" ht="24" customHeight="1">
      <c r="A1" s="17" t="inlineStr">
        <is>
          <t>إدارة الإدارة المالية · مؤشرات الأداء 2026</t>
        </is>
      </c>
    </row>
    <row r="2">
      <c r="A2" s="77" t="inlineStr">
        <is>
          <t>🟩 عمود «المُحقَّق» أرقام تجريبية — استبدلها بالفعلية · نسبة التحقيق والحالة دلّات تُحسب تلقائياً</t>
        </is>
      </c>
    </row>
    <row r="3" ht="28" customHeight="1">
      <c r="A3" s="18" t="inlineStr">
        <is>
          <t>#</t>
        </is>
      </c>
      <c r="B3" s="18" t="inlineStr">
        <is>
          <t>المحور</t>
        </is>
      </c>
      <c r="C3" s="18" t="inlineStr">
        <is>
          <t>المؤشر</t>
        </is>
      </c>
      <c r="D3" s="18" t="inlineStr">
        <is>
          <t>الوحدة</t>
        </is>
      </c>
      <c r="E3" s="18" t="inlineStr">
        <is>
          <t>القطبية</t>
        </is>
      </c>
      <c r="F3" s="18" t="inlineStr">
        <is>
          <t>الأولوية</t>
        </is>
      </c>
      <c r="G3" s="18" t="inlineStr">
        <is>
          <t>الوزن %</t>
        </is>
      </c>
      <c r="H3" s="18" t="inlineStr">
        <is>
          <t>المستهدف</t>
        </is>
      </c>
      <c r="I3" s="18" t="inlineStr">
        <is>
          <t>نص المستهدف</t>
        </is>
      </c>
      <c r="J3" s="18" t="inlineStr">
        <is>
          <t>الركيزة</t>
        </is>
      </c>
      <c r="K3" s="18" t="inlineStr">
        <is>
          <t>المشروع</t>
        </is>
      </c>
      <c r="L3" s="18" t="inlineStr">
        <is>
          <t>منظور BSC</t>
        </is>
      </c>
      <c r="M3" s="18" t="inlineStr">
        <is>
          <t>المُحقَّق</t>
        </is>
      </c>
      <c r="N3" s="18" t="inlineStr">
        <is>
          <t>نسبة التحقيق</t>
        </is>
      </c>
      <c r="O3" s="18" t="inlineStr">
        <is>
          <t>الحالة</t>
        </is>
      </c>
      <c r="P3" s="18" t="inlineStr">
        <is>
          <t>الوصف / طريقة القياس</t>
        </is>
      </c>
      <c r="Q3" s="18" t="inlineStr">
        <is>
          <t>مصدر البيانات</t>
        </is>
      </c>
      <c r="R3" s="18" t="inlineStr">
        <is>
          <t>دورية القياس</t>
        </is>
      </c>
    </row>
    <row r="4" ht="24" customHeight="1">
      <c r="B4" s="78" t="inlineStr">
        <is>
          <t>المالية الاستراتيجية</t>
        </is>
      </c>
      <c r="C4" s="79" t="inlineStr">
        <is>
          <t>📊 مؤشر المالية الاستراتيجية العام</t>
        </is>
      </c>
      <c r="D4" s="80" t="n"/>
      <c r="E4" s="80" t="n"/>
      <c r="F4" s="81" t="inlineStr">
        <is>
          <t>🔷 أساسي</t>
        </is>
      </c>
      <c r="G4" s="82" t="n">
        <v>0.22</v>
      </c>
      <c r="H4" s="80" t="n"/>
      <c r="I4" s="80" t="n"/>
      <c r="J4" s="80" t="n"/>
      <c r="K4" s="80" t="n"/>
      <c r="L4" s="80" t="n"/>
      <c r="M4" s="80" t="n"/>
      <c r="N4" s="83">
        <f>IFERROR(SUMIFS('قاعدة المؤشرات'!$J:$J,'قاعدة المؤشرات'!$B:$B,"الإدارة المالية",'قاعدة المؤشرات'!$L:$L,"المالية الاستراتيجية")/SUMIFS('قاعدة المؤشرات'!$K:$K,'قاعدة المؤشرات'!$B:$B,"الإدارة المالية",'قاعدة المؤشرات'!$L:$L,"المالية الاستراتيجية"),"")</f>
        <v/>
      </c>
      <c r="O4" s="84">
        <f>IF($N4="","⏳ بانتظار هدف",IF($N4&gt;=1,"✅ محقق",IF($N4&gt;=0.85,"🟡 قريب","🔴 تحت الهدف")))</f>
        <v/>
      </c>
      <c r="P4" s="80" t="n"/>
      <c r="Q4" s="80" t="n"/>
      <c r="R4" s="80" t="n"/>
    </row>
    <row r="5" outlineLevel="1" ht="26" customHeight="1">
      <c r="A5" s="20" t="n">
        <v>1</v>
      </c>
      <c r="B5" s="21" t="inlineStr">
        <is>
          <t>المالية الاستراتيجية</t>
        </is>
      </c>
      <c r="C5" s="21" t="inlineStr">
        <is>
          <t>نمو الإيرادات السنوي</t>
        </is>
      </c>
      <c r="D5" s="55" t="inlineStr">
        <is>
          <t>%</t>
        </is>
      </c>
      <c r="E5" s="55" t="inlineStr">
        <is>
          <t>↑</t>
        </is>
      </c>
      <c r="F5" s="15" t="inlineStr">
        <is>
          <t>🔴 رئيسي</t>
        </is>
      </c>
      <c r="G5" s="64" t="n">
        <v>0.05</v>
      </c>
      <c r="H5" s="64" t="n">
        <v>0.2</v>
      </c>
      <c r="I5" s="22" t="inlineStr">
        <is>
          <t>&gt; 20%</t>
        </is>
      </c>
      <c r="J5" s="85" t="inlineStr">
        <is>
          <t>النمو</t>
        </is>
      </c>
      <c r="K5" s="11" t="inlineStr">
        <is>
          <t>زيادة وصول العملاء</t>
        </is>
      </c>
      <c r="L5" s="15" t="inlineStr">
        <is>
          <t>مالي</t>
        </is>
      </c>
      <c r="M5" s="65" t="n">
        <v>0.169</v>
      </c>
      <c r="N5" s="10">
        <f>IF($H5="","",IF($M5="","",MIN(1,IF($H5=0,IF($M5&lt;=0,1,0),IF($E5="↓",IFERROR($H5/$M5,0),IFERROR($M5/$H5,0))))))</f>
        <v/>
      </c>
      <c r="O5" s="20">
        <f>IF($N5="","⏳ بانتظار هدف",IF($N5&gt;=1.0,"✅ محقق",IF($N5&gt;=0.85,"🟡 قريب","🔴 تحت الهدف")))</f>
        <v/>
      </c>
      <c r="P5" s="86" t="inlineStr">
        <is>
          <t>القيمة المتحقّقة من «نمو الإيرادات السنوي» ÷ المستهدف × 100٪</t>
        </is>
      </c>
      <c r="Q5" s="86" t="inlineStr">
        <is>
          <t>نظام المحاسبة / ERP (D365)</t>
        </is>
      </c>
      <c r="R5" s="15" t="inlineStr">
        <is>
          <t>ربعي</t>
        </is>
      </c>
    </row>
    <row r="6" outlineLevel="1" ht="26" customHeight="1">
      <c r="A6" s="20" t="n">
        <v>2</v>
      </c>
      <c r="B6" s="21" t="inlineStr">
        <is>
          <t>المالية الاستراتيجية</t>
        </is>
      </c>
      <c r="C6" s="21" t="inlineStr">
        <is>
          <t>هامش EBITDA</t>
        </is>
      </c>
      <c r="D6" s="55" t="inlineStr">
        <is>
          <t>%</t>
        </is>
      </c>
      <c r="E6" s="55" t="inlineStr">
        <is>
          <t>↑</t>
        </is>
      </c>
      <c r="F6" s="15" t="inlineStr">
        <is>
          <t>🟠 مهم</t>
        </is>
      </c>
      <c r="G6" s="64" t="n">
        <v>0.04</v>
      </c>
      <c r="H6" s="64" t="n">
        <v>0.08</v>
      </c>
      <c r="I6" s="22" t="inlineStr">
        <is>
          <t>&gt; 8%</t>
        </is>
      </c>
      <c r="J6" s="85" t="inlineStr">
        <is>
          <t>النمو</t>
        </is>
      </c>
      <c r="K6" s="11" t="inlineStr">
        <is>
          <t>زيادة وصول العملاء</t>
        </is>
      </c>
      <c r="L6" s="15" t="inlineStr">
        <is>
          <t>مالي</t>
        </is>
      </c>
      <c r="M6" s="65" t="n">
        <v>0.062</v>
      </c>
      <c r="N6" s="10">
        <f>IF($H6="","",IF($M6="","",MIN(1,IF($H6=0,IF($M6&lt;=0,1,0),IF($E6="↓",IFERROR($H6/$M6,0),IFERROR($M6/$H6,0))))))</f>
        <v/>
      </c>
      <c r="O6" s="20">
        <f>IF($N6="","⏳ بانتظار هدف",IF($N6&gt;=1.0,"✅ محقق",IF($N6&gt;=0.85,"🟡 قريب","🔴 تحت الهدف")))</f>
        <v/>
      </c>
      <c r="P6" s="86" t="inlineStr">
        <is>
          <t>القيمة المتحقّقة من «هامش EBITDA» ÷ المستهدف × 100٪</t>
        </is>
      </c>
      <c r="Q6" s="86" t="inlineStr">
        <is>
          <t>نظام المحاسبة / ERP (D365)</t>
        </is>
      </c>
      <c r="R6" s="15" t="inlineStr">
        <is>
          <t>شهري</t>
        </is>
      </c>
    </row>
    <row r="7" outlineLevel="1" ht="26" customHeight="1">
      <c r="A7" s="20" t="n">
        <v>3</v>
      </c>
      <c r="B7" s="21" t="inlineStr">
        <is>
          <t>المالية الاستراتيجية</t>
        </is>
      </c>
      <c r="C7" s="21" t="inlineStr">
        <is>
          <t>هامش صافي الربح</t>
        </is>
      </c>
      <c r="D7" s="55" t="inlineStr">
        <is>
          <t>%</t>
        </is>
      </c>
      <c r="E7" s="55" t="inlineStr">
        <is>
          <t>↑</t>
        </is>
      </c>
      <c r="F7" s="15" t="inlineStr">
        <is>
          <t>🟠 مهم</t>
        </is>
      </c>
      <c r="G7" s="64" t="n">
        <v>0.04</v>
      </c>
      <c r="H7" s="64" t="n">
        <v>0.01</v>
      </c>
      <c r="I7" s="22" t="inlineStr">
        <is>
          <t>&gt; 1%</t>
        </is>
      </c>
      <c r="J7" s="85" t="inlineStr">
        <is>
          <t>النمو</t>
        </is>
      </c>
      <c r="K7" s="11" t="inlineStr">
        <is>
          <t>زيادة وصول العملاء</t>
        </is>
      </c>
      <c r="L7" s="15" t="inlineStr">
        <is>
          <t>مالي</t>
        </is>
      </c>
      <c r="M7" s="65" t="n">
        <v>0.008</v>
      </c>
      <c r="N7" s="10">
        <f>IF($H7="","",IF($M7="","",MIN(1,IF($H7=0,IF($M7&lt;=0,1,0),IF($E7="↓",IFERROR($H7/$M7,0),IFERROR($M7/$H7,0))))))</f>
        <v/>
      </c>
      <c r="O7" s="20">
        <f>IF($N7="","⏳ بانتظار هدف",IF($N7&gt;=1.0,"✅ محقق",IF($N7&gt;=0.85,"🟡 قريب","🔴 تحت الهدف")))</f>
        <v/>
      </c>
      <c r="P7" s="86" t="inlineStr">
        <is>
          <t>القيمة المتحقّقة من «هامش صافي الربح» ÷ المستهدف × 100٪</t>
        </is>
      </c>
      <c r="Q7" s="86" t="inlineStr">
        <is>
          <t>نظام المحاسبة / ERP (D365)</t>
        </is>
      </c>
      <c r="R7" s="15" t="inlineStr">
        <is>
          <t>شهري</t>
        </is>
      </c>
    </row>
    <row r="8" outlineLevel="1" ht="26" customHeight="1">
      <c r="A8" s="20" t="n">
        <v>4</v>
      </c>
      <c r="B8" s="21" t="inlineStr">
        <is>
          <t>المالية الاستراتيجية</t>
        </is>
      </c>
      <c r="C8" s="21" t="inlineStr">
        <is>
          <t>العائد على حقوق الملكية (ROE)</t>
        </is>
      </c>
      <c r="D8" s="55" t="inlineStr">
        <is>
          <t>%</t>
        </is>
      </c>
      <c r="E8" s="55" t="inlineStr">
        <is>
          <t>↑</t>
        </is>
      </c>
      <c r="F8" s="15" t="inlineStr">
        <is>
          <t>🔴 رئيسي</t>
        </is>
      </c>
      <c r="G8" s="64" t="n">
        <v>0.05</v>
      </c>
      <c r="H8" s="64" t="n">
        <v>0.1</v>
      </c>
      <c r="I8" s="22" t="inlineStr">
        <is>
          <t>&gt; 10%</t>
        </is>
      </c>
      <c r="J8" s="85" t="inlineStr">
        <is>
          <t>النمو</t>
        </is>
      </c>
      <c r="K8" s="11" t="inlineStr">
        <is>
          <t>زيادة وصول العملاء</t>
        </is>
      </c>
      <c r="L8" s="15" t="inlineStr">
        <is>
          <t>مالي</t>
        </is>
      </c>
      <c r="M8" s="65" t="n">
        <v>0.074</v>
      </c>
      <c r="N8" s="10">
        <f>IF($H8="","",IF($M8="","",MIN(1,IF($H8=0,IF($M8&lt;=0,1,0),IF($E8="↓",IFERROR($H8/$M8,0),IFERROR($M8/$H8,0))))))</f>
        <v/>
      </c>
      <c r="O8" s="20">
        <f>IF($N8="","⏳ بانتظار هدف",IF($N8&gt;=1.0,"✅ محقق",IF($N8&gt;=0.85,"🟡 قريب","🔴 تحت الهدف")))</f>
        <v/>
      </c>
      <c r="P8" s="86" t="inlineStr">
        <is>
          <t>القيمة المتحقّقة من «العائد على حقوق الملكية» ÷ المستهدف × 100٪</t>
        </is>
      </c>
      <c r="Q8" s="86" t="inlineStr">
        <is>
          <t>نظام المحاسبة / ERP (D365)</t>
        </is>
      </c>
      <c r="R8" s="15" t="inlineStr">
        <is>
          <t>ربعي</t>
        </is>
      </c>
    </row>
    <row r="9" outlineLevel="1" ht="26" customHeight="1">
      <c r="A9" s="20" t="n">
        <v>5</v>
      </c>
      <c r="B9" s="21" t="inlineStr">
        <is>
          <t>المالية الاستراتيجية</t>
        </is>
      </c>
      <c r="C9" s="21" t="inlineStr">
        <is>
          <t>نسبة التدفق النقدي التشغيلي</t>
        </is>
      </c>
      <c r="D9" s="55" t="inlineStr">
        <is>
          <t>نسبة</t>
        </is>
      </c>
      <c r="E9" s="55" t="inlineStr">
        <is>
          <t>↑</t>
        </is>
      </c>
      <c r="F9" s="15" t="inlineStr">
        <is>
          <t>🟠 مهم</t>
        </is>
      </c>
      <c r="G9" s="64" t="n">
        <v>0.04</v>
      </c>
      <c r="H9" s="67" t="n">
        <v>1</v>
      </c>
      <c r="I9" s="22" t="inlineStr">
        <is>
          <t>&gt; 1</t>
        </is>
      </c>
      <c r="J9" s="85" t="inlineStr">
        <is>
          <t>الاستدامة</t>
        </is>
      </c>
      <c r="K9" s="11" t="inlineStr">
        <is>
          <t>جودة التشغيل</t>
        </is>
      </c>
      <c r="L9" s="15" t="inlineStr">
        <is>
          <t>العمليات الداخلية</t>
        </is>
      </c>
      <c r="M9" s="68" t="n">
        <v>0.902</v>
      </c>
      <c r="N9" s="10">
        <f>IF($H9="","",IF($M9="","",MIN(1,IF($H9=0,IF($M9&lt;=0,1,0),IF($E9="↓",IFERROR($H9/$M9,0),IFERROR($M9/$H9,0))))))</f>
        <v/>
      </c>
      <c r="O9" s="20">
        <f>IF($N9="","⏳ بانتظار هدف",IF($N9&gt;=1.0,"✅ محقق",IF($N9&gt;=0.85,"🟡 قريب","🔴 تحت الهدف")))</f>
        <v/>
      </c>
      <c r="P9" s="86" t="inlineStr">
        <is>
          <t>قيمة/عدد المتحقّق من «التدفق النقدي التشغيلي» ÷ الإجمالي المستهدف لنفس البند × 100٪</t>
        </is>
      </c>
      <c r="Q9" s="86" t="inlineStr">
        <is>
          <t>نظام المحاسبة / ERP (D365)</t>
        </is>
      </c>
      <c r="R9" s="15" t="inlineStr">
        <is>
          <t>شهري</t>
        </is>
      </c>
    </row>
    <row r="10" ht="24" customHeight="1">
      <c r="B10" s="78" t="inlineStr">
        <is>
          <t>السيولة ورأس المال</t>
        </is>
      </c>
      <c r="C10" s="79" t="inlineStr">
        <is>
          <t>📊 مؤشر السيولة ورأس المال العام</t>
        </is>
      </c>
      <c r="D10" s="80" t="n"/>
      <c r="E10" s="80" t="n"/>
      <c r="F10" s="81" t="inlineStr">
        <is>
          <t>🔷 أساسي</t>
        </is>
      </c>
      <c r="G10" s="82" t="n">
        <v>0.09</v>
      </c>
      <c r="H10" s="80" t="n"/>
      <c r="I10" s="80" t="n"/>
      <c r="J10" s="80" t="n"/>
      <c r="K10" s="80" t="n"/>
      <c r="L10" s="80" t="n"/>
      <c r="M10" s="80" t="n"/>
      <c r="N10" s="83">
        <f>IFERROR(SUMIFS('قاعدة المؤشرات'!$J:$J,'قاعدة المؤشرات'!$B:$B,"الإدارة المالية",'قاعدة المؤشرات'!$L:$L,"السيولة ورأس المال")/SUMIFS('قاعدة المؤشرات'!$K:$K,'قاعدة المؤشرات'!$B:$B,"الإدارة المالية",'قاعدة المؤشرات'!$L:$L,"السيولة ورأس المال"),"")</f>
        <v/>
      </c>
      <c r="O10" s="84">
        <f>IF($N10="","⏳ بانتظار هدف",IF($N10&gt;=1,"✅ محقق",IF($N10&gt;=0.85,"🟡 قريب","🔴 تحت الهدف")))</f>
        <v/>
      </c>
      <c r="P10" s="80" t="n"/>
      <c r="Q10" s="80" t="n"/>
      <c r="R10" s="80" t="n"/>
    </row>
    <row r="11" outlineLevel="1" ht="26" customHeight="1">
      <c r="A11" s="20" t="n">
        <v>6</v>
      </c>
      <c r="B11" s="21" t="inlineStr">
        <is>
          <t>السيولة ورأس المال</t>
        </is>
      </c>
      <c r="C11" s="21" t="inlineStr">
        <is>
          <t>النسبة الجارية (Current Ratio)</t>
        </is>
      </c>
      <c r="D11" s="55" t="inlineStr">
        <is>
          <t>نسبة</t>
        </is>
      </c>
      <c r="E11" s="55" t="inlineStr">
        <is>
          <t>↑</t>
        </is>
      </c>
      <c r="F11" s="15" t="inlineStr">
        <is>
          <t>🟠 مهم</t>
        </is>
      </c>
      <c r="G11" s="64" t="n">
        <v>0.04</v>
      </c>
      <c r="H11" s="67" t="n">
        <v>1</v>
      </c>
      <c r="I11" s="22" t="inlineStr">
        <is>
          <t>0.8 – 1</t>
        </is>
      </c>
      <c r="J11" s="85" t="inlineStr">
        <is>
          <t>الاستدامة</t>
        </is>
      </c>
      <c r="K11" s="11" t="inlineStr">
        <is>
          <t>جودة التشغيل</t>
        </is>
      </c>
      <c r="L11" s="15" t="inlineStr">
        <is>
          <t>العمليات الداخلية</t>
        </is>
      </c>
      <c r="M11" s="68" t="n">
        <v>0.852</v>
      </c>
      <c r="N11" s="10">
        <f>IF($H11="","",IF($M11="","",MIN(1,IF($H11=0,IF($M11&lt;=0,1,0),IF($E11="↓",IFERROR($H11/$M11,0),IFERROR($M11/$H11,0))))))</f>
        <v/>
      </c>
      <c r="O11" s="20">
        <f>IF($N11="","⏳ بانتظار هدف",IF($N11&gt;=1.0,"✅ محقق",IF($N11&gt;=0.85,"🟡 قريب","🔴 تحت الهدف")))</f>
        <v/>
      </c>
      <c r="P11" s="86" t="inlineStr">
        <is>
          <t>قياس «النسبة الجارية» مقابل مستهدفه المعتمد خلال الفترة</t>
        </is>
      </c>
      <c r="Q11" s="86" t="inlineStr">
        <is>
          <t>سجلات الإدارة</t>
        </is>
      </c>
      <c r="R11" s="15" t="inlineStr">
        <is>
          <t>شهري</t>
        </is>
      </c>
    </row>
    <row r="12" outlineLevel="1" ht="26" customHeight="1">
      <c r="A12" s="20" t="n">
        <v>7</v>
      </c>
      <c r="B12" s="21" t="inlineStr">
        <is>
          <t>السيولة ورأس المال</t>
        </is>
      </c>
      <c r="C12" s="21" t="inlineStr">
        <is>
          <t>دورة التحويل النقدي</t>
        </is>
      </c>
      <c r="D12" s="55" t="inlineStr">
        <is>
          <t>يوم</t>
        </is>
      </c>
      <c r="E12" s="55" t="inlineStr">
        <is>
          <t>↓</t>
        </is>
      </c>
      <c r="F12" s="15" t="inlineStr">
        <is>
          <t>🔴 رئيسي</t>
        </is>
      </c>
      <c r="G12" s="64" t="n">
        <v>0.05</v>
      </c>
      <c r="H12" s="67" t="n">
        <v>20</v>
      </c>
      <c r="I12" s="22" t="inlineStr">
        <is>
          <t>&lt; 20 يوم</t>
        </is>
      </c>
      <c r="J12" s="85" t="inlineStr">
        <is>
          <t>الاستدامة</t>
        </is>
      </c>
      <c r="K12" s="11" t="inlineStr">
        <is>
          <t>جودة التشغيل</t>
        </is>
      </c>
      <c r="L12" s="15" t="inlineStr">
        <is>
          <t>العمليات الداخلية</t>
        </is>
      </c>
      <c r="M12" s="68" t="n">
        <v>19.3</v>
      </c>
      <c r="N12" s="10">
        <f>IF($H12="","",IF($M12="","",MIN(1,IF($H12=0,IF($M12&lt;=0,1,0),IF($E12="↓",IFERROR($H12/$M12,0),IFERROR($M12/$H12,0))))))</f>
        <v/>
      </c>
      <c r="O12" s="20">
        <f>IF($N12="","⏳ بانتظار هدف",IF($N12&gt;=1.0,"✅ محقق",IF($N12&gt;=0.85,"🟡 قريب","🔴 تحت الهدف")))</f>
        <v/>
      </c>
      <c r="P12" s="86" t="inlineStr">
        <is>
          <t>متوسط عدد أيام «دورة التحويل النقدي» خلال الفترة</t>
        </is>
      </c>
      <c r="Q12" s="86" t="inlineStr">
        <is>
          <t>نظام المحاسبة / ERP (D365)</t>
        </is>
      </c>
      <c r="R12" s="15" t="inlineStr">
        <is>
          <t>شهري</t>
        </is>
      </c>
    </row>
    <row r="13" ht="24" customHeight="1">
      <c r="B13" s="78" t="inlineStr">
        <is>
          <t>الذمم المدينة</t>
        </is>
      </c>
      <c r="C13" s="79" t="inlineStr">
        <is>
          <t>📊 مؤشر الذمم المدينة العام</t>
        </is>
      </c>
      <c r="D13" s="80" t="n"/>
      <c r="E13" s="80" t="n"/>
      <c r="F13" s="81" t="inlineStr">
        <is>
          <t>🔷 أساسي</t>
        </is>
      </c>
      <c r="G13" s="82" t="n">
        <v>0.18</v>
      </c>
      <c r="H13" s="80" t="n"/>
      <c r="I13" s="80" t="n"/>
      <c r="J13" s="80" t="n"/>
      <c r="K13" s="80" t="n"/>
      <c r="L13" s="80" t="n"/>
      <c r="M13" s="80" t="n"/>
      <c r="N13" s="83">
        <f>IFERROR(SUMIFS('قاعدة المؤشرات'!$J:$J,'قاعدة المؤشرات'!$B:$B,"الإدارة المالية",'قاعدة المؤشرات'!$L:$L,"الذمم المدينة")/SUMIFS('قاعدة المؤشرات'!$K:$K,'قاعدة المؤشرات'!$B:$B,"الإدارة المالية",'قاعدة المؤشرات'!$L:$L,"الذمم المدينة"),"")</f>
        <v/>
      </c>
      <c r="O13" s="84">
        <f>IF($N13="","⏳ بانتظار هدف",IF($N13&gt;=1,"✅ محقق",IF($N13&gt;=0.85,"🟡 قريب","🔴 تحت الهدف")))</f>
        <v/>
      </c>
      <c r="P13" s="80" t="n"/>
      <c r="Q13" s="80" t="n"/>
      <c r="R13" s="80" t="n"/>
    </row>
    <row r="14" outlineLevel="1" ht="26" customHeight="1">
      <c r="A14" s="20" t="n">
        <v>8</v>
      </c>
      <c r="B14" s="21" t="inlineStr">
        <is>
          <t>الذمم المدينة</t>
        </is>
      </c>
      <c r="C14" s="21" t="inlineStr">
        <is>
          <t>متوسط أيام التحصيل العام (DSO)</t>
        </is>
      </c>
      <c r="D14" s="55" t="inlineStr">
        <is>
          <t>يوم</t>
        </is>
      </c>
      <c r="E14" s="55" t="inlineStr">
        <is>
          <t>↓</t>
        </is>
      </c>
      <c r="F14" s="15" t="inlineStr">
        <is>
          <t>🔴 رئيسي</t>
        </is>
      </c>
      <c r="G14" s="64" t="n">
        <v>0.05</v>
      </c>
      <c r="H14" s="67" t="n">
        <v>30</v>
      </c>
      <c r="I14" s="22" t="inlineStr">
        <is>
          <t>&lt; 30 يوم</t>
        </is>
      </c>
      <c r="J14" s="85" t="inlineStr">
        <is>
          <t>الاستدامة</t>
        </is>
      </c>
      <c r="K14" s="11" t="inlineStr">
        <is>
          <t>جودة التشغيل</t>
        </is>
      </c>
      <c r="L14" s="15" t="inlineStr">
        <is>
          <t>مالي</t>
        </is>
      </c>
      <c r="M14" s="68" t="n">
        <v>28.1</v>
      </c>
      <c r="N14" s="10">
        <f>IF($H14="","",IF($M14="","",MIN(1,IF($H14=0,IF($M14&lt;=0,1,0),IF($E14="↓",IFERROR($H14/$M14,0),IFERROR($M14/$H14,0))))))</f>
        <v/>
      </c>
      <c r="O14" s="20">
        <f>IF($N14="","⏳ بانتظار هدف",IF($N14&gt;=1.0,"✅ محقق",IF($N14&gt;=0.85,"🟡 قريب","🔴 تحت الهدف")))</f>
        <v/>
      </c>
      <c r="P14" s="86" t="inlineStr">
        <is>
          <t>مجموع أيام «أيام التحصيل العام» ÷ عدد الحالات</t>
        </is>
      </c>
      <c r="Q14" s="86" t="inlineStr">
        <is>
          <t>نظام المحاسبة / ERP (D365)</t>
        </is>
      </c>
      <c r="R14" s="15" t="inlineStr">
        <is>
          <t>شهري</t>
        </is>
      </c>
    </row>
    <row r="15" outlineLevel="1" ht="26" customHeight="1">
      <c r="A15" s="20" t="n">
        <v>9</v>
      </c>
      <c r="B15" s="21" t="inlineStr">
        <is>
          <t>الذمم المدينة</t>
        </is>
      </c>
      <c r="C15" s="21" t="inlineStr">
        <is>
          <t>نسبة التحصيل العام (الشركة)</t>
        </is>
      </c>
      <c r="D15" s="55" t="inlineStr">
        <is>
          <t>%</t>
        </is>
      </c>
      <c r="E15" s="55" t="inlineStr">
        <is>
          <t>↑</t>
        </is>
      </c>
      <c r="F15" s="15" t="inlineStr">
        <is>
          <t>🔴 رئيسي</t>
        </is>
      </c>
      <c r="G15" s="64" t="n">
        <v>0.05</v>
      </c>
      <c r="H15" s="64" t="n">
        <v>0.95</v>
      </c>
      <c r="I15" s="22" t="inlineStr">
        <is>
          <t>&gt; 95%</t>
        </is>
      </c>
      <c r="J15" s="85" t="inlineStr">
        <is>
          <t>الاستدامة</t>
        </is>
      </c>
      <c r="K15" s="11" t="inlineStr">
        <is>
          <t>جودة التشغيل</t>
        </is>
      </c>
      <c r="L15" s="15" t="inlineStr">
        <is>
          <t>مالي</t>
        </is>
      </c>
      <c r="M15" s="65" t="n">
        <v>0.699</v>
      </c>
      <c r="N15" s="10">
        <f>IF($H15="","",IF($M15="","",MIN(1,IF($H15=0,IF($M15&lt;=0,1,0),IF($E15="↓",IFERROR($H15/$M15,0),IFERROR($M15/$H15,0))))))</f>
        <v/>
      </c>
      <c r="O15" s="20">
        <f>IF($N15="","⏳ بانتظار هدف",IF($N15&gt;=1.0,"✅ محقق",IF($N15&gt;=0.85,"🟡 قريب","🔴 تحت الهدف")))</f>
        <v/>
      </c>
      <c r="P15" s="86" t="inlineStr">
        <is>
          <t>قيمة/عدد المتحقّق من «التحصيل العام» ÷ الإجمالي المستهدف لنفس البند × 100٪</t>
        </is>
      </c>
      <c r="Q15" s="86" t="inlineStr">
        <is>
          <t>نظام المحاسبة / ERP (D365)</t>
        </is>
      </c>
      <c r="R15" s="15" t="inlineStr">
        <is>
          <t>شهري</t>
        </is>
      </c>
    </row>
    <row r="16" outlineLevel="1" ht="26" customHeight="1">
      <c r="A16" s="20" t="n">
        <v>10</v>
      </c>
      <c r="B16" s="21" t="inlineStr">
        <is>
          <t>الذمم المدينة</t>
        </is>
      </c>
      <c r="C16" s="21" t="inlineStr">
        <is>
          <t>نسبة الذمم المتأخرة</t>
        </is>
      </c>
      <c r="D16" s="55" t="inlineStr">
        <is>
          <t>%</t>
        </is>
      </c>
      <c r="E16" s="55" t="inlineStr">
        <is>
          <t>↓</t>
        </is>
      </c>
      <c r="F16" s="15" t="inlineStr">
        <is>
          <t>🟠 مهم</t>
        </is>
      </c>
      <c r="G16" s="64" t="n">
        <v>0.04</v>
      </c>
      <c r="H16" s="64" t="n">
        <v>0.1</v>
      </c>
      <c r="I16" s="22" t="inlineStr">
        <is>
          <t>&lt; 10%</t>
        </is>
      </c>
      <c r="J16" s="85" t="inlineStr">
        <is>
          <t>الاستدامة</t>
        </is>
      </c>
      <c r="K16" s="11" t="inlineStr">
        <is>
          <t>جودة التشغيل</t>
        </is>
      </c>
      <c r="L16" s="15" t="inlineStr">
        <is>
          <t>العمليات الداخلية</t>
        </is>
      </c>
      <c r="M16" s="65" t="n">
        <v>0.099</v>
      </c>
      <c r="N16" s="10">
        <f>IF($H16="","",IF($M16="","",MIN(1,IF($H16=0,IF($M16&lt;=0,1,0),IF($E16="↓",IFERROR($H16/$M16,0),IFERROR($M16/$H16,0))))))</f>
        <v/>
      </c>
      <c r="O16" s="20">
        <f>IF($N16="","⏳ بانتظار هدف",IF($N16&gt;=1.0,"✅ محقق",IF($N16&gt;=0.85,"🟡 قريب","🔴 تحت الهدف")))</f>
        <v/>
      </c>
      <c r="P16" s="86" t="inlineStr">
        <is>
          <t>قيمة/عدد المتحقّق من «الذمم المتأخرة» ÷ الإجمالي المستهدف لنفس البند × 100٪</t>
        </is>
      </c>
      <c r="Q16" s="86" t="inlineStr">
        <is>
          <t>نظام المحاسبة / ERP (D365)</t>
        </is>
      </c>
      <c r="R16" s="15" t="inlineStr">
        <is>
          <t>شهري</t>
        </is>
      </c>
    </row>
    <row r="17" outlineLevel="1" ht="26" customHeight="1">
      <c r="A17" s="20" t="n">
        <v>11</v>
      </c>
      <c r="B17" s="21" t="inlineStr">
        <is>
          <t>الذمم المدينة</t>
        </is>
      </c>
      <c r="C17" s="21" t="inlineStr">
        <is>
          <t>نسبة الديون المعدومة</t>
        </is>
      </c>
      <c r="D17" s="55" t="inlineStr">
        <is>
          <t>%</t>
        </is>
      </c>
      <c r="E17" s="55" t="inlineStr">
        <is>
          <t>↓</t>
        </is>
      </c>
      <c r="F17" s="15" t="inlineStr">
        <is>
          <t>🟠 مهم</t>
        </is>
      </c>
      <c r="G17" s="64" t="n">
        <v>0.04</v>
      </c>
      <c r="H17" s="64" t="n">
        <v>0.01</v>
      </c>
      <c r="I17" s="22" t="inlineStr">
        <is>
          <t>&lt; 1%</t>
        </is>
      </c>
      <c r="J17" s="85" t="inlineStr">
        <is>
          <t>الاستدامة</t>
        </is>
      </c>
      <c r="K17" s="11" t="inlineStr">
        <is>
          <t>جودة التشغيل</t>
        </is>
      </c>
      <c r="L17" s="15" t="inlineStr">
        <is>
          <t>العمليات الداخلية</t>
        </is>
      </c>
      <c r="M17" s="65" t="n">
        <v>0.008999999999999999</v>
      </c>
      <c r="N17" s="10">
        <f>IF($H17="","",IF($M17="","",MIN(1,IF($H17=0,IF($M17&lt;=0,1,0),IF($E17="↓",IFERROR($H17/$M17,0),IFERROR($M17/$H17,0))))))</f>
        <v/>
      </c>
      <c r="O17" s="20">
        <f>IF($N17="","⏳ بانتظار هدف",IF($N17&gt;=1.0,"✅ محقق",IF($N17&gt;=0.85,"🟡 قريب","🔴 تحت الهدف")))</f>
        <v/>
      </c>
      <c r="P17" s="86" t="inlineStr">
        <is>
          <t>قيمة/عدد المتحقّق من «الديون المعدومة» ÷ الإجمالي المستهدف لنفس البند × 100٪</t>
        </is>
      </c>
      <c r="Q17" s="86" t="inlineStr">
        <is>
          <t>نظام المحاسبة / ERP (D365)</t>
        </is>
      </c>
      <c r="R17" s="15" t="inlineStr">
        <is>
          <t>شهري</t>
        </is>
      </c>
    </row>
    <row r="18" ht="24" customHeight="1">
      <c r="B18" s="78" t="inlineStr">
        <is>
          <t>الذمم الدائنة</t>
        </is>
      </c>
      <c r="C18" s="79" t="inlineStr">
        <is>
          <t>📊 مؤشر الذمم الدائنة العام</t>
        </is>
      </c>
      <c r="D18" s="80" t="n"/>
      <c r="E18" s="80" t="n"/>
      <c r="F18" s="81" t="inlineStr">
        <is>
          <t>🔷 أساسي</t>
        </is>
      </c>
      <c r="G18" s="82" t="n">
        <v>0.08</v>
      </c>
      <c r="H18" s="80" t="n"/>
      <c r="I18" s="80" t="n"/>
      <c r="J18" s="80" t="n"/>
      <c r="K18" s="80" t="n"/>
      <c r="L18" s="80" t="n"/>
      <c r="M18" s="80" t="n"/>
      <c r="N18" s="83">
        <f>IFERROR(SUMIFS('قاعدة المؤشرات'!$J:$J,'قاعدة المؤشرات'!$B:$B,"الإدارة المالية",'قاعدة المؤشرات'!$L:$L,"الذمم الدائنة")/SUMIFS('قاعدة المؤشرات'!$K:$K,'قاعدة المؤشرات'!$B:$B,"الإدارة المالية",'قاعدة المؤشرات'!$L:$L,"الذمم الدائنة"),"")</f>
        <v/>
      </c>
      <c r="O18" s="84">
        <f>IF($N18="","⏳ بانتظار هدف",IF($N18&gt;=1,"✅ محقق",IF($N18&gt;=0.85,"🟡 قريب","🔴 تحت الهدف")))</f>
        <v/>
      </c>
      <c r="P18" s="80" t="n"/>
      <c r="Q18" s="80" t="n"/>
      <c r="R18" s="80" t="n"/>
    </row>
    <row r="19" outlineLevel="1" ht="26" customHeight="1">
      <c r="A19" s="20" t="n">
        <v>12</v>
      </c>
      <c r="B19" s="21" t="inlineStr">
        <is>
          <t>الذمم الدائنة</t>
        </is>
      </c>
      <c r="C19" s="21" t="inlineStr">
        <is>
          <t>سداد الموردين في الموعد</t>
        </is>
      </c>
      <c r="D19" s="55" t="inlineStr">
        <is>
          <t>%</t>
        </is>
      </c>
      <c r="E19" s="55" t="inlineStr">
        <is>
          <t>↑</t>
        </is>
      </c>
      <c r="F19" s="15" t="inlineStr">
        <is>
          <t>🟠 مهم</t>
        </is>
      </c>
      <c r="G19" s="64" t="n">
        <v>0.04</v>
      </c>
      <c r="H19" s="64" t="n">
        <v>0.98</v>
      </c>
      <c r="I19" s="22" t="inlineStr">
        <is>
          <t>&gt; 98%</t>
        </is>
      </c>
      <c r="J19" s="85" t="inlineStr">
        <is>
          <t>الاستدامة</t>
        </is>
      </c>
      <c r="K19" s="11" t="inlineStr">
        <is>
          <t>جودة التشغيل</t>
        </is>
      </c>
      <c r="L19" s="15" t="inlineStr">
        <is>
          <t>مالي</t>
        </is>
      </c>
      <c r="M19" s="65" t="n">
        <v>0.754</v>
      </c>
      <c r="N19" s="10">
        <f>IF($H19="","",IF($M19="","",MIN(1,IF($H19=0,IF($M19&lt;=0,1,0),IF($E19="↓",IFERROR($H19/$M19,0),IFERROR($M19/$H19,0))))))</f>
        <v/>
      </c>
      <c r="O19" s="20">
        <f>IF($N19="","⏳ بانتظار هدف",IF($N19&gt;=1.0,"✅ محقق",IF($N19&gt;=0.85,"🟡 قريب","🔴 تحت الهدف")))</f>
        <v/>
      </c>
      <c r="P19" s="86" t="inlineStr">
        <is>
          <t>القيمة المتحقّقة من «سداد الموردين في الموعد» ÷ المستهدف × 100٪</t>
        </is>
      </c>
      <c r="Q19" s="86" t="inlineStr">
        <is>
          <t>نظام المحاسبة / ERP (D365)</t>
        </is>
      </c>
      <c r="R19" s="15" t="inlineStr">
        <is>
          <t>شهري</t>
        </is>
      </c>
    </row>
    <row r="20" outlineLevel="1" ht="26" customHeight="1">
      <c r="A20" s="20" t="n">
        <v>13</v>
      </c>
      <c r="B20" s="21" t="inlineStr">
        <is>
          <t>الذمم الدائنة</t>
        </is>
      </c>
      <c r="C20" s="21" t="inlineStr">
        <is>
          <t>اكتمال مطابقة حسابات الموردين</t>
        </is>
      </c>
      <c r="D20" s="55" t="inlineStr">
        <is>
          <t>%</t>
        </is>
      </c>
      <c r="E20" s="55" t="inlineStr">
        <is>
          <t>↑</t>
        </is>
      </c>
      <c r="F20" s="15" t="inlineStr">
        <is>
          <t>🟠 مهم</t>
        </is>
      </c>
      <c r="G20" s="64" t="n">
        <v>0.04</v>
      </c>
      <c r="H20" s="64" t="n">
        <v>0.95</v>
      </c>
      <c r="I20" s="22" t="inlineStr">
        <is>
          <t>≥ 95%</t>
        </is>
      </c>
      <c r="J20" s="85" t="inlineStr">
        <is>
          <t>الاستدامة</t>
        </is>
      </c>
      <c r="K20" s="11" t="inlineStr">
        <is>
          <t>جودة التشغيل</t>
        </is>
      </c>
      <c r="L20" s="15" t="inlineStr">
        <is>
          <t>العمليات الداخلية</t>
        </is>
      </c>
      <c r="M20" s="65" t="n">
        <v>0.926</v>
      </c>
      <c r="N20" s="10">
        <f>IF($H20="","",IF($M20="","",MIN(1,IF($H20=0,IF($M20&lt;=0,1,0),IF($E20="↓",IFERROR($H20/$M20,0),IFERROR($M20/$H20,0))))))</f>
        <v/>
      </c>
      <c r="O20" s="20">
        <f>IF($N20="","⏳ بانتظار هدف",IF($N20&gt;=1.0,"✅ محقق",IF($N20&gt;=0.97,"🟡 قريب","🔴 تحت الهدف")))</f>
        <v/>
      </c>
      <c r="P20" s="86" t="inlineStr">
        <is>
          <t>القيمة المتحقّقة من «اكتمال مطابقة حسابات الموردين» ÷ المستهدف × 100٪</t>
        </is>
      </c>
      <c r="Q20" s="86" t="inlineStr">
        <is>
          <t>نظام المحاسبة / ERP (D365)</t>
        </is>
      </c>
      <c r="R20" s="15" t="inlineStr">
        <is>
          <t>شهري</t>
        </is>
      </c>
    </row>
    <row r="21" ht="26" customHeight="1">
      <c r="A21" s="20" t="n">
        <v>14</v>
      </c>
      <c r="B21" s="21" t="inlineStr">
        <is>
          <t>الخزينة</t>
        </is>
      </c>
      <c r="C21" s="21" t="inlineStr">
        <is>
          <t>دقة التنبؤ النقدي</t>
        </is>
      </c>
      <c r="D21" s="55" t="inlineStr">
        <is>
          <t>%</t>
        </is>
      </c>
      <c r="E21" s="55" t="inlineStr">
        <is>
          <t>↑</t>
        </is>
      </c>
      <c r="F21" s="15" t="inlineStr">
        <is>
          <t>🟠 مهم</t>
        </is>
      </c>
      <c r="G21" s="64" t="n">
        <v>0.04</v>
      </c>
      <c r="H21" s="64" t="n">
        <v>0.9</v>
      </c>
      <c r="I21" s="22" t="inlineStr">
        <is>
          <t>±10%</t>
        </is>
      </c>
      <c r="J21" s="85" t="inlineStr">
        <is>
          <t>الاستدامة</t>
        </is>
      </c>
      <c r="K21" s="11" t="inlineStr">
        <is>
          <t>جودة التشغيل</t>
        </is>
      </c>
      <c r="L21" s="15" t="inlineStr">
        <is>
          <t>العمليات الداخلية</t>
        </is>
      </c>
      <c r="M21" s="65" t="n">
        <v>0.9</v>
      </c>
      <c r="N21" s="10">
        <f>IF($H21="","",IF($M21="","",MIN(1,IF($H21=0,IF($M21&lt;=0,1,0),IF($E21="↓",IFERROR($H21/$M21,0),IFERROR($M21/$H21,0))))))</f>
        <v/>
      </c>
      <c r="O21" s="20">
        <f>IF($N21="","⏳ بانتظار هدف",IF($N21&gt;=1.0,"✅ محقق",IF($N21&gt;=0.85,"🟡 قريب","🔴 تحت الهدف")))</f>
        <v/>
      </c>
      <c r="P21" s="86" t="inlineStr">
        <is>
          <t>القيمة المتحقّقة من «دقة التنبؤ النقدي» ÷ المستهدف × 100٪</t>
        </is>
      </c>
      <c r="Q21" s="86" t="inlineStr">
        <is>
          <t>نظام المحاسبة / ERP (D365)</t>
        </is>
      </c>
      <c r="R21" s="15" t="inlineStr">
        <is>
          <t>شهري</t>
        </is>
      </c>
    </row>
    <row r="22" ht="24" customHeight="1">
      <c r="B22" s="78" t="inlineStr">
        <is>
          <t>صناعة الوقود</t>
        </is>
      </c>
      <c r="C22" s="79" t="inlineStr">
        <is>
          <t>📊 مؤشر صناعة الوقود العام</t>
        </is>
      </c>
      <c r="D22" s="80" t="n"/>
      <c r="E22" s="80" t="n"/>
      <c r="F22" s="81" t="inlineStr">
        <is>
          <t>🔷 أساسي</t>
        </is>
      </c>
      <c r="G22" s="82" t="n">
        <v>0.1</v>
      </c>
      <c r="H22" s="80" t="n"/>
      <c r="I22" s="80" t="n"/>
      <c r="J22" s="80" t="n"/>
      <c r="K22" s="80" t="n"/>
      <c r="L22" s="80" t="n"/>
      <c r="M22" s="80" t="n"/>
      <c r="N22" s="83">
        <f>IFERROR(SUMIFS('قاعدة المؤشرات'!$J:$J,'قاعدة المؤشرات'!$B:$B,"الإدارة المالية",'قاعدة المؤشرات'!$L:$L,"صناعة الوقود")/SUMIFS('قاعدة المؤشرات'!$K:$K,'قاعدة المؤشرات'!$B:$B,"الإدارة المالية",'قاعدة المؤشرات'!$L:$L,"صناعة الوقود"),"")</f>
        <v/>
      </c>
      <c r="O22" s="84">
        <f>IF($N22="","⏳ بانتظار هدف",IF($N22&gt;=1,"✅ محقق",IF($N22&gt;=0.85,"🟡 قريب","🔴 تحت الهدف")))</f>
        <v/>
      </c>
      <c r="P22" s="80" t="n"/>
      <c r="Q22" s="80" t="n"/>
      <c r="R22" s="80" t="n"/>
    </row>
    <row r="23" outlineLevel="1" ht="26" customHeight="1">
      <c r="A23" s="20" t="n">
        <v>15</v>
      </c>
      <c r="B23" s="21" t="inlineStr">
        <is>
          <t>صناعة الوقود</t>
        </is>
      </c>
      <c r="C23" s="21" t="inlineStr">
        <is>
          <t>تباين مخزون الوقود</t>
        </is>
      </c>
      <c r="D23" s="55" t="inlineStr">
        <is>
          <t>%</t>
        </is>
      </c>
      <c r="E23" s="55" t="inlineStr">
        <is>
          <t>↓</t>
        </is>
      </c>
      <c r="F23" s="15" t="inlineStr">
        <is>
          <t>🟠 مهم</t>
        </is>
      </c>
      <c r="G23" s="64" t="n">
        <v>0.04</v>
      </c>
      <c r="H23" s="64" t="n">
        <v>0.001</v>
      </c>
      <c r="I23" s="22" t="inlineStr">
        <is>
          <t>&lt; 0.1%</t>
        </is>
      </c>
      <c r="J23" s="85" t="inlineStr">
        <is>
          <t>الاستدامة</t>
        </is>
      </c>
      <c r="K23" s="11" t="inlineStr">
        <is>
          <t>جودة التشغيل</t>
        </is>
      </c>
      <c r="L23" s="15" t="inlineStr">
        <is>
          <t>العمليات الداخلية</t>
        </is>
      </c>
      <c r="M23" s="65" t="n">
        <v>0.001</v>
      </c>
      <c r="N23" s="10">
        <f>IF($H23="","",IF($M23="","",MIN(1,IF($H23=0,IF($M23&lt;=0,1,0),IF($E23="↓",IFERROR($H23/$M23,0),IFERROR($M23/$H23,0))))))</f>
        <v/>
      </c>
      <c r="O23" s="20">
        <f>IF($N23="","⏳ بانتظار هدف",IF($N23&gt;=1.0,"✅ محقق",IF($N23&gt;=0.85,"🟡 قريب","🔴 تحت الهدف")))</f>
        <v/>
      </c>
      <c r="P23" s="86" t="inlineStr">
        <is>
          <t>القيمة المتحقّقة من «تباين مخزون الوقود» ÷ المستهدف × 100٪</t>
        </is>
      </c>
      <c r="Q23" s="86" t="inlineStr">
        <is>
          <t>نظام تشغيل المحطات</t>
        </is>
      </c>
      <c r="R23" s="15" t="inlineStr">
        <is>
          <t>شهري</t>
        </is>
      </c>
    </row>
    <row r="24" outlineLevel="1" ht="26" customHeight="1">
      <c r="A24" s="20" t="n">
        <v>16</v>
      </c>
      <c r="B24" s="21" t="inlineStr">
        <is>
          <t>صناعة الوقود</t>
        </is>
      </c>
      <c r="C24" s="21" t="inlineStr">
        <is>
          <t>دقة مطابقة المخزون</t>
        </is>
      </c>
      <c r="D24" s="55" t="inlineStr">
        <is>
          <t>%</t>
        </is>
      </c>
      <c r="E24" s="55" t="inlineStr">
        <is>
          <t>↑</t>
        </is>
      </c>
      <c r="F24" s="15" t="inlineStr">
        <is>
          <t>🟠 مهم</t>
        </is>
      </c>
      <c r="G24" s="64" t="n">
        <v>0.03</v>
      </c>
      <c r="H24" s="64" t="n">
        <v>0.995</v>
      </c>
      <c r="I24" s="22" t="inlineStr">
        <is>
          <t>&gt; 99.5%</t>
        </is>
      </c>
      <c r="J24" s="85" t="inlineStr">
        <is>
          <t>الاستدامة</t>
        </is>
      </c>
      <c r="K24" s="11" t="inlineStr">
        <is>
          <t>جودة التشغيل</t>
        </is>
      </c>
      <c r="L24" s="15" t="inlineStr">
        <is>
          <t>العمليات الداخلية</t>
        </is>
      </c>
      <c r="M24" s="65" t="n">
        <v>0.776</v>
      </c>
      <c r="N24" s="10">
        <f>IF($H24="","",IF($M24="","",MIN(1,IF($H24=0,IF($M24&lt;=0,1,0),IF($E24="↓",IFERROR($H24/$M24,0),IFERROR($M24/$H24,0))))))</f>
        <v/>
      </c>
      <c r="O24" s="20">
        <f>IF($N24="","⏳ بانتظار هدف",IF($N24&gt;=1.0,"✅ محقق",IF($N24&gt;=0.97,"🟡 قريب","🔴 تحت الهدف")))</f>
        <v/>
      </c>
      <c r="P24" s="86" t="inlineStr">
        <is>
          <t>القيمة المتحقّقة من «دقة مطابقة المخزون» ÷ المستهدف × 100٪</t>
        </is>
      </c>
      <c r="Q24" s="86" t="inlineStr">
        <is>
          <t>نظام إدارة الجودة (QMS)</t>
        </is>
      </c>
      <c r="R24" s="15" t="inlineStr">
        <is>
          <t>شهري</t>
        </is>
      </c>
    </row>
    <row r="25" outlineLevel="1" ht="26" customHeight="1">
      <c r="A25" s="20" t="n">
        <v>17</v>
      </c>
      <c r="B25" s="21" t="inlineStr">
        <is>
          <t>صناعة الوقود</t>
        </is>
      </c>
      <c r="C25" s="21" t="inlineStr">
        <is>
          <t>دقة تسوية أرامكو</t>
        </is>
      </c>
      <c r="D25" s="55" t="inlineStr">
        <is>
          <t>%</t>
        </is>
      </c>
      <c r="E25" s="55" t="inlineStr">
        <is>
          <t>↑</t>
        </is>
      </c>
      <c r="F25" s="15" t="inlineStr">
        <is>
          <t>🟠 مهم</t>
        </is>
      </c>
      <c r="G25" s="64" t="n">
        <v>0.03</v>
      </c>
      <c r="H25" s="64" t="n">
        <v>1</v>
      </c>
      <c r="I25" s="22" t="inlineStr">
        <is>
          <t>100%</t>
        </is>
      </c>
      <c r="J25" s="85" t="inlineStr">
        <is>
          <t>الاستدامة</t>
        </is>
      </c>
      <c r="K25" s="11" t="inlineStr">
        <is>
          <t>جودة التشغيل</t>
        </is>
      </c>
      <c r="L25" s="15" t="inlineStr">
        <is>
          <t>العمليات الداخلية</t>
        </is>
      </c>
      <c r="M25" s="65" t="n">
        <v>0.76</v>
      </c>
      <c r="N25" s="10">
        <f>IF($H25="","",IF($M25="","",MIN(1,IF($H25=0,IF($M25&lt;=0,1,0),IF($E25="↓",IFERROR($H25/$M25,0),IFERROR($M25/$H25,0))))))</f>
        <v/>
      </c>
      <c r="O25" s="20">
        <f>IF($N25="","⏳ بانتظار هدف",IF($N25&gt;=1.0,"✅ محقق",IF($N25&gt;=0.97,"🟡 قريب","🔴 تحت الهدف")))</f>
        <v/>
      </c>
      <c r="P25" s="86" t="inlineStr">
        <is>
          <t>القيمة المتحقّقة من «دقة تسوية أرامكو» ÷ المستهدف × 100٪</t>
        </is>
      </c>
      <c r="Q25" s="86" t="inlineStr">
        <is>
          <t>نظام تشغيل المحطات</t>
        </is>
      </c>
      <c r="R25" s="15" t="inlineStr">
        <is>
          <t>شهري</t>
        </is>
      </c>
    </row>
    <row r="26" ht="24" customHeight="1">
      <c r="B26" s="78" t="inlineStr">
        <is>
          <t>تمويل الامتياز</t>
        </is>
      </c>
      <c r="C26" s="79" t="inlineStr">
        <is>
          <t>📊 مؤشر تمويل الامتياز العام</t>
        </is>
      </c>
      <c r="D26" s="80" t="n"/>
      <c r="E26" s="80" t="n"/>
      <c r="F26" s="81" t="inlineStr">
        <is>
          <t>🔷 أساسي</t>
        </is>
      </c>
      <c r="G26" s="82" t="n">
        <v>0.1</v>
      </c>
      <c r="H26" s="80" t="n"/>
      <c r="I26" s="80" t="n"/>
      <c r="J26" s="80" t="n"/>
      <c r="K26" s="80" t="n"/>
      <c r="L26" s="80" t="n"/>
      <c r="M26" s="80" t="n"/>
      <c r="N26" s="83">
        <f>IFERROR(SUMIFS('قاعدة المؤشرات'!$J:$J,'قاعدة المؤشرات'!$B:$B,"الإدارة المالية",'قاعدة المؤشرات'!$L:$L,"تمويل الامتياز")/SUMIFS('قاعدة المؤشرات'!$K:$K,'قاعدة المؤشرات'!$B:$B,"الإدارة المالية",'قاعدة المؤشرات'!$L:$L,"تمويل الامتياز"),"")</f>
        <v/>
      </c>
      <c r="O26" s="84">
        <f>IF($N26="","⏳ بانتظار هدف",IF($N26&gt;=1,"✅ محقق",IF($N26&gt;=0.85,"🟡 قريب","🔴 تحت الهدف")))</f>
        <v/>
      </c>
      <c r="P26" s="80" t="n"/>
      <c r="Q26" s="80" t="n"/>
      <c r="R26" s="80" t="n"/>
    </row>
    <row r="27" outlineLevel="1" ht="26" customHeight="1">
      <c r="A27" s="20" t="n">
        <v>18</v>
      </c>
      <c r="B27" s="21" t="inlineStr">
        <is>
          <t>تمويل الامتياز</t>
        </is>
      </c>
      <c r="C27" s="21" t="inlineStr">
        <is>
          <t>نسبة تحصيل الامتياز</t>
        </is>
      </c>
      <c r="D27" s="55" t="inlineStr">
        <is>
          <t>%</t>
        </is>
      </c>
      <c r="E27" s="55" t="inlineStr">
        <is>
          <t>↑</t>
        </is>
      </c>
      <c r="F27" s="15" t="inlineStr">
        <is>
          <t>🔴 رئيسي</t>
        </is>
      </c>
      <c r="G27" s="64" t="n">
        <v>0.05</v>
      </c>
      <c r="H27" s="64" t="n">
        <v>0.98</v>
      </c>
      <c r="I27" s="22" t="inlineStr">
        <is>
          <t>&gt; 98%</t>
        </is>
      </c>
      <c r="J27" s="85" t="inlineStr">
        <is>
          <t>النمو</t>
        </is>
      </c>
      <c r="K27" s="11" t="inlineStr">
        <is>
          <t>الامتياز التجاري</t>
        </is>
      </c>
      <c r="L27" s="15" t="inlineStr">
        <is>
          <t>مالي</t>
        </is>
      </c>
      <c r="M27" s="65" t="n">
        <v>0.91</v>
      </c>
      <c r="N27" s="10">
        <f>IF($H27="","",IF($M27="","",MIN(1,IF($H27=0,IF($M27&lt;=0,1,0),IF($E27="↓",IFERROR($H27/$M27,0),IFERROR($M27/$H27,0))))))</f>
        <v/>
      </c>
      <c r="O27" s="20">
        <f>IF($N27="","⏳ بانتظار هدف",IF($N27&gt;=1.0,"✅ محقق",IF($N27&gt;=0.85,"🟡 قريب","🔴 تحت الهدف")))</f>
        <v/>
      </c>
      <c r="P27" s="86" t="inlineStr">
        <is>
          <t>قيمة/عدد المتحقّق من «تحصيل الامتياز» ÷ الإجمالي المستهدف لنفس البند × 100٪</t>
        </is>
      </c>
      <c r="Q27" s="86" t="inlineStr">
        <is>
          <t>نظام المحاسبة / ERP (D365)</t>
        </is>
      </c>
      <c r="R27" s="15" t="inlineStr">
        <is>
          <t>شهري</t>
        </is>
      </c>
    </row>
    <row r="28" outlineLevel="1" ht="26" customHeight="1">
      <c r="A28" s="20" t="n">
        <v>19</v>
      </c>
      <c r="B28" s="21" t="inlineStr">
        <is>
          <t>تمويل الامتياز</t>
        </is>
      </c>
      <c r="C28" s="21" t="inlineStr">
        <is>
          <t>أيام تحصيل رسوم الامتياز</t>
        </is>
      </c>
      <c r="D28" s="55" t="inlineStr">
        <is>
          <t>يوم</t>
        </is>
      </c>
      <c r="E28" s="55" t="inlineStr">
        <is>
          <t>↓</t>
        </is>
      </c>
      <c r="F28" s="15" t="inlineStr">
        <is>
          <t>🔴 رئيسي</t>
        </is>
      </c>
      <c r="G28" s="64" t="n">
        <v>0.05</v>
      </c>
      <c r="H28" s="67" t="n">
        <v>15</v>
      </c>
      <c r="I28" s="22" t="inlineStr">
        <is>
          <t>&lt; 15 يوم</t>
        </is>
      </c>
      <c r="J28" s="85" t="inlineStr">
        <is>
          <t>النمو</t>
        </is>
      </c>
      <c r="K28" s="11" t="inlineStr">
        <is>
          <t>الامتياز التجاري</t>
        </is>
      </c>
      <c r="L28" s="15" t="inlineStr">
        <is>
          <t>مالي</t>
        </is>
      </c>
      <c r="M28" s="68" t="n">
        <v>15.8</v>
      </c>
      <c r="N28" s="10">
        <f>IF($H28="","",IF($M28="","",MIN(1,IF($H28=0,IF($M28&lt;=0,1,0),IF($E28="↓",IFERROR($H28/$M28,0),IFERROR($M28/$H28,0))))))</f>
        <v/>
      </c>
      <c r="O28" s="20">
        <f>IF($N28="","⏳ بانتظار هدف",IF($N28&gt;=1.0,"✅ محقق",IF($N28&gt;=0.85,"🟡 قريب","🔴 تحت الهدف")))</f>
        <v/>
      </c>
      <c r="P28" s="86" t="inlineStr">
        <is>
          <t>متوسط عدد أيام «أيام تحصيل رسوم الامتياز» خلال الفترة</t>
        </is>
      </c>
      <c r="Q28" s="86" t="inlineStr">
        <is>
          <t>نظام المحاسبة / ERP (D365)</t>
        </is>
      </c>
      <c r="R28" s="15" t="inlineStr">
        <is>
          <t>شهري</t>
        </is>
      </c>
    </row>
    <row r="29" ht="24" customHeight="1">
      <c r="B29" s="78" t="inlineStr">
        <is>
          <t>العقار والإيجار</t>
        </is>
      </c>
      <c r="C29" s="79" t="inlineStr">
        <is>
          <t>📊 مؤشر العقار والإيجار العام</t>
        </is>
      </c>
      <c r="D29" s="80" t="n"/>
      <c r="E29" s="80" t="n"/>
      <c r="F29" s="81" t="inlineStr">
        <is>
          <t>🔷 أساسي</t>
        </is>
      </c>
      <c r="G29" s="82" t="n">
        <v>0.1</v>
      </c>
      <c r="H29" s="80" t="n"/>
      <c r="I29" s="80" t="n"/>
      <c r="J29" s="80" t="n"/>
      <c r="K29" s="80" t="n"/>
      <c r="L29" s="80" t="n"/>
      <c r="M29" s="80" t="n"/>
      <c r="N29" s="83">
        <f>IFERROR(SUMIFS('قاعدة المؤشرات'!$J:$J,'قاعدة المؤشرات'!$B:$B,"الإدارة المالية",'قاعدة المؤشرات'!$L:$L,"العقار والإيجار")/SUMIFS('قاعدة المؤشرات'!$K:$K,'قاعدة المؤشرات'!$B:$B,"الإدارة المالية",'قاعدة المؤشرات'!$L:$L,"العقار والإيجار"),"")</f>
        <v/>
      </c>
      <c r="O29" s="84">
        <f>IF($N29="","⏳ بانتظار هدف",IF($N29&gt;=1,"✅ محقق",IF($N29&gt;=0.85,"🟡 قريب","🔴 تحت الهدف")))</f>
        <v/>
      </c>
      <c r="P29" s="80" t="n"/>
      <c r="Q29" s="80" t="n"/>
      <c r="R29" s="80" t="n"/>
    </row>
    <row r="30" outlineLevel="1" ht="26" customHeight="1">
      <c r="A30" s="20" t="n">
        <v>20</v>
      </c>
      <c r="B30" s="21" t="inlineStr">
        <is>
          <t>العقار والإيجار</t>
        </is>
      </c>
      <c r="C30" s="21" t="inlineStr">
        <is>
          <t>نسبة تحصيل الإيجار</t>
        </is>
      </c>
      <c r="D30" s="55" t="inlineStr">
        <is>
          <t>%</t>
        </is>
      </c>
      <c r="E30" s="55" t="inlineStr">
        <is>
          <t>↑</t>
        </is>
      </c>
      <c r="F30" s="15" t="inlineStr">
        <is>
          <t>🔴 رئيسي</t>
        </is>
      </c>
      <c r="G30" s="64" t="n">
        <v>0.05</v>
      </c>
      <c r="H30" s="64" t="n">
        <v>0.98</v>
      </c>
      <c r="I30" s="22" t="inlineStr">
        <is>
          <t>&gt; 98%</t>
        </is>
      </c>
      <c r="J30" s="85" t="inlineStr">
        <is>
          <t>الاستدامة</t>
        </is>
      </c>
      <c r="K30" s="11" t="inlineStr">
        <is>
          <t>منظومة التأجير</t>
        </is>
      </c>
      <c r="L30" s="15" t="inlineStr">
        <is>
          <t>مالي</t>
        </is>
      </c>
      <c r="M30" s="65" t="n">
        <v>1.027</v>
      </c>
      <c r="N30" s="10">
        <f>IF($H30="","",IF($M30="","",MIN(1,IF($H30=0,IF($M30&lt;=0,1,0),IF($E30="↓",IFERROR($H30/$M30,0),IFERROR($M30/$H30,0))))))</f>
        <v/>
      </c>
      <c r="O30" s="20">
        <f>IF($N30="","⏳ بانتظار هدف",IF($N30&gt;=1.0,"✅ محقق",IF($N30&gt;=0.85,"🟡 قريب","🔴 تحت الهدف")))</f>
        <v/>
      </c>
      <c r="P30" s="86" t="inlineStr">
        <is>
          <t>قيمة/عدد المتحقّق من «تحصيل الإيجار» ÷ الإجمالي المستهدف لنفس البند × 100٪</t>
        </is>
      </c>
      <c r="Q30" s="86" t="inlineStr">
        <is>
          <t>نظام المحاسبة / ERP (D365)</t>
        </is>
      </c>
      <c r="R30" s="15" t="inlineStr">
        <is>
          <t>شهري</t>
        </is>
      </c>
    </row>
    <row r="31" outlineLevel="1" ht="26" customHeight="1">
      <c r="A31" s="20" t="n">
        <v>21</v>
      </c>
      <c r="B31" s="21" t="inlineStr">
        <is>
          <t>العقار والإيجار</t>
        </is>
      </c>
      <c r="C31" s="21" t="inlineStr">
        <is>
          <t>معدل تجديد عقود الإيجار</t>
        </is>
      </c>
      <c r="D31" s="55" t="inlineStr">
        <is>
          <t>%</t>
        </is>
      </c>
      <c r="E31" s="55" t="inlineStr">
        <is>
          <t>↑</t>
        </is>
      </c>
      <c r="F31" s="15" t="inlineStr">
        <is>
          <t>🔴 رئيسي</t>
        </is>
      </c>
      <c r="G31" s="64" t="n">
        <v>0.05</v>
      </c>
      <c r="H31" s="64" t="n">
        <v>0.9</v>
      </c>
      <c r="I31" s="22" t="inlineStr">
        <is>
          <t>&gt; 90%</t>
        </is>
      </c>
      <c r="J31" s="85" t="inlineStr">
        <is>
          <t>الاستدامة</t>
        </is>
      </c>
      <c r="K31" s="11" t="inlineStr">
        <is>
          <t>منظومة التأجير</t>
        </is>
      </c>
      <c r="L31" s="15" t="inlineStr">
        <is>
          <t>العمليات الداخلية</t>
        </is>
      </c>
      <c r="M31" s="65" t="n">
        <v>0.702</v>
      </c>
      <c r="N31" s="10">
        <f>IF($H31="","",IF($M31="","",MIN(1,IF($H31=0,IF($M31&lt;=0,1,0),IF($E31="↓",IFERROR($H31/$M31,0),IFERROR($M31/$H31,0))))))</f>
        <v/>
      </c>
      <c r="O31" s="20">
        <f>IF($N31="","⏳ بانتظار هدف",IF($N31&gt;=1.0,"✅ محقق",IF($N31&gt;=0.85,"🟡 قريب","🔴 تحت الهدف")))</f>
        <v/>
      </c>
      <c r="P31" s="86" t="inlineStr">
        <is>
          <t>عدد حالات «تجديد عقود الإيجار» خلال الفترة ÷ إجمالي الحالات القابلة للقياس × 100٪</t>
        </is>
      </c>
      <c r="Q31" s="86" t="inlineStr">
        <is>
          <t>نظام إدارة العقود (CRM)</t>
        </is>
      </c>
      <c r="R31" s="15" t="inlineStr">
        <is>
          <t>شهري</t>
        </is>
      </c>
    </row>
    <row r="32" ht="24" customHeight="1">
      <c r="B32" s="78" t="inlineStr">
        <is>
          <t>الموازنة والتقارير</t>
        </is>
      </c>
      <c r="C32" s="79" t="inlineStr">
        <is>
          <t>📊 مؤشر الموازنة والتقارير العام</t>
        </is>
      </c>
      <c r="D32" s="80" t="n"/>
      <c r="E32" s="80" t="n"/>
      <c r="F32" s="81" t="inlineStr">
        <is>
          <t>🔷 أساسي</t>
        </is>
      </c>
      <c r="G32" s="82" t="n">
        <v>0.09</v>
      </c>
      <c r="H32" s="80" t="n"/>
      <c r="I32" s="80" t="n"/>
      <c r="J32" s="80" t="n"/>
      <c r="K32" s="80" t="n"/>
      <c r="L32" s="80" t="n"/>
      <c r="M32" s="80" t="n"/>
      <c r="N32" s="83">
        <f>IFERROR(SUMIFS('قاعدة المؤشرات'!$J:$J,'قاعدة المؤشرات'!$B:$B,"الإدارة المالية",'قاعدة المؤشرات'!$L:$L,"الموازنة والتقارير")/SUMIFS('قاعدة المؤشرات'!$K:$K,'قاعدة المؤشرات'!$B:$B,"الإدارة المالية",'قاعدة المؤشرات'!$L:$L,"الموازنة والتقارير"),"")</f>
        <v/>
      </c>
      <c r="O32" s="84">
        <f>IF($N32="","⏳ بانتظار هدف",IF($N32&gt;=1,"✅ محقق",IF($N32&gt;=0.85,"🟡 قريب","🔴 تحت الهدف")))</f>
        <v/>
      </c>
      <c r="P32" s="80" t="n"/>
      <c r="Q32" s="80" t="n"/>
      <c r="R32" s="80" t="n"/>
    </row>
    <row r="33" outlineLevel="1" ht="26" customHeight="1">
      <c r="A33" s="20" t="n">
        <v>22</v>
      </c>
      <c r="B33" s="21" t="inlineStr">
        <is>
          <t>الموازنة والتقارير</t>
        </is>
      </c>
      <c r="C33" s="21" t="inlineStr">
        <is>
          <t>انحراف الموازنة</t>
        </is>
      </c>
      <c r="D33" s="55" t="inlineStr">
        <is>
          <t>%</t>
        </is>
      </c>
      <c r="E33" s="55" t="inlineStr">
        <is>
          <t>↓</t>
        </is>
      </c>
      <c r="F33" s="15" t="inlineStr">
        <is>
          <t>🟠 مهم</t>
        </is>
      </c>
      <c r="G33" s="64" t="n">
        <v>0.03</v>
      </c>
      <c r="H33" s="64" t="n">
        <v>0.1</v>
      </c>
      <c r="I33" s="22" t="inlineStr">
        <is>
          <t>≤ ±10%</t>
        </is>
      </c>
      <c r="J33" s="85" t="inlineStr">
        <is>
          <t>الاستدامة</t>
        </is>
      </c>
      <c r="K33" s="11" t="inlineStr">
        <is>
          <t>جودة التشغيل</t>
        </is>
      </c>
      <c r="L33" s="15" t="inlineStr">
        <is>
          <t>العمليات الداخلية</t>
        </is>
      </c>
      <c r="M33" s="65" t="n">
        <v>0.101</v>
      </c>
      <c r="N33" s="10">
        <f>IF($H33="","",IF($M33="","",MIN(1,IF($H33=0,IF($M33&lt;=0,1,0),IF($E33="↓",IFERROR($H33/$M33,0),IFERROR($M33/$H33,0))))))</f>
        <v/>
      </c>
      <c r="O33" s="20">
        <f>IF($N33="","⏳ بانتظار هدف",IF($N33&gt;=1.0,"✅ محقق",IF($N33&gt;=0.85,"🟡 قريب","🔴 تحت الهدف")))</f>
        <v/>
      </c>
      <c r="P33" s="86" t="inlineStr">
        <is>
          <t>القيمة المتحقّقة من «انحراف الموازنة» ÷ المستهدف × 100٪</t>
        </is>
      </c>
      <c r="Q33" s="86" t="inlineStr">
        <is>
          <t>نظام المحاسبة / ERP (D365)</t>
        </is>
      </c>
      <c r="R33" s="15" t="inlineStr">
        <is>
          <t>ربعي</t>
        </is>
      </c>
    </row>
    <row r="34" outlineLevel="1" ht="26" customHeight="1">
      <c r="A34" s="20" t="n">
        <v>23</v>
      </c>
      <c r="B34" s="21" t="inlineStr">
        <is>
          <t>الموازنة والتقارير</t>
        </is>
      </c>
      <c r="C34" s="21" t="inlineStr">
        <is>
          <t>أيام الإقفال الشهري</t>
        </is>
      </c>
      <c r="D34" s="55" t="inlineStr">
        <is>
          <t>يوم</t>
        </is>
      </c>
      <c r="E34" s="55" t="inlineStr">
        <is>
          <t>↓</t>
        </is>
      </c>
      <c r="F34" s="15" t="inlineStr">
        <is>
          <t>🟠 مهم</t>
        </is>
      </c>
      <c r="G34" s="64" t="n">
        <v>0.03</v>
      </c>
      <c r="H34" s="67" t="n">
        <v>6</v>
      </c>
      <c r="I34" s="22" t="inlineStr">
        <is>
          <t>≤ 6 أيام</t>
        </is>
      </c>
      <c r="J34" s="85" t="inlineStr">
        <is>
          <t>الاستدامة</t>
        </is>
      </c>
      <c r="K34" s="11" t="inlineStr">
        <is>
          <t>جودة التشغيل</t>
        </is>
      </c>
      <c r="L34" s="15" t="inlineStr">
        <is>
          <t>العمليات الداخلية</t>
        </is>
      </c>
      <c r="M34" s="68" t="n">
        <v>7.044</v>
      </c>
      <c r="N34" s="10">
        <f>IF($H34="","",IF($M34="","",MIN(1,IF($H34=0,IF($M34&lt;=0,1,0),IF($E34="↓",IFERROR($H34/$M34,0),IFERROR($M34/$H34,0))))))</f>
        <v/>
      </c>
      <c r="O34" s="20">
        <f>IF($N34="","⏳ بانتظار هدف",IF($N34&gt;=1.0,"✅ محقق",IF($N34&gt;=0.85,"🟡 قريب","🔴 تحت الهدف")))</f>
        <v/>
      </c>
      <c r="P34" s="86" t="inlineStr">
        <is>
          <t>متوسط عدد أيام «أيام الإقفال الشهري» خلال الفترة</t>
        </is>
      </c>
      <c r="Q34" s="86" t="inlineStr">
        <is>
          <t>نظام المحاسبة / ERP (D365)</t>
        </is>
      </c>
      <c r="R34" s="15" t="inlineStr">
        <is>
          <t>شهري</t>
        </is>
      </c>
    </row>
    <row r="35" outlineLevel="1" ht="26" customHeight="1">
      <c r="A35" s="20" t="n">
        <v>24</v>
      </c>
      <c r="B35" s="21" t="inlineStr">
        <is>
          <t>الموازنة والتقارير</t>
        </is>
      </c>
      <c r="C35" s="21" t="inlineStr">
        <is>
          <t>نسبة تسويات التدقيق</t>
        </is>
      </c>
      <c r="D35" s="55" t="inlineStr">
        <is>
          <t>%</t>
        </is>
      </c>
      <c r="E35" s="55" t="inlineStr">
        <is>
          <t>↓</t>
        </is>
      </c>
      <c r="F35" s="15" t="inlineStr">
        <is>
          <t>🟠 مهم</t>
        </is>
      </c>
      <c r="G35" s="64" t="n">
        <v>0.03</v>
      </c>
      <c r="H35" s="64" t="n">
        <v>0.02</v>
      </c>
      <c r="I35" s="22" t="inlineStr">
        <is>
          <t>&lt; 2%</t>
        </is>
      </c>
      <c r="J35" s="85" t="inlineStr">
        <is>
          <t>الاستدامة</t>
        </is>
      </c>
      <c r="K35" s="11" t="inlineStr">
        <is>
          <t>جودة التشغيل</t>
        </is>
      </c>
      <c r="L35" s="15" t="inlineStr">
        <is>
          <t>العمليات الداخلية</t>
        </is>
      </c>
      <c r="M35" s="65" t="n">
        <v>0.02</v>
      </c>
      <c r="N35" s="10">
        <f>IF($H35="","",IF($M35="","",MIN(1,IF($H35=0,IF($M35&lt;=0,1,0),IF($E35="↓",IFERROR($H35/$M35,0),IFERROR($M35/$H35,0))))))</f>
        <v/>
      </c>
      <c r="O35" s="20">
        <f>IF($N35="","⏳ بانتظار هدف",IF($N35&gt;=1.0,"✅ محقق",IF($N35&gt;=0.85,"🟡 قريب","🔴 تحت الهدف")))</f>
        <v/>
      </c>
      <c r="P35" s="86" t="inlineStr">
        <is>
          <t>قيمة/عدد المتحقّق من «تسويات التدقيق» ÷ الإجمالي المستهدف لنفس البند × 100٪</t>
        </is>
      </c>
      <c r="Q35" s="86" t="inlineStr">
        <is>
          <t>نظام المحاسبة / ERP (D365)</t>
        </is>
      </c>
      <c r="R35" s="15" t="inlineStr">
        <is>
          <t>ربعي</t>
        </is>
      </c>
    </row>
  </sheetData>
  <autoFilter ref="A3:R35"/>
  <mergeCells count="2">
    <mergeCell ref="A2:R2"/>
    <mergeCell ref="A1:R1"/>
  </mergeCells>
  <dataValidations count="1">
    <dataValidation sqref="M5 M6 M7 M8 M9 M11 M12 M14 M15 M16 M17 M19 M20 M21 M23 M24 M25 M27 M28 M30 M31 M33 M34 M3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10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 ht="24" customHeight="1">
      <c r="A1" s="41" t="inlineStr">
        <is>
          <t>سجل مشاريع الشركة — لكل إدارة مشاريعها (نسبة الإنجاز = المنجز ÷ الكمية)</t>
        </is>
      </c>
    </row>
    <row r="2">
      <c r="A2" s="2" t="inlineStr">
        <is>
          <t>#</t>
        </is>
      </c>
      <c r="B2" s="2" t="inlineStr">
        <is>
          <t>الإدارة</t>
        </is>
      </c>
      <c r="C2" s="2" t="inlineStr">
        <is>
          <t>المشروع</t>
        </is>
      </c>
      <c r="D2" s="2" t="inlineStr">
        <is>
          <t>الكمية</t>
        </is>
      </c>
      <c r="E2" s="2" t="inlineStr">
        <is>
          <t>نوع الكمية</t>
        </is>
      </c>
      <c r="F2" s="2" t="inlineStr">
        <is>
          <t>المنجز</t>
        </is>
      </c>
      <c r="G2" s="2" t="inlineStr">
        <is>
          <t>نسبة الإنجاز</t>
        </is>
      </c>
      <c r="H2" s="2" t="inlineStr">
        <is>
          <t>المؤشر المرتبط</t>
        </is>
      </c>
    </row>
    <row r="3">
      <c r="A3" s="19" t="inlineStr">
        <is>
          <t>▾ مشاريع إدارة التقنية</t>
        </is>
      </c>
    </row>
    <row r="4" ht="22" customHeight="1">
      <c r="A4" s="20" t="n">
        <v>1</v>
      </c>
      <c r="B4" s="23" t="inlineStr">
        <is>
          <t>إدارة التقنية</t>
        </is>
      </c>
      <c r="C4" s="21" t="inlineStr">
        <is>
          <t>نظام أتمتة الكاش (Cash-In)</t>
        </is>
      </c>
      <c r="D4" s="55" t="n">
        <v>164</v>
      </c>
      <c r="E4" s="55" t="inlineStr">
        <is>
          <t>محطة</t>
        </is>
      </c>
      <c r="F4" s="57" t="n">
        <v>59</v>
      </c>
      <c r="G4" s="10">
        <f>IFERROR(F4/D4,0)</f>
        <v/>
      </c>
      <c r="H4" s="31" t="inlineStr">
        <is>
          <t>نسبة إنجاز محفظة مشاريع التحول الرقمي</t>
        </is>
      </c>
    </row>
    <row r="5" ht="22" customHeight="1">
      <c r="A5" s="20" t="n">
        <v>2</v>
      </c>
      <c r="B5" s="23" t="inlineStr">
        <is>
          <t>إدارة التقنية</t>
        </is>
      </c>
      <c r="C5" s="21" t="inlineStr">
        <is>
          <t>D365 FNO — المرحلة الأولى</t>
        </is>
      </c>
      <c r="D5" s="55" t="n">
        <v>5</v>
      </c>
      <c r="E5" s="55" t="inlineStr">
        <is>
          <t>وحدة</t>
        </is>
      </c>
      <c r="F5" s="57" t="n">
        <v>3.5</v>
      </c>
      <c r="G5" s="10">
        <f>IFERROR(F5/D5,0)</f>
        <v/>
      </c>
      <c r="H5" s="31" t="inlineStr">
        <is>
          <t>نسبة إنجاز محفظة مشاريع التحول الرقمي</t>
        </is>
      </c>
    </row>
    <row r="6" ht="22" customHeight="1">
      <c r="A6" s="20" t="n">
        <v>3</v>
      </c>
      <c r="B6" s="23" t="inlineStr">
        <is>
          <t>إدارة التقنية</t>
        </is>
      </c>
      <c r="C6" s="21" t="inlineStr">
        <is>
          <t>D365 FNO — المرحلة الثانية</t>
        </is>
      </c>
      <c r="D6" s="55" t="n">
        <v>4</v>
      </c>
      <c r="E6" s="55" t="inlineStr">
        <is>
          <t>وحدة</t>
        </is>
      </c>
      <c r="F6" s="57" t="n">
        <v>0</v>
      </c>
      <c r="G6" s="10">
        <f>IFERROR(F6/D6,0)</f>
        <v/>
      </c>
      <c r="H6" s="31" t="inlineStr">
        <is>
          <t>نسبة إنجاز محفظة مشاريع التحول الرقمي</t>
        </is>
      </c>
    </row>
    <row r="7" ht="22" customHeight="1">
      <c r="A7" s="20" t="n">
        <v>4</v>
      </c>
      <c r="B7" s="23" t="inlineStr">
        <is>
          <t>إدارة التقنية</t>
        </is>
      </c>
      <c r="C7" s="21" t="inlineStr">
        <is>
          <t>D365 FNO — المرحلة الثالثة</t>
        </is>
      </c>
      <c r="D7" s="55" t="n">
        <v>2</v>
      </c>
      <c r="E7" s="55" t="inlineStr">
        <is>
          <t>وحدة</t>
        </is>
      </c>
      <c r="F7" s="57" t="n">
        <v>0</v>
      </c>
      <c r="G7" s="10">
        <f>IFERROR(F7/D7,0)</f>
        <v/>
      </c>
      <c r="H7" s="31" t="inlineStr">
        <is>
          <t>نسبة إنجاز محفظة مشاريع التحول الرقمي</t>
        </is>
      </c>
    </row>
    <row r="8" ht="22" customHeight="1">
      <c r="A8" s="20" t="n">
        <v>5</v>
      </c>
      <c r="B8" s="23" t="inlineStr">
        <is>
          <t>إدارة التقنية</t>
        </is>
      </c>
      <c r="C8" s="21" t="inlineStr">
        <is>
          <t>تطبيق الامتياز مع واثق</t>
        </is>
      </c>
      <c r="D8" s="55" t="n">
        <v>1</v>
      </c>
      <c r="E8" s="55" t="inlineStr">
        <is>
          <t>تطبيق</t>
        </is>
      </c>
      <c r="F8" s="57" t="n">
        <v>0</v>
      </c>
      <c r="G8" s="10">
        <f>IFERROR(F8/D8,0)</f>
        <v/>
      </c>
      <c r="H8" s="31" t="inlineStr">
        <is>
          <t>نسبة إنجاز محفظة مشاريع التحول الرقمي</t>
        </is>
      </c>
    </row>
    <row r="9" ht="22" customHeight="1">
      <c r="A9" s="20" t="n">
        <v>6</v>
      </c>
      <c r="B9" s="23" t="inlineStr">
        <is>
          <t>إدارة التقنية</t>
        </is>
      </c>
      <c r="C9" s="21" t="inlineStr">
        <is>
          <t>ربط المحطات بوزارة الطاقة (ATJ)</t>
        </is>
      </c>
      <c r="D9" s="55" t="n">
        <v>164</v>
      </c>
      <c r="E9" s="55" t="inlineStr">
        <is>
          <t>محطة</t>
        </is>
      </c>
      <c r="F9" s="57" t="n">
        <v>0</v>
      </c>
      <c r="G9" s="10">
        <f>IFERROR(F9/D9,0)</f>
        <v/>
      </c>
      <c r="H9" s="31" t="inlineStr">
        <is>
          <t>نسبة إنجاز محفظة مشاريع التحول الرقمي</t>
        </is>
      </c>
    </row>
    <row r="10" ht="22" customHeight="1">
      <c r="A10" s="20" t="n">
        <v>7</v>
      </c>
      <c r="B10" s="23" t="inlineStr">
        <is>
          <t>إدارة التقنية</t>
        </is>
      </c>
      <c r="C10" s="21" t="inlineStr">
        <is>
          <t>ربط الكاميرات بالمركز الرئيسي</t>
        </is>
      </c>
      <c r="D10" s="55" t="n">
        <v>164</v>
      </c>
      <c r="E10" s="55" t="inlineStr">
        <is>
          <t>محطة</t>
        </is>
      </c>
      <c r="F10" s="57" t="n">
        <v>0</v>
      </c>
      <c r="G10" s="10">
        <f>IFERROR(F10/D10,0)</f>
        <v/>
      </c>
      <c r="H10" s="31" t="inlineStr">
        <is>
          <t>نسبة إنجاز محفظة مشاريع التحول الرقمي</t>
        </is>
      </c>
    </row>
    <row r="11" ht="22" customHeight="1">
      <c r="A11" s="20" t="n">
        <v>8</v>
      </c>
      <c r="B11" s="23" t="inlineStr">
        <is>
          <t>إدارة التقنية</t>
        </is>
      </c>
      <c r="C11" s="21" t="inlineStr">
        <is>
          <t>تطبيق الولاء (تانكي) في المحطات</t>
        </is>
      </c>
      <c r="D11" s="55" t="n">
        <v>164</v>
      </c>
      <c r="E11" s="55" t="inlineStr">
        <is>
          <t>محطة</t>
        </is>
      </c>
      <c r="F11" s="57" t="n">
        <v>0</v>
      </c>
      <c r="G11" s="10">
        <f>IFERROR(F11/D11,0)</f>
        <v/>
      </c>
      <c r="H11" s="31" t="inlineStr">
        <is>
          <t>نسبة إنجاز محفظة مشاريع التحول الرقمي</t>
        </is>
      </c>
    </row>
    <row r="12" ht="22" customHeight="1">
      <c r="A12" s="20" t="n">
        <v>9</v>
      </c>
      <c r="B12" s="23" t="inlineStr">
        <is>
          <t>إدارة التقنية</t>
        </is>
      </c>
      <c r="C12" s="21" t="inlineStr">
        <is>
          <t>منصة Tatin السحابية</t>
        </is>
      </c>
      <c r="D12" s="55" t="n">
        <v>164</v>
      </c>
      <c r="E12" s="55" t="inlineStr">
        <is>
          <t>محطة</t>
        </is>
      </c>
      <c r="F12" s="57" t="n">
        <v>2</v>
      </c>
      <c r="G12" s="10">
        <f>IFERROR(F12/D12,0)</f>
        <v/>
      </c>
      <c r="H12" s="31" t="inlineStr">
        <is>
          <t>نسبة إنجاز محفظة مشاريع التحول الرقمي</t>
        </is>
      </c>
    </row>
    <row r="13" ht="22" customHeight="1">
      <c r="A13" s="20" t="n">
        <v>10</v>
      </c>
      <c r="B13" s="23" t="inlineStr">
        <is>
          <t>إدارة التقنية</t>
        </is>
      </c>
      <c r="C13" s="21" t="inlineStr">
        <is>
          <t>إدارة العمليات بالذكاء الاصطناعي</t>
        </is>
      </c>
      <c r="D13" s="55" t="n">
        <v>164</v>
      </c>
      <c r="E13" s="55" t="inlineStr">
        <is>
          <t>محطة</t>
        </is>
      </c>
      <c r="F13" s="57" t="n">
        <v>0</v>
      </c>
      <c r="G13" s="10">
        <f>IFERROR(F13/D13,0)</f>
        <v/>
      </c>
      <c r="H13" s="31" t="inlineStr">
        <is>
          <t>نسبة إنجاز محفظة مشاريع التحول الرقمي</t>
        </is>
      </c>
    </row>
    <row r="14">
      <c r="A14" s="87" t="inlineStr">
        <is>
          <t>▾ مشاريع الإدارة التنفيذية</t>
        </is>
      </c>
    </row>
    <row r="15">
      <c r="A15" s="37" t="n"/>
      <c r="B15" s="23" t="inlineStr">
        <is>
          <t>الإدارة التنفيذية</t>
        </is>
      </c>
      <c r="C15" s="88" t="n"/>
      <c r="D15" s="88" t="n"/>
      <c r="E15" s="88" t="n"/>
      <c r="F15" s="88" t="n"/>
      <c r="G15" s="10">
        <f>IFERROR(F15/D15,0)</f>
        <v/>
      </c>
      <c r="H15" s="37" t="n"/>
    </row>
    <row r="16">
      <c r="A16" s="37" t="n"/>
      <c r="B16" s="23" t="inlineStr">
        <is>
          <t>الإدارة التنفيذية</t>
        </is>
      </c>
      <c r="C16" s="88" t="n"/>
      <c r="D16" s="88" t="n"/>
      <c r="E16" s="88" t="n"/>
      <c r="F16" s="88" t="n"/>
      <c r="G16" s="10">
        <f>IFERROR(F16/D16,0)</f>
        <v/>
      </c>
      <c r="H16" s="37" t="n"/>
    </row>
    <row r="17">
      <c r="A17" s="37" t="n"/>
      <c r="B17" s="23" t="inlineStr">
        <is>
          <t>الإدارة التنفيذية</t>
        </is>
      </c>
      <c r="C17" s="88" t="n"/>
      <c r="D17" s="88" t="n"/>
      <c r="E17" s="88" t="n"/>
      <c r="F17" s="88" t="n"/>
      <c r="G17" s="10">
        <f>IFERROR(F17/D17,0)</f>
        <v/>
      </c>
      <c r="H17" s="37" t="n"/>
    </row>
    <row r="18">
      <c r="A18" s="87" t="inlineStr">
        <is>
          <t>▾ مشاريع الامتياز التجاري</t>
        </is>
      </c>
    </row>
    <row r="19">
      <c r="A19" s="37" t="n"/>
      <c r="B19" s="23" t="inlineStr">
        <is>
          <t>الامتياز التجاري</t>
        </is>
      </c>
      <c r="C19" s="88" t="n"/>
      <c r="D19" s="88" t="n"/>
      <c r="E19" s="88" t="n"/>
      <c r="F19" s="88" t="n"/>
      <c r="G19" s="10">
        <f>IFERROR(F19/D19,0)</f>
        <v/>
      </c>
      <c r="H19" s="37" t="n"/>
    </row>
    <row r="20">
      <c r="A20" s="37" t="n"/>
      <c r="B20" s="23" t="inlineStr">
        <is>
          <t>الامتياز التجاري</t>
        </is>
      </c>
      <c r="C20" s="88" t="n"/>
      <c r="D20" s="88" t="n"/>
      <c r="E20" s="88" t="n"/>
      <c r="F20" s="88" t="n"/>
      <c r="G20" s="10">
        <f>IFERROR(F20/D20,0)</f>
        <v/>
      </c>
      <c r="H20" s="37" t="n"/>
    </row>
    <row r="21">
      <c r="A21" s="37" t="n"/>
      <c r="B21" s="23" t="inlineStr">
        <is>
          <t>الامتياز التجاري</t>
        </is>
      </c>
      <c r="C21" s="88" t="n"/>
      <c r="D21" s="88" t="n"/>
      <c r="E21" s="88" t="n"/>
      <c r="F21" s="88" t="n"/>
      <c r="G21" s="10">
        <f>IFERROR(F21/D21,0)</f>
        <v/>
      </c>
      <c r="H21" s="37" t="n"/>
    </row>
    <row r="22">
      <c r="A22" s="87" t="inlineStr">
        <is>
          <t>▾ مشاريع التشغيل والمحطات</t>
        </is>
      </c>
    </row>
    <row r="23">
      <c r="A23" s="37" t="n"/>
      <c r="B23" s="23" t="inlineStr">
        <is>
          <t>التشغيل والمحطات</t>
        </is>
      </c>
      <c r="C23" s="88" t="n"/>
      <c r="D23" s="88" t="n"/>
      <c r="E23" s="88" t="n"/>
      <c r="F23" s="88" t="n"/>
      <c r="G23" s="10">
        <f>IFERROR(F23/D23,0)</f>
        <v/>
      </c>
      <c r="H23" s="37" t="n"/>
    </row>
    <row r="24">
      <c r="A24" s="37" t="n"/>
      <c r="B24" s="23" t="inlineStr">
        <is>
          <t>التشغيل والمحطات</t>
        </is>
      </c>
      <c r="C24" s="88" t="n"/>
      <c r="D24" s="88" t="n"/>
      <c r="E24" s="88" t="n"/>
      <c r="F24" s="88" t="n"/>
      <c r="G24" s="10">
        <f>IFERROR(F24/D24,0)</f>
        <v/>
      </c>
      <c r="H24" s="37" t="n"/>
    </row>
    <row r="25">
      <c r="A25" s="37" t="n"/>
      <c r="B25" s="23" t="inlineStr">
        <is>
          <t>التشغيل والمحطات</t>
        </is>
      </c>
      <c r="C25" s="88" t="n"/>
      <c r="D25" s="88" t="n"/>
      <c r="E25" s="88" t="n"/>
      <c r="F25" s="88" t="n"/>
      <c r="G25" s="10">
        <f>IFERROR(F25/D25,0)</f>
        <v/>
      </c>
      <c r="H25" s="37" t="n"/>
    </row>
    <row r="26">
      <c r="A26" s="87" t="inlineStr">
        <is>
          <t>▾ مشاريع الاستثمار</t>
        </is>
      </c>
    </row>
    <row r="27">
      <c r="A27" s="37" t="n"/>
      <c r="B27" s="23" t="inlineStr">
        <is>
          <t>الاستثمار</t>
        </is>
      </c>
      <c r="C27" s="88" t="n"/>
      <c r="D27" s="88" t="n"/>
      <c r="E27" s="88" t="n"/>
      <c r="F27" s="88" t="n"/>
      <c r="G27" s="10">
        <f>IFERROR(F27/D27,0)</f>
        <v/>
      </c>
      <c r="H27" s="37" t="n"/>
    </row>
    <row r="28">
      <c r="A28" s="37" t="n"/>
      <c r="B28" s="23" t="inlineStr">
        <is>
          <t>الاستثمار</t>
        </is>
      </c>
      <c r="C28" s="88" t="n"/>
      <c r="D28" s="88" t="n"/>
      <c r="E28" s="88" t="n"/>
      <c r="F28" s="88" t="n"/>
      <c r="G28" s="10">
        <f>IFERROR(F28/D28,0)</f>
        <v/>
      </c>
      <c r="H28" s="37" t="n"/>
    </row>
    <row r="29">
      <c r="A29" s="37" t="n"/>
      <c r="B29" s="23" t="inlineStr">
        <is>
          <t>الاستثمار</t>
        </is>
      </c>
      <c r="C29" s="88" t="n"/>
      <c r="D29" s="88" t="n"/>
      <c r="E29" s="88" t="n"/>
      <c r="F29" s="88" t="n"/>
      <c r="G29" s="10">
        <f>IFERROR(F29/D29,0)</f>
        <v/>
      </c>
      <c r="H29" s="37" t="n"/>
    </row>
    <row r="30">
      <c r="A30" s="87" t="inlineStr">
        <is>
          <t>▾ مشاريع العقار</t>
        </is>
      </c>
    </row>
    <row r="31">
      <c r="A31" s="37" t="n"/>
      <c r="B31" s="23" t="inlineStr">
        <is>
          <t>العقار</t>
        </is>
      </c>
      <c r="C31" s="88" t="n"/>
      <c r="D31" s="88" t="n"/>
      <c r="E31" s="88" t="n"/>
      <c r="F31" s="88" t="n"/>
      <c r="G31" s="10">
        <f>IFERROR(F31/D31,0)</f>
        <v/>
      </c>
      <c r="H31" s="37" t="n"/>
    </row>
    <row r="32">
      <c r="A32" s="37" t="n"/>
      <c r="B32" s="23" t="inlineStr">
        <is>
          <t>العقار</t>
        </is>
      </c>
      <c r="C32" s="88" t="n"/>
      <c r="D32" s="88" t="n"/>
      <c r="E32" s="88" t="n"/>
      <c r="F32" s="88" t="n"/>
      <c r="G32" s="10">
        <f>IFERROR(F32/D32,0)</f>
        <v/>
      </c>
      <c r="H32" s="37" t="n"/>
    </row>
    <row r="33">
      <c r="A33" s="37" t="n"/>
      <c r="B33" s="23" t="inlineStr">
        <is>
          <t>العقار</t>
        </is>
      </c>
      <c r="C33" s="88" t="n"/>
      <c r="D33" s="88" t="n"/>
      <c r="E33" s="88" t="n"/>
      <c r="F33" s="88" t="n"/>
      <c r="G33" s="10">
        <f>IFERROR(F33/D33,0)</f>
        <v/>
      </c>
      <c r="H33" s="37" t="n"/>
    </row>
    <row r="34">
      <c r="A34" s="87" t="inlineStr">
        <is>
          <t>▾ مشاريع إدارة المشاريع</t>
        </is>
      </c>
    </row>
    <row r="35">
      <c r="A35" s="37" t="n"/>
      <c r="B35" s="23" t="inlineStr">
        <is>
          <t>إدارة المشاريع</t>
        </is>
      </c>
      <c r="C35" s="88" t="n"/>
      <c r="D35" s="88" t="n"/>
      <c r="E35" s="88" t="n"/>
      <c r="F35" s="88" t="n"/>
      <c r="G35" s="10">
        <f>IFERROR(F35/D35,0)</f>
        <v/>
      </c>
      <c r="H35" s="37" t="n"/>
    </row>
    <row r="36">
      <c r="A36" s="37" t="n"/>
      <c r="B36" s="23" t="inlineStr">
        <is>
          <t>إدارة المشاريع</t>
        </is>
      </c>
      <c r="C36" s="88" t="n"/>
      <c r="D36" s="88" t="n"/>
      <c r="E36" s="88" t="n"/>
      <c r="F36" s="88" t="n"/>
      <c r="G36" s="10">
        <f>IFERROR(F36/D36,0)</f>
        <v/>
      </c>
      <c r="H36" s="37" t="n"/>
    </row>
    <row r="37">
      <c r="A37" s="37" t="n"/>
      <c r="B37" s="23" t="inlineStr">
        <is>
          <t>إدارة المشاريع</t>
        </is>
      </c>
      <c r="C37" s="88" t="n"/>
      <c r="D37" s="88" t="n"/>
      <c r="E37" s="88" t="n"/>
      <c r="F37" s="88" t="n"/>
      <c r="G37" s="10">
        <f>IFERROR(F37/D37,0)</f>
        <v/>
      </c>
      <c r="H37" s="37" t="n"/>
    </row>
    <row r="38">
      <c r="A38" s="87" t="inlineStr">
        <is>
          <t>▾ مشاريع سلاسل الإمداد</t>
        </is>
      </c>
    </row>
    <row r="39">
      <c r="A39" s="37" t="n"/>
      <c r="B39" s="23" t="inlineStr">
        <is>
          <t>سلاسل الإمداد</t>
        </is>
      </c>
      <c r="C39" s="88" t="n"/>
      <c r="D39" s="88" t="n"/>
      <c r="E39" s="88" t="n"/>
      <c r="F39" s="88" t="n"/>
      <c r="G39" s="10">
        <f>IFERROR(F39/D39,0)</f>
        <v/>
      </c>
      <c r="H39" s="37" t="n"/>
    </row>
    <row r="40">
      <c r="A40" s="37" t="n"/>
      <c r="B40" s="23" t="inlineStr">
        <is>
          <t>سلاسل الإمداد</t>
        </is>
      </c>
      <c r="C40" s="88" t="n"/>
      <c r="D40" s="88" t="n"/>
      <c r="E40" s="88" t="n"/>
      <c r="F40" s="88" t="n"/>
      <c r="G40" s="10">
        <f>IFERROR(F40/D40,0)</f>
        <v/>
      </c>
      <c r="H40" s="37" t="n"/>
    </row>
    <row r="41">
      <c r="A41" s="37" t="n"/>
      <c r="B41" s="23" t="inlineStr">
        <is>
          <t>سلاسل الإمداد</t>
        </is>
      </c>
      <c r="C41" s="88" t="n"/>
      <c r="D41" s="88" t="n"/>
      <c r="E41" s="88" t="n"/>
      <c r="F41" s="88" t="n"/>
      <c r="G41" s="10">
        <f>IFERROR(F41/D41,0)</f>
        <v/>
      </c>
      <c r="H41" s="37" t="n"/>
    </row>
    <row r="42">
      <c r="A42" s="87" t="inlineStr">
        <is>
          <t>▾ مشاريع الصيانة والأتمتة</t>
        </is>
      </c>
    </row>
    <row r="43">
      <c r="A43" s="37" t="n"/>
      <c r="B43" s="23" t="inlineStr">
        <is>
          <t>الصيانة والأتمتة</t>
        </is>
      </c>
      <c r="C43" s="88" t="n"/>
      <c r="D43" s="88" t="n"/>
      <c r="E43" s="88" t="n"/>
      <c r="F43" s="88" t="n"/>
      <c r="G43" s="10">
        <f>IFERROR(F43/D43,0)</f>
        <v/>
      </c>
      <c r="H43" s="37" t="n"/>
    </row>
    <row r="44">
      <c r="A44" s="37" t="n"/>
      <c r="B44" s="23" t="inlineStr">
        <is>
          <t>الصيانة والأتمتة</t>
        </is>
      </c>
      <c r="C44" s="88" t="n"/>
      <c r="D44" s="88" t="n"/>
      <c r="E44" s="88" t="n"/>
      <c r="F44" s="88" t="n"/>
      <c r="G44" s="10">
        <f>IFERROR(F44/D44,0)</f>
        <v/>
      </c>
      <c r="H44" s="37" t="n"/>
    </row>
    <row r="45">
      <c r="A45" s="37" t="n"/>
      <c r="B45" s="23" t="inlineStr">
        <is>
          <t>الصيانة والأتمتة</t>
        </is>
      </c>
      <c r="C45" s="88" t="n"/>
      <c r="D45" s="88" t="n"/>
      <c r="E45" s="88" t="n"/>
      <c r="F45" s="88" t="n"/>
      <c r="G45" s="10">
        <f>IFERROR(F45/D45,0)</f>
        <v/>
      </c>
      <c r="H45" s="37" t="n"/>
    </row>
    <row r="46">
      <c r="A46" s="87" t="inlineStr">
        <is>
          <t>▾ مشاريع الموارد البشرية</t>
        </is>
      </c>
    </row>
    <row r="47">
      <c r="A47" s="37" t="n"/>
      <c r="B47" s="23" t="inlineStr">
        <is>
          <t>الموارد البشرية</t>
        </is>
      </c>
      <c r="C47" s="88" t="n"/>
      <c r="D47" s="88" t="n"/>
      <c r="E47" s="88" t="n"/>
      <c r="F47" s="88" t="n"/>
      <c r="G47" s="10">
        <f>IFERROR(F47/D47,0)</f>
        <v/>
      </c>
      <c r="H47" s="37" t="n"/>
    </row>
    <row r="48">
      <c r="A48" s="37" t="n"/>
      <c r="B48" s="23" t="inlineStr">
        <is>
          <t>الموارد البشرية</t>
        </is>
      </c>
      <c r="C48" s="88" t="n"/>
      <c r="D48" s="88" t="n"/>
      <c r="E48" s="88" t="n"/>
      <c r="F48" s="88" t="n"/>
      <c r="G48" s="10">
        <f>IFERROR(F48/D48,0)</f>
        <v/>
      </c>
      <c r="H48" s="37" t="n"/>
    </row>
    <row r="49">
      <c r="A49" s="37" t="n"/>
      <c r="B49" s="23" t="inlineStr">
        <is>
          <t>الموارد البشرية</t>
        </is>
      </c>
      <c r="C49" s="88" t="n"/>
      <c r="D49" s="88" t="n"/>
      <c r="E49" s="88" t="n"/>
      <c r="F49" s="88" t="n"/>
      <c r="G49" s="10">
        <f>IFERROR(F49/D49,0)</f>
        <v/>
      </c>
      <c r="H49" s="37" t="n"/>
    </row>
    <row r="50">
      <c r="A50" s="87" t="inlineStr">
        <is>
          <t>▾ مشاريع التسويق</t>
        </is>
      </c>
    </row>
    <row r="51">
      <c r="A51" s="37" t="n"/>
      <c r="B51" s="23" t="inlineStr">
        <is>
          <t>التسويق</t>
        </is>
      </c>
      <c r="C51" s="88" t="n"/>
      <c r="D51" s="88" t="n"/>
      <c r="E51" s="88" t="n"/>
      <c r="F51" s="88" t="n"/>
      <c r="G51" s="10">
        <f>IFERROR(F51/D51,0)</f>
        <v/>
      </c>
      <c r="H51" s="37" t="n"/>
    </row>
    <row r="52">
      <c r="A52" s="37" t="n"/>
      <c r="B52" s="23" t="inlineStr">
        <is>
          <t>التسويق</t>
        </is>
      </c>
      <c r="C52" s="88" t="n"/>
      <c r="D52" s="88" t="n"/>
      <c r="E52" s="88" t="n"/>
      <c r="F52" s="88" t="n"/>
      <c r="G52" s="10">
        <f>IFERROR(F52/D52,0)</f>
        <v/>
      </c>
      <c r="H52" s="37" t="n"/>
    </row>
    <row r="53">
      <c r="A53" s="37" t="n"/>
      <c r="B53" s="23" t="inlineStr">
        <is>
          <t>التسويق</t>
        </is>
      </c>
      <c r="C53" s="88" t="n"/>
      <c r="D53" s="88" t="n"/>
      <c r="E53" s="88" t="n"/>
      <c r="F53" s="88" t="n"/>
      <c r="G53" s="10">
        <f>IFERROR(F53/D53,0)</f>
        <v/>
      </c>
      <c r="H53" s="37" t="n"/>
    </row>
    <row r="54">
      <c r="A54" s="87" t="inlineStr">
        <is>
          <t>▾ مشاريع الجودة</t>
        </is>
      </c>
    </row>
    <row r="55">
      <c r="A55" s="37" t="n"/>
      <c r="B55" s="23" t="inlineStr">
        <is>
          <t>الجودة</t>
        </is>
      </c>
      <c r="C55" s="88" t="n"/>
      <c r="D55" s="88" t="n"/>
      <c r="E55" s="88" t="n"/>
      <c r="F55" s="88" t="n"/>
      <c r="G55" s="10">
        <f>IFERROR(F55/D55,0)</f>
        <v/>
      </c>
      <c r="H55" s="37" t="n"/>
    </row>
    <row r="56">
      <c r="A56" s="37" t="n"/>
      <c r="B56" s="23" t="inlineStr">
        <is>
          <t>الجودة</t>
        </is>
      </c>
      <c r="C56" s="88" t="n"/>
      <c r="D56" s="88" t="n"/>
      <c r="E56" s="88" t="n"/>
      <c r="F56" s="88" t="n"/>
      <c r="G56" s="10">
        <f>IFERROR(F56/D56,0)</f>
        <v/>
      </c>
      <c r="H56" s="37" t="n"/>
    </row>
    <row r="57">
      <c r="A57" s="37" t="n"/>
      <c r="B57" s="23" t="inlineStr">
        <is>
          <t>الجودة</t>
        </is>
      </c>
      <c r="C57" s="88" t="n"/>
      <c r="D57" s="88" t="n"/>
      <c r="E57" s="88" t="n"/>
      <c r="F57" s="88" t="n"/>
      <c r="G57" s="10">
        <f>IFERROR(F57/D57,0)</f>
        <v/>
      </c>
      <c r="H57" s="37" t="n"/>
    </row>
    <row r="58">
      <c r="A58" s="87" t="inlineStr">
        <is>
          <t>▾ مشاريع الإدارة القانونية</t>
        </is>
      </c>
    </row>
    <row r="59">
      <c r="A59" s="37" t="n"/>
      <c r="B59" s="23" t="inlineStr">
        <is>
          <t>الإدارة القانونية</t>
        </is>
      </c>
      <c r="C59" s="88" t="n"/>
      <c r="D59" s="88" t="n"/>
      <c r="E59" s="88" t="n"/>
      <c r="F59" s="88" t="n"/>
      <c r="G59" s="10">
        <f>IFERROR(F59/D59,0)</f>
        <v/>
      </c>
      <c r="H59" s="37" t="n"/>
    </row>
    <row r="60">
      <c r="A60" s="37" t="n"/>
      <c r="B60" s="23" t="inlineStr">
        <is>
          <t>الإدارة القانونية</t>
        </is>
      </c>
      <c r="C60" s="88" t="n"/>
      <c r="D60" s="88" t="n"/>
      <c r="E60" s="88" t="n"/>
      <c r="F60" s="88" t="n"/>
      <c r="G60" s="10">
        <f>IFERROR(F60/D60,0)</f>
        <v/>
      </c>
      <c r="H60" s="37" t="n"/>
    </row>
    <row r="61">
      <c r="A61" s="37" t="n"/>
      <c r="B61" s="23" t="inlineStr">
        <is>
          <t>الإدارة القانونية</t>
        </is>
      </c>
      <c r="C61" s="88" t="n"/>
      <c r="D61" s="88" t="n"/>
      <c r="E61" s="88" t="n"/>
      <c r="F61" s="88" t="n"/>
      <c r="G61" s="10">
        <f>IFERROR(F61/D61,0)</f>
        <v/>
      </c>
      <c r="H61" s="37" t="n"/>
    </row>
    <row r="62">
      <c r="A62" s="87" t="inlineStr">
        <is>
          <t>▾ مشاريع الإدارة المالية</t>
        </is>
      </c>
    </row>
    <row r="63">
      <c r="A63" s="37" t="n"/>
      <c r="B63" s="23" t="inlineStr">
        <is>
          <t>الإدارة المالية</t>
        </is>
      </c>
      <c r="C63" s="88" t="n"/>
      <c r="D63" s="88" t="n"/>
      <c r="E63" s="88" t="n"/>
      <c r="F63" s="88" t="n"/>
      <c r="G63" s="10">
        <f>IFERROR(F63/D63,0)</f>
        <v/>
      </c>
      <c r="H63" s="37" t="n"/>
    </row>
    <row r="64">
      <c r="A64" s="37" t="n"/>
      <c r="B64" s="23" t="inlineStr">
        <is>
          <t>الإدارة المالية</t>
        </is>
      </c>
      <c r="C64" s="88" t="n"/>
      <c r="D64" s="88" t="n"/>
      <c r="E64" s="88" t="n"/>
      <c r="F64" s="88" t="n"/>
      <c r="G64" s="10">
        <f>IFERROR(F64/D64,0)</f>
        <v/>
      </c>
      <c r="H64" s="37" t="n"/>
    </row>
    <row r="65">
      <c r="A65" s="37" t="n"/>
      <c r="B65" s="23" t="inlineStr">
        <is>
          <t>الإدارة المالية</t>
        </is>
      </c>
      <c r="C65" s="88" t="n"/>
      <c r="D65" s="88" t="n"/>
      <c r="E65" s="88" t="n"/>
      <c r="F65" s="88" t="n"/>
      <c r="G65" s="10">
        <f>IFERROR(F65/D65,0)</f>
        <v/>
      </c>
      <c r="H65" s="37" t="n"/>
    </row>
  </sheetData>
  <mergeCells count="15">
    <mergeCell ref="A18:H18"/>
    <mergeCell ref="A50:H50"/>
    <mergeCell ref="A62:H62"/>
    <mergeCell ref="A3:H3"/>
    <mergeCell ref="A26:H26"/>
    <mergeCell ref="A30:H30"/>
    <mergeCell ref="A38:H38"/>
    <mergeCell ref="A54:H54"/>
    <mergeCell ref="A42:H42"/>
    <mergeCell ref="A14:H14"/>
    <mergeCell ref="A1:H1"/>
    <mergeCell ref="A46:H46"/>
    <mergeCell ref="A58:H58"/>
    <mergeCell ref="A22:H22"/>
    <mergeCell ref="A34:H3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23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2" customWidth="1" min="3" max="3"/>
    <col width="16" customWidth="1" min="4" max="4"/>
    <col width="24" customWidth="1" min="5" max="5"/>
    <col width="16" customWidth="1" min="6" max="6"/>
    <col width="12" customWidth="1" min="7" max="7"/>
    <col width="14" customWidth="1" min="8" max="8"/>
    <col width="10" customWidth="1" min="9" max="9"/>
  </cols>
  <sheetData>
    <row r="1">
      <c r="A1" s="18" t="inlineStr">
        <is>
          <t>#</t>
        </is>
      </c>
      <c r="B1" s="18" t="inlineStr">
        <is>
          <t>الإدارة</t>
        </is>
      </c>
      <c r="C1" s="18" t="inlineStr">
        <is>
          <t>المؤشر</t>
        </is>
      </c>
      <c r="D1" s="18" t="inlineStr">
        <is>
          <t>الركيزة</t>
        </is>
      </c>
      <c r="E1" s="18" t="inlineStr">
        <is>
          <t>المشروع</t>
        </is>
      </c>
      <c r="F1" s="18" t="inlineStr">
        <is>
          <t>منظور BSC</t>
        </is>
      </c>
      <c r="G1" s="18" t="inlineStr">
        <is>
          <t>نسبة التحقيق</t>
        </is>
      </c>
      <c r="H1" s="18" t="inlineStr">
        <is>
          <t>الحالة</t>
        </is>
      </c>
      <c r="I1" s="18" t="inlineStr">
        <is>
          <t>الوزن</t>
        </is>
      </c>
      <c r="J1" s="18" t="inlineStr">
        <is>
          <t>و×ن</t>
        </is>
      </c>
      <c r="K1" s="18" t="inlineStr">
        <is>
          <t>الوزن المتاح</t>
        </is>
      </c>
      <c r="L1" s="18" t="inlineStr">
        <is>
          <t>المحور</t>
        </is>
      </c>
    </row>
    <row r="2">
      <c r="A2" s="15" t="n">
        <v>1</v>
      </c>
      <c r="B2" s="13" t="inlineStr">
        <is>
          <t>الإدارة التنفيذية</t>
        </is>
      </c>
      <c r="C2" s="13">
        <f>'الإدارة التنفيذية'!C5</f>
        <v/>
      </c>
      <c r="D2" s="15">
        <f>'الإدارة التنفيذية'!J5</f>
        <v/>
      </c>
      <c r="E2" s="13">
        <f>'الإدارة التنفيذية'!K5</f>
        <v/>
      </c>
      <c r="F2" s="15">
        <f>'الإدارة التنفيذية'!L5</f>
        <v/>
      </c>
      <c r="G2" s="56">
        <f>'الإدارة التنفيذية'!N5</f>
        <v/>
      </c>
      <c r="H2" s="15">
        <f>'الإدارة التنفيذية'!O5</f>
        <v/>
      </c>
      <c r="I2" s="24">
        <f>'الإدارة التنفيذية'!G5</f>
        <v/>
      </c>
      <c r="J2" s="15">
        <f>IF($G2="",0,$G2*$I2)</f>
        <v/>
      </c>
      <c r="K2" s="15">
        <f>IF($G2="",0,$I2)</f>
        <v/>
      </c>
      <c r="L2" s="13">
        <f>'الإدارة التنفيذية'!B5</f>
        <v/>
      </c>
    </row>
    <row r="3">
      <c r="A3" s="15" t="n">
        <v>2</v>
      </c>
      <c r="B3" s="13" t="inlineStr">
        <is>
          <t>الإدارة التنفيذية</t>
        </is>
      </c>
      <c r="C3" s="13">
        <f>'الإدارة التنفيذية'!C6</f>
        <v/>
      </c>
      <c r="D3" s="15">
        <f>'الإدارة التنفيذية'!J6</f>
        <v/>
      </c>
      <c r="E3" s="13">
        <f>'الإدارة التنفيذية'!K6</f>
        <v/>
      </c>
      <c r="F3" s="15">
        <f>'الإدارة التنفيذية'!L6</f>
        <v/>
      </c>
      <c r="G3" s="56">
        <f>'الإدارة التنفيذية'!N6</f>
        <v/>
      </c>
      <c r="H3" s="15">
        <f>'الإدارة التنفيذية'!O6</f>
        <v/>
      </c>
      <c r="I3" s="24">
        <f>'الإدارة التنفيذية'!G6</f>
        <v/>
      </c>
      <c r="J3" s="15">
        <f>IF($G3="",0,$G3*$I3)</f>
        <v/>
      </c>
      <c r="K3" s="15">
        <f>IF($G3="",0,$I3)</f>
        <v/>
      </c>
      <c r="L3" s="13">
        <f>'الإدارة التنفيذية'!B6</f>
        <v/>
      </c>
    </row>
    <row r="4">
      <c r="A4" s="15" t="n">
        <v>3</v>
      </c>
      <c r="B4" s="13" t="inlineStr">
        <is>
          <t>الإدارة التنفيذية</t>
        </is>
      </c>
      <c r="C4" s="13">
        <f>'الإدارة التنفيذية'!C7</f>
        <v/>
      </c>
      <c r="D4" s="15">
        <f>'الإدارة التنفيذية'!J7</f>
        <v/>
      </c>
      <c r="E4" s="13">
        <f>'الإدارة التنفيذية'!K7</f>
        <v/>
      </c>
      <c r="F4" s="15">
        <f>'الإدارة التنفيذية'!L7</f>
        <v/>
      </c>
      <c r="G4" s="56">
        <f>'الإدارة التنفيذية'!N7</f>
        <v/>
      </c>
      <c r="H4" s="15">
        <f>'الإدارة التنفيذية'!O7</f>
        <v/>
      </c>
      <c r="I4" s="24">
        <f>'الإدارة التنفيذية'!G7</f>
        <v/>
      </c>
      <c r="J4" s="15">
        <f>IF($G4="",0,$G4*$I4)</f>
        <v/>
      </c>
      <c r="K4" s="15">
        <f>IF($G4="",0,$I4)</f>
        <v/>
      </c>
      <c r="L4" s="13">
        <f>'الإدارة التنفيذية'!B7</f>
        <v/>
      </c>
    </row>
    <row r="5">
      <c r="A5" s="15" t="n">
        <v>4</v>
      </c>
      <c r="B5" s="13" t="inlineStr">
        <is>
          <t>الإدارة التنفيذية</t>
        </is>
      </c>
      <c r="C5" s="13">
        <f>'الإدارة التنفيذية'!C9</f>
        <v/>
      </c>
      <c r="D5" s="15">
        <f>'الإدارة التنفيذية'!J9</f>
        <v/>
      </c>
      <c r="E5" s="13">
        <f>'الإدارة التنفيذية'!K9</f>
        <v/>
      </c>
      <c r="F5" s="15">
        <f>'الإدارة التنفيذية'!L9</f>
        <v/>
      </c>
      <c r="G5" s="56">
        <f>'الإدارة التنفيذية'!N9</f>
        <v/>
      </c>
      <c r="H5" s="15">
        <f>'الإدارة التنفيذية'!O9</f>
        <v/>
      </c>
      <c r="I5" s="24">
        <f>'الإدارة التنفيذية'!G9</f>
        <v/>
      </c>
      <c r="J5" s="15">
        <f>IF($G5="",0,$G5*$I5)</f>
        <v/>
      </c>
      <c r="K5" s="15">
        <f>IF($G5="",0,$I5)</f>
        <v/>
      </c>
      <c r="L5" s="13">
        <f>'الإدارة التنفيذية'!B9</f>
        <v/>
      </c>
    </row>
    <row r="6">
      <c r="A6" s="15" t="n">
        <v>5</v>
      </c>
      <c r="B6" s="13" t="inlineStr">
        <is>
          <t>الإدارة التنفيذية</t>
        </is>
      </c>
      <c r="C6" s="13">
        <f>'الإدارة التنفيذية'!C10</f>
        <v/>
      </c>
      <c r="D6" s="15">
        <f>'الإدارة التنفيذية'!J10</f>
        <v/>
      </c>
      <c r="E6" s="13">
        <f>'الإدارة التنفيذية'!K10</f>
        <v/>
      </c>
      <c r="F6" s="15">
        <f>'الإدارة التنفيذية'!L10</f>
        <v/>
      </c>
      <c r="G6" s="56">
        <f>'الإدارة التنفيذية'!N10</f>
        <v/>
      </c>
      <c r="H6" s="15">
        <f>'الإدارة التنفيذية'!O10</f>
        <v/>
      </c>
      <c r="I6" s="24">
        <f>'الإدارة التنفيذية'!G10</f>
        <v/>
      </c>
      <c r="J6" s="15">
        <f>IF($G6="",0,$G6*$I6)</f>
        <v/>
      </c>
      <c r="K6" s="15">
        <f>IF($G6="",0,$I6)</f>
        <v/>
      </c>
      <c r="L6" s="13">
        <f>'الإدارة التنفيذية'!B10</f>
        <v/>
      </c>
    </row>
    <row r="7">
      <c r="A7" s="15" t="n">
        <v>6</v>
      </c>
      <c r="B7" s="13" t="inlineStr">
        <is>
          <t>الإدارة التنفيذية</t>
        </is>
      </c>
      <c r="C7" s="13">
        <f>'الإدارة التنفيذية'!C12</f>
        <v/>
      </c>
      <c r="D7" s="15">
        <f>'الإدارة التنفيذية'!J12</f>
        <v/>
      </c>
      <c r="E7" s="13">
        <f>'الإدارة التنفيذية'!K12</f>
        <v/>
      </c>
      <c r="F7" s="15">
        <f>'الإدارة التنفيذية'!L12</f>
        <v/>
      </c>
      <c r="G7" s="56">
        <f>'الإدارة التنفيذية'!N12</f>
        <v/>
      </c>
      <c r="H7" s="15">
        <f>'الإدارة التنفيذية'!O12</f>
        <v/>
      </c>
      <c r="I7" s="24">
        <f>'الإدارة التنفيذية'!G12</f>
        <v/>
      </c>
      <c r="J7" s="15">
        <f>IF($G7="",0,$G7*$I7)</f>
        <v/>
      </c>
      <c r="K7" s="15">
        <f>IF($G7="",0,$I7)</f>
        <v/>
      </c>
      <c r="L7" s="13">
        <f>'الإدارة التنفيذية'!B12</f>
        <v/>
      </c>
    </row>
    <row r="8">
      <c r="A8" s="15" t="n">
        <v>7</v>
      </c>
      <c r="B8" s="13" t="inlineStr">
        <is>
          <t>الإدارة التنفيذية</t>
        </is>
      </c>
      <c r="C8" s="13">
        <f>'الإدارة التنفيذية'!C13</f>
        <v/>
      </c>
      <c r="D8" s="15">
        <f>'الإدارة التنفيذية'!J13</f>
        <v/>
      </c>
      <c r="E8" s="13">
        <f>'الإدارة التنفيذية'!K13</f>
        <v/>
      </c>
      <c r="F8" s="15">
        <f>'الإدارة التنفيذية'!L13</f>
        <v/>
      </c>
      <c r="G8" s="56">
        <f>'الإدارة التنفيذية'!N13</f>
        <v/>
      </c>
      <c r="H8" s="15">
        <f>'الإدارة التنفيذية'!O13</f>
        <v/>
      </c>
      <c r="I8" s="24">
        <f>'الإدارة التنفيذية'!G13</f>
        <v/>
      </c>
      <c r="J8" s="15">
        <f>IF($G8="",0,$G8*$I8)</f>
        <v/>
      </c>
      <c r="K8" s="15">
        <f>IF($G8="",0,$I8)</f>
        <v/>
      </c>
      <c r="L8" s="13">
        <f>'الإدارة التنفيذية'!B13</f>
        <v/>
      </c>
    </row>
    <row r="9">
      <c r="A9" s="15" t="n">
        <v>8</v>
      </c>
      <c r="B9" s="13" t="inlineStr">
        <is>
          <t>الإدارة التنفيذية</t>
        </is>
      </c>
      <c r="C9" s="13">
        <f>'الإدارة التنفيذية'!C14</f>
        <v/>
      </c>
      <c r="D9" s="15">
        <f>'الإدارة التنفيذية'!J14</f>
        <v/>
      </c>
      <c r="E9" s="13">
        <f>'الإدارة التنفيذية'!K14</f>
        <v/>
      </c>
      <c r="F9" s="15">
        <f>'الإدارة التنفيذية'!L14</f>
        <v/>
      </c>
      <c r="G9" s="56">
        <f>'الإدارة التنفيذية'!N14</f>
        <v/>
      </c>
      <c r="H9" s="15">
        <f>'الإدارة التنفيذية'!O14</f>
        <v/>
      </c>
      <c r="I9" s="24">
        <f>'الإدارة التنفيذية'!G14</f>
        <v/>
      </c>
      <c r="J9" s="15">
        <f>IF($G9="",0,$G9*$I9)</f>
        <v/>
      </c>
      <c r="K9" s="15">
        <f>IF($G9="",0,$I9)</f>
        <v/>
      </c>
      <c r="L9" s="13">
        <f>'الإدارة التنفيذية'!B14</f>
        <v/>
      </c>
    </row>
    <row r="10">
      <c r="A10" s="15" t="n">
        <v>9</v>
      </c>
      <c r="B10" s="13" t="inlineStr">
        <is>
          <t>الإدارة التنفيذية</t>
        </is>
      </c>
      <c r="C10" s="13">
        <f>'الإدارة التنفيذية'!C15</f>
        <v/>
      </c>
      <c r="D10" s="15">
        <f>'الإدارة التنفيذية'!J15</f>
        <v/>
      </c>
      <c r="E10" s="13">
        <f>'الإدارة التنفيذية'!K15</f>
        <v/>
      </c>
      <c r="F10" s="15">
        <f>'الإدارة التنفيذية'!L15</f>
        <v/>
      </c>
      <c r="G10" s="56">
        <f>'الإدارة التنفيذية'!N15</f>
        <v/>
      </c>
      <c r="H10" s="15">
        <f>'الإدارة التنفيذية'!O15</f>
        <v/>
      </c>
      <c r="I10" s="24">
        <f>'الإدارة التنفيذية'!G15</f>
        <v/>
      </c>
      <c r="J10" s="15">
        <f>IF($G10="",0,$G10*$I10)</f>
        <v/>
      </c>
      <c r="K10" s="15">
        <f>IF($G10="",0,$I10)</f>
        <v/>
      </c>
      <c r="L10" s="13">
        <f>'الإدارة التنفيذية'!B15</f>
        <v/>
      </c>
    </row>
    <row r="11">
      <c r="A11" s="15" t="n">
        <v>10</v>
      </c>
      <c r="B11" s="13" t="inlineStr">
        <is>
          <t>الإدارة التنفيذية</t>
        </is>
      </c>
      <c r="C11" s="13">
        <f>'الإدارة التنفيذية'!C16</f>
        <v/>
      </c>
      <c r="D11" s="15">
        <f>'الإدارة التنفيذية'!J16</f>
        <v/>
      </c>
      <c r="E11" s="13">
        <f>'الإدارة التنفيذية'!K16</f>
        <v/>
      </c>
      <c r="F11" s="15">
        <f>'الإدارة التنفيذية'!L16</f>
        <v/>
      </c>
      <c r="G11" s="56">
        <f>'الإدارة التنفيذية'!N16</f>
        <v/>
      </c>
      <c r="H11" s="15">
        <f>'الإدارة التنفيذية'!O16</f>
        <v/>
      </c>
      <c r="I11" s="24">
        <f>'الإدارة التنفيذية'!G16</f>
        <v/>
      </c>
      <c r="J11" s="15">
        <f>IF($G11="",0,$G11*$I11)</f>
        <v/>
      </c>
      <c r="K11" s="15">
        <f>IF($G11="",0,$I11)</f>
        <v/>
      </c>
      <c r="L11" s="13">
        <f>'الإدارة التنفيذية'!B16</f>
        <v/>
      </c>
    </row>
    <row r="12">
      <c r="A12" s="15" t="n">
        <v>11</v>
      </c>
      <c r="B12" s="13" t="inlineStr">
        <is>
          <t>الامتياز التجاري</t>
        </is>
      </c>
      <c r="C12" s="13">
        <f>'الامتياز التجاري'!C5</f>
        <v/>
      </c>
      <c r="D12" s="15">
        <f>'الامتياز التجاري'!J5</f>
        <v/>
      </c>
      <c r="E12" s="13">
        <f>'الامتياز التجاري'!K5</f>
        <v/>
      </c>
      <c r="F12" s="15">
        <f>'الامتياز التجاري'!L5</f>
        <v/>
      </c>
      <c r="G12" s="56">
        <f>'الامتياز التجاري'!N5</f>
        <v/>
      </c>
      <c r="H12" s="15">
        <f>'الامتياز التجاري'!O5</f>
        <v/>
      </c>
      <c r="I12" s="24">
        <f>'الامتياز التجاري'!G5</f>
        <v/>
      </c>
      <c r="J12" s="15">
        <f>IF($G12="",0,$G12*$I12)</f>
        <v/>
      </c>
      <c r="K12" s="15">
        <f>IF($G12="",0,$I12)</f>
        <v/>
      </c>
      <c r="L12" s="13">
        <f>'الامتياز التجاري'!B5</f>
        <v/>
      </c>
    </row>
    <row r="13">
      <c r="A13" s="15" t="n">
        <v>12</v>
      </c>
      <c r="B13" s="13" t="inlineStr">
        <is>
          <t>الامتياز التجاري</t>
        </is>
      </c>
      <c r="C13" s="13">
        <f>'الامتياز التجاري'!C6</f>
        <v/>
      </c>
      <c r="D13" s="15">
        <f>'الامتياز التجاري'!J6</f>
        <v/>
      </c>
      <c r="E13" s="13">
        <f>'الامتياز التجاري'!K6</f>
        <v/>
      </c>
      <c r="F13" s="15">
        <f>'الامتياز التجاري'!L6</f>
        <v/>
      </c>
      <c r="G13" s="56">
        <f>'الامتياز التجاري'!N6</f>
        <v/>
      </c>
      <c r="H13" s="15">
        <f>'الامتياز التجاري'!O6</f>
        <v/>
      </c>
      <c r="I13" s="24">
        <f>'الامتياز التجاري'!G6</f>
        <v/>
      </c>
      <c r="J13" s="15">
        <f>IF($G13="",0,$G13*$I13)</f>
        <v/>
      </c>
      <c r="K13" s="15">
        <f>IF($G13="",0,$I13)</f>
        <v/>
      </c>
      <c r="L13" s="13">
        <f>'الامتياز التجاري'!B6</f>
        <v/>
      </c>
    </row>
    <row r="14">
      <c r="A14" s="15" t="n">
        <v>13</v>
      </c>
      <c r="B14" s="13" t="inlineStr">
        <is>
          <t>الامتياز التجاري</t>
        </is>
      </c>
      <c r="C14" s="13">
        <f>'الامتياز التجاري'!C8</f>
        <v/>
      </c>
      <c r="D14" s="15">
        <f>'الامتياز التجاري'!J8</f>
        <v/>
      </c>
      <c r="E14" s="13">
        <f>'الامتياز التجاري'!K8</f>
        <v/>
      </c>
      <c r="F14" s="15">
        <f>'الامتياز التجاري'!L8</f>
        <v/>
      </c>
      <c r="G14" s="56">
        <f>'الامتياز التجاري'!N8</f>
        <v/>
      </c>
      <c r="H14" s="15">
        <f>'الامتياز التجاري'!O8</f>
        <v/>
      </c>
      <c r="I14" s="24">
        <f>'الامتياز التجاري'!G8</f>
        <v/>
      </c>
      <c r="J14" s="15">
        <f>IF($G14="",0,$G14*$I14)</f>
        <v/>
      </c>
      <c r="K14" s="15">
        <f>IF($G14="",0,$I14)</f>
        <v/>
      </c>
      <c r="L14" s="13">
        <f>'الامتياز التجاري'!B8</f>
        <v/>
      </c>
    </row>
    <row r="15">
      <c r="A15" s="15" t="n">
        <v>14</v>
      </c>
      <c r="B15" s="13" t="inlineStr">
        <is>
          <t>الامتياز التجاري</t>
        </is>
      </c>
      <c r="C15" s="13">
        <f>'الامتياز التجاري'!C9</f>
        <v/>
      </c>
      <c r="D15" s="15">
        <f>'الامتياز التجاري'!J9</f>
        <v/>
      </c>
      <c r="E15" s="13">
        <f>'الامتياز التجاري'!K9</f>
        <v/>
      </c>
      <c r="F15" s="15">
        <f>'الامتياز التجاري'!L9</f>
        <v/>
      </c>
      <c r="G15" s="56">
        <f>'الامتياز التجاري'!N9</f>
        <v/>
      </c>
      <c r="H15" s="15">
        <f>'الامتياز التجاري'!O9</f>
        <v/>
      </c>
      <c r="I15" s="24">
        <f>'الامتياز التجاري'!G9</f>
        <v/>
      </c>
      <c r="J15" s="15">
        <f>IF($G15="",0,$G15*$I15)</f>
        <v/>
      </c>
      <c r="K15" s="15">
        <f>IF($G15="",0,$I15)</f>
        <v/>
      </c>
      <c r="L15" s="13">
        <f>'الامتياز التجاري'!B9</f>
        <v/>
      </c>
    </row>
    <row r="16">
      <c r="A16" s="15" t="n">
        <v>15</v>
      </c>
      <c r="B16" s="13" t="inlineStr">
        <is>
          <t>الامتياز التجاري</t>
        </is>
      </c>
      <c r="C16" s="13">
        <f>'الامتياز التجاري'!C11</f>
        <v/>
      </c>
      <c r="D16" s="15">
        <f>'الامتياز التجاري'!J11</f>
        <v/>
      </c>
      <c r="E16" s="13">
        <f>'الامتياز التجاري'!K11</f>
        <v/>
      </c>
      <c r="F16" s="15">
        <f>'الامتياز التجاري'!L11</f>
        <v/>
      </c>
      <c r="G16" s="56">
        <f>'الامتياز التجاري'!N11</f>
        <v/>
      </c>
      <c r="H16" s="15">
        <f>'الامتياز التجاري'!O11</f>
        <v/>
      </c>
      <c r="I16" s="24">
        <f>'الامتياز التجاري'!G11</f>
        <v/>
      </c>
      <c r="J16" s="15">
        <f>IF($G16="",0,$G16*$I16)</f>
        <v/>
      </c>
      <c r="K16" s="15">
        <f>IF($G16="",0,$I16)</f>
        <v/>
      </c>
      <c r="L16" s="13">
        <f>'الامتياز التجاري'!B11</f>
        <v/>
      </c>
    </row>
    <row r="17">
      <c r="A17" s="15" t="n">
        <v>16</v>
      </c>
      <c r="B17" s="13" t="inlineStr">
        <is>
          <t>الامتياز التجاري</t>
        </is>
      </c>
      <c r="C17" s="13">
        <f>'الامتياز التجاري'!C12</f>
        <v/>
      </c>
      <c r="D17" s="15">
        <f>'الامتياز التجاري'!J12</f>
        <v/>
      </c>
      <c r="E17" s="13">
        <f>'الامتياز التجاري'!K12</f>
        <v/>
      </c>
      <c r="F17" s="15">
        <f>'الامتياز التجاري'!L12</f>
        <v/>
      </c>
      <c r="G17" s="56">
        <f>'الامتياز التجاري'!N12</f>
        <v/>
      </c>
      <c r="H17" s="15">
        <f>'الامتياز التجاري'!O12</f>
        <v/>
      </c>
      <c r="I17" s="24">
        <f>'الامتياز التجاري'!G12</f>
        <v/>
      </c>
      <c r="J17" s="15">
        <f>IF($G17="",0,$G17*$I17)</f>
        <v/>
      </c>
      <c r="K17" s="15">
        <f>IF($G17="",0,$I17)</f>
        <v/>
      </c>
      <c r="L17" s="13">
        <f>'الامتياز التجاري'!B12</f>
        <v/>
      </c>
    </row>
    <row r="18">
      <c r="A18" s="15" t="n">
        <v>17</v>
      </c>
      <c r="B18" s="13" t="inlineStr">
        <is>
          <t>الامتياز التجاري</t>
        </is>
      </c>
      <c r="C18" s="13">
        <f>'الامتياز التجاري'!C13</f>
        <v/>
      </c>
      <c r="D18" s="15">
        <f>'الامتياز التجاري'!J13</f>
        <v/>
      </c>
      <c r="E18" s="13">
        <f>'الامتياز التجاري'!K13</f>
        <v/>
      </c>
      <c r="F18" s="15">
        <f>'الامتياز التجاري'!L13</f>
        <v/>
      </c>
      <c r="G18" s="56">
        <f>'الامتياز التجاري'!N13</f>
        <v/>
      </c>
      <c r="H18" s="15">
        <f>'الامتياز التجاري'!O13</f>
        <v/>
      </c>
      <c r="I18" s="24">
        <f>'الامتياز التجاري'!G13</f>
        <v/>
      </c>
      <c r="J18" s="15">
        <f>IF($G18="",0,$G18*$I18)</f>
        <v/>
      </c>
      <c r="K18" s="15">
        <f>IF($G18="",0,$I18)</f>
        <v/>
      </c>
      <c r="L18" s="13">
        <f>'الامتياز التجاري'!B13</f>
        <v/>
      </c>
    </row>
    <row r="19">
      <c r="A19" s="15" t="n">
        <v>18</v>
      </c>
      <c r="B19" s="13" t="inlineStr">
        <is>
          <t>الامتياز التجاري</t>
        </is>
      </c>
      <c r="C19" s="13">
        <f>'الامتياز التجاري'!C14</f>
        <v/>
      </c>
      <c r="D19" s="15">
        <f>'الامتياز التجاري'!J14</f>
        <v/>
      </c>
      <c r="E19" s="13">
        <f>'الامتياز التجاري'!K14</f>
        <v/>
      </c>
      <c r="F19" s="15">
        <f>'الامتياز التجاري'!L14</f>
        <v/>
      </c>
      <c r="G19" s="56">
        <f>'الامتياز التجاري'!N14</f>
        <v/>
      </c>
      <c r="H19" s="15">
        <f>'الامتياز التجاري'!O14</f>
        <v/>
      </c>
      <c r="I19" s="24">
        <f>'الامتياز التجاري'!G14</f>
        <v/>
      </c>
      <c r="J19" s="15">
        <f>IF($G19="",0,$G19*$I19)</f>
        <v/>
      </c>
      <c r="K19" s="15">
        <f>IF($G19="",0,$I19)</f>
        <v/>
      </c>
      <c r="L19" s="13">
        <f>'الامتياز التجاري'!B14</f>
        <v/>
      </c>
    </row>
    <row r="20">
      <c r="A20" s="15" t="n">
        <v>19</v>
      </c>
      <c r="B20" s="13" t="inlineStr">
        <is>
          <t>الامتياز التجاري</t>
        </is>
      </c>
      <c r="C20" s="13">
        <f>'الامتياز التجاري'!C15</f>
        <v/>
      </c>
      <c r="D20" s="15">
        <f>'الامتياز التجاري'!J15</f>
        <v/>
      </c>
      <c r="E20" s="13">
        <f>'الامتياز التجاري'!K15</f>
        <v/>
      </c>
      <c r="F20" s="15">
        <f>'الامتياز التجاري'!L15</f>
        <v/>
      </c>
      <c r="G20" s="56">
        <f>'الامتياز التجاري'!N15</f>
        <v/>
      </c>
      <c r="H20" s="15">
        <f>'الامتياز التجاري'!O15</f>
        <v/>
      </c>
      <c r="I20" s="24">
        <f>'الامتياز التجاري'!G15</f>
        <v/>
      </c>
      <c r="J20" s="15">
        <f>IF($G20="",0,$G20*$I20)</f>
        <v/>
      </c>
      <c r="K20" s="15">
        <f>IF($G20="",0,$I20)</f>
        <v/>
      </c>
      <c r="L20" s="13">
        <f>'الامتياز التجاري'!B15</f>
        <v/>
      </c>
    </row>
    <row r="21">
      <c r="A21" s="15" t="n">
        <v>20</v>
      </c>
      <c r="B21" s="13" t="inlineStr">
        <is>
          <t>الامتياز التجاري</t>
        </is>
      </c>
      <c r="C21" s="13">
        <f>'الامتياز التجاري'!C16</f>
        <v/>
      </c>
      <c r="D21" s="15">
        <f>'الامتياز التجاري'!J16</f>
        <v/>
      </c>
      <c r="E21" s="13">
        <f>'الامتياز التجاري'!K16</f>
        <v/>
      </c>
      <c r="F21" s="15">
        <f>'الامتياز التجاري'!L16</f>
        <v/>
      </c>
      <c r="G21" s="56">
        <f>'الامتياز التجاري'!N16</f>
        <v/>
      </c>
      <c r="H21" s="15">
        <f>'الامتياز التجاري'!O16</f>
        <v/>
      </c>
      <c r="I21" s="24">
        <f>'الامتياز التجاري'!G16</f>
        <v/>
      </c>
      <c r="J21" s="15">
        <f>IF($G21="",0,$G21*$I21)</f>
        <v/>
      </c>
      <c r="K21" s="15">
        <f>IF($G21="",0,$I21)</f>
        <v/>
      </c>
      <c r="L21" s="13">
        <f>'الامتياز التجاري'!B16</f>
        <v/>
      </c>
    </row>
    <row r="22">
      <c r="A22" s="15" t="n">
        <v>21</v>
      </c>
      <c r="B22" s="13" t="inlineStr">
        <is>
          <t>الامتياز التجاري</t>
        </is>
      </c>
      <c r="C22" s="13">
        <f>'الامتياز التجاري'!C17</f>
        <v/>
      </c>
      <c r="D22" s="15">
        <f>'الامتياز التجاري'!J17</f>
        <v/>
      </c>
      <c r="E22" s="13">
        <f>'الامتياز التجاري'!K17</f>
        <v/>
      </c>
      <c r="F22" s="15">
        <f>'الامتياز التجاري'!L17</f>
        <v/>
      </c>
      <c r="G22" s="56">
        <f>'الامتياز التجاري'!N17</f>
        <v/>
      </c>
      <c r="H22" s="15">
        <f>'الامتياز التجاري'!O17</f>
        <v/>
      </c>
      <c r="I22" s="24">
        <f>'الامتياز التجاري'!G17</f>
        <v/>
      </c>
      <c r="J22" s="15">
        <f>IF($G22="",0,$G22*$I22)</f>
        <v/>
      </c>
      <c r="K22" s="15">
        <f>IF($G22="",0,$I22)</f>
        <v/>
      </c>
      <c r="L22" s="13">
        <f>'الامتياز التجاري'!B17</f>
        <v/>
      </c>
    </row>
    <row r="23">
      <c r="A23" s="15" t="n">
        <v>22</v>
      </c>
      <c r="B23" s="13" t="inlineStr">
        <is>
          <t>الامتياز التجاري</t>
        </is>
      </c>
      <c r="C23" s="13">
        <f>'الامتياز التجاري'!C19</f>
        <v/>
      </c>
      <c r="D23" s="15">
        <f>'الامتياز التجاري'!J19</f>
        <v/>
      </c>
      <c r="E23" s="13">
        <f>'الامتياز التجاري'!K19</f>
        <v/>
      </c>
      <c r="F23" s="15">
        <f>'الامتياز التجاري'!L19</f>
        <v/>
      </c>
      <c r="G23" s="56">
        <f>'الامتياز التجاري'!N19</f>
        <v/>
      </c>
      <c r="H23" s="15">
        <f>'الامتياز التجاري'!O19</f>
        <v/>
      </c>
      <c r="I23" s="24">
        <f>'الامتياز التجاري'!G19</f>
        <v/>
      </c>
      <c r="J23" s="15">
        <f>IF($G23="",0,$G23*$I23)</f>
        <v/>
      </c>
      <c r="K23" s="15">
        <f>IF($G23="",0,$I23)</f>
        <v/>
      </c>
      <c r="L23" s="13">
        <f>'الامتياز التجاري'!B19</f>
        <v/>
      </c>
    </row>
    <row r="24">
      <c r="A24" s="15" t="n">
        <v>23</v>
      </c>
      <c r="B24" s="13" t="inlineStr">
        <is>
          <t>الامتياز التجاري</t>
        </is>
      </c>
      <c r="C24" s="13">
        <f>'الامتياز التجاري'!C20</f>
        <v/>
      </c>
      <c r="D24" s="15">
        <f>'الامتياز التجاري'!J20</f>
        <v/>
      </c>
      <c r="E24" s="13">
        <f>'الامتياز التجاري'!K20</f>
        <v/>
      </c>
      <c r="F24" s="15">
        <f>'الامتياز التجاري'!L20</f>
        <v/>
      </c>
      <c r="G24" s="56">
        <f>'الامتياز التجاري'!N20</f>
        <v/>
      </c>
      <c r="H24" s="15">
        <f>'الامتياز التجاري'!O20</f>
        <v/>
      </c>
      <c r="I24" s="24">
        <f>'الامتياز التجاري'!G20</f>
        <v/>
      </c>
      <c r="J24" s="15">
        <f>IF($G24="",0,$G24*$I24)</f>
        <v/>
      </c>
      <c r="K24" s="15">
        <f>IF($G24="",0,$I24)</f>
        <v/>
      </c>
      <c r="L24" s="13">
        <f>'الامتياز التجاري'!B20</f>
        <v/>
      </c>
    </row>
    <row r="25">
      <c r="A25" s="15" t="n">
        <v>24</v>
      </c>
      <c r="B25" s="13" t="inlineStr">
        <is>
          <t>الامتياز التجاري</t>
        </is>
      </c>
      <c r="C25" s="13">
        <f>'الامتياز التجاري'!C21</f>
        <v/>
      </c>
      <c r="D25" s="15">
        <f>'الامتياز التجاري'!J21</f>
        <v/>
      </c>
      <c r="E25" s="13">
        <f>'الامتياز التجاري'!K21</f>
        <v/>
      </c>
      <c r="F25" s="15">
        <f>'الامتياز التجاري'!L21</f>
        <v/>
      </c>
      <c r="G25" s="56">
        <f>'الامتياز التجاري'!N21</f>
        <v/>
      </c>
      <c r="H25" s="15">
        <f>'الامتياز التجاري'!O21</f>
        <v/>
      </c>
      <c r="I25" s="24">
        <f>'الامتياز التجاري'!G21</f>
        <v/>
      </c>
      <c r="J25" s="15">
        <f>IF($G25="",0,$G25*$I25)</f>
        <v/>
      </c>
      <c r="K25" s="15">
        <f>IF($G25="",0,$I25)</f>
        <v/>
      </c>
      <c r="L25" s="13">
        <f>'الامتياز التجاري'!B21</f>
        <v/>
      </c>
    </row>
    <row r="26">
      <c r="A26" s="15" t="n">
        <v>25</v>
      </c>
      <c r="B26" s="13" t="inlineStr">
        <is>
          <t>الامتياز التجاري</t>
        </is>
      </c>
      <c r="C26" s="13">
        <f>'الامتياز التجاري'!C22</f>
        <v/>
      </c>
      <c r="D26" s="15">
        <f>'الامتياز التجاري'!J22</f>
        <v/>
      </c>
      <c r="E26" s="13">
        <f>'الامتياز التجاري'!K22</f>
        <v/>
      </c>
      <c r="F26" s="15">
        <f>'الامتياز التجاري'!L22</f>
        <v/>
      </c>
      <c r="G26" s="56">
        <f>'الامتياز التجاري'!N22</f>
        <v/>
      </c>
      <c r="H26" s="15">
        <f>'الامتياز التجاري'!O22</f>
        <v/>
      </c>
      <c r="I26" s="24">
        <f>'الامتياز التجاري'!G22</f>
        <v/>
      </c>
      <c r="J26" s="15">
        <f>IF($G26="",0,$G26*$I26)</f>
        <v/>
      </c>
      <c r="K26" s="15">
        <f>IF($G26="",0,$I26)</f>
        <v/>
      </c>
      <c r="L26" s="13">
        <f>'الامتياز التجاري'!B22</f>
        <v/>
      </c>
    </row>
    <row r="27">
      <c r="A27" s="15" t="n">
        <v>26</v>
      </c>
      <c r="B27" s="13" t="inlineStr">
        <is>
          <t>الامتياز التجاري</t>
        </is>
      </c>
      <c r="C27" s="13">
        <f>'الامتياز التجاري'!C23</f>
        <v/>
      </c>
      <c r="D27" s="15">
        <f>'الامتياز التجاري'!J23</f>
        <v/>
      </c>
      <c r="E27" s="13">
        <f>'الامتياز التجاري'!K23</f>
        <v/>
      </c>
      <c r="F27" s="15">
        <f>'الامتياز التجاري'!L23</f>
        <v/>
      </c>
      <c r="G27" s="56">
        <f>'الامتياز التجاري'!N23</f>
        <v/>
      </c>
      <c r="H27" s="15">
        <f>'الامتياز التجاري'!O23</f>
        <v/>
      </c>
      <c r="I27" s="24">
        <f>'الامتياز التجاري'!G23</f>
        <v/>
      </c>
      <c r="J27" s="15">
        <f>IF($G27="",0,$G27*$I27)</f>
        <v/>
      </c>
      <c r="K27" s="15">
        <f>IF($G27="",0,$I27)</f>
        <v/>
      </c>
      <c r="L27" s="13">
        <f>'الامتياز التجاري'!B23</f>
        <v/>
      </c>
    </row>
    <row r="28">
      <c r="A28" s="15" t="n">
        <v>27</v>
      </c>
      <c r="B28" s="13" t="inlineStr">
        <is>
          <t>الامتياز التجاري</t>
        </is>
      </c>
      <c r="C28" s="13">
        <f>'الامتياز التجاري'!C24</f>
        <v/>
      </c>
      <c r="D28" s="15">
        <f>'الامتياز التجاري'!J24</f>
        <v/>
      </c>
      <c r="E28" s="13">
        <f>'الامتياز التجاري'!K24</f>
        <v/>
      </c>
      <c r="F28" s="15">
        <f>'الامتياز التجاري'!L24</f>
        <v/>
      </c>
      <c r="G28" s="56">
        <f>'الامتياز التجاري'!N24</f>
        <v/>
      </c>
      <c r="H28" s="15">
        <f>'الامتياز التجاري'!O24</f>
        <v/>
      </c>
      <c r="I28" s="24">
        <f>'الامتياز التجاري'!G24</f>
        <v/>
      </c>
      <c r="J28" s="15">
        <f>IF($G28="",0,$G28*$I28)</f>
        <v/>
      </c>
      <c r="K28" s="15">
        <f>IF($G28="",0,$I28)</f>
        <v/>
      </c>
      <c r="L28" s="13">
        <f>'الامتياز التجاري'!B24</f>
        <v/>
      </c>
    </row>
    <row r="29">
      <c r="A29" s="15" t="n">
        <v>28</v>
      </c>
      <c r="B29" s="13" t="inlineStr">
        <is>
          <t>الامتياز التجاري</t>
        </is>
      </c>
      <c r="C29" s="13">
        <f>'الامتياز التجاري'!C25</f>
        <v/>
      </c>
      <c r="D29" s="15">
        <f>'الامتياز التجاري'!J25</f>
        <v/>
      </c>
      <c r="E29" s="13">
        <f>'الامتياز التجاري'!K25</f>
        <v/>
      </c>
      <c r="F29" s="15">
        <f>'الامتياز التجاري'!L25</f>
        <v/>
      </c>
      <c r="G29" s="56">
        <f>'الامتياز التجاري'!N25</f>
        <v/>
      </c>
      <c r="H29" s="15">
        <f>'الامتياز التجاري'!O25</f>
        <v/>
      </c>
      <c r="I29" s="24">
        <f>'الامتياز التجاري'!G25</f>
        <v/>
      </c>
      <c r="J29" s="15">
        <f>IF($G29="",0,$G29*$I29)</f>
        <v/>
      </c>
      <c r="K29" s="15">
        <f>IF($G29="",0,$I29)</f>
        <v/>
      </c>
      <c r="L29" s="13">
        <f>'الامتياز التجاري'!B25</f>
        <v/>
      </c>
    </row>
    <row r="30">
      <c r="A30" s="15" t="n">
        <v>29</v>
      </c>
      <c r="B30" s="13" t="inlineStr">
        <is>
          <t>الامتياز التجاري</t>
        </is>
      </c>
      <c r="C30" s="13">
        <f>'الامتياز التجاري'!C26</f>
        <v/>
      </c>
      <c r="D30" s="15">
        <f>'الامتياز التجاري'!J26</f>
        <v/>
      </c>
      <c r="E30" s="13">
        <f>'الامتياز التجاري'!K26</f>
        <v/>
      </c>
      <c r="F30" s="15">
        <f>'الامتياز التجاري'!L26</f>
        <v/>
      </c>
      <c r="G30" s="56">
        <f>'الامتياز التجاري'!N26</f>
        <v/>
      </c>
      <c r="H30" s="15">
        <f>'الامتياز التجاري'!O26</f>
        <v/>
      </c>
      <c r="I30" s="24">
        <f>'الامتياز التجاري'!G26</f>
        <v/>
      </c>
      <c r="J30" s="15">
        <f>IF($G30="",0,$G30*$I30)</f>
        <v/>
      </c>
      <c r="K30" s="15">
        <f>IF($G30="",0,$I30)</f>
        <v/>
      </c>
      <c r="L30" s="13">
        <f>'الامتياز التجاري'!B26</f>
        <v/>
      </c>
    </row>
    <row r="31">
      <c r="A31" s="15" t="n">
        <v>30</v>
      </c>
      <c r="B31" s="13" t="inlineStr">
        <is>
          <t>الامتياز التجاري</t>
        </is>
      </c>
      <c r="C31" s="13">
        <f>'الامتياز التجاري'!C27</f>
        <v/>
      </c>
      <c r="D31" s="15">
        <f>'الامتياز التجاري'!J27</f>
        <v/>
      </c>
      <c r="E31" s="13">
        <f>'الامتياز التجاري'!K27</f>
        <v/>
      </c>
      <c r="F31" s="15">
        <f>'الامتياز التجاري'!L27</f>
        <v/>
      </c>
      <c r="G31" s="56">
        <f>'الامتياز التجاري'!N27</f>
        <v/>
      </c>
      <c r="H31" s="15">
        <f>'الامتياز التجاري'!O27</f>
        <v/>
      </c>
      <c r="I31" s="24">
        <f>'الامتياز التجاري'!G27</f>
        <v/>
      </c>
      <c r="J31" s="15">
        <f>IF($G31="",0,$G31*$I31)</f>
        <v/>
      </c>
      <c r="K31" s="15">
        <f>IF($G31="",0,$I31)</f>
        <v/>
      </c>
      <c r="L31" s="13">
        <f>'الامتياز التجاري'!B27</f>
        <v/>
      </c>
    </row>
    <row r="32">
      <c r="A32" s="15" t="n">
        <v>31</v>
      </c>
      <c r="B32" s="13" t="inlineStr">
        <is>
          <t>الامتياز التجاري</t>
        </is>
      </c>
      <c r="C32" s="13">
        <f>'الامتياز التجاري'!C28</f>
        <v/>
      </c>
      <c r="D32" s="15">
        <f>'الامتياز التجاري'!J28</f>
        <v/>
      </c>
      <c r="E32" s="13">
        <f>'الامتياز التجاري'!K28</f>
        <v/>
      </c>
      <c r="F32" s="15">
        <f>'الامتياز التجاري'!L28</f>
        <v/>
      </c>
      <c r="G32" s="56">
        <f>'الامتياز التجاري'!N28</f>
        <v/>
      </c>
      <c r="H32" s="15">
        <f>'الامتياز التجاري'!O28</f>
        <v/>
      </c>
      <c r="I32" s="24">
        <f>'الامتياز التجاري'!G28</f>
        <v/>
      </c>
      <c r="J32" s="15">
        <f>IF($G32="",0,$G32*$I32)</f>
        <v/>
      </c>
      <c r="K32" s="15">
        <f>IF($G32="",0,$I32)</f>
        <v/>
      </c>
      <c r="L32" s="13">
        <f>'الامتياز التجاري'!B28</f>
        <v/>
      </c>
    </row>
    <row r="33">
      <c r="A33" s="15" t="n">
        <v>32</v>
      </c>
      <c r="B33" s="13" t="inlineStr">
        <is>
          <t>الامتياز التجاري</t>
        </is>
      </c>
      <c r="C33" s="13">
        <f>'الامتياز التجاري'!C30</f>
        <v/>
      </c>
      <c r="D33" s="15">
        <f>'الامتياز التجاري'!J30</f>
        <v/>
      </c>
      <c r="E33" s="13">
        <f>'الامتياز التجاري'!K30</f>
        <v/>
      </c>
      <c r="F33" s="15">
        <f>'الامتياز التجاري'!L30</f>
        <v/>
      </c>
      <c r="G33" s="56">
        <f>'الامتياز التجاري'!N30</f>
        <v/>
      </c>
      <c r="H33" s="15">
        <f>'الامتياز التجاري'!O30</f>
        <v/>
      </c>
      <c r="I33" s="24">
        <f>'الامتياز التجاري'!G30</f>
        <v/>
      </c>
      <c r="J33" s="15">
        <f>IF($G33="",0,$G33*$I33)</f>
        <v/>
      </c>
      <c r="K33" s="15">
        <f>IF($G33="",0,$I33)</f>
        <v/>
      </c>
      <c r="L33" s="13">
        <f>'الامتياز التجاري'!B30</f>
        <v/>
      </c>
    </row>
    <row r="34">
      <c r="A34" s="15" t="n">
        <v>33</v>
      </c>
      <c r="B34" s="13" t="inlineStr">
        <is>
          <t>الامتياز التجاري</t>
        </is>
      </c>
      <c r="C34" s="13">
        <f>'الامتياز التجاري'!C31</f>
        <v/>
      </c>
      <c r="D34" s="15">
        <f>'الامتياز التجاري'!J31</f>
        <v/>
      </c>
      <c r="E34" s="13">
        <f>'الامتياز التجاري'!K31</f>
        <v/>
      </c>
      <c r="F34" s="15">
        <f>'الامتياز التجاري'!L31</f>
        <v/>
      </c>
      <c r="G34" s="56">
        <f>'الامتياز التجاري'!N31</f>
        <v/>
      </c>
      <c r="H34" s="15">
        <f>'الامتياز التجاري'!O31</f>
        <v/>
      </c>
      <c r="I34" s="24">
        <f>'الامتياز التجاري'!G31</f>
        <v/>
      </c>
      <c r="J34" s="15">
        <f>IF($G34="",0,$G34*$I34)</f>
        <v/>
      </c>
      <c r="K34" s="15">
        <f>IF($G34="",0,$I34)</f>
        <v/>
      </c>
      <c r="L34" s="13">
        <f>'الامتياز التجاري'!B31</f>
        <v/>
      </c>
    </row>
    <row r="35">
      <c r="A35" s="15" t="n">
        <v>34</v>
      </c>
      <c r="B35" s="13" t="inlineStr">
        <is>
          <t>الامتياز التجاري</t>
        </is>
      </c>
      <c r="C35" s="13">
        <f>'الامتياز التجاري'!C32</f>
        <v/>
      </c>
      <c r="D35" s="15">
        <f>'الامتياز التجاري'!J32</f>
        <v/>
      </c>
      <c r="E35" s="13">
        <f>'الامتياز التجاري'!K32</f>
        <v/>
      </c>
      <c r="F35" s="15">
        <f>'الامتياز التجاري'!L32</f>
        <v/>
      </c>
      <c r="G35" s="56">
        <f>'الامتياز التجاري'!N32</f>
        <v/>
      </c>
      <c r="H35" s="15">
        <f>'الامتياز التجاري'!O32</f>
        <v/>
      </c>
      <c r="I35" s="24">
        <f>'الامتياز التجاري'!G32</f>
        <v/>
      </c>
      <c r="J35" s="15">
        <f>IF($G35="",0,$G35*$I35)</f>
        <v/>
      </c>
      <c r="K35" s="15">
        <f>IF($G35="",0,$I35)</f>
        <v/>
      </c>
      <c r="L35" s="13">
        <f>'الامتياز التجاري'!B32</f>
        <v/>
      </c>
    </row>
    <row r="36">
      <c r="A36" s="15" t="n">
        <v>35</v>
      </c>
      <c r="B36" s="13" t="inlineStr">
        <is>
          <t>الامتياز التجاري</t>
        </is>
      </c>
      <c r="C36" s="13">
        <f>'الامتياز التجاري'!C33</f>
        <v/>
      </c>
      <c r="D36" s="15">
        <f>'الامتياز التجاري'!J33</f>
        <v/>
      </c>
      <c r="E36" s="13">
        <f>'الامتياز التجاري'!K33</f>
        <v/>
      </c>
      <c r="F36" s="15">
        <f>'الامتياز التجاري'!L33</f>
        <v/>
      </c>
      <c r="G36" s="56">
        <f>'الامتياز التجاري'!N33</f>
        <v/>
      </c>
      <c r="H36" s="15">
        <f>'الامتياز التجاري'!O33</f>
        <v/>
      </c>
      <c r="I36" s="24">
        <f>'الامتياز التجاري'!G33</f>
        <v/>
      </c>
      <c r="J36" s="15">
        <f>IF($G36="",0,$G36*$I36)</f>
        <v/>
      </c>
      <c r="K36" s="15">
        <f>IF($G36="",0,$I36)</f>
        <v/>
      </c>
      <c r="L36" s="13">
        <f>'الامتياز التجاري'!B33</f>
        <v/>
      </c>
    </row>
    <row r="37">
      <c r="A37" s="15" t="n">
        <v>36</v>
      </c>
      <c r="B37" s="13" t="inlineStr">
        <is>
          <t>الامتياز التجاري</t>
        </is>
      </c>
      <c r="C37" s="13">
        <f>'الامتياز التجاري'!C35</f>
        <v/>
      </c>
      <c r="D37" s="15">
        <f>'الامتياز التجاري'!J35</f>
        <v/>
      </c>
      <c r="E37" s="13">
        <f>'الامتياز التجاري'!K35</f>
        <v/>
      </c>
      <c r="F37" s="15">
        <f>'الامتياز التجاري'!L35</f>
        <v/>
      </c>
      <c r="G37" s="56">
        <f>'الامتياز التجاري'!N35</f>
        <v/>
      </c>
      <c r="H37" s="15">
        <f>'الامتياز التجاري'!O35</f>
        <v/>
      </c>
      <c r="I37" s="24">
        <f>'الامتياز التجاري'!G35</f>
        <v/>
      </c>
      <c r="J37" s="15">
        <f>IF($G37="",0,$G37*$I37)</f>
        <v/>
      </c>
      <c r="K37" s="15">
        <f>IF($G37="",0,$I37)</f>
        <v/>
      </c>
      <c r="L37" s="13">
        <f>'الامتياز التجاري'!B35</f>
        <v/>
      </c>
    </row>
    <row r="38">
      <c r="A38" s="15" t="n">
        <v>37</v>
      </c>
      <c r="B38" s="13" t="inlineStr">
        <is>
          <t>الامتياز التجاري</t>
        </is>
      </c>
      <c r="C38" s="13">
        <f>'الامتياز التجاري'!C36</f>
        <v/>
      </c>
      <c r="D38" s="15">
        <f>'الامتياز التجاري'!J36</f>
        <v/>
      </c>
      <c r="E38" s="13">
        <f>'الامتياز التجاري'!K36</f>
        <v/>
      </c>
      <c r="F38" s="15">
        <f>'الامتياز التجاري'!L36</f>
        <v/>
      </c>
      <c r="G38" s="56">
        <f>'الامتياز التجاري'!N36</f>
        <v/>
      </c>
      <c r="H38" s="15">
        <f>'الامتياز التجاري'!O36</f>
        <v/>
      </c>
      <c r="I38" s="24">
        <f>'الامتياز التجاري'!G36</f>
        <v/>
      </c>
      <c r="J38" s="15">
        <f>IF($G38="",0,$G38*$I38)</f>
        <v/>
      </c>
      <c r="K38" s="15">
        <f>IF($G38="",0,$I38)</f>
        <v/>
      </c>
      <c r="L38" s="13">
        <f>'الامتياز التجاري'!B36</f>
        <v/>
      </c>
    </row>
    <row r="39">
      <c r="A39" s="15" t="n">
        <v>38</v>
      </c>
      <c r="B39" s="13" t="inlineStr">
        <is>
          <t>الامتياز التجاري</t>
        </is>
      </c>
      <c r="C39" s="13">
        <f>'الامتياز التجاري'!C37</f>
        <v/>
      </c>
      <c r="D39" s="15">
        <f>'الامتياز التجاري'!J37</f>
        <v/>
      </c>
      <c r="E39" s="13">
        <f>'الامتياز التجاري'!K37</f>
        <v/>
      </c>
      <c r="F39" s="15">
        <f>'الامتياز التجاري'!L37</f>
        <v/>
      </c>
      <c r="G39" s="56">
        <f>'الامتياز التجاري'!N37</f>
        <v/>
      </c>
      <c r="H39" s="15">
        <f>'الامتياز التجاري'!O37</f>
        <v/>
      </c>
      <c r="I39" s="24">
        <f>'الامتياز التجاري'!G37</f>
        <v/>
      </c>
      <c r="J39" s="15">
        <f>IF($G39="",0,$G39*$I39)</f>
        <v/>
      </c>
      <c r="K39" s="15">
        <f>IF($G39="",0,$I39)</f>
        <v/>
      </c>
      <c r="L39" s="13">
        <f>'الامتياز التجاري'!B37</f>
        <v/>
      </c>
    </row>
    <row r="40">
      <c r="A40" s="15" t="n">
        <v>39</v>
      </c>
      <c r="B40" s="13" t="inlineStr">
        <is>
          <t>الامتياز التجاري</t>
        </is>
      </c>
      <c r="C40" s="13">
        <f>'الامتياز التجاري'!C38</f>
        <v/>
      </c>
      <c r="D40" s="15">
        <f>'الامتياز التجاري'!J38</f>
        <v/>
      </c>
      <c r="E40" s="13">
        <f>'الامتياز التجاري'!K38</f>
        <v/>
      </c>
      <c r="F40" s="15">
        <f>'الامتياز التجاري'!L38</f>
        <v/>
      </c>
      <c r="G40" s="56">
        <f>'الامتياز التجاري'!N38</f>
        <v/>
      </c>
      <c r="H40" s="15">
        <f>'الامتياز التجاري'!O38</f>
        <v/>
      </c>
      <c r="I40" s="24">
        <f>'الامتياز التجاري'!G38</f>
        <v/>
      </c>
      <c r="J40" s="15">
        <f>IF($G40="",0,$G40*$I40)</f>
        <v/>
      </c>
      <c r="K40" s="15">
        <f>IF($G40="",0,$I40)</f>
        <v/>
      </c>
      <c r="L40" s="13">
        <f>'الامتياز التجاري'!B38</f>
        <v/>
      </c>
    </row>
    <row r="41">
      <c r="A41" s="15" t="n">
        <v>40</v>
      </c>
      <c r="B41" s="13" t="inlineStr">
        <is>
          <t>التشغيل والمحطات</t>
        </is>
      </c>
      <c r="C41" s="13">
        <f>'التشغيل والمحطات'!C4</f>
        <v/>
      </c>
      <c r="D41" s="15">
        <f>'التشغيل والمحطات'!J4</f>
        <v/>
      </c>
      <c r="E41" s="13">
        <f>'التشغيل والمحطات'!K4</f>
        <v/>
      </c>
      <c r="F41" s="15">
        <f>'التشغيل والمحطات'!L4</f>
        <v/>
      </c>
      <c r="G41" s="56">
        <f>'التشغيل والمحطات'!N4</f>
        <v/>
      </c>
      <c r="H41" s="15">
        <f>'التشغيل والمحطات'!O4</f>
        <v/>
      </c>
      <c r="I41" s="24">
        <f>'التشغيل والمحطات'!G4</f>
        <v/>
      </c>
      <c r="J41" s="15">
        <f>IF($G41="",0,$G41*$I41)</f>
        <v/>
      </c>
      <c r="K41" s="15">
        <f>IF($G41="",0,$I41)</f>
        <v/>
      </c>
      <c r="L41" s="13">
        <f>'التشغيل والمحطات'!B4</f>
        <v/>
      </c>
    </row>
    <row r="42">
      <c r="A42" s="15" t="n">
        <v>41</v>
      </c>
      <c r="B42" s="13" t="inlineStr">
        <is>
          <t>التشغيل والمحطات</t>
        </is>
      </c>
      <c r="C42" s="13">
        <f>'التشغيل والمحطات'!C6</f>
        <v/>
      </c>
      <c r="D42" s="15">
        <f>'التشغيل والمحطات'!J6</f>
        <v/>
      </c>
      <c r="E42" s="13">
        <f>'التشغيل والمحطات'!K6</f>
        <v/>
      </c>
      <c r="F42" s="15">
        <f>'التشغيل والمحطات'!L6</f>
        <v/>
      </c>
      <c r="G42" s="56">
        <f>'التشغيل والمحطات'!N6</f>
        <v/>
      </c>
      <c r="H42" s="15">
        <f>'التشغيل والمحطات'!O6</f>
        <v/>
      </c>
      <c r="I42" s="24">
        <f>'التشغيل والمحطات'!G6</f>
        <v/>
      </c>
      <c r="J42" s="15">
        <f>IF($G42="",0,$G42*$I42)</f>
        <v/>
      </c>
      <c r="K42" s="15">
        <f>IF($G42="",0,$I42)</f>
        <v/>
      </c>
      <c r="L42" s="13">
        <f>'التشغيل والمحطات'!B6</f>
        <v/>
      </c>
    </row>
    <row r="43">
      <c r="A43" s="15" t="n">
        <v>42</v>
      </c>
      <c r="B43" s="13" t="inlineStr">
        <is>
          <t>التشغيل والمحطات</t>
        </is>
      </c>
      <c r="C43" s="13">
        <f>'التشغيل والمحطات'!C7</f>
        <v/>
      </c>
      <c r="D43" s="15">
        <f>'التشغيل والمحطات'!J7</f>
        <v/>
      </c>
      <c r="E43" s="13">
        <f>'التشغيل والمحطات'!K7</f>
        <v/>
      </c>
      <c r="F43" s="15">
        <f>'التشغيل والمحطات'!L7</f>
        <v/>
      </c>
      <c r="G43" s="56">
        <f>'التشغيل والمحطات'!N7</f>
        <v/>
      </c>
      <c r="H43" s="15">
        <f>'التشغيل والمحطات'!O7</f>
        <v/>
      </c>
      <c r="I43" s="24">
        <f>'التشغيل والمحطات'!G7</f>
        <v/>
      </c>
      <c r="J43" s="15">
        <f>IF($G43="",0,$G43*$I43)</f>
        <v/>
      </c>
      <c r="K43" s="15">
        <f>IF($G43="",0,$I43)</f>
        <v/>
      </c>
      <c r="L43" s="13">
        <f>'التشغيل والمحطات'!B7</f>
        <v/>
      </c>
    </row>
    <row r="44">
      <c r="A44" s="15" t="n">
        <v>43</v>
      </c>
      <c r="B44" s="13" t="inlineStr">
        <is>
          <t>التشغيل والمحطات</t>
        </is>
      </c>
      <c r="C44" s="13">
        <f>'التشغيل والمحطات'!C8</f>
        <v/>
      </c>
      <c r="D44" s="15">
        <f>'التشغيل والمحطات'!J8</f>
        <v/>
      </c>
      <c r="E44" s="13">
        <f>'التشغيل والمحطات'!K8</f>
        <v/>
      </c>
      <c r="F44" s="15">
        <f>'التشغيل والمحطات'!L8</f>
        <v/>
      </c>
      <c r="G44" s="56">
        <f>'التشغيل والمحطات'!N8</f>
        <v/>
      </c>
      <c r="H44" s="15">
        <f>'التشغيل والمحطات'!O8</f>
        <v/>
      </c>
      <c r="I44" s="24">
        <f>'التشغيل والمحطات'!G8</f>
        <v/>
      </c>
      <c r="J44" s="15">
        <f>IF($G44="",0,$G44*$I44)</f>
        <v/>
      </c>
      <c r="K44" s="15">
        <f>IF($G44="",0,$I44)</f>
        <v/>
      </c>
      <c r="L44" s="13">
        <f>'التشغيل والمحطات'!B8</f>
        <v/>
      </c>
    </row>
    <row r="45">
      <c r="A45" s="15" t="n">
        <v>44</v>
      </c>
      <c r="B45" s="13" t="inlineStr">
        <is>
          <t>التشغيل والمحطات</t>
        </is>
      </c>
      <c r="C45" s="13">
        <f>'التشغيل والمحطات'!C9</f>
        <v/>
      </c>
      <c r="D45" s="15">
        <f>'التشغيل والمحطات'!J9</f>
        <v/>
      </c>
      <c r="E45" s="13">
        <f>'التشغيل والمحطات'!K9</f>
        <v/>
      </c>
      <c r="F45" s="15">
        <f>'التشغيل والمحطات'!L9</f>
        <v/>
      </c>
      <c r="G45" s="56">
        <f>'التشغيل والمحطات'!N9</f>
        <v/>
      </c>
      <c r="H45" s="15">
        <f>'التشغيل والمحطات'!O9</f>
        <v/>
      </c>
      <c r="I45" s="24">
        <f>'التشغيل والمحطات'!G9</f>
        <v/>
      </c>
      <c r="J45" s="15">
        <f>IF($G45="",0,$G45*$I45)</f>
        <v/>
      </c>
      <c r="K45" s="15">
        <f>IF($G45="",0,$I45)</f>
        <v/>
      </c>
      <c r="L45" s="13">
        <f>'التشغيل والمحطات'!B9</f>
        <v/>
      </c>
    </row>
    <row r="46">
      <c r="A46" s="15" t="n">
        <v>45</v>
      </c>
      <c r="B46" s="13" t="inlineStr">
        <is>
          <t>التشغيل والمحطات</t>
        </is>
      </c>
      <c r="C46" s="13">
        <f>'التشغيل والمحطات'!C11</f>
        <v/>
      </c>
      <c r="D46" s="15">
        <f>'التشغيل والمحطات'!J11</f>
        <v/>
      </c>
      <c r="E46" s="13">
        <f>'التشغيل والمحطات'!K11</f>
        <v/>
      </c>
      <c r="F46" s="15">
        <f>'التشغيل والمحطات'!L11</f>
        <v/>
      </c>
      <c r="G46" s="56">
        <f>'التشغيل والمحطات'!N11</f>
        <v/>
      </c>
      <c r="H46" s="15">
        <f>'التشغيل والمحطات'!O11</f>
        <v/>
      </c>
      <c r="I46" s="24">
        <f>'التشغيل والمحطات'!G11</f>
        <v/>
      </c>
      <c r="J46" s="15">
        <f>IF($G46="",0,$G46*$I46)</f>
        <v/>
      </c>
      <c r="K46" s="15">
        <f>IF($G46="",0,$I46)</f>
        <v/>
      </c>
      <c r="L46" s="13">
        <f>'التشغيل والمحطات'!B11</f>
        <v/>
      </c>
    </row>
    <row r="47">
      <c r="A47" s="15" t="n">
        <v>46</v>
      </c>
      <c r="B47" s="13" t="inlineStr">
        <is>
          <t>التشغيل والمحطات</t>
        </is>
      </c>
      <c r="C47" s="13">
        <f>'التشغيل والمحطات'!C12</f>
        <v/>
      </c>
      <c r="D47" s="15">
        <f>'التشغيل والمحطات'!J12</f>
        <v/>
      </c>
      <c r="E47" s="13">
        <f>'التشغيل والمحطات'!K12</f>
        <v/>
      </c>
      <c r="F47" s="15">
        <f>'التشغيل والمحطات'!L12</f>
        <v/>
      </c>
      <c r="G47" s="56">
        <f>'التشغيل والمحطات'!N12</f>
        <v/>
      </c>
      <c r="H47" s="15">
        <f>'التشغيل والمحطات'!O12</f>
        <v/>
      </c>
      <c r="I47" s="24">
        <f>'التشغيل والمحطات'!G12</f>
        <v/>
      </c>
      <c r="J47" s="15">
        <f>IF($G47="",0,$G47*$I47)</f>
        <v/>
      </c>
      <c r="K47" s="15">
        <f>IF($G47="",0,$I47)</f>
        <v/>
      </c>
      <c r="L47" s="13">
        <f>'التشغيل والمحطات'!B12</f>
        <v/>
      </c>
    </row>
    <row r="48">
      <c r="A48" s="15" t="n">
        <v>47</v>
      </c>
      <c r="B48" s="13" t="inlineStr">
        <is>
          <t>التشغيل والمحطات</t>
        </is>
      </c>
      <c r="C48" s="13">
        <f>'التشغيل والمحطات'!C13</f>
        <v/>
      </c>
      <c r="D48" s="15">
        <f>'التشغيل والمحطات'!J13</f>
        <v/>
      </c>
      <c r="E48" s="13">
        <f>'التشغيل والمحطات'!K13</f>
        <v/>
      </c>
      <c r="F48" s="15">
        <f>'التشغيل والمحطات'!L13</f>
        <v/>
      </c>
      <c r="G48" s="56">
        <f>'التشغيل والمحطات'!N13</f>
        <v/>
      </c>
      <c r="H48" s="15">
        <f>'التشغيل والمحطات'!O13</f>
        <v/>
      </c>
      <c r="I48" s="24">
        <f>'التشغيل والمحطات'!G13</f>
        <v/>
      </c>
      <c r="J48" s="15">
        <f>IF($G48="",0,$G48*$I48)</f>
        <v/>
      </c>
      <c r="K48" s="15">
        <f>IF($G48="",0,$I48)</f>
        <v/>
      </c>
      <c r="L48" s="13">
        <f>'التشغيل والمحطات'!B13</f>
        <v/>
      </c>
    </row>
    <row r="49">
      <c r="A49" s="15" t="n">
        <v>48</v>
      </c>
      <c r="B49" s="13" t="inlineStr">
        <is>
          <t>التشغيل والمحطات</t>
        </is>
      </c>
      <c r="C49" s="13">
        <f>'التشغيل والمحطات'!C14</f>
        <v/>
      </c>
      <c r="D49" s="15">
        <f>'التشغيل والمحطات'!J14</f>
        <v/>
      </c>
      <c r="E49" s="13">
        <f>'التشغيل والمحطات'!K14</f>
        <v/>
      </c>
      <c r="F49" s="15">
        <f>'التشغيل والمحطات'!L14</f>
        <v/>
      </c>
      <c r="G49" s="56">
        <f>'التشغيل والمحطات'!N14</f>
        <v/>
      </c>
      <c r="H49" s="15">
        <f>'التشغيل والمحطات'!O14</f>
        <v/>
      </c>
      <c r="I49" s="24">
        <f>'التشغيل والمحطات'!G14</f>
        <v/>
      </c>
      <c r="J49" s="15">
        <f>IF($G49="",0,$G49*$I49)</f>
        <v/>
      </c>
      <c r="K49" s="15">
        <f>IF($G49="",0,$I49)</f>
        <v/>
      </c>
      <c r="L49" s="13">
        <f>'التشغيل والمحطات'!B14</f>
        <v/>
      </c>
    </row>
    <row r="50">
      <c r="A50" s="15" t="n">
        <v>49</v>
      </c>
      <c r="B50" s="13" t="inlineStr">
        <is>
          <t>التشغيل والمحطات</t>
        </is>
      </c>
      <c r="C50" s="13">
        <f>'التشغيل والمحطات'!C16</f>
        <v/>
      </c>
      <c r="D50" s="15">
        <f>'التشغيل والمحطات'!J16</f>
        <v/>
      </c>
      <c r="E50" s="13">
        <f>'التشغيل والمحطات'!K16</f>
        <v/>
      </c>
      <c r="F50" s="15">
        <f>'التشغيل والمحطات'!L16</f>
        <v/>
      </c>
      <c r="G50" s="56">
        <f>'التشغيل والمحطات'!N16</f>
        <v/>
      </c>
      <c r="H50" s="15">
        <f>'التشغيل والمحطات'!O16</f>
        <v/>
      </c>
      <c r="I50" s="24">
        <f>'التشغيل والمحطات'!G16</f>
        <v/>
      </c>
      <c r="J50" s="15">
        <f>IF($G50="",0,$G50*$I50)</f>
        <v/>
      </c>
      <c r="K50" s="15">
        <f>IF($G50="",0,$I50)</f>
        <v/>
      </c>
      <c r="L50" s="13">
        <f>'التشغيل والمحطات'!B16</f>
        <v/>
      </c>
    </row>
    <row r="51">
      <c r="A51" s="15" t="n">
        <v>50</v>
      </c>
      <c r="B51" s="13" t="inlineStr">
        <is>
          <t>التشغيل والمحطات</t>
        </is>
      </c>
      <c r="C51" s="13">
        <f>'التشغيل والمحطات'!C17</f>
        <v/>
      </c>
      <c r="D51" s="15">
        <f>'التشغيل والمحطات'!J17</f>
        <v/>
      </c>
      <c r="E51" s="13">
        <f>'التشغيل والمحطات'!K17</f>
        <v/>
      </c>
      <c r="F51" s="15">
        <f>'التشغيل والمحطات'!L17</f>
        <v/>
      </c>
      <c r="G51" s="56">
        <f>'التشغيل والمحطات'!N17</f>
        <v/>
      </c>
      <c r="H51" s="15">
        <f>'التشغيل والمحطات'!O17</f>
        <v/>
      </c>
      <c r="I51" s="24">
        <f>'التشغيل والمحطات'!G17</f>
        <v/>
      </c>
      <c r="J51" s="15">
        <f>IF($G51="",0,$G51*$I51)</f>
        <v/>
      </c>
      <c r="K51" s="15">
        <f>IF($G51="",0,$I51)</f>
        <v/>
      </c>
      <c r="L51" s="13">
        <f>'التشغيل والمحطات'!B17</f>
        <v/>
      </c>
    </row>
    <row r="52">
      <c r="A52" s="15" t="n">
        <v>51</v>
      </c>
      <c r="B52" s="13" t="inlineStr">
        <is>
          <t>التشغيل والمحطات</t>
        </is>
      </c>
      <c r="C52" s="13">
        <f>'التشغيل والمحطات'!C18</f>
        <v/>
      </c>
      <c r="D52" s="15">
        <f>'التشغيل والمحطات'!J18</f>
        <v/>
      </c>
      <c r="E52" s="13">
        <f>'التشغيل والمحطات'!K18</f>
        <v/>
      </c>
      <c r="F52" s="15">
        <f>'التشغيل والمحطات'!L18</f>
        <v/>
      </c>
      <c r="G52" s="56">
        <f>'التشغيل والمحطات'!N18</f>
        <v/>
      </c>
      <c r="H52" s="15">
        <f>'التشغيل والمحطات'!O18</f>
        <v/>
      </c>
      <c r="I52" s="24">
        <f>'التشغيل والمحطات'!G18</f>
        <v/>
      </c>
      <c r="J52" s="15">
        <f>IF($G52="",0,$G52*$I52)</f>
        <v/>
      </c>
      <c r="K52" s="15">
        <f>IF($G52="",0,$I52)</f>
        <v/>
      </c>
      <c r="L52" s="13">
        <f>'التشغيل والمحطات'!B18</f>
        <v/>
      </c>
    </row>
    <row r="53">
      <c r="A53" s="15" t="n">
        <v>52</v>
      </c>
      <c r="B53" s="13" t="inlineStr">
        <is>
          <t>التشغيل والمحطات</t>
        </is>
      </c>
      <c r="C53" s="13">
        <f>'التشغيل والمحطات'!C19</f>
        <v/>
      </c>
      <c r="D53" s="15">
        <f>'التشغيل والمحطات'!J19</f>
        <v/>
      </c>
      <c r="E53" s="13">
        <f>'التشغيل والمحطات'!K19</f>
        <v/>
      </c>
      <c r="F53" s="15">
        <f>'التشغيل والمحطات'!L19</f>
        <v/>
      </c>
      <c r="G53" s="56">
        <f>'التشغيل والمحطات'!N19</f>
        <v/>
      </c>
      <c r="H53" s="15">
        <f>'التشغيل والمحطات'!O19</f>
        <v/>
      </c>
      <c r="I53" s="24">
        <f>'التشغيل والمحطات'!G19</f>
        <v/>
      </c>
      <c r="J53" s="15">
        <f>IF($G53="",0,$G53*$I53)</f>
        <v/>
      </c>
      <c r="K53" s="15">
        <f>IF($G53="",0,$I53)</f>
        <v/>
      </c>
      <c r="L53" s="13">
        <f>'التشغيل والمحطات'!B19</f>
        <v/>
      </c>
    </row>
    <row r="54">
      <c r="A54" s="15" t="n">
        <v>53</v>
      </c>
      <c r="B54" s="13" t="inlineStr">
        <is>
          <t>التشغيل والمحطات</t>
        </is>
      </c>
      <c r="C54" s="13">
        <f>'التشغيل والمحطات'!C20</f>
        <v/>
      </c>
      <c r="D54" s="15">
        <f>'التشغيل والمحطات'!J20</f>
        <v/>
      </c>
      <c r="E54" s="13">
        <f>'التشغيل والمحطات'!K20</f>
        <v/>
      </c>
      <c r="F54" s="15">
        <f>'التشغيل والمحطات'!L20</f>
        <v/>
      </c>
      <c r="G54" s="56">
        <f>'التشغيل والمحطات'!N20</f>
        <v/>
      </c>
      <c r="H54" s="15">
        <f>'التشغيل والمحطات'!O20</f>
        <v/>
      </c>
      <c r="I54" s="24">
        <f>'التشغيل والمحطات'!G20</f>
        <v/>
      </c>
      <c r="J54" s="15">
        <f>IF($G54="",0,$G54*$I54)</f>
        <v/>
      </c>
      <c r="K54" s="15">
        <f>IF($G54="",0,$I54)</f>
        <v/>
      </c>
      <c r="L54" s="13">
        <f>'التشغيل والمحطات'!B20</f>
        <v/>
      </c>
    </row>
    <row r="55">
      <c r="A55" s="15" t="n">
        <v>54</v>
      </c>
      <c r="B55" s="13" t="inlineStr">
        <is>
          <t>التشغيل والمحطات</t>
        </is>
      </c>
      <c r="C55" s="13">
        <f>'التشغيل والمحطات'!C21</f>
        <v/>
      </c>
      <c r="D55" s="15">
        <f>'التشغيل والمحطات'!J21</f>
        <v/>
      </c>
      <c r="E55" s="13">
        <f>'التشغيل والمحطات'!K21</f>
        <v/>
      </c>
      <c r="F55" s="15">
        <f>'التشغيل والمحطات'!L21</f>
        <v/>
      </c>
      <c r="G55" s="56">
        <f>'التشغيل والمحطات'!N21</f>
        <v/>
      </c>
      <c r="H55" s="15">
        <f>'التشغيل والمحطات'!O21</f>
        <v/>
      </c>
      <c r="I55" s="24">
        <f>'التشغيل والمحطات'!G21</f>
        <v/>
      </c>
      <c r="J55" s="15">
        <f>IF($G55="",0,$G55*$I55)</f>
        <v/>
      </c>
      <c r="K55" s="15">
        <f>IF($G55="",0,$I55)</f>
        <v/>
      </c>
      <c r="L55" s="13">
        <f>'التشغيل والمحطات'!B21</f>
        <v/>
      </c>
    </row>
    <row r="56">
      <c r="A56" s="15" t="n">
        <v>55</v>
      </c>
      <c r="B56" s="13" t="inlineStr">
        <is>
          <t>التشغيل والمحطات</t>
        </is>
      </c>
      <c r="C56" s="13">
        <f>'التشغيل والمحطات'!C22</f>
        <v/>
      </c>
      <c r="D56" s="15">
        <f>'التشغيل والمحطات'!J22</f>
        <v/>
      </c>
      <c r="E56" s="13">
        <f>'التشغيل والمحطات'!K22</f>
        <v/>
      </c>
      <c r="F56" s="15">
        <f>'التشغيل والمحطات'!L22</f>
        <v/>
      </c>
      <c r="G56" s="56">
        <f>'التشغيل والمحطات'!N22</f>
        <v/>
      </c>
      <c r="H56" s="15">
        <f>'التشغيل والمحطات'!O22</f>
        <v/>
      </c>
      <c r="I56" s="24">
        <f>'التشغيل والمحطات'!G22</f>
        <v/>
      </c>
      <c r="J56" s="15">
        <f>IF($G56="",0,$G56*$I56)</f>
        <v/>
      </c>
      <c r="K56" s="15">
        <f>IF($G56="",0,$I56)</f>
        <v/>
      </c>
      <c r="L56" s="13">
        <f>'التشغيل والمحطات'!B22</f>
        <v/>
      </c>
    </row>
    <row r="57">
      <c r="A57" s="15" t="n">
        <v>56</v>
      </c>
      <c r="B57" s="13" t="inlineStr">
        <is>
          <t>الاستثمار</t>
        </is>
      </c>
      <c r="C57" s="13">
        <f>'الاستثمار'!C5</f>
        <v/>
      </c>
      <c r="D57" s="15">
        <f>'الاستثمار'!J5</f>
        <v/>
      </c>
      <c r="E57" s="13">
        <f>'الاستثمار'!K5</f>
        <v/>
      </c>
      <c r="F57" s="15">
        <f>'الاستثمار'!L5</f>
        <v/>
      </c>
      <c r="G57" s="56">
        <f>'الاستثمار'!N5</f>
        <v/>
      </c>
      <c r="H57" s="15">
        <f>'الاستثمار'!O5</f>
        <v/>
      </c>
      <c r="I57" s="24">
        <f>'الاستثمار'!G5</f>
        <v/>
      </c>
      <c r="J57" s="15">
        <f>IF($G57="",0,$G57*$I57)</f>
        <v/>
      </c>
      <c r="K57" s="15">
        <f>IF($G57="",0,$I57)</f>
        <v/>
      </c>
      <c r="L57" s="13">
        <f>'الاستثمار'!B5</f>
        <v/>
      </c>
    </row>
    <row r="58">
      <c r="A58" s="15" t="n">
        <v>57</v>
      </c>
      <c r="B58" s="13" t="inlineStr">
        <is>
          <t>الاستثمار</t>
        </is>
      </c>
      <c r="C58" s="13">
        <f>'الاستثمار'!C6</f>
        <v/>
      </c>
      <c r="D58" s="15">
        <f>'الاستثمار'!J6</f>
        <v/>
      </c>
      <c r="E58" s="13">
        <f>'الاستثمار'!K6</f>
        <v/>
      </c>
      <c r="F58" s="15">
        <f>'الاستثمار'!L6</f>
        <v/>
      </c>
      <c r="G58" s="56">
        <f>'الاستثمار'!N6</f>
        <v/>
      </c>
      <c r="H58" s="15">
        <f>'الاستثمار'!O6</f>
        <v/>
      </c>
      <c r="I58" s="24">
        <f>'الاستثمار'!G6</f>
        <v/>
      </c>
      <c r="J58" s="15">
        <f>IF($G58="",0,$G58*$I58)</f>
        <v/>
      </c>
      <c r="K58" s="15">
        <f>IF($G58="",0,$I58)</f>
        <v/>
      </c>
      <c r="L58" s="13">
        <f>'الاستثمار'!B6</f>
        <v/>
      </c>
    </row>
    <row r="59">
      <c r="A59" s="15" t="n">
        <v>58</v>
      </c>
      <c r="B59" s="13" t="inlineStr">
        <is>
          <t>الاستثمار</t>
        </is>
      </c>
      <c r="C59" s="13">
        <f>'الاستثمار'!C7</f>
        <v/>
      </c>
      <c r="D59" s="15">
        <f>'الاستثمار'!J7</f>
        <v/>
      </c>
      <c r="E59" s="13">
        <f>'الاستثمار'!K7</f>
        <v/>
      </c>
      <c r="F59" s="15">
        <f>'الاستثمار'!L7</f>
        <v/>
      </c>
      <c r="G59" s="56">
        <f>'الاستثمار'!N7</f>
        <v/>
      </c>
      <c r="H59" s="15">
        <f>'الاستثمار'!O7</f>
        <v/>
      </c>
      <c r="I59" s="24">
        <f>'الاستثمار'!G7</f>
        <v/>
      </c>
      <c r="J59" s="15">
        <f>IF($G59="",0,$G59*$I59)</f>
        <v/>
      </c>
      <c r="K59" s="15">
        <f>IF($G59="",0,$I59)</f>
        <v/>
      </c>
      <c r="L59" s="13">
        <f>'الاستثمار'!B7</f>
        <v/>
      </c>
    </row>
    <row r="60">
      <c r="A60" s="15" t="n">
        <v>59</v>
      </c>
      <c r="B60" s="13" t="inlineStr">
        <is>
          <t>الاستثمار</t>
        </is>
      </c>
      <c r="C60" s="13">
        <f>'الاستثمار'!C8</f>
        <v/>
      </c>
      <c r="D60" s="15">
        <f>'الاستثمار'!J8</f>
        <v/>
      </c>
      <c r="E60" s="13">
        <f>'الاستثمار'!K8</f>
        <v/>
      </c>
      <c r="F60" s="15">
        <f>'الاستثمار'!L8</f>
        <v/>
      </c>
      <c r="G60" s="56">
        <f>'الاستثمار'!N8</f>
        <v/>
      </c>
      <c r="H60" s="15">
        <f>'الاستثمار'!O8</f>
        <v/>
      </c>
      <c r="I60" s="24">
        <f>'الاستثمار'!G8</f>
        <v/>
      </c>
      <c r="J60" s="15">
        <f>IF($G60="",0,$G60*$I60)</f>
        <v/>
      </c>
      <c r="K60" s="15">
        <f>IF($G60="",0,$I60)</f>
        <v/>
      </c>
      <c r="L60" s="13">
        <f>'الاستثمار'!B8</f>
        <v/>
      </c>
    </row>
    <row r="61">
      <c r="A61" s="15" t="n">
        <v>60</v>
      </c>
      <c r="B61" s="13" t="inlineStr">
        <is>
          <t>الاستثمار</t>
        </is>
      </c>
      <c r="C61" s="13">
        <f>'الاستثمار'!C9</f>
        <v/>
      </c>
      <c r="D61" s="15">
        <f>'الاستثمار'!J9</f>
        <v/>
      </c>
      <c r="E61" s="13">
        <f>'الاستثمار'!K9</f>
        <v/>
      </c>
      <c r="F61" s="15">
        <f>'الاستثمار'!L9</f>
        <v/>
      </c>
      <c r="G61" s="56">
        <f>'الاستثمار'!N9</f>
        <v/>
      </c>
      <c r="H61" s="15">
        <f>'الاستثمار'!O9</f>
        <v/>
      </c>
      <c r="I61" s="24">
        <f>'الاستثمار'!G9</f>
        <v/>
      </c>
      <c r="J61" s="15">
        <f>IF($G61="",0,$G61*$I61)</f>
        <v/>
      </c>
      <c r="K61" s="15">
        <f>IF($G61="",0,$I61)</f>
        <v/>
      </c>
      <c r="L61" s="13">
        <f>'الاستثمار'!B9</f>
        <v/>
      </c>
    </row>
    <row r="62">
      <c r="A62" s="15" t="n">
        <v>61</v>
      </c>
      <c r="B62" s="13" t="inlineStr">
        <is>
          <t>الاستثمار</t>
        </is>
      </c>
      <c r="C62" s="13">
        <f>'الاستثمار'!C10</f>
        <v/>
      </c>
      <c r="D62" s="15">
        <f>'الاستثمار'!J10</f>
        <v/>
      </c>
      <c r="E62" s="13">
        <f>'الاستثمار'!K10</f>
        <v/>
      </c>
      <c r="F62" s="15">
        <f>'الاستثمار'!L10</f>
        <v/>
      </c>
      <c r="G62" s="56">
        <f>'الاستثمار'!N10</f>
        <v/>
      </c>
      <c r="H62" s="15">
        <f>'الاستثمار'!O10</f>
        <v/>
      </c>
      <c r="I62" s="24">
        <f>'الاستثمار'!G10</f>
        <v/>
      </c>
      <c r="J62" s="15">
        <f>IF($G62="",0,$G62*$I62)</f>
        <v/>
      </c>
      <c r="K62" s="15">
        <f>IF($G62="",0,$I62)</f>
        <v/>
      </c>
      <c r="L62" s="13">
        <f>'الاستثمار'!B10</f>
        <v/>
      </c>
    </row>
    <row r="63">
      <c r="A63" s="15" t="n">
        <v>62</v>
      </c>
      <c r="B63" s="13" t="inlineStr">
        <is>
          <t>الاستثمار</t>
        </is>
      </c>
      <c r="C63" s="13">
        <f>'الاستثمار'!C11</f>
        <v/>
      </c>
      <c r="D63" s="15">
        <f>'الاستثمار'!J11</f>
        <v/>
      </c>
      <c r="E63" s="13">
        <f>'الاستثمار'!K11</f>
        <v/>
      </c>
      <c r="F63" s="15">
        <f>'الاستثمار'!L11</f>
        <v/>
      </c>
      <c r="G63" s="56">
        <f>'الاستثمار'!N11</f>
        <v/>
      </c>
      <c r="H63" s="15">
        <f>'الاستثمار'!O11</f>
        <v/>
      </c>
      <c r="I63" s="24">
        <f>'الاستثمار'!G11</f>
        <v/>
      </c>
      <c r="J63" s="15">
        <f>IF($G63="",0,$G63*$I63)</f>
        <v/>
      </c>
      <c r="K63" s="15">
        <f>IF($G63="",0,$I63)</f>
        <v/>
      </c>
      <c r="L63" s="13">
        <f>'الاستثمار'!B11</f>
        <v/>
      </c>
    </row>
    <row r="64">
      <c r="A64" s="15" t="n">
        <v>63</v>
      </c>
      <c r="B64" s="13" t="inlineStr">
        <is>
          <t>الاستثمار</t>
        </is>
      </c>
      <c r="C64" s="13">
        <f>'الاستثمار'!C13</f>
        <v/>
      </c>
      <c r="D64" s="15">
        <f>'الاستثمار'!J13</f>
        <v/>
      </c>
      <c r="E64" s="13">
        <f>'الاستثمار'!K13</f>
        <v/>
      </c>
      <c r="F64" s="15">
        <f>'الاستثمار'!L13</f>
        <v/>
      </c>
      <c r="G64" s="56">
        <f>'الاستثمار'!N13</f>
        <v/>
      </c>
      <c r="H64" s="15">
        <f>'الاستثمار'!O13</f>
        <v/>
      </c>
      <c r="I64" s="24">
        <f>'الاستثمار'!G13</f>
        <v/>
      </c>
      <c r="J64" s="15">
        <f>IF($G64="",0,$G64*$I64)</f>
        <v/>
      </c>
      <c r="K64" s="15">
        <f>IF($G64="",0,$I64)</f>
        <v/>
      </c>
      <c r="L64" s="13">
        <f>'الاستثمار'!B13</f>
        <v/>
      </c>
    </row>
    <row r="65">
      <c r="A65" s="15" t="n">
        <v>64</v>
      </c>
      <c r="B65" s="13" t="inlineStr">
        <is>
          <t>الاستثمار</t>
        </is>
      </c>
      <c r="C65" s="13">
        <f>'الاستثمار'!C14</f>
        <v/>
      </c>
      <c r="D65" s="15">
        <f>'الاستثمار'!J14</f>
        <v/>
      </c>
      <c r="E65" s="13">
        <f>'الاستثمار'!K14</f>
        <v/>
      </c>
      <c r="F65" s="15">
        <f>'الاستثمار'!L14</f>
        <v/>
      </c>
      <c r="G65" s="56">
        <f>'الاستثمار'!N14</f>
        <v/>
      </c>
      <c r="H65" s="15">
        <f>'الاستثمار'!O14</f>
        <v/>
      </c>
      <c r="I65" s="24">
        <f>'الاستثمار'!G14</f>
        <v/>
      </c>
      <c r="J65" s="15">
        <f>IF($G65="",0,$G65*$I65)</f>
        <v/>
      </c>
      <c r="K65" s="15">
        <f>IF($G65="",0,$I65)</f>
        <v/>
      </c>
      <c r="L65" s="13">
        <f>'الاستثمار'!B14</f>
        <v/>
      </c>
    </row>
    <row r="66">
      <c r="A66" s="15" t="n">
        <v>65</v>
      </c>
      <c r="B66" s="13" t="inlineStr">
        <is>
          <t>الاستثمار</t>
        </is>
      </c>
      <c r="C66" s="13">
        <f>'الاستثمار'!C15</f>
        <v/>
      </c>
      <c r="D66" s="15">
        <f>'الاستثمار'!J15</f>
        <v/>
      </c>
      <c r="E66" s="13">
        <f>'الاستثمار'!K15</f>
        <v/>
      </c>
      <c r="F66" s="15">
        <f>'الاستثمار'!L15</f>
        <v/>
      </c>
      <c r="G66" s="56">
        <f>'الاستثمار'!N15</f>
        <v/>
      </c>
      <c r="H66" s="15">
        <f>'الاستثمار'!O15</f>
        <v/>
      </c>
      <c r="I66" s="24">
        <f>'الاستثمار'!G15</f>
        <v/>
      </c>
      <c r="J66" s="15">
        <f>IF($G66="",0,$G66*$I66)</f>
        <v/>
      </c>
      <c r="K66" s="15">
        <f>IF($G66="",0,$I66)</f>
        <v/>
      </c>
      <c r="L66" s="13">
        <f>'الاستثمار'!B15</f>
        <v/>
      </c>
    </row>
    <row r="67">
      <c r="A67" s="15" t="n">
        <v>66</v>
      </c>
      <c r="B67" s="13" t="inlineStr">
        <is>
          <t>الاستثمار</t>
        </is>
      </c>
      <c r="C67" s="13">
        <f>'الاستثمار'!C17</f>
        <v/>
      </c>
      <c r="D67" s="15">
        <f>'الاستثمار'!J17</f>
        <v/>
      </c>
      <c r="E67" s="13">
        <f>'الاستثمار'!K17</f>
        <v/>
      </c>
      <c r="F67" s="15">
        <f>'الاستثمار'!L17</f>
        <v/>
      </c>
      <c r="G67" s="56">
        <f>'الاستثمار'!N17</f>
        <v/>
      </c>
      <c r="H67" s="15">
        <f>'الاستثمار'!O17</f>
        <v/>
      </c>
      <c r="I67" s="24">
        <f>'الاستثمار'!G17</f>
        <v/>
      </c>
      <c r="J67" s="15">
        <f>IF($G67="",0,$G67*$I67)</f>
        <v/>
      </c>
      <c r="K67" s="15">
        <f>IF($G67="",0,$I67)</f>
        <v/>
      </c>
      <c r="L67" s="13">
        <f>'الاستثمار'!B17</f>
        <v/>
      </c>
    </row>
    <row r="68">
      <c r="A68" s="15" t="n">
        <v>67</v>
      </c>
      <c r="B68" s="13" t="inlineStr">
        <is>
          <t>الاستثمار</t>
        </is>
      </c>
      <c r="C68" s="13">
        <f>'الاستثمار'!C18</f>
        <v/>
      </c>
      <c r="D68" s="15">
        <f>'الاستثمار'!J18</f>
        <v/>
      </c>
      <c r="E68" s="13">
        <f>'الاستثمار'!K18</f>
        <v/>
      </c>
      <c r="F68" s="15">
        <f>'الاستثمار'!L18</f>
        <v/>
      </c>
      <c r="G68" s="56">
        <f>'الاستثمار'!N18</f>
        <v/>
      </c>
      <c r="H68" s="15">
        <f>'الاستثمار'!O18</f>
        <v/>
      </c>
      <c r="I68" s="24">
        <f>'الاستثمار'!G18</f>
        <v/>
      </c>
      <c r="J68" s="15">
        <f>IF($G68="",0,$G68*$I68)</f>
        <v/>
      </c>
      <c r="K68" s="15">
        <f>IF($G68="",0,$I68)</f>
        <v/>
      </c>
      <c r="L68" s="13">
        <f>'الاستثمار'!B18</f>
        <v/>
      </c>
    </row>
    <row r="69">
      <c r="A69" s="15" t="n">
        <v>68</v>
      </c>
      <c r="B69" s="13" t="inlineStr">
        <is>
          <t>الاستثمار</t>
        </is>
      </c>
      <c r="C69" s="13">
        <f>'الاستثمار'!C19</f>
        <v/>
      </c>
      <c r="D69" s="15">
        <f>'الاستثمار'!J19</f>
        <v/>
      </c>
      <c r="E69" s="13">
        <f>'الاستثمار'!K19</f>
        <v/>
      </c>
      <c r="F69" s="15">
        <f>'الاستثمار'!L19</f>
        <v/>
      </c>
      <c r="G69" s="56">
        <f>'الاستثمار'!N19</f>
        <v/>
      </c>
      <c r="H69" s="15">
        <f>'الاستثمار'!O19</f>
        <v/>
      </c>
      <c r="I69" s="24">
        <f>'الاستثمار'!G19</f>
        <v/>
      </c>
      <c r="J69" s="15">
        <f>IF($G69="",0,$G69*$I69)</f>
        <v/>
      </c>
      <c r="K69" s="15">
        <f>IF($G69="",0,$I69)</f>
        <v/>
      </c>
      <c r="L69" s="13">
        <f>'الاستثمار'!B19</f>
        <v/>
      </c>
    </row>
    <row r="70">
      <c r="A70" s="15" t="n">
        <v>69</v>
      </c>
      <c r="B70" s="13" t="inlineStr">
        <is>
          <t>الاستثمار</t>
        </is>
      </c>
      <c r="C70" s="13">
        <f>'الاستثمار'!C20</f>
        <v/>
      </c>
      <c r="D70" s="15">
        <f>'الاستثمار'!J20</f>
        <v/>
      </c>
      <c r="E70" s="13">
        <f>'الاستثمار'!K20</f>
        <v/>
      </c>
      <c r="F70" s="15">
        <f>'الاستثمار'!L20</f>
        <v/>
      </c>
      <c r="G70" s="56">
        <f>'الاستثمار'!N20</f>
        <v/>
      </c>
      <c r="H70" s="15">
        <f>'الاستثمار'!O20</f>
        <v/>
      </c>
      <c r="I70" s="24">
        <f>'الاستثمار'!G20</f>
        <v/>
      </c>
      <c r="J70" s="15">
        <f>IF($G70="",0,$G70*$I70)</f>
        <v/>
      </c>
      <c r="K70" s="15">
        <f>IF($G70="",0,$I70)</f>
        <v/>
      </c>
      <c r="L70" s="13">
        <f>'الاستثمار'!B20</f>
        <v/>
      </c>
    </row>
    <row r="71">
      <c r="A71" s="15" t="n">
        <v>70</v>
      </c>
      <c r="B71" s="13" t="inlineStr">
        <is>
          <t>الاستثمار</t>
        </is>
      </c>
      <c r="C71" s="13">
        <f>'الاستثمار'!C22</f>
        <v/>
      </c>
      <c r="D71" s="15">
        <f>'الاستثمار'!J22</f>
        <v/>
      </c>
      <c r="E71" s="13">
        <f>'الاستثمار'!K22</f>
        <v/>
      </c>
      <c r="F71" s="15">
        <f>'الاستثمار'!L22</f>
        <v/>
      </c>
      <c r="G71" s="56">
        <f>'الاستثمار'!N22</f>
        <v/>
      </c>
      <c r="H71" s="15">
        <f>'الاستثمار'!O22</f>
        <v/>
      </c>
      <c r="I71" s="24">
        <f>'الاستثمار'!G22</f>
        <v/>
      </c>
      <c r="J71" s="15">
        <f>IF($G71="",0,$G71*$I71)</f>
        <v/>
      </c>
      <c r="K71" s="15">
        <f>IF($G71="",0,$I71)</f>
        <v/>
      </c>
      <c r="L71" s="13">
        <f>'الاستثمار'!B22</f>
        <v/>
      </c>
    </row>
    <row r="72">
      <c r="A72" s="15" t="n">
        <v>71</v>
      </c>
      <c r="B72" s="13" t="inlineStr">
        <is>
          <t>الاستثمار</t>
        </is>
      </c>
      <c r="C72" s="13">
        <f>'الاستثمار'!C23</f>
        <v/>
      </c>
      <c r="D72" s="15">
        <f>'الاستثمار'!J23</f>
        <v/>
      </c>
      <c r="E72" s="13">
        <f>'الاستثمار'!K23</f>
        <v/>
      </c>
      <c r="F72" s="15">
        <f>'الاستثمار'!L23</f>
        <v/>
      </c>
      <c r="G72" s="56">
        <f>'الاستثمار'!N23</f>
        <v/>
      </c>
      <c r="H72" s="15">
        <f>'الاستثمار'!O23</f>
        <v/>
      </c>
      <c r="I72" s="24">
        <f>'الاستثمار'!G23</f>
        <v/>
      </c>
      <c r="J72" s="15">
        <f>IF($G72="",0,$G72*$I72)</f>
        <v/>
      </c>
      <c r="K72" s="15">
        <f>IF($G72="",0,$I72)</f>
        <v/>
      </c>
      <c r="L72" s="13">
        <f>'الاستثمار'!B23</f>
        <v/>
      </c>
    </row>
    <row r="73">
      <c r="A73" s="15" t="n">
        <v>72</v>
      </c>
      <c r="B73" s="13" t="inlineStr">
        <is>
          <t>الاستثمار</t>
        </is>
      </c>
      <c r="C73" s="13">
        <f>'الاستثمار'!C24</f>
        <v/>
      </c>
      <c r="D73" s="15">
        <f>'الاستثمار'!J24</f>
        <v/>
      </c>
      <c r="E73" s="13">
        <f>'الاستثمار'!K24</f>
        <v/>
      </c>
      <c r="F73" s="15">
        <f>'الاستثمار'!L24</f>
        <v/>
      </c>
      <c r="G73" s="56">
        <f>'الاستثمار'!N24</f>
        <v/>
      </c>
      <c r="H73" s="15">
        <f>'الاستثمار'!O24</f>
        <v/>
      </c>
      <c r="I73" s="24">
        <f>'الاستثمار'!G24</f>
        <v/>
      </c>
      <c r="J73" s="15">
        <f>IF($G73="",0,$G73*$I73)</f>
        <v/>
      </c>
      <c r="K73" s="15">
        <f>IF($G73="",0,$I73)</f>
        <v/>
      </c>
      <c r="L73" s="13">
        <f>'الاستثمار'!B24</f>
        <v/>
      </c>
    </row>
    <row r="74">
      <c r="A74" s="15" t="n">
        <v>73</v>
      </c>
      <c r="B74" s="13" t="inlineStr">
        <is>
          <t>الاستثمار</t>
        </is>
      </c>
      <c r="C74" s="13">
        <f>'الاستثمار'!C26</f>
        <v/>
      </c>
      <c r="D74" s="15">
        <f>'الاستثمار'!J26</f>
        <v/>
      </c>
      <c r="E74" s="13">
        <f>'الاستثمار'!K26</f>
        <v/>
      </c>
      <c r="F74" s="15">
        <f>'الاستثمار'!L26</f>
        <v/>
      </c>
      <c r="G74" s="56">
        <f>'الاستثمار'!N26</f>
        <v/>
      </c>
      <c r="H74" s="15">
        <f>'الاستثمار'!O26</f>
        <v/>
      </c>
      <c r="I74" s="24">
        <f>'الاستثمار'!G26</f>
        <v/>
      </c>
      <c r="J74" s="15">
        <f>IF($G74="",0,$G74*$I74)</f>
        <v/>
      </c>
      <c r="K74" s="15">
        <f>IF($G74="",0,$I74)</f>
        <v/>
      </c>
      <c r="L74" s="13">
        <f>'الاستثمار'!B26</f>
        <v/>
      </c>
    </row>
    <row r="75">
      <c r="A75" s="15" t="n">
        <v>74</v>
      </c>
      <c r="B75" s="13" t="inlineStr">
        <is>
          <t>الاستثمار</t>
        </is>
      </c>
      <c r="C75" s="13">
        <f>'الاستثمار'!C27</f>
        <v/>
      </c>
      <c r="D75" s="15">
        <f>'الاستثمار'!J27</f>
        <v/>
      </c>
      <c r="E75" s="13">
        <f>'الاستثمار'!K27</f>
        <v/>
      </c>
      <c r="F75" s="15">
        <f>'الاستثمار'!L27</f>
        <v/>
      </c>
      <c r="G75" s="56">
        <f>'الاستثمار'!N27</f>
        <v/>
      </c>
      <c r="H75" s="15">
        <f>'الاستثمار'!O27</f>
        <v/>
      </c>
      <c r="I75" s="24">
        <f>'الاستثمار'!G27</f>
        <v/>
      </c>
      <c r="J75" s="15">
        <f>IF($G75="",0,$G75*$I75)</f>
        <v/>
      </c>
      <c r="K75" s="15">
        <f>IF($G75="",0,$I75)</f>
        <v/>
      </c>
      <c r="L75" s="13">
        <f>'الاستثمار'!B27</f>
        <v/>
      </c>
    </row>
    <row r="76">
      <c r="A76" s="15" t="n">
        <v>75</v>
      </c>
      <c r="B76" s="13" t="inlineStr">
        <is>
          <t>الاستثمار</t>
        </is>
      </c>
      <c r="C76" s="13">
        <f>'الاستثمار'!C29</f>
        <v/>
      </c>
      <c r="D76" s="15">
        <f>'الاستثمار'!J29</f>
        <v/>
      </c>
      <c r="E76" s="13">
        <f>'الاستثمار'!K29</f>
        <v/>
      </c>
      <c r="F76" s="15">
        <f>'الاستثمار'!L29</f>
        <v/>
      </c>
      <c r="G76" s="56">
        <f>'الاستثمار'!N29</f>
        <v/>
      </c>
      <c r="H76" s="15">
        <f>'الاستثمار'!O29</f>
        <v/>
      </c>
      <c r="I76" s="24">
        <f>'الاستثمار'!G29</f>
        <v/>
      </c>
      <c r="J76" s="15">
        <f>IF($G76="",0,$G76*$I76)</f>
        <v/>
      </c>
      <c r="K76" s="15">
        <f>IF($G76="",0,$I76)</f>
        <v/>
      </c>
      <c r="L76" s="13">
        <f>'الاستثمار'!B29</f>
        <v/>
      </c>
    </row>
    <row r="77">
      <c r="A77" s="15" t="n">
        <v>76</v>
      </c>
      <c r="B77" s="13" t="inlineStr">
        <is>
          <t>الاستثمار</t>
        </is>
      </c>
      <c r="C77" s="13">
        <f>'الاستثمار'!C30</f>
        <v/>
      </c>
      <c r="D77" s="15">
        <f>'الاستثمار'!J30</f>
        <v/>
      </c>
      <c r="E77" s="13">
        <f>'الاستثمار'!K30</f>
        <v/>
      </c>
      <c r="F77" s="15">
        <f>'الاستثمار'!L30</f>
        <v/>
      </c>
      <c r="G77" s="56">
        <f>'الاستثمار'!N30</f>
        <v/>
      </c>
      <c r="H77" s="15">
        <f>'الاستثمار'!O30</f>
        <v/>
      </c>
      <c r="I77" s="24">
        <f>'الاستثمار'!G30</f>
        <v/>
      </c>
      <c r="J77" s="15">
        <f>IF($G77="",0,$G77*$I77)</f>
        <v/>
      </c>
      <c r="K77" s="15">
        <f>IF($G77="",0,$I77)</f>
        <v/>
      </c>
      <c r="L77" s="13">
        <f>'الاستثمار'!B30</f>
        <v/>
      </c>
    </row>
    <row r="78">
      <c r="A78" s="15" t="n">
        <v>77</v>
      </c>
      <c r="B78" s="13" t="inlineStr">
        <is>
          <t>الاستثمار</t>
        </is>
      </c>
      <c r="C78" s="13">
        <f>'الاستثمار'!C31</f>
        <v/>
      </c>
      <c r="D78" s="15">
        <f>'الاستثمار'!J31</f>
        <v/>
      </c>
      <c r="E78" s="13">
        <f>'الاستثمار'!K31</f>
        <v/>
      </c>
      <c r="F78" s="15">
        <f>'الاستثمار'!L31</f>
        <v/>
      </c>
      <c r="G78" s="56">
        <f>'الاستثمار'!N31</f>
        <v/>
      </c>
      <c r="H78" s="15">
        <f>'الاستثمار'!O31</f>
        <v/>
      </c>
      <c r="I78" s="24">
        <f>'الاستثمار'!G31</f>
        <v/>
      </c>
      <c r="J78" s="15">
        <f>IF($G78="",0,$G78*$I78)</f>
        <v/>
      </c>
      <c r="K78" s="15">
        <f>IF($G78="",0,$I78)</f>
        <v/>
      </c>
      <c r="L78" s="13">
        <f>'الاستثمار'!B31</f>
        <v/>
      </c>
    </row>
    <row r="79">
      <c r="A79" s="15" t="n">
        <v>78</v>
      </c>
      <c r="B79" s="13" t="inlineStr">
        <is>
          <t>الاستثمار</t>
        </is>
      </c>
      <c r="C79" s="13">
        <f>'الاستثمار'!C32</f>
        <v/>
      </c>
      <c r="D79" s="15">
        <f>'الاستثمار'!J32</f>
        <v/>
      </c>
      <c r="E79" s="13">
        <f>'الاستثمار'!K32</f>
        <v/>
      </c>
      <c r="F79" s="15">
        <f>'الاستثمار'!L32</f>
        <v/>
      </c>
      <c r="G79" s="56">
        <f>'الاستثمار'!N32</f>
        <v/>
      </c>
      <c r="H79" s="15">
        <f>'الاستثمار'!O32</f>
        <v/>
      </c>
      <c r="I79" s="24">
        <f>'الاستثمار'!G32</f>
        <v/>
      </c>
      <c r="J79" s="15">
        <f>IF($G79="",0,$G79*$I79)</f>
        <v/>
      </c>
      <c r="K79" s="15">
        <f>IF($G79="",0,$I79)</f>
        <v/>
      </c>
      <c r="L79" s="13">
        <f>'الاستثمار'!B32</f>
        <v/>
      </c>
    </row>
    <row r="80">
      <c r="A80" s="15" t="n">
        <v>79</v>
      </c>
      <c r="B80" s="13" t="inlineStr">
        <is>
          <t>الاستثمار</t>
        </is>
      </c>
      <c r="C80" s="13">
        <f>'الاستثمار'!C33</f>
        <v/>
      </c>
      <c r="D80" s="15">
        <f>'الاستثمار'!J33</f>
        <v/>
      </c>
      <c r="E80" s="13">
        <f>'الاستثمار'!K33</f>
        <v/>
      </c>
      <c r="F80" s="15">
        <f>'الاستثمار'!L33</f>
        <v/>
      </c>
      <c r="G80" s="56">
        <f>'الاستثمار'!N33</f>
        <v/>
      </c>
      <c r="H80" s="15">
        <f>'الاستثمار'!O33</f>
        <v/>
      </c>
      <c r="I80" s="24">
        <f>'الاستثمار'!G33</f>
        <v/>
      </c>
      <c r="J80" s="15">
        <f>IF($G80="",0,$G80*$I80)</f>
        <v/>
      </c>
      <c r="K80" s="15">
        <f>IF($G80="",0,$I80)</f>
        <v/>
      </c>
      <c r="L80" s="13">
        <f>'الاستثمار'!B33</f>
        <v/>
      </c>
    </row>
    <row r="81">
      <c r="A81" s="15" t="n">
        <v>80</v>
      </c>
      <c r="B81" s="13" t="inlineStr">
        <is>
          <t>العقار</t>
        </is>
      </c>
      <c r="C81" s="13">
        <f>'العقار'!C5</f>
        <v/>
      </c>
      <c r="D81" s="15">
        <f>'العقار'!J5</f>
        <v/>
      </c>
      <c r="E81" s="13">
        <f>'العقار'!K5</f>
        <v/>
      </c>
      <c r="F81" s="15">
        <f>'العقار'!L5</f>
        <v/>
      </c>
      <c r="G81" s="56">
        <f>'العقار'!N5</f>
        <v/>
      </c>
      <c r="H81" s="15">
        <f>'العقار'!O5</f>
        <v/>
      </c>
      <c r="I81" s="24">
        <f>'العقار'!G5</f>
        <v/>
      </c>
      <c r="J81" s="15">
        <f>IF($G81="",0,$G81*$I81)</f>
        <v/>
      </c>
      <c r="K81" s="15">
        <f>IF($G81="",0,$I81)</f>
        <v/>
      </c>
      <c r="L81" s="13">
        <f>'العقار'!B5</f>
        <v/>
      </c>
    </row>
    <row r="82">
      <c r="A82" s="15" t="n">
        <v>81</v>
      </c>
      <c r="B82" s="13" t="inlineStr">
        <is>
          <t>العقار</t>
        </is>
      </c>
      <c r="C82" s="13">
        <f>'العقار'!C6</f>
        <v/>
      </c>
      <c r="D82" s="15">
        <f>'العقار'!J6</f>
        <v/>
      </c>
      <c r="E82" s="13">
        <f>'العقار'!K6</f>
        <v/>
      </c>
      <c r="F82" s="15">
        <f>'العقار'!L6</f>
        <v/>
      </c>
      <c r="G82" s="56">
        <f>'العقار'!N6</f>
        <v/>
      </c>
      <c r="H82" s="15">
        <f>'العقار'!O6</f>
        <v/>
      </c>
      <c r="I82" s="24">
        <f>'العقار'!G6</f>
        <v/>
      </c>
      <c r="J82" s="15">
        <f>IF($G82="",0,$G82*$I82)</f>
        <v/>
      </c>
      <c r="K82" s="15">
        <f>IF($G82="",0,$I82)</f>
        <v/>
      </c>
      <c r="L82" s="13">
        <f>'العقار'!B6</f>
        <v/>
      </c>
    </row>
    <row r="83">
      <c r="A83" s="15" t="n">
        <v>82</v>
      </c>
      <c r="B83" s="13" t="inlineStr">
        <is>
          <t>العقار</t>
        </is>
      </c>
      <c r="C83" s="13">
        <f>'العقار'!C7</f>
        <v/>
      </c>
      <c r="D83" s="15">
        <f>'العقار'!J7</f>
        <v/>
      </c>
      <c r="E83" s="13">
        <f>'العقار'!K7</f>
        <v/>
      </c>
      <c r="F83" s="15">
        <f>'العقار'!L7</f>
        <v/>
      </c>
      <c r="G83" s="56">
        <f>'العقار'!N7</f>
        <v/>
      </c>
      <c r="H83" s="15">
        <f>'العقار'!O7</f>
        <v/>
      </c>
      <c r="I83" s="24">
        <f>'العقار'!G7</f>
        <v/>
      </c>
      <c r="J83" s="15">
        <f>IF($G83="",0,$G83*$I83)</f>
        <v/>
      </c>
      <c r="K83" s="15">
        <f>IF($G83="",0,$I83)</f>
        <v/>
      </c>
      <c r="L83" s="13">
        <f>'العقار'!B7</f>
        <v/>
      </c>
    </row>
    <row r="84">
      <c r="A84" s="15" t="n">
        <v>83</v>
      </c>
      <c r="B84" s="13" t="inlineStr">
        <is>
          <t>العقار</t>
        </is>
      </c>
      <c r="C84" s="13">
        <f>'العقار'!C9</f>
        <v/>
      </c>
      <c r="D84" s="15">
        <f>'العقار'!J9</f>
        <v/>
      </c>
      <c r="E84" s="13">
        <f>'العقار'!K9</f>
        <v/>
      </c>
      <c r="F84" s="15">
        <f>'العقار'!L9</f>
        <v/>
      </c>
      <c r="G84" s="56">
        <f>'العقار'!N9</f>
        <v/>
      </c>
      <c r="H84" s="15">
        <f>'العقار'!O9</f>
        <v/>
      </c>
      <c r="I84" s="24">
        <f>'العقار'!G9</f>
        <v/>
      </c>
      <c r="J84" s="15">
        <f>IF($G84="",0,$G84*$I84)</f>
        <v/>
      </c>
      <c r="K84" s="15">
        <f>IF($G84="",0,$I84)</f>
        <v/>
      </c>
      <c r="L84" s="13">
        <f>'العقار'!B9</f>
        <v/>
      </c>
    </row>
    <row r="85">
      <c r="A85" s="15" t="n">
        <v>84</v>
      </c>
      <c r="B85" s="13" t="inlineStr">
        <is>
          <t>العقار</t>
        </is>
      </c>
      <c r="C85" s="13">
        <f>'العقار'!C10</f>
        <v/>
      </c>
      <c r="D85" s="15">
        <f>'العقار'!J10</f>
        <v/>
      </c>
      <c r="E85" s="13">
        <f>'العقار'!K10</f>
        <v/>
      </c>
      <c r="F85" s="15">
        <f>'العقار'!L10</f>
        <v/>
      </c>
      <c r="G85" s="56">
        <f>'العقار'!N10</f>
        <v/>
      </c>
      <c r="H85" s="15">
        <f>'العقار'!O10</f>
        <v/>
      </c>
      <c r="I85" s="24">
        <f>'العقار'!G10</f>
        <v/>
      </c>
      <c r="J85" s="15">
        <f>IF($G85="",0,$G85*$I85)</f>
        <v/>
      </c>
      <c r="K85" s="15">
        <f>IF($G85="",0,$I85)</f>
        <v/>
      </c>
      <c r="L85" s="13">
        <f>'العقار'!B10</f>
        <v/>
      </c>
    </row>
    <row r="86">
      <c r="A86" s="15" t="n">
        <v>85</v>
      </c>
      <c r="B86" s="13" t="inlineStr">
        <is>
          <t>العقار</t>
        </is>
      </c>
      <c r="C86" s="13">
        <f>'العقار'!C11</f>
        <v/>
      </c>
      <c r="D86" s="15">
        <f>'العقار'!J11</f>
        <v/>
      </c>
      <c r="E86" s="13">
        <f>'العقار'!K11</f>
        <v/>
      </c>
      <c r="F86" s="15">
        <f>'العقار'!L11</f>
        <v/>
      </c>
      <c r="G86" s="56">
        <f>'العقار'!N11</f>
        <v/>
      </c>
      <c r="H86" s="15">
        <f>'العقار'!O11</f>
        <v/>
      </c>
      <c r="I86" s="24">
        <f>'العقار'!G11</f>
        <v/>
      </c>
      <c r="J86" s="15">
        <f>IF($G86="",0,$G86*$I86)</f>
        <v/>
      </c>
      <c r="K86" s="15">
        <f>IF($G86="",0,$I86)</f>
        <v/>
      </c>
      <c r="L86" s="13">
        <f>'العقار'!B11</f>
        <v/>
      </c>
    </row>
    <row r="87">
      <c r="A87" s="15" t="n">
        <v>86</v>
      </c>
      <c r="B87" s="13" t="inlineStr">
        <is>
          <t>العقار</t>
        </is>
      </c>
      <c r="C87" s="13">
        <f>'العقار'!C12</f>
        <v/>
      </c>
      <c r="D87" s="15">
        <f>'العقار'!J12</f>
        <v/>
      </c>
      <c r="E87" s="13">
        <f>'العقار'!K12</f>
        <v/>
      </c>
      <c r="F87" s="15">
        <f>'العقار'!L12</f>
        <v/>
      </c>
      <c r="G87" s="56">
        <f>'العقار'!N12</f>
        <v/>
      </c>
      <c r="H87" s="15">
        <f>'العقار'!O12</f>
        <v/>
      </c>
      <c r="I87" s="24">
        <f>'العقار'!G12</f>
        <v/>
      </c>
      <c r="J87" s="15">
        <f>IF($G87="",0,$G87*$I87)</f>
        <v/>
      </c>
      <c r="K87" s="15">
        <f>IF($G87="",0,$I87)</f>
        <v/>
      </c>
      <c r="L87" s="13">
        <f>'العقار'!B12</f>
        <v/>
      </c>
    </row>
    <row r="88">
      <c r="A88" s="15" t="n">
        <v>87</v>
      </c>
      <c r="B88" s="13" t="inlineStr">
        <is>
          <t>العقار</t>
        </is>
      </c>
      <c r="C88" s="13">
        <f>'العقار'!C13</f>
        <v/>
      </c>
      <c r="D88" s="15">
        <f>'العقار'!J13</f>
        <v/>
      </c>
      <c r="E88" s="13">
        <f>'العقار'!K13</f>
        <v/>
      </c>
      <c r="F88" s="15">
        <f>'العقار'!L13</f>
        <v/>
      </c>
      <c r="G88" s="56">
        <f>'العقار'!N13</f>
        <v/>
      </c>
      <c r="H88" s="15">
        <f>'العقار'!O13</f>
        <v/>
      </c>
      <c r="I88" s="24">
        <f>'العقار'!G13</f>
        <v/>
      </c>
      <c r="J88" s="15">
        <f>IF($G88="",0,$G88*$I88)</f>
        <v/>
      </c>
      <c r="K88" s="15">
        <f>IF($G88="",0,$I88)</f>
        <v/>
      </c>
      <c r="L88" s="13">
        <f>'العقار'!B13</f>
        <v/>
      </c>
    </row>
    <row r="89">
      <c r="A89" s="15" t="n">
        <v>88</v>
      </c>
      <c r="B89" s="13" t="inlineStr">
        <is>
          <t>العقار</t>
        </is>
      </c>
      <c r="C89" s="13">
        <f>'العقار'!C15</f>
        <v/>
      </c>
      <c r="D89" s="15">
        <f>'العقار'!J15</f>
        <v/>
      </c>
      <c r="E89" s="13">
        <f>'العقار'!K15</f>
        <v/>
      </c>
      <c r="F89" s="15">
        <f>'العقار'!L15</f>
        <v/>
      </c>
      <c r="G89" s="56">
        <f>'العقار'!N15</f>
        <v/>
      </c>
      <c r="H89" s="15">
        <f>'العقار'!O15</f>
        <v/>
      </c>
      <c r="I89" s="24">
        <f>'العقار'!G15</f>
        <v/>
      </c>
      <c r="J89" s="15">
        <f>IF($G89="",0,$G89*$I89)</f>
        <v/>
      </c>
      <c r="K89" s="15">
        <f>IF($G89="",0,$I89)</f>
        <v/>
      </c>
      <c r="L89" s="13">
        <f>'العقار'!B15</f>
        <v/>
      </c>
    </row>
    <row r="90">
      <c r="A90" s="15" t="n">
        <v>89</v>
      </c>
      <c r="B90" s="13" t="inlineStr">
        <is>
          <t>العقار</t>
        </is>
      </c>
      <c r="C90" s="13">
        <f>'العقار'!C16</f>
        <v/>
      </c>
      <c r="D90" s="15">
        <f>'العقار'!J16</f>
        <v/>
      </c>
      <c r="E90" s="13">
        <f>'العقار'!K16</f>
        <v/>
      </c>
      <c r="F90" s="15">
        <f>'العقار'!L16</f>
        <v/>
      </c>
      <c r="G90" s="56">
        <f>'العقار'!N16</f>
        <v/>
      </c>
      <c r="H90" s="15">
        <f>'العقار'!O16</f>
        <v/>
      </c>
      <c r="I90" s="24">
        <f>'العقار'!G16</f>
        <v/>
      </c>
      <c r="J90" s="15">
        <f>IF($G90="",0,$G90*$I90)</f>
        <v/>
      </c>
      <c r="K90" s="15">
        <f>IF($G90="",0,$I90)</f>
        <v/>
      </c>
      <c r="L90" s="13">
        <f>'العقار'!B16</f>
        <v/>
      </c>
    </row>
    <row r="91">
      <c r="A91" s="15" t="n">
        <v>90</v>
      </c>
      <c r="B91" s="13" t="inlineStr">
        <is>
          <t>العقار</t>
        </is>
      </c>
      <c r="C91" s="13">
        <f>'العقار'!C17</f>
        <v/>
      </c>
      <c r="D91" s="15">
        <f>'العقار'!J17</f>
        <v/>
      </c>
      <c r="E91" s="13">
        <f>'العقار'!K17</f>
        <v/>
      </c>
      <c r="F91" s="15">
        <f>'العقار'!L17</f>
        <v/>
      </c>
      <c r="G91" s="56">
        <f>'العقار'!N17</f>
        <v/>
      </c>
      <c r="H91" s="15">
        <f>'العقار'!O17</f>
        <v/>
      </c>
      <c r="I91" s="24">
        <f>'العقار'!G17</f>
        <v/>
      </c>
      <c r="J91" s="15">
        <f>IF($G91="",0,$G91*$I91)</f>
        <v/>
      </c>
      <c r="K91" s="15">
        <f>IF($G91="",0,$I91)</f>
        <v/>
      </c>
      <c r="L91" s="13">
        <f>'العقار'!B17</f>
        <v/>
      </c>
    </row>
    <row r="92">
      <c r="A92" s="15" t="n">
        <v>91</v>
      </c>
      <c r="B92" s="13" t="inlineStr">
        <is>
          <t>العقار</t>
        </is>
      </c>
      <c r="C92" s="13">
        <f>'العقار'!C18</f>
        <v/>
      </c>
      <c r="D92" s="15">
        <f>'العقار'!J18</f>
        <v/>
      </c>
      <c r="E92" s="13">
        <f>'العقار'!K18</f>
        <v/>
      </c>
      <c r="F92" s="15">
        <f>'العقار'!L18</f>
        <v/>
      </c>
      <c r="G92" s="56">
        <f>'العقار'!N18</f>
        <v/>
      </c>
      <c r="H92" s="15">
        <f>'العقار'!O18</f>
        <v/>
      </c>
      <c r="I92" s="24">
        <f>'العقار'!G18</f>
        <v/>
      </c>
      <c r="J92" s="15">
        <f>IF($G92="",0,$G92*$I92)</f>
        <v/>
      </c>
      <c r="K92" s="15">
        <f>IF($G92="",0,$I92)</f>
        <v/>
      </c>
      <c r="L92" s="13">
        <f>'العقار'!B18</f>
        <v/>
      </c>
    </row>
    <row r="93">
      <c r="A93" s="15" t="n">
        <v>92</v>
      </c>
      <c r="B93" s="13" t="inlineStr">
        <is>
          <t>العقار</t>
        </is>
      </c>
      <c r="C93" s="13">
        <f>'العقار'!C20</f>
        <v/>
      </c>
      <c r="D93" s="15">
        <f>'العقار'!J20</f>
        <v/>
      </c>
      <c r="E93" s="13">
        <f>'العقار'!K20</f>
        <v/>
      </c>
      <c r="F93" s="15">
        <f>'العقار'!L20</f>
        <v/>
      </c>
      <c r="G93" s="56">
        <f>'العقار'!N20</f>
        <v/>
      </c>
      <c r="H93" s="15">
        <f>'العقار'!O20</f>
        <v/>
      </c>
      <c r="I93" s="24">
        <f>'العقار'!G20</f>
        <v/>
      </c>
      <c r="J93" s="15">
        <f>IF($G93="",0,$G93*$I93)</f>
        <v/>
      </c>
      <c r="K93" s="15">
        <f>IF($G93="",0,$I93)</f>
        <v/>
      </c>
      <c r="L93" s="13">
        <f>'العقار'!B20</f>
        <v/>
      </c>
    </row>
    <row r="94">
      <c r="A94" s="15" t="n">
        <v>93</v>
      </c>
      <c r="B94" s="13" t="inlineStr">
        <is>
          <t>العقار</t>
        </is>
      </c>
      <c r="C94" s="13">
        <f>'العقار'!C21</f>
        <v/>
      </c>
      <c r="D94" s="15">
        <f>'العقار'!J21</f>
        <v/>
      </c>
      <c r="E94" s="13">
        <f>'العقار'!K21</f>
        <v/>
      </c>
      <c r="F94" s="15">
        <f>'العقار'!L21</f>
        <v/>
      </c>
      <c r="G94" s="56">
        <f>'العقار'!N21</f>
        <v/>
      </c>
      <c r="H94" s="15">
        <f>'العقار'!O21</f>
        <v/>
      </c>
      <c r="I94" s="24">
        <f>'العقار'!G21</f>
        <v/>
      </c>
      <c r="J94" s="15">
        <f>IF($G94="",0,$G94*$I94)</f>
        <v/>
      </c>
      <c r="K94" s="15">
        <f>IF($G94="",0,$I94)</f>
        <v/>
      </c>
      <c r="L94" s="13">
        <f>'العقار'!B21</f>
        <v/>
      </c>
    </row>
    <row r="95">
      <c r="A95" s="15" t="n">
        <v>94</v>
      </c>
      <c r="B95" s="13" t="inlineStr">
        <is>
          <t>العقار</t>
        </is>
      </c>
      <c r="C95" s="13">
        <f>'العقار'!C23</f>
        <v/>
      </c>
      <c r="D95" s="15">
        <f>'العقار'!J23</f>
        <v/>
      </c>
      <c r="E95" s="13">
        <f>'العقار'!K23</f>
        <v/>
      </c>
      <c r="F95" s="15">
        <f>'العقار'!L23</f>
        <v/>
      </c>
      <c r="G95" s="56">
        <f>'العقار'!N23</f>
        <v/>
      </c>
      <c r="H95" s="15">
        <f>'العقار'!O23</f>
        <v/>
      </c>
      <c r="I95" s="24">
        <f>'العقار'!G23</f>
        <v/>
      </c>
      <c r="J95" s="15">
        <f>IF($G95="",0,$G95*$I95)</f>
        <v/>
      </c>
      <c r="K95" s="15">
        <f>IF($G95="",0,$I95)</f>
        <v/>
      </c>
      <c r="L95" s="13">
        <f>'العقار'!B23</f>
        <v/>
      </c>
    </row>
    <row r="96">
      <c r="A96" s="15" t="n">
        <v>95</v>
      </c>
      <c r="B96" s="13" t="inlineStr">
        <is>
          <t>العقار</t>
        </is>
      </c>
      <c r="C96" s="13">
        <f>'العقار'!C24</f>
        <v/>
      </c>
      <c r="D96" s="15">
        <f>'العقار'!J24</f>
        <v/>
      </c>
      <c r="E96" s="13">
        <f>'العقار'!K24</f>
        <v/>
      </c>
      <c r="F96" s="15">
        <f>'العقار'!L24</f>
        <v/>
      </c>
      <c r="G96" s="56">
        <f>'العقار'!N24</f>
        <v/>
      </c>
      <c r="H96" s="15">
        <f>'العقار'!O24</f>
        <v/>
      </c>
      <c r="I96" s="24">
        <f>'العقار'!G24</f>
        <v/>
      </c>
      <c r="J96" s="15">
        <f>IF($G96="",0,$G96*$I96)</f>
        <v/>
      </c>
      <c r="K96" s="15">
        <f>IF($G96="",0,$I96)</f>
        <v/>
      </c>
      <c r="L96" s="13">
        <f>'العقار'!B24</f>
        <v/>
      </c>
    </row>
    <row r="97">
      <c r="A97" s="15" t="n">
        <v>96</v>
      </c>
      <c r="B97" s="13" t="inlineStr">
        <is>
          <t>إدارة المشاريع</t>
        </is>
      </c>
      <c r="C97" s="13">
        <f>'إدارة المشاريع'!C5</f>
        <v/>
      </c>
      <c r="D97" s="15">
        <f>'إدارة المشاريع'!J5</f>
        <v/>
      </c>
      <c r="E97" s="13">
        <f>'إدارة المشاريع'!K5</f>
        <v/>
      </c>
      <c r="F97" s="15">
        <f>'إدارة المشاريع'!L5</f>
        <v/>
      </c>
      <c r="G97" s="56">
        <f>'إدارة المشاريع'!N5</f>
        <v/>
      </c>
      <c r="H97" s="15">
        <f>'إدارة المشاريع'!O5</f>
        <v/>
      </c>
      <c r="I97" s="24">
        <f>'إدارة المشاريع'!G5</f>
        <v/>
      </c>
      <c r="J97" s="15">
        <f>IF($G97="",0,$G97*$I97)</f>
        <v/>
      </c>
      <c r="K97" s="15">
        <f>IF($G97="",0,$I97)</f>
        <v/>
      </c>
      <c r="L97" s="13">
        <f>'إدارة المشاريع'!B5</f>
        <v/>
      </c>
    </row>
    <row r="98">
      <c r="A98" s="15" t="n">
        <v>97</v>
      </c>
      <c r="B98" s="13" t="inlineStr">
        <is>
          <t>إدارة المشاريع</t>
        </is>
      </c>
      <c r="C98" s="13">
        <f>'إدارة المشاريع'!C6</f>
        <v/>
      </c>
      <c r="D98" s="15">
        <f>'إدارة المشاريع'!J6</f>
        <v/>
      </c>
      <c r="E98" s="13">
        <f>'إدارة المشاريع'!K6</f>
        <v/>
      </c>
      <c r="F98" s="15">
        <f>'إدارة المشاريع'!L6</f>
        <v/>
      </c>
      <c r="G98" s="56">
        <f>'إدارة المشاريع'!N6</f>
        <v/>
      </c>
      <c r="H98" s="15">
        <f>'إدارة المشاريع'!O6</f>
        <v/>
      </c>
      <c r="I98" s="24">
        <f>'إدارة المشاريع'!G6</f>
        <v/>
      </c>
      <c r="J98" s="15">
        <f>IF($G98="",0,$G98*$I98)</f>
        <v/>
      </c>
      <c r="K98" s="15">
        <f>IF($G98="",0,$I98)</f>
        <v/>
      </c>
      <c r="L98" s="13">
        <f>'إدارة المشاريع'!B6</f>
        <v/>
      </c>
    </row>
    <row r="99">
      <c r="A99" s="15" t="n">
        <v>98</v>
      </c>
      <c r="B99" s="13" t="inlineStr">
        <is>
          <t>إدارة المشاريع</t>
        </is>
      </c>
      <c r="C99" s="13">
        <f>'إدارة المشاريع'!C7</f>
        <v/>
      </c>
      <c r="D99" s="15">
        <f>'إدارة المشاريع'!J7</f>
        <v/>
      </c>
      <c r="E99" s="13">
        <f>'إدارة المشاريع'!K7</f>
        <v/>
      </c>
      <c r="F99" s="15">
        <f>'إدارة المشاريع'!L7</f>
        <v/>
      </c>
      <c r="G99" s="56">
        <f>'إدارة المشاريع'!N7</f>
        <v/>
      </c>
      <c r="H99" s="15">
        <f>'إدارة المشاريع'!O7</f>
        <v/>
      </c>
      <c r="I99" s="24">
        <f>'إدارة المشاريع'!G7</f>
        <v/>
      </c>
      <c r="J99" s="15">
        <f>IF($G99="",0,$G99*$I99)</f>
        <v/>
      </c>
      <c r="K99" s="15">
        <f>IF($G99="",0,$I99)</f>
        <v/>
      </c>
      <c r="L99" s="13">
        <f>'إدارة المشاريع'!B7</f>
        <v/>
      </c>
    </row>
    <row r="100">
      <c r="A100" s="15" t="n">
        <v>99</v>
      </c>
      <c r="B100" s="13" t="inlineStr">
        <is>
          <t>إدارة المشاريع</t>
        </is>
      </c>
      <c r="C100" s="13">
        <f>'إدارة المشاريع'!C8</f>
        <v/>
      </c>
      <c r="D100" s="15">
        <f>'إدارة المشاريع'!J8</f>
        <v/>
      </c>
      <c r="E100" s="13">
        <f>'إدارة المشاريع'!K8</f>
        <v/>
      </c>
      <c r="F100" s="15">
        <f>'إدارة المشاريع'!L8</f>
        <v/>
      </c>
      <c r="G100" s="56">
        <f>'إدارة المشاريع'!N8</f>
        <v/>
      </c>
      <c r="H100" s="15">
        <f>'إدارة المشاريع'!O8</f>
        <v/>
      </c>
      <c r="I100" s="24">
        <f>'إدارة المشاريع'!G8</f>
        <v/>
      </c>
      <c r="J100" s="15">
        <f>IF($G100="",0,$G100*$I100)</f>
        <v/>
      </c>
      <c r="K100" s="15">
        <f>IF($G100="",0,$I100)</f>
        <v/>
      </c>
      <c r="L100" s="13">
        <f>'إدارة المشاريع'!B8</f>
        <v/>
      </c>
    </row>
    <row r="101">
      <c r="A101" s="15" t="n">
        <v>100</v>
      </c>
      <c r="B101" s="13" t="inlineStr">
        <is>
          <t>إدارة المشاريع</t>
        </is>
      </c>
      <c r="C101" s="13">
        <f>'إدارة المشاريع'!C10</f>
        <v/>
      </c>
      <c r="D101" s="15">
        <f>'إدارة المشاريع'!J10</f>
        <v/>
      </c>
      <c r="E101" s="13">
        <f>'إدارة المشاريع'!K10</f>
        <v/>
      </c>
      <c r="F101" s="15">
        <f>'إدارة المشاريع'!L10</f>
        <v/>
      </c>
      <c r="G101" s="56">
        <f>'إدارة المشاريع'!N10</f>
        <v/>
      </c>
      <c r="H101" s="15">
        <f>'إدارة المشاريع'!O10</f>
        <v/>
      </c>
      <c r="I101" s="24">
        <f>'إدارة المشاريع'!G10</f>
        <v/>
      </c>
      <c r="J101" s="15">
        <f>IF($G101="",0,$G101*$I101)</f>
        <v/>
      </c>
      <c r="K101" s="15">
        <f>IF($G101="",0,$I101)</f>
        <v/>
      </c>
      <c r="L101" s="13">
        <f>'إدارة المشاريع'!B10</f>
        <v/>
      </c>
    </row>
    <row r="102">
      <c r="A102" s="15" t="n">
        <v>101</v>
      </c>
      <c r="B102" s="13" t="inlineStr">
        <is>
          <t>إدارة المشاريع</t>
        </is>
      </c>
      <c r="C102" s="13">
        <f>'إدارة المشاريع'!C11</f>
        <v/>
      </c>
      <c r="D102" s="15">
        <f>'إدارة المشاريع'!J11</f>
        <v/>
      </c>
      <c r="E102" s="13">
        <f>'إدارة المشاريع'!K11</f>
        <v/>
      </c>
      <c r="F102" s="15">
        <f>'إدارة المشاريع'!L11</f>
        <v/>
      </c>
      <c r="G102" s="56">
        <f>'إدارة المشاريع'!N11</f>
        <v/>
      </c>
      <c r="H102" s="15">
        <f>'إدارة المشاريع'!O11</f>
        <v/>
      </c>
      <c r="I102" s="24">
        <f>'إدارة المشاريع'!G11</f>
        <v/>
      </c>
      <c r="J102" s="15">
        <f>IF($G102="",0,$G102*$I102)</f>
        <v/>
      </c>
      <c r="K102" s="15">
        <f>IF($G102="",0,$I102)</f>
        <v/>
      </c>
      <c r="L102" s="13">
        <f>'إدارة المشاريع'!B11</f>
        <v/>
      </c>
    </row>
    <row r="103">
      <c r="A103" s="15" t="n">
        <v>102</v>
      </c>
      <c r="B103" s="13" t="inlineStr">
        <is>
          <t>إدارة المشاريع</t>
        </is>
      </c>
      <c r="C103" s="13">
        <f>'إدارة المشاريع'!C12</f>
        <v/>
      </c>
      <c r="D103" s="15">
        <f>'إدارة المشاريع'!J12</f>
        <v/>
      </c>
      <c r="E103" s="13">
        <f>'إدارة المشاريع'!K12</f>
        <v/>
      </c>
      <c r="F103" s="15">
        <f>'إدارة المشاريع'!L12</f>
        <v/>
      </c>
      <c r="G103" s="56">
        <f>'إدارة المشاريع'!N12</f>
        <v/>
      </c>
      <c r="H103" s="15">
        <f>'إدارة المشاريع'!O12</f>
        <v/>
      </c>
      <c r="I103" s="24">
        <f>'إدارة المشاريع'!G12</f>
        <v/>
      </c>
      <c r="J103" s="15">
        <f>IF($G103="",0,$G103*$I103)</f>
        <v/>
      </c>
      <c r="K103" s="15">
        <f>IF($G103="",0,$I103)</f>
        <v/>
      </c>
      <c r="L103" s="13">
        <f>'إدارة المشاريع'!B12</f>
        <v/>
      </c>
    </row>
    <row r="104">
      <c r="A104" s="15" t="n">
        <v>103</v>
      </c>
      <c r="B104" s="13" t="inlineStr">
        <is>
          <t>إدارة المشاريع</t>
        </is>
      </c>
      <c r="C104" s="13">
        <f>'إدارة المشاريع'!C13</f>
        <v/>
      </c>
      <c r="D104" s="15">
        <f>'إدارة المشاريع'!J13</f>
        <v/>
      </c>
      <c r="E104" s="13">
        <f>'إدارة المشاريع'!K13</f>
        <v/>
      </c>
      <c r="F104" s="15">
        <f>'إدارة المشاريع'!L13</f>
        <v/>
      </c>
      <c r="G104" s="56">
        <f>'إدارة المشاريع'!N13</f>
        <v/>
      </c>
      <c r="H104" s="15">
        <f>'إدارة المشاريع'!O13</f>
        <v/>
      </c>
      <c r="I104" s="24">
        <f>'إدارة المشاريع'!G13</f>
        <v/>
      </c>
      <c r="J104" s="15">
        <f>IF($G104="",0,$G104*$I104)</f>
        <v/>
      </c>
      <c r="K104" s="15">
        <f>IF($G104="",0,$I104)</f>
        <v/>
      </c>
      <c r="L104" s="13">
        <f>'إدارة المشاريع'!B13</f>
        <v/>
      </c>
    </row>
    <row r="105">
      <c r="A105" s="15" t="n">
        <v>104</v>
      </c>
      <c r="B105" s="13" t="inlineStr">
        <is>
          <t>إدارة المشاريع</t>
        </is>
      </c>
      <c r="C105" s="13">
        <f>'إدارة المشاريع'!C14</f>
        <v/>
      </c>
      <c r="D105" s="15">
        <f>'إدارة المشاريع'!J14</f>
        <v/>
      </c>
      <c r="E105" s="13">
        <f>'إدارة المشاريع'!K14</f>
        <v/>
      </c>
      <c r="F105" s="15">
        <f>'إدارة المشاريع'!L14</f>
        <v/>
      </c>
      <c r="G105" s="56">
        <f>'إدارة المشاريع'!N14</f>
        <v/>
      </c>
      <c r="H105" s="15">
        <f>'إدارة المشاريع'!O14</f>
        <v/>
      </c>
      <c r="I105" s="24">
        <f>'إدارة المشاريع'!G14</f>
        <v/>
      </c>
      <c r="J105" s="15">
        <f>IF($G105="",0,$G105*$I105)</f>
        <v/>
      </c>
      <c r="K105" s="15">
        <f>IF($G105="",0,$I105)</f>
        <v/>
      </c>
      <c r="L105" s="13">
        <f>'إدارة المشاريع'!B14</f>
        <v/>
      </c>
    </row>
    <row r="106">
      <c r="A106" s="15" t="n">
        <v>105</v>
      </c>
      <c r="B106" s="13" t="inlineStr">
        <is>
          <t>إدارة المشاريع</t>
        </is>
      </c>
      <c r="C106" s="13">
        <f>'إدارة المشاريع'!C16</f>
        <v/>
      </c>
      <c r="D106" s="15">
        <f>'إدارة المشاريع'!J16</f>
        <v/>
      </c>
      <c r="E106" s="13">
        <f>'إدارة المشاريع'!K16</f>
        <v/>
      </c>
      <c r="F106" s="15">
        <f>'إدارة المشاريع'!L16</f>
        <v/>
      </c>
      <c r="G106" s="56">
        <f>'إدارة المشاريع'!N16</f>
        <v/>
      </c>
      <c r="H106" s="15">
        <f>'إدارة المشاريع'!O16</f>
        <v/>
      </c>
      <c r="I106" s="24">
        <f>'إدارة المشاريع'!G16</f>
        <v/>
      </c>
      <c r="J106" s="15">
        <f>IF($G106="",0,$G106*$I106)</f>
        <v/>
      </c>
      <c r="K106" s="15">
        <f>IF($G106="",0,$I106)</f>
        <v/>
      </c>
      <c r="L106" s="13">
        <f>'إدارة المشاريع'!B16</f>
        <v/>
      </c>
    </row>
    <row r="107">
      <c r="A107" s="15" t="n">
        <v>106</v>
      </c>
      <c r="B107" s="13" t="inlineStr">
        <is>
          <t>إدارة المشاريع</t>
        </is>
      </c>
      <c r="C107" s="13">
        <f>'إدارة المشاريع'!C17</f>
        <v/>
      </c>
      <c r="D107" s="15">
        <f>'إدارة المشاريع'!J17</f>
        <v/>
      </c>
      <c r="E107" s="13">
        <f>'إدارة المشاريع'!K17</f>
        <v/>
      </c>
      <c r="F107" s="15">
        <f>'إدارة المشاريع'!L17</f>
        <v/>
      </c>
      <c r="G107" s="56">
        <f>'إدارة المشاريع'!N17</f>
        <v/>
      </c>
      <c r="H107" s="15">
        <f>'إدارة المشاريع'!O17</f>
        <v/>
      </c>
      <c r="I107" s="24">
        <f>'إدارة المشاريع'!G17</f>
        <v/>
      </c>
      <c r="J107" s="15">
        <f>IF($G107="",0,$G107*$I107)</f>
        <v/>
      </c>
      <c r="K107" s="15">
        <f>IF($G107="",0,$I107)</f>
        <v/>
      </c>
      <c r="L107" s="13">
        <f>'إدارة المشاريع'!B17</f>
        <v/>
      </c>
    </row>
    <row r="108">
      <c r="A108" s="15" t="n">
        <v>107</v>
      </c>
      <c r="B108" s="13" t="inlineStr">
        <is>
          <t>إدارة المشاريع</t>
        </is>
      </c>
      <c r="C108" s="13">
        <f>'إدارة المشاريع'!C18</f>
        <v/>
      </c>
      <c r="D108" s="15">
        <f>'إدارة المشاريع'!J18</f>
        <v/>
      </c>
      <c r="E108" s="13">
        <f>'إدارة المشاريع'!K18</f>
        <v/>
      </c>
      <c r="F108" s="15">
        <f>'إدارة المشاريع'!L18</f>
        <v/>
      </c>
      <c r="G108" s="56">
        <f>'إدارة المشاريع'!N18</f>
        <v/>
      </c>
      <c r="H108" s="15">
        <f>'إدارة المشاريع'!O18</f>
        <v/>
      </c>
      <c r="I108" s="24">
        <f>'إدارة المشاريع'!G18</f>
        <v/>
      </c>
      <c r="J108" s="15">
        <f>IF($G108="",0,$G108*$I108)</f>
        <v/>
      </c>
      <c r="K108" s="15">
        <f>IF($G108="",0,$I108)</f>
        <v/>
      </c>
      <c r="L108" s="13">
        <f>'إدارة المشاريع'!B18</f>
        <v/>
      </c>
    </row>
    <row r="109">
      <c r="A109" s="15" t="n">
        <v>108</v>
      </c>
      <c r="B109" s="13" t="inlineStr">
        <is>
          <t>إدارة المشاريع</t>
        </is>
      </c>
      <c r="C109" s="13">
        <f>'إدارة المشاريع'!C20</f>
        <v/>
      </c>
      <c r="D109" s="15">
        <f>'إدارة المشاريع'!J20</f>
        <v/>
      </c>
      <c r="E109" s="13">
        <f>'إدارة المشاريع'!K20</f>
        <v/>
      </c>
      <c r="F109" s="15">
        <f>'إدارة المشاريع'!L20</f>
        <v/>
      </c>
      <c r="G109" s="56">
        <f>'إدارة المشاريع'!N20</f>
        <v/>
      </c>
      <c r="H109" s="15">
        <f>'إدارة المشاريع'!O20</f>
        <v/>
      </c>
      <c r="I109" s="24">
        <f>'إدارة المشاريع'!G20</f>
        <v/>
      </c>
      <c r="J109" s="15">
        <f>IF($G109="",0,$G109*$I109)</f>
        <v/>
      </c>
      <c r="K109" s="15">
        <f>IF($G109="",0,$I109)</f>
        <v/>
      </c>
      <c r="L109" s="13">
        <f>'إدارة المشاريع'!B20</f>
        <v/>
      </c>
    </row>
    <row r="110">
      <c r="A110" s="15" t="n">
        <v>109</v>
      </c>
      <c r="B110" s="13" t="inlineStr">
        <is>
          <t>إدارة المشاريع</t>
        </is>
      </c>
      <c r="C110" s="13">
        <f>'إدارة المشاريع'!C21</f>
        <v/>
      </c>
      <c r="D110" s="15">
        <f>'إدارة المشاريع'!J21</f>
        <v/>
      </c>
      <c r="E110" s="13">
        <f>'إدارة المشاريع'!K21</f>
        <v/>
      </c>
      <c r="F110" s="15">
        <f>'إدارة المشاريع'!L21</f>
        <v/>
      </c>
      <c r="G110" s="56">
        <f>'إدارة المشاريع'!N21</f>
        <v/>
      </c>
      <c r="H110" s="15">
        <f>'إدارة المشاريع'!O21</f>
        <v/>
      </c>
      <c r="I110" s="24">
        <f>'إدارة المشاريع'!G21</f>
        <v/>
      </c>
      <c r="J110" s="15">
        <f>IF($G110="",0,$G110*$I110)</f>
        <v/>
      </c>
      <c r="K110" s="15">
        <f>IF($G110="",0,$I110)</f>
        <v/>
      </c>
      <c r="L110" s="13">
        <f>'إدارة المشاريع'!B21</f>
        <v/>
      </c>
    </row>
    <row r="111">
      <c r="A111" s="15" t="n">
        <v>110</v>
      </c>
      <c r="B111" s="13" t="inlineStr">
        <is>
          <t>إدارة المشاريع</t>
        </is>
      </c>
      <c r="C111" s="13">
        <f>'إدارة المشاريع'!C22</f>
        <v/>
      </c>
      <c r="D111" s="15">
        <f>'إدارة المشاريع'!J22</f>
        <v/>
      </c>
      <c r="E111" s="13">
        <f>'إدارة المشاريع'!K22</f>
        <v/>
      </c>
      <c r="F111" s="15">
        <f>'إدارة المشاريع'!L22</f>
        <v/>
      </c>
      <c r="G111" s="56">
        <f>'إدارة المشاريع'!N22</f>
        <v/>
      </c>
      <c r="H111" s="15">
        <f>'إدارة المشاريع'!O22</f>
        <v/>
      </c>
      <c r="I111" s="24">
        <f>'إدارة المشاريع'!G22</f>
        <v/>
      </c>
      <c r="J111" s="15">
        <f>IF($G111="",0,$G111*$I111)</f>
        <v/>
      </c>
      <c r="K111" s="15">
        <f>IF($G111="",0,$I111)</f>
        <v/>
      </c>
      <c r="L111" s="13">
        <f>'إدارة المشاريع'!B22</f>
        <v/>
      </c>
    </row>
    <row r="112">
      <c r="A112" s="15" t="n">
        <v>111</v>
      </c>
      <c r="B112" s="13" t="inlineStr">
        <is>
          <t>سلاسل الإمداد</t>
        </is>
      </c>
      <c r="C112" s="13">
        <f>'سلاسل الإمداد'!C5</f>
        <v/>
      </c>
      <c r="D112" s="15">
        <f>'سلاسل الإمداد'!J5</f>
        <v/>
      </c>
      <c r="E112" s="13">
        <f>'سلاسل الإمداد'!K5</f>
        <v/>
      </c>
      <c r="F112" s="15">
        <f>'سلاسل الإمداد'!L5</f>
        <v/>
      </c>
      <c r="G112" s="56">
        <f>'سلاسل الإمداد'!N5</f>
        <v/>
      </c>
      <c r="H112" s="15">
        <f>'سلاسل الإمداد'!O5</f>
        <v/>
      </c>
      <c r="I112" s="24">
        <f>'سلاسل الإمداد'!G5</f>
        <v/>
      </c>
      <c r="J112" s="15">
        <f>IF($G112="",0,$G112*$I112)</f>
        <v/>
      </c>
      <c r="K112" s="15">
        <f>IF($G112="",0,$I112)</f>
        <v/>
      </c>
      <c r="L112" s="13">
        <f>'سلاسل الإمداد'!B5</f>
        <v/>
      </c>
    </row>
    <row r="113">
      <c r="A113" s="15" t="n">
        <v>112</v>
      </c>
      <c r="B113" s="13" t="inlineStr">
        <is>
          <t>سلاسل الإمداد</t>
        </is>
      </c>
      <c r="C113" s="13">
        <f>'سلاسل الإمداد'!C6</f>
        <v/>
      </c>
      <c r="D113" s="15">
        <f>'سلاسل الإمداد'!J6</f>
        <v/>
      </c>
      <c r="E113" s="13">
        <f>'سلاسل الإمداد'!K6</f>
        <v/>
      </c>
      <c r="F113" s="15">
        <f>'سلاسل الإمداد'!L6</f>
        <v/>
      </c>
      <c r="G113" s="56">
        <f>'سلاسل الإمداد'!N6</f>
        <v/>
      </c>
      <c r="H113" s="15">
        <f>'سلاسل الإمداد'!O6</f>
        <v/>
      </c>
      <c r="I113" s="24">
        <f>'سلاسل الإمداد'!G6</f>
        <v/>
      </c>
      <c r="J113" s="15">
        <f>IF($G113="",0,$G113*$I113)</f>
        <v/>
      </c>
      <c r="K113" s="15">
        <f>IF($G113="",0,$I113)</f>
        <v/>
      </c>
      <c r="L113" s="13">
        <f>'سلاسل الإمداد'!B6</f>
        <v/>
      </c>
    </row>
    <row r="114">
      <c r="A114" s="15" t="n">
        <v>113</v>
      </c>
      <c r="B114" s="13" t="inlineStr">
        <is>
          <t>سلاسل الإمداد</t>
        </is>
      </c>
      <c r="C114" s="13">
        <f>'سلاسل الإمداد'!C8</f>
        <v/>
      </c>
      <c r="D114" s="15">
        <f>'سلاسل الإمداد'!J8</f>
        <v/>
      </c>
      <c r="E114" s="13">
        <f>'سلاسل الإمداد'!K8</f>
        <v/>
      </c>
      <c r="F114" s="15">
        <f>'سلاسل الإمداد'!L8</f>
        <v/>
      </c>
      <c r="G114" s="56">
        <f>'سلاسل الإمداد'!N8</f>
        <v/>
      </c>
      <c r="H114" s="15">
        <f>'سلاسل الإمداد'!O8</f>
        <v/>
      </c>
      <c r="I114" s="24">
        <f>'سلاسل الإمداد'!G8</f>
        <v/>
      </c>
      <c r="J114" s="15">
        <f>IF($G114="",0,$G114*$I114)</f>
        <v/>
      </c>
      <c r="K114" s="15">
        <f>IF($G114="",0,$I114)</f>
        <v/>
      </c>
      <c r="L114" s="13">
        <f>'سلاسل الإمداد'!B8</f>
        <v/>
      </c>
    </row>
    <row r="115">
      <c r="A115" s="15" t="n">
        <v>114</v>
      </c>
      <c r="B115" s="13" t="inlineStr">
        <is>
          <t>سلاسل الإمداد</t>
        </is>
      </c>
      <c r="C115" s="13">
        <f>'سلاسل الإمداد'!C9</f>
        <v/>
      </c>
      <c r="D115" s="15">
        <f>'سلاسل الإمداد'!J9</f>
        <v/>
      </c>
      <c r="E115" s="13">
        <f>'سلاسل الإمداد'!K9</f>
        <v/>
      </c>
      <c r="F115" s="15">
        <f>'سلاسل الإمداد'!L9</f>
        <v/>
      </c>
      <c r="G115" s="56">
        <f>'سلاسل الإمداد'!N9</f>
        <v/>
      </c>
      <c r="H115" s="15">
        <f>'سلاسل الإمداد'!O9</f>
        <v/>
      </c>
      <c r="I115" s="24">
        <f>'سلاسل الإمداد'!G9</f>
        <v/>
      </c>
      <c r="J115" s="15">
        <f>IF($G115="",0,$G115*$I115)</f>
        <v/>
      </c>
      <c r="K115" s="15">
        <f>IF($G115="",0,$I115)</f>
        <v/>
      </c>
      <c r="L115" s="13">
        <f>'سلاسل الإمداد'!B9</f>
        <v/>
      </c>
    </row>
    <row r="116">
      <c r="A116" s="15" t="n">
        <v>115</v>
      </c>
      <c r="B116" s="13" t="inlineStr">
        <is>
          <t>سلاسل الإمداد</t>
        </is>
      </c>
      <c r="C116" s="13">
        <f>'سلاسل الإمداد'!C10</f>
        <v/>
      </c>
      <c r="D116" s="15">
        <f>'سلاسل الإمداد'!J10</f>
        <v/>
      </c>
      <c r="E116" s="13">
        <f>'سلاسل الإمداد'!K10</f>
        <v/>
      </c>
      <c r="F116" s="15">
        <f>'سلاسل الإمداد'!L10</f>
        <v/>
      </c>
      <c r="G116" s="56">
        <f>'سلاسل الإمداد'!N10</f>
        <v/>
      </c>
      <c r="H116" s="15">
        <f>'سلاسل الإمداد'!O10</f>
        <v/>
      </c>
      <c r="I116" s="24">
        <f>'سلاسل الإمداد'!G10</f>
        <v/>
      </c>
      <c r="J116" s="15">
        <f>IF($G116="",0,$G116*$I116)</f>
        <v/>
      </c>
      <c r="K116" s="15">
        <f>IF($G116="",0,$I116)</f>
        <v/>
      </c>
      <c r="L116" s="13">
        <f>'سلاسل الإمداد'!B10</f>
        <v/>
      </c>
    </row>
    <row r="117">
      <c r="A117" s="15" t="n">
        <v>116</v>
      </c>
      <c r="B117" s="13" t="inlineStr">
        <is>
          <t>سلاسل الإمداد</t>
        </is>
      </c>
      <c r="C117" s="13">
        <f>'سلاسل الإمداد'!C12</f>
        <v/>
      </c>
      <c r="D117" s="15">
        <f>'سلاسل الإمداد'!J12</f>
        <v/>
      </c>
      <c r="E117" s="13">
        <f>'سلاسل الإمداد'!K12</f>
        <v/>
      </c>
      <c r="F117" s="15">
        <f>'سلاسل الإمداد'!L12</f>
        <v/>
      </c>
      <c r="G117" s="56">
        <f>'سلاسل الإمداد'!N12</f>
        <v/>
      </c>
      <c r="H117" s="15">
        <f>'سلاسل الإمداد'!O12</f>
        <v/>
      </c>
      <c r="I117" s="24">
        <f>'سلاسل الإمداد'!G12</f>
        <v/>
      </c>
      <c r="J117" s="15">
        <f>IF($G117="",0,$G117*$I117)</f>
        <v/>
      </c>
      <c r="K117" s="15">
        <f>IF($G117="",0,$I117)</f>
        <v/>
      </c>
      <c r="L117" s="13">
        <f>'سلاسل الإمداد'!B12</f>
        <v/>
      </c>
    </row>
    <row r="118">
      <c r="A118" s="15" t="n">
        <v>117</v>
      </c>
      <c r="B118" s="13" t="inlineStr">
        <is>
          <t>سلاسل الإمداد</t>
        </is>
      </c>
      <c r="C118" s="13">
        <f>'سلاسل الإمداد'!C13</f>
        <v/>
      </c>
      <c r="D118" s="15">
        <f>'سلاسل الإمداد'!J13</f>
        <v/>
      </c>
      <c r="E118" s="13">
        <f>'سلاسل الإمداد'!K13</f>
        <v/>
      </c>
      <c r="F118" s="15">
        <f>'سلاسل الإمداد'!L13</f>
        <v/>
      </c>
      <c r="G118" s="56">
        <f>'سلاسل الإمداد'!N13</f>
        <v/>
      </c>
      <c r="H118" s="15">
        <f>'سلاسل الإمداد'!O13</f>
        <v/>
      </c>
      <c r="I118" s="24">
        <f>'سلاسل الإمداد'!G13</f>
        <v/>
      </c>
      <c r="J118" s="15">
        <f>IF($G118="",0,$G118*$I118)</f>
        <v/>
      </c>
      <c r="K118" s="15">
        <f>IF($G118="",0,$I118)</f>
        <v/>
      </c>
      <c r="L118" s="13">
        <f>'سلاسل الإمداد'!B13</f>
        <v/>
      </c>
    </row>
    <row r="119">
      <c r="A119" s="15" t="n">
        <v>118</v>
      </c>
      <c r="B119" s="13" t="inlineStr">
        <is>
          <t>سلاسل الإمداد</t>
        </is>
      </c>
      <c r="C119" s="13">
        <f>'سلاسل الإمداد'!C15</f>
        <v/>
      </c>
      <c r="D119" s="15">
        <f>'سلاسل الإمداد'!J15</f>
        <v/>
      </c>
      <c r="E119" s="13">
        <f>'سلاسل الإمداد'!K15</f>
        <v/>
      </c>
      <c r="F119" s="15">
        <f>'سلاسل الإمداد'!L15</f>
        <v/>
      </c>
      <c r="G119" s="56">
        <f>'سلاسل الإمداد'!N15</f>
        <v/>
      </c>
      <c r="H119" s="15">
        <f>'سلاسل الإمداد'!O15</f>
        <v/>
      </c>
      <c r="I119" s="24">
        <f>'سلاسل الإمداد'!G15</f>
        <v/>
      </c>
      <c r="J119" s="15">
        <f>IF($G119="",0,$G119*$I119)</f>
        <v/>
      </c>
      <c r="K119" s="15">
        <f>IF($G119="",0,$I119)</f>
        <v/>
      </c>
      <c r="L119" s="13">
        <f>'سلاسل الإمداد'!B15</f>
        <v/>
      </c>
    </row>
    <row r="120">
      <c r="A120" s="15" t="n">
        <v>119</v>
      </c>
      <c r="B120" s="13" t="inlineStr">
        <is>
          <t>سلاسل الإمداد</t>
        </is>
      </c>
      <c r="C120" s="13">
        <f>'سلاسل الإمداد'!C16</f>
        <v/>
      </c>
      <c r="D120" s="15">
        <f>'سلاسل الإمداد'!J16</f>
        <v/>
      </c>
      <c r="E120" s="13">
        <f>'سلاسل الإمداد'!K16</f>
        <v/>
      </c>
      <c r="F120" s="15">
        <f>'سلاسل الإمداد'!L16</f>
        <v/>
      </c>
      <c r="G120" s="56">
        <f>'سلاسل الإمداد'!N16</f>
        <v/>
      </c>
      <c r="H120" s="15">
        <f>'سلاسل الإمداد'!O16</f>
        <v/>
      </c>
      <c r="I120" s="24">
        <f>'سلاسل الإمداد'!G16</f>
        <v/>
      </c>
      <c r="J120" s="15">
        <f>IF($G120="",0,$G120*$I120)</f>
        <v/>
      </c>
      <c r="K120" s="15">
        <f>IF($G120="",0,$I120)</f>
        <v/>
      </c>
      <c r="L120" s="13">
        <f>'سلاسل الإمداد'!B16</f>
        <v/>
      </c>
    </row>
    <row r="121">
      <c r="A121" s="15" t="n">
        <v>120</v>
      </c>
      <c r="B121" s="13" t="inlineStr">
        <is>
          <t>سلاسل الإمداد</t>
        </is>
      </c>
      <c r="C121" s="13">
        <f>'سلاسل الإمداد'!C17</f>
        <v/>
      </c>
      <c r="D121" s="15">
        <f>'سلاسل الإمداد'!J17</f>
        <v/>
      </c>
      <c r="E121" s="13">
        <f>'سلاسل الإمداد'!K17</f>
        <v/>
      </c>
      <c r="F121" s="15">
        <f>'سلاسل الإمداد'!L17</f>
        <v/>
      </c>
      <c r="G121" s="56">
        <f>'سلاسل الإمداد'!N17</f>
        <v/>
      </c>
      <c r="H121" s="15">
        <f>'سلاسل الإمداد'!O17</f>
        <v/>
      </c>
      <c r="I121" s="24">
        <f>'سلاسل الإمداد'!G17</f>
        <v/>
      </c>
      <c r="J121" s="15">
        <f>IF($G121="",0,$G121*$I121)</f>
        <v/>
      </c>
      <c r="K121" s="15">
        <f>IF($G121="",0,$I121)</f>
        <v/>
      </c>
      <c r="L121" s="13">
        <f>'سلاسل الإمداد'!B17</f>
        <v/>
      </c>
    </row>
    <row r="122">
      <c r="A122" s="15" t="n">
        <v>121</v>
      </c>
      <c r="B122" s="13" t="inlineStr">
        <is>
          <t>سلاسل الإمداد</t>
        </is>
      </c>
      <c r="C122" s="13">
        <f>'سلاسل الإمداد'!C19</f>
        <v/>
      </c>
      <c r="D122" s="15">
        <f>'سلاسل الإمداد'!J19</f>
        <v/>
      </c>
      <c r="E122" s="13">
        <f>'سلاسل الإمداد'!K19</f>
        <v/>
      </c>
      <c r="F122" s="15">
        <f>'سلاسل الإمداد'!L19</f>
        <v/>
      </c>
      <c r="G122" s="56">
        <f>'سلاسل الإمداد'!N19</f>
        <v/>
      </c>
      <c r="H122" s="15">
        <f>'سلاسل الإمداد'!O19</f>
        <v/>
      </c>
      <c r="I122" s="24">
        <f>'سلاسل الإمداد'!G19</f>
        <v/>
      </c>
      <c r="J122" s="15">
        <f>IF($G122="",0,$G122*$I122)</f>
        <v/>
      </c>
      <c r="K122" s="15">
        <f>IF($G122="",0,$I122)</f>
        <v/>
      </c>
      <c r="L122" s="13">
        <f>'سلاسل الإمداد'!B19</f>
        <v/>
      </c>
    </row>
    <row r="123">
      <c r="A123" s="15" t="n">
        <v>122</v>
      </c>
      <c r="B123" s="13" t="inlineStr">
        <is>
          <t>سلاسل الإمداد</t>
        </is>
      </c>
      <c r="C123" s="13">
        <f>'سلاسل الإمداد'!C20</f>
        <v/>
      </c>
      <c r="D123" s="15">
        <f>'سلاسل الإمداد'!J20</f>
        <v/>
      </c>
      <c r="E123" s="13">
        <f>'سلاسل الإمداد'!K20</f>
        <v/>
      </c>
      <c r="F123" s="15">
        <f>'سلاسل الإمداد'!L20</f>
        <v/>
      </c>
      <c r="G123" s="56">
        <f>'سلاسل الإمداد'!N20</f>
        <v/>
      </c>
      <c r="H123" s="15">
        <f>'سلاسل الإمداد'!O20</f>
        <v/>
      </c>
      <c r="I123" s="24">
        <f>'سلاسل الإمداد'!G20</f>
        <v/>
      </c>
      <c r="J123" s="15">
        <f>IF($G123="",0,$G123*$I123)</f>
        <v/>
      </c>
      <c r="K123" s="15">
        <f>IF($G123="",0,$I123)</f>
        <v/>
      </c>
      <c r="L123" s="13">
        <f>'سلاسل الإمداد'!B20</f>
        <v/>
      </c>
    </row>
    <row r="124">
      <c r="A124" s="15" t="n">
        <v>123</v>
      </c>
      <c r="B124" s="13" t="inlineStr">
        <is>
          <t>الصيانة والأتمتة</t>
        </is>
      </c>
      <c r="C124" s="13">
        <f>'الصيانة والأتمتة'!C5</f>
        <v/>
      </c>
      <c r="D124" s="15">
        <f>'الصيانة والأتمتة'!J5</f>
        <v/>
      </c>
      <c r="E124" s="13">
        <f>'الصيانة والأتمتة'!K5</f>
        <v/>
      </c>
      <c r="F124" s="15">
        <f>'الصيانة والأتمتة'!L5</f>
        <v/>
      </c>
      <c r="G124" s="56">
        <f>'الصيانة والأتمتة'!N5</f>
        <v/>
      </c>
      <c r="H124" s="15">
        <f>'الصيانة والأتمتة'!O5</f>
        <v/>
      </c>
      <c r="I124" s="24">
        <f>'الصيانة والأتمتة'!G5</f>
        <v/>
      </c>
      <c r="J124" s="15">
        <f>IF($G124="",0,$G124*$I124)</f>
        <v/>
      </c>
      <c r="K124" s="15">
        <f>IF($G124="",0,$I124)</f>
        <v/>
      </c>
      <c r="L124" s="13">
        <f>'الصيانة والأتمتة'!B5</f>
        <v/>
      </c>
    </row>
    <row r="125">
      <c r="A125" s="15" t="n">
        <v>124</v>
      </c>
      <c r="B125" s="13" t="inlineStr">
        <is>
          <t>الصيانة والأتمتة</t>
        </is>
      </c>
      <c r="C125" s="13">
        <f>'الصيانة والأتمتة'!C6</f>
        <v/>
      </c>
      <c r="D125" s="15">
        <f>'الصيانة والأتمتة'!J6</f>
        <v/>
      </c>
      <c r="E125" s="13">
        <f>'الصيانة والأتمتة'!K6</f>
        <v/>
      </c>
      <c r="F125" s="15">
        <f>'الصيانة والأتمتة'!L6</f>
        <v/>
      </c>
      <c r="G125" s="56">
        <f>'الصيانة والأتمتة'!N6</f>
        <v/>
      </c>
      <c r="H125" s="15">
        <f>'الصيانة والأتمتة'!O6</f>
        <v/>
      </c>
      <c r="I125" s="24">
        <f>'الصيانة والأتمتة'!G6</f>
        <v/>
      </c>
      <c r="J125" s="15">
        <f>IF($G125="",0,$G125*$I125)</f>
        <v/>
      </c>
      <c r="K125" s="15">
        <f>IF($G125="",0,$I125)</f>
        <v/>
      </c>
      <c r="L125" s="13">
        <f>'الصيانة والأتمتة'!B6</f>
        <v/>
      </c>
    </row>
    <row r="126">
      <c r="A126" s="15" t="n">
        <v>125</v>
      </c>
      <c r="B126" s="13" t="inlineStr">
        <is>
          <t>الصيانة والأتمتة</t>
        </is>
      </c>
      <c r="C126" s="13">
        <f>'الصيانة والأتمتة'!C8</f>
        <v/>
      </c>
      <c r="D126" s="15">
        <f>'الصيانة والأتمتة'!J8</f>
        <v/>
      </c>
      <c r="E126" s="13">
        <f>'الصيانة والأتمتة'!K8</f>
        <v/>
      </c>
      <c r="F126" s="15">
        <f>'الصيانة والأتمتة'!L8</f>
        <v/>
      </c>
      <c r="G126" s="56">
        <f>'الصيانة والأتمتة'!N8</f>
        <v/>
      </c>
      <c r="H126" s="15">
        <f>'الصيانة والأتمتة'!O8</f>
        <v/>
      </c>
      <c r="I126" s="24">
        <f>'الصيانة والأتمتة'!G8</f>
        <v/>
      </c>
      <c r="J126" s="15">
        <f>IF($G126="",0,$G126*$I126)</f>
        <v/>
      </c>
      <c r="K126" s="15">
        <f>IF($G126="",0,$I126)</f>
        <v/>
      </c>
      <c r="L126" s="13">
        <f>'الصيانة والأتمتة'!B8</f>
        <v/>
      </c>
    </row>
    <row r="127">
      <c r="A127" s="15" t="n">
        <v>126</v>
      </c>
      <c r="B127" s="13" t="inlineStr">
        <is>
          <t>الصيانة والأتمتة</t>
        </is>
      </c>
      <c r="C127" s="13">
        <f>'الصيانة والأتمتة'!C9</f>
        <v/>
      </c>
      <c r="D127" s="15">
        <f>'الصيانة والأتمتة'!J9</f>
        <v/>
      </c>
      <c r="E127" s="13">
        <f>'الصيانة والأتمتة'!K9</f>
        <v/>
      </c>
      <c r="F127" s="15">
        <f>'الصيانة والأتمتة'!L9</f>
        <v/>
      </c>
      <c r="G127" s="56">
        <f>'الصيانة والأتمتة'!N9</f>
        <v/>
      </c>
      <c r="H127" s="15">
        <f>'الصيانة والأتمتة'!O9</f>
        <v/>
      </c>
      <c r="I127" s="24">
        <f>'الصيانة والأتمتة'!G9</f>
        <v/>
      </c>
      <c r="J127" s="15">
        <f>IF($G127="",0,$G127*$I127)</f>
        <v/>
      </c>
      <c r="K127" s="15">
        <f>IF($G127="",0,$I127)</f>
        <v/>
      </c>
      <c r="L127" s="13">
        <f>'الصيانة والأتمتة'!B9</f>
        <v/>
      </c>
    </row>
    <row r="128">
      <c r="A128" s="15" t="n">
        <v>127</v>
      </c>
      <c r="B128" s="13" t="inlineStr">
        <is>
          <t>الصيانة والأتمتة</t>
        </is>
      </c>
      <c r="C128" s="13">
        <f>'الصيانة والأتمتة'!C10</f>
        <v/>
      </c>
      <c r="D128" s="15">
        <f>'الصيانة والأتمتة'!J10</f>
        <v/>
      </c>
      <c r="E128" s="13">
        <f>'الصيانة والأتمتة'!K10</f>
        <v/>
      </c>
      <c r="F128" s="15">
        <f>'الصيانة والأتمتة'!L10</f>
        <v/>
      </c>
      <c r="G128" s="56">
        <f>'الصيانة والأتمتة'!N10</f>
        <v/>
      </c>
      <c r="H128" s="15">
        <f>'الصيانة والأتمتة'!O10</f>
        <v/>
      </c>
      <c r="I128" s="24">
        <f>'الصيانة والأتمتة'!G10</f>
        <v/>
      </c>
      <c r="J128" s="15">
        <f>IF($G128="",0,$G128*$I128)</f>
        <v/>
      </c>
      <c r="K128" s="15">
        <f>IF($G128="",0,$I128)</f>
        <v/>
      </c>
      <c r="L128" s="13">
        <f>'الصيانة والأتمتة'!B10</f>
        <v/>
      </c>
    </row>
    <row r="129">
      <c r="A129" s="15" t="n">
        <v>128</v>
      </c>
      <c r="B129" s="13" t="inlineStr">
        <is>
          <t>الصيانة والأتمتة</t>
        </is>
      </c>
      <c r="C129" s="13">
        <f>'الصيانة والأتمتة'!C11</f>
        <v/>
      </c>
      <c r="D129" s="15">
        <f>'الصيانة والأتمتة'!J11</f>
        <v/>
      </c>
      <c r="E129" s="13">
        <f>'الصيانة والأتمتة'!K11</f>
        <v/>
      </c>
      <c r="F129" s="15">
        <f>'الصيانة والأتمتة'!L11</f>
        <v/>
      </c>
      <c r="G129" s="56">
        <f>'الصيانة والأتمتة'!N11</f>
        <v/>
      </c>
      <c r="H129" s="15">
        <f>'الصيانة والأتمتة'!O11</f>
        <v/>
      </c>
      <c r="I129" s="24">
        <f>'الصيانة والأتمتة'!G11</f>
        <v/>
      </c>
      <c r="J129" s="15">
        <f>IF($G129="",0,$G129*$I129)</f>
        <v/>
      </c>
      <c r="K129" s="15">
        <f>IF($G129="",0,$I129)</f>
        <v/>
      </c>
      <c r="L129" s="13">
        <f>'الصيانة والأتمتة'!B11</f>
        <v/>
      </c>
    </row>
    <row r="130">
      <c r="A130" s="15" t="n">
        <v>129</v>
      </c>
      <c r="B130" s="13" t="inlineStr">
        <is>
          <t>الصيانة والأتمتة</t>
        </is>
      </c>
      <c r="C130" s="13">
        <f>'الصيانة والأتمتة'!C12</f>
        <v/>
      </c>
      <c r="D130" s="15">
        <f>'الصيانة والأتمتة'!J12</f>
        <v/>
      </c>
      <c r="E130" s="13">
        <f>'الصيانة والأتمتة'!K12</f>
        <v/>
      </c>
      <c r="F130" s="15">
        <f>'الصيانة والأتمتة'!L12</f>
        <v/>
      </c>
      <c r="G130" s="56">
        <f>'الصيانة والأتمتة'!N12</f>
        <v/>
      </c>
      <c r="H130" s="15">
        <f>'الصيانة والأتمتة'!O12</f>
        <v/>
      </c>
      <c r="I130" s="24">
        <f>'الصيانة والأتمتة'!G12</f>
        <v/>
      </c>
      <c r="J130" s="15">
        <f>IF($G130="",0,$G130*$I130)</f>
        <v/>
      </c>
      <c r="K130" s="15">
        <f>IF($G130="",0,$I130)</f>
        <v/>
      </c>
      <c r="L130" s="13">
        <f>'الصيانة والأتمتة'!B12</f>
        <v/>
      </c>
    </row>
    <row r="131">
      <c r="A131" s="15" t="n">
        <v>130</v>
      </c>
      <c r="B131" s="13" t="inlineStr">
        <is>
          <t>الصيانة والأتمتة</t>
        </is>
      </c>
      <c r="C131" s="13">
        <f>'الصيانة والأتمتة'!C14</f>
        <v/>
      </c>
      <c r="D131" s="15">
        <f>'الصيانة والأتمتة'!J14</f>
        <v/>
      </c>
      <c r="E131" s="13">
        <f>'الصيانة والأتمتة'!K14</f>
        <v/>
      </c>
      <c r="F131" s="15">
        <f>'الصيانة والأتمتة'!L14</f>
        <v/>
      </c>
      <c r="G131" s="56">
        <f>'الصيانة والأتمتة'!N14</f>
        <v/>
      </c>
      <c r="H131" s="15">
        <f>'الصيانة والأتمتة'!O14</f>
        <v/>
      </c>
      <c r="I131" s="24">
        <f>'الصيانة والأتمتة'!G14</f>
        <v/>
      </c>
      <c r="J131" s="15">
        <f>IF($G131="",0,$G131*$I131)</f>
        <v/>
      </c>
      <c r="K131" s="15">
        <f>IF($G131="",0,$I131)</f>
        <v/>
      </c>
      <c r="L131" s="13">
        <f>'الصيانة والأتمتة'!B14</f>
        <v/>
      </c>
    </row>
    <row r="132">
      <c r="A132" s="15" t="n">
        <v>131</v>
      </c>
      <c r="B132" s="13" t="inlineStr">
        <is>
          <t>الصيانة والأتمتة</t>
        </is>
      </c>
      <c r="C132" s="13">
        <f>'الصيانة والأتمتة'!C15</f>
        <v/>
      </c>
      <c r="D132" s="15">
        <f>'الصيانة والأتمتة'!J15</f>
        <v/>
      </c>
      <c r="E132" s="13">
        <f>'الصيانة والأتمتة'!K15</f>
        <v/>
      </c>
      <c r="F132" s="15">
        <f>'الصيانة والأتمتة'!L15</f>
        <v/>
      </c>
      <c r="G132" s="56">
        <f>'الصيانة والأتمتة'!N15</f>
        <v/>
      </c>
      <c r="H132" s="15">
        <f>'الصيانة والأتمتة'!O15</f>
        <v/>
      </c>
      <c r="I132" s="24">
        <f>'الصيانة والأتمتة'!G15</f>
        <v/>
      </c>
      <c r="J132" s="15">
        <f>IF($G132="",0,$G132*$I132)</f>
        <v/>
      </c>
      <c r="K132" s="15">
        <f>IF($G132="",0,$I132)</f>
        <v/>
      </c>
      <c r="L132" s="13">
        <f>'الصيانة والأتمتة'!B15</f>
        <v/>
      </c>
    </row>
    <row r="133">
      <c r="A133" s="15" t="n">
        <v>132</v>
      </c>
      <c r="B133" s="13" t="inlineStr">
        <is>
          <t>الصيانة والأتمتة</t>
        </is>
      </c>
      <c r="C133" s="13">
        <f>'الصيانة والأتمتة'!C16</f>
        <v/>
      </c>
      <c r="D133" s="15">
        <f>'الصيانة والأتمتة'!J16</f>
        <v/>
      </c>
      <c r="E133" s="13">
        <f>'الصيانة والأتمتة'!K16</f>
        <v/>
      </c>
      <c r="F133" s="15">
        <f>'الصيانة والأتمتة'!L16</f>
        <v/>
      </c>
      <c r="G133" s="56">
        <f>'الصيانة والأتمتة'!N16</f>
        <v/>
      </c>
      <c r="H133" s="15">
        <f>'الصيانة والأتمتة'!O16</f>
        <v/>
      </c>
      <c r="I133" s="24">
        <f>'الصيانة والأتمتة'!G16</f>
        <v/>
      </c>
      <c r="J133" s="15">
        <f>IF($G133="",0,$G133*$I133)</f>
        <v/>
      </c>
      <c r="K133" s="15">
        <f>IF($G133="",0,$I133)</f>
        <v/>
      </c>
      <c r="L133" s="13">
        <f>'الصيانة والأتمتة'!B16</f>
        <v/>
      </c>
    </row>
    <row r="134">
      <c r="A134" s="15" t="n">
        <v>133</v>
      </c>
      <c r="B134" s="13" t="inlineStr">
        <is>
          <t>التقنية الرقمية</t>
        </is>
      </c>
      <c r="C134" s="13">
        <f>'التقنية الرقمية'!C5</f>
        <v/>
      </c>
      <c r="D134" s="15">
        <f>'التقنية الرقمية'!J5</f>
        <v/>
      </c>
      <c r="E134" s="13">
        <f>'التقنية الرقمية'!K5</f>
        <v/>
      </c>
      <c r="F134" s="15">
        <f>'التقنية الرقمية'!L5</f>
        <v/>
      </c>
      <c r="G134" s="56">
        <f>'التقنية الرقمية'!N5</f>
        <v/>
      </c>
      <c r="H134" s="15">
        <f>'التقنية الرقمية'!O5</f>
        <v/>
      </c>
      <c r="I134" s="24">
        <f>'التقنية الرقمية'!G5</f>
        <v/>
      </c>
      <c r="J134" s="15">
        <f>IF($G134="",0,$G134*$I134)</f>
        <v/>
      </c>
      <c r="K134" s="15">
        <f>IF($G134="",0,$I134)</f>
        <v/>
      </c>
      <c r="L134" s="13">
        <f>'التقنية الرقمية'!B5</f>
        <v/>
      </c>
    </row>
    <row r="135">
      <c r="A135" s="15" t="n">
        <v>134</v>
      </c>
      <c r="B135" s="13" t="inlineStr">
        <is>
          <t>التقنية الرقمية</t>
        </is>
      </c>
      <c r="C135" s="13">
        <f>'التقنية الرقمية'!C6</f>
        <v/>
      </c>
      <c r="D135" s="15">
        <f>'التقنية الرقمية'!J6</f>
        <v/>
      </c>
      <c r="E135" s="13">
        <f>'التقنية الرقمية'!K6</f>
        <v/>
      </c>
      <c r="F135" s="15">
        <f>'التقنية الرقمية'!L6</f>
        <v/>
      </c>
      <c r="G135" s="56">
        <f>'التقنية الرقمية'!N6</f>
        <v/>
      </c>
      <c r="H135" s="15">
        <f>'التقنية الرقمية'!O6</f>
        <v/>
      </c>
      <c r="I135" s="24">
        <f>'التقنية الرقمية'!G6</f>
        <v/>
      </c>
      <c r="J135" s="15">
        <f>IF($G135="",0,$G135*$I135)</f>
        <v/>
      </c>
      <c r="K135" s="15">
        <f>IF($G135="",0,$I135)</f>
        <v/>
      </c>
      <c r="L135" s="13">
        <f>'التقنية الرقمية'!B6</f>
        <v/>
      </c>
    </row>
    <row r="136">
      <c r="A136" s="15" t="n">
        <v>135</v>
      </c>
      <c r="B136" s="13" t="inlineStr">
        <is>
          <t>التقنية الرقمية</t>
        </is>
      </c>
      <c r="C136" s="13">
        <f>'التقنية الرقمية'!C7</f>
        <v/>
      </c>
      <c r="D136" s="15">
        <f>'التقنية الرقمية'!J7</f>
        <v/>
      </c>
      <c r="E136" s="13">
        <f>'التقنية الرقمية'!K7</f>
        <v/>
      </c>
      <c r="F136" s="15">
        <f>'التقنية الرقمية'!L7</f>
        <v/>
      </c>
      <c r="G136" s="56">
        <f>'التقنية الرقمية'!N7</f>
        <v/>
      </c>
      <c r="H136" s="15">
        <f>'التقنية الرقمية'!O7</f>
        <v/>
      </c>
      <c r="I136" s="24">
        <f>'التقنية الرقمية'!G7</f>
        <v/>
      </c>
      <c r="J136" s="15">
        <f>IF($G136="",0,$G136*$I136)</f>
        <v/>
      </c>
      <c r="K136" s="15">
        <f>IF($G136="",0,$I136)</f>
        <v/>
      </c>
      <c r="L136" s="13">
        <f>'التقنية الرقمية'!B7</f>
        <v/>
      </c>
    </row>
    <row r="137">
      <c r="A137" s="15" t="n">
        <v>136</v>
      </c>
      <c r="B137" s="13" t="inlineStr">
        <is>
          <t>التقنية الرقمية</t>
        </is>
      </c>
      <c r="C137" s="13">
        <f>'التقنية الرقمية'!C9</f>
        <v/>
      </c>
      <c r="D137" s="15">
        <f>'التقنية الرقمية'!J9</f>
        <v/>
      </c>
      <c r="E137" s="13">
        <f>'التقنية الرقمية'!K9</f>
        <v/>
      </c>
      <c r="F137" s="15">
        <f>'التقنية الرقمية'!L9</f>
        <v/>
      </c>
      <c r="G137" s="56">
        <f>'التقنية الرقمية'!N9</f>
        <v/>
      </c>
      <c r="H137" s="15">
        <f>'التقنية الرقمية'!O9</f>
        <v/>
      </c>
      <c r="I137" s="24">
        <f>'التقنية الرقمية'!G9</f>
        <v/>
      </c>
      <c r="J137" s="15">
        <f>IF($G137="",0,$G137*$I137)</f>
        <v/>
      </c>
      <c r="K137" s="15">
        <f>IF($G137="",0,$I137)</f>
        <v/>
      </c>
      <c r="L137" s="13">
        <f>'التقنية الرقمية'!B9</f>
        <v/>
      </c>
    </row>
    <row r="138">
      <c r="A138" s="15" t="n">
        <v>137</v>
      </c>
      <c r="B138" s="13" t="inlineStr">
        <is>
          <t>التقنية الرقمية</t>
        </is>
      </c>
      <c r="C138" s="13">
        <f>'التقنية الرقمية'!C10</f>
        <v/>
      </c>
      <c r="D138" s="15">
        <f>'التقنية الرقمية'!J10</f>
        <v/>
      </c>
      <c r="E138" s="13">
        <f>'التقنية الرقمية'!K10</f>
        <v/>
      </c>
      <c r="F138" s="15">
        <f>'التقنية الرقمية'!L10</f>
        <v/>
      </c>
      <c r="G138" s="56">
        <f>'التقنية الرقمية'!N10</f>
        <v/>
      </c>
      <c r="H138" s="15">
        <f>'التقنية الرقمية'!O10</f>
        <v/>
      </c>
      <c r="I138" s="24">
        <f>'التقنية الرقمية'!G10</f>
        <v/>
      </c>
      <c r="J138" s="15">
        <f>IF($G138="",0,$G138*$I138)</f>
        <v/>
      </c>
      <c r="K138" s="15">
        <f>IF($G138="",0,$I138)</f>
        <v/>
      </c>
      <c r="L138" s="13">
        <f>'التقنية الرقمية'!B10</f>
        <v/>
      </c>
    </row>
    <row r="139">
      <c r="A139" s="15" t="n">
        <v>138</v>
      </c>
      <c r="B139" s="13" t="inlineStr">
        <is>
          <t>التقنية الرقمية</t>
        </is>
      </c>
      <c r="C139" s="13">
        <f>'التقنية الرقمية'!C12</f>
        <v/>
      </c>
      <c r="D139" s="15">
        <f>'التقنية الرقمية'!J12</f>
        <v/>
      </c>
      <c r="E139" s="13">
        <f>'التقنية الرقمية'!K12</f>
        <v/>
      </c>
      <c r="F139" s="15">
        <f>'التقنية الرقمية'!L12</f>
        <v/>
      </c>
      <c r="G139" s="56">
        <f>'التقنية الرقمية'!N12</f>
        <v/>
      </c>
      <c r="H139" s="15">
        <f>'التقنية الرقمية'!O12</f>
        <v/>
      </c>
      <c r="I139" s="24">
        <f>'التقنية الرقمية'!G12</f>
        <v/>
      </c>
      <c r="J139" s="15">
        <f>IF($G139="",0,$G139*$I139)</f>
        <v/>
      </c>
      <c r="K139" s="15">
        <f>IF($G139="",0,$I139)</f>
        <v/>
      </c>
      <c r="L139" s="13">
        <f>'التقنية الرقمية'!B12</f>
        <v/>
      </c>
    </row>
    <row r="140">
      <c r="A140" s="15" t="n">
        <v>139</v>
      </c>
      <c r="B140" s="13" t="inlineStr">
        <is>
          <t>التقنية الرقمية</t>
        </is>
      </c>
      <c r="C140" s="13">
        <f>'التقنية الرقمية'!C13</f>
        <v/>
      </c>
      <c r="D140" s="15">
        <f>'التقنية الرقمية'!J13</f>
        <v/>
      </c>
      <c r="E140" s="13">
        <f>'التقنية الرقمية'!K13</f>
        <v/>
      </c>
      <c r="F140" s="15">
        <f>'التقنية الرقمية'!L13</f>
        <v/>
      </c>
      <c r="G140" s="56">
        <f>'التقنية الرقمية'!N13</f>
        <v/>
      </c>
      <c r="H140" s="15">
        <f>'التقنية الرقمية'!O13</f>
        <v/>
      </c>
      <c r="I140" s="24">
        <f>'التقنية الرقمية'!G13</f>
        <v/>
      </c>
      <c r="J140" s="15">
        <f>IF($G140="",0,$G140*$I140)</f>
        <v/>
      </c>
      <c r="K140" s="15">
        <f>IF($G140="",0,$I140)</f>
        <v/>
      </c>
      <c r="L140" s="13">
        <f>'التقنية الرقمية'!B13</f>
        <v/>
      </c>
    </row>
    <row r="141">
      <c r="A141" s="15" t="n">
        <v>140</v>
      </c>
      <c r="B141" s="13" t="inlineStr">
        <is>
          <t>التقنية الرقمية</t>
        </is>
      </c>
      <c r="C141" s="13">
        <f>'التقنية الرقمية'!C14</f>
        <v/>
      </c>
      <c r="D141" s="15">
        <f>'التقنية الرقمية'!J14</f>
        <v/>
      </c>
      <c r="E141" s="13">
        <f>'التقنية الرقمية'!K14</f>
        <v/>
      </c>
      <c r="F141" s="15">
        <f>'التقنية الرقمية'!L14</f>
        <v/>
      </c>
      <c r="G141" s="56">
        <f>'التقنية الرقمية'!N14</f>
        <v/>
      </c>
      <c r="H141" s="15">
        <f>'التقنية الرقمية'!O14</f>
        <v/>
      </c>
      <c r="I141" s="24">
        <f>'التقنية الرقمية'!G14</f>
        <v/>
      </c>
      <c r="J141" s="15">
        <f>IF($G141="",0,$G141*$I141)</f>
        <v/>
      </c>
      <c r="K141" s="15">
        <f>IF($G141="",0,$I141)</f>
        <v/>
      </c>
      <c r="L141" s="13">
        <f>'التقنية الرقمية'!B14</f>
        <v/>
      </c>
    </row>
    <row r="142">
      <c r="A142" s="15" t="n">
        <v>141</v>
      </c>
      <c r="B142" s="13" t="inlineStr">
        <is>
          <t>التقنية الرقمية</t>
        </is>
      </c>
      <c r="C142" s="13">
        <f>'التقنية الرقمية'!C16</f>
        <v/>
      </c>
      <c r="D142" s="15">
        <f>'التقنية الرقمية'!J16</f>
        <v/>
      </c>
      <c r="E142" s="13">
        <f>'التقنية الرقمية'!K16</f>
        <v/>
      </c>
      <c r="F142" s="15">
        <f>'التقنية الرقمية'!L16</f>
        <v/>
      </c>
      <c r="G142" s="56">
        <f>'التقنية الرقمية'!N16</f>
        <v/>
      </c>
      <c r="H142" s="15">
        <f>'التقنية الرقمية'!O16</f>
        <v/>
      </c>
      <c r="I142" s="24">
        <f>'التقنية الرقمية'!G16</f>
        <v/>
      </c>
      <c r="J142" s="15">
        <f>IF($G142="",0,$G142*$I142)</f>
        <v/>
      </c>
      <c r="K142" s="15">
        <f>IF($G142="",0,$I142)</f>
        <v/>
      </c>
      <c r="L142" s="13">
        <f>'التقنية الرقمية'!B16</f>
        <v/>
      </c>
    </row>
    <row r="143">
      <c r="A143" s="15" t="n">
        <v>142</v>
      </c>
      <c r="B143" s="13" t="inlineStr">
        <is>
          <t>التقنية الرقمية</t>
        </is>
      </c>
      <c r="C143" s="13">
        <f>'التقنية الرقمية'!C17</f>
        <v/>
      </c>
      <c r="D143" s="15">
        <f>'التقنية الرقمية'!J17</f>
        <v/>
      </c>
      <c r="E143" s="13">
        <f>'التقنية الرقمية'!K17</f>
        <v/>
      </c>
      <c r="F143" s="15">
        <f>'التقنية الرقمية'!L17</f>
        <v/>
      </c>
      <c r="G143" s="56">
        <f>'التقنية الرقمية'!N17</f>
        <v/>
      </c>
      <c r="H143" s="15">
        <f>'التقنية الرقمية'!O17</f>
        <v/>
      </c>
      <c r="I143" s="24">
        <f>'التقنية الرقمية'!G17</f>
        <v/>
      </c>
      <c r="J143" s="15">
        <f>IF($G143="",0,$G143*$I143)</f>
        <v/>
      </c>
      <c r="K143" s="15">
        <f>IF($G143="",0,$I143)</f>
        <v/>
      </c>
      <c r="L143" s="13">
        <f>'التقنية الرقمية'!B17</f>
        <v/>
      </c>
    </row>
    <row r="144">
      <c r="A144" s="15" t="n">
        <v>143</v>
      </c>
      <c r="B144" s="13" t="inlineStr">
        <is>
          <t>التقنية الرقمية</t>
        </is>
      </c>
      <c r="C144" s="13">
        <f>'التقنية الرقمية'!C19</f>
        <v/>
      </c>
      <c r="D144" s="15">
        <f>'التقنية الرقمية'!J19</f>
        <v/>
      </c>
      <c r="E144" s="13">
        <f>'التقنية الرقمية'!K19</f>
        <v/>
      </c>
      <c r="F144" s="15">
        <f>'التقنية الرقمية'!L19</f>
        <v/>
      </c>
      <c r="G144" s="56">
        <f>'التقنية الرقمية'!N19</f>
        <v/>
      </c>
      <c r="H144" s="15">
        <f>'التقنية الرقمية'!O19</f>
        <v/>
      </c>
      <c r="I144" s="24">
        <f>'التقنية الرقمية'!G19</f>
        <v/>
      </c>
      <c r="J144" s="15">
        <f>IF($G144="",0,$G144*$I144)</f>
        <v/>
      </c>
      <c r="K144" s="15">
        <f>IF($G144="",0,$I144)</f>
        <v/>
      </c>
      <c r="L144" s="13">
        <f>'التقنية الرقمية'!B19</f>
        <v/>
      </c>
    </row>
    <row r="145">
      <c r="A145" s="15" t="n">
        <v>144</v>
      </c>
      <c r="B145" s="13" t="inlineStr">
        <is>
          <t>التقنية الرقمية</t>
        </is>
      </c>
      <c r="C145" s="13">
        <f>'التقنية الرقمية'!C20</f>
        <v/>
      </c>
      <c r="D145" s="15">
        <f>'التقنية الرقمية'!J20</f>
        <v/>
      </c>
      <c r="E145" s="13">
        <f>'التقنية الرقمية'!K20</f>
        <v/>
      </c>
      <c r="F145" s="15">
        <f>'التقنية الرقمية'!L20</f>
        <v/>
      </c>
      <c r="G145" s="56">
        <f>'التقنية الرقمية'!N20</f>
        <v/>
      </c>
      <c r="H145" s="15">
        <f>'التقنية الرقمية'!O20</f>
        <v/>
      </c>
      <c r="I145" s="24">
        <f>'التقنية الرقمية'!G20</f>
        <v/>
      </c>
      <c r="J145" s="15">
        <f>IF($G145="",0,$G145*$I145)</f>
        <v/>
      </c>
      <c r="K145" s="15">
        <f>IF($G145="",0,$I145)</f>
        <v/>
      </c>
      <c r="L145" s="13">
        <f>'التقنية الرقمية'!B20</f>
        <v/>
      </c>
    </row>
    <row r="146">
      <c r="A146" s="15" t="n">
        <v>145</v>
      </c>
      <c r="B146" s="13" t="inlineStr">
        <is>
          <t>الموارد البشرية</t>
        </is>
      </c>
      <c r="C146" s="13">
        <f>'الموارد البشرية'!C5</f>
        <v/>
      </c>
      <c r="D146" s="15">
        <f>'الموارد البشرية'!J5</f>
        <v/>
      </c>
      <c r="E146" s="13">
        <f>'الموارد البشرية'!K5</f>
        <v/>
      </c>
      <c r="F146" s="15">
        <f>'الموارد البشرية'!L5</f>
        <v/>
      </c>
      <c r="G146" s="56">
        <f>'الموارد البشرية'!N5</f>
        <v/>
      </c>
      <c r="H146" s="15">
        <f>'الموارد البشرية'!O5</f>
        <v/>
      </c>
      <c r="I146" s="24">
        <f>'الموارد البشرية'!G5</f>
        <v/>
      </c>
      <c r="J146" s="15">
        <f>IF($G146="",0,$G146*$I146)</f>
        <v/>
      </c>
      <c r="K146" s="15">
        <f>IF($G146="",0,$I146)</f>
        <v/>
      </c>
      <c r="L146" s="13">
        <f>'الموارد البشرية'!B5</f>
        <v/>
      </c>
    </row>
    <row r="147">
      <c r="A147" s="15" t="n">
        <v>146</v>
      </c>
      <c r="B147" s="13" t="inlineStr">
        <is>
          <t>الموارد البشرية</t>
        </is>
      </c>
      <c r="C147" s="13">
        <f>'الموارد البشرية'!C6</f>
        <v/>
      </c>
      <c r="D147" s="15">
        <f>'الموارد البشرية'!J6</f>
        <v/>
      </c>
      <c r="E147" s="13">
        <f>'الموارد البشرية'!K6</f>
        <v/>
      </c>
      <c r="F147" s="15">
        <f>'الموارد البشرية'!L6</f>
        <v/>
      </c>
      <c r="G147" s="56">
        <f>'الموارد البشرية'!N6</f>
        <v/>
      </c>
      <c r="H147" s="15">
        <f>'الموارد البشرية'!O6</f>
        <v/>
      </c>
      <c r="I147" s="24">
        <f>'الموارد البشرية'!G6</f>
        <v/>
      </c>
      <c r="J147" s="15">
        <f>IF($G147="",0,$G147*$I147)</f>
        <v/>
      </c>
      <c r="K147" s="15">
        <f>IF($G147="",0,$I147)</f>
        <v/>
      </c>
      <c r="L147" s="13">
        <f>'الموارد البشرية'!B6</f>
        <v/>
      </c>
    </row>
    <row r="148">
      <c r="A148" s="15" t="n">
        <v>147</v>
      </c>
      <c r="B148" s="13" t="inlineStr">
        <is>
          <t>الموارد البشرية</t>
        </is>
      </c>
      <c r="C148" s="13">
        <f>'الموارد البشرية'!C7</f>
        <v/>
      </c>
      <c r="D148" s="15">
        <f>'الموارد البشرية'!J7</f>
        <v/>
      </c>
      <c r="E148" s="13">
        <f>'الموارد البشرية'!K7</f>
        <v/>
      </c>
      <c r="F148" s="15">
        <f>'الموارد البشرية'!L7</f>
        <v/>
      </c>
      <c r="G148" s="56">
        <f>'الموارد البشرية'!N7</f>
        <v/>
      </c>
      <c r="H148" s="15">
        <f>'الموارد البشرية'!O7</f>
        <v/>
      </c>
      <c r="I148" s="24">
        <f>'الموارد البشرية'!G7</f>
        <v/>
      </c>
      <c r="J148" s="15">
        <f>IF($G148="",0,$G148*$I148)</f>
        <v/>
      </c>
      <c r="K148" s="15">
        <f>IF($G148="",0,$I148)</f>
        <v/>
      </c>
      <c r="L148" s="13">
        <f>'الموارد البشرية'!B7</f>
        <v/>
      </c>
    </row>
    <row r="149">
      <c r="A149" s="15" t="n">
        <v>148</v>
      </c>
      <c r="B149" s="13" t="inlineStr">
        <is>
          <t>الموارد البشرية</t>
        </is>
      </c>
      <c r="C149" s="13">
        <f>'الموارد البشرية'!C8</f>
        <v/>
      </c>
      <c r="D149" s="15">
        <f>'الموارد البشرية'!J8</f>
        <v/>
      </c>
      <c r="E149" s="13">
        <f>'الموارد البشرية'!K8</f>
        <v/>
      </c>
      <c r="F149" s="15">
        <f>'الموارد البشرية'!L8</f>
        <v/>
      </c>
      <c r="G149" s="56">
        <f>'الموارد البشرية'!N8</f>
        <v/>
      </c>
      <c r="H149" s="15">
        <f>'الموارد البشرية'!O8</f>
        <v/>
      </c>
      <c r="I149" s="24">
        <f>'الموارد البشرية'!G8</f>
        <v/>
      </c>
      <c r="J149" s="15">
        <f>IF($G149="",0,$G149*$I149)</f>
        <v/>
      </c>
      <c r="K149" s="15">
        <f>IF($G149="",0,$I149)</f>
        <v/>
      </c>
      <c r="L149" s="13">
        <f>'الموارد البشرية'!B8</f>
        <v/>
      </c>
    </row>
    <row r="150">
      <c r="A150" s="15" t="n">
        <v>149</v>
      </c>
      <c r="B150" s="13" t="inlineStr">
        <is>
          <t>الموارد البشرية</t>
        </is>
      </c>
      <c r="C150" s="13">
        <f>'الموارد البشرية'!C9</f>
        <v/>
      </c>
      <c r="D150" s="15">
        <f>'الموارد البشرية'!J9</f>
        <v/>
      </c>
      <c r="E150" s="13">
        <f>'الموارد البشرية'!K9</f>
        <v/>
      </c>
      <c r="F150" s="15">
        <f>'الموارد البشرية'!L9</f>
        <v/>
      </c>
      <c r="G150" s="56">
        <f>'الموارد البشرية'!N9</f>
        <v/>
      </c>
      <c r="H150" s="15">
        <f>'الموارد البشرية'!O9</f>
        <v/>
      </c>
      <c r="I150" s="24">
        <f>'الموارد البشرية'!G9</f>
        <v/>
      </c>
      <c r="J150" s="15">
        <f>IF($G150="",0,$G150*$I150)</f>
        <v/>
      </c>
      <c r="K150" s="15">
        <f>IF($G150="",0,$I150)</f>
        <v/>
      </c>
      <c r="L150" s="13">
        <f>'الموارد البشرية'!B9</f>
        <v/>
      </c>
    </row>
    <row r="151">
      <c r="A151" s="15" t="n">
        <v>150</v>
      </c>
      <c r="B151" s="13" t="inlineStr">
        <is>
          <t>الموارد البشرية</t>
        </is>
      </c>
      <c r="C151" s="13">
        <f>'الموارد البشرية'!C11</f>
        <v/>
      </c>
      <c r="D151" s="15">
        <f>'الموارد البشرية'!J11</f>
        <v/>
      </c>
      <c r="E151" s="13">
        <f>'الموارد البشرية'!K11</f>
        <v/>
      </c>
      <c r="F151" s="15">
        <f>'الموارد البشرية'!L11</f>
        <v/>
      </c>
      <c r="G151" s="56">
        <f>'الموارد البشرية'!N11</f>
        <v/>
      </c>
      <c r="H151" s="15">
        <f>'الموارد البشرية'!O11</f>
        <v/>
      </c>
      <c r="I151" s="24">
        <f>'الموارد البشرية'!G11</f>
        <v/>
      </c>
      <c r="J151" s="15">
        <f>IF($G151="",0,$G151*$I151)</f>
        <v/>
      </c>
      <c r="K151" s="15">
        <f>IF($G151="",0,$I151)</f>
        <v/>
      </c>
      <c r="L151" s="13">
        <f>'الموارد البشرية'!B11</f>
        <v/>
      </c>
    </row>
    <row r="152">
      <c r="A152" s="15" t="n">
        <v>151</v>
      </c>
      <c r="B152" s="13" t="inlineStr">
        <is>
          <t>الموارد البشرية</t>
        </is>
      </c>
      <c r="C152" s="13">
        <f>'الموارد البشرية'!C12</f>
        <v/>
      </c>
      <c r="D152" s="15">
        <f>'الموارد البشرية'!J12</f>
        <v/>
      </c>
      <c r="E152" s="13">
        <f>'الموارد البشرية'!K12</f>
        <v/>
      </c>
      <c r="F152" s="15">
        <f>'الموارد البشرية'!L12</f>
        <v/>
      </c>
      <c r="G152" s="56">
        <f>'الموارد البشرية'!N12</f>
        <v/>
      </c>
      <c r="H152" s="15">
        <f>'الموارد البشرية'!O12</f>
        <v/>
      </c>
      <c r="I152" s="24">
        <f>'الموارد البشرية'!G12</f>
        <v/>
      </c>
      <c r="J152" s="15">
        <f>IF($G152="",0,$G152*$I152)</f>
        <v/>
      </c>
      <c r="K152" s="15">
        <f>IF($G152="",0,$I152)</f>
        <v/>
      </c>
      <c r="L152" s="13">
        <f>'الموارد البشرية'!B12</f>
        <v/>
      </c>
    </row>
    <row r="153">
      <c r="A153" s="15" t="n">
        <v>152</v>
      </c>
      <c r="B153" s="13" t="inlineStr">
        <is>
          <t>الموارد البشرية</t>
        </is>
      </c>
      <c r="C153" s="13">
        <f>'الموارد البشرية'!C14</f>
        <v/>
      </c>
      <c r="D153" s="15">
        <f>'الموارد البشرية'!J14</f>
        <v/>
      </c>
      <c r="E153" s="13">
        <f>'الموارد البشرية'!K14</f>
        <v/>
      </c>
      <c r="F153" s="15">
        <f>'الموارد البشرية'!L14</f>
        <v/>
      </c>
      <c r="G153" s="56">
        <f>'الموارد البشرية'!N14</f>
        <v/>
      </c>
      <c r="H153" s="15">
        <f>'الموارد البشرية'!O14</f>
        <v/>
      </c>
      <c r="I153" s="24">
        <f>'الموارد البشرية'!G14</f>
        <v/>
      </c>
      <c r="J153" s="15">
        <f>IF($G153="",0,$G153*$I153)</f>
        <v/>
      </c>
      <c r="K153" s="15">
        <f>IF($G153="",0,$I153)</f>
        <v/>
      </c>
      <c r="L153" s="13">
        <f>'الموارد البشرية'!B14</f>
        <v/>
      </c>
    </row>
    <row r="154">
      <c r="A154" s="15" t="n">
        <v>153</v>
      </c>
      <c r="B154" s="13" t="inlineStr">
        <is>
          <t>الموارد البشرية</t>
        </is>
      </c>
      <c r="C154" s="13">
        <f>'الموارد البشرية'!C15</f>
        <v/>
      </c>
      <c r="D154" s="15">
        <f>'الموارد البشرية'!J15</f>
        <v/>
      </c>
      <c r="E154" s="13">
        <f>'الموارد البشرية'!K15</f>
        <v/>
      </c>
      <c r="F154" s="15">
        <f>'الموارد البشرية'!L15</f>
        <v/>
      </c>
      <c r="G154" s="56">
        <f>'الموارد البشرية'!N15</f>
        <v/>
      </c>
      <c r="H154" s="15">
        <f>'الموارد البشرية'!O15</f>
        <v/>
      </c>
      <c r="I154" s="24">
        <f>'الموارد البشرية'!G15</f>
        <v/>
      </c>
      <c r="J154" s="15">
        <f>IF($G154="",0,$G154*$I154)</f>
        <v/>
      </c>
      <c r="K154" s="15">
        <f>IF($G154="",0,$I154)</f>
        <v/>
      </c>
      <c r="L154" s="13">
        <f>'الموارد البشرية'!B15</f>
        <v/>
      </c>
    </row>
    <row r="155">
      <c r="A155" s="15" t="n">
        <v>154</v>
      </c>
      <c r="B155" s="13" t="inlineStr">
        <is>
          <t>الموارد البشرية</t>
        </is>
      </c>
      <c r="C155" s="13">
        <f>'الموارد البشرية'!C17</f>
        <v/>
      </c>
      <c r="D155" s="15">
        <f>'الموارد البشرية'!J17</f>
        <v/>
      </c>
      <c r="E155" s="13">
        <f>'الموارد البشرية'!K17</f>
        <v/>
      </c>
      <c r="F155" s="15">
        <f>'الموارد البشرية'!L17</f>
        <v/>
      </c>
      <c r="G155" s="56">
        <f>'الموارد البشرية'!N17</f>
        <v/>
      </c>
      <c r="H155" s="15">
        <f>'الموارد البشرية'!O17</f>
        <v/>
      </c>
      <c r="I155" s="24">
        <f>'الموارد البشرية'!G17</f>
        <v/>
      </c>
      <c r="J155" s="15">
        <f>IF($G155="",0,$G155*$I155)</f>
        <v/>
      </c>
      <c r="K155" s="15">
        <f>IF($G155="",0,$I155)</f>
        <v/>
      </c>
      <c r="L155" s="13">
        <f>'الموارد البشرية'!B17</f>
        <v/>
      </c>
    </row>
    <row r="156">
      <c r="A156" s="15" t="n">
        <v>155</v>
      </c>
      <c r="B156" s="13" t="inlineStr">
        <is>
          <t>الموارد البشرية</t>
        </is>
      </c>
      <c r="C156" s="13">
        <f>'الموارد البشرية'!C18</f>
        <v/>
      </c>
      <c r="D156" s="15">
        <f>'الموارد البشرية'!J18</f>
        <v/>
      </c>
      <c r="E156" s="13">
        <f>'الموارد البشرية'!K18</f>
        <v/>
      </c>
      <c r="F156" s="15">
        <f>'الموارد البشرية'!L18</f>
        <v/>
      </c>
      <c r="G156" s="56">
        <f>'الموارد البشرية'!N18</f>
        <v/>
      </c>
      <c r="H156" s="15">
        <f>'الموارد البشرية'!O18</f>
        <v/>
      </c>
      <c r="I156" s="24">
        <f>'الموارد البشرية'!G18</f>
        <v/>
      </c>
      <c r="J156" s="15">
        <f>IF($G156="",0,$G156*$I156)</f>
        <v/>
      </c>
      <c r="K156" s="15">
        <f>IF($G156="",0,$I156)</f>
        <v/>
      </c>
      <c r="L156" s="13">
        <f>'الموارد البشرية'!B18</f>
        <v/>
      </c>
    </row>
    <row r="157">
      <c r="A157" s="15" t="n">
        <v>156</v>
      </c>
      <c r="B157" s="13" t="inlineStr">
        <is>
          <t>الموارد البشرية</t>
        </is>
      </c>
      <c r="C157" s="13">
        <f>'الموارد البشرية'!C19</f>
        <v/>
      </c>
      <c r="D157" s="15">
        <f>'الموارد البشرية'!J19</f>
        <v/>
      </c>
      <c r="E157" s="13">
        <f>'الموارد البشرية'!K19</f>
        <v/>
      </c>
      <c r="F157" s="15">
        <f>'الموارد البشرية'!L19</f>
        <v/>
      </c>
      <c r="G157" s="56">
        <f>'الموارد البشرية'!N19</f>
        <v/>
      </c>
      <c r="H157" s="15">
        <f>'الموارد البشرية'!O19</f>
        <v/>
      </c>
      <c r="I157" s="24">
        <f>'الموارد البشرية'!G19</f>
        <v/>
      </c>
      <c r="J157" s="15">
        <f>IF($G157="",0,$G157*$I157)</f>
        <v/>
      </c>
      <c r="K157" s="15">
        <f>IF($G157="",0,$I157)</f>
        <v/>
      </c>
      <c r="L157" s="13">
        <f>'الموارد البشرية'!B19</f>
        <v/>
      </c>
    </row>
    <row r="158">
      <c r="A158" s="15" t="n">
        <v>157</v>
      </c>
      <c r="B158" s="13" t="inlineStr">
        <is>
          <t>التسويق</t>
        </is>
      </c>
      <c r="C158" s="13">
        <f>'التسويق'!C5</f>
        <v/>
      </c>
      <c r="D158" s="15">
        <f>'التسويق'!J5</f>
        <v/>
      </c>
      <c r="E158" s="13">
        <f>'التسويق'!K5</f>
        <v/>
      </c>
      <c r="F158" s="15">
        <f>'التسويق'!L5</f>
        <v/>
      </c>
      <c r="G158" s="56">
        <f>'التسويق'!N5</f>
        <v/>
      </c>
      <c r="H158" s="15">
        <f>'التسويق'!O5</f>
        <v/>
      </c>
      <c r="I158" s="24">
        <f>'التسويق'!G5</f>
        <v/>
      </c>
      <c r="J158" s="15">
        <f>IF($G158="",0,$G158*$I158)</f>
        <v/>
      </c>
      <c r="K158" s="15">
        <f>IF($G158="",0,$I158)</f>
        <v/>
      </c>
      <c r="L158" s="13">
        <f>'التسويق'!B5</f>
        <v/>
      </c>
    </row>
    <row r="159">
      <c r="A159" s="15" t="n">
        <v>158</v>
      </c>
      <c r="B159" s="13" t="inlineStr">
        <is>
          <t>التسويق</t>
        </is>
      </c>
      <c r="C159" s="13">
        <f>'التسويق'!C6</f>
        <v/>
      </c>
      <c r="D159" s="15">
        <f>'التسويق'!J6</f>
        <v/>
      </c>
      <c r="E159" s="13">
        <f>'التسويق'!K6</f>
        <v/>
      </c>
      <c r="F159" s="15">
        <f>'التسويق'!L6</f>
        <v/>
      </c>
      <c r="G159" s="56">
        <f>'التسويق'!N6</f>
        <v/>
      </c>
      <c r="H159" s="15">
        <f>'التسويق'!O6</f>
        <v/>
      </c>
      <c r="I159" s="24">
        <f>'التسويق'!G6</f>
        <v/>
      </c>
      <c r="J159" s="15">
        <f>IF($G159="",0,$G159*$I159)</f>
        <v/>
      </c>
      <c r="K159" s="15">
        <f>IF($G159="",0,$I159)</f>
        <v/>
      </c>
      <c r="L159" s="13">
        <f>'التسويق'!B6</f>
        <v/>
      </c>
    </row>
    <row r="160">
      <c r="A160" s="15" t="n">
        <v>159</v>
      </c>
      <c r="B160" s="13" t="inlineStr">
        <is>
          <t>التسويق</t>
        </is>
      </c>
      <c r="C160" s="13">
        <f>'التسويق'!C8</f>
        <v/>
      </c>
      <c r="D160" s="15">
        <f>'التسويق'!J8</f>
        <v/>
      </c>
      <c r="E160" s="13">
        <f>'التسويق'!K8</f>
        <v/>
      </c>
      <c r="F160" s="15">
        <f>'التسويق'!L8</f>
        <v/>
      </c>
      <c r="G160" s="56">
        <f>'التسويق'!N8</f>
        <v/>
      </c>
      <c r="H160" s="15">
        <f>'التسويق'!O8</f>
        <v/>
      </c>
      <c r="I160" s="24">
        <f>'التسويق'!G8</f>
        <v/>
      </c>
      <c r="J160" s="15">
        <f>IF($G160="",0,$G160*$I160)</f>
        <v/>
      </c>
      <c r="K160" s="15">
        <f>IF($G160="",0,$I160)</f>
        <v/>
      </c>
      <c r="L160" s="13">
        <f>'التسويق'!B8</f>
        <v/>
      </c>
    </row>
    <row r="161">
      <c r="A161" s="15" t="n">
        <v>160</v>
      </c>
      <c r="B161" s="13" t="inlineStr">
        <is>
          <t>التسويق</t>
        </is>
      </c>
      <c r="C161" s="13">
        <f>'التسويق'!C9</f>
        <v/>
      </c>
      <c r="D161" s="15">
        <f>'التسويق'!J9</f>
        <v/>
      </c>
      <c r="E161" s="13">
        <f>'التسويق'!K9</f>
        <v/>
      </c>
      <c r="F161" s="15">
        <f>'التسويق'!L9</f>
        <v/>
      </c>
      <c r="G161" s="56">
        <f>'التسويق'!N9</f>
        <v/>
      </c>
      <c r="H161" s="15">
        <f>'التسويق'!O9</f>
        <v/>
      </c>
      <c r="I161" s="24">
        <f>'التسويق'!G9</f>
        <v/>
      </c>
      <c r="J161" s="15">
        <f>IF($G161="",0,$G161*$I161)</f>
        <v/>
      </c>
      <c r="K161" s="15">
        <f>IF($G161="",0,$I161)</f>
        <v/>
      </c>
      <c r="L161" s="13">
        <f>'التسويق'!B9</f>
        <v/>
      </c>
    </row>
    <row r="162">
      <c r="A162" s="15" t="n">
        <v>161</v>
      </c>
      <c r="B162" s="13" t="inlineStr">
        <is>
          <t>التسويق</t>
        </is>
      </c>
      <c r="C162" s="13">
        <f>'التسويق'!C11</f>
        <v/>
      </c>
      <c r="D162" s="15">
        <f>'التسويق'!J11</f>
        <v/>
      </c>
      <c r="E162" s="13">
        <f>'التسويق'!K11</f>
        <v/>
      </c>
      <c r="F162" s="15">
        <f>'التسويق'!L11</f>
        <v/>
      </c>
      <c r="G162" s="56">
        <f>'التسويق'!N11</f>
        <v/>
      </c>
      <c r="H162" s="15">
        <f>'التسويق'!O11</f>
        <v/>
      </c>
      <c r="I162" s="24">
        <f>'التسويق'!G11</f>
        <v/>
      </c>
      <c r="J162" s="15">
        <f>IF($G162="",0,$G162*$I162)</f>
        <v/>
      </c>
      <c r="K162" s="15">
        <f>IF($G162="",0,$I162)</f>
        <v/>
      </c>
      <c r="L162" s="13">
        <f>'التسويق'!B11</f>
        <v/>
      </c>
    </row>
    <row r="163">
      <c r="A163" s="15" t="n">
        <v>162</v>
      </c>
      <c r="B163" s="13" t="inlineStr">
        <is>
          <t>التسويق</t>
        </is>
      </c>
      <c r="C163" s="13">
        <f>'التسويق'!C12</f>
        <v/>
      </c>
      <c r="D163" s="15">
        <f>'التسويق'!J12</f>
        <v/>
      </c>
      <c r="E163" s="13">
        <f>'التسويق'!K12</f>
        <v/>
      </c>
      <c r="F163" s="15">
        <f>'التسويق'!L12</f>
        <v/>
      </c>
      <c r="G163" s="56">
        <f>'التسويق'!N12</f>
        <v/>
      </c>
      <c r="H163" s="15">
        <f>'التسويق'!O12</f>
        <v/>
      </c>
      <c r="I163" s="24">
        <f>'التسويق'!G12</f>
        <v/>
      </c>
      <c r="J163" s="15">
        <f>IF($G163="",0,$G163*$I163)</f>
        <v/>
      </c>
      <c r="K163" s="15">
        <f>IF($G163="",0,$I163)</f>
        <v/>
      </c>
      <c r="L163" s="13">
        <f>'التسويق'!B12</f>
        <v/>
      </c>
    </row>
    <row r="164">
      <c r="A164" s="15" t="n">
        <v>163</v>
      </c>
      <c r="B164" s="13" t="inlineStr">
        <is>
          <t>التسويق</t>
        </is>
      </c>
      <c r="C164" s="13">
        <f>'التسويق'!C13</f>
        <v/>
      </c>
      <c r="D164" s="15">
        <f>'التسويق'!J13</f>
        <v/>
      </c>
      <c r="E164" s="13">
        <f>'التسويق'!K13</f>
        <v/>
      </c>
      <c r="F164" s="15">
        <f>'التسويق'!L13</f>
        <v/>
      </c>
      <c r="G164" s="56">
        <f>'التسويق'!N13</f>
        <v/>
      </c>
      <c r="H164" s="15">
        <f>'التسويق'!O13</f>
        <v/>
      </c>
      <c r="I164" s="24">
        <f>'التسويق'!G13</f>
        <v/>
      </c>
      <c r="J164" s="15">
        <f>IF($G164="",0,$G164*$I164)</f>
        <v/>
      </c>
      <c r="K164" s="15">
        <f>IF($G164="",0,$I164)</f>
        <v/>
      </c>
      <c r="L164" s="13">
        <f>'التسويق'!B13</f>
        <v/>
      </c>
    </row>
    <row r="165">
      <c r="A165" s="15" t="n">
        <v>164</v>
      </c>
      <c r="B165" s="13" t="inlineStr">
        <is>
          <t>التسويق</t>
        </is>
      </c>
      <c r="C165" s="13">
        <f>'التسويق'!C14</f>
        <v/>
      </c>
      <c r="D165" s="15">
        <f>'التسويق'!J14</f>
        <v/>
      </c>
      <c r="E165" s="13">
        <f>'التسويق'!K14</f>
        <v/>
      </c>
      <c r="F165" s="15">
        <f>'التسويق'!L14</f>
        <v/>
      </c>
      <c r="G165" s="56">
        <f>'التسويق'!N14</f>
        <v/>
      </c>
      <c r="H165" s="15">
        <f>'التسويق'!O14</f>
        <v/>
      </c>
      <c r="I165" s="24">
        <f>'التسويق'!G14</f>
        <v/>
      </c>
      <c r="J165" s="15">
        <f>IF($G165="",0,$G165*$I165)</f>
        <v/>
      </c>
      <c r="K165" s="15">
        <f>IF($G165="",0,$I165)</f>
        <v/>
      </c>
      <c r="L165" s="13">
        <f>'التسويق'!B14</f>
        <v/>
      </c>
    </row>
    <row r="166">
      <c r="A166" s="15" t="n">
        <v>165</v>
      </c>
      <c r="B166" s="13" t="inlineStr">
        <is>
          <t>التسويق</t>
        </is>
      </c>
      <c r="C166" s="13">
        <f>'التسويق'!C16</f>
        <v/>
      </c>
      <c r="D166" s="15">
        <f>'التسويق'!J16</f>
        <v/>
      </c>
      <c r="E166" s="13">
        <f>'التسويق'!K16</f>
        <v/>
      </c>
      <c r="F166" s="15">
        <f>'التسويق'!L16</f>
        <v/>
      </c>
      <c r="G166" s="56">
        <f>'التسويق'!N16</f>
        <v/>
      </c>
      <c r="H166" s="15">
        <f>'التسويق'!O16</f>
        <v/>
      </c>
      <c r="I166" s="24">
        <f>'التسويق'!G16</f>
        <v/>
      </c>
      <c r="J166" s="15">
        <f>IF($G166="",0,$G166*$I166)</f>
        <v/>
      </c>
      <c r="K166" s="15">
        <f>IF($G166="",0,$I166)</f>
        <v/>
      </c>
      <c r="L166" s="13">
        <f>'التسويق'!B16</f>
        <v/>
      </c>
    </row>
    <row r="167">
      <c r="A167" s="15" t="n">
        <v>166</v>
      </c>
      <c r="B167" s="13" t="inlineStr">
        <is>
          <t>التسويق</t>
        </is>
      </c>
      <c r="C167" s="13">
        <f>'التسويق'!C17</f>
        <v/>
      </c>
      <c r="D167" s="15">
        <f>'التسويق'!J17</f>
        <v/>
      </c>
      <c r="E167" s="13">
        <f>'التسويق'!K17</f>
        <v/>
      </c>
      <c r="F167" s="15">
        <f>'التسويق'!L17</f>
        <v/>
      </c>
      <c r="G167" s="56">
        <f>'التسويق'!N17</f>
        <v/>
      </c>
      <c r="H167" s="15">
        <f>'التسويق'!O17</f>
        <v/>
      </c>
      <c r="I167" s="24">
        <f>'التسويق'!G17</f>
        <v/>
      </c>
      <c r="J167" s="15">
        <f>IF($G167="",0,$G167*$I167)</f>
        <v/>
      </c>
      <c r="K167" s="15">
        <f>IF($G167="",0,$I167)</f>
        <v/>
      </c>
      <c r="L167" s="13">
        <f>'التسويق'!B17</f>
        <v/>
      </c>
    </row>
    <row r="168">
      <c r="A168" s="15" t="n">
        <v>167</v>
      </c>
      <c r="B168" s="13" t="inlineStr">
        <is>
          <t>التسويق</t>
        </is>
      </c>
      <c r="C168" s="13">
        <f>'التسويق'!C18</f>
        <v/>
      </c>
      <c r="D168" s="15">
        <f>'التسويق'!J18</f>
        <v/>
      </c>
      <c r="E168" s="13">
        <f>'التسويق'!K18</f>
        <v/>
      </c>
      <c r="F168" s="15">
        <f>'التسويق'!L18</f>
        <v/>
      </c>
      <c r="G168" s="56">
        <f>'التسويق'!N18</f>
        <v/>
      </c>
      <c r="H168" s="15">
        <f>'التسويق'!O18</f>
        <v/>
      </c>
      <c r="I168" s="24">
        <f>'التسويق'!G18</f>
        <v/>
      </c>
      <c r="J168" s="15">
        <f>IF($G168="",0,$G168*$I168)</f>
        <v/>
      </c>
      <c r="K168" s="15">
        <f>IF($G168="",0,$I168)</f>
        <v/>
      </c>
      <c r="L168" s="13">
        <f>'التسويق'!B18</f>
        <v/>
      </c>
    </row>
    <row r="169">
      <c r="A169" s="15" t="n">
        <v>168</v>
      </c>
      <c r="B169" s="13" t="inlineStr">
        <is>
          <t>التسويق</t>
        </is>
      </c>
      <c r="C169" s="13">
        <f>'التسويق'!C20</f>
        <v/>
      </c>
      <c r="D169" s="15">
        <f>'التسويق'!J20</f>
        <v/>
      </c>
      <c r="E169" s="13">
        <f>'التسويق'!K20</f>
        <v/>
      </c>
      <c r="F169" s="15">
        <f>'التسويق'!L20</f>
        <v/>
      </c>
      <c r="G169" s="56">
        <f>'التسويق'!N20</f>
        <v/>
      </c>
      <c r="H169" s="15">
        <f>'التسويق'!O20</f>
        <v/>
      </c>
      <c r="I169" s="24">
        <f>'التسويق'!G20</f>
        <v/>
      </c>
      <c r="J169" s="15">
        <f>IF($G169="",0,$G169*$I169)</f>
        <v/>
      </c>
      <c r="K169" s="15">
        <f>IF($G169="",0,$I169)</f>
        <v/>
      </c>
      <c r="L169" s="13">
        <f>'التسويق'!B20</f>
        <v/>
      </c>
    </row>
    <row r="170">
      <c r="A170" s="15" t="n">
        <v>169</v>
      </c>
      <c r="B170" s="13" t="inlineStr">
        <is>
          <t>التسويق</t>
        </is>
      </c>
      <c r="C170" s="13">
        <f>'التسويق'!C21</f>
        <v/>
      </c>
      <c r="D170" s="15">
        <f>'التسويق'!J21</f>
        <v/>
      </c>
      <c r="E170" s="13">
        <f>'التسويق'!K21</f>
        <v/>
      </c>
      <c r="F170" s="15">
        <f>'التسويق'!L21</f>
        <v/>
      </c>
      <c r="G170" s="56">
        <f>'التسويق'!N21</f>
        <v/>
      </c>
      <c r="H170" s="15">
        <f>'التسويق'!O21</f>
        <v/>
      </c>
      <c r="I170" s="24">
        <f>'التسويق'!G21</f>
        <v/>
      </c>
      <c r="J170" s="15">
        <f>IF($G170="",0,$G170*$I170)</f>
        <v/>
      </c>
      <c r="K170" s="15">
        <f>IF($G170="",0,$I170)</f>
        <v/>
      </c>
      <c r="L170" s="13">
        <f>'التسويق'!B21</f>
        <v/>
      </c>
    </row>
    <row r="171">
      <c r="A171" s="15" t="n">
        <v>170</v>
      </c>
      <c r="B171" s="13" t="inlineStr">
        <is>
          <t>التسويق</t>
        </is>
      </c>
      <c r="C171" s="13">
        <f>'التسويق'!C23</f>
        <v/>
      </c>
      <c r="D171" s="15">
        <f>'التسويق'!J23</f>
        <v/>
      </c>
      <c r="E171" s="13">
        <f>'التسويق'!K23</f>
        <v/>
      </c>
      <c r="F171" s="15">
        <f>'التسويق'!L23</f>
        <v/>
      </c>
      <c r="G171" s="56">
        <f>'التسويق'!N23</f>
        <v/>
      </c>
      <c r="H171" s="15">
        <f>'التسويق'!O23</f>
        <v/>
      </c>
      <c r="I171" s="24">
        <f>'التسويق'!G23</f>
        <v/>
      </c>
      <c r="J171" s="15">
        <f>IF($G171="",0,$G171*$I171)</f>
        <v/>
      </c>
      <c r="K171" s="15">
        <f>IF($G171="",0,$I171)</f>
        <v/>
      </c>
      <c r="L171" s="13">
        <f>'التسويق'!B23</f>
        <v/>
      </c>
    </row>
    <row r="172">
      <c r="A172" s="15" t="n">
        <v>171</v>
      </c>
      <c r="B172" s="13" t="inlineStr">
        <is>
          <t>التسويق</t>
        </is>
      </c>
      <c r="C172" s="13">
        <f>'التسويق'!C24</f>
        <v/>
      </c>
      <c r="D172" s="15">
        <f>'التسويق'!J24</f>
        <v/>
      </c>
      <c r="E172" s="13">
        <f>'التسويق'!K24</f>
        <v/>
      </c>
      <c r="F172" s="15">
        <f>'التسويق'!L24</f>
        <v/>
      </c>
      <c r="G172" s="56">
        <f>'التسويق'!N24</f>
        <v/>
      </c>
      <c r="H172" s="15">
        <f>'التسويق'!O24</f>
        <v/>
      </c>
      <c r="I172" s="24">
        <f>'التسويق'!G24</f>
        <v/>
      </c>
      <c r="J172" s="15">
        <f>IF($G172="",0,$G172*$I172)</f>
        <v/>
      </c>
      <c r="K172" s="15">
        <f>IF($G172="",0,$I172)</f>
        <v/>
      </c>
      <c r="L172" s="13">
        <f>'التسويق'!B24</f>
        <v/>
      </c>
    </row>
    <row r="173">
      <c r="A173" s="15" t="n">
        <v>172</v>
      </c>
      <c r="B173" s="13" t="inlineStr">
        <is>
          <t>الجودة</t>
        </is>
      </c>
      <c r="C173" s="13">
        <f>'الجودة'!C5</f>
        <v/>
      </c>
      <c r="D173" s="15">
        <f>'الجودة'!J5</f>
        <v/>
      </c>
      <c r="E173" s="13">
        <f>'الجودة'!K5</f>
        <v/>
      </c>
      <c r="F173" s="15">
        <f>'الجودة'!L5</f>
        <v/>
      </c>
      <c r="G173" s="56">
        <f>'الجودة'!N5</f>
        <v/>
      </c>
      <c r="H173" s="15">
        <f>'الجودة'!O5</f>
        <v/>
      </c>
      <c r="I173" s="24">
        <f>'الجودة'!G5</f>
        <v/>
      </c>
      <c r="J173" s="15">
        <f>IF($G173="",0,$G173*$I173)</f>
        <v/>
      </c>
      <c r="K173" s="15">
        <f>IF($G173="",0,$I173)</f>
        <v/>
      </c>
      <c r="L173" s="13">
        <f>'الجودة'!B5</f>
        <v/>
      </c>
    </row>
    <row r="174">
      <c r="A174" s="15" t="n">
        <v>173</v>
      </c>
      <c r="B174" s="13" t="inlineStr">
        <is>
          <t>الجودة</t>
        </is>
      </c>
      <c r="C174" s="13">
        <f>'الجودة'!C6</f>
        <v/>
      </c>
      <c r="D174" s="15">
        <f>'الجودة'!J6</f>
        <v/>
      </c>
      <c r="E174" s="13">
        <f>'الجودة'!K6</f>
        <v/>
      </c>
      <c r="F174" s="15">
        <f>'الجودة'!L6</f>
        <v/>
      </c>
      <c r="G174" s="56">
        <f>'الجودة'!N6</f>
        <v/>
      </c>
      <c r="H174" s="15">
        <f>'الجودة'!O6</f>
        <v/>
      </c>
      <c r="I174" s="24">
        <f>'الجودة'!G6</f>
        <v/>
      </c>
      <c r="J174" s="15">
        <f>IF($G174="",0,$G174*$I174)</f>
        <v/>
      </c>
      <c r="K174" s="15">
        <f>IF($G174="",0,$I174)</f>
        <v/>
      </c>
      <c r="L174" s="13">
        <f>'الجودة'!B6</f>
        <v/>
      </c>
    </row>
    <row r="175">
      <c r="A175" s="15" t="n">
        <v>174</v>
      </c>
      <c r="B175" s="13" t="inlineStr">
        <is>
          <t>الجودة</t>
        </is>
      </c>
      <c r="C175" s="13">
        <f>'الجودة'!C7</f>
        <v/>
      </c>
      <c r="D175" s="15">
        <f>'الجودة'!J7</f>
        <v/>
      </c>
      <c r="E175" s="13">
        <f>'الجودة'!K7</f>
        <v/>
      </c>
      <c r="F175" s="15">
        <f>'الجودة'!L7</f>
        <v/>
      </c>
      <c r="G175" s="56">
        <f>'الجودة'!N7</f>
        <v/>
      </c>
      <c r="H175" s="15">
        <f>'الجودة'!O7</f>
        <v/>
      </c>
      <c r="I175" s="24">
        <f>'الجودة'!G7</f>
        <v/>
      </c>
      <c r="J175" s="15">
        <f>IF($G175="",0,$G175*$I175)</f>
        <v/>
      </c>
      <c r="K175" s="15">
        <f>IF($G175="",0,$I175)</f>
        <v/>
      </c>
      <c r="L175" s="13">
        <f>'الجودة'!B7</f>
        <v/>
      </c>
    </row>
    <row r="176">
      <c r="A176" s="15" t="n">
        <v>175</v>
      </c>
      <c r="B176" s="13" t="inlineStr">
        <is>
          <t>الجودة</t>
        </is>
      </c>
      <c r="C176" s="13">
        <f>'الجودة'!C8</f>
        <v/>
      </c>
      <c r="D176" s="15">
        <f>'الجودة'!J8</f>
        <v/>
      </c>
      <c r="E176" s="13">
        <f>'الجودة'!K8</f>
        <v/>
      </c>
      <c r="F176" s="15">
        <f>'الجودة'!L8</f>
        <v/>
      </c>
      <c r="G176" s="56">
        <f>'الجودة'!N8</f>
        <v/>
      </c>
      <c r="H176" s="15">
        <f>'الجودة'!O8</f>
        <v/>
      </c>
      <c r="I176" s="24">
        <f>'الجودة'!G8</f>
        <v/>
      </c>
      <c r="J176" s="15">
        <f>IF($G176="",0,$G176*$I176)</f>
        <v/>
      </c>
      <c r="K176" s="15">
        <f>IF($G176="",0,$I176)</f>
        <v/>
      </c>
      <c r="L176" s="13">
        <f>'الجودة'!B8</f>
        <v/>
      </c>
    </row>
    <row r="177">
      <c r="A177" s="15" t="n">
        <v>176</v>
      </c>
      <c r="B177" s="13" t="inlineStr">
        <is>
          <t>الجودة</t>
        </is>
      </c>
      <c r="C177" s="13">
        <f>'الجودة'!C9</f>
        <v/>
      </c>
      <c r="D177" s="15">
        <f>'الجودة'!J9</f>
        <v/>
      </c>
      <c r="E177" s="13">
        <f>'الجودة'!K9</f>
        <v/>
      </c>
      <c r="F177" s="15">
        <f>'الجودة'!L9</f>
        <v/>
      </c>
      <c r="G177" s="56">
        <f>'الجودة'!N9</f>
        <v/>
      </c>
      <c r="H177" s="15">
        <f>'الجودة'!O9</f>
        <v/>
      </c>
      <c r="I177" s="24">
        <f>'الجودة'!G9</f>
        <v/>
      </c>
      <c r="J177" s="15">
        <f>IF($G177="",0,$G177*$I177)</f>
        <v/>
      </c>
      <c r="K177" s="15">
        <f>IF($G177="",0,$I177)</f>
        <v/>
      </c>
      <c r="L177" s="13">
        <f>'الجودة'!B9</f>
        <v/>
      </c>
    </row>
    <row r="178">
      <c r="A178" s="15" t="n">
        <v>177</v>
      </c>
      <c r="B178" s="13" t="inlineStr">
        <is>
          <t>الجودة</t>
        </is>
      </c>
      <c r="C178" s="13">
        <f>'الجودة'!C10</f>
        <v/>
      </c>
      <c r="D178" s="15">
        <f>'الجودة'!J10</f>
        <v/>
      </c>
      <c r="E178" s="13">
        <f>'الجودة'!K10</f>
        <v/>
      </c>
      <c r="F178" s="15">
        <f>'الجودة'!L10</f>
        <v/>
      </c>
      <c r="G178" s="56">
        <f>'الجودة'!N10</f>
        <v/>
      </c>
      <c r="H178" s="15">
        <f>'الجودة'!O10</f>
        <v/>
      </c>
      <c r="I178" s="24">
        <f>'الجودة'!G10</f>
        <v/>
      </c>
      <c r="J178" s="15">
        <f>IF($G178="",0,$G178*$I178)</f>
        <v/>
      </c>
      <c r="K178" s="15">
        <f>IF($G178="",0,$I178)</f>
        <v/>
      </c>
      <c r="L178" s="13">
        <f>'الجودة'!B10</f>
        <v/>
      </c>
    </row>
    <row r="179">
      <c r="A179" s="15" t="n">
        <v>178</v>
      </c>
      <c r="B179" s="13" t="inlineStr">
        <is>
          <t>الجودة</t>
        </is>
      </c>
      <c r="C179" s="13">
        <f>'الجودة'!C11</f>
        <v/>
      </c>
      <c r="D179" s="15">
        <f>'الجودة'!J11</f>
        <v/>
      </c>
      <c r="E179" s="13">
        <f>'الجودة'!K11</f>
        <v/>
      </c>
      <c r="F179" s="15">
        <f>'الجودة'!L11</f>
        <v/>
      </c>
      <c r="G179" s="56">
        <f>'الجودة'!N11</f>
        <v/>
      </c>
      <c r="H179" s="15">
        <f>'الجودة'!O11</f>
        <v/>
      </c>
      <c r="I179" s="24">
        <f>'الجودة'!G11</f>
        <v/>
      </c>
      <c r="J179" s="15">
        <f>IF($G179="",0,$G179*$I179)</f>
        <v/>
      </c>
      <c r="K179" s="15">
        <f>IF($G179="",0,$I179)</f>
        <v/>
      </c>
      <c r="L179" s="13">
        <f>'الجودة'!B11</f>
        <v/>
      </c>
    </row>
    <row r="180">
      <c r="A180" s="15" t="n">
        <v>179</v>
      </c>
      <c r="B180" s="13" t="inlineStr">
        <is>
          <t>الجودة</t>
        </is>
      </c>
      <c r="C180" s="13">
        <f>'الجودة'!C12</f>
        <v/>
      </c>
      <c r="D180" s="15">
        <f>'الجودة'!J12</f>
        <v/>
      </c>
      <c r="E180" s="13">
        <f>'الجودة'!K12</f>
        <v/>
      </c>
      <c r="F180" s="15">
        <f>'الجودة'!L12</f>
        <v/>
      </c>
      <c r="G180" s="56">
        <f>'الجودة'!N12</f>
        <v/>
      </c>
      <c r="H180" s="15">
        <f>'الجودة'!O12</f>
        <v/>
      </c>
      <c r="I180" s="24">
        <f>'الجودة'!G12</f>
        <v/>
      </c>
      <c r="J180" s="15">
        <f>IF($G180="",0,$G180*$I180)</f>
        <v/>
      </c>
      <c r="K180" s="15">
        <f>IF($G180="",0,$I180)</f>
        <v/>
      </c>
      <c r="L180" s="13">
        <f>'الجودة'!B12</f>
        <v/>
      </c>
    </row>
    <row r="181">
      <c r="A181" s="15" t="n">
        <v>180</v>
      </c>
      <c r="B181" s="13" t="inlineStr">
        <is>
          <t>الجودة</t>
        </is>
      </c>
      <c r="C181" s="13">
        <f>'الجودة'!C13</f>
        <v/>
      </c>
      <c r="D181" s="15">
        <f>'الجودة'!J13</f>
        <v/>
      </c>
      <c r="E181" s="13">
        <f>'الجودة'!K13</f>
        <v/>
      </c>
      <c r="F181" s="15">
        <f>'الجودة'!L13</f>
        <v/>
      </c>
      <c r="G181" s="56">
        <f>'الجودة'!N13</f>
        <v/>
      </c>
      <c r="H181" s="15">
        <f>'الجودة'!O13</f>
        <v/>
      </c>
      <c r="I181" s="24">
        <f>'الجودة'!G13</f>
        <v/>
      </c>
      <c r="J181" s="15">
        <f>IF($G181="",0,$G181*$I181)</f>
        <v/>
      </c>
      <c r="K181" s="15">
        <f>IF($G181="",0,$I181)</f>
        <v/>
      </c>
      <c r="L181" s="13">
        <f>'الجودة'!B13</f>
        <v/>
      </c>
    </row>
    <row r="182">
      <c r="A182" s="15" t="n">
        <v>181</v>
      </c>
      <c r="B182" s="13" t="inlineStr">
        <is>
          <t>الجودة</t>
        </is>
      </c>
      <c r="C182" s="13">
        <f>'الجودة'!C14</f>
        <v/>
      </c>
      <c r="D182" s="15">
        <f>'الجودة'!J14</f>
        <v/>
      </c>
      <c r="E182" s="13">
        <f>'الجودة'!K14</f>
        <v/>
      </c>
      <c r="F182" s="15">
        <f>'الجودة'!L14</f>
        <v/>
      </c>
      <c r="G182" s="56">
        <f>'الجودة'!N14</f>
        <v/>
      </c>
      <c r="H182" s="15">
        <f>'الجودة'!O14</f>
        <v/>
      </c>
      <c r="I182" s="24">
        <f>'الجودة'!G14</f>
        <v/>
      </c>
      <c r="J182" s="15">
        <f>IF($G182="",0,$G182*$I182)</f>
        <v/>
      </c>
      <c r="K182" s="15">
        <f>IF($G182="",0,$I182)</f>
        <v/>
      </c>
      <c r="L182" s="13">
        <f>'الجودة'!B14</f>
        <v/>
      </c>
    </row>
    <row r="183">
      <c r="A183" s="15" t="n">
        <v>182</v>
      </c>
      <c r="B183" s="13" t="inlineStr">
        <is>
          <t>الجودة</t>
        </is>
      </c>
      <c r="C183" s="13">
        <f>'الجودة'!C15</f>
        <v/>
      </c>
      <c r="D183" s="15">
        <f>'الجودة'!J15</f>
        <v/>
      </c>
      <c r="E183" s="13">
        <f>'الجودة'!K15</f>
        <v/>
      </c>
      <c r="F183" s="15">
        <f>'الجودة'!L15</f>
        <v/>
      </c>
      <c r="G183" s="56">
        <f>'الجودة'!N15</f>
        <v/>
      </c>
      <c r="H183" s="15">
        <f>'الجودة'!O15</f>
        <v/>
      </c>
      <c r="I183" s="24">
        <f>'الجودة'!G15</f>
        <v/>
      </c>
      <c r="J183" s="15">
        <f>IF($G183="",0,$G183*$I183)</f>
        <v/>
      </c>
      <c r="K183" s="15">
        <f>IF($G183="",0,$I183)</f>
        <v/>
      </c>
      <c r="L183" s="13">
        <f>'الجودة'!B15</f>
        <v/>
      </c>
    </row>
    <row r="184">
      <c r="A184" s="15" t="n">
        <v>183</v>
      </c>
      <c r="B184" s="13" t="inlineStr">
        <is>
          <t>الجودة</t>
        </is>
      </c>
      <c r="C184" s="13">
        <f>'الجودة'!C16</f>
        <v/>
      </c>
      <c r="D184" s="15">
        <f>'الجودة'!J16</f>
        <v/>
      </c>
      <c r="E184" s="13">
        <f>'الجودة'!K16</f>
        <v/>
      </c>
      <c r="F184" s="15">
        <f>'الجودة'!L16</f>
        <v/>
      </c>
      <c r="G184" s="56">
        <f>'الجودة'!N16</f>
        <v/>
      </c>
      <c r="H184" s="15">
        <f>'الجودة'!O16</f>
        <v/>
      </c>
      <c r="I184" s="24">
        <f>'الجودة'!G16</f>
        <v/>
      </c>
      <c r="J184" s="15">
        <f>IF($G184="",0,$G184*$I184)</f>
        <v/>
      </c>
      <c r="K184" s="15">
        <f>IF($G184="",0,$I184)</f>
        <v/>
      </c>
      <c r="L184" s="13">
        <f>'الجودة'!B16</f>
        <v/>
      </c>
    </row>
    <row r="185">
      <c r="A185" s="15" t="n">
        <v>184</v>
      </c>
      <c r="B185" s="13" t="inlineStr">
        <is>
          <t>الجودة</t>
        </is>
      </c>
      <c r="C185" s="13">
        <f>'الجودة'!C17</f>
        <v/>
      </c>
      <c r="D185" s="15">
        <f>'الجودة'!J17</f>
        <v/>
      </c>
      <c r="E185" s="13">
        <f>'الجودة'!K17</f>
        <v/>
      </c>
      <c r="F185" s="15">
        <f>'الجودة'!L17</f>
        <v/>
      </c>
      <c r="G185" s="56">
        <f>'الجودة'!N17</f>
        <v/>
      </c>
      <c r="H185" s="15">
        <f>'الجودة'!O17</f>
        <v/>
      </c>
      <c r="I185" s="24">
        <f>'الجودة'!G17</f>
        <v/>
      </c>
      <c r="J185" s="15">
        <f>IF($G185="",0,$G185*$I185)</f>
        <v/>
      </c>
      <c r="K185" s="15">
        <f>IF($G185="",0,$I185)</f>
        <v/>
      </c>
      <c r="L185" s="13">
        <f>'الجودة'!B17</f>
        <v/>
      </c>
    </row>
    <row r="186">
      <c r="A186" s="15" t="n">
        <v>185</v>
      </c>
      <c r="B186" s="13" t="inlineStr">
        <is>
          <t>الجودة</t>
        </is>
      </c>
      <c r="C186" s="13">
        <f>'الجودة'!C18</f>
        <v/>
      </c>
      <c r="D186" s="15">
        <f>'الجودة'!J18</f>
        <v/>
      </c>
      <c r="E186" s="13">
        <f>'الجودة'!K18</f>
        <v/>
      </c>
      <c r="F186" s="15">
        <f>'الجودة'!L18</f>
        <v/>
      </c>
      <c r="G186" s="56">
        <f>'الجودة'!N18</f>
        <v/>
      </c>
      <c r="H186" s="15">
        <f>'الجودة'!O18</f>
        <v/>
      </c>
      <c r="I186" s="24">
        <f>'الجودة'!G18</f>
        <v/>
      </c>
      <c r="J186" s="15">
        <f>IF($G186="",0,$G186*$I186)</f>
        <v/>
      </c>
      <c r="K186" s="15">
        <f>IF($G186="",0,$I186)</f>
        <v/>
      </c>
      <c r="L186" s="13">
        <f>'الجودة'!B18</f>
        <v/>
      </c>
    </row>
    <row r="187">
      <c r="A187" s="15" t="n">
        <v>186</v>
      </c>
      <c r="B187" s="13" t="inlineStr">
        <is>
          <t>الإدارة القانونية</t>
        </is>
      </c>
      <c r="C187" s="13">
        <f>'الإدارة القانونية'!C5</f>
        <v/>
      </c>
      <c r="D187" s="15">
        <f>'الإدارة القانونية'!J5</f>
        <v/>
      </c>
      <c r="E187" s="13">
        <f>'الإدارة القانونية'!K5</f>
        <v/>
      </c>
      <c r="F187" s="15">
        <f>'الإدارة القانونية'!L5</f>
        <v/>
      </c>
      <c r="G187" s="56">
        <f>'الإدارة القانونية'!N5</f>
        <v/>
      </c>
      <c r="H187" s="15">
        <f>'الإدارة القانونية'!O5</f>
        <v/>
      </c>
      <c r="I187" s="24">
        <f>'الإدارة القانونية'!G5</f>
        <v/>
      </c>
      <c r="J187" s="15">
        <f>IF($G187="",0,$G187*$I187)</f>
        <v/>
      </c>
      <c r="K187" s="15">
        <f>IF($G187="",0,$I187)</f>
        <v/>
      </c>
      <c r="L187" s="13">
        <f>'الإدارة القانونية'!B5</f>
        <v/>
      </c>
    </row>
    <row r="188">
      <c r="A188" s="15" t="n">
        <v>187</v>
      </c>
      <c r="B188" s="13" t="inlineStr">
        <is>
          <t>الإدارة القانونية</t>
        </is>
      </c>
      <c r="C188" s="13">
        <f>'الإدارة القانونية'!C6</f>
        <v/>
      </c>
      <c r="D188" s="15">
        <f>'الإدارة القانونية'!J6</f>
        <v/>
      </c>
      <c r="E188" s="13">
        <f>'الإدارة القانونية'!K6</f>
        <v/>
      </c>
      <c r="F188" s="15">
        <f>'الإدارة القانونية'!L6</f>
        <v/>
      </c>
      <c r="G188" s="56">
        <f>'الإدارة القانونية'!N6</f>
        <v/>
      </c>
      <c r="H188" s="15">
        <f>'الإدارة القانونية'!O6</f>
        <v/>
      </c>
      <c r="I188" s="24">
        <f>'الإدارة القانونية'!G6</f>
        <v/>
      </c>
      <c r="J188" s="15">
        <f>IF($G188="",0,$G188*$I188)</f>
        <v/>
      </c>
      <c r="K188" s="15">
        <f>IF($G188="",0,$I188)</f>
        <v/>
      </c>
      <c r="L188" s="13">
        <f>'الإدارة القانونية'!B6</f>
        <v/>
      </c>
    </row>
    <row r="189">
      <c r="A189" s="15" t="n">
        <v>188</v>
      </c>
      <c r="B189" s="13" t="inlineStr">
        <is>
          <t>الإدارة القانونية</t>
        </is>
      </c>
      <c r="C189" s="13">
        <f>'الإدارة القانونية'!C7</f>
        <v/>
      </c>
      <c r="D189" s="15">
        <f>'الإدارة القانونية'!J7</f>
        <v/>
      </c>
      <c r="E189" s="13">
        <f>'الإدارة القانونية'!K7</f>
        <v/>
      </c>
      <c r="F189" s="15">
        <f>'الإدارة القانونية'!L7</f>
        <v/>
      </c>
      <c r="G189" s="56">
        <f>'الإدارة القانونية'!N7</f>
        <v/>
      </c>
      <c r="H189" s="15">
        <f>'الإدارة القانونية'!O7</f>
        <v/>
      </c>
      <c r="I189" s="24">
        <f>'الإدارة القانونية'!G7</f>
        <v/>
      </c>
      <c r="J189" s="15">
        <f>IF($G189="",0,$G189*$I189)</f>
        <v/>
      </c>
      <c r="K189" s="15">
        <f>IF($G189="",0,$I189)</f>
        <v/>
      </c>
      <c r="L189" s="13">
        <f>'الإدارة القانونية'!B7</f>
        <v/>
      </c>
    </row>
    <row r="190">
      <c r="A190" s="15" t="n">
        <v>189</v>
      </c>
      <c r="B190" s="13" t="inlineStr">
        <is>
          <t>الإدارة القانونية</t>
        </is>
      </c>
      <c r="C190" s="13">
        <f>'الإدارة القانونية'!C9</f>
        <v/>
      </c>
      <c r="D190" s="15">
        <f>'الإدارة القانونية'!J9</f>
        <v/>
      </c>
      <c r="E190" s="13">
        <f>'الإدارة القانونية'!K9</f>
        <v/>
      </c>
      <c r="F190" s="15">
        <f>'الإدارة القانونية'!L9</f>
        <v/>
      </c>
      <c r="G190" s="56">
        <f>'الإدارة القانونية'!N9</f>
        <v/>
      </c>
      <c r="H190" s="15">
        <f>'الإدارة القانونية'!O9</f>
        <v/>
      </c>
      <c r="I190" s="24">
        <f>'الإدارة القانونية'!G9</f>
        <v/>
      </c>
      <c r="J190" s="15">
        <f>IF($G190="",0,$G190*$I190)</f>
        <v/>
      </c>
      <c r="K190" s="15">
        <f>IF($G190="",0,$I190)</f>
        <v/>
      </c>
      <c r="L190" s="13">
        <f>'الإدارة القانونية'!B9</f>
        <v/>
      </c>
    </row>
    <row r="191">
      <c r="A191" s="15" t="n">
        <v>190</v>
      </c>
      <c r="B191" s="13" t="inlineStr">
        <is>
          <t>الإدارة القانونية</t>
        </is>
      </c>
      <c r="C191" s="13">
        <f>'الإدارة القانونية'!C10</f>
        <v/>
      </c>
      <c r="D191" s="15">
        <f>'الإدارة القانونية'!J10</f>
        <v/>
      </c>
      <c r="E191" s="13">
        <f>'الإدارة القانونية'!K10</f>
        <v/>
      </c>
      <c r="F191" s="15">
        <f>'الإدارة القانونية'!L10</f>
        <v/>
      </c>
      <c r="G191" s="56">
        <f>'الإدارة القانونية'!N10</f>
        <v/>
      </c>
      <c r="H191" s="15">
        <f>'الإدارة القانونية'!O10</f>
        <v/>
      </c>
      <c r="I191" s="24">
        <f>'الإدارة القانونية'!G10</f>
        <v/>
      </c>
      <c r="J191" s="15">
        <f>IF($G191="",0,$G191*$I191)</f>
        <v/>
      </c>
      <c r="K191" s="15">
        <f>IF($G191="",0,$I191)</f>
        <v/>
      </c>
      <c r="L191" s="13">
        <f>'الإدارة القانونية'!B10</f>
        <v/>
      </c>
    </row>
    <row r="192">
      <c r="A192" s="15" t="n">
        <v>191</v>
      </c>
      <c r="B192" s="13" t="inlineStr">
        <is>
          <t>الإدارة القانونية</t>
        </is>
      </c>
      <c r="C192" s="13">
        <f>'الإدارة القانونية'!C11</f>
        <v/>
      </c>
      <c r="D192" s="15">
        <f>'الإدارة القانونية'!J11</f>
        <v/>
      </c>
      <c r="E192" s="13">
        <f>'الإدارة القانونية'!K11</f>
        <v/>
      </c>
      <c r="F192" s="15">
        <f>'الإدارة القانونية'!L11</f>
        <v/>
      </c>
      <c r="G192" s="56">
        <f>'الإدارة القانونية'!N11</f>
        <v/>
      </c>
      <c r="H192" s="15">
        <f>'الإدارة القانونية'!O11</f>
        <v/>
      </c>
      <c r="I192" s="24">
        <f>'الإدارة القانونية'!G11</f>
        <v/>
      </c>
      <c r="J192" s="15">
        <f>IF($G192="",0,$G192*$I192)</f>
        <v/>
      </c>
      <c r="K192" s="15">
        <f>IF($G192="",0,$I192)</f>
        <v/>
      </c>
      <c r="L192" s="13">
        <f>'الإدارة القانونية'!B11</f>
        <v/>
      </c>
    </row>
    <row r="193">
      <c r="A193" s="15" t="n">
        <v>192</v>
      </c>
      <c r="B193" s="13" t="inlineStr">
        <is>
          <t>الإدارة القانونية</t>
        </is>
      </c>
      <c r="C193" s="13">
        <f>'الإدارة القانونية'!C13</f>
        <v/>
      </c>
      <c r="D193" s="15">
        <f>'الإدارة القانونية'!J13</f>
        <v/>
      </c>
      <c r="E193" s="13">
        <f>'الإدارة القانونية'!K13</f>
        <v/>
      </c>
      <c r="F193" s="15">
        <f>'الإدارة القانونية'!L13</f>
        <v/>
      </c>
      <c r="G193" s="56">
        <f>'الإدارة القانونية'!N13</f>
        <v/>
      </c>
      <c r="H193" s="15">
        <f>'الإدارة القانونية'!O13</f>
        <v/>
      </c>
      <c r="I193" s="24">
        <f>'الإدارة القانونية'!G13</f>
        <v/>
      </c>
      <c r="J193" s="15">
        <f>IF($G193="",0,$G193*$I193)</f>
        <v/>
      </c>
      <c r="K193" s="15">
        <f>IF($G193="",0,$I193)</f>
        <v/>
      </c>
      <c r="L193" s="13">
        <f>'الإدارة القانونية'!B13</f>
        <v/>
      </c>
    </row>
    <row r="194">
      <c r="A194" s="15" t="n">
        <v>193</v>
      </c>
      <c r="B194" s="13" t="inlineStr">
        <is>
          <t>الإدارة القانونية</t>
        </is>
      </c>
      <c r="C194" s="13">
        <f>'الإدارة القانونية'!C14</f>
        <v/>
      </c>
      <c r="D194" s="15">
        <f>'الإدارة القانونية'!J14</f>
        <v/>
      </c>
      <c r="E194" s="13">
        <f>'الإدارة القانونية'!K14</f>
        <v/>
      </c>
      <c r="F194" s="15">
        <f>'الإدارة القانونية'!L14</f>
        <v/>
      </c>
      <c r="G194" s="56">
        <f>'الإدارة القانونية'!N14</f>
        <v/>
      </c>
      <c r="H194" s="15">
        <f>'الإدارة القانونية'!O14</f>
        <v/>
      </c>
      <c r="I194" s="24">
        <f>'الإدارة القانونية'!G14</f>
        <v/>
      </c>
      <c r="J194" s="15">
        <f>IF($G194="",0,$G194*$I194)</f>
        <v/>
      </c>
      <c r="K194" s="15">
        <f>IF($G194="",0,$I194)</f>
        <v/>
      </c>
      <c r="L194" s="13">
        <f>'الإدارة القانونية'!B14</f>
        <v/>
      </c>
    </row>
    <row r="195">
      <c r="A195" s="15" t="n">
        <v>194</v>
      </c>
      <c r="B195" s="13" t="inlineStr">
        <is>
          <t>الإدارة القانونية</t>
        </is>
      </c>
      <c r="C195" s="13">
        <f>'الإدارة القانونية'!C16</f>
        <v/>
      </c>
      <c r="D195" s="15">
        <f>'الإدارة القانونية'!J16</f>
        <v/>
      </c>
      <c r="E195" s="13">
        <f>'الإدارة القانونية'!K16</f>
        <v/>
      </c>
      <c r="F195" s="15">
        <f>'الإدارة القانونية'!L16</f>
        <v/>
      </c>
      <c r="G195" s="56">
        <f>'الإدارة القانونية'!N16</f>
        <v/>
      </c>
      <c r="H195" s="15">
        <f>'الإدارة القانونية'!O16</f>
        <v/>
      </c>
      <c r="I195" s="24">
        <f>'الإدارة القانونية'!G16</f>
        <v/>
      </c>
      <c r="J195" s="15">
        <f>IF($G195="",0,$G195*$I195)</f>
        <v/>
      </c>
      <c r="K195" s="15">
        <f>IF($G195="",0,$I195)</f>
        <v/>
      </c>
      <c r="L195" s="13">
        <f>'الإدارة القانونية'!B16</f>
        <v/>
      </c>
    </row>
    <row r="196">
      <c r="A196" s="15" t="n">
        <v>195</v>
      </c>
      <c r="B196" s="13" t="inlineStr">
        <is>
          <t>الإدارة القانونية</t>
        </is>
      </c>
      <c r="C196" s="13">
        <f>'الإدارة القانونية'!C17</f>
        <v/>
      </c>
      <c r="D196" s="15">
        <f>'الإدارة القانونية'!J17</f>
        <v/>
      </c>
      <c r="E196" s="13">
        <f>'الإدارة القانونية'!K17</f>
        <v/>
      </c>
      <c r="F196" s="15">
        <f>'الإدارة القانونية'!L17</f>
        <v/>
      </c>
      <c r="G196" s="56">
        <f>'الإدارة القانونية'!N17</f>
        <v/>
      </c>
      <c r="H196" s="15">
        <f>'الإدارة القانونية'!O17</f>
        <v/>
      </c>
      <c r="I196" s="24">
        <f>'الإدارة القانونية'!G17</f>
        <v/>
      </c>
      <c r="J196" s="15">
        <f>IF($G196="",0,$G196*$I196)</f>
        <v/>
      </c>
      <c r="K196" s="15">
        <f>IF($G196="",0,$I196)</f>
        <v/>
      </c>
      <c r="L196" s="13">
        <f>'الإدارة القانونية'!B17</f>
        <v/>
      </c>
    </row>
    <row r="197">
      <c r="A197" s="15" t="n">
        <v>196</v>
      </c>
      <c r="B197" s="13" t="inlineStr">
        <is>
          <t>الإدارة القانونية</t>
        </is>
      </c>
      <c r="C197" s="13">
        <f>'الإدارة القانونية'!C18</f>
        <v/>
      </c>
      <c r="D197" s="15">
        <f>'الإدارة القانونية'!J18</f>
        <v/>
      </c>
      <c r="E197" s="13">
        <f>'الإدارة القانونية'!K18</f>
        <v/>
      </c>
      <c r="F197" s="15">
        <f>'الإدارة القانونية'!L18</f>
        <v/>
      </c>
      <c r="G197" s="56">
        <f>'الإدارة القانونية'!N18</f>
        <v/>
      </c>
      <c r="H197" s="15">
        <f>'الإدارة القانونية'!O18</f>
        <v/>
      </c>
      <c r="I197" s="24">
        <f>'الإدارة القانونية'!G18</f>
        <v/>
      </c>
      <c r="J197" s="15">
        <f>IF($G197="",0,$G197*$I197)</f>
        <v/>
      </c>
      <c r="K197" s="15">
        <f>IF($G197="",0,$I197)</f>
        <v/>
      </c>
      <c r="L197" s="13">
        <f>'الإدارة القانونية'!B18</f>
        <v/>
      </c>
    </row>
    <row r="198">
      <c r="A198" s="15" t="n">
        <v>197</v>
      </c>
      <c r="B198" s="13" t="inlineStr">
        <is>
          <t>الإدارة القانونية</t>
        </is>
      </c>
      <c r="C198" s="13">
        <f>'الإدارة القانونية'!C19</f>
        <v/>
      </c>
      <c r="D198" s="15">
        <f>'الإدارة القانونية'!J19</f>
        <v/>
      </c>
      <c r="E198" s="13">
        <f>'الإدارة القانونية'!K19</f>
        <v/>
      </c>
      <c r="F198" s="15">
        <f>'الإدارة القانونية'!L19</f>
        <v/>
      </c>
      <c r="G198" s="56">
        <f>'الإدارة القانونية'!N19</f>
        <v/>
      </c>
      <c r="H198" s="15">
        <f>'الإدارة القانونية'!O19</f>
        <v/>
      </c>
      <c r="I198" s="24">
        <f>'الإدارة القانونية'!G19</f>
        <v/>
      </c>
      <c r="J198" s="15">
        <f>IF($G198="",0,$G198*$I198)</f>
        <v/>
      </c>
      <c r="K198" s="15">
        <f>IF($G198="",0,$I198)</f>
        <v/>
      </c>
      <c r="L198" s="13">
        <f>'الإدارة القانونية'!B19</f>
        <v/>
      </c>
    </row>
    <row r="199">
      <c r="A199" s="15" t="n">
        <v>198</v>
      </c>
      <c r="B199" s="13" t="inlineStr">
        <is>
          <t>الإدارة القانونية</t>
        </is>
      </c>
      <c r="C199" s="13">
        <f>'الإدارة القانونية'!C20</f>
        <v/>
      </c>
      <c r="D199" s="15">
        <f>'الإدارة القانونية'!J20</f>
        <v/>
      </c>
      <c r="E199" s="13">
        <f>'الإدارة القانونية'!K20</f>
        <v/>
      </c>
      <c r="F199" s="15">
        <f>'الإدارة القانونية'!L20</f>
        <v/>
      </c>
      <c r="G199" s="56">
        <f>'الإدارة القانونية'!N20</f>
        <v/>
      </c>
      <c r="H199" s="15">
        <f>'الإدارة القانونية'!O20</f>
        <v/>
      </c>
      <c r="I199" s="24">
        <f>'الإدارة القانونية'!G20</f>
        <v/>
      </c>
      <c r="J199" s="15">
        <f>IF($G199="",0,$G199*$I199)</f>
        <v/>
      </c>
      <c r="K199" s="15">
        <f>IF($G199="",0,$I199)</f>
        <v/>
      </c>
      <c r="L199" s="13">
        <f>'الإدارة القانونية'!B20</f>
        <v/>
      </c>
    </row>
    <row r="200">
      <c r="A200" s="15" t="n">
        <v>199</v>
      </c>
      <c r="B200" s="13" t="inlineStr">
        <is>
          <t>الإدارة المالية</t>
        </is>
      </c>
      <c r="C200" s="13">
        <f>'الإدارة المالية'!C5</f>
        <v/>
      </c>
      <c r="D200" s="15">
        <f>'الإدارة المالية'!J5</f>
        <v/>
      </c>
      <c r="E200" s="13">
        <f>'الإدارة المالية'!K5</f>
        <v/>
      </c>
      <c r="F200" s="15">
        <f>'الإدارة المالية'!L5</f>
        <v/>
      </c>
      <c r="G200" s="56">
        <f>'الإدارة المالية'!N5</f>
        <v/>
      </c>
      <c r="H200" s="15">
        <f>'الإدارة المالية'!O5</f>
        <v/>
      </c>
      <c r="I200" s="24">
        <f>'الإدارة المالية'!G5</f>
        <v/>
      </c>
      <c r="J200" s="15">
        <f>IF($G200="",0,$G200*$I200)</f>
        <v/>
      </c>
      <c r="K200" s="15">
        <f>IF($G200="",0,$I200)</f>
        <v/>
      </c>
      <c r="L200" s="13">
        <f>'الإدارة المالية'!B5</f>
        <v/>
      </c>
    </row>
    <row r="201">
      <c r="A201" s="15" t="n">
        <v>200</v>
      </c>
      <c r="B201" s="13" t="inlineStr">
        <is>
          <t>الإدارة المالية</t>
        </is>
      </c>
      <c r="C201" s="13">
        <f>'الإدارة المالية'!C6</f>
        <v/>
      </c>
      <c r="D201" s="15">
        <f>'الإدارة المالية'!J6</f>
        <v/>
      </c>
      <c r="E201" s="13">
        <f>'الإدارة المالية'!K6</f>
        <v/>
      </c>
      <c r="F201" s="15">
        <f>'الإدارة المالية'!L6</f>
        <v/>
      </c>
      <c r="G201" s="56">
        <f>'الإدارة المالية'!N6</f>
        <v/>
      </c>
      <c r="H201" s="15">
        <f>'الإدارة المالية'!O6</f>
        <v/>
      </c>
      <c r="I201" s="24">
        <f>'الإدارة المالية'!G6</f>
        <v/>
      </c>
      <c r="J201" s="15">
        <f>IF($G201="",0,$G201*$I201)</f>
        <v/>
      </c>
      <c r="K201" s="15">
        <f>IF($G201="",0,$I201)</f>
        <v/>
      </c>
      <c r="L201" s="13">
        <f>'الإدارة المالية'!B6</f>
        <v/>
      </c>
    </row>
    <row r="202">
      <c r="A202" s="15" t="n">
        <v>201</v>
      </c>
      <c r="B202" s="13" t="inlineStr">
        <is>
          <t>الإدارة المالية</t>
        </is>
      </c>
      <c r="C202" s="13">
        <f>'الإدارة المالية'!C7</f>
        <v/>
      </c>
      <c r="D202" s="15">
        <f>'الإدارة المالية'!J7</f>
        <v/>
      </c>
      <c r="E202" s="13">
        <f>'الإدارة المالية'!K7</f>
        <v/>
      </c>
      <c r="F202" s="15">
        <f>'الإدارة المالية'!L7</f>
        <v/>
      </c>
      <c r="G202" s="56">
        <f>'الإدارة المالية'!N7</f>
        <v/>
      </c>
      <c r="H202" s="15">
        <f>'الإدارة المالية'!O7</f>
        <v/>
      </c>
      <c r="I202" s="24">
        <f>'الإدارة المالية'!G7</f>
        <v/>
      </c>
      <c r="J202" s="15">
        <f>IF($G202="",0,$G202*$I202)</f>
        <v/>
      </c>
      <c r="K202" s="15">
        <f>IF($G202="",0,$I202)</f>
        <v/>
      </c>
      <c r="L202" s="13">
        <f>'الإدارة المالية'!B7</f>
        <v/>
      </c>
    </row>
    <row r="203">
      <c r="A203" s="15" t="n">
        <v>202</v>
      </c>
      <c r="B203" s="13" t="inlineStr">
        <is>
          <t>الإدارة المالية</t>
        </is>
      </c>
      <c r="C203" s="13">
        <f>'الإدارة المالية'!C8</f>
        <v/>
      </c>
      <c r="D203" s="15">
        <f>'الإدارة المالية'!J8</f>
        <v/>
      </c>
      <c r="E203" s="13">
        <f>'الإدارة المالية'!K8</f>
        <v/>
      </c>
      <c r="F203" s="15">
        <f>'الإدارة المالية'!L8</f>
        <v/>
      </c>
      <c r="G203" s="56">
        <f>'الإدارة المالية'!N8</f>
        <v/>
      </c>
      <c r="H203" s="15">
        <f>'الإدارة المالية'!O8</f>
        <v/>
      </c>
      <c r="I203" s="24">
        <f>'الإدارة المالية'!G8</f>
        <v/>
      </c>
      <c r="J203" s="15">
        <f>IF($G203="",0,$G203*$I203)</f>
        <v/>
      </c>
      <c r="K203" s="15">
        <f>IF($G203="",0,$I203)</f>
        <v/>
      </c>
      <c r="L203" s="13">
        <f>'الإدارة المالية'!B8</f>
        <v/>
      </c>
    </row>
    <row r="204">
      <c r="A204" s="15" t="n">
        <v>203</v>
      </c>
      <c r="B204" s="13" t="inlineStr">
        <is>
          <t>الإدارة المالية</t>
        </is>
      </c>
      <c r="C204" s="13">
        <f>'الإدارة المالية'!C9</f>
        <v/>
      </c>
      <c r="D204" s="15">
        <f>'الإدارة المالية'!J9</f>
        <v/>
      </c>
      <c r="E204" s="13">
        <f>'الإدارة المالية'!K9</f>
        <v/>
      </c>
      <c r="F204" s="15">
        <f>'الإدارة المالية'!L9</f>
        <v/>
      </c>
      <c r="G204" s="56">
        <f>'الإدارة المالية'!N9</f>
        <v/>
      </c>
      <c r="H204" s="15">
        <f>'الإدارة المالية'!O9</f>
        <v/>
      </c>
      <c r="I204" s="24">
        <f>'الإدارة المالية'!G9</f>
        <v/>
      </c>
      <c r="J204" s="15">
        <f>IF($G204="",0,$G204*$I204)</f>
        <v/>
      </c>
      <c r="K204" s="15">
        <f>IF($G204="",0,$I204)</f>
        <v/>
      </c>
      <c r="L204" s="13">
        <f>'الإدارة المالية'!B9</f>
        <v/>
      </c>
    </row>
    <row r="205">
      <c r="A205" s="15" t="n">
        <v>204</v>
      </c>
      <c r="B205" s="13" t="inlineStr">
        <is>
          <t>الإدارة المالية</t>
        </is>
      </c>
      <c r="C205" s="13">
        <f>'الإدارة المالية'!C11</f>
        <v/>
      </c>
      <c r="D205" s="15">
        <f>'الإدارة المالية'!J11</f>
        <v/>
      </c>
      <c r="E205" s="13">
        <f>'الإدارة المالية'!K11</f>
        <v/>
      </c>
      <c r="F205" s="15">
        <f>'الإدارة المالية'!L11</f>
        <v/>
      </c>
      <c r="G205" s="56">
        <f>'الإدارة المالية'!N11</f>
        <v/>
      </c>
      <c r="H205" s="15">
        <f>'الإدارة المالية'!O11</f>
        <v/>
      </c>
      <c r="I205" s="24">
        <f>'الإدارة المالية'!G11</f>
        <v/>
      </c>
      <c r="J205" s="15">
        <f>IF($G205="",0,$G205*$I205)</f>
        <v/>
      </c>
      <c r="K205" s="15">
        <f>IF($G205="",0,$I205)</f>
        <v/>
      </c>
      <c r="L205" s="13">
        <f>'الإدارة المالية'!B11</f>
        <v/>
      </c>
    </row>
    <row r="206">
      <c r="A206" s="15" t="n">
        <v>205</v>
      </c>
      <c r="B206" s="13" t="inlineStr">
        <is>
          <t>الإدارة المالية</t>
        </is>
      </c>
      <c r="C206" s="13">
        <f>'الإدارة المالية'!C12</f>
        <v/>
      </c>
      <c r="D206" s="15">
        <f>'الإدارة المالية'!J12</f>
        <v/>
      </c>
      <c r="E206" s="13">
        <f>'الإدارة المالية'!K12</f>
        <v/>
      </c>
      <c r="F206" s="15">
        <f>'الإدارة المالية'!L12</f>
        <v/>
      </c>
      <c r="G206" s="56">
        <f>'الإدارة المالية'!N12</f>
        <v/>
      </c>
      <c r="H206" s="15">
        <f>'الإدارة المالية'!O12</f>
        <v/>
      </c>
      <c r="I206" s="24">
        <f>'الإدارة المالية'!G12</f>
        <v/>
      </c>
      <c r="J206" s="15">
        <f>IF($G206="",0,$G206*$I206)</f>
        <v/>
      </c>
      <c r="K206" s="15">
        <f>IF($G206="",0,$I206)</f>
        <v/>
      </c>
      <c r="L206" s="13">
        <f>'الإدارة المالية'!B12</f>
        <v/>
      </c>
    </row>
    <row r="207">
      <c r="A207" s="15" t="n">
        <v>206</v>
      </c>
      <c r="B207" s="13" t="inlineStr">
        <is>
          <t>الإدارة المالية</t>
        </is>
      </c>
      <c r="C207" s="13">
        <f>'الإدارة المالية'!C14</f>
        <v/>
      </c>
      <c r="D207" s="15">
        <f>'الإدارة المالية'!J14</f>
        <v/>
      </c>
      <c r="E207" s="13">
        <f>'الإدارة المالية'!K14</f>
        <v/>
      </c>
      <c r="F207" s="15">
        <f>'الإدارة المالية'!L14</f>
        <v/>
      </c>
      <c r="G207" s="56">
        <f>'الإدارة المالية'!N14</f>
        <v/>
      </c>
      <c r="H207" s="15">
        <f>'الإدارة المالية'!O14</f>
        <v/>
      </c>
      <c r="I207" s="24">
        <f>'الإدارة المالية'!G14</f>
        <v/>
      </c>
      <c r="J207" s="15">
        <f>IF($G207="",0,$G207*$I207)</f>
        <v/>
      </c>
      <c r="K207" s="15">
        <f>IF($G207="",0,$I207)</f>
        <v/>
      </c>
      <c r="L207" s="13">
        <f>'الإدارة المالية'!B14</f>
        <v/>
      </c>
    </row>
    <row r="208">
      <c r="A208" s="15" t="n">
        <v>207</v>
      </c>
      <c r="B208" s="13" t="inlineStr">
        <is>
          <t>الإدارة المالية</t>
        </is>
      </c>
      <c r="C208" s="13">
        <f>'الإدارة المالية'!C15</f>
        <v/>
      </c>
      <c r="D208" s="15">
        <f>'الإدارة المالية'!J15</f>
        <v/>
      </c>
      <c r="E208" s="13">
        <f>'الإدارة المالية'!K15</f>
        <v/>
      </c>
      <c r="F208" s="15">
        <f>'الإدارة المالية'!L15</f>
        <v/>
      </c>
      <c r="G208" s="56">
        <f>'الإدارة المالية'!N15</f>
        <v/>
      </c>
      <c r="H208" s="15">
        <f>'الإدارة المالية'!O15</f>
        <v/>
      </c>
      <c r="I208" s="24">
        <f>'الإدارة المالية'!G15</f>
        <v/>
      </c>
      <c r="J208" s="15">
        <f>IF($G208="",0,$G208*$I208)</f>
        <v/>
      </c>
      <c r="K208" s="15">
        <f>IF($G208="",0,$I208)</f>
        <v/>
      </c>
      <c r="L208" s="13">
        <f>'الإدارة المالية'!B15</f>
        <v/>
      </c>
    </row>
    <row r="209">
      <c r="A209" s="15" t="n">
        <v>208</v>
      </c>
      <c r="B209" s="13" t="inlineStr">
        <is>
          <t>الإدارة المالية</t>
        </is>
      </c>
      <c r="C209" s="13">
        <f>'الإدارة المالية'!C16</f>
        <v/>
      </c>
      <c r="D209" s="15">
        <f>'الإدارة المالية'!J16</f>
        <v/>
      </c>
      <c r="E209" s="13">
        <f>'الإدارة المالية'!K16</f>
        <v/>
      </c>
      <c r="F209" s="15">
        <f>'الإدارة المالية'!L16</f>
        <v/>
      </c>
      <c r="G209" s="56">
        <f>'الإدارة المالية'!N16</f>
        <v/>
      </c>
      <c r="H209" s="15">
        <f>'الإدارة المالية'!O16</f>
        <v/>
      </c>
      <c r="I209" s="24">
        <f>'الإدارة المالية'!G16</f>
        <v/>
      </c>
      <c r="J209" s="15">
        <f>IF($G209="",0,$G209*$I209)</f>
        <v/>
      </c>
      <c r="K209" s="15">
        <f>IF($G209="",0,$I209)</f>
        <v/>
      </c>
      <c r="L209" s="13">
        <f>'الإدارة المالية'!B16</f>
        <v/>
      </c>
    </row>
    <row r="210">
      <c r="A210" s="15" t="n">
        <v>209</v>
      </c>
      <c r="B210" s="13" t="inlineStr">
        <is>
          <t>الإدارة المالية</t>
        </is>
      </c>
      <c r="C210" s="13">
        <f>'الإدارة المالية'!C17</f>
        <v/>
      </c>
      <c r="D210" s="15">
        <f>'الإدارة المالية'!J17</f>
        <v/>
      </c>
      <c r="E210" s="13">
        <f>'الإدارة المالية'!K17</f>
        <v/>
      </c>
      <c r="F210" s="15">
        <f>'الإدارة المالية'!L17</f>
        <v/>
      </c>
      <c r="G210" s="56">
        <f>'الإدارة المالية'!N17</f>
        <v/>
      </c>
      <c r="H210" s="15">
        <f>'الإدارة المالية'!O17</f>
        <v/>
      </c>
      <c r="I210" s="24">
        <f>'الإدارة المالية'!G17</f>
        <v/>
      </c>
      <c r="J210" s="15">
        <f>IF($G210="",0,$G210*$I210)</f>
        <v/>
      </c>
      <c r="K210" s="15">
        <f>IF($G210="",0,$I210)</f>
        <v/>
      </c>
      <c r="L210" s="13">
        <f>'الإدارة المالية'!B17</f>
        <v/>
      </c>
    </row>
    <row r="211">
      <c r="A211" s="15" t="n">
        <v>210</v>
      </c>
      <c r="B211" s="13" t="inlineStr">
        <is>
          <t>الإدارة المالية</t>
        </is>
      </c>
      <c r="C211" s="13">
        <f>'الإدارة المالية'!C19</f>
        <v/>
      </c>
      <c r="D211" s="15">
        <f>'الإدارة المالية'!J19</f>
        <v/>
      </c>
      <c r="E211" s="13">
        <f>'الإدارة المالية'!K19</f>
        <v/>
      </c>
      <c r="F211" s="15">
        <f>'الإدارة المالية'!L19</f>
        <v/>
      </c>
      <c r="G211" s="56">
        <f>'الإدارة المالية'!N19</f>
        <v/>
      </c>
      <c r="H211" s="15">
        <f>'الإدارة المالية'!O19</f>
        <v/>
      </c>
      <c r="I211" s="24">
        <f>'الإدارة المالية'!G19</f>
        <v/>
      </c>
      <c r="J211" s="15">
        <f>IF($G211="",0,$G211*$I211)</f>
        <v/>
      </c>
      <c r="K211" s="15">
        <f>IF($G211="",0,$I211)</f>
        <v/>
      </c>
      <c r="L211" s="13">
        <f>'الإدارة المالية'!B19</f>
        <v/>
      </c>
    </row>
    <row r="212">
      <c r="A212" s="15" t="n">
        <v>211</v>
      </c>
      <c r="B212" s="13" t="inlineStr">
        <is>
          <t>الإدارة المالية</t>
        </is>
      </c>
      <c r="C212" s="13">
        <f>'الإدارة المالية'!C20</f>
        <v/>
      </c>
      <c r="D212" s="15">
        <f>'الإدارة المالية'!J20</f>
        <v/>
      </c>
      <c r="E212" s="13">
        <f>'الإدارة المالية'!K20</f>
        <v/>
      </c>
      <c r="F212" s="15">
        <f>'الإدارة المالية'!L20</f>
        <v/>
      </c>
      <c r="G212" s="56">
        <f>'الإدارة المالية'!N20</f>
        <v/>
      </c>
      <c r="H212" s="15">
        <f>'الإدارة المالية'!O20</f>
        <v/>
      </c>
      <c r="I212" s="24">
        <f>'الإدارة المالية'!G20</f>
        <v/>
      </c>
      <c r="J212" s="15">
        <f>IF($G212="",0,$G212*$I212)</f>
        <v/>
      </c>
      <c r="K212" s="15">
        <f>IF($G212="",0,$I212)</f>
        <v/>
      </c>
      <c r="L212" s="13">
        <f>'الإدارة المالية'!B20</f>
        <v/>
      </c>
    </row>
    <row r="213">
      <c r="A213" s="15" t="n">
        <v>212</v>
      </c>
      <c r="B213" s="13" t="inlineStr">
        <is>
          <t>الإدارة المالية</t>
        </is>
      </c>
      <c r="C213" s="13">
        <f>'الإدارة المالية'!C21</f>
        <v/>
      </c>
      <c r="D213" s="15">
        <f>'الإدارة المالية'!J21</f>
        <v/>
      </c>
      <c r="E213" s="13">
        <f>'الإدارة المالية'!K21</f>
        <v/>
      </c>
      <c r="F213" s="15">
        <f>'الإدارة المالية'!L21</f>
        <v/>
      </c>
      <c r="G213" s="56">
        <f>'الإدارة المالية'!N21</f>
        <v/>
      </c>
      <c r="H213" s="15">
        <f>'الإدارة المالية'!O21</f>
        <v/>
      </c>
      <c r="I213" s="24">
        <f>'الإدارة المالية'!G21</f>
        <v/>
      </c>
      <c r="J213" s="15">
        <f>IF($G213="",0,$G213*$I213)</f>
        <v/>
      </c>
      <c r="K213" s="15">
        <f>IF($G213="",0,$I213)</f>
        <v/>
      </c>
      <c r="L213" s="13">
        <f>'الإدارة المالية'!B21</f>
        <v/>
      </c>
    </row>
    <row r="214">
      <c r="A214" s="15" t="n">
        <v>213</v>
      </c>
      <c r="B214" s="13" t="inlineStr">
        <is>
          <t>الإدارة المالية</t>
        </is>
      </c>
      <c r="C214" s="13">
        <f>'الإدارة المالية'!C23</f>
        <v/>
      </c>
      <c r="D214" s="15">
        <f>'الإدارة المالية'!J23</f>
        <v/>
      </c>
      <c r="E214" s="13">
        <f>'الإدارة المالية'!K23</f>
        <v/>
      </c>
      <c r="F214" s="15">
        <f>'الإدارة المالية'!L23</f>
        <v/>
      </c>
      <c r="G214" s="56">
        <f>'الإدارة المالية'!N23</f>
        <v/>
      </c>
      <c r="H214" s="15">
        <f>'الإدارة المالية'!O23</f>
        <v/>
      </c>
      <c r="I214" s="24">
        <f>'الإدارة المالية'!G23</f>
        <v/>
      </c>
      <c r="J214" s="15">
        <f>IF($G214="",0,$G214*$I214)</f>
        <v/>
      </c>
      <c r="K214" s="15">
        <f>IF($G214="",0,$I214)</f>
        <v/>
      </c>
      <c r="L214" s="13">
        <f>'الإدارة المالية'!B23</f>
        <v/>
      </c>
    </row>
    <row r="215">
      <c r="A215" s="15" t="n">
        <v>214</v>
      </c>
      <c r="B215" s="13" t="inlineStr">
        <is>
          <t>الإدارة المالية</t>
        </is>
      </c>
      <c r="C215" s="13">
        <f>'الإدارة المالية'!C24</f>
        <v/>
      </c>
      <c r="D215" s="15">
        <f>'الإدارة المالية'!J24</f>
        <v/>
      </c>
      <c r="E215" s="13">
        <f>'الإدارة المالية'!K24</f>
        <v/>
      </c>
      <c r="F215" s="15">
        <f>'الإدارة المالية'!L24</f>
        <v/>
      </c>
      <c r="G215" s="56">
        <f>'الإدارة المالية'!N24</f>
        <v/>
      </c>
      <c r="H215" s="15">
        <f>'الإدارة المالية'!O24</f>
        <v/>
      </c>
      <c r="I215" s="24">
        <f>'الإدارة المالية'!G24</f>
        <v/>
      </c>
      <c r="J215" s="15">
        <f>IF($G215="",0,$G215*$I215)</f>
        <v/>
      </c>
      <c r="K215" s="15">
        <f>IF($G215="",0,$I215)</f>
        <v/>
      </c>
      <c r="L215" s="13">
        <f>'الإدارة المالية'!B24</f>
        <v/>
      </c>
    </row>
    <row r="216">
      <c r="A216" s="15" t="n">
        <v>215</v>
      </c>
      <c r="B216" s="13" t="inlineStr">
        <is>
          <t>الإدارة المالية</t>
        </is>
      </c>
      <c r="C216" s="13">
        <f>'الإدارة المالية'!C25</f>
        <v/>
      </c>
      <c r="D216" s="15">
        <f>'الإدارة المالية'!J25</f>
        <v/>
      </c>
      <c r="E216" s="13">
        <f>'الإدارة المالية'!K25</f>
        <v/>
      </c>
      <c r="F216" s="15">
        <f>'الإدارة المالية'!L25</f>
        <v/>
      </c>
      <c r="G216" s="56">
        <f>'الإدارة المالية'!N25</f>
        <v/>
      </c>
      <c r="H216" s="15">
        <f>'الإدارة المالية'!O25</f>
        <v/>
      </c>
      <c r="I216" s="24">
        <f>'الإدارة المالية'!G25</f>
        <v/>
      </c>
      <c r="J216" s="15">
        <f>IF($G216="",0,$G216*$I216)</f>
        <v/>
      </c>
      <c r="K216" s="15">
        <f>IF($G216="",0,$I216)</f>
        <v/>
      </c>
      <c r="L216" s="13">
        <f>'الإدارة المالية'!B25</f>
        <v/>
      </c>
    </row>
    <row r="217">
      <c r="A217" s="15" t="n">
        <v>216</v>
      </c>
      <c r="B217" s="13" t="inlineStr">
        <is>
          <t>الإدارة المالية</t>
        </is>
      </c>
      <c r="C217" s="13">
        <f>'الإدارة المالية'!C27</f>
        <v/>
      </c>
      <c r="D217" s="15">
        <f>'الإدارة المالية'!J27</f>
        <v/>
      </c>
      <c r="E217" s="13">
        <f>'الإدارة المالية'!K27</f>
        <v/>
      </c>
      <c r="F217" s="15">
        <f>'الإدارة المالية'!L27</f>
        <v/>
      </c>
      <c r="G217" s="56">
        <f>'الإدارة المالية'!N27</f>
        <v/>
      </c>
      <c r="H217" s="15">
        <f>'الإدارة المالية'!O27</f>
        <v/>
      </c>
      <c r="I217" s="24">
        <f>'الإدارة المالية'!G27</f>
        <v/>
      </c>
      <c r="J217" s="15">
        <f>IF($G217="",0,$G217*$I217)</f>
        <v/>
      </c>
      <c r="K217" s="15">
        <f>IF($G217="",0,$I217)</f>
        <v/>
      </c>
      <c r="L217" s="13">
        <f>'الإدارة المالية'!B27</f>
        <v/>
      </c>
    </row>
    <row r="218">
      <c r="A218" s="15" t="n">
        <v>217</v>
      </c>
      <c r="B218" s="13" t="inlineStr">
        <is>
          <t>الإدارة المالية</t>
        </is>
      </c>
      <c r="C218" s="13">
        <f>'الإدارة المالية'!C28</f>
        <v/>
      </c>
      <c r="D218" s="15">
        <f>'الإدارة المالية'!J28</f>
        <v/>
      </c>
      <c r="E218" s="13">
        <f>'الإدارة المالية'!K28</f>
        <v/>
      </c>
      <c r="F218" s="15">
        <f>'الإدارة المالية'!L28</f>
        <v/>
      </c>
      <c r="G218" s="56">
        <f>'الإدارة المالية'!N28</f>
        <v/>
      </c>
      <c r="H218" s="15">
        <f>'الإدارة المالية'!O28</f>
        <v/>
      </c>
      <c r="I218" s="24">
        <f>'الإدارة المالية'!G28</f>
        <v/>
      </c>
      <c r="J218" s="15">
        <f>IF($G218="",0,$G218*$I218)</f>
        <v/>
      </c>
      <c r="K218" s="15">
        <f>IF($G218="",0,$I218)</f>
        <v/>
      </c>
      <c r="L218" s="13">
        <f>'الإدارة المالية'!B28</f>
        <v/>
      </c>
    </row>
    <row r="219">
      <c r="A219" s="15" t="n">
        <v>218</v>
      </c>
      <c r="B219" s="13" t="inlineStr">
        <is>
          <t>الإدارة المالية</t>
        </is>
      </c>
      <c r="C219" s="13">
        <f>'الإدارة المالية'!C30</f>
        <v/>
      </c>
      <c r="D219" s="15">
        <f>'الإدارة المالية'!J30</f>
        <v/>
      </c>
      <c r="E219" s="13">
        <f>'الإدارة المالية'!K30</f>
        <v/>
      </c>
      <c r="F219" s="15">
        <f>'الإدارة المالية'!L30</f>
        <v/>
      </c>
      <c r="G219" s="56">
        <f>'الإدارة المالية'!N30</f>
        <v/>
      </c>
      <c r="H219" s="15">
        <f>'الإدارة المالية'!O30</f>
        <v/>
      </c>
      <c r="I219" s="24">
        <f>'الإدارة المالية'!G30</f>
        <v/>
      </c>
      <c r="J219" s="15">
        <f>IF($G219="",0,$G219*$I219)</f>
        <v/>
      </c>
      <c r="K219" s="15">
        <f>IF($G219="",0,$I219)</f>
        <v/>
      </c>
      <c r="L219" s="13">
        <f>'الإدارة المالية'!B30</f>
        <v/>
      </c>
    </row>
    <row r="220">
      <c r="A220" s="15" t="n">
        <v>219</v>
      </c>
      <c r="B220" s="13" t="inlineStr">
        <is>
          <t>الإدارة المالية</t>
        </is>
      </c>
      <c r="C220" s="13">
        <f>'الإدارة المالية'!C31</f>
        <v/>
      </c>
      <c r="D220" s="15">
        <f>'الإدارة المالية'!J31</f>
        <v/>
      </c>
      <c r="E220" s="13">
        <f>'الإدارة المالية'!K31</f>
        <v/>
      </c>
      <c r="F220" s="15">
        <f>'الإدارة المالية'!L31</f>
        <v/>
      </c>
      <c r="G220" s="56">
        <f>'الإدارة المالية'!N31</f>
        <v/>
      </c>
      <c r="H220" s="15">
        <f>'الإدارة المالية'!O31</f>
        <v/>
      </c>
      <c r="I220" s="24">
        <f>'الإدارة المالية'!G31</f>
        <v/>
      </c>
      <c r="J220" s="15">
        <f>IF($G220="",0,$G220*$I220)</f>
        <v/>
      </c>
      <c r="K220" s="15">
        <f>IF($G220="",0,$I220)</f>
        <v/>
      </c>
      <c r="L220" s="13">
        <f>'الإدارة المالية'!B31</f>
        <v/>
      </c>
    </row>
    <row r="221">
      <c r="A221" s="15" t="n">
        <v>220</v>
      </c>
      <c r="B221" s="13" t="inlineStr">
        <is>
          <t>الإدارة المالية</t>
        </is>
      </c>
      <c r="C221" s="13">
        <f>'الإدارة المالية'!C33</f>
        <v/>
      </c>
      <c r="D221" s="15">
        <f>'الإدارة المالية'!J33</f>
        <v/>
      </c>
      <c r="E221" s="13">
        <f>'الإدارة المالية'!K33</f>
        <v/>
      </c>
      <c r="F221" s="15">
        <f>'الإدارة المالية'!L33</f>
        <v/>
      </c>
      <c r="G221" s="56">
        <f>'الإدارة المالية'!N33</f>
        <v/>
      </c>
      <c r="H221" s="15">
        <f>'الإدارة المالية'!O33</f>
        <v/>
      </c>
      <c r="I221" s="24">
        <f>'الإدارة المالية'!G33</f>
        <v/>
      </c>
      <c r="J221" s="15">
        <f>IF($G221="",0,$G221*$I221)</f>
        <v/>
      </c>
      <c r="K221" s="15">
        <f>IF($G221="",0,$I221)</f>
        <v/>
      </c>
      <c r="L221" s="13">
        <f>'الإدارة المالية'!B33</f>
        <v/>
      </c>
    </row>
    <row r="222">
      <c r="A222" s="15" t="n">
        <v>221</v>
      </c>
      <c r="B222" s="13" t="inlineStr">
        <is>
          <t>الإدارة المالية</t>
        </is>
      </c>
      <c r="C222" s="13">
        <f>'الإدارة المالية'!C34</f>
        <v/>
      </c>
      <c r="D222" s="15">
        <f>'الإدارة المالية'!J34</f>
        <v/>
      </c>
      <c r="E222" s="13">
        <f>'الإدارة المالية'!K34</f>
        <v/>
      </c>
      <c r="F222" s="15">
        <f>'الإدارة المالية'!L34</f>
        <v/>
      </c>
      <c r="G222" s="56">
        <f>'الإدارة المالية'!N34</f>
        <v/>
      </c>
      <c r="H222" s="15">
        <f>'الإدارة المالية'!O34</f>
        <v/>
      </c>
      <c r="I222" s="24">
        <f>'الإدارة المالية'!G34</f>
        <v/>
      </c>
      <c r="J222" s="15">
        <f>IF($G222="",0,$G222*$I222)</f>
        <v/>
      </c>
      <c r="K222" s="15">
        <f>IF($G222="",0,$I222)</f>
        <v/>
      </c>
      <c r="L222" s="13">
        <f>'الإدارة المالية'!B34</f>
        <v/>
      </c>
    </row>
    <row r="223">
      <c r="A223" s="15" t="n">
        <v>222</v>
      </c>
      <c r="B223" s="13" t="inlineStr">
        <is>
          <t>الإدارة المالية</t>
        </is>
      </c>
      <c r="C223" s="13">
        <f>'الإدارة المالية'!C35</f>
        <v/>
      </c>
      <c r="D223" s="15">
        <f>'الإدارة المالية'!J35</f>
        <v/>
      </c>
      <c r="E223" s="13">
        <f>'الإدارة المالية'!K35</f>
        <v/>
      </c>
      <c r="F223" s="15">
        <f>'الإدارة المالية'!L35</f>
        <v/>
      </c>
      <c r="G223" s="56">
        <f>'الإدارة المالية'!N35</f>
        <v/>
      </c>
      <c r="H223" s="15">
        <f>'الإدارة المالية'!O35</f>
        <v/>
      </c>
      <c r="I223" s="24">
        <f>'الإدارة المالية'!G35</f>
        <v/>
      </c>
      <c r="J223" s="15">
        <f>IF($G223="",0,$G223*$I223)</f>
        <v/>
      </c>
      <c r="K223" s="15">
        <f>IF($G223="",0,$I223)</f>
        <v/>
      </c>
      <c r="L223" s="13">
        <f>'الإدارة المالية'!B35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2026-07-29T05:06:16Z</dcterms:created>
  <dcterms:modified xmlns:dcterms="http://purl.org/dc/terms/" xmlns:xsi="http://www.w3.org/2001/XMLSchema-instance" xsi:type="dcterms:W3CDTF">2026-07-29T05:06:18Z</dcterms:modified>
</cp:coreProperties>
</file>