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الجامعة'!$A$2:$I$92</definedName>
    <definedName name="_xlnm._FilterDatabase" localSheetId="6" hidden="1">'تحليل الانحراف'!$A$2:$M$168</definedName>
    <definedName name="_xlnm._FilterDatabase" localSheetId="7" hidden="1">'التتبّع الشهري'!$A$3:$X$222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المؤشرات'!$A$2:$N$221</definedName>
    <definedName name="_xlnm._FilterDatabase" localSheetId="12" hidden="1">'الإدارة التنفيذية'!$A$3:$R$16</definedName>
    <definedName name="_xlnm._FilterDatabase" localSheetId="13" hidden="1">'الامتياز التجاري'!$A$3:$R$37</definedName>
    <definedName name="_xlnm._FilterDatabase" localSheetId="14" hidden="1">'التشغيل والمحطات'!$A$3:$R$21</definedName>
    <definedName name="_xlnm._FilterDatabase" localSheetId="15" hidden="1">'الاستثمار'!$A$3:$R$32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'الجودة'!$A$3:$R$18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5" fontId="5" fillId="5" borderId="1" applyAlignment="1" applyProtection="1" pivotButton="0" quotePrefix="0" xfId="0">
      <alignment horizontal="center" vertical="center"/>
      <protection locked="0" hidden="0"/>
    </xf>
    <xf numFmtId="165" fontId="15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المؤشرات'!$G$2:$G$220,'قاعدة المؤشرات'!$D$2:$D$220,"النمو"),"—")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المؤشرات'!$G$2:$G$220,'قاعدة المؤشرات'!$D$2:$D$220,"الابتكار"),"—")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المؤشرات'!$G$2:$G$220,'قاعدة المؤشرات'!$D$2:$D$220,"الاستدامة"),"—")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التجاري'!C6</f>
        <v/>
      </c>
      <c r="C11" s="22">
        <f>'الامتياز التجاري'!I6</f>
        <v/>
      </c>
      <c r="D11" s="23">
        <f>'الامتياز التجاري'!M6</f>
        <v/>
      </c>
      <c r="E11" s="10">
        <f>'الامتياز التجاري'!N6</f>
        <v/>
      </c>
      <c r="F11" s="20">
        <f>'الامتياز التجاري'!O6</f>
        <v/>
      </c>
      <c r="G11" s="24">
        <f>'الامتياز التجاري'!G6</f>
        <v/>
      </c>
    </row>
    <row r="12" ht="22" customHeight="1">
      <c r="A12" s="20" t="n">
        <v>3</v>
      </c>
      <c r="B12" s="21">
        <f>'الامتياز التجاري'!C8</f>
        <v/>
      </c>
      <c r="C12" s="22">
        <f>'الامتياز التجاري'!I8</f>
        <v/>
      </c>
      <c r="D12" s="23">
        <f>'الامتياز التجاري'!M8</f>
        <v/>
      </c>
      <c r="E12" s="10">
        <f>'الامتياز التجاري'!N8</f>
        <v/>
      </c>
      <c r="F12" s="20">
        <f>'الامتياز التجاري'!O8</f>
        <v/>
      </c>
      <c r="G12" s="24">
        <f>'الامتياز التجاري'!G8</f>
        <v/>
      </c>
    </row>
    <row r="13" ht="22" customHeight="1">
      <c r="A13" s="20" t="n">
        <v>4</v>
      </c>
      <c r="B13" s="21">
        <f>'الامتياز التجاري'!C11</f>
        <v/>
      </c>
      <c r="C13" s="22">
        <f>'الامتياز التجاري'!I11</f>
        <v/>
      </c>
      <c r="D13" s="23">
        <f>'الامتياز التجاري'!M11</f>
        <v/>
      </c>
      <c r="E13" s="10">
        <f>'الامتياز التجاري'!N11</f>
        <v/>
      </c>
      <c r="F13" s="20">
        <f>'الامتياز التجاري'!O11</f>
        <v/>
      </c>
      <c r="G13" s="24">
        <f>'الامتياز التجاري'!G11</f>
        <v/>
      </c>
    </row>
    <row r="14" ht="22" customHeight="1">
      <c r="A14" s="20" t="n">
        <v>5</v>
      </c>
      <c r="B14" s="21">
        <f>'الامتياز التجاري'!C13</f>
        <v/>
      </c>
      <c r="C14" s="22">
        <f>'الامتياز التجاري'!I13</f>
        <v/>
      </c>
      <c r="D14" s="23">
        <f>'الامتياز التجاري'!M13</f>
        <v/>
      </c>
      <c r="E14" s="10">
        <f>'الامتياز التجاري'!N13</f>
        <v/>
      </c>
      <c r="F14" s="20">
        <f>'الامتياز التجاري'!O13</f>
        <v/>
      </c>
      <c r="G14" s="24">
        <f>'الامتياز التجاري'!G13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'الاستثمار'!C5</f>
        <v/>
      </c>
      <c r="C22" s="22">
        <f>'الاستثمار'!I5</f>
        <v/>
      </c>
      <c r="D22" s="23">
        <f>'الاستثمار'!M5</f>
        <v/>
      </c>
      <c r="E22" s="10">
        <f>'الاستثمار'!N5</f>
        <v/>
      </c>
      <c r="F22" s="20">
        <f>'الاستثمار'!O5</f>
        <v/>
      </c>
      <c r="G22" s="24">
        <f>'الاستثمار'!G5</f>
        <v/>
      </c>
    </row>
    <row r="23" ht="22" customHeight="1">
      <c r="A23" s="20" t="n">
        <v>2</v>
      </c>
      <c r="B23" s="21">
        <f>'الاستثمار'!C6</f>
        <v/>
      </c>
      <c r="C23" s="22">
        <f>'الاستثمار'!I6</f>
        <v/>
      </c>
      <c r="D23" s="23">
        <f>'الاستثمار'!M6</f>
        <v/>
      </c>
      <c r="E23" s="10">
        <f>'الاستثمار'!N6</f>
        <v/>
      </c>
      <c r="F23" s="20">
        <f>'الاستثمار'!O6</f>
        <v/>
      </c>
      <c r="G23" s="24">
        <f>'الاستثمار'!G6</f>
        <v/>
      </c>
    </row>
    <row r="24" ht="22" customHeight="1">
      <c r="A24" s="20" t="n">
        <v>3</v>
      </c>
      <c r="B24" s="21">
        <f>'الاستثمار'!C7</f>
        <v/>
      </c>
      <c r="C24" s="22">
        <f>'الاستثمار'!I7</f>
        <v/>
      </c>
      <c r="D24" s="23">
        <f>'الاستثمار'!M7</f>
        <v/>
      </c>
      <c r="E24" s="10">
        <f>'الاستثمار'!N7</f>
        <v/>
      </c>
      <c r="F24" s="20">
        <f>'الاستثمار'!O7</f>
        <v/>
      </c>
      <c r="G24" s="24">
        <f>'الاستثمار'!G7</f>
        <v/>
      </c>
    </row>
    <row r="25" ht="22" customHeight="1">
      <c r="A25" s="20" t="n">
        <v>4</v>
      </c>
      <c r="B25" s="21">
        <f>'الاستثمار'!C8</f>
        <v/>
      </c>
      <c r="C25" s="22">
        <f>'الاستثمار'!I8</f>
        <v/>
      </c>
      <c r="D25" s="23">
        <f>'الاستثمار'!M8</f>
        <v/>
      </c>
      <c r="E25" s="10">
        <f>'الاستثمار'!N8</f>
        <v/>
      </c>
      <c r="F25" s="20">
        <f>'الاستثمار'!O8</f>
        <v/>
      </c>
      <c r="G25" s="24">
        <f>'الاستثمار'!G8</f>
        <v/>
      </c>
    </row>
    <row r="26" ht="22" customHeight="1">
      <c r="A26" s="20" t="n">
        <v>5</v>
      </c>
      <c r="B26" s="21">
        <f>'الاستثمار'!C9</f>
        <v/>
      </c>
      <c r="C26" s="22">
        <f>'الاستثمار'!I9</f>
        <v/>
      </c>
      <c r="D26" s="23">
        <f>'الاستثمار'!M9</f>
        <v/>
      </c>
      <c r="E26" s="10">
        <f>'الاستثمار'!N9</f>
        <v/>
      </c>
      <c r="F26" s="20">
        <f>'الاستثمار'!O9</f>
        <v/>
      </c>
      <c r="G26" s="24">
        <f>'الاستثمار'!G9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المؤشرات'!$J$2:$J$220,'قاعدة المؤشرات'!$B$2:$B$220,"الإدارة التنفيذية",'قاعدة المؤشرات'!$L$2:$L$220,"النمو")/SUMIFS('قاعدة المؤشرات'!$K$2:$K$220,'قاعدة المؤشرات'!$B$2:$B$220,"الإدارة التنفيذية",'قاعدة المؤشرات'!$L$2:$L$220,"النمو"),"")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المؤشرات'!$G$2:$G$220,'قاعدة المؤشرات'!$B$2:$B$220,"الإدارة التنفيذية",'قاعدة المؤشرات'!$L$2:$L$220,"النمو"))</f>
        <v/>
      </c>
      <c r="H3" s="30">
        <f>COUNTIFS('قاعدة المؤشرات'!$H$2:$H$220,"🔴 تحت الهدف",'قاعدة المؤشرات'!$B$2:$B$220,"الإدارة التنفيذية",'قاعدة المؤشرات'!$L$2:$L$220,"النمو")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المؤشرات'!$J$2:$J$220,'قاعدة المؤشرات'!$B$2:$B$220,"الإدارة التنفيذية",'قاعدة المؤشرات'!$L$2:$L$220,"الابتكار")/SUMIFS('قاعدة المؤشرات'!$K$2:$K$220,'قاعدة المؤشرات'!$B$2:$B$220,"الإدارة التنفيذية",'قاعدة المؤشرات'!$L$2:$L$220,"الابتكار"),"")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المؤشرات'!$G$2:$G$220,'قاعدة المؤشرات'!$B$2:$B$220,"الإدارة التنفيذية",'قاعدة المؤشرات'!$L$2:$L$220,"الابتكار"))</f>
        <v/>
      </c>
      <c r="H4" s="30">
        <f>COUNTIFS('قاعدة المؤشرات'!$H$2:$H$220,"🔴 تحت الهدف",'قاعدة المؤشرات'!$B$2:$B$220,"الإدارة التنفيذية",'قاعدة المؤشرات'!$L$2:$L$220,"الابتكار")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المؤشرات'!$J$2:$J$220,'قاعدة المؤشرات'!$B$2:$B$220,"الإدارة التنفيذية",'قاعدة المؤشرات'!$L$2:$L$220,"الاستدامة")/SUMIFS('قاعدة المؤشرات'!$K$2:$K$220,'قاعدة المؤشرات'!$B$2:$B$220,"الإدارة التنفيذية",'قاعدة المؤشرات'!$L$2:$L$220,"الاستدامة"),"")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المؤشرات'!$G$2:$G$220,'قاعدة المؤشرات'!$B$2:$B$220,"الإدارة التنفيذية",'قاعدة المؤشرات'!$L$2:$L$220,"الاستدامة"))</f>
        <v/>
      </c>
      <c r="H5" s="30">
        <f>COUNTIFS('قاعدة المؤشرات'!$H$2:$H$220,"🔴 تحت الهدف",'قاعدة المؤشرات'!$B$2:$B$220,"الإدارة التنفيذية",'قاعدة المؤشرات'!$L$2:$L$220,"الاستدامة")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المؤشرات'!$J$2:$J$220,'قاعدة المؤشرات'!$B$2:$B$220,"الإدارة التنفيذية",'قاعدة المؤشرات'!$L$2:$L$220,"الحوكمة")/SUMIFS('قاعدة المؤشرات'!$K$2:$K$220,'قاعدة المؤشرات'!$B$2:$B$220,"الإدارة التنفيذية",'قاعدة المؤشرات'!$L$2:$L$220,"الحوكمة"),"")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المؤشرات'!$G$2:$G$220,'قاعدة المؤشرات'!$B$2:$B$220,"الإدارة التنفيذية",'قاعدة المؤشرات'!$L$2:$L$220,"الحوكمة"))</f>
        <v/>
      </c>
      <c r="H6" s="30">
        <f>COUNTIFS('قاعدة المؤشرات'!$H$2:$H$220,"🔴 تحت الهدف",'قاعدة المؤشرات'!$B$2:$B$220,"الإدارة التنفيذية",'قاعدة المؤشرات'!$L$2:$L$220,"الحوكمة")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المؤشرات'!$J$2:$J$220,'قاعدة المؤشرات'!$B$2:$B$220,"الامتياز التجاري",'قاعدة المؤشرات'!$L$2:$L$220,"النمو والتوسع")/SUMIFS('قاعدة المؤشرات'!$K$2:$K$220,'قاعدة المؤشرات'!$B$2:$B$220,"الامتياز التجاري",'قاعدة المؤشرات'!$L$2:$L$220,"النمو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المؤشرات'!$G$2:$G$220,'قاعدة المؤشرات'!$B$2:$B$220,"الامتياز التجاري",'قاعدة المؤشرات'!$L$2:$L$220,"النمو والتوسع"))</f>
        <v/>
      </c>
      <c r="H7" s="30">
        <f>COUNTIFS('قاعدة المؤشرات'!$H$2:$H$220,"🔴 تحت الهدف",'قاعدة المؤشرات'!$B$2:$B$220,"الامتياز التجاري",'قاعدة المؤشرات'!$L$2:$L$220,"النمو والتوسع")</f>
        <v/>
      </c>
      <c r="I7" s="31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المؤشرات'!$J$2:$J$220,'قاعدة المؤشرات'!$B$2:$B$220,"الامتياز التجاري",'قاعدة المؤشرات'!$L$2:$L$220,"المبيعات والأداء التجاري")/SUMIFS('قاعدة المؤشرات'!$K$2:$K$220,'قاعدة المؤشرات'!$B$2:$B$220,"الامتياز التجاري",'قاعدة المؤشرات'!$L$2:$L$220,"المبيعات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المؤشرات'!$G$2:$G$220,'قاعدة المؤشرات'!$B$2:$B$220,"الامتياز التجاري",'قاعدة المؤشرات'!$L$2:$L$220,"المبيعات والأداء التجاري"))</f>
        <v/>
      </c>
      <c r="H8" s="30">
        <f>COUNTIFS('قاعدة المؤشرات'!$H$2:$H$220,"🔴 تحت الهدف",'قاعدة المؤشرات'!$B$2:$B$220,"الامتياز التجاري",'قاعدة المؤشرات'!$L$2:$L$220,"المبيعات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8</v>
      </c>
      <c r="E9" s="28">
        <f>IFERROR(SUMIFS('قاعدة المؤشرات'!$J$2:$J$220,'قاعدة المؤشرات'!$B$2:$B$220,"الامتياز التجاري",'قاعدة المؤشرات'!$L$2:$L$220,"الأداء المالي")/SUMIFS('قاعدة المؤشرات'!$K$2:$K$220,'قاعدة المؤشرات'!$B$2:$B$220,"الامتياز التجاري",'قاعدة المؤشرات'!$L$2:$L$220,"الأداء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المؤشرات'!$G$2:$G$220,'قاعدة المؤشرات'!$B$2:$B$220,"الامتياز التجاري",'قاعدة المؤشرات'!$L$2:$L$220,"الأداء المالي"))</f>
        <v/>
      </c>
      <c r="H9" s="30">
        <f>COUNTIFS('قاعدة المؤشرات'!$H$2:$H$220,"🔴 تحت الهدف",'قاعدة المؤشرات'!$B$2:$B$220,"الامتياز التجاري",'قاعدة المؤشرات'!$L$2:$L$220,"الأداء المالي")</f>
        <v/>
      </c>
      <c r="I9" s="31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المؤشرات'!$J$2:$J$220,'قاعدة المؤشرات'!$B$2:$B$220,"الامتياز التجاري",'قاعدة المؤشرات'!$L$2:$L$220,"التشغيل والجودة")/SUMIFS('قاعدة المؤشرات'!$K$2:$K$220,'قاعدة المؤشرات'!$B$2:$B$220,"الامتياز التجاري",'قاعدة المؤشرات'!$L$2:$L$220,"التشغيل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المؤشرات'!$G$2:$G$220,'قاعدة المؤشرات'!$B$2:$B$220,"الامتياز التجاري",'قاعدة المؤشرات'!$L$2:$L$220,"التشغيل والجودة"))</f>
        <v/>
      </c>
      <c r="H10" s="30">
        <f>COUNTIFS('قاعدة المؤشرات'!$H$2:$H$220,"🔴 تحت الهدف",'قاعدة المؤشرات'!$B$2:$B$220,"الامتياز التجاري",'قاعدة المؤشرات'!$L$2:$L$220,"التشغيل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المؤشرات'!$J$2:$J$220,'قاعدة المؤشرات'!$B$2:$B$220,"الامتياز التجاري",'قاعدة المؤشرات'!$L$2:$L$220,"الهوية والتسويق")/SUMIFS('قاعدة المؤشرات'!$K$2:$K$220,'قاعدة المؤشرات'!$B$2:$B$220,"الامتياز التجاري",'قاعدة المؤشرات'!$L$2:$L$220,"الهوية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المؤشرات'!$G$2:$G$220,'قاعدة المؤشرات'!$B$2:$B$220,"الامتياز التجاري",'قاعدة المؤشرات'!$L$2:$L$220,"الهوية والتسويق"))</f>
        <v/>
      </c>
      <c r="H11" s="30">
        <f>COUNTIFS('قاعدة المؤشرات'!$H$2:$H$220,"🔴 تحت الهدف",'قاعدة المؤشرات'!$B$2:$B$220,"الامتياز التجاري",'قاعدة المؤشرات'!$L$2:$L$220,"الهوية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المؤشرات'!$J$2:$J$220,'قاعدة المؤشرات'!$B$2:$B$220,"الامتياز التجاري",'قاعدة المؤشرات'!$L$2:$L$220,"تجربة العملاء والشركاء")/SUMIFS('قاعدة المؤشرات'!$K$2:$K$220,'قاعدة المؤشرات'!$B$2:$B$220,"الامتياز التجاري",'قاعدة المؤشرات'!$L$2:$L$220,"تجربة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المؤشرات'!$G$2:$G$220,'قاعدة المؤشرات'!$B$2:$B$220,"الامتياز التجاري",'قاعدة المؤشرات'!$L$2:$L$220,"تجربة العملاء والشركاء"))</f>
        <v/>
      </c>
      <c r="H12" s="30">
        <f>COUNTIFS('قاعدة المؤشرات'!$H$2:$H$220,"🔴 تحت الهدف",'قاعدة المؤشرات'!$B$2:$B$220,"الامتياز التجاري",'قاعدة المؤشرات'!$L$2:$L$220,"تجربة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المؤشرات'!$J$2:$J$220,'قاعدة المؤشرات'!$B$2:$B$220,"الامتياز التجاري",'قاعدة المؤشرات'!$L$2:$L$220,"استدامة الشراكة والامتثال")/SUMIFS('قاعدة المؤشرات'!$K$2:$K$220,'قاعدة المؤشرات'!$B$2:$B$220,"الامتياز التجاري",'قاعدة المؤشرات'!$L$2:$L$220,"استدامة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المؤشرات'!$G$2:$G$220,'قاعدة المؤشرات'!$B$2:$B$220,"الامتياز التجاري",'قاعدة المؤشرات'!$L$2:$L$220,"استدامة الشراكة والامتثال"))</f>
        <v/>
      </c>
      <c r="H13" s="30">
        <f>COUNTIFS('قاعدة المؤشرات'!$H$2:$H$220,"🔴 تحت الهدف",'قاعدة المؤشرات'!$B$2:$B$220,"الامتياز التجاري",'قاعدة المؤشرات'!$L$2:$L$220,"استدامة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المؤشرات'!$J$2:$J$220,'قاعدة المؤشرات'!$B$2:$B$220,"التشغيل والمحطات",'قاعدة المؤشرات'!$L$2:$L$220,"النمو")/SUMIFS('قاعدة المؤشرات'!$K$2:$K$220,'قاعدة المؤشرات'!$B$2:$B$220,"التشغيل والمحطات",'قاعدة المؤشرات'!$L$2:$L$220,"النمو"),"")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المؤشرات'!$G$2:$G$220,'قاعدة المؤشرات'!$B$2:$B$220,"التشغيل والمحطات",'قاعدة المؤشرات'!$L$2:$L$220,"النمو"))</f>
        <v/>
      </c>
      <c r="H14" s="30">
        <f>COUNTIFS('قاعدة المؤشرات'!$H$2:$H$220,"🔴 تحت الهدف",'قاعدة المؤشرات'!$B$2:$B$220,"التشغيل والمحطات",'قاعدة المؤشرات'!$L$2:$L$220,"النمو")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المؤشرات'!$J$2:$J$220,'قاعدة المؤشرات'!$B$2:$B$220,"التشغيل والمحطات",'قاعدة المؤشرات'!$L$2:$L$220,"الربحية")/SUMIFS('قاعدة المؤشرات'!$K$2:$K$220,'قاعدة المؤشرات'!$B$2:$B$220,"التشغيل والمحطات",'قاعدة المؤشرات'!$L$2:$L$220,"الربحية"),"")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المؤشرات'!$G$2:$G$220,'قاعدة المؤشرات'!$B$2:$B$220,"التشغيل والمحطات",'قاعدة المؤشرات'!$L$2:$L$220,"الربحية"))</f>
        <v/>
      </c>
      <c r="H15" s="30">
        <f>COUNTIFS('قاعدة المؤشرات'!$H$2:$H$220,"🔴 تحت الهدف",'قاعدة المؤشرات'!$B$2:$B$220,"التشغيل والمحطات",'قاعدة المؤشرات'!$L$2:$L$220,"الربحية")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المؤشرات'!$J$2:$J$220,'قاعدة المؤشرات'!$B$2:$B$220,"التشغيل والمحطات",'قاعدة المؤشرات'!$L$2:$L$220,"حماية الإيراد")/SUMIFS('قاعدة المؤشرات'!$K$2:$K$220,'قاعدة المؤشرات'!$B$2:$B$220,"التشغيل والمحطات",'قاعدة المؤشرات'!$L$2:$L$220,"حماية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المؤشرات'!$G$2:$G$220,'قاعدة المؤشرات'!$B$2:$B$220,"التشغيل والمحطات",'قاعدة المؤشرات'!$L$2:$L$220,"حماية الإيراد"))</f>
        <v/>
      </c>
      <c r="H16" s="30">
        <f>COUNTIFS('قاعدة المؤشرات'!$H$2:$H$220,"🔴 تحت الهدف",'قاعدة المؤشرات'!$B$2:$B$220,"التشغيل والمحطات",'قاعدة المؤشرات'!$L$2:$L$220,"حماية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ضغط التكلفة</t>
        </is>
      </c>
      <c r="D17" s="15" t="n">
        <v>1</v>
      </c>
      <c r="E17" s="28">
        <f>IFERROR(SUMIFS('قاعدة المؤشرات'!$J$2:$J$220,'قاعدة المؤشرات'!$B$2:$B$220,"التشغيل والمحطات",'قاعدة المؤشرات'!$L$2:$L$220,"ضغط التكلفة")/SUMIFS('قاعدة المؤشرات'!$K$2:$K$220,'قاعدة المؤشرات'!$B$2:$B$220,"التشغيل والمحطات",'قاعدة المؤشرات'!$L$2:$L$220,"ضغط التكلفة"),"")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المؤشرات'!$G$2:$G$220,'قاعدة المؤشرات'!$B$2:$B$220,"التشغيل والمحطات",'قاعدة المؤشرات'!$L$2:$L$220,"ضغط التكلفة"))</f>
        <v/>
      </c>
      <c r="H17" s="30">
        <f>COUNTIFS('قاعدة المؤشرات'!$H$2:$H$220,"🔴 تحت الهدف",'قاعدة المؤشرات'!$B$2:$B$220,"التشغيل والمحطات",'قاعدة المؤشرات'!$L$2:$L$220,"ضغط التكلفة")</f>
        <v/>
      </c>
      <c r="I17" s="31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حماية الأصول</t>
        </is>
      </c>
      <c r="D18" s="15" t="n">
        <v>1</v>
      </c>
      <c r="E18" s="28">
        <f>IFERROR(SUMIFS('قاعدة المؤشرات'!$J$2:$J$220,'قاعدة المؤشرات'!$B$2:$B$220,"التشغيل والمحطات",'قاعدة المؤشرات'!$L$2:$L$220,"حماية الأصول")/SUMIFS('قاعدة المؤشرات'!$K$2:$K$220,'قاعدة المؤشرات'!$B$2:$B$220,"التشغيل والمحطات",'قاعدة المؤشرات'!$L$2:$L$220,"حماية الأصول"),"")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المؤشرات'!$G$2:$G$220,'قاعدة المؤشرات'!$B$2:$B$220,"التشغيل والمحطات",'قاعدة المؤشرات'!$L$2:$L$220,"حماية الأصول"))</f>
        <v/>
      </c>
      <c r="H18" s="30">
        <f>COUNTIFS('قاعدة المؤشرات'!$H$2:$H$220,"🔴 تحت الهدف",'قاعدة المؤشرات'!$B$2:$B$220,"التشغيل والمحطات",'قاعدة المؤشرات'!$L$2:$L$220,"حماية الأصول")</f>
        <v/>
      </c>
      <c r="I18" s="31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تجربة العميل</t>
        </is>
      </c>
      <c r="D19" s="15" t="n">
        <v>5</v>
      </c>
      <c r="E19" s="28">
        <f>IFERROR(SUMIFS('قاعدة المؤشرات'!$J$2:$J$220,'قاعدة المؤشرات'!$B$2:$B$220,"التشغيل والمحطات",'قاعدة المؤشرات'!$L$2:$L$220,"تجربة العميل")/SUMIFS('قاعدة المؤشرات'!$K$2:$K$220,'قاعدة المؤشرات'!$B$2:$B$220,"التشغيل والمحطات",'قاعدة المؤشرات'!$L$2:$L$220,"تجربة العميل"),"")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المؤشرات'!$G$2:$G$220,'قاعدة المؤشرات'!$B$2:$B$220,"التشغيل والمحطات",'قاعدة المؤشرات'!$L$2:$L$220,"تجربة العميل"))</f>
        <v/>
      </c>
      <c r="H19" s="30">
        <f>COUNTIFS('قاعدة المؤشرات'!$H$2:$H$220,"🔴 تحت الهدف",'قاعدة المؤشرات'!$B$2:$B$220,"التشغيل والمحطات",'قاعدة المؤشرات'!$L$2:$L$220,"تجربة العميل")</f>
        <v/>
      </c>
      <c r="I19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السلامة</t>
        </is>
      </c>
      <c r="D20" s="15" t="n">
        <v>1</v>
      </c>
      <c r="E20" s="28">
        <f>IFERROR(SUMIFS('قاعدة المؤشرات'!$J$2:$J$220,'قاعدة المؤشرات'!$B$2:$B$220,"التشغيل والمحطات",'قاعدة المؤشرات'!$L$2:$L$220,"السلامة")/SUMIFS('قاعدة المؤشرات'!$K$2:$K$220,'قاعدة المؤشرات'!$B$2:$B$220,"التشغيل والمحطات",'قاعدة المؤشرات'!$L$2:$L$220,"السلامة"),"")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المؤشرات'!$G$2:$G$220,'قاعدة المؤشرات'!$B$2:$B$220,"التشغيل والمحطات",'قاعدة المؤشرات'!$L$2:$L$220,"السلامة"))</f>
        <v/>
      </c>
      <c r="H20" s="30">
        <f>COUNTIFS('قاعدة المؤشرات'!$H$2:$H$220,"🔴 تحت الهدف",'قاعدة المؤشرات'!$B$2:$B$220,"التشغيل والمحطات",'قاعدة المؤشرات'!$L$2:$L$220,"السلامة")</f>
        <v/>
      </c>
      <c r="I20" s="31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7" t="inlineStr">
        <is>
          <t>البيئة</t>
        </is>
      </c>
      <c r="D21" s="15" t="n">
        <v>1</v>
      </c>
      <c r="E21" s="28">
        <f>IFERROR(SUMIFS('قاعدة المؤشرات'!$J$2:$J$220,'قاعدة المؤشرات'!$B$2:$B$220,"التشغيل والمحطات",'قاعدة المؤشرات'!$L$2:$L$220,"البيئة")/SUMIFS('قاعدة المؤشرات'!$K$2:$K$220,'قاعدة المؤشرات'!$B$2:$B$220,"التشغيل والمحطات",'قاعدة المؤشرات'!$L$2:$L$220,"البيئة"),"")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المؤشرات'!$G$2:$G$220,'قاعدة المؤشرات'!$B$2:$B$220,"التشغيل والمحطات",'قاعدة المؤشرات'!$L$2:$L$220,"البيئة"))</f>
        <v/>
      </c>
      <c r="H21" s="30">
        <f>COUNTIFS('قاعدة المؤشرات'!$H$2:$H$220,"🔴 تحت الهدف",'قاعدة المؤشرات'!$B$2:$B$220,"التشغيل والمحطات",'قاعدة المؤشرات'!$L$2:$L$220,"البيئة")</f>
        <v/>
      </c>
      <c r="I21" s="31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نمو المحفظة</t>
        </is>
      </c>
      <c r="D22" s="15" t="n">
        <v>6</v>
      </c>
      <c r="E22" s="28">
        <f>IFERROR(SUMIFS('قاعدة المؤشرات'!$J$2:$J$220,'قاعدة المؤشرات'!$B$2:$B$220,"الاستثمار",'قاعدة المؤشرات'!$L$2:$L$220,"نمو المحفظة")/SUMIFS('قاعدة المؤشرات'!$K$2:$K$220,'قاعدة المؤشرات'!$B$2:$B$220,"الاستثمار",'قاعدة المؤشرات'!$L$2:$L$220,"نمو المحفظة"),"")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المؤشرات'!$G$2:$G$220,'قاعدة المؤشرات'!$B$2:$B$220,"الاستثمار",'قاعدة المؤشرات'!$L$2:$L$220,"نمو المحفظة"))</f>
        <v/>
      </c>
      <c r="H22" s="30">
        <f>COUNTIFS('قاعدة المؤشرات'!$H$2:$H$220,"🔴 تحت الهدف",'قاعدة المؤشرات'!$B$2:$B$220,"الاستثمار",'قاعدة المؤشرات'!$L$2:$L$220,"نمو المحفظة")</f>
        <v/>
      </c>
      <c r="I22" s="31" t="inlineStr">
        <is>
          <t>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الربحية وجودة الموقع</t>
        </is>
      </c>
      <c r="D23" s="15" t="n">
        <v>3</v>
      </c>
      <c r="E23" s="28">
        <f>IFERROR(SUMIFS('قاعدة المؤشرات'!$J$2:$J$220,'قاعدة المؤشرات'!$B$2:$B$220,"الاستثمار",'قاعدة المؤشرات'!$L$2:$L$220,"الربحية وجودة الموقع")/SUMIFS('قاعدة المؤشرات'!$K$2:$K$220,'قاعدة المؤشرات'!$B$2:$B$220,"الاستثمار",'قاعدة المؤشرات'!$L$2:$L$220,"الربحية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المؤشرات'!$G$2:$G$220,'قاعدة المؤشرات'!$B$2:$B$220,"الاستثمار",'قاعدة المؤشرات'!$L$2:$L$220,"الربحية وجودة الموقع"))</f>
        <v/>
      </c>
      <c r="H23" s="30">
        <f>COUNTIFS('قاعدة المؤشرات'!$H$2:$H$220,"🔴 تحت الهدف",'قاعدة المؤشرات'!$B$2:$B$220,"الاستثمار",'قاعدة المؤشرات'!$L$2:$L$220,"الربحية وجودة الموقع")</f>
        <v/>
      </c>
      <c r="I23" s="31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التوسع الإقليمي</t>
        </is>
      </c>
      <c r="D24" s="15" t="n">
        <v>4</v>
      </c>
      <c r="E24" s="28">
        <f>IFERROR(SUMIFS('قاعدة المؤشرات'!$J$2:$J$220,'قاعدة المؤشرات'!$B$2:$B$220,"الاستثمار",'قاعدة المؤشرات'!$L$2:$L$220,"التوسع الإقليمي")/SUMIFS('قاعدة المؤشرات'!$K$2:$K$220,'قاعدة المؤشرات'!$B$2:$B$220,"الاستثمار",'قاعدة المؤشرات'!$L$2:$L$220,"التوسع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المؤشرات'!$G$2:$G$220,'قاعدة المؤشرات'!$B$2:$B$220,"الاستثمار",'قاعدة المؤشرات'!$L$2:$L$220,"التوسع الإقليمي"))</f>
        <v/>
      </c>
      <c r="H24" s="30">
        <f>COUNTIFS('قاعدة المؤشرات'!$H$2:$H$220,"🔴 تحت الهدف",'قاعدة المؤشرات'!$B$2:$B$220,"الاستثمار",'قاعدة المؤشرات'!$L$2:$L$220,"التوسع الإقليمي")</f>
        <v/>
      </c>
      <c r="I24" s="31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كفاءة الدورة</t>
        </is>
      </c>
      <c r="D25" s="15" t="n">
        <v>3</v>
      </c>
      <c r="E25" s="28">
        <f>IFERROR(SUMIFS('قاعدة المؤشرات'!$J$2:$J$220,'قاعدة المؤشرات'!$B$2:$B$220,"الاستثمار",'قاعدة المؤشرات'!$L$2:$L$220,"كفاءة الدورة")/SUMIFS('قاعدة المؤشرات'!$K$2:$K$220,'قاعدة المؤشرات'!$B$2:$B$220,"الاستثمار",'قاعدة المؤشرات'!$L$2:$L$220,"كفاءة الدورة"),"")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المؤشرات'!$G$2:$G$220,'قاعدة المؤشرات'!$B$2:$B$220,"الاستثمار",'قاعدة المؤشرات'!$L$2:$L$220,"كفاءة الدورة"))</f>
        <v/>
      </c>
      <c r="H25" s="30">
        <f>COUNTIFS('قاعدة المؤشرات'!$H$2:$H$220,"🔴 تحت الهدف",'قاعدة المؤشرات'!$B$2:$B$220,"الاستثمار",'قاعدة المؤشرات'!$L$2:$L$220,"كفاءة الدورة")</f>
        <v/>
      </c>
      <c r="I25" s="31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7" t="inlineStr">
        <is>
          <t>الامتثال</t>
        </is>
      </c>
      <c r="D26" s="15" t="n">
        <v>2</v>
      </c>
      <c r="E26" s="28">
        <f>IFERROR(SUMIFS('قاعدة المؤشرات'!$J$2:$J$220,'قاعدة المؤشرات'!$B$2:$B$220,"الاستثمار",'قاعدة المؤشرات'!$L$2:$L$220,"الامتثال")/SUMIFS('قاعدة المؤشرات'!$K$2:$K$220,'قاعدة المؤشرات'!$B$2:$B$220,"الاستثمار",'قاعدة المؤشرات'!$L$2:$L$220,"الامتثال"),"")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المؤشرات'!$G$2:$G$220,'قاعدة المؤشرات'!$B$2:$B$220,"الاستثمار",'قاعدة المؤشرات'!$L$2:$L$220,"الامتثال"))</f>
        <v/>
      </c>
      <c r="H26" s="30">
        <f>COUNTIFS('قاعدة المؤشرات'!$H$2:$H$220,"🔴 تحت الهدف",'قاعدة المؤشرات'!$B$2:$B$220,"الاستثمار",'قاعدة المؤشرات'!$L$2:$L$220,"الامتثال")</f>
        <v/>
      </c>
      <c r="I26" s="31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7" t="inlineStr">
        <is>
          <t>جودة التعاقد</t>
        </is>
      </c>
      <c r="D27" s="15" t="n">
        <v>5</v>
      </c>
      <c r="E27" s="28">
        <f>IFERROR(SUMIFS('قاعدة المؤشرات'!$J$2:$J$220,'قاعدة المؤشرات'!$B$2:$B$220,"الاستثمار",'قاعدة المؤشرات'!$L$2:$L$220,"جودة التعاقد")/SUMIFS('قاعدة المؤشرات'!$K$2:$K$220,'قاعدة المؤشرات'!$B$2:$B$220,"الاستثمار",'قاعدة المؤشرات'!$L$2:$L$220,"جودة التعاقد"),"")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المؤشرات'!$G$2:$G$220,'قاعدة المؤشرات'!$B$2:$B$220,"الاستثمار",'قاعدة المؤشرات'!$L$2:$L$220,"جودة التعاقد"))</f>
        <v/>
      </c>
      <c r="H27" s="30">
        <f>COUNTIFS('قاعدة المؤشرات'!$H$2:$H$220,"🔴 تحت الهدف",'قاعدة المؤشرات'!$B$2:$B$220,"الاستثمار",'قاعدة المؤشرات'!$L$2:$L$220,"جودة التعاقد")</f>
        <v/>
      </c>
      <c r="I27" s="31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الإدارة</t>
        </is>
      </c>
      <c r="D28" s="15" t="n">
        <v>3</v>
      </c>
      <c r="E28" s="28">
        <f>IFERROR(SUMIFS('قاعدة المؤشرات'!$J$2:$J$220,'قاعدة المؤشرات'!$B$2:$B$220,"العقار",'قاعدة المؤشرات'!$L$2:$L$220,"الإدارة")/SUMIFS('قاعدة المؤشرات'!$K$2:$K$220,'قاعدة المؤشرات'!$B$2:$B$220,"العقار",'قاعدة المؤشرات'!$L$2:$L$220,"الإدارة"),"")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المؤشرات'!$G$2:$G$220,'قاعدة المؤشرات'!$B$2:$B$220,"العقار",'قاعدة المؤشرات'!$L$2:$L$220,"الإدارة"))</f>
        <v/>
      </c>
      <c r="H28" s="30">
        <f>COUNTIFS('قاعدة المؤشرات'!$H$2:$H$220,"🔴 تحت الهدف",'قاعدة المؤشرات'!$B$2:$B$220,"العقار",'قاعدة المؤشرات'!$L$2:$L$220,"الإدارة")</f>
        <v/>
      </c>
      <c r="I28" s="31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التأجير</t>
        </is>
      </c>
      <c r="D29" s="15" t="n">
        <v>5</v>
      </c>
      <c r="E29" s="28">
        <f>IFERROR(SUMIFS('قاعدة المؤشرات'!$J$2:$J$220,'قاعدة المؤشرات'!$B$2:$B$220,"العقار",'قاعدة المؤشرات'!$L$2:$L$220,"التأجير")/SUMIFS('قاعدة المؤشرات'!$K$2:$K$220,'قاعدة المؤشرات'!$B$2:$B$220,"العقار",'قاعدة المؤشرات'!$L$2:$L$220,"التأجير"),"")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المؤشرات'!$G$2:$G$220,'قاعدة المؤشرات'!$B$2:$B$220,"العقار",'قاعدة المؤشرات'!$L$2:$L$220,"التأجير"))</f>
        <v/>
      </c>
      <c r="H29" s="30">
        <f>COUNTIFS('قاعدة المؤشرات'!$H$2:$H$220,"🔴 تحت الهدف",'قاعدة المؤشرات'!$B$2:$B$220,"العقار",'قاعدة المؤشرات'!$L$2:$L$220,"التأجير")</f>
        <v/>
      </c>
      <c r="I29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الإبداع والتكامل</t>
        </is>
      </c>
      <c r="D30" s="15" t="n">
        <v>3</v>
      </c>
      <c r="E30" s="28">
        <f>IFERROR(SUMIFS('قاعدة المؤشرات'!$J$2:$J$220,'قاعدة المؤشرات'!$B$2:$B$220,"العقار",'قاعدة المؤشرات'!$L$2:$L$220,"الإبداع والتكامل")/SUMIFS('قاعدة المؤشرات'!$K$2:$K$220,'قاعدة المؤشرات'!$B$2:$B$220,"العقار",'قاعدة المؤشرات'!$L$2:$L$220,"الإبداع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المؤشرات'!$G$2:$G$220,'قاعدة المؤشرات'!$B$2:$B$220,"العقار",'قاعدة المؤشرات'!$L$2:$L$220,"الإبداع والتكامل"))</f>
        <v/>
      </c>
      <c r="H30" s="30">
        <f>COUNTIFS('قاعدة المؤشرات'!$H$2:$H$220,"🔴 تحت الهدف",'قاعدة المؤشرات'!$B$2:$B$220,"العقار",'قاعدة المؤشرات'!$L$2:$L$220,"الإبداع والتكامل")</f>
        <v/>
      </c>
      <c r="I30" s="31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إدارة الأملاك</t>
        </is>
      </c>
      <c r="D31" s="15" t="n">
        <v>1</v>
      </c>
      <c r="E31" s="28">
        <f>IFERROR(SUMIFS('قاعدة المؤشرات'!$J$2:$J$220,'قاعدة المؤشرات'!$B$2:$B$220,"العقار",'قاعدة المؤشرات'!$L$2:$L$220,"إدارة الأملاك")/SUMIFS('قاعدة المؤشرات'!$K$2:$K$220,'قاعدة المؤشرات'!$B$2:$B$220,"العقار",'قاعدة المؤشرات'!$L$2:$L$220,"إدارة الأملاك"),"")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المؤشرات'!$G$2:$G$220,'قاعدة المؤشرات'!$B$2:$B$220,"العقار",'قاعدة المؤشرات'!$L$2:$L$220,"إدارة الأملاك"))</f>
        <v/>
      </c>
      <c r="H31" s="30">
        <f>COUNTIFS('قاعدة المؤشرات'!$H$2:$H$220,"🔴 تحت الهدف",'قاعدة المؤشرات'!$B$2:$B$220,"العقار",'قاعدة المؤشرات'!$L$2:$L$220,"إدارة الأملاك")</f>
        <v/>
      </c>
      <c r="I31" s="31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7" t="inlineStr">
        <is>
          <t>تنسيق المشاريع</t>
        </is>
      </c>
      <c r="D32" s="15" t="n">
        <v>2</v>
      </c>
      <c r="E32" s="28">
        <f>IFERROR(SUMIFS('قاعدة المؤشرات'!$J$2:$J$220,'قاعدة المؤشرات'!$B$2:$B$220,"العقار",'قاعدة المؤشرات'!$L$2:$L$220,"تنسيق المشاريع")/SUMIFS('قاعدة المؤشرات'!$K$2:$K$220,'قاعدة المؤشرات'!$B$2:$B$220,"العقار",'قاعدة المؤشرات'!$L$2:$L$220,"تنسيق المشاريع"),"")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المؤشرات'!$G$2:$G$220,'قاعدة المؤشرات'!$B$2:$B$220,"العقار",'قاعدة المؤشرات'!$L$2:$L$220,"تنسيق المشاريع"))</f>
        <v/>
      </c>
      <c r="H32" s="30">
        <f>COUNTIFS('قاعدة المؤشرات'!$H$2:$H$220,"🔴 تحت الهدف",'قاعدة المؤشرات'!$B$2:$B$220,"العقار",'قاعدة المؤشرات'!$L$2:$L$220,"تنسيق المشاريع")</f>
        <v/>
      </c>
      <c r="I32" s="31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7" t="inlineStr">
        <is>
          <t>الجودة والاستدامة</t>
        </is>
      </c>
      <c r="D33" s="15" t="n">
        <v>2</v>
      </c>
      <c r="E33" s="28">
        <f>IFERROR(SUMIFS('قاعدة المؤشرات'!$J$2:$J$220,'قاعدة المؤشرات'!$B$2:$B$220,"العقار",'قاعدة المؤشرات'!$L$2:$L$220,"الجودة والاستدامة")/SUMIFS('قاعدة المؤشرات'!$K$2:$K$220,'قاعدة المؤشرات'!$B$2:$B$220,"العقار",'قاعدة المؤشرات'!$L$2:$L$220,"الجودة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المؤشرات'!$G$2:$G$220,'قاعدة المؤشرات'!$B$2:$B$220,"العقار",'قاعدة المؤشرات'!$L$2:$L$220,"الجودة والاستدامة"))</f>
        <v/>
      </c>
      <c r="H33" s="30">
        <f>COUNTIFS('قاعدة المؤشرات'!$H$2:$H$220,"🔴 تحت الهدف",'قاعدة المؤشرات'!$B$2:$B$220,"العقار",'قاعدة المؤشرات'!$L$2:$L$220,"الجودة والاستدامة")</f>
        <v/>
      </c>
      <c r="I33" s="31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تسليم محطات الشركة</t>
        </is>
      </c>
      <c r="D34" s="15" t="n">
        <v>4</v>
      </c>
      <c r="E34" s="28">
        <f>IFERROR(SUMIFS('قاعدة المؤشرات'!$J$2:$J$220,'قاعدة المؤشرات'!$B$2:$B$220,"إدارة المشاريع",'قاعدة المؤشرات'!$L$2:$L$220,"تسليم محطات الشركة")/SUMIFS('قاعدة المؤشرات'!$K$2:$K$220,'قاعدة المؤشرات'!$B$2:$B$220,"إدارة المشاريع",'قاعدة المؤشرات'!$L$2:$L$220,"تسليم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المؤشرات'!$G$2:$G$220,'قاعدة المؤشرات'!$B$2:$B$220,"إدارة المشاريع",'قاعدة المؤشرات'!$L$2:$L$220,"تسليم محطات الشركة"))</f>
        <v/>
      </c>
      <c r="H34" s="30">
        <f>COUNTIFS('قاعدة المؤشرات'!$H$2:$H$220,"🔴 تحت الهدف",'قاعدة المؤشرات'!$B$2:$B$220,"إدارة المشاريع",'قاعدة المؤشرات'!$L$2:$L$220,"تسليم محطات الشركة")</f>
        <v/>
      </c>
      <c r="I34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الإشراف على الامتياز</t>
        </is>
      </c>
      <c r="D35" s="15" t="n">
        <v>4</v>
      </c>
      <c r="E35" s="28">
        <f>IFERROR(SUMIFS('قاعدة المؤشرات'!$J$2:$J$220,'قاعدة المؤشرات'!$B$2:$B$220,"إدارة المشاريع",'قاعدة المؤشرات'!$L$2:$L$220,"الإشراف على الامتياز")/SUMIFS('قاعدة المؤشرات'!$K$2:$K$220,'قاعدة المؤشرات'!$B$2:$B$220,"إدارة المشاريع",'قاعدة المؤشرات'!$L$2:$L$220,"الإشراف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المؤشرات'!$G$2:$G$220,'قاعدة المؤشرات'!$B$2:$B$220,"إدارة المشاريع",'قاعدة المؤشرات'!$L$2:$L$220,"الإشراف على الامتياز"))</f>
        <v/>
      </c>
      <c r="H35" s="30">
        <f>COUNTIFS('قاعدة المؤشرات'!$H$2:$H$220,"🔴 تحت الهدف",'قاعدة المؤشرات'!$B$2:$B$220,"إدارة المشاريع",'قاعدة المؤشرات'!$L$2:$L$220,"الإشراف على الامتياز")</f>
        <v/>
      </c>
      <c r="I35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الجودة والمقاولون</t>
        </is>
      </c>
      <c r="D36" s="15" t="n">
        <v>3</v>
      </c>
      <c r="E36" s="28">
        <f>IFERROR(SUMIFS('قاعدة المؤشرات'!$J$2:$J$220,'قاعدة المؤشرات'!$B$2:$B$220,"إدارة المشاريع",'قاعدة المؤشرات'!$L$2:$L$220,"الجودة والمقاولون")/SUMIFS('قاعدة المؤشرات'!$K$2:$K$220,'قاعدة المؤشرات'!$B$2:$B$220,"إدارة المشاريع",'قاعدة المؤشرات'!$L$2:$L$220,"الجودة والمقاولون"),"")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المؤشرات'!$G$2:$G$220,'قاعدة المؤشرات'!$B$2:$B$220,"إدارة المشاريع",'قاعدة المؤشرات'!$L$2:$L$220,"الجودة والمقاولون"))</f>
        <v/>
      </c>
      <c r="H36" s="30">
        <f>COUNTIFS('قاعدة المؤشرات'!$H$2:$H$220,"🔴 تحت الهدف",'قاعدة المؤشرات'!$B$2:$B$220,"إدارة المشاريع",'قاعدة المؤشرات'!$L$2:$L$220,"الجودة والمقاولون")</f>
        <v/>
      </c>
      <c r="I36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7" t="inlineStr">
        <is>
          <t>الالتزام بالخطة</t>
        </is>
      </c>
      <c r="D37" s="15" t="n">
        <v>2</v>
      </c>
      <c r="E37" s="28">
        <f>IFERROR(SUMIFS('قاعدة المؤشرات'!$J$2:$J$220,'قاعدة المؤشرات'!$B$2:$B$220,"إدارة المشاريع",'قاعدة المؤشرات'!$L$2:$L$220,"الالتزام بالخطة")/SUMIFS('قاعدة المؤشرات'!$K$2:$K$220,'قاعدة المؤشرات'!$B$2:$B$220,"إدارة المشاريع",'قاعدة المؤشرات'!$L$2:$L$220,"الالتزام بالخطة"),"")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المؤشرات'!$G$2:$G$220,'قاعدة المؤشرات'!$B$2:$B$220,"إدارة المشاريع",'قاعدة المؤشرات'!$L$2:$L$220,"الالتزام بالخطة"))</f>
        <v/>
      </c>
      <c r="H37" s="30">
        <f>COUNTIFS('قاعدة المؤشرات'!$H$2:$H$220,"🔴 تحت الهدف",'قاعدة المؤشرات'!$B$2:$B$220,"إدارة المشاريع",'قاعدة المؤشرات'!$L$2:$L$220,"الالتزام بالخطة")</f>
        <v/>
      </c>
      <c r="I37" s="31" t="inlineStr">
        <is>
          <t>نسبة الالتزام بالميزانية المعتمدة · نسبة الالتزام بالجدول الزمني العام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7" t="inlineStr">
        <is>
          <t>التصاميم وأوامر التغيير</t>
        </is>
      </c>
      <c r="D38" s="15" t="n">
        <v>1</v>
      </c>
      <c r="E38" s="28">
        <f>IFERROR(SUMIFS('قاعدة المؤشرات'!$J$2:$J$220,'قاعدة المؤشرات'!$B$2:$B$220,"إدارة المشاريع",'قاعدة المؤشرات'!$L$2:$L$220,"التصاميم وأوامر التغيير")/SUMIFS('قاعدة المؤشرات'!$K$2:$K$220,'قاعدة المؤشرات'!$B$2:$B$220,"إدارة المشاريع",'قاعدة المؤشرات'!$L$2:$L$220,"التصاميم وأوامر التغيير"),"")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المؤشرات'!$G$2:$G$220,'قاعدة المؤشرات'!$B$2:$B$220,"إدارة المشاريع",'قاعدة المؤشرات'!$L$2:$L$220,"التصاميم وأوامر التغيير"))</f>
        <v/>
      </c>
      <c r="H38" s="30">
        <f>COUNTIFS('قاعدة المؤشرات'!$H$2:$H$220,"🔴 تحت الهدف",'قاعدة المؤشرات'!$B$2:$B$220,"إدارة المشاريع",'قاعدة المؤشرات'!$L$2:$L$220,"التصاميم وأوامر التغيير")</f>
        <v/>
      </c>
      <c r="I38" s="31" t="inlineStr">
        <is>
          <t>متوسط مدة إغلاق قائمة الملاحظات النهائية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خدمة العميل والتوفّر</t>
        </is>
      </c>
      <c r="D39" s="15" t="n">
        <v>2</v>
      </c>
      <c r="E39" s="28">
        <f>IFERROR(SUMIFS('قاعدة المؤشرات'!$J$2:$J$220,'قاعدة المؤشرات'!$B$2:$B$220,"سلاسل الإمداد",'قاعدة المؤشرات'!$L$2:$L$220,"خدمة العميل والتوفّر")/SUMIFS('قاعدة المؤشرات'!$K$2:$K$220,'قاعدة المؤشرات'!$B$2:$B$220,"سلاسل الإمداد",'قاعدة المؤشرات'!$L$2:$L$220,"خدمة العميل والتوفّر"),"")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المؤشرات'!$G$2:$G$220,'قاعدة المؤشرات'!$B$2:$B$220,"سلاسل الإمداد",'قاعدة المؤشرات'!$L$2:$L$220,"خدمة العميل والتوفّر"))</f>
        <v/>
      </c>
      <c r="H39" s="30">
        <f>COUNTIFS('قاعدة المؤشرات'!$H$2:$H$220,"🔴 تحت الهدف",'قاعدة المؤشرات'!$B$2:$B$220,"سلاسل الإمداد",'قاعدة المؤشرات'!$L$2:$L$220,"خدمة العميل والتوفّر")</f>
        <v/>
      </c>
      <c r="I39" s="31" t="inlineStr">
        <is>
          <t>نسبة تلبية طلبات المحطات من الوقود Fill Rate · عدد انقطاعات التوريد المؤثرة شهريًا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المخزون</t>
        </is>
      </c>
      <c r="D40" s="15" t="n">
        <v>3</v>
      </c>
      <c r="E40" s="28">
        <f>IFERROR(SUMIFS('قاعدة المؤشرات'!$J$2:$J$220,'قاعدة المؤشرات'!$B$2:$B$220,"سلاسل الإمداد",'قاعدة المؤشرات'!$L$2:$L$220,"المخزون")/SUMIFS('قاعدة المؤشرات'!$K$2:$K$220,'قاعدة المؤشرات'!$B$2:$B$220,"سلاسل الإمداد",'قاعدة المؤشرات'!$L$2:$L$220,"المخزون"),"")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المؤشرات'!$G$2:$G$220,'قاعدة المؤشرات'!$B$2:$B$220,"سلاسل الإمداد",'قاعدة المؤشرات'!$L$2:$L$220,"المخزون"))</f>
        <v/>
      </c>
      <c r="H40" s="30">
        <f>COUNTIFS('قاعدة المؤشرات'!$H$2:$H$220,"🔴 تحت الهدف",'قاعدة المؤشرات'!$B$2:$B$220,"سلاسل الإمداد",'قاعدة المؤشرات'!$L$2:$L$220,"المخزون")</f>
        <v/>
      </c>
      <c r="I40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المشتريات</t>
        </is>
      </c>
      <c r="D41" s="15" t="n">
        <v>2</v>
      </c>
      <c r="E41" s="28">
        <f>IFERROR(SUMIFS('قاعدة المؤشرات'!$J$2:$J$220,'قاعدة المؤشرات'!$B$2:$B$220,"سلاسل الإمداد",'قاعدة المؤشرات'!$L$2:$L$220,"المشتريات")/SUMIFS('قاعدة المؤشرات'!$K$2:$K$220,'قاعدة المؤشرات'!$B$2:$B$220,"سلاسل الإمداد",'قاعدة المؤشرات'!$L$2:$L$220,"المشتريات"),"")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المؤشرات'!$G$2:$G$220,'قاعدة المؤشرات'!$B$2:$B$220,"سلاسل الإمداد",'قاعدة المؤشرات'!$L$2:$L$220,"المشتريات"))</f>
        <v/>
      </c>
      <c r="H41" s="30">
        <f>COUNTIFS('قاعدة المؤشرات'!$H$2:$H$220,"🔴 تحت الهدف",'قاعدة المؤشرات'!$B$2:$B$220,"سلاسل الإمداد",'قاعدة المؤشرات'!$L$2:$L$220,"المشتريات")</f>
        <v/>
      </c>
      <c r="I41" s="31" t="inlineStr">
        <is>
          <t>دقة أوامر الشراء ومستنداتها · نسبة إنجاز أوامر الشراء خلال المدة المستهدفة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التوريد والتسليم</t>
        </is>
      </c>
      <c r="D42" s="15" t="n">
        <v>2</v>
      </c>
      <c r="E42" s="28">
        <f>IFERROR(SUMIFS('قاعدة المؤشرات'!$J$2:$J$220,'قاعدة المؤشرات'!$B$2:$B$220,"سلاسل الإمداد",'قاعدة المؤشرات'!$L$2:$L$220,"التوريد والتسليم")/SUMIFS('قاعدة المؤشرات'!$K$2:$K$220,'قاعدة المؤشرات'!$B$2:$B$220,"سلاسل الإمداد",'قاعدة المؤشرات'!$L$2:$L$220,"التوريد والتسليم"),"")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المؤشرات'!$G$2:$G$220,'قاعدة المؤشرات'!$B$2:$B$220,"سلاسل الإمداد",'قاعدة المؤشرات'!$L$2:$L$220,"التوريد والتسليم"))</f>
        <v/>
      </c>
      <c r="H42" s="30">
        <f>COUNTIFS('قاعدة المؤشرات'!$H$2:$H$220,"🔴 تحت الهدف",'قاعدة المؤشرات'!$B$2:$B$220,"سلاسل الإمداد",'قاعدة المؤشرات'!$L$2:$L$220,"التوريد والتسليم")</f>
        <v/>
      </c>
      <c r="I42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7" t="inlineStr">
        <is>
          <t>النقل والأسطول</t>
        </is>
      </c>
      <c r="D43" s="15" t="n">
        <v>1</v>
      </c>
      <c r="E43" s="28">
        <f>IFERROR(SUMIFS('قاعدة المؤشرات'!$J$2:$J$220,'قاعدة المؤشرات'!$B$2:$B$220,"سلاسل الإمداد",'قاعدة المؤشرات'!$L$2:$L$220,"النقل والأسطول")/SUMIFS('قاعدة المؤشرات'!$K$2:$K$220,'قاعدة المؤشرات'!$B$2:$B$220,"سلاسل الإمداد",'قاعدة المؤشرات'!$L$2:$L$220,"النقل والأسطول"),"")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المؤشرات'!$G$2:$G$220,'قاعدة المؤشرات'!$B$2:$B$220,"سلاسل الإمداد",'قاعدة المؤشرات'!$L$2:$L$220,"النقل والأسطول"))</f>
        <v/>
      </c>
      <c r="H43" s="30">
        <f>COUNTIFS('قاعدة المؤشرات'!$H$2:$H$220,"🔴 تحت الهدف",'قاعدة المؤشرات'!$B$2:$B$220,"سلاسل الإمداد",'قاعدة المؤشرات'!$L$2:$L$220,"النقل والأسطول")</f>
        <v/>
      </c>
      <c r="I43" s="31" t="inlineStr">
        <is>
          <t>نسبة الالتزام بجدول النقل واستخدام الأسطول بكفاءة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7" t="inlineStr">
        <is>
          <t>الموردون والرضا</t>
        </is>
      </c>
      <c r="D44" s="15" t="n">
        <v>2</v>
      </c>
      <c r="E44" s="28">
        <f>IFERROR(SUMIFS('قاعدة المؤشرات'!$J$2:$J$220,'قاعدة المؤشرات'!$B$2:$B$220,"سلاسل الإمداد",'قاعدة المؤشرات'!$L$2:$L$220,"الموردون والرضا")/SUMIFS('قاعدة المؤشرات'!$K$2:$K$220,'قاعدة المؤشرات'!$B$2:$B$220,"سلاسل الإمداد",'قاعدة المؤشرات'!$L$2:$L$220,"الموردون والرضا"),"")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المؤشرات'!$G$2:$G$220,'قاعدة المؤشرات'!$B$2:$B$220,"سلاسل الإمداد",'قاعدة المؤشرات'!$L$2:$L$220,"الموردون والرضا"))</f>
        <v/>
      </c>
      <c r="H44" s="30">
        <f>COUNTIFS('قاعدة المؤشرات'!$H$2:$H$220,"🔴 تحت الهدف",'قاعدة المؤشرات'!$B$2:$B$220,"سلاسل الإمداد",'قاعدة المؤشرات'!$L$2:$L$220,"الموردون والرضا")</f>
        <v/>
      </c>
      <c r="I44" s="31" t="inlineStr">
        <is>
          <t>كفاءة إدارة الموردين · مستوى رضا الإدارات عن خدمات سلاسل الإمداد</t>
        </is>
      </c>
    </row>
    <row r="45" ht="26" customHeight="1">
      <c r="A45" s="15" t="n">
        <v>43</v>
      </c>
      <c r="B45" s="13" t="inlineStr">
        <is>
          <t>الصيانة والأتمتة</t>
        </is>
      </c>
      <c r="C45" s="27" t="inlineStr">
        <is>
          <t>جاهزية الأصول</t>
        </is>
      </c>
      <c r="D45" s="15" t="n">
        <v>2</v>
      </c>
      <c r="E45" s="28">
        <f>IFERROR(SUMIFS('قاعدة المؤشرات'!$J$2:$J$220,'قاعدة المؤشرات'!$B$2:$B$220,"الصيانة والأتمتة",'قاعدة المؤشرات'!$L$2:$L$220,"جاهزية الأصول")/SUMIFS('قاعدة المؤشرات'!$K$2:$K$220,'قاعدة المؤشرات'!$B$2:$B$220,"الصيانة والأتمتة",'قاعدة المؤشرات'!$L$2:$L$220,"جاهزية الأصول"),"")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المؤشرات'!$G$2:$G$220,'قاعدة المؤشرات'!$B$2:$B$220,"الصيانة والأتمتة",'قاعدة المؤشرات'!$L$2:$L$220,"جاهزية الأصول"))</f>
        <v/>
      </c>
      <c r="H45" s="30">
        <f>COUNTIFS('قاعدة المؤشرات'!$H$2:$H$220,"🔴 تحت الهدف",'قاعدة المؤشرات'!$B$2:$B$220,"الصيانة والأتمتة",'قاعدة المؤشرات'!$L$2:$L$220,"جاهزية الأصول")</f>
        <v/>
      </c>
      <c r="I45" s="31" t="inlineStr">
        <is>
          <t>نسبة الجاهزية الفنية للأصول والمعدات (Availability) · نسبة تنفيذ الصيانة الوقائية في موعدها (PM)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الاستجابة والإصلاح</t>
        </is>
      </c>
      <c r="D46" s="15" t="n">
        <v>4</v>
      </c>
      <c r="E46" s="28">
        <f>IFERROR(SUMIFS('قاعدة المؤشرات'!$J$2:$J$220,'قاعدة المؤشرات'!$B$2:$B$220,"الصيانة والأتمتة",'قاعدة المؤشرات'!$L$2:$L$220,"الاستجابة والإصلاح")/SUMIFS('قاعدة المؤشرات'!$K$2:$K$220,'قاعدة المؤشرات'!$B$2:$B$220,"الصيانة والأتمتة",'قاعدة المؤشرات'!$L$2:$L$220,"الاستجابة والإصلاح"),"")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المؤشرات'!$G$2:$G$220,'قاعدة المؤشرات'!$B$2:$B$220,"الصيانة والأتمتة",'قاعدة المؤشرات'!$L$2:$L$220,"الاستجابة والإصلاح"))</f>
        <v/>
      </c>
      <c r="H46" s="30">
        <f>COUNTIFS('قاعدة المؤشرات'!$H$2:$H$220,"🔴 تحت الهدف",'قاعدة المؤشرات'!$B$2:$B$220,"الصيانة والأتمتة",'قاعدة المؤشرات'!$L$2:$L$220,"الاستجابة والإصلاح")</f>
        <v/>
      </c>
      <c r="I46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استمرارية التشغيل</t>
        </is>
      </c>
      <c r="D47" s="15" t="n">
        <v>1</v>
      </c>
      <c r="E47" s="28">
        <f>IFERROR(SUMIFS('قاعدة المؤشرات'!$J$2:$J$220,'قاعدة المؤشرات'!$B$2:$B$220,"الصيانة والأتمتة",'قاعدة المؤشرات'!$L$2:$L$220,"استمرارية التشغيل")/SUMIFS('قاعدة المؤشرات'!$K$2:$K$220,'قاعدة المؤشرات'!$B$2:$B$220,"الصيانة والأتمتة",'قاعدة المؤشرات'!$L$2:$L$220,"استمرارية التشغيل"),"")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المؤشرات'!$G$2:$G$220,'قاعدة المؤشرات'!$B$2:$B$220,"الصيانة والأتمتة",'قاعدة المؤشرات'!$L$2:$L$220,"استمرارية التشغيل"))</f>
        <v/>
      </c>
      <c r="H47" s="30">
        <f>COUNTIFS('قاعدة المؤشرات'!$H$2:$H$220,"🔴 تحت الهدف",'قاعدة المؤشرات'!$B$2:$B$220,"الصيانة والأتمتة",'قاعدة المؤشرات'!$L$2:$L$220,"استمرارية التشغيل")</f>
        <v/>
      </c>
      <c r="I47" s="31" t="inlineStr">
        <is>
          <t>نسبة استمرارية تشغيل المحطات دون توقف فني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7" t="inlineStr">
        <is>
          <t>موثوقية الأتمتة</t>
        </is>
      </c>
      <c r="D48" s="15" t="n">
        <v>2</v>
      </c>
      <c r="E48" s="28">
        <f>IFERROR(SUMIFS('قاعدة المؤشرات'!$J$2:$J$220,'قاعدة المؤشرات'!$B$2:$B$220,"الصيانة والأتمتة",'قاعدة المؤشرات'!$L$2:$L$220,"موثوقية الأتمتة")/SUMIFS('قاعدة المؤشرات'!$K$2:$K$220,'قاعدة المؤشرات'!$B$2:$B$220,"الصيانة والأتمتة",'قاعدة المؤشرات'!$L$2:$L$220,"موثوقية الأتمتة"),"")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المؤشرات'!$G$2:$G$220,'قاعدة المؤشرات'!$B$2:$B$220,"الصيانة والأتمتة",'قاعدة المؤشرات'!$L$2:$L$220,"موثوقية الأتمتة"))</f>
        <v/>
      </c>
      <c r="H48" s="30">
        <f>COUNTIFS('قاعدة المؤشرات'!$H$2:$H$220,"🔴 تحت الهدف",'قاعدة المؤشرات'!$B$2:$B$220,"الصيانة والأتمتة",'قاعدة المؤشرات'!$L$2:$L$220,"موثوقية الأتمتة")</f>
        <v/>
      </c>
      <c r="I48" s="31" t="inlineStr">
        <is>
          <t>نسبة التشغيل السليم لأنظمة الأتمتة (Uptime) · نسبة استعادة أنظمة الأتمتة ضمن الزمن المحدد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7" t="inlineStr">
        <is>
          <t>كفاءة التكاليف</t>
        </is>
      </c>
      <c r="D49" s="15" t="n">
        <v>1</v>
      </c>
      <c r="E49" s="28">
        <f>IFERROR(SUMIFS('قاعدة المؤشرات'!$J$2:$J$220,'قاعدة المؤشرات'!$B$2:$B$220,"الصيانة والأتمتة",'قاعدة المؤشرات'!$L$2:$L$220,"كفاءة التكاليف")/SUMIFS('قاعدة المؤشرات'!$K$2:$K$220,'قاعدة المؤشرات'!$B$2:$B$220,"الصيانة والأتمتة",'قاعدة المؤشرات'!$L$2:$L$220,"كفاءة التكاليف"),"")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المؤشرات'!$G$2:$G$220,'قاعدة المؤشرات'!$B$2:$B$220,"الصيانة والأتمتة",'قاعدة المؤشرات'!$L$2:$L$220,"كفاءة التكاليف"))</f>
        <v/>
      </c>
      <c r="H49" s="30">
        <f>COUNTIFS('قاعدة المؤشرات'!$H$2:$H$220,"🔴 تحت الهدف",'قاعدة المؤشرات'!$B$2:$B$220,"الصيانة والأتمتة",'قاعدة المؤشرات'!$L$2:$L$220,"كفاءة التكاليف")</f>
        <v/>
      </c>
      <c r="I49" s="31" t="inlineStr">
        <is>
          <t>كفاءة تكاليف الصيانة (الالتزام بالميزانية)</t>
        </is>
      </c>
    </row>
    <row r="50" ht="26" customHeight="1">
      <c r="A50" s="15" t="n">
        <v>48</v>
      </c>
      <c r="B50" s="13" t="inlineStr">
        <is>
          <t>التقنية الرقمية</t>
        </is>
      </c>
      <c r="C50" s="27" t="inlineStr">
        <is>
          <t>توفّر واستقرار الأنظمة</t>
        </is>
      </c>
      <c r="D50" s="15" t="n">
        <v>3</v>
      </c>
      <c r="E50" s="28">
        <f>IFERROR(SUMIFS('قاعدة المؤشرات'!$J$2:$J$220,'قاعدة المؤشرات'!$B$2:$B$220,"التقنية الرقمية",'قاعدة المؤشرات'!$L$2:$L$220,"توفّر واستقرار الأنظمة")/SUMIFS('قاعدة المؤشرات'!$K$2:$K$220,'قاعدة المؤشرات'!$B$2:$B$220,"التقنية الرقمية",'قاعدة المؤشرات'!$L$2:$L$220,"توفّر واستقرار الأنظمة"),"")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المؤشرات'!$G$2:$G$220,'قاعدة المؤشرات'!$B$2:$B$220,"التقنية الرقمية",'قاعدة المؤشرات'!$L$2:$L$220,"توفّر واستقرار الأنظمة"))</f>
        <v/>
      </c>
      <c r="H50" s="30">
        <f>COUNTIFS('قاعدة المؤشرات'!$H$2:$H$220,"🔴 تحت الهدف",'قاعدة المؤشرات'!$B$2:$B$220,"التقنية الرقمية",'قاعدة المؤشرات'!$L$2:$L$220,"توفّر واستقرار الأنظمة")</f>
        <v/>
      </c>
      <c r="I50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المشاريع التقنية</t>
        </is>
      </c>
      <c r="D51" s="15" t="n">
        <v>2</v>
      </c>
      <c r="E51" s="28">
        <f>IFERROR(SUMIFS('قاعدة المؤشرات'!$J$2:$J$220,'قاعدة المؤشرات'!$B$2:$B$220,"التقنية الرقمية",'قاعدة المؤشرات'!$L$2:$L$220,"المشاريع التقنية")/SUMIFS('قاعدة المؤشرات'!$K$2:$K$220,'قاعدة المؤشرات'!$B$2:$B$220,"التقنية الرقمية",'قاعدة المؤشرات'!$L$2:$L$220,"المشاريع التقنية"),"")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المؤشرات'!$G$2:$G$220,'قاعدة المؤشرات'!$B$2:$B$220,"التقنية الرقمية",'قاعدة المؤشرات'!$L$2:$L$220,"المشاريع التقنية"))</f>
        <v/>
      </c>
      <c r="H51" s="30">
        <f>COUNTIFS('قاعدة المؤشرات'!$H$2:$H$220,"🔴 تحت الهدف",'قاعدة المؤشرات'!$B$2:$B$220,"التقنية الرقمية",'قاعدة المؤشرات'!$L$2:$L$220,"المشاريع التقنية")</f>
        <v/>
      </c>
      <c r="I51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الأمن والصلاحيات</t>
        </is>
      </c>
      <c r="D52" s="15" t="n">
        <v>3</v>
      </c>
      <c r="E52" s="28">
        <f>IFERROR(SUMIFS('قاعدة المؤشرات'!$J$2:$J$220,'قاعدة المؤشرات'!$B$2:$B$220,"التقنية الرقمية",'قاعدة المؤشرات'!$L$2:$L$220,"الأمن والصلاحيات")/SUMIFS('قاعدة المؤشرات'!$K$2:$K$220,'قاعدة المؤشرات'!$B$2:$B$220,"التقنية الرقمية",'قاعدة المؤشرات'!$L$2:$L$220,"الأمن والصلاحيات"),"")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المؤشرات'!$G$2:$G$220,'قاعدة المؤشرات'!$B$2:$B$220,"التقنية الرقمية",'قاعدة المؤشرات'!$L$2:$L$220,"الأمن والصلاحيات"))</f>
        <v/>
      </c>
      <c r="H52" s="30">
        <f>COUNTIFS('قاعدة المؤشرات'!$H$2:$H$220,"🔴 تحت الهدف",'قاعدة المؤشرات'!$B$2:$B$220,"التقنية الرقمية",'قاعدة المؤشرات'!$L$2:$L$220,"الأمن والصلاحيات")</f>
        <v/>
      </c>
      <c r="I52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7" t="inlineStr">
        <is>
          <t>الحوكمة والبيانات</t>
        </is>
      </c>
      <c r="D53" s="15" t="n">
        <v>2</v>
      </c>
      <c r="E53" s="28">
        <f>IFERROR(SUMIFS('قاعدة المؤشرات'!$J$2:$J$220,'قاعدة المؤشرات'!$B$2:$B$220,"التقنية الرقمية",'قاعدة المؤشرات'!$L$2:$L$220,"الحوكمة والبيانات")/SUMIFS('قاعدة المؤشرات'!$K$2:$K$220,'قاعدة المؤشرات'!$B$2:$B$220,"التقنية الرقمية",'قاعدة المؤشرات'!$L$2:$L$220,"الحوكمة والبيانات"),"")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المؤشرات'!$G$2:$G$220,'قاعدة المؤشرات'!$B$2:$B$220,"التقنية الرقمية",'قاعدة المؤشرات'!$L$2:$L$220,"الحوكمة والبيانات"))</f>
        <v/>
      </c>
      <c r="H53" s="30">
        <f>COUNTIFS('قاعدة المؤشرات'!$H$2:$H$220,"🔴 تحت الهدف",'قاعدة المؤشرات'!$B$2:$B$220,"التقنية الرقمية",'قاعدة المؤشرات'!$L$2:$L$220,"الحوكمة والبيانات")</f>
        <v/>
      </c>
      <c r="I53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7" t="inlineStr">
        <is>
          <t>الصيانة والرضا</t>
        </is>
      </c>
      <c r="D54" s="15" t="n">
        <v>2</v>
      </c>
      <c r="E54" s="28">
        <f>IFERROR(SUMIFS('قاعدة المؤشرات'!$J$2:$J$220,'قاعدة المؤشرات'!$B$2:$B$220,"التقنية الرقمية",'قاعدة المؤشرات'!$L$2:$L$220,"الصيانة والرضا")/SUMIFS('قاعدة المؤشرات'!$K$2:$K$220,'قاعدة المؤشرات'!$B$2:$B$220,"التقنية الرقمية",'قاعدة المؤشرات'!$L$2:$L$220,"الصيانة والرضا"),"")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المؤشرات'!$G$2:$G$220,'قاعدة المؤشرات'!$B$2:$B$220,"التقنية الرقمية",'قاعدة المؤشرات'!$L$2:$L$220,"الصيانة والرضا"))</f>
        <v/>
      </c>
      <c r="H54" s="30">
        <f>COUNTIFS('قاعدة المؤشرات'!$H$2:$H$220,"🔴 تحت الهدف",'قاعدة المؤشرات'!$B$2:$B$220,"التقنية الرقمية",'قاعدة المؤشرات'!$L$2:$L$220,"الصيانة والرضا")</f>
        <v/>
      </c>
      <c r="I54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الامتثال والالتزام</t>
        </is>
      </c>
      <c r="D55" s="15" t="n">
        <v>3</v>
      </c>
      <c r="E55" s="28">
        <f>IFERROR(SUMIFS('قاعدة المؤشرات'!$J$2:$J$220,'قاعدة المؤشرات'!$B$2:$B$220,"الموارد البشرية",'قاعدة المؤشرات'!$L$2:$L$220,"الامتثال والالتزام")/SUMIFS('قاعدة المؤشرات'!$K$2:$K$220,'قاعدة المؤشرات'!$B$2:$B$220,"الموارد البشرية",'قاعدة المؤشرات'!$L$2:$L$220,"الامتثال والالتزام"),"")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المؤشرات'!$G$2:$G$220,'قاعدة المؤشرات'!$B$2:$B$220,"الموارد البشرية",'قاعدة المؤشرات'!$L$2:$L$220,"الامتثال والالتزام"))</f>
        <v/>
      </c>
      <c r="H55" s="30">
        <f>COUNTIFS('قاعدة المؤشرات'!$H$2:$H$220,"🔴 تحت الهدف",'قاعدة المؤشرات'!$B$2:$B$220,"الموارد البشرية",'قاعدة المؤشرات'!$L$2:$L$220,"الامتثال والالتزام")</f>
        <v/>
      </c>
      <c r="I55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خدمات الموظفين</t>
        </is>
      </c>
      <c r="D56" s="15" t="n">
        <v>1</v>
      </c>
      <c r="E56" s="28">
        <f>IFERROR(SUMIFS('قاعدة المؤشرات'!$J$2:$J$220,'قاعدة المؤشرات'!$B$2:$B$220,"الموارد البشرية",'قاعدة المؤشرات'!$L$2:$L$220,"خدمات الموظفين")/SUMIFS('قاعدة المؤشرات'!$K$2:$K$220,'قاعدة المؤشرات'!$B$2:$B$220,"الموارد البشرية",'قاعدة المؤشرات'!$L$2:$L$220,"خدمات الموظفين"),"")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المؤشرات'!$G$2:$G$220,'قاعدة المؤشرات'!$B$2:$B$220,"الموارد البشرية",'قاعدة المؤشرات'!$L$2:$L$220,"خدمات الموظفين"))</f>
        <v/>
      </c>
      <c r="H56" s="30">
        <f>COUNTIFS('قاعدة المؤشرات'!$H$2:$H$220,"🔴 تحت الهدف",'قاعدة المؤشرات'!$B$2:$B$220,"الموارد البشرية",'قاعدة المؤشرات'!$L$2:$L$220,"خدمات الموظفين")</f>
        <v/>
      </c>
      <c r="I56" s="31" t="inlineStr">
        <is>
          <t>نسبة إنجاز معاملات شؤون الموظفين ضمن المدة المستهدفة SLA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التشغيل والتغطية</t>
        </is>
      </c>
      <c r="D57" s="15" t="n">
        <v>1</v>
      </c>
      <c r="E57" s="28">
        <f>IFERROR(SUMIFS('قاعدة المؤشرات'!$J$2:$J$220,'قاعدة المؤشرات'!$B$2:$B$220,"الموارد البشرية",'قاعدة المؤشرات'!$L$2:$L$220,"التشغيل والتغطية")/SUMIFS('قاعدة المؤشرات'!$K$2:$K$220,'قاعدة المؤشرات'!$B$2:$B$220,"الموارد البشرية",'قاعدة المؤشرات'!$L$2:$L$220,"التشغيل والتغطية"),"")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المؤشرات'!$G$2:$G$220,'قاعدة المؤشرات'!$B$2:$B$220,"الموارد البشرية",'قاعدة المؤشرات'!$L$2:$L$220,"التشغيل والتغطية"))</f>
        <v/>
      </c>
      <c r="H57" s="30">
        <f>COUNTIFS('قاعدة المؤشرات'!$H$2:$H$220,"🔴 تحت الهدف",'قاعدة المؤشرات'!$B$2:$B$220,"الموارد البشرية",'قاعدة المؤشرات'!$L$2:$L$220,"التشغيل والتغطية")</f>
        <v/>
      </c>
      <c r="I57" s="31" t="inlineStr">
        <is>
          <t>نسبة جاهزية وتغطية عمالة المحطات حسب خطة التشغيل والافتتاحات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الاستقطاب</t>
        </is>
      </c>
      <c r="D58" s="15" t="n">
        <v>2</v>
      </c>
      <c r="E58" s="28">
        <f>IFERROR(SUMIFS('قاعدة المؤشرات'!$J$2:$J$220,'قاعدة المؤشرات'!$B$2:$B$220,"الموارد البشرية",'قاعدة المؤشرات'!$L$2:$L$220,"الاستقطاب")/SUMIFS('قاعدة المؤشرات'!$K$2:$K$220,'قاعدة المؤشرات'!$B$2:$B$220,"الموارد البشرية",'قاعدة المؤشرات'!$L$2:$L$220,"الاستقطاب"),"")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المؤشرات'!$G$2:$G$220,'قاعدة المؤشرات'!$B$2:$B$220,"الموارد البشرية",'قاعدة المؤشرات'!$L$2:$L$220,"الاستقطاب"))</f>
        <v/>
      </c>
      <c r="H58" s="30">
        <f>COUNTIFS('قاعدة المؤشرات'!$H$2:$H$220,"🔴 تحت الهدف",'قاعدة المؤشرات'!$B$2:$B$220,"الموارد البشرية",'قاعدة المؤشرات'!$L$2:$L$220,"الاستقطاب")</f>
        <v/>
      </c>
      <c r="I58" s="31" t="inlineStr">
        <is>
          <t>متوسط مدة إغلاق الشواغر المعتمدة · نسبة نجاح التعيينات الجديدة خلال فترة التجربة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7" t="inlineStr">
        <is>
          <t>التكلفة والرواتب</t>
        </is>
      </c>
      <c r="D59" s="15" t="n">
        <v>2</v>
      </c>
      <c r="E59" s="28">
        <f>IFERROR(SUMIFS('قاعدة المؤشرات'!$J$2:$J$220,'قاعدة المؤشرات'!$B$2:$B$220,"الموارد البشرية",'قاعدة المؤشرات'!$L$2:$L$220,"التكلفة والرواتب")/SUMIFS('قاعدة المؤشرات'!$K$2:$K$220,'قاعدة المؤشرات'!$B$2:$B$220,"الموارد البشرية",'قاعدة المؤشرات'!$L$2:$L$220,"التكلفة والرواتب"),"")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المؤشرات'!$G$2:$G$220,'قاعدة المؤشرات'!$B$2:$B$220,"الموارد البشرية",'قاعدة المؤشرات'!$L$2:$L$220,"التكلفة والرواتب"))</f>
        <v/>
      </c>
      <c r="H59" s="30">
        <f>COUNTIFS('قاعدة المؤشرات'!$H$2:$H$220,"🔴 تحت الهدف",'قاعدة المؤشرات'!$B$2:$B$220,"الموارد البشرية",'قاعدة المؤشرات'!$L$2:$L$220,"التكلفة والرواتب")</f>
        <v/>
      </c>
      <c r="I59" s="31" t="inlineStr">
        <is>
          <t>نسبة كفاءة تكلفة القوى العاملة · نسبة دقة الرواتب والمستحقات الشهرية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7" t="inlineStr">
        <is>
          <t>الاستقرار والتطوير</t>
        </is>
      </c>
      <c r="D60" s="15" t="n">
        <v>3</v>
      </c>
      <c r="E60" s="28">
        <f>IFERROR(SUMIFS('قاعدة المؤشرات'!$J$2:$J$220,'قاعدة المؤشرات'!$B$2:$B$220,"الموارد البشرية",'قاعدة المؤشرات'!$L$2:$L$220,"الاستقرار والتطوير")/SUMIFS('قاعدة المؤشرات'!$K$2:$K$220,'قاعدة المؤشرات'!$B$2:$B$220,"الموارد البشرية",'قاعدة المؤشرات'!$L$2:$L$220,"الاستقرار والتطوير"),"")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المؤشرات'!$G$2:$G$220,'قاعدة المؤشرات'!$B$2:$B$220,"الموارد البشرية",'قاعدة المؤشرات'!$L$2:$L$220,"الاستقرار والتطوير"))</f>
        <v/>
      </c>
      <c r="H60" s="30">
        <f>COUNTIFS('قاعدة المؤشرات'!$H$2:$H$220,"🔴 تحت الهدف",'قاعدة المؤشرات'!$B$2:$B$220,"الموارد البشرية",'قاعدة المؤشرات'!$L$2:$L$220,"الاستقرار والتطوير")</f>
        <v/>
      </c>
      <c r="I60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الإدارة العامة</t>
        </is>
      </c>
      <c r="D61" s="15" t="n">
        <v>2</v>
      </c>
      <c r="E61" s="28">
        <f>IFERROR(SUMIFS('قاعدة المؤشرات'!$J$2:$J$220,'قاعدة المؤشرات'!$B$2:$B$220,"التسويق",'قاعدة المؤشرات'!$L$2:$L$220,"الإدارة العامة")/SUMIFS('قاعدة المؤشرات'!$K$2:$K$220,'قاعدة المؤشرات'!$B$2:$B$220,"التسويق",'قاعدة المؤشرات'!$L$2:$L$220,"الإدارة العامة"),"")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المؤشرات'!$G$2:$G$220,'قاعدة المؤشرات'!$B$2:$B$220,"التسويق",'قاعدة المؤشرات'!$L$2:$L$220,"الإدارة العامة"))</f>
        <v/>
      </c>
      <c r="H61" s="30">
        <f>COUNTIFS('قاعدة المؤشرات'!$H$2:$H$220,"🔴 تحت الهدف",'قاعدة المؤشرات'!$B$2:$B$220,"التسويق",'قاعدة المؤشرات'!$L$2:$L$220,"الإدارة العامة")</f>
        <v/>
      </c>
      <c r="I61" s="31" t="inlineStr">
        <is>
          <t>الوصول الكلي (Total Reach) · عملاء تجاريون جدد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الفريق الإبداعي</t>
        </is>
      </c>
      <c r="D62" s="15" t="n">
        <v>2</v>
      </c>
      <c r="E62" s="28">
        <f>IFERROR(SUMIFS('قاعدة المؤشرات'!$J$2:$J$220,'قاعدة المؤشرات'!$B$2:$B$220,"التسويق",'قاعدة المؤشرات'!$L$2:$L$220,"الفريق الإبداعي")/SUMIFS('قاعدة المؤشرات'!$K$2:$K$220,'قاعدة المؤشرات'!$B$2:$B$220,"التسويق",'قاعدة المؤشرات'!$L$2:$L$220,"الفريق الإبداعي"),"")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المؤشرات'!$G$2:$G$220,'قاعدة المؤشرات'!$B$2:$B$220,"التسويق",'قاعدة المؤشرات'!$L$2:$L$220,"الفريق الإبداعي"))</f>
        <v/>
      </c>
      <c r="H62" s="30">
        <f>COUNTIFS('قاعدة المؤشرات'!$H$2:$H$220,"🔴 تحت الهدف",'قاعدة المؤشرات'!$B$2:$B$220,"التسويق",'قاعدة المؤشرات'!$L$2:$L$220,"الفريق الإبداعي")</f>
        <v/>
      </c>
      <c r="I62" s="31" t="inlineStr">
        <is>
          <t>إجمالي المتابعين (كل المنصات) · معدل التفاعل (Engagement)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الحملات التسويقية</t>
        </is>
      </c>
      <c r="D63" s="15" t="n">
        <v>3</v>
      </c>
      <c r="E63" s="28">
        <f>IFERROR(SUMIFS('قاعدة المؤشرات'!$J$2:$J$220,'قاعدة المؤشرات'!$B$2:$B$220,"التسويق",'قاعدة المؤشرات'!$L$2:$L$220,"الحملات التسويقية")/SUMIFS('قاعدة المؤشرات'!$K$2:$K$220,'قاعدة المؤشرات'!$B$2:$B$220,"التسويق",'قاعدة المؤشرات'!$L$2:$L$220,"الحملات التسويقية"),"")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المؤشرات'!$G$2:$G$220,'قاعدة المؤشرات'!$B$2:$B$220,"التسويق",'قاعدة المؤشرات'!$L$2:$L$220,"الحملات التسويقية"))</f>
        <v/>
      </c>
      <c r="H63" s="30">
        <f>COUNTIFS('قاعدة المؤشرات'!$H$2:$H$220,"🔴 تحت الهدف",'قاعدة المؤشرات'!$B$2:$B$220,"التسويق",'قاعدة المؤشرات'!$L$2:$L$220,"الحملات التسويقية")</f>
        <v/>
      </c>
      <c r="I63" s="31" t="inlineStr">
        <is>
          <t>حملات تسويقية منجزة · تحويل الفرص إلى عقود · نسبة المبيعات لكل حملة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الدعاية والإعلان</t>
        </is>
      </c>
      <c r="D64" s="15" t="n">
        <v>1</v>
      </c>
      <c r="E64" s="28">
        <f>IFERROR(SUMIFS('قاعدة المؤشرات'!$J$2:$J$220,'قاعدة المؤشرات'!$B$2:$B$220,"التسويق",'قاعدة المؤشرات'!$L$2:$L$220,"الدعاية والإعلان")/SUMIFS('قاعدة المؤشرات'!$K$2:$K$220,'قاعدة المؤشرات'!$B$2:$B$220,"التسويق",'قاعدة المؤشرات'!$L$2:$L$220,"الدعاية والإعلان"),"")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المؤشرات'!$G$2:$G$220,'قاعدة المؤشرات'!$B$2:$B$220,"التسويق",'قاعدة المؤشرات'!$L$2:$L$220,"الدعاية والإعلان"))</f>
        <v/>
      </c>
      <c r="H64" s="30">
        <f>COUNTIFS('قاعدة المؤشرات'!$H$2:$H$220,"🔴 تحت الهدف",'قاعدة المؤشرات'!$B$2:$B$220,"التسويق",'قاعدة المؤشرات'!$L$2:$L$220,"الدعاية والإعلان")</f>
        <v/>
      </c>
      <c r="I64" s="31" t="inlineStr">
        <is>
          <t>نسبة التزام الهوية البصرية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العلاقات والشراكات</t>
        </is>
      </c>
      <c r="D65" s="15" t="n">
        <v>3</v>
      </c>
      <c r="E65" s="28">
        <f>IFERROR(SUMIFS('قاعدة المؤشرات'!$J$2:$J$220,'قاعدة المؤشرات'!$B$2:$B$220,"التسويق",'قاعدة المؤشرات'!$L$2:$L$220,"العلاقات والشراكات")/SUMIFS('قاعدة المؤشرات'!$K$2:$K$220,'قاعدة المؤشرات'!$B$2:$B$220,"التسويق",'قاعدة المؤشرات'!$L$2:$L$220,"العلاقات والشراكات"),"")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المؤشرات'!$G$2:$G$220,'قاعدة المؤشرات'!$B$2:$B$220,"التسويق",'قاعدة المؤشرات'!$L$2:$L$220,"العلاقات والشراكات"))</f>
        <v/>
      </c>
      <c r="H65" s="30">
        <f>COUNTIFS('قاعدة المؤشرات'!$H$2:$H$220,"🔴 تحت الهدف",'قاعدة المؤشرات'!$B$2:$B$220,"التسويق",'قاعدة المؤشرات'!$L$2:$L$220,"العلاقات والشراكات")</f>
        <v/>
      </c>
      <c r="I65" s="31" t="inlineStr">
        <is>
          <t>وصول العلاقات العامة (PR) · عدد المعارض بالسنة · اتفاقيات استراتيجية</t>
        </is>
      </c>
    </row>
    <row r="66" ht="26" customHeight="1">
      <c r="A66" s="15" t="n">
        <v>64</v>
      </c>
      <c r="B66" s="13" t="inlineStr">
        <is>
          <t>التسويق</t>
        </is>
      </c>
      <c r="C66" s="27" t="inlineStr">
        <is>
          <t>خدمة العملاء والدعم</t>
        </is>
      </c>
      <c r="D66" s="15" t="n">
        <v>2</v>
      </c>
      <c r="E66" s="28">
        <f>IFERROR(SUMIFS('قاعدة المؤشرات'!$J$2:$J$220,'قاعدة المؤشرات'!$B$2:$B$220,"التسويق",'قاعدة المؤشرات'!$L$2:$L$220,"خدمة العملاء والدعم")/SUMIFS('قاعدة المؤشرات'!$K$2:$K$220,'قاعدة المؤشرات'!$B$2:$B$220,"التسويق",'قاعدة المؤشرات'!$L$2:$L$220,"خدمة العملاء والدعم"),"")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المؤشرات'!$G$2:$G$220,'قاعدة المؤشرات'!$B$2:$B$220,"التسويق",'قاعدة المؤشرات'!$L$2:$L$220,"خدمة العملاء والدعم"))</f>
        <v/>
      </c>
      <c r="H66" s="30">
        <f>COUNTIFS('قاعدة المؤشرات'!$H$2:$H$220,"🔴 تحت الهدف",'قاعدة المؤشرات'!$B$2:$B$220,"التسويق",'قاعدة المؤشرات'!$L$2:$L$220,"خدمة العملاء والدعم")</f>
        <v/>
      </c>
      <c r="I66" s="31" t="inlineStr">
        <is>
          <t>تقييم خرائط قوقل · معدل خفض الشكاوى</t>
        </is>
      </c>
    </row>
    <row r="67" ht="26" customHeight="1">
      <c r="A67" s="15" t="n">
        <v>65</v>
      </c>
      <c r="B67" s="13" t="inlineStr">
        <is>
          <t>التسويق</t>
        </is>
      </c>
      <c r="C67" s="27" t="inlineStr">
        <is>
          <t>تطبيق تانكي</t>
        </is>
      </c>
      <c r="D67" s="15" t="n">
        <v>2</v>
      </c>
      <c r="E67" s="28">
        <f>IFERROR(SUMIFS('قاعدة المؤشرات'!$J$2:$J$220,'قاعدة المؤشرات'!$B$2:$B$220,"التسويق",'قاعدة المؤشرات'!$L$2:$L$220,"تطبيق تانكي")/SUMIFS('قاعدة المؤشرات'!$K$2:$K$220,'قاعدة المؤشرات'!$B$2:$B$220,"التسويق",'قاعدة المؤشرات'!$L$2:$L$220,"تطبيق تانكي"),"")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المؤشرات'!$G$2:$G$220,'قاعدة المؤشرات'!$B$2:$B$220,"التسويق",'قاعدة المؤشرات'!$L$2:$L$220,"تطبيق تانكي"))</f>
        <v/>
      </c>
      <c r="H67" s="30">
        <f>COUNTIFS('قاعدة المؤشرات'!$H$2:$H$220,"🔴 تحت الهدف",'قاعدة المؤشرات'!$B$2:$B$220,"التسويق",'قاعدة المؤشرات'!$L$2:$L$220,"تطبيق تانكي")</f>
        <v/>
      </c>
      <c r="I67" s="31" t="inlineStr">
        <is>
          <t>وصول محتوى تطبيق تانكي · مشاركات تطبيق تانكي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مخاطر الجودة</t>
        </is>
      </c>
      <c r="D68" s="15" t="n">
        <v>3</v>
      </c>
      <c r="E68" s="28">
        <f>IFERROR(SUMIFS('قاعدة المؤشرات'!$J$2:$J$220,'قاعدة المؤشرات'!$B$2:$B$220,"الجودة",'قاعدة المؤشرات'!$L$2:$L$220,"مخاطر الجودة")/SUMIFS('قاعدة المؤشرات'!$K$2:$K$220,'قاعدة المؤشرات'!$B$2:$B$220,"الجودة",'قاعدة المؤشرات'!$L$2:$L$220,"مخاطر الجودة"),"")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المؤشرات'!$G$2:$G$220,'قاعدة المؤشرات'!$B$2:$B$220,"الجودة",'قاعدة المؤشرات'!$L$2:$L$220,"مخاطر الجودة"))</f>
        <v/>
      </c>
      <c r="H68" s="30">
        <f>COUNTIFS('قاعدة المؤشرات'!$H$2:$H$220,"🔴 تحت الهدف",'قاعدة المؤشرات'!$B$2:$B$220,"الجودة",'قاعدة المؤشرات'!$L$2:$L$220,"مخاطر الجودة")</f>
        <v/>
      </c>
      <c r="I68" s="31" t="inlineStr">
        <is>
          <t>نسبة المحطات الحرجة · عدد مخاطر الجودة الحرجة المفتوحة · نسبة إغلاق مخاطر الجودة في الوقت المحدد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جودة الوقود</t>
        </is>
      </c>
      <c r="D69" s="15" t="n">
        <v>1</v>
      </c>
      <c r="E69" s="28">
        <f>IFERROR(SUMIFS('قاعدة المؤشرات'!$J$2:$J$220,'قاعدة المؤشرات'!$B$2:$B$220,"الجودة",'قاعدة المؤشرات'!$L$2:$L$220,"جودة الوقود")/SUMIFS('قاعدة المؤشرات'!$K$2:$K$220,'قاعدة المؤشرات'!$B$2:$B$220,"الجودة",'قاعدة المؤشرات'!$L$2:$L$220,"جودة الوقود"),"")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المؤشرات'!$G$2:$G$220,'قاعدة المؤشرات'!$B$2:$B$220,"الجودة",'قاعدة المؤشرات'!$L$2:$L$220,"جودة الوقود"))</f>
        <v/>
      </c>
      <c r="H69" s="30">
        <f>COUNTIFS('قاعدة المؤشرات'!$H$2:$H$220,"🔴 تحت الهدف",'قاعدة المؤشرات'!$B$2:$B$220,"الجودة",'قاعدة المؤشرات'!$L$2:$L$220,"جودة الوقود")</f>
        <v/>
      </c>
      <c r="I69" s="31" t="inlineStr">
        <is>
          <t>نسبة مطابقة جودة الوقود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معالجة وتصحيح</t>
        </is>
      </c>
      <c r="D70" s="15" t="n">
        <v>1</v>
      </c>
      <c r="E70" s="28">
        <f>IFERROR(SUMIFS('قاعدة المؤشرات'!$J$2:$J$220,'قاعدة المؤشرات'!$B$2:$B$220,"الجودة",'قاعدة المؤشرات'!$L$2:$L$220,"معالجة وتصحيح")/SUMIFS('قاعدة المؤشرات'!$K$2:$K$220,'قاعدة المؤشرات'!$B$2:$B$220,"الجودة",'قاعدة المؤشرات'!$L$2:$L$220,"معالجة وتصحيح"),"")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المؤشرات'!$G$2:$G$220,'قاعدة المؤشرات'!$B$2:$B$220,"الجودة",'قاعدة المؤشرات'!$L$2:$L$220,"معالجة وتصحيح"))</f>
        <v/>
      </c>
      <c r="H70" s="30">
        <f>COUNTIFS('قاعدة المؤشرات'!$H$2:$H$220,"🔴 تحت الهدف",'قاعدة المؤشرات'!$B$2:$B$220,"الجودة",'قاعدة المؤشرات'!$L$2:$L$220,"معالجة وتصحيح")</f>
        <v/>
      </c>
      <c r="I70" s="31" t="inlineStr">
        <is>
          <t>نسبة إغلاق الملاحظات في الوقت المحدد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تحسين ووقاية</t>
        </is>
      </c>
      <c r="D71" s="15" t="n">
        <v>1</v>
      </c>
      <c r="E71" s="28">
        <f>IFERROR(SUMIFS('قاعدة المؤشرات'!$J$2:$J$220,'قاعدة المؤشرات'!$B$2:$B$220,"الجودة",'قاعدة المؤشرات'!$L$2:$L$220,"تحسين ووقاية")/SUMIFS('قاعدة المؤشرات'!$K$2:$K$220,'قاعدة المؤشرات'!$B$2:$B$220,"الجودة",'قاعدة المؤشرات'!$L$2:$L$220,"تحسين ووقاية"),"")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المؤشرات'!$G$2:$G$220,'قاعدة المؤشرات'!$B$2:$B$220,"الجودة",'قاعدة المؤشرات'!$L$2:$L$220,"تحسين ووقاية"))</f>
        <v/>
      </c>
      <c r="H71" s="30">
        <f>COUNTIFS('قاعدة المؤشرات'!$H$2:$H$220,"🔴 تحت الهدف",'قاعدة المؤشرات'!$B$2:$B$220,"الجودة",'قاعدة المؤشرات'!$L$2:$L$220,"تحسين ووقاية")</f>
        <v/>
      </c>
      <c r="I71" s="31" t="inlineStr">
        <is>
          <t>نسبة فعالية الإجراءات التصحيحية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منع التكرار</t>
        </is>
      </c>
      <c r="D72" s="15" t="n">
        <v>1</v>
      </c>
      <c r="E72" s="28">
        <f>IFERROR(SUMIFS('قاعدة المؤشرات'!$J$2:$J$220,'قاعدة المؤشرات'!$B$2:$B$220,"الجودة",'قاعدة المؤشرات'!$L$2:$L$220,"منع التكرار")/SUMIFS('قاعدة المؤشرات'!$K$2:$K$220,'قاعدة المؤشرات'!$B$2:$B$220,"الجودة",'قاعدة المؤشرات'!$L$2:$L$220,"منع التكرار"),"")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المؤشرات'!$G$2:$G$220,'قاعدة المؤشرات'!$B$2:$B$220,"الجودة",'قاعدة المؤشرات'!$L$2:$L$220,"منع التكرار"))</f>
        <v/>
      </c>
      <c r="H72" s="30">
        <f>COUNTIFS('قاعدة المؤشرات'!$H$2:$H$220,"🔴 تحت الهدف",'قاعدة المؤشرات'!$B$2:$B$220,"الجودة",'قاعدة المؤشرات'!$L$2:$L$220,"منع التكرار")</f>
        <v/>
      </c>
      <c r="I72" s="31" t="inlineStr">
        <is>
          <t>نسبة تكرار الملاحظات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تفتيش وتدقيق</t>
        </is>
      </c>
      <c r="D73" s="15" t="n">
        <v>1</v>
      </c>
      <c r="E73" s="28">
        <f>IFERROR(SUMIFS('قاعدة المؤشرات'!$J$2:$J$220,'قاعدة المؤشرات'!$B$2:$B$220,"الجودة",'قاعدة المؤشرات'!$L$2:$L$220,"تفتيش وتدقيق")/SUMIFS('قاعدة المؤشرات'!$K$2:$K$220,'قاعدة المؤشرات'!$B$2:$B$220,"الجودة",'قاعدة المؤشرات'!$L$2:$L$220,"تفتيش وتدقيق"),"")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المؤشرات'!$G$2:$G$220,'قاعدة المؤشرات'!$B$2:$B$220,"الجودة",'قاعدة المؤشرات'!$L$2:$L$220,"تفتيش وتدقيق"))</f>
        <v/>
      </c>
      <c r="H73" s="30">
        <f>COUNTIFS('قاعدة المؤشرات'!$H$2:$H$220,"🔴 تحت الهدف",'قاعدة المؤشرات'!$B$2:$B$220,"الجودة",'قاعدة المؤشرات'!$L$2:$L$220,"تفتيش وتدقيق")</f>
        <v/>
      </c>
      <c r="I73" s="31" t="inlineStr">
        <is>
          <t>نسبة تنفيذ خطة التفتيش والتدقيق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حوكمة الجودة</t>
        </is>
      </c>
      <c r="D74" s="15" t="n">
        <v>1</v>
      </c>
      <c r="E74" s="28">
        <f>IFERROR(SUMIFS('قاعدة المؤشرات'!$J$2:$J$220,'قاعدة المؤشرات'!$B$2:$B$220,"الجودة",'قاعدة المؤشرات'!$L$2:$L$220,"حوكمة الجودة")/SUMIFS('قاعدة المؤشرات'!$K$2:$K$220,'قاعدة المؤشرات'!$B$2:$B$220,"الجودة",'قاعدة المؤشرات'!$L$2:$L$220,"حوكمة الجودة"),"")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المؤشرات'!$G$2:$G$220,'قاعدة المؤشرات'!$B$2:$B$220,"الجودة",'قاعدة المؤشرات'!$L$2:$L$220,"حوكمة الجودة"))</f>
        <v/>
      </c>
      <c r="H74" s="30">
        <f>COUNTIFS('قاعدة المؤشرات'!$H$2:$H$220,"🔴 تحت الهدف",'قاعدة المؤشرات'!$B$2:$B$220,"الجودة",'قاعدة المؤشرات'!$L$2:$L$220,"حوكمة الجودة")</f>
        <v/>
      </c>
      <c r="I74" s="31" t="inlineStr">
        <is>
          <t>نسبة جاهزية نظام إدارة الجودة QMS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تجربة العميل</t>
        </is>
      </c>
      <c r="D75" s="15" t="n">
        <v>1</v>
      </c>
      <c r="E75" s="28">
        <f>IFERROR(SUMIFS('قاعدة المؤشرات'!$J$2:$J$220,'قاعدة المؤشرات'!$B$2:$B$220,"الجودة",'قاعدة المؤشرات'!$L$2:$L$220,"تجربة العميل")/SUMIFS('قاعدة المؤشرات'!$K$2:$K$220,'قاعدة المؤشرات'!$B$2:$B$220,"الجودة",'قاعدة المؤشرات'!$L$2:$L$220,"تجربة العميل"),"")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المؤشرات'!$G$2:$G$220,'قاعدة المؤشرات'!$B$2:$B$220,"الجودة",'قاعدة المؤشرات'!$L$2:$L$220,"تجربة العميل"))</f>
        <v/>
      </c>
      <c r="H75" s="30">
        <f>COUNTIFS('قاعدة المؤشرات'!$H$2:$H$220,"🔴 تحت الهدف",'قاعدة المؤشرات'!$B$2:$B$220,"الجودة",'قاعدة المؤشرات'!$L$2:$L$220,"تجربة العميل")</f>
        <v/>
      </c>
      <c r="I75" s="31" t="inlineStr">
        <is>
          <t>نسبة انخفاض الشكاوى المتكررة ذات العلاقة بالجودة</t>
        </is>
      </c>
    </row>
    <row r="76" ht="26" customHeight="1">
      <c r="A76" s="15" t="n">
        <v>74</v>
      </c>
      <c r="B76" s="13" t="inlineStr">
        <is>
          <t>الجودة</t>
        </is>
      </c>
      <c r="C76" s="27" t="inlineStr">
        <is>
          <t>الجودة الإدارية</t>
        </is>
      </c>
      <c r="D76" s="15" t="n">
        <v>1</v>
      </c>
      <c r="E76" s="28">
        <f>IFERROR(SUMIFS('قاعدة المؤشرات'!$J$2:$J$220,'قاعدة المؤشرات'!$B$2:$B$220,"الجودة",'قاعدة المؤشرات'!$L$2:$L$220,"الجودة الإدارية")/SUMIFS('قاعدة المؤشرات'!$K$2:$K$220,'قاعدة المؤشرات'!$B$2:$B$220,"الجودة",'قاعدة المؤشرات'!$L$2:$L$220,"الجودة الإدارية"),"")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المؤشرات'!$G$2:$G$220,'قاعدة المؤشرات'!$B$2:$B$220,"الجودة",'قاعدة المؤشرات'!$L$2:$L$220,"الجودة الإدارية"))</f>
        <v/>
      </c>
      <c r="H76" s="30">
        <f>COUNTIFS('قاعدة المؤشرات'!$H$2:$H$220,"🔴 تحت الهدف",'قاعدة المؤشرات'!$B$2:$B$220,"الجودة",'قاعدة المؤشرات'!$L$2:$L$220,"الجودة الإدارية")</f>
        <v/>
      </c>
      <c r="I76" s="31" t="inlineStr">
        <is>
          <t>نسبة اكتمال وتحديث الإجراءات المعتمدة</t>
        </is>
      </c>
    </row>
    <row r="77" ht="26" customHeight="1">
      <c r="A77" s="15" t="n">
        <v>75</v>
      </c>
      <c r="B77" s="13" t="inlineStr">
        <is>
          <t>الجودة</t>
        </is>
      </c>
      <c r="C77" s="27" t="inlineStr">
        <is>
          <t>توثيق وحوكمة</t>
        </is>
      </c>
      <c r="D77" s="15" t="n">
        <v>1</v>
      </c>
      <c r="E77" s="28">
        <f>IFERROR(SUMIFS('قاعدة المؤشرات'!$J$2:$J$220,'قاعدة المؤشرات'!$B$2:$B$220,"الجودة",'قاعدة المؤشرات'!$L$2:$L$220,"توثيق وحوكمة")/SUMIFS('قاعدة المؤشرات'!$K$2:$K$220,'قاعدة المؤشرات'!$B$2:$B$220,"الجودة",'قاعدة المؤشرات'!$L$2:$L$220,"توثيق وحوكمة"),"")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المؤشرات'!$G$2:$G$220,'قاعدة المؤشرات'!$B$2:$B$220,"الجودة",'قاعدة المؤشرات'!$L$2:$L$220,"توثيق وحوكمة"))</f>
        <v/>
      </c>
      <c r="H77" s="30">
        <f>COUNTIFS('قاعدة المؤشرات'!$H$2:$H$220,"🔴 تحت الهدف",'قاعدة المؤشرات'!$B$2:$B$220,"الجودة",'قاعدة المؤشرات'!$L$2:$L$220,"توثيق وحوكمة")</f>
        <v/>
      </c>
      <c r="I77" s="31" t="inlineStr">
        <is>
          <t>نسبة اكتمال سجلات الجودة</t>
        </is>
      </c>
    </row>
    <row r="78" ht="26" customHeight="1">
      <c r="A78" s="15" t="n">
        <v>76</v>
      </c>
      <c r="B78" s="13" t="inlineStr">
        <is>
          <t>الجودة</t>
        </is>
      </c>
      <c r="C78" s="27" t="inlineStr">
        <is>
          <t>الابتكار والرقمنة</t>
        </is>
      </c>
      <c r="D78" s="15" t="n">
        <v>1</v>
      </c>
      <c r="E78" s="28">
        <f>IFERROR(SUMIFS('قاعدة المؤشرات'!$J$2:$J$220,'قاعدة المؤشرات'!$B$2:$B$220,"الجودة",'قاعدة المؤشرات'!$L$2:$L$220,"الابتكار والرقمنة")/SUMIFS('قاعدة المؤشرات'!$K$2:$K$220,'قاعدة المؤشرات'!$B$2:$B$220,"الجودة",'قاعدة المؤشرات'!$L$2:$L$220,"الابتكار والرقمنة"),"")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المؤشرات'!$G$2:$G$220,'قاعدة المؤشرات'!$B$2:$B$220,"الجودة",'قاعدة المؤشرات'!$L$2:$L$220,"الابتكار والرقمنة"))</f>
        <v/>
      </c>
      <c r="H78" s="30">
        <f>COUNTIFS('قاعدة المؤشرات'!$H$2:$H$220,"🔴 تحت الهدف",'قاعدة المؤشرات'!$B$2:$B$220,"الجودة",'قاعدة المؤشرات'!$L$2:$L$220,"الابتكار والرقمنة")</f>
        <v/>
      </c>
      <c r="I78" s="31" t="inlineStr">
        <is>
          <t>نسبة رقمنة عمليات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7" t="inlineStr">
        <is>
          <t>التحسين المستمر</t>
        </is>
      </c>
      <c r="D79" s="15" t="n">
        <v>1</v>
      </c>
      <c r="E79" s="28">
        <f>IFERROR(SUMIFS('قاعدة المؤشرات'!$J$2:$J$220,'قاعدة المؤشرات'!$B$2:$B$220,"الجودة",'قاعدة المؤشرات'!$L$2:$L$220,"التحسين المستمر")/SUMIFS('قاعدة المؤشرات'!$K$2:$K$220,'قاعدة المؤشرات'!$B$2:$B$220,"الجودة",'قاعدة المؤشرات'!$L$2:$L$220,"التحسين المستمر"),"")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المؤشرات'!$G$2:$G$220,'قاعدة المؤشرات'!$B$2:$B$220,"الجودة",'قاعدة المؤشرات'!$L$2:$L$220,"التحسين المستمر"))</f>
        <v/>
      </c>
      <c r="H79" s="30">
        <f>COUNTIFS('قاعدة المؤشرات'!$H$2:$H$220,"🔴 تحت الهدف",'قاعدة المؤشرات'!$B$2:$B$220,"الجودة",'قاعدة المؤشرات'!$L$2:$L$220,"التحسين المستمر")</f>
        <v/>
      </c>
      <c r="I79" s="31" t="inlineStr">
        <is>
          <t>عدد مبادرات التحسين المؤثرة</t>
        </is>
      </c>
    </row>
    <row r="80" ht="26" customHeight="1">
      <c r="A80" s="15" t="n">
        <v>78</v>
      </c>
      <c r="B80" s="13" t="inlineStr">
        <is>
          <t>الإدارة القانونية</t>
        </is>
      </c>
      <c r="C80" s="27" t="inlineStr">
        <is>
          <t>أعمال العقود</t>
        </is>
      </c>
      <c r="D80" s="15" t="n">
        <v>3</v>
      </c>
      <c r="E80" s="28">
        <f>IFERROR(SUMIFS('قاعدة المؤشرات'!$J$2:$J$220,'قاعدة المؤشرات'!$B$2:$B$220,"الإدارة القانونية",'قاعدة المؤشرات'!$L$2:$L$220,"أعمال العقود")/SUMIFS('قاعدة المؤشرات'!$K$2:$K$220,'قاعدة المؤشرات'!$B$2:$B$220,"الإدارة القانونية",'قاعدة المؤشرات'!$L$2:$L$220,"أعمال العقود"),"")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المؤشرات'!$G$2:$G$220,'قاعدة المؤشرات'!$B$2:$B$220,"الإدارة القانونية",'قاعدة المؤشرات'!$L$2:$L$220,"أعمال العقود"))</f>
        <v/>
      </c>
      <c r="H80" s="30">
        <f>COUNTIFS('قاعدة المؤشرات'!$H$2:$H$220,"🔴 تحت الهدف",'قاعدة المؤشرات'!$B$2:$B$220,"الإدارة القانونية",'قاعدة المؤشرات'!$L$2:$L$220,"أعمال العقود")</f>
        <v/>
      </c>
      <c r="I80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7" t="inlineStr">
        <is>
          <t>أعمال القضايا</t>
        </is>
      </c>
      <c r="D81" s="15" t="n">
        <v>3</v>
      </c>
      <c r="E81" s="28">
        <f>IFERROR(SUMIFS('قاعدة المؤشرات'!$J$2:$J$220,'قاعدة المؤشرات'!$B$2:$B$220,"الإدارة القانونية",'قاعدة المؤشرات'!$L$2:$L$220,"أعمال القضايا")/SUMIFS('قاعدة المؤشرات'!$K$2:$K$220,'قاعدة المؤشرات'!$B$2:$B$220,"الإدارة القانونية",'قاعدة المؤشرات'!$L$2:$L$220,"أعمال القضايا"),"")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المؤشرات'!$G$2:$G$220,'قاعدة المؤشرات'!$B$2:$B$220,"الإدارة القانونية",'قاعدة المؤشرات'!$L$2:$L$220,"أعمال القضايا"))</f>
        <v/>
      </c>
      <c r="H81" s="30">
        <f>COUNTIFS('قاعدة المؤشرات'!$H$2:$H$220,"🔴 تحت الهدف",'قاعدة المؤشرات'!$B$2:$B$220,"الإدارة القانونية",'قاعدة المؤشرات'!$L$2:$L$220,"أعمال القضايا")</f>
        <v/>
      </c>
      <c r="I81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7" t="inlineStr">
        <is>
          <t>الاستشارات القانونية</t>
        </is>
      </c>
      <c r="D82" s="15" t="n">
        <v>2</v>
      </c>
      <c r="E82" s="28">
        <f>IFERROR(SUMIFS('قاعدة المؤشرات'!$J$2:$J$220,'قاعدة المؤشرات'!$B$2:$B$220,"الإدارة القانونية",'قاعدة المؤشرات'!$L$2:$L$220,"الاستشارات القانونية")/SUMIFS('قاعدة المؤشرات'!$K$2:$K$220,'قاعدة المؤشرات'!$B$2:$B$220,"الإدارة القانونية",'قاعدة المؤشرات'!$L$2:$L$220,"الاستشارات القانونية"),"")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المؤشرات'!$G$2:$G$220,'قاعدة المؤشرات'!$B$2:$B$220,"الإدارة القانونية",'قاعدة المؤشرات'!$L$2:$L$220,"الاستشارات القانونية"))</f>
        <v/>
      </c>
      <c r="H82" s="30">
        <f>COUNTIFS('قاعدة المؤشرات'!$H$2:$H$220,"🔴 تحت الهدف",'قاعدة المؤشرات'!$B$2:$B$220,"الإدارة القانونية",'قاعدة المؤشرات'!$L$2:$L$220,"الاستشارات القانونية")</f>
        <v/>
      </c>
      <c r="I82" s="31" t="inlineStr">
        <is>
          <t>نسبة الاستشارات المُنجزة ضمن المدة المستهدفة (SLA) · مستوى رضا الإدارات عن الدعم القانوني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7" t="inlineStr">
        <is>
          <t>التحقيق</t>
        </is>
      </c>
      <c r="D83" s="15" t="n">
        <v>5</v>
      </c>
      <c r="E83" s="28">
        <f>IFERROR(SUMIFS('قاعدة المؤشرات'!$J$2:$J$220,'قاعدة المؤشرات'!$B$2:$B$220,"الإدارة القانونية",'قاعدة المؤشرات'!$L$2:$L$220,"التحقيق")/SUMIFS('قاعدة المؤشرات'!$K$2:$K$220,'قاعدة المؤشرات'!$B$2:$B$220,"الإدارة القانونية",'قاعدة المؤشرات'!$L$2:$L$220,"التحقيق"),"")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المؤشرات'!$G$2:$G$220,'قاعدة المؤشرات'!$B$2:$B$220,"الإدارة القانونية",'قاعدة المؤشرات'!$L$2:$L$220,"التحقيق"))</f>
        <v/>
      </c>
      <c r="H83" s="30">
        <f>COUNTIFS('قاعدة المؤشرات'!$H$2:$H$220,"🔴 تحت الهدف",'قاعدة المؤشرات'!$B$2:$B$220,"الإدارة القانونية",'قاعدة المؤشرات'!$L$2:$L$220,"التحقيق")</f>
        <v/>
      </c>
      <c r="I83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4" ht="26" customHeight="1">
      <c r="A84" s="15" t="n">
        <v>82</v>
      </c>
      <c r="B84" s="13" t="inlineStr">
        <is>
          <t>الإدارة المالية</t>
        </is>
      </c>
      <c r="C84" s="27" t="inlineStr">
        <is>
          <t>المالية الاستراتيجية</t>
        </is>
      </c>
      <c r="D84" s="15" t="n">
        <v>5</v>
      </c>
      <c r="E84" s="28">
        <f>IFERROR(SUMIFS('قاعدة المؤشرات'!$J$2:$J$220,'قاعدة المؤشرات'!$B$2:$B$220,"الإدارة المالية",'قاعدة المؤشرات'!$L$2:$L$220,"المالية الاستراتيجية")/SUMIFS('قاعدة المؤشرات'!$K$2:$K$220,'قاعدة المؤشرات'!$B$2:$B$220,"الإدارة المالية",'قاعدة المؤشرات'!$L$2:$L$220,"المالية الاستراتيجية"),"")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المؤشرات'!$G$2:$G$220,'قاعدة المؤشرات'!$B$2:$B$220,"الإدارة المالية",'قاعدة المؤشرات'!$L$2:$L$220,"المالية الاستراتيجية"))</f>
        <v/>
      </c>
      <c r="H84" s="30">
        <f>COUNTIFS('قاعدة المؤشرات'!$H$2:$H$220,"🔴 تحت الهدف",'قاعدة المؤشرات'!$B$2:$B$220,"الإدارة المالية",'قاعدة المؤشرات'!$L$2:$L$220,"المالية الاستراتيجية")</f>
        <v/>
      </c>
      <c r="I84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السيولة ورأس المال</t>
        </is>
      </c>
      <c r="D85" s="15" t="n">
        <v>2</v>
      </c>
      <c r="E85" s="28">
        <f>IFERROR(SUMIFS('قاعدة المؤشرات'!$J$2:$J$220,'قاعدة المؤشرات'!$B$2:$B$220,"الإدارة المالية",'قاعدة المؤشرات'!$L$2:$L$220,"السيولة ورأس المال")/SUMIFS('قاعدة المؤشرات'!$K$2:$K$220,'قاعدة المؤشرات'!$B$2:$B$220,"الإدارة المالية",'قاعدة المؤشرات'!$L$2:$L$220,"السيولة ورأس المال"),"")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المؤشرات'!$G$2:$G$220,'قاعدة المؤشرات'!$B$2:$B$220,"الإدارة المالية",'قاعدة المؤشرات'!$L$2:$L$220,"السيولة ورأس المال"))</f>
        <v/>
      </c>
      <c r="H85" s="30">
        <f>COUNTIFS('قاعدة المؤشرات'!$H$2:$H$220,"🔴 تحت الهدف",'قاعدة المؤشرات'!$B$2:$B$220,"الإدارة المالية",'قاعدة المؤشرات'!$L$2:$L$220,"السيولة ورأس المال")</f>
        <v/>
      </c>
      <c r="I85" s="31" t="inlineStr">
        <is>
          <t>النسبة الجارية (Current Ratio) · دورة التحويل النقدي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الذمم المدينة</t>
        </is>
      </c>
      <c r="D86" s="15" t="n">
        <v>4</v>
      </c>
      <c r="E86" s="28">
        <f>IFERROR(SUMIFS('قاعدة المؤشرات'!$J$2:$J$220,'قاعدة المؤشرات'!$B$2:$B$220,"الإدارة المالية",'قاعدة المؤشرات'!$L$2:$L$220,"الذمم المدينة")/SUMIFS('قاعدة المؤشرات'!$K$2:$K$220,'قاعدة المؤشرات'!$B$2:$B$220,"الإدارة المالية",'قاعدة المؤشرات'!$L$2:$L$220,"الذمم المدينة"),"")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المؤشرات'!$G$2:$G$220,'قاعدة المؤشرات'!$B$2:$B$220,"الإدارة المالية",'قاعدة المؤشرات'!$L$2:$L$220,"الذمم المدينة"))</f>
        <v/>
      </c>
      <c r="H86" s="30">
        <f>COUNTIFS('قاعدة المؤشرات'!$H$2:$H$220,"🔴 تحت الهدف",'قاعدة المؤشرات'!$B$2:$B$220,"الإدارة المالية",'قاعدة المؤشرات'!$L$2:$L$220,"الذمم المدينة")</f>
        <v/>
      </c>
      <c r="I86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الذمم الدائنة</t>
        </is>
      </c>
      <c r="D87" s="15" t="n">
        <v>2</v>
      </c>
      <c r="E87" s="28">
        <f>IFERROR(SUMIFS('قاعدة المؤشرات'!$J$2:$J$220,'قاعدة المؤشرات'!$B$2:$B$220,"الإدارة المالية",'قاعدة المؤشرات'!$L$2:$L$220,"الذمم الدائنة")/SUMIFS('قاعدة المؤشرات'!$K$2:$K$220,'قاعدة المؤشرات'!$B$2:$B$220,"الإدارة المالية",'قاعدة المؤشرات'!$L$2:$L$220,"الذمم الدائنة"),"")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المؤشرات'!$G$2:$G$220,'قاعدة المؤشرات'!$B$2:$B$220,"الإدارة المالية",'قاعدة المؤشرات'!$L$2:$L$220,"الذمم الدائنة"))</f>
        <v/>
      </c>
      <c r="H87" s="30">
        <f>COUNTIFS('قاعدة المؤشرات'!$H$2:$H$220,"🔴 تحت الهدف",'قاعدة المؤشرات'!$B$2:$B$220,"الإدارة المالية",'قاعدة المؤشرات'!$L$2:$L$220,"الذمم الدائنة")</f>
        <v/>
      </c>
      <c r="I87" s="31" t="inlineStr">
        <is>
          <t>سداد الموردين في الموعد · اكتمال مطابقة حسابات الموردين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الخزينة</t>
        </is>
      </c>
      <c r="D88" s="15" t="n">
        <v>1</v>
      </c>
      <c r="E88" s="28">
        <f>IFERROR(SUMIFS('قاعدة المؤشرات'!$J$2:$J$220,'قاعدة المؤشرات'!$B$2:$B$220,"الإدارة المالية",'قاعدة المؤشرات'!$L$2:$L$220,"الخزينة")/SUMIFS('قاعدة المؤشرات'!$K$2:$K$220,'قاعدة المؤشرات'!$B$2:$B$220,"الإدارة المالية",'قاعدة المؤشرات'!$L$2:$L$220,"الخزينة"),"")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المؤشرات'!$G$2:$G$220,'قاعدة المؤشرات'!$B$2:$B$220,"الإدارة المالية",'قاعدة المؤشرات'!$L$2:$L$220,"الخزينة"))</f>
        <v/>
      </c>
      <c r="H88" s="30">
        <f>COUNTIFS('قاعدة المؤشرات'!$H$2:$H$220,"🔴 تحت الهدف",'قاعدة المؤشرات'!$B$2:$B$220,"الإدارة المالية",'قاعدة المؤشرات'!$L$2:$L$220,"الخزينة")</f>
        <v/>
      </c>
      <c r="I88" s="31" t="inlineStr">
        <is>
          <t>دقة التنبؤ النقدي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7" t="inlineStr">
        <is>
          <t>صناعة الوقود</t>
        </is>
      </c>
      <c r="D89" s="15" t="n">
        <v>3</v>
      </c>
      <c r="E89" s="28">
        <f>IFERROR(SUMIFS('قاعدة المؤشرات'!$J$2:$J$220,'قاعدة المؤشرات'!$B$2:$B$220,"الإدارة المالية",'قاعدة المؤشرات'!$L$2:$L$220,"صناعة الوقود")/SUMIFS('قاعدة المؤشرات'!$K$2:$K$220,'قاعدة المؤشرات'!$B$2:$B$220,"الإدارة المالية",'قاعدة المؤشرات'!$L$2:$L$220,"صناعة الوقود"),"")</f>
        <v/>
      </c>
      <c r="F89" s="20">
        <f>IF($E89="","⏳ بانتظار هدف",IF($E89&gt;=1,"✅ محقق",IF($E89&gt;=0.85,"🟡 قريب","🔴 تحت الهدف")))</f>
        <v/>
      </c>
      <c r="G89" s="29">
        <f>IF($E89="","",MINIFS('قاعدة المؤشرات'!$G$2:$G$220,'قاعدة المؤشرات'!$B$2:$B$220,"الإدارة المالية",'قاعدة المؤشرات'!$L$2:$L$220,"صناعة الوقود"))</f>
        <v/>
      </c>
      <c r="H89" s="30">
        <f>COUNTIFS('قاعدة المؤشرات'!$H$2:$H$220,"🔴 تحت الهدف",'قاعدة المؤشرات'!$B$2:$B$220,"الإدارة المالية",'قاعدة المؤشرات'!$L$2:$L$220,"صناعة الوقود")</f>
        <v/>
      </c>
      <c r="I89" s="31" t="inlineStr">
        <is>
          <t>تباين مخزون الوقود · دقة مطابقة المخزون · دقة تسوية أرامكو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7" t="inlineStr">
        <is>
          <t>تمويل الامتياز</t>
        </is>
      </c>
      <c r="D90" s="15" t="n">
        <v>2</v>
      </c>
      <c r="E90" s="28">
        <f>IFERROR(SUMIFS('قاعدة المؤشرات'!$J$2:$J$220,'قاعدة المؤشرات'!$B$2:$B$220,"الإدارة المالية",'قاعدة المؤشرات'!$L$2:$L$220,"تمويل الامتياز")/SUMIFS('قاعدة المؤشرات'!$K$2:$K$220,'قاعدة المؤشرات'!$B$2:$B$220,"الإدارة المالية",'قاعدة المؤشرات'!$L$2:$L$220,"تمويل الامتياز"),"")</f>
        <v/>
      </c>
      <c r="F90" s="20">
        <f>IF($E90="","⏳ بانتظار هدف",IF($E90&gt;=1,"✅ محقق",IF($E90&gt;=0.85,"🟡 قريب","🔴 تحت الهدف")))</f>
        <v/>
      </c>
      <c r="G90" s="29">
        <f>IF($E90="","",MINIFS('قاعدة المؤشرات'!$G$2:$G$220,'قاعدة المؤشرات'!$B$2:$B$220,"الإدارة المالية",'قاعدة المؤشرات'!$L$2:$L$220,"تمويل الامتياز"))</f>
        <v/>
      </c>
      <c r="H90" s="30">
        <f>COUNTIFS('قاعدة المؤشرات'!$H$2:$H$220,"🔴 تحت الهدف",'قاعدة المؤشرات'!$B$2:$B$220,"الإدارة المالية",'قاعدة المؤشرات'!$L$2:$L$220,"تمويل الامتياز")</f>
        <v/>
      </c>
      <c r="I90" s="31" t="inlineStr">
        <is>
          <t>نسبة تحصيل الامتياز · أيام تحصيل رسوم الامتياز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7" t="inlineStr">
        <is>
          <t>العقار والإيجار</t>
        </is>
      </c>
      <c r="D91" s="15" t="n">
        <v>2</v>
      </c>
      <c r="E91" s="28">
        <f>IFERROR(SUMIFS('قاعدة المؤشرات'!$J$2:$J$220,'قاعدة المؤشرات'!$B$2:$B$220,"الإدارة المالية",'قاعدة المؤشرات'!$L$2:$L$220,"العقار والإيجار")/SUMIFS('قاعدة المؤشرات'!$K$2:$K$220,'قاعدة المؤشرات'!$B$2:$B$220,"الإدارة المالية",'قاعدة المؤشرات'!$L$2:$L$220,"العقار والإيجار"),"")</f>
        <v/>
      </c>
      <c r="F91" s="20">
        <f>IF($E91="","⏳ بانتظار هدف",IF($E91&gt;=1,"✅ محقق",IF($E91&gt;=0.85,"🟡 قريب","🔴 تحت الهدف")))</f>
        <v/>
      </c>
      <c r="G91" s="29">
        <f>IF($E91="","",MINIFS('قاعدة المؤشرات'!$G$2:$G$220,'قاعدة المؤشرات'!$B$2:$B$220,"الإدارة المالية",'قاعدة المؤشرات'!$L$2:$L$220,"العقار والإيجار"))</f>
        <v/>
      </c>
      <c r="H91" s="30">
        <f>COUNTIFS('قاعدة المؤشرات'!$H$2:$H$220,"🔴 تحت الهدف",'قاعدة المؤشرات'!$B$2:$B$220,"الإدارة المالية",'قاعدة المؤشرات'!$L$2:$L$220,"العقار والإيجار")</f>
        <v/>
      </c>
      <c r="I91" s="31" t="inlineStr">
        <is>
          <t>نسبة تحصيل الإيجار · معدل تجديد عقود الإيجار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7" t="inlineStr">
        <is>
          <t>الموازنة والتقارير</t>
        </is>
      </c>
      <c r="D92" s="15" t="n">
        <v>3</v>
      </c>
      <c r="E92" s="28">
        <f>IFERROR(SUMIFS('قاعدة المؤشرات'!$J$2:$J$220,'قاعدة المؤشرات'!$B$2:$B$220,"الإدارة المالية",'قاعدة المؤشرات'!$L$2:$L$220,"الموازنة والتقارير")/SUMIFS('قاعدة المؤشرات'!$K$2:$K$220,'قاعدة المؤشرات'!$B$2:$B$220,"الإدارة المالية",'قاعدة المؤشرات'!$L$2:$L$220,"الموازنة والتقارير"),"")</f>
        <v/>
      </c>
      <c r="F92" s="20">
        <f>IF($E92="","⏳ بانتظار هدف",IF($E92&gt;=1,"✅ محقق",IF($E92&gt;=0.85,"🟡 قريب","🔴 تحت الهدف")))</f>
        <v/>
      </c>
      <c r="G92" s="29">
        <f>IF($E92="","",MINIFS('قاعدة المؤشرات'!$G$2:$G$220,'قاعدة المؤشرات'!$B$2:$B$220,"الإدارة المالية",'قاعدة المؤشرات'!$L$2:$L$220,"الموازنة والتقارير"))</f>
        <v/>
      </c>
      <c r="H92" s="30">
        <f>COUNTIFS('قاعدة المؤشرات'!$H$2:$H$220,"🔴 تحت الهدف",'قاعدة المؤشرات'!$B$2:$B$220,"الإدارة المالية",'قاعدة المؤشرات'!$L$2:$L$220,"الموازنة والتقارير")</f>
        <v/>
      </c>
      <c r="I92" s="31" t="inlineStr">
        <is>
          <t>انحراف الموازنة · أيام الإقفال الشهري · نسبة تسويات التدقيق</t>
        </is>
      </c>
    </row>
  </sheetData>
  <autoFilter ref="A2:I92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المؤشرات'!$E$2:$E$220,"التوسع في المواقع")</f>
        <v/>
      </c>
      <c r="E19" s="10">
        <f>IFERROR(AVERAGEIFS('قاعدة المؤشرات'!$G$2:$G$220,'قاعدة المؤشرات'!$E$2:$E$220,"التوسع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المؤشرات'!$E$2:$E$220,"الامتياز التجاري")</f>
        <v/>
      </c>
      <c r="E20" s="10">
        <f>IFERROR(AVERAGEIFS('قاعدة المؤشرات'!$G$2:$G$220,'قاعدة المؤشرات'!$E$2:$E$220,"الامتياز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المؤشرات'!$E$2:$E$220,"زيادة وصول العملاء")</f>
        <v/>
      </c>
      <c r="E21" s="10">
        <f>IFERROR(AVERAGEIFS('قاعدة المؤشرات'!$G$2:$G$220,'قاعدة المؤشرات'!$E$2:$E$220,"زيادة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المؤشرات'!$E$2:$E$220,"إطلاق مشاريع جديدة")</f>
        <v/>
      </c>
      <c r="E22" s="10">
        <f>IFERROR(AVERAGEIFS('قاعدة المؤشرات'!$G$2:$G$220,'قاعدة المؤشرات'!$E$2:$E$220,"إطلاق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المؤشرات'!$E$2:$E$220,"تطوير التصاميم والهوية")</f>
        <v/>
      </c>
      <c r="E23" s="10">
        <f>IFERROR(AVERAGEIFS('قاعدة المؤشرات'!$G$2:$G$220,'قاعدة المؤشرات'!$E$2:$E$220,"تطوير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المؤشرات'!$E$2:$E$220,"التحول التقني")</f>
        <v/>
      </c>
      <c r="E24" s="10">
        <f>IFERROR(AVERAGEIFS('قاعدة المؤشرات'!$G$2:$G$220,'قاعدة المؤشرات'!$E$2:$E$220,"التحول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المؤشرات'!$E$2:$E$220,"ساحات درب")</f>
        <v/>
      </c>
      <c r="E25" s="10">
        <f>IFERROR(AVERAGEIFS('قاعدة المؤشرات'!$G$2:$G$220,'قاعدة المؤشرات'!$E$2:$E$220,"ساحات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المؤشرات'!$E$2:$E$220,"تطبيق «تانكي»")</f>
        <v/>
      </c>
      <c r="E26" s="10">
        <f>IFERROR(AVERAGEIFS('قاعدة المؤشرات'!$G$2:$G$220,'قاعدة المؤشرات'!$E$2:$E$220,"تطبيق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المؤشرات'!$E$2:$E$220,"تعزيز تجربة العملاء")</f>
        <v/>
      </c>
      <c r="E27" s="10">
        <f>IFERROR(AVERAGEIFS('قاعدة المؤشرات'!$G$2:$G$220,'قاعدة المؤشرات'!$E$2:$E$220,"تعزيز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المؤشرات'!$E$2:$E$220,"جودة التشغيل")</f>
        <v/>
      </c>
      <c r="E28" s="10">
        <f>IFERROR(AVERAGEIFS('قاعدة المؤشرات'!$G$2:$G$220,'قاعدة المؤشرات'!$E$2:$E$220,"جودة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المؤشرات'!$E$2:$E$220,"منظومة التأجير")</f>
        <v/>
      </c>
      <c r="E29" s="10">
        <f>IFERROR(AVERAGEIFS('قاعدة المؤشرات'!$G$2:$G$220,'قاعدة المؤشرات'!$E$2:$E$220,"منظومة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المؤشرات'!$E$2:$E$220,"الاستثمار في الموظفين")</f>
        <v/>
      </c>
      <c r="E30" s="10">
        <f>IFERROR(AVERAGEIFS('قاعدة المؤشرات'!$G$2:$G$220,'قاعدة المؤشرات'!$E$2:$E$220,"الاستثمار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المؤشرات'!$G$2:$G$220,'قاعدة المؤشرات'!$F$2:$F$220,"مالي"),"—")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المؤشرات'!$G$2:$G$220,'قاعدة المؤشرات'!$E$2:$E$220,"زيادة وصول العملاء"),"—")</f>
        <v/>
      </c>
      <c r="E10" s="47">
        <f>IFERROR(AVERAGEIFS('قاعدة المؤشرات'!$G$2:$G$220,'قاعدة المؤشرات'!$E$2:$E$220,"تعزيز تجربة العملاء"),"—")</f>
        <v/>
      </c>
      <c r="H10" s="47">
        <f>IFERROR(AVERAGEIFS('قاعدة المؤشرات'!$G$2:$G$220,'قاعدة المؤشرات'!$E$2:$E$220,"تطبيق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المؤشرات'!$G$2:$G$220,'قاعدة المؤشرات'!$E$2:$E$220,"التوسع في المواقع"),"—")</f>
        <v/>
      </c>
      <c r="D14" s="49">
        <f>IFERROR(AVERAGEIFS('قاعدة المؤشرات'!$G$2:$G$220,'قاعدة المؤشرات'!$E$2:$E$220,"الامتياز التجاري"),"—")</f>
        <v/>
      </c>
      <c r="F14" s="49">
        <f>IFERROR(AVERAGEIFS('قاعدة المؤشرات'!$G$2:$G$220,'قاعدة المؤشرات'!$E$2:$E$220,"منظومة التأجير"),"—")</f>
        <v/>
      </c>
      <c r="H14" s="49">
        <f>IFERROR(AVERAGEIFS('قاعدة المؤشرات'!$G$2:$G$220,'قاعدة المؤشرات'!$E$2:$E$220,"ساحات درب"),"—")</f>
        <v/>
      </c>
      <c r="J14" s="49">
        <f>IFERROR(AVERAGEIFS('قاعدة المؤشرات'!$G$2:$G$220,'قاعدة المؤشرات'!$E$2:$E$220,"جودة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المؤشرات'!$G$2:$G$220,'قاعدة المؤشرات'!$E$2:$E$220,"الاستثمار في الموظفين"),"—")</f>
        <v/>
      </c>
      <c r="D18" s="51">
        <f>IFERROR(AVERAGEIFS('قاعدة المؤشرات'!$G$2:$G$220,'قاعدة المؤشرات'!$E$2:$E$220,"التحول التقني"),"—")</f>
        <v/>
      </c>
      <c r="F18" s="51">
        <f>IFERROR(AVERAGEIFS('قاعدة المؤشرات'!$G$2:$G$220,'قاعدة المؤشرات'!$E$2:$E$220,"إطلاق مشاريع جديدة"),"—")</f>
        <v/>
      </c>
      <c r="H18" s="51">
        <f>IFERROR(AVERAGEIFS('قاعدة المؤشرات'!$G$2:$G$220,'قاعدة المؤشرات'!$E$2:$E$220,"تطوير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المؤشرات'!$H$2:$H$220,"✅ محقق",'قاعدة المؤشرات'!$B$2:$B$220,"&lt;&gt;الإدارة التنفيذية")</f>
        <v/>
      </c>
      <c r="D5" s="5">
        <f>COUNTIFS('قاعدة المؤشرات'!$H$2:$H$220,"🟡 قريب",'قاعدة المؤشرات'!$B$2:$B$220,"&lt;&gt;الإدارة التنفيذية")</f>
        <v/>
      </c>
      <c r="E5" s="5">
        <f>COUNTIFS('قاعدة المؤشرات'!$H$2:$H$220,"🔴 تحت الهدف",'قاعدة المؤشرات'!$B$2:$B$220,"&lt;&gt;الإدارة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المؤشرات'!$B$2:$B$220,"الإدارة التنفيذية",'قاعدة المؤشرات'!$J$2:$J$220)/SUMIF('قاعدة المؤشرات'!$B$2:$B$220,"الإدارة التنفيذية",'قاعدة المؤشرات'!$K$2:$K$220),"—")</f>
        <v/>
      </c>
      <c r="D9" s="9" t="inlineStr">
        <is>
          <t>النمو</t>
        </is>
      </c>
      <c r="E9" s="10">
        <f>IFERROR(AVERAGEIFS('قاعدة المؤشرات'!$G$2:$G$220,'قاعدة المؤشرات'!$D$2:$D$220,"النمو"),"—")</f>
        <v/>
      </c>
      <c r="H9" s="15">
        <f>IFERROR(SUMIF('قاعدة المؤشرات'!$B$2:$B$220,"الإدارة التنفيذية",'قاعدة المؤشرات'!$J$2:$J$220)/SUMIF('قاعدة المؤشرات'!$B$2:$B$220,"الإدارة التنفيذية",'قاعدة المؤشرات'!$K$2:$K$220),0)</f>
        <v/>
      </c>
      <c r="I9" s="15" t="n">
        <v>0</v>
      </c>
      <c r="J9" s="15">
        <f>IF(SUMIF('قاعدة المؤشرات'!$B$2:$B$220,"الإدارة التنفيذية",'قاعدة المؤشرات'!$K$2:$K$220)=0,0,1)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المؤشرات'!$B$2:$B$220,"الامتياز التجاري",'قاعدة المؤشرات'!$J$2:$J$220)/SUMIF('قاعدة المؤشرات'!$B$2:$B$220,"الامتياز التجاري",'قاعدة المؤشرات'!$K$2:$K$220),"—")</f>
        <v/>
      </c>
      <c r="D10" s="9" t="inlineStr">
        <is>
          <t>الابتكار</t>
        </is>
      </c>
      <c r="E10" s="10">
        <f>IFERROR(AVERAGEIFS('قاعدة المؤشرات'!$G$2:$G$220,'قاعدة المؤشرات'!$D$2:$D$220,"الابتكار"),"—")</f>
        <v/>
      </c>
      <c r="H10" s="15">
        <f>IFERROR(SUMIF('قاعدة المؤشرات'!$B$2:$B$220,"الامتياز التجاري",'قاعدة المؤشرات'!$J$2:$J$220)/SUMIF('قاعدة المؤشرات'!$B$2:$B$220,"الامتياز التجاري",'قاعدة المؤشرات'!$K$2:$K$220),0)</f>
        <v/>
      </c>
      <c r="I10" s="15" t="n">
        <v>0.14</v>
      </c>
      <c r="J10" s="15">
        <f>IF(SUMIF('قاعدة المؤشرات'!$B$2:$B$220,"الامتياز التجاري",'قاعدة المؤشرات'!$K$2:$K$220)=0,0,1)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المؤشرات'!$B$2:$B$220,"التشغيل والمحطات",'قاعدة المؤشرات'!$J$2:$J$220)/SUMIF('قاعدة المؤشرات'!$B$2:$B$220,"التشغيل والمحطات",'قاعدة المؤشرات'!$K$2:$K$220),"—")</f>
        <v/>
      </c>
      <c r="D11" s="9" t="inlineStr">
        <is>
          <t>الاستدامة</t>
        </is>
      </c>
      <c r="E11" s="10">
        <f>IFERROR(AVERAGEIFS('قاعدة المؤشرات'!$G$2:$G$220,'قاعدة المؤشرات'!$D$2:$D$220,"الاستدامة"),"—")</f>
        <v/>
      </c>
      <c r="H11" s="15">
        <f>IFERROR(SUMIF('قاعدة المؤشرات'!$B$2:$B$220,"التشغيل والمحطات",'قاعدة المؤشرات'!$J$2:$J$220)/SUMIF('قاعدة المؤشرات'!$B$2:$B$220,"التشغيل والمحطات",'قاعدة المؤشرات'!$K$2:$K$220),0)</f>
        <v/>
      </c>
      <c r="I11" s="15" t="n">
        <v>0.12</v>
      </c>
      <c r="J11" s="15">
        <f>IF(SUMIF('قاعدة المؤشرات'!$B$2:$B$220,"التشغيل والمحطات",'قاعدة المؤشرات'!$K$2:$K$220)=0,0,1)</f>
        <v/>
      </c>
    </row>
    <row r="12">
      <c r="B12" s="9" t="inlineStr">
        <is>
          <t>الاستثمار</t>
        </is>
      </c>
      <c r="C12" s="10">
        <f>IFERROR(SUMIF('قاعدة المؤشرات'!$B$2:$B$220,"الاستثمار",'قاعدة المؤشرات'!$J$2:$J$220)/SUMIF('قاعدة المؤشرات'!$B$2:$B$220,"الاستثمار",'قاعدة المؤشرات'!$K$2:$K$220),"—")</f>
        <v/>
      </c>
      <c r="H12" s="15">
        <f>IFERROR(SUMIF('قاعدة المؤشرات'!$B$2:$B$220,"الاستثمار",'قاعدة المؤشرات'!$J$2:$J$220)/SUMIF('قاعدة المؤشرات'!$B$2:$B$220,"الاستثمار",'قاعدة المؤشرات'!$K$2:$K$220),0)</f>
        <v/>
      </c>
      <c r="I12" s="15" t="n">
        <v>0.11</v>
      </c>
      <c r="J12" s="15">
        <f>IF(SUMIF('قاعدة المؤشرات'!$B$2:$B$220,"الاستثمار",'قاعدة المؤشرات'!$K$2:$K$220)=0,0,1)</f>
        <v/>
      </c>
    </row>
    <row r="13">
      <c r="B13" s="9" t="inlineStr">
        <is>
          <t>العقار</t>
        </is>
      </c>
      <c r="C13" s="10">
        <f>IFERROR(SUMIF('قاعدة المؤشرات'!$B$2:$B$220,"العقار",'قاعدة المؤشرات'!$J$2:$J$220)/SUMIF('قاعدة المؤشرات'!$B$2:$B$220,"العقار",'قاعدة المؤشرات'!$K$2:$K$220),"—")</f>
        <v/>
      </c>
      <c r="D13" s="53" t="inlineStr">
        <is>
          <t>حسب منظور BSC</t>
        </is>
      </c>
      <c r="E13" s="7" t="n"/>
      <c r="H13" s="15">
        <f>IFERROR(SUMIF('قاعدة المؤشرات'!$B$2:$B$220,"العقار",'قاعدة المؤشرات'!$J$2:$J$220)/SUMIF('قاعدة المؤشرات'!$B$2:$B$220,"العقار",'قاعدة المؤشرات'!$K$2:$K$220),0)</f>
        <v/>
      </c>
      <c r="I13" s="15" t="n">
        <v>0.09</v>
      </c>
      <c r="J13" s="15">
        <f>IF(SUMIF('قاعدة المؤشرات'!$B$2:$B$220,"العقار",'قاعدة المؤشرات'!$K$2:$K$220)=0,0,1)</f>
        <v/>
      </c>
    </row>
    <row r="14">
      <c r="B14" s="9" t="inlineStr">
        <is>
          <t>إدارة المشاريع</t>
        </is>
      </c>
      <c r="C14" s="10">
        <f>IFERROR(SUMIF('قاعدة المؤشرات'!$B$2:$B$220,"إدارة المشاريع",'قاعدة المؤشرات'!$J$2:$J$220)/SUMIF('قاعدة المؤشرات'!$B$2:$B$220,"إدارة المشاريع",'قاعدة المؤشرات'!$K$2:$K$220),"—")</f>
        <v/>
      </c>
      <c r="D14" s="9" t="inlineStr">
        <is>
          <t>مالي</t>
        </is>
      </c>
      <c r="E14" s="10">
        <f>IFERROR(AVERAGEIFS('قاعدة المؤشرات'!$G$2:$G$220,'قاعدة المؤشرات'!$F$2:$F$220,"مالي"),"—")</f>
        <v/>
      </c>
      <c r="H14" s="15">
        <f>IFERROR(SUMIF('قاعدة المؤشرات'!$B$2:$B$220,"إدارة المشاريع",'قاعدة المؤشرات'!$J$2:$J$220)/SUMIF('قاعدة المؤشرات'!$B$2:$B$220,"إدارة المشاريع",'قاعدة المؤشرات'!$K$2:$K$220),0)</f>
        <v/>
      </c>
      <c r="I14" s="15" t="n">
        <v>0.08</v>
      </c>
      <c r="J14" s="15">
        <f>IF(SUMIF('قاعدة المؤشرات'!$B$2:$B$220,"إدارة المشاريع",'قاعدة المؤشرات'!$K$2:$K$220)=0,0,1)</f>
        <v/>
      </c>
    </row>
    <row r="15">
      <c r="B15" s="9" t="inlineStr">
        <is>
          <t>سلاسل الإمداد</t>
        </is>
      </c>
      <c r="C15" s="10">
        <f>IFERROR(SUMIF('قاعدة المؤشرات'!$B$2:$B$220,"سلاسل الإمداد",'قاعدة المؤشرات'!$J$2:$J$220)/SUMIF('قاعدة المؤشرات'!$B$2:$B$220,"سلاسل الإمداد",'قاعدة المؤشرات'!$K$2:$K$220),"—")</f>
        <v/>
      </c>
      <c r="D15" s="9" t="inlineStr">
        <is>
          <t>العملاء</t>
        </is>
      </c>
      <c r="E15" s="10">
        <f>IFERROR(AVERAGEIFS('قاعدة المؤشرات'!$G$2:$G$220,'قاعدة المؤشرات'!$F$2:$F$220,"العملاء"),"—")</f>
        <v/>
      </c>
      <c r="H15" s="15">
        <f>IFERROR(SUMIF('قاعدة المؤشرات'!$B$2:$B$220,"سلاسل الإمداد",'قاعدة المؤشرات'!$J$2:$J$220)/SUMIF('قاعدة المؤشرات'!$B$2:$B$220,"سلاسل الإمداد",'قاعدة المؤشرات'!$K$2:$K$220),0)</f>
        <v/>
      </c>
      <c r="I15" s="15" t="n">
        <v>0.1</v>
      </c>
      <c r="J15" s="15">
        <f>IF(SUMIF('قاعدة المؤشرات'!$B$2:$B$220,"سلاسل الإمداد",'قاعدة المؤشرات'!$K$2:$K$220)=0,0,1)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المؤشرات'!$B$2:$B$220,"الصيانة والأتمتة",'قاعدة المؤشرات'!$J$2:$J$220)/SUMIF('قاعدة المؤشرات'!$B$2:$B$220,"الصيانة والأتمتة",'قاعدة المؤشرات'!$K$2:$K$220),"—")</f>
        <v/>
      </c>
      <c r="D16" s="9" t="inlineStr">
        <is>
          <t>العمليات الداخلية</t>
        </is>
      </c>
      <c r="E16" s="10">
        <f>IFERROR(AVERAGEIFS('قاعدة المؤشرات'!$G$2:$G$220,'قاعدة المؤشرات'!$F$2:$F$220,"العمليات الداخلية"),"—")</f>
        <v/>
      </c>
      <c r="H16" s="15">
        <f>IFERROR(SUMIF('قاعدة المؤشرات'!$B$2:$B$220,"الصيانة والأتمتة",'قاعدة المؤشرات'!$J$2:$J$220)/SUMIF('قاعدة المؤشرات'!$B$2:$B$220,"الصيانة والأتمتة",'قاعدة المؤشرات'!$K$2:$K$220),0)</f>
        <v/>
      </c>
      <c r="I16" s="15" t="n">
        <v>0.07000000000000001</v>
      </c>
      <c r="J16" s="15">
        <f>IF(SUMIF('قاعدة المؤشرات'!$B$2:$B$220,"الصيانة والأتمتة",'قاعدة المؤشرات'!$K$2:$K$220)=0,0,1)</f>
        <v/>
      </c>
    </row>
    <row r="17">
      <c r="B17" s="9" t="inlineStr">
        <is>
          <t>التقنية الرقمية</t>
        </is>
      </c>
      <c r="C17" s="10">
        <f>IFERROR(SUMIF('قاعدة المؤشرات'!$B$2:$B$220,"التقنية الرقمية",'قاعدة المؤشرات'!$J$2:$J$220)/SUMIF('قاعدة المؤشرات'!$B$2:$B$220,"التقنية الرقمية",'قاعدة المؤشرات'!$K$2:$K$220),"—")</f>
        <v/>
      </c>
      <c r="D17" s="9" t="inlineStr">
        <is>
          <t>التعلّم والنمو</t>
        </is>
      </c>
      <c r="E17" s="10">
        <f>IFERROR(AVERAGEIFS('قاعدة المؤشرات'!$G$2:$G$220,'قاعدة المؤشرات'!$F$2:$F$220,"التعلّم والنمو"),"—")</f>
        <v/>
      </c>
      <c r="H17" s="15">
        <f>IFERROR(SUMIF('قاعدة المؤشرات'!$B$2:$B$220,"التقنية الرقمية",'قاعدة المؤشرات'!$J$2:$J$220)/SUMIF('قاعدة المؤشرات'!$B$2:$B$220,"التقنية الرقمية",'قاعدة المؤشرات'!$K$2:$K$220),0)</f>
        <v/>
      </c>
      <c r="I17" s="15" t="n">
        <v>0.04</v>
      </c>
      <c r="J17" s="15">
        <f>IF(SUMIF('قاعدة المؤشرات'!$B$2:$B$220,"التقنية الرقمية",'قاعدة المؤشرات'!$K$2:$K$220)=0,0,1)</f>
        <v/>
      </c>
    </row>
    <row r="18">
      <c r="B18" s="9" t="inlineStr">
        <is>
          <t>الموارد البشرية</t>
        </is>
      </c>
      <c r="C18" s="10">
        <f>IFERROR(SUMIF('قاعدة المؤشرات'!$B$2:$B$220,"الموارد البشرية",'قاعدة المؤشرات'!$J$2:$J$220)/SUMIF('قاعدة المؤشرات'!$B$2:$B$220,"الموارد البشرية",'قاعدة المؤشرات'!$K$2:$K$220),"—")</f>
        <v/>
      </c>
      <c r="H18" s="15">
        <f>IFERROR(SUMIF('قاعدة المؤشرات'!$B$2:$B$220,"الموارد البشرية",'قاعدة المؤشرات'!$J$2:$J$220)/SUMIF('قاعدة المؤشرات'!$B$2:$B$220,"الموارد البشرية",'قاعدة المؤشرات'!$K$2:$K$220),0)</f>
        <v/>
      </c>
      <c r="I18" s="15" t="n">
        <v>0.04</v>
      </c>
      <c r="J18" s="15">
        <f>IF(SUMIF('قاعدة المؤشرات'!$B$2:$B$220,"الموارد البشرية",'قاعدة المؤشرات'!$K$2:$K$220)=0,0,1)</f>
        <v/>
      </c>
    </row>
    <row r="19">
      <c r="B19" s="9" t="inlineStr">
        <is>
          <t>التسويق</t>
        </is>
      </c>
      <c r="C19" s="10">
        <f>IFERROR(SUMIF('قاعدة المؤشرات'!$B$2:$B$220,"التسويق",'قاعدة المؤشرات'!$J$2:$J$220)/SUMIF('قاعدة المؤشرات'!$B$2:$B$220,"التسويق",'قاعدة المؤشرات'!$K$2:$K$220),"—")</f>
        <v/>
      </c>
      <c r="H19" s="15">
        <f>IFERROR(SUMIF('قاعدة المؤشرات'!$B$2:$B$220,"التسويق",'قاعدة المؤشرات'!$J$2:$J$220)/SUMIF('قاعدة المؤشرات'!$B$2:$B$220,"التسويق",'قاعدة المؤشرات'!$K$2:$K$220),0)</f>
        <v/>
      </c>
      <c r="I19" s="15" t="n">
        <v>0.05</v>
      </c>
      <c r="J19" s="15">
        <f>IF(SUMIF('قاعدة المؤشرات'!$B$2:$B$220,"التسويق",'قاعدة المؤشرات'!$K$2:$K$220)=0,0,1)</f>
        <v/>
      </c>
    </row>
    <row r="20">
      <c r="B20" s="9" t="inlineStr">
        <is>
          <t>الجودة</t>
        </is>
      </c>
      <c r="C20" s="10">
        <f>IFERROR(SUMIF('قاعدة المؤشرات'!$B$2:$B$220,"الجودة",'قاعدة المؤشرات'!$J$2:$J$220)/SUMIF('قاعدة المؤشرات'!$B$2:$B$220,"الجودة",'قاعدة المؤشرات'!$K$2:$K$220),"—")</f>
        <v/>
      </c>
      <c r="H20" s="15">
        <f>IFERROR(SUMIF('قاعدة المؤشرات'!$B$2:$B$220,"الجودة",'قاعدة المؤشرات'!$J$2:$J$220)/SUMIF('قاعدة المؤشرات'!$B$2:$B$220,"الجودة",'قاعدة المؤشرات'!$K$2:$K$220),0)</f>
        <v/>
      </c>
      <c r="I20" s="15" t="n">
        <v>0.05</v>
      </c>
      <c r="J20" s="15">
        <f>IF(SUMIF('قاعدة المؤشرات'!$B$2:$B$220,"الجودة",'قاعدة المؤشرات'!$K$2:$K$220)=0,0,1)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المؤشرات'!$B$2:$B$220,"الإدارة القانونية",'قاعدة المؤشرات'!$J$2:$J$220)/SUMIF('قاعدة المؤشرات'!$B$2:$B$220,"الإدارة القانونية",'قاعدة المؤشرات'!$K$2:$K$220),"—")</f>
        <v/>
      </c>
      <c r="H21" s="15">
        <f>IFERROR(SUMIF('قاعدة المؤشرات'!$B$2:$B$220,"الإدارة القانونية",'قاعدة المؤشرات'!$J$2:$J$220)/SUMIF('قاعدة المؤشرات'!$B$2:$B$220,"الإدارة القانونية",'قاعدة المؤشرات'!$K$2:$K$220),0)</f>
        <v/>
      </c>
      <c r="I21" s="15" t="n">
        <v>0.03</v>
      </c>
      <c r="J21" s="15">
        <f>IF(SUMIF('قاعدة المؤشرات'!$B$2:$B$220,"الإدارة القانونية",'قاعدة المؤشرات'!$K$2:$K$220)=0,0,1)</f>
        <v/>
      </c>
    </row>
    <row r="22">
      <c r="B22" s="9" t="inlineStr">
        <is>
          <t>الإدارة المالية</t>
        </is>
      </c>
      <c r="C22" s="10">
        <f>IFERROR(SUMIF('قاعدة المؤشرات'!$B$2:$B$220,"الإدارة المالية",'قاعدة المؤشرات'!$J$2:$J$220)/SUMIF('قاعدة المؤشرات'!$B$2:$B$220,"الإدارة المالية",'قاعدة المؤشرات'!$K$2:$K$220),"—")</f>
        <v/>
      </c>
      <c r="H22" s="15">
        <f>IFERROR(SUMIF('قاعدة المؤشرات'!$B$2:$B$220,"الإدارة المالية",'قاعدة المؤشرات'!$J$2:$J$220)/SUMIF('قاعدة المؤشرات'!$B$2:$B$220,"الإدارة المالية",'قاعدة المؤشرات'!$K$2:$K$220),0)</f>
        <v/>
      </c>
      <c r="I22" s="15" t="n">
        <v>0.08</v>
      </c>
      <c r="J22" s="15">
        <f>IF(SUMIF('قاعدة المؤشرات'!$B$2:$B$220,"الإدارة المالية",'قاعدة المؤشرات'!$K$2:$K$220)=0,0,1)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5" t="n">
        <v>0.715</v>
      </c>
      <c r="E15" s="55" t="n">
        <v>0.99</v>
      </c>
      <c r="F15" s="56" t="n">
        <v>0.7222222222222222</v>
      </c>
      <c r="G15" s="12" t="n">
        <v>0.2777777777777778</v>
      </c>
      <c r="H15" s="55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7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5" t="n">
        <v>180.7</v>
      </c>
      <c r="E16" s="55" t="n">
        <v>250</v>
      </c>
      <c r="F16" s="56" t="n">
        <v>0.7228</v>
      </c>
      <c r="G16" s="12" t="n">
        <v>0.2772</v>
      </c>
      <c r="H16" s="55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7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5" t="n">
        <v>0.651</v>
      </c>
      <c r="E17" s="55" t="n">
        <v>0.9</v>
      </c>
      <c r="F17" s="56" t="n">
        <v>0.7233333333333334</v>
      </c>
      <c r="G17" s="12" t="n">
        <v>0.2766666666666666</v>
      </c>
      <c r="H17" s="55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7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5" t="n">
        <v>0.652</v>
      </c>
      <c r="E18" s="55" t="n">
        <v>0.9</v>
      </c>
      <c r="F18" s="56" t="n">
        <v>0.7244444444444444</v>
      </c>
      <c r="G18" s="12" t="n">
        <v>0.2755555555555556</v>
      </c>
      <c r="H18" s="55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5" t="n">
        <v>49.4</v>
      </c>
      <c r="E19" s="55" t="n">
        <v>68</v>
      </c>
      <c r="F19" s="56" t="n">
        <v>0.7264705882352941</v>
      </c>
      <c r="G19" s="12" t="n">
        <v>0.2735294117647059</v>
      </c>
      <c r="H19" s="55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5" t="n">
        <v>8.1</v>
      </c>
      <c r="E25" s="55" t="n">
        <v>11</v>
      </c>
      <c r="F25" s="56" t="n">
        <v>0.7363636363636363</v>
      </c>
      <c r="G25" s="12" t="n">
        <v>0.2636363636363637</v>
      </c>
      <c r="H25" s="55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5" t="n">
        <v>0.221</v>
      </c>
      <c r="E26" s="55" t="n">
        <v>0.3</v>
      </c>
      <c r="F26" s="56" t="n">
        <v>0.7366666666666667</v>
      </c>
      <c r="G26" s="12" t="n">
        <v>0.2633333333333333</v>
      </c>
      <c r="H26" s="55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7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5" t="n">
        <v>3.474</v>
      </c>
      <c r="E27" s="55" t="n">
        <v>4.7</v>
      </c>
      <c r="F27" s="56" t="n">
        <v>0.7391489361702128</v>
      </c>
      <c r="G27" s="12" t="n">
        <v>0.2608510638297872</v>
      </c>
      <c r="H27" s="55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5" t="n">
        <v>0.074</v>
      </c>
      <c r="E28" s="55" t="n">
        <v>0.1</v>
      </c>
      <c r="F28" s="56" t="n">
        <v>0.7399999999999999</v>
      </c>
      <c r="G28" s="12" t="n">
        <v>0.2600000000000001</v>
      </c>
      <c r="H28" s="55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5" t="n">
        <v>0.747</v>
      </c>
      <c r="E29" s="55" t="n">
        <v>1</v>
      </c>
      <c r="F29" s="56" t="n">
        <v>0.747</v>
      </c>
      <c r="G29" s="12" t="n">
        <v>0.253</v>
      </c>
      <c r="H29" s="55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5" t="n">
        <v>0.674</v>
      </c>
      <c r="E30" s="55" t="n">
        <v>0.9</v>
      </c>
      <c r="F30" s="56" t="n">
        <v>0.7488888888888889</v>
      </c>
      <c r="G30" s="12" t="n">
        <v>0.2511111111111111</v>
      </c>
      <c r="H30" s="55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5" t="n">
        <v>0.749</v>
      </c>
      <c r="E31" s="55" t="n">
        <v>1</v>
      </c>
      <c r="F31" s="56" t="n">
        <v>0.749</v>
      </c>
      <c r="G31" s="12" t="n">
        <v>0.251</v>
      </c>
      <c r="H31" s="55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5" t="n">
        <v>0.648</v>
      </c>
      <c r="E39" s="55" t="n">
        <v>0.85</v>
      </c>
      <c r="F39" s="56" t="n">
        <v>0.7623529411764707</v>
      </c>
      <c r="G39" s="12" t="n">
        <v>0.2376470588235293</v>
      </c>
      <c r="H39" s="55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5" t="n">
        <v>0.6870000000000001</v>
      </c>
      <c r="E40" s="55" t="n">
        <v>0.9</v>
      </c>
      <c r="F40" s="56" t="n">
        <v>0.7633333333333334</v>
      </c>
      <c r="G40" s="12" t="n">
        <v>0.2366666666666666</v>
      </c>
      <c r="H40" s="55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5" t="n">
        <v>0.728</v>
      </c>
      <c r="E41" s="55" t="n">
        <v>0.95</v>
      </c>
      <c r="F41" s="56" t="n">
        <v>0.7663157894736842</v>
      </c>
      <c r="G41" s="12" t="n">
        <v>0.2336842105263158</v>
      </c>
      <c r="H41" s="55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5" t="n">
        <v>0.6899999999999999</v>
      </c>
      <c r="E42" s="55" t="n">
        <v>0.9</v>
      </c>
      <c r="F42" s="56" t="n">
        <v>0.7666666666666666</v>
      </c>
      <c r="G42" s="12" t="n">
        <v>0.2333333333333334</v>
      </c>
      <c r="H42" s="55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7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5" t="n">
        <v>0.729</v>
      </c>
      <c r="E43" s="55" t="n">
        <v>0.95</v>
      </c>
      <c r="F43" s="56" t="n">
        <v>0.7673684210526316</v>
      </c>
      <c r="G43" s="12" t="n">
        <v>0.2326315789473684</v>
      </c>
      <c r="H43" s="55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5" t="n">
        <v>0.754</v>
      </c>
      <c r="E44" s="55" t="n">
        <v>0.98</v>
      </c>
      <c r="F44" s="56" t="n">
        <v>0.7693877551020408</v>
      </c>
      <c r="G44" s="12" t="n">
        <v>0.2306122448979592</v>
      </c>
      <c r="H44" s="55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5" t="n">
        <v>0.77</v>
      </c>
      <c r="E45" s="55" t="n">
        <v>1</v>
      </c>
      <c r="F45" s="56" t="n">
        <v>0.77</v>
      </c>
      <c r="G45" s="12" t="n">
        <v>0.23</v>
      </c>
      <c r="H45" s="55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7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5" t="n">
        <v>0.697</v>
      </c>
      <c r="E46" s="55" t="n">
        <v>0.9</v>
      </c>
      <c r="F46" s="56" t="n">
        <v>0.7744444444444444</v>
      </c>
      <c r="G46" s="12" t="n">
        <v>0.2255555555555556</v>
      </c>
      <c r="H46" s="55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7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5" t="n">
        <v>0.736</v>
      </c>
      <c r="E47" s="55" t="n">
        <v>0.95</v>
      </c>
      <c r="F47" s="56" t="n">
        <v>0.7747368421052632</v>
      </c>
      <c r="G47" s="12" t="n">
        <v>0.2252631578947368</v>
      </c>
      <c r="H47" s="55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5" t="n">
        <v>0.062</v>
      </c>
      <c r="E48" s="55" t="n">
        <v>0.08</v>
      </c>
      <c r="F48" s="56" t="n">
        <v>0.775</v>
      </c>
      <c r="G48" s="12" t="n">
        <v>0.225</v>
      </c>
      <c r="H48" s="55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5" t="n">
        <v>0.698</v>
      </c>
      <c r="E49" s="55" t="n">
        <v>0.9</v>
      </c>
      <c r="F49" s="56" t="n">
        <v>0.7755555555555554</v>
      </c>
      <c r="G49" s="12" t="n">
        <v>0.2244444444444446</v>
      </c>
      <c r="H49" s="55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7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5" t="n">
        <v>0.701</v>
      </c>
      <c r="E50" s="55" t="n">
        <v>0.9</v>
      </c>
      <c r="F50" s="56" t="n">
        <v>0.7788888888888889</v>
      </c>
      <c r="G50" s="12" t="n">
        <v>0.2211111111111111</v>
      </c>
      <c r="H50" s="55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7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5" t="n">
        <v>0.74</v>
      </c>
      <c r="E51" s="55" t="n">
        <v>0.95</v>
      </c>
      <c r="F51" s="56" t="n">
        <v>0.7789473684210526</v>
      </c>
      <c r="G51" s="12" t="n">
        <v>0.2210526315789474</v>
      </c>
      <c r="H51" s="55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7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5" t="n">
        <v>0.776</v>
      </c>
      <c r="E52" s="55" t="n">
        <v>0.995</v>
      </c>
      <c r="F52" s="56" t="n">
        <v>0.7798994974874373</v>
      </c>
      <c r="G52" s="12" t="n">
        <v>0.2201005025125627</v>
      </c>
      <c r="H52" s="55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7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5" t="n">
        <v>0.702</v>
      </c>
      <c r="E53" s="55" t="n">
        <v>0.9</v>
      </c>
      <c r="F53" s="56" t="n">
        <v>0.7799999999999999</v>
      </c>
      <c r="G53" s="12" t="n">
        <v>0.2200000000000001</v>
      </c>
      <c r="H53" s="55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7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5" t="n">
        <v>0.766</v>
      </c>
      <c r="E54" s="55" t="n">
        <v>0.98</v>
      </c>
      <c r="F54" s="56" t="n">
        <v>0.7816326530612245</v>
      </c>
      <c r="G54" s="12" t="n">
        <v>0.2183673469387755</v>
      </c>
      <c r="H54" s="55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7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5" t="n">
        <v>531.8</v>
      </c>
      <c r="E55" s="55" t="n">
        <v>680</v>
      </c>
      <c r="F55" s="56" t="n">
        <v>0.7820588235294117</v>
      </c>
      <c r="G55" s="12" t="n">
        <v>0.2179411764705883</v>
      </c>
      <c r="H55" s="55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7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5" t="n">
        <v>0.744</v>
      </c>
      <c r="E56" s="55" t="n">
        <v>0.95</v>
      </c>
      <c r="F56" s="56" t="n">
        <v>0.7831578947368422</v>
      </c>
      <c r="G56" s="12" t="n">
        <v>0.2168421052631578</v>
      </c>
      <c r="H56" s="55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7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5" t="n">
        <v>0.705</v>
      </c>
      <c r="E57" s="55" t="n">
        <v>0.9</v>
      </c>
      <c r="F57" s="56" t="n">
        <v>0.7833333333333332</v>
      </c>
      <c r="G57" s="12" t="n">
        <v>0.2166666666666668</v>
      </c>
      <c r="H57" s="55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7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5" t="n">
        <v>0.751</v>
      </c>
      <c r="E58" s="55" t="n">
        <v>0.95</v>
      </c>
      <c r="F58" s="56" t="n">
        <v>0.7905263157894737</v>
      </c>
      <c r="G58" s="12" t="n">
        <v>0.2094736842105263</v>
      </c>
      <c r="H58" s="55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7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7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5" t="n">
        <v>0.792</v>
      </c>
      <c r="E60" s="55" t="n">
        <v>1</v>
      </c>
      <c r="F60" s="56" t="n">
        <v>0.792</v>
      </c>
      <c r="G60" s="12" t="n">
        <v>0.208</v>
      </c>
      <c r="H60" s="55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7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5" t="n">
        <v>0.674</v>
      </c>
      <c r="E61" s="55" t="n">
        <v>0.85</v>
      </c>
      <c r="F61" s="56" t="n">
        <v>0.7929411764705883</v>
      </c>
      <c r="G61" s="12" t="n">
        <v>0.2070588235294117</v>
      </c>
      <c r="H61" s="55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7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5" t="n">
        <v>0.794</v>
      </c>
      <c r="E62" s="55" t="n">
        <v>1</v>
      </c>
      <c r="F62" s="56" t="n">
        <v>0.794</v>
      </c>
      <c r="G62" s="12" t="n">
        <v>0.206</v>
      </c>
      <c r="H62" s="55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5" t="n">
        <v>0.756</v>
      </c>
      <c r="E63" s="55" t="n">
        <v>0.95</v>
      </c>
      <c r="F63" s="56" t="n">
        <v>0.7957894736842106</v>
      </c>
      <c r="G63" s="12" t="n">
        <v>0.2042105263157894</v>
      </c>
      <c r="H63" s="55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5" t="n">
        <v>0.796</v>
      </c>
      <c r="E64" s="55" t="n">
        <v>1</v>
      </c>
      <c r="F64" s="56" t="n">
        <v>0.796</v>
      </c>
      <c r="G64" s="12" t="n">
        <v>0.204</v>
      </c>
      <c r="H64" s="55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5" t="n">
        <v>0.797</v>
      </c>
      <c r="E65" s="55" t="n">
        <v>1</v>
      </c>
      <c r="F65" s="56" t="n">
        <v>0.797</v>
      </c>
      <c r="G65" s="12" t="n">
        <v>0.203</v>
      </c>
      <c r="H65" s="55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5" t="n">
        <v>0.758</v>
      </c>
      <c r="E66" s="55" t="n">
        <v>0.95</v>
      </c>
      <c r="F66" s="56" t="n">
        <v>0.7978947368421053</v>
      </c>
      <c r="G66" s="12" t="n">
        <v>0.2021052631578947</v>
      </c>
      <c r="H66" s="55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5" t="n">
        <v>0.79</v>
      </c>
      <c r="E67" s="55" t="n">
        <v>0.99</v>
      </c>
      <c r="F67" s="56" t="n">
        <v>0.797979797979798</v>
      </c>
      <c r="G67" s="12" t="n">
        <v>0.202020202020202</v>
      </c>
      <c r="H67" s="55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5" t="n">
        <v>0.798</v>
      </c>
      <c r="E68" s="55" t="n">
        <v>1</v>
      </c>
      <c r="F68" s="56" t="n">
        <v>0.798</v>
      </c>
      <c r="G68" s="12" t="n">
        <v>0.202</v>
      </c>
      <c r="H68" s="55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5" t="n">
        <v>0.44</v>
      </c>
      <c r="E69" s="55" t="n">
        <v>0.55</v>
      </c>
      <c r="F69" s="56" t="n">
        <v>0.7999999999999999</v>
      </c>
      <c r="G69" s="12" t="n">
        <v>0.2000000000000001</v>
      </c>
      <c r="H69" s="55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5" t="n">
        <v>0.008</v>
      </c>
      <c r="E70" s="55" t="n">
        <v>0.01</v>
      </c>
      <c r="F70" s="56" t="n">
        <v>0.8</v>
      </c>
      <c r="G70" s="12" t="n">
        <v>0.2</v>
      </c>
      <c r="H70" s="55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7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5" t="n">
        <v>0.786</v>
      </c>
      <c r="E71" s="55" t="n">
        <v>0.98</v>
      </c>
      <c r="F71" s="56" t="n">
        <v>0.8020408163265307</v>
      </c>
      <c r="G71" s="12" t="n">
        <v>0.1979591836734693</v>
      </c>
      <c r="H71" s="55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5" t="n">
        <v>576630340</v>
      </c>
      <c r="E72" s="55" t="n">
        <v>718838077</v>
      </c>
      <c r="F72" s="56" t="n">
        <v>0.8021699996840874</v>
      </c>
      <c r="G72" s="12" t="n">
        <v>0.1978300003159126</v>
      </c>
      <c r="H72" s="55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5" t="n">
        <v>54.8</v>
      </c>
      <c r="E73" s="55" t="n">
        <v>68</v>
      </c>
      <c r="F73" s="56" t="n">
        <v>0.8058823529411764</v>
      </c>
      <c r="G73" s="12" t="n">
        <v>0.1941176470588236</v>
      </c>
      <c r="H73" s="55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5" t="n">
        <v>0.804</v>
      </c>
      <c r="E74" s="55" t="n">
        <v>0.995</v>
      </c>
      <c r="F74" s="56" t="n">
        <v>0.8080402010050252</v>
      </c>
      <c r="G74" s="12" t="n">
        <v>0.1919597989949748</v>
      </c>
      <c r="H74" s="55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5" t="n">
        <v>0.8</v>
      </c>
      <c r="E75" s="55" t="n">
        <v>0.99</v>
      </c>
      <c r="F75" s="56" t="n">
        <v>0.8080808080808082</v>
      </c>
      <c r="G75" s="12" t="n">
        <v>0.1919191919191918</v>
      </c>
      <c r="H75" s="55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7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5" t="n">
        <v>0.8100000000000001</v>
      </c>
      <c r="E76" s="55" t="n">
        <v>1</v>
      </c>
      <c r="F76" s="56" t="n">
        <v>0.8100000000000001</v>
      </c>
      <c r="G76" s="12" t="n">
        <v>0.1899999999999999</v>
      </c>
      <c r="H76" s="55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7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5" t="n">
        <v>0.649</v>
      </c>
      <c r="E77" s="55" t="n">
        <v>0.8</v>
      </c>
      <c r="F77" s="56" t="n">
        <v>0.81125</v>
      </c>
      <c r="G77" s="12" t="n">
        <v>0.18875</v>
      </c>
      <c r="H77" s="55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7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5" t="n">
        <v>0.122</v>
      </c>
      <c r="E78" s="55" t="n">
        <v>0.15</v>
      </c>
      <c r="F78" s="56" t="n">
        <v>0.8133333333333334</v>
      </c>
      <c r="G78" s="12" t="n">
        <v>0.1866666666666666</v>
      </c>
      <c r="H78" s="55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7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5" t="n">
        <v>0.733</v>
      </c>
      <c r="E79" s="55" t="n">
        <v>0.9</v>
      </c>
      <c r="F79" s="56" t="n">
        <v>0.8144444444444444</v>
      </c>
      <c r="G79" s="12" t="n">
        <v>0.1855555555555556</v>
      </c>
      <c r="H79" s="55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7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5" t="n">
        <v>0.163</v>
      </c>
      <c r="E80" s="55" t="n">
        <v>0.2</v>
      </c>
      <c r="F80" s="56" t="n">
        <v>0.8149999999999999</v>
      </c>
      <c r="G80" s="12" t="n">
        <v>0.1850000000000001</v>
      </c>
      <c r="H80" s="55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7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5" t="n">
        <v>82.2</v>
      </c>
      <c r="E81" s="55" t="n">
        <v>100</v>
      </c>
      <c r="F81" s="56" t="n">
        <v>0.8220000000000001</v>
      </c>
      <c r="G81" s="12" t="n">
        <v>0.1779999999999999</v>
      </c>
      <c r="H81" s="55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5" t="n">
        <v>202.6</v>
      </c>
      <c r="E82" s="55" t="n">
        <v>246</v>
      </c>
      <c r="F82" s="56" t="n">
        <v>0.8235772357723578</v>
      </c>
      <c r="G82" s="12" t="n">
        <v>0.1764227642276422</v>
      </c>
      <c r="H82" s="55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5" t="n">
        <v>0.664</v>
      </c>
      <c r="E83" s="55" t="n">
        <v>0.8</v>
      </c>
      <c r="F83" s="56" t="n">
        <v>0.83</v>
      </c>
      <c r="G83" s="12" t="n">
        <v>0.17</v>
      </c>
      <c r="H83" s="55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7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5" t="n">
        <v>0.751</v>
      </c>
      <c r="E84" s="55" t="n">
        <v>0.9</v>
      </c>
      <c r="F84" s="56" t="n">
        <v>0.8344444444444444</v>
      </c>
      <c r="G84" s="12" t="n">
        <v>0.1655555555555556</v>
      </c>
      <c r="H84" s="55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7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5" t="n">
        <v>0.753</v>
      </c>
      <c r="E85" s="55" t="n">
        <v>0.9</v>
      </c>
      <c r="F85" s="56" t="n">
        <v>0.8366666666666667</v>
      </c>
      <c r="G85" s="12" t="n">
        <v>0.1633333333333333</v>
      </c>
      <c r="H85" s="55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5" t="n">
        <v>0.837</v>
      </c>
      <c r="E86" s="55" t="n">
        <v>1</v>
      </c>
      <c r="F86" s="56" t="n">
        <v>0.837</v>
      </c>
      <c r="G86" s="12" t="n">
        <v>0.163</v>
      </c>
      <c r="H86" s="55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5" t="n">
        <v>0.754</v>
      </c>
      <c r="E87" s="55" t="n">
        <v>0.9</v>
      </c>
      <c r="F87" s="56" t="n">
        <v>0.8377777777777777</v>
      </c>
      <c r="G87" s="12" t="n">
        <v>0.1622222222222223</v>
      </c>
      <c r="H87" s="55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5" t="n">
        <v>0.671</v>
      </c>
      <c r="E88" s="55" t="n">
        <v>0.8</v>
      </c>
      <c r="F88" s="56" t="n">
        <v>0.83875</v>
      </c>
      <c r="G88" s="12" t="n">
        <v>0.16125</v>
      </c>
      <c r="H88" s="55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5" t="n">
        <v>0.831</v>
      </c>
      <c r="E89" s="55" t="n">
        <v>0.99</v>
      </c>
      <c r="F89" s="56" t="n">
        <v>0.8393939393939394</v>
      </c>
      <c r="G89" s="12" t="n">
        <v>0.1606060606060606</v>
      </c>
      <c r="H89" s="55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5" t="n">
        <v>0.08400000000000001</v>
      </c>
      <c r="E91" s="55" t="n">
        <v>0.1</v>
      </c>
      <c r="F91" s="56" t="n">
        <v>0.84</v>
      </c>
      <c r="G91" s="12" t="n">
        <v>0.16</v>
      </c>
      <c r="H91" s="55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5" t="n">
        <v>0.126</v>
      </c>
      <c r="E92" s="55" t="n">
        <v>0.15</v>
      </c>
      <c r="F92" s="56" t="n">
        <v>0.8400000000000001</v>
      </c>
      <c r="G92" s="12" t="n">
        <v>0.1599999999999999</v>
      </c>
      <c r="H92" s="55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7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5" t="n">
        <v>0.169</v>
      </c>
      <c r="E93" s="55" t="n">
        <v>0.2</v>
      </c>
      <c r="F93" s="56" t="n">
        <v>0.845</v>
      </c>
      <c r="G93" s="12" t="n">
        <v>0.155</v>
      </c>
      <c r="H93" s="55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7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5" t="n">
        <v>0.805</v>
      </c>
      <c r="E94" s="55" t="n">
        <v>0.95</v>
      </c>
      <c r="F94" s="56" t="n">
        <v>0.8473684210526317</v>
      </c>
      <c r="G94" s="12" t="n">
        <v>0.1526315789473683</v>
      </c>
      <c r="H94" s="55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7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5" t="n">
        <v>76.3</v>
      </c>
      <c r="E95" s="55" t="n">
        <v>90</v>
      </c>
      <c r="F95" s="56" t="n">
        <v>0.8477777777777777</v>
      </c>
      <c r="G95" s="12" t="n">
        <v>0.1522222222222223</v>
      </c>
      <c r="H95" s="55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7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5" t="n">
        <v>0.8070000000000001</v>
      </c>
      <c r="E96" s="55" t="n">
        <v>0.95</v>
      </c>
      <c r="F96" s="56" t="n">
        <v>0.8494736842105264</v>
      </c>
      <c r="G96" s="12" t="n">
        <v>0.1505263157894736</v>
      </c>
      <c r="H96" s="55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7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5" t="n">
        <v>0.85</v>
      </c>
      <c r="E97" s="55" t="n">
        <v>1</v>
      </c>
      <c r="F97" s="56" t="n">
        <v>0.85</v>
      </c>
      <c r="G97" s="12" t="n">
        <v>0.15</v>
      </c>
      <c r="H97" s="55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5" t="n">
        <v>0.068</v>
      </c>
      <c r="E98" s="55" t="n">
        <v>0.08</v>
      </c>
      <c r="F98" s="56" t="n">
        <v>0.8500000000000001</v>
      </c>
      <c r="G98" s="12" t="n">
        <v>0.1499999999999999</v>
      </c>
      <c r="H98" s="55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5" t="n">
        <v>4</v>
      </c>
      <c r="E99" s="55" t="n">
        <v>4.7</v>
      </c>
      <c r="F99" s="56" t="n">
        <v>0.851063829787234</v>
      </c>
      <c r="G99" s="12" t="n">
        <v>0.148936170212766</v>
      </c>
      <c r="H99" s="55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5" t="n">
        <v>7.044</v>
      </c>
      <c r="E100" s="55" t="n">
        <v>6</v>
      </c>
      <c r="F100" s="56" t="n">
        <v>0.8517887563884157</v>
      </c>
      <c r="G100" s="12" t="n">
        <v>0.1482112436115843</v>
      </c>
      <c r="H100" s="55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5" t="n">
        <v>0.852</v>
      </c>
      <c r="E101" s="55" t="n">
        <v>1</v>
      </c>
      <c r="F101" s="56" t="n">
        <v>0.852</v>
      </c>
      <c r="G101" s="12" t="n">
        <v>0.148</v>
      </c>
      <c r="H101" s="55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5" t="n">
        <v>6.827</v>
      </c>
      <c r="E102" s="55" t="n">
        <v>8</v>
      </c>
      <c r="F102" s="56" t="n">
        <v>0.853375</v>
      </c>
      <c r="G102" s="12" t="n">
        <v>0.146625</v>
      </c>
      <c r="H102" s="55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7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5" t="n">
        <v>0.8120000000000001</v>
      </c>
      <c r="E103" s="55" t="n">
        <v>0.95</v>
      </c>
      <c r="F103" s="56" t="n">
        <v>0.8547368421052632</v>
      </c>
      <c r="G103" s="12" t="n">
        <v>0.1452631578947368</v>
      </c>
      <c r="H103" s="55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5" t="n">
        <v>0.08599999999999999</v>
      </c>
      <c r="E104" s="55" t="n">
        <v>0.1</v>
      </c>
      <c r="F104" s="56" t="n">
        <v>0.8599999999999999</v>
      </c>
      <c r="G104" s="12" t="n">
        <v>0.1400000000000001</v>
      </c>
      <c r="H104" s="55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5" t="n">
        <v>0.516</v>
      </c>
      <c r="E105" s="55" t="n">
        <v>0.6</v>
      </c>
      <c r="F105" s="56" t="n">
        <v>0.8600000000000001</v>
      </c>
      <c r="G105" s="12" t="n">
        <v>0.1399999999999999</v>
      </c>
      <c r="H105" s="55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5" t="n">
        <v>0.777</v>
      </c>
      <c r="E106" s="55" t="n">
        <v>0.9</v>
      </c>
      <c r="F106" s="56" t="n">
        <v>0.8633333333333333</v>
      </c>
      <c r="G106" s="12" t="n">
        <v>0.1366666666666667</v>
      </c>
      <c r="H106" s="55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5" t="n">
        <v>34.7</v>
      </c>
      <c r="E107" s="55" t="n">
        <v>30</v>
      </c>
      <c r="F107" s="56" t="n">
        <v>0.8645533141210374</v>
      </c>
      <c r="G107" s="12" t="n">
        <v>0.1354466858789626</v>
      </c>
      <c r="H107" s="55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5" t="n">
        <v>0.848</v>
      </c>
      <c r="E108" s="55" t="n">
        <v>0.98</v>
      </c>
      <c r="F108" s="56" t="n">
        <v>0.8653061224489795</v>
      </c>
      <c r="G108" s="12" t="n">
        <v>0.1346938775510205</v>
      </c>
      <c r="H108" s="55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5" t="n">
        <v>34.7</v>
      </c>
      <c r="E109" s="55" t="n">
        <v>40</v>
      </c>
      <c r="F109" s="56" t="n">
        <v>0.8675</v>
      </c>
      <c r="G109" s="12" t="n">
        <v>0.1325</v>
      </c>
      <c r="H109" s="55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5" t="n">
        <v>0.695</v>
      </c>
      <c r="E110" s="55" t="n">
        <v>0.8</v>
      </c>
      <c r="F110" s="56" t="n">
        <v>0.8687499999999999</v>
      </c>
      <c r="G110" s="12" t="n">
        <v>0.1312500000000001</v>
      </c>
      <c r="H110" s="55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5" t="n">
        <v>1.564</v>
      </c>
      <c r="E111" s="55" t="n">
        <v>1.8</v>
      </c>
      <c r="F111" s="56" t="n">
        <v>0.8688888888888889</v>
      </c>
      <c r="G111" s="12" t="n">
        <v>0.1311111111111111</v>
      </c>
      <c r="H111" s="55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5" t="n">
        <v>0.652</v>
      </c>
      <c r="E112" s="55" t="n">
        <v>0.75</v>
      </c>
      <c r="F112" s="56" t="n">
        <v>0.8693333333333334</v>
      </c>
      <c r="G112" s="12" t="n">
        <v>0.1306666666666666</v>
      </c>
      <c r="H112" s="55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العقار</t>
        </is>
      </c>
      <c r="C113" s="21" t="inlineStr">
        <is>
          <t>متوسط زمن تسليم الوحدة</t>
        </is>
      </c>
      <c r="D113" s="55" t="n">
        <v>7.983</v>
      </c>
      <c r="E113" s="55" t="n">
        <v>7</v>
      </c>
      <c r="F113" s="56" t="n">
        <v>0.8768633345859953</v>
      </c>
      <c r="G113" s="12" t="n">
        <v>0.1231366654140047</v>
      </c>
      <c r="H113" s="55" t="n">
        <v>7.983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57" t="n"/>
    </row>
    <row r="114">
      <c r="A114" s="15" t="n">
        <v>112</v>
      </c>
      <c r="B114" s="13" t="inlineStr">
        <is>
          <t>الإدارة التنفيذية</t>
        </is>
      </c>
      <c r="C114" s="21" t="inlineStr">
        <is>
          <t>إجمالي المحطات المشغّلة — الشركة (تراكمي)</t>
        </is>
      </c>
      <c r="D114" s="55" t="n">
        <v>206.1</v>
      </c>
      <c r="E114" s="55" t="n">
        <v>235</v>
      </c>
      <c r="F114" s="56" t="n">
        <v>0.8770212765957447</v>
      </c>
      <c r="G114" s="12" t="n">
        <v>0.1229787234042553</v>
      </c>
      <c r="H114" s="55" t="n">
        <v>206.1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الرئيس التنفيذي</t>
        </is>
      </c>
      <c r="M114" s="57" t="n"/>
    </row>
    <row r="115">
      <c r="A115" s="15" t="n">
        <v>113</v>
      </c>
      <c r="B115" s="13" t="inlineStr">
        <is>
          <t>الجودة</t>
        </is>
      </c>
      <c r="C115" s="21" t="inlineStr">
        <is>
          <t>نسبة تكرار الملاحظات</t>
        </is>
      </c>
      <c r="D115" s="55" t="n">
        <v>0.114</v>
      </c>
      <c r="E115" s="55" t="n">
        <v>0.1</v>
      </c>
      <c r="F115" s="56" t="n">
        <v>0.8771929824561404</v>
      </c>
      <c r="G115" s="12" t="n">
        <v>0.1228070175438596</v>
      </c>
      <c r="H115" s="55" t="n">
        <v>0.114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الجودة</t>
        </is>
      </c>
      <c r="M115" s="57" t="n"/>
    </row>
    <row r="116">
      <c r="A116" s="15" t="n">
        <v>114</v>
      </c>
      <c r="B116" s="13" t="inlineStr">
        <is>
          <t>الموارد البشرية</t>
        </is>
      </c>
      <c r="C116" s="21" t="inlineStr">
        <is>
          <t>نسبة دقة الرواتب والمستحقات الشهرية</t>
        </is>
      </c>
      <c r="D116" s="55" t="n">
        <v>0.888</v>
      </c>
      <c r="E116" s="55" t="n">
        <v>0.995</v>
      </c>
      <c r="F116" s="56" t="n">
        <v>0.892462311557789</v>
      </c>
      <c r="G116" s="12" t="n">
        <v>0.107537688442211</v>
      </c>
      <c r="H116" s="55" t="n">
        <v>0.888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الموارد البشرية</t>
        </is>
      </c>
      <c r="M116" s="57" t="n"/>
    </row>
    <row r="117">
      <c r="A117" s="15" t="n">
        <v>115</v>
      </c>
      <c r="B117" s="13" t="inlineStr">
        <is>
          <t>التشغيل والمحطات</t>
        </is>
      </c>
      <c r="C117" s="21" t="inlineStr">
        <is>
          <t>سرعة تعبئة الوقود</t>
        </is>
      </c>
      <c r="D117" s="55" t="n">
        <v>3.352</v>
      </c>
      <c r="E117" s="55" t="n">
        <v>3</v>
      </c>
      <c r="F117" s="56" t="n">
        <v>0.8949880668257757</v>
      </c>
      <c r="G117" s="12" t="n">
        <v>0.1050119331742243</v>
      </c>
      <c r="H117" s="55" t="n">
        <v>3.352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التشغيل</t>
        </is>
      </c>
      <c r="M117" s="57" t="n"/>
    </row>
    <row r="118">
      <c r="A118" s="15" t="n">
        <v>116</v>
      </c>
      <c r="B118" s="13" t="inlineStr">
        <is>
          <t>الموارد البشرية</t>
        </is>
      </c>
      <c r="C118" s="21" t="inlineStr">
        <is>
          <t>متوسط مدة إغلاق الشواغر المعتمدة</t>
        </is>
      </c>
      <c r="D118" s="55" t="n">
        <v>33.5</v>
      </c>
      <c r="E118" s="55" t="n">
        <v>30</v>
      </c>
      <c r="F118" s="56" t="n">
        <v>0.8955223880597015</v>
      </c>
      <c r="G118" s="12" t="n">
        <v>0.1044776119402985</v>
      </c>
      <c r="H118" s="55" t="n">
        <v>33.5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الموارد البشرية</t>
        </is>
      </c>
      <c r="M118" s="57" t="n"/>
    </row>
    <row r="119">
      <c r="A119" s="15" t="n">
        <v>117</v>
      </c>
      <c r="B119" s="13" t="inlineStr">
        <is>
          <t>إدارة المشاريع</t>
        </is>
      </c>
      <c r="C119" s="21" t="inlineStr">
        <is>
          <t>نسبة التزام المقاولين بمعايير السلامة</t>
        </is>
      </c>
      <c r="D119" s="55" t="n">
        <v>0.852</v>
      </c>
      <c r="E119" s="55" t="n">
        <v>0.95</v>
      </c>
      <c r="F119" s="56" t="n">
        <v>0.8968421052631579</v>
      </c>
      <c r="G119" s="12" t="n">
        <v>0.1031578947368421</v>
      </c>
      <c r="H119" s="55" t="n">
        <v>0.852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إدارة المشاريع</t>
        </is>
      </c>
      <c r="M119" s="57" t="n"/>
    </row>
    <row r="120">
      <c r="A120" s="15" t="n">
        <v>118</v>
      </c>
      <c r="B120" s="13" t="inlineStr">
        <is>
          <t>التشغيل والمحطات</t>
        </is>
      </c>
      <c r="C120" s="21" t="inlineStr">
        <is>
          <t>تقييم Google Maps للمحطات</t>
        </is>
      </c>
      <c r="D120" s="55" t="n">
        <v>4.048</v>
      </c>
      <c r="E120" s="55" t="n">
        <v>4.5</v>
      </c>
      <c r="F120" s="56" t="n">
        <v>0.8995555555555556</v>
      </c>
      <c r="G120" s="12" t="n">
        <v>0.1004444444444444</v>
      </c>
      <c r="H120" s="55" t="n">
        <v>4.048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التشغيل</t>
        </is>
      </c>
      <c r="M120" s="57" t="n"/>
    </row>
    <row r="121">
      <c r="A121" s="15" t="n">
        <v>119</v>
      </c>
      <c r="B121" s="13" t="inlineStr">
        <is>
          <t>الإدارة المالية</t>
        </is>
      </c>
      <c r="C121" s="21" t="inlineStr">
        <is>
          <t>نسبة التدفق النقدي التشغيلي</t>
        </is>
      </c>
      <c r="D121" s="55" t="n">
        <v>0.902</v>
      </c>
      <c r="E121" s="55" t="n">
        <v>1</v>
      </c>
      <c r="F121" s="56" t="n">
        <v>0.902</v>
      </c>
      <c r="G121" s="12" t="n">
        <v>0.09799999999999998</v>
      </c>
      <c r="H121" s="55" t="n">
        <v>0.902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المدير المالي</t>
        </is>
      </c>
      <c r="M121" s="57" t="n"/>
    </row>
    <row r="122">
      <c r="A122" s="15" t="n">
        <v>120</v>
      </c>
      <c r="B122" s="13" t="inlineStr">
        <is>
          <t>الإدارة التنفيذية</t>
        </is>
      </c>
      <c r="C122" s="21" t="inlineStr">
        <is>
          <t>نسبة إنجاز مشاريع الخارطة التنفيذية</t>
        </is>
      </c>
      <c r="D122" s="55" t="n">
        <v>0.906</v>
      </c>
      <c r="E122" s="55" t="n">
        <v>1</v>
      </c>
      <c r="F122" s="56" t="n">
        <v>0.906</v>
      </c>
      <c r="G122" s="12" t="n">
        <v>0.09399999999999997</v>
      </c>
      <c r="H122" s="55" t="n">
        <v>0.906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57" t="n"/>
    </row>
    <row r="123">
      <c r="A123" s="15" t="n">
        <v>121</v>
      </c>
      <c r="B123" s="13" t="inlineStr">
        <is>
          <t>التشغيل والمحطات</t>
        </is>
      </c>
      <c r="C123" s="21" t="inlineStr">
        <is>
          <t>نمو مبيعات الديزل مقارنة بالعام السابق</t>
        </is>
      </c>
      <c r="D123" s="55" t="n">
        <v>0.091</v>
      </c>
      <c r="E123" s="55" t="n">
        <v>0.1</v>
      </c>
      <c r="F123" s="56" t="n">
        <v>0.9099999999999999</v>
      </c>
      <c r="G123" s="12" t="n">
        <v>0.09000000000000008</v>
      </c>
      <c r="H123" s="55" t="n">
        <v>0.091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التشغيل</t>
        </is>
      </c>
      <c r="M123" s="57" t="n"/>
    </row>
    <row r="124">
      <c r="A124" s="15" t="n">
        <v>122</v>
      </c>
      <c r="B124" s="13" t="inlineStr">
        <is>
          <t>إدارة المشاريع</t>
        </is>
      </c>
      <c r="C124" s="21" t="inlineStr">
        <is>
          <t>نسبة المشاريع المنفّذة ضمن الميزانية</t>
        </is>
      </c>
      <c r="D124" s="55" t="n">
        <v>0.774</v>
      </c>
      <c r="E124" s="55" t="n">
        <v>0.85</v>
      </c>
      <c r="F124" s="56" t="n">
        <v>0.9105882352941177</v>
      </c>
      <c r="G124" s="12" t="n">
        <v>0.0894117647058823</v>
      </c>
      <c r="H124" s="55" t="n">
        <v>0.774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المحطات المستوفية لمعايير السلامة</t>
        </is>
      </c>
      <c r="D125" s="55" t="n">
        <v>0.911</v>
      </c>
      <c r="E125" s="55" t="n">
        <v>1</v>
      </c>
      <c r="F125" s="56" t="n">
        <v>0.911</v>
      </c>
      <c r="G125" s="12" t="n">
        <v>0.08899999999999997</v>
      </c>
      <c r="H125" s="55" t="n">
        <v>0.911</v>
      </c>
      <c r="I125" s="15" t="inlineStr">
        <is>
          <t>🔴 تحت الهدف</t>
        </is>
      </c>
      <c r="J125" s="11" t="inlineStr">
        <is>
          <t>انحراف جوهري — أولوية عاجلة.</t>
        </is>
      </c>
      <c r="K125" s="11" t="inlineStr">
        <is>
          <t>إجراء تصحيحي خلال 30 يوماً.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انخفاض الشكاوى التشغيلية والإدارية</t>
        </is>
      </c>
      <c r="D126" s="55" t="n">
        <v>0.274</v>
      </c>
      <c r="E126" s="55" t="n">
        <v>0.3</v>
      </c>
      <c r="F126" s="56" t="n">
        <v>0.9133333333333334</v>
      </c>
      <c r="G126" s="12" t="n">
        <v>0.08666666666666656</v>
      </c>
      <c r="H126" s="55" t="n">
        <v>0.274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متوسط وقت معالجة البلاغات التشغيلية</t>
        </is>
      </c>
      <c r="D127" s="55" t="n">
        <v>26.2</v>
      </c>
      <c r="E127" s="55" t="n">
        <v>24</v>
      </c>
      <c r="F127" s="56" t="n">
        <v>0.916030534351145</v>
      </c>
      <c r="G127" s="12" t="n">
        <v>0.08396946564885499</v>
      </c>
      <c r="H127" s="55" t="n">
        <v>26.2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العقار</t>
        </is>
      </c>
      <c r="C128" s="21" t="inlineStr">
        <is>
          <t>الشراكات الاستراتيجية</t>
        </is>
      </c>
      <c r="D128" s="55" t="n">
        <v>4.59</v>
      </c>
      <c r="E128" s="55" t="n">
        <v>5</v>
      </c>
      <c r="F128" s="56" t="n">
        <v>0.9179999999999999</v>
      </c>
      <c r="G128" s="12" t="n">
        <v>0.08200000000000007</v>
      </c>
      <c r="H128" s="55" t="n">
        <v>9.18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العقار</t>
        </is>
      </c>
      <c r="M128" s="57" t="n"/>
    </row>
    <row r="129">
      <c r="A129" s="15" t="n">
        <v>127</v>
      </c>
      <c r="B129" s="13" t="inlineStr">
        <is>
          <t>سلاسل الإمداد</t>
        </is>
      </c>
      <c r="C129" s="21" t="inlineStr">
        <is>
          <t>دقة أوامر الشراء ومستنداتها</t>
        </is>
      </c>
      <c r="D129" s="55" t="n">
        <v>0.905</v>
      </c>
      <c r="E129" s="55" t="n">
        <v>0.98</v>
      </c>
      <c r="F129" s="56" t="n">
        <v>0.9234693877551021</v>
      </c>
      <c r="G129" s="12" t="n">
        <v>0.07653061224489788</v>
      </c>
      <c r="H129" s="55" t="n">
        <v>0.905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سلاسل الإمداد</t>
        </is>
      </c>
      <c r="M129" s="57" t="n"/>
    </row>
    <row r="130">
      <c r="A130" s="15" t="n">
        <v>128</v>
      </c>
      <c r="B130" s="13" t="inlineStr">
        <is>
          <t>التشغيل والمحطات</t>
        </is>
      </c>
      <c r="C130" s="21" t="inlineStr">
        <is>
          <t>عدد المحطات المشغّلة (تراكمي)</t>
        </is>
      </c>
      <c r="D130" s="55" t="n">
        <v>78.5</v>
      </c>
      <c r="E130" s="55" t="n">
        <v>85</v>
      </c>
      <c r="F130" s="56" t="n">
        <v>0.9235294117647059</v>
      </c>
      <c r="G130" s="12" t="n">
        <v>0.07647058823529407</v>
      </c>
      <c r="H130" s="55" t="n">
        <v>78.5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التشغيل</t>
        </is>
      </c>
      <c r="M130" s="57" t="n"/>
    </row>
    <row r="131">
      <c r="A131" s="15" t="n">
        <v>129</v>
      </c>
      <c r="B131" s="13" t="inlineStr">
        <is>
          <t>الامتياز التجاري</t>
        </is>
      </c>
      <c r="C131" s="21" t="inlineStr">
        <is>
          <t>نسبة إغلاق ملاحظات الجودة الميدانية</t>
        </is>
      </c>
      <c r="D131" s="55" t="n">
        <v>0.879</v>
      </c>
      <c r="E131" s="55" t="n">
        <v>0.95</v>
      </c>
      <c r="F131" s="56" t="n">
        <v>0.9252631578947369</v>
      </c>
      <c r="G131" s="12" t="n">
        <v>0.0747368421052631</v>
      </c>
      <c r="H131" s="55" t="n">
        <v>0.879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متوسط مدة إغلاق قائمة الملاحظات النهائية</t>
        </is>
      </c>
      <c r="D132" s="55" t="n">
        <v>32.4</v>
      </c>
      <c r="E132" s="55" t="n">
        <v>30</v>
      </c>
      <c r="F132" s="56" t="n">
        <v>0.9259259259259259</v>
      </c>
      <c r="G132" s="12" t="n">
        <v>0.07407407407407407</v>
      </c>
      <c r="H132" s="55" t="n">
        <v>32.4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الجودة</t>
        </is>
      </c>
      <c r="C133" s="21" t="inlineStr">
        <is>
          <t>نسبة المحطات الحرجة</t>
        </is>
      </c>
      <c r="D133" s="55" t="n">
        <v>0.054</v>
      </c>
      <c r="E133" s="55" t="n">
        <v>0.05</v>
      </c>
      <c r="F133" s="56" t="n">
        <v>0.925925925925926</v>
      </c>
      <c r="G133" s="12" t="n">
        <v>0.07407407407407396</v>
      </c>
      <c r="H133" s="55" t="n">
        <v>0.054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الجودة</t>
        </is>
      </c>
      <c r="M133" s="57" t="n"/>
    </row>
    <row r="134">
      <c r="A134" s="15" t="n">
        <v>132</v>
      </c>
      <c r="B134" s="13" t="inlineStr">
        <is>
          <t>الامتياز التجاري</t>
        </is>
      </c>
      <c r="C134" s="21" t="inlineStr">
        <is>
          <t>متوسط درجة تقييم جودة المحطة (قائمة التحقق)</t>
        </is>
      </c>
      <c r="D134" s="55" t="n">
        <v>78.8</v>
      </c>
      <c r="E134" s="55" t="n">
        <v>85</v>
      </c>
      <c r="F134" s="56" t="n">
        <v>0.9270588235294117</v>
      </c>
      <c r="G134" s="12" t="n">
        <v>0.07294117647058829</v>
      </c>
      <c r="H134" s="55" t="n">
        <v>78.8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الامتياز</t>
        </is>
      </c>
      <c r="M134" s="57" t="n"/>
    </row>
    <row r="135">
      <c r="A135" s="15" t="n">
        <v>133</v>
      </c>
      <c r="B135" s="13" t="inlineStr">
        <is>
          <t>الإدارة المالية</t>
        </is>
      </c>
      <c r="C135" s="21" t="inlineStr">
        <is>
          <t>نسبة تحصيل الامتياز</t>
        </is>
      </c>
      <c r="D135" s="55" t="n">
        <v>0.91</v>
      </c>
      <c r="E135" s="55" t="n">
        <v>0.98</v>
      </c>
      <c r="F135" s="56" t="n">
        <v>0.9285714285714286</v>
      </c>
      <c r="G135" s="12" t="n">
        <v>0.0714285714285714</v>
      </c>
      <c r="H135" s="55" t="n">
        <v>0.91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المدير المالي</t>
        </is>
      </c>
      <c r="M135" s="57" t="n"/>
    </row>
    <row r="136">
      <c r="A136" s="15" t="n">
        <v>134</v>
      </c>
      <c r="B136" s="13" t="inlineStr">
        <is>
          <t>إدارة المشاريع</t>
        </is>
      </c>
      <c r="C136" s="21" t="inlineStr">
        <is>
          <t>عدد محطات الشركة المُسلَّمة</t>
        </is>
      </c>
      <c r="D136" s="55" t="n">
        <v>18.8</v>
      </c>
      <c r="E136" s="55" t="n">
        <v>20</v>
      </c>
      <c r="F136" s="56" t="n">
        <v>0.9400000000000001</v>
      </c>
      <c r="G136" s="12" t="n">
        <v>0.05999999999999994</v>
      </c>
      <c r="H136" s="55" t="n">
        <v>37.6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إدارة المشاريع</t>
        </is>
      </c>
      <c r="M136" s="57" t="n"/>
    </row>
    <row r="137">
      <c r="A137" s="15" t="n">
        <v>135</v>
      </c>
      <c r="B137" s="13" t="inlineStr">
        <is>
          <t>الإدارة القانونية</t>
        </is>
      </c>
      <c r="C137" s="21" t="inlineStr">
        <is>
          <t>متوسط زمن إغلاق قضية التحقيق</t>
        </is>
      </c>
      <c r="D137" s="55" t="n">
        <v>31.9</v>
      </c>
      <c r="E137" s="55" t="n">
        <v>30</v>
      </c>
      <c r="F137" s="56" t="n">
        <v>0.9404388714733543</v>
      </c>
      <c r="G137" s="12" t="n">
        <v>0.05956112852664575</v>
      </c>
      <c r="H137" s="55" t="n">
        <v>31.9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المدير القانوني</t>
        </is>
      </c>
      <c r="M137" s="57" t="n"/>
    </row>
    <row r="138">
      <c r="A138" s="15" t="n">
        <v>136</v>
      </c>
      <c r="B138" s="13" t="inlineStr">
        <is>
          <t>سلاسل الإمداد</t>
        </is>
      </c>
      <c r="C138" s="21" t="inlineStr">
        <is>
          <t>نسبة تغطية مخزون الوقود بالأيام</t>
        </is>
      </c>
      <c r="D138" s="55" t="n">
        <v>4.706</v>
      </c>
      <c r="E138" s="55" t="n">
        <v>5</v>
      </c>
      <c r="F138" s="56" t="n">
        <v>0.9412</v>
      </c>
      <c r="G138" s="12" t="n">
        <v>0.05879999999999996</v>
      </c>
      <c r="H138" s="55" t="n">
        <v>4.706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سلاسل الإمداد</t>
        </is>
      </c>
      <c r="M138" s="57" t="n"/>
    </row>
    <row r="139">
      <c r="A139" s="15" t="n">
        <v>137</v>
      </c>
      <c r="B139" s="13" t="inlineStr">
        <is>
          <t>الصيانة والأتمتة</t>
        </is>
      </c>
      <c r="C139" s="21" t="inlineStr">
        <is>
          <t>نسبة استمرارية تشغيل المحطات دون توقف فني</t>
        </is>
      </c>
      <c r="D139" s="55" t="n">
        <v>0.9320000000000001</v>
      </c>
      <c r="E139" s="55" t="n">
        <v>0.99</v>
      </c>
      <c r="F139" s="56" t="n">
        <v>0.9414141414141415</v>
      </c>
      <c r="G139" s="12" t="n">
        <v>0.05858585858585852</v>
      </c>
      <c r="H139" s="55" t="n">
        <v>0.9320000000000001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الصيانة والأتمتة</t>
        </is>
      </c>
      <c r="M139" s="57" t="n"/>
    </row>
    <row r="140">
      <c r="A140" s="15" t="n">
        <v>138</v>
      </c>
      <c r="B140" s="13" t="inlineStr">
        <is>
          <t>الاستثمار</t>
        </is>
      </c>
      <c r="C140" s="21" t="inlineStr">
        <is>
          <t>سرعة إنجاز إجراءات التعاقد</t>
        </is>
      </c>
      <c r="D140" s="55" t="n">
        <v>1.061</v>
      </c>
      <c r="E140" s="55" t="n">
        <v>1</v>
      </c>
      <c r="F140" s="56" t="n">
        <v>0.942507068803016</v>
      </c>
      <c r="G140" s="12" t="n">
        <v>0.05749293119698395</v>
      </c>
      <c r="H140" s="55" t="n">
        <v>1.061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الاستثمار</t>
        </is>
      </c>
      <c r="M140" s="57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نسبة العقود على الطرق الإقليمية</t>
        </is>
      </c>
      <c r="D141" s="55" t="n">
        <v>0.236</v>
      </c>
      <c r="E141" s="55" t="n">
        <v>0.25</v>
      </c>
      <c r="F141" s="56" t="n">
        <v>0.944</v>
      </c>
      <c r="G141" s="12" t="n">
        <v>0.05600000000000005</v>
      </c>
      <c r="H141" s="55" t="n">
        <v>0.236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7" t="n"/>
    </row>
    <row r="142">
      <c r="A142" s="15" t="n">
        <v>140</v>
      </c>
      <c r="B142" s="13" t="inlineStr">
        <is>
          <t>التسويق</t>
        </is>
      </c>
      <c r="C142" s="21" t="inlineStr">
        <is>
          <t>وصول محتوى تطبيق تانكي</t>
        </is>
      </c>
      <c r="D142" s="55" t="n">
        <v>946380</v>
      </c>
      <c r="E142" s="55" t="n">
        <v>1000000</v>
      </c>
      <c r="F142" s="56" t="n">
        <v>0.94638</v>
      </c>
      <c r="G142" s="12" t="n">
        <v>0.05362</v>
      </c>
      <c r="H142" s="55" t="n">
        <v>946380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التسويق</t>
        </is>
      </c>
      <c r="M142" s="57" t="n"/>
    </row>
    <row r="143">
      <c r="A143" s="15" t="n">
        <v>141</v>
      </c>
      <c r="B143" s="13" t="inlineStr">
        <is>
          <t>الامتياز التجاري</t>
        </is>
      </c>
      <c r="C143" s="21" t="inlineStr">
        <is>
          <t>نسبة استدامة أصحاب الامتياز (Retention)</t>
        </is>
      </c>
      <c r="D143" s="55" t="n">
        <v>0.853</v>
      </c>
      <c r="E143" s="55" t="n">
        <v>0.9</v>
      </c>
      <c r="F143" s="56" t="n">
        <v>0.9477777777777777</v>
      </c>
      <c r="G143" s="12" t="n">
        <v>0.05222222222222228</v>
      </c>
      <c r="H143" s="55" t="n">
        <v>0.853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الامتياز</t>
        </is>
      </c>
      <c r="M143" s="57" t="n"/>
    </row>
    <row r="144">
      <c r="A144" s="15" t="n">
        <v>142</v>
      </c>
      <c r="B144" s="13" t="inlineStr">
        <is>
          <t>الإدارة المالية</t>
        </is>
      </c>
      <c r="C144" s="21" t="inlineStr">
        <is>
          <t>أيام تحصيل رسوم الامتياز</t>
        </is>
      </c>
      <c r="D144" s="55" t="n">
        <v>15.8</v>
      </c>
      <c r="E144" s="55" t="n">
        <v>15</v>
      </c>
      <c r="F144" s="56" t="n">
        <v>0.9493670886075949</v>
      </c>
      <c r="G144" s="12" t="n">
        <v>0.05063291139240511</v>
      </c>
      <c r="H144" s="55" t="n">
        <v>15.8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المدير المالي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جاهزية وتغطية عمالة المحطات حسب خطة التشغيل والافتتاحات</t>
        </is>
      </c>
      <c r="D145" s="55" t="n">
        <v>0.903</v>
      </c>
      <c r="E145" s="55" t="n">
        <v>0.95</v>
      </c>
      <c r="F145" s="56" t="n">
        <v>0.9505263157894738</v>
      </c>
      <c r="G145" s="12" t="n">
        <v>0.04947368421052623</v>
      </c>
      <c r="H145" s="55" t="n">
        <v>0.903</v>
      </c>
      <c r="I145" s="15" t="inlineStr">
        <is>
          <t>🔴 تحت الهدف</t>
        </is>
      </c>
      <c r="J145" s="11" t="inlineStr">
        <is>
          <t>انحراف جوهري — أولوية عاجلة.</t>
        </is>
      </c>
      <c r="K145" s="11" t="inlineStr">
        <is>
          <t>إجراء تصحيحي خلال 30 يوماً.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سلاسل الإمداد</t>
        </is>
      </c>
      <c r="C146" s="21" t="inlineStr">
        <is>
          <t>نسبة جاهزية الإمداد للمحطات الجديدة وخطط الافتتاح</t>
        </is>
      </c>
      <c r="D146" s="55" t="n">
        <v>0.952</v>
      </c>
      <c r="E146" s="55" t="n">
        <v>1</v>
      </c>
      <c r="F146" s="56" t="n">
        <v>0.952</v>
      </c>
      <c r="G146" s="12" t="n">
        <v>0.04800000000000004</v>
      </c>
      <c r="H146" s="55" t="n">
        <v>0.952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سلاسل الإمداد</t>
        </is>
      </c>
      <c r="M146" s="57" t="n"/>
    </row>
    <row r="147">
      <c r="A147" s="15" t="n">
        <v>145</v>
      </c>
      <c r="B147" s="13" t="inlineStr">
        <is>
          <t>الامتياز التجاري</t>
        </is>
      </c>
      <c r="C147" s="21" t="inlineStr">
        <is>
          <t>عدد عقود الامتياز الجديدة الموقّعة</t>
        </is>
      </c>
      <c r="D147" s="55" t="n">
        <v>159.2</v>
      </c>
      <c r="E147" s="55" t="n">
        <v>167</v>
      </c>
      <c r="F147" s="56" t="n">
        <v>0.9532934131736527</v>
      </c>
      <c r="G147" s="12" t="n">
        <v>0.04670658682634732</v>
      </c>
      <c r="H147" s="55" t="n">
        <v>318.4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الامتياز</t>
        </is>
      </c>
      <c r="M147" s="57" t="n"/>
    </row>
    <row r="148">
      <c r="A148" s="15" t="n">
        <v>146</v>
      </c>
      <c r="B148" s="13" t="inlineStr">
        <is>
          <t>إدارة المشاريع</t>
        </is>
      </c>
      <c r="C148" s="21" t="inlineStr">
        <is>
          <t>نسبة الالتزام بالميزانية المعتمدة</t>
        </is>
      </c>
      <c r="D148" s="55" t="n">
        <v>0.96</v>
      </c>
      <c r="E148" s="55" t="n">
        <v>1</v>
      </c>
      <c r="F148" s="56" t="n">
        <v>0.96</v>
      </c>
      <c r="G148" s="12" t="n">
        <v>0.04000000000000004</v>
      </c>
      <c r="H148" s="55" t="n">
        <v>0.96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إدارة المشاريع</t>
        </is>
      </c>
      <c r="M148" s="57" t="n"/>
    </row>
    <row r="149">
      <c r="A149" s="15" t="n">
        <v>147</v>
      </c>
      <c r="B149" s="13" t="inlineStr">
        <is>
          <t>الاستثمار</t>
        </is>
      </c>
      <c r="C149" s="21" t="inlineStr">
        <is>
          <t>نسبة إنجاز التقارير الدورية في موعدها</t>
        </is>
      </c>
      <c r="D149" s="55" t="n">
        <v>0.961</v>
      </c>
      <c r="E149" s="55" t="n">
        <v>1</v>
      </c>
      <c r="F149" s="56" t="n">
        <v>0.961</v>
      </c>
      <c r="G149" s="12" t="n">
        <v>0.03900000000000003</v>
      </c>
      <c r="H149" s="55" t="n">
        <v>0.961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الاستثمار</t>
        </is>
      </c>
      <c r="M149" s="57" t="n"/>
    </row>
    <row r="150">
      <c r="A150" s="15" t="n">
        <v>148</v>
      </c>
      <c r="B150" s="13" t="inlineStr">
        <is>
          <t>العقار</t>
        </is>
      </c>
      <c r="C150" s="21" t="inlineStr">
        <is>
          <t>علامات تجارية جديدة (ساحة درب)</t>
        </is>
      </c>
      <c r="D150" s="55" t="n">
        <v>5.769</v>
      </c>
      <c r="E150" s="55" t="n">
        <v>6</v>
      </c>
      <c r="F150" s="56" t="n">
        <v>0.9615</v>
      </c>
      <c r="G150" s="12" t="n">
        <v>0.03849999999999998</v>
      </c>
      <c r="H150" s="55" t="n">
        <v>11.538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العقار</t>
        </is>
      </c>
      <c r="M150" s="57" t="n"/>
    </row>
    <row r="151">
      <c r="A151" s="15" t="n">
        <v>149</v>
      </c>
      <c r="B151" s="13" t="inlineStr">
        <is>
          <t>إدارة المشاريع</t>
        </is>
      </c>
      <c r="C151" s="21" t="inlineStr">
        <is>
          <t>عدد مخالفات المقاولين (سنوي)</t>
        </is>
      </c>
      <c r="D151" s="55" t="n">
        <v>10.4</v>
      </c>
      <c r="E151" s="55" t="n">
        <v>10</v>
      </c>
      <c r="F151" s="56" t="n">
        <v>0.9615384615384615</v>
      </c>
      <c r="G151" s="12" t="n">
        <v>0.03846153846153855</v>
      </c>
      <c r="H151" s="55" t="n">
        <v>20.8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إدارة المشاريع</t>
        </is>
      </c>
      <c r="M151" s="57" t="n"/>
    </row>
    <row r="152">
      <c r="A152" s="15" t="n">
        <v>150</v>
      </c>
      <c r="B152" s="13" t="inlineStr">
        <is>
          <t>الاستثمار</t>
        </is>
      </c>
      <c r="C152" s="21" t="inlineStr">
        <is>
          <t>نسبة العقود في الـ12 مدينة الرئيسية</t>
        </is>
      </c>
      <c r="D152" s="55" t="n">
        <v>0.415</v>
      </c>
      <c r="E152" s="55" t="n">
        <v>0.4</v>
      </c>
      <c r="F152" s="56" t="n">
        <v>0.9638554216867471</v>
      </c>
      <c r="G152" s="12" t="n">
        <v>0.03614457831325291</v>
      </c>
      <c r="H152" s="55" t="n">
        <v>0.415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الاستثمار</t>
        </is>
      </c>
      <c r="M152" s="57" t="n"/>
    </row>
    <row r="153">
      <c r="A153" s="15" t="n">
        <v>151</v>
      </c>
      <c r="B153" s="13" t="inlineStr">
        <is>
          <t>الموارد البشرية</t>
        </is>
      </c>
      <c r="C153" s="21" t="inlineStr">
        <is>
          <t>نسبة كفاءة تكلفة القوى العاملة</t>
        </is>
      </c>
      <c r="D153" s="55" t="n">
        <v>0.917</v>
      </c>
      <c r="E153" s="55" t="n">
        <v>0.95</v>
      </c>
      <c r="F153" s="56" t="n">
        <v>0.9652631578947369</v>
      </c>
      <c r="G153" s="12" t="n">
        <v>0.03473684210526307</v>
      </c>
      <c r="H153" s="55" t="n">
        <v>0.917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الموارد البشرية</t>
        </is>
      </c>
      <c r="M153" s="57" t="n"/>
    </row>
    <row r="154">
      <c r="A154" s="15" t="n">
        <v>152</v>
      </c>
      <c r="B154" s="13" t="inlineStr">
        <is>
          <t>إدارة المشاريع</t>
        </is>
      </c>
      <c r="C154" s="21" t="inlineStr">
        <is>
          <t>نسبة إنجاز محفظة مشاريع التوسع</t>
        </is>
      </c>
      <c r="D154" s="55" t="n">
        <v>0.676</v>
      </c>
      <c r="E154" s="55" t="n">
        <v>0.7</v>
      </c>
      <c r="F154" s="56" t="n">
        <v>0.9657142857142859</v>
      </c>
      <c r="G154" s="12" t="n">
        <v>0.03428571428571414</v>
      </c>
      <c r="H154" s="55" t="n">
        <v>0.676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إدارة المشاريع</t>
        </is>
      </c>
      <c r="M154" s="57" t="n"/>
    </row>
    <row r="155">
      <c r="A155" s="15" t="n">
        <v>153</v>
      </c>
      <c r="B155" s="13" t="inlineStr">
        <is>
          <t>الامتياز التجاري</t>
        </is>
      </c>
      <c r="C155" s="21" t="inlineStr">
        <is>
          <t>نسبة حل الشكاوى خلال المدة المحددة</t>
        </is>
      </c>
      <c r="D155" s="55" t="n">
        <v>0.922</v>
      </c>
      <c r="E155" s="55" t="n">
        <v>0.95</v>
      </c>
      <c r="F155" s="56" t="n">
        <v>0.9705263157894738</v>
      </c>
      <c r="G155" s="12" t="n">
        <v>0.02947368421052621</v>
      </c>
      <c r="H155" s="55" t="n">
        <v>0.922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الامتياز</t>
        </is>
      </c>
      <c r="M155" s="57" t="n"/>
    </row>
    <row r="156">
      <c r="A156" s="15" t="n">
        <v>154</v>
      </c>
      <c r="B156" s="13" t="inlineStr">
        <is>
          <t>الإدارة التنفيذية</t>
        </is>
      </c>
      <c r="C156" s="21" t="inlineStr">
        <is>
          <t>إجمالي العقود الجديدة — الشركة</t>
        </is>
      </c>
      <c r="D156" s="55" t="n">
        <v>346.6</v>
      </c>
      <c r="E156" s="55" t="n">
        <v>357</v>
      </c>
      <c r="F156" s="56" t="n">
        <v>0.9708683473389357</v>
      </c>
      <c r="G156" s="12" t="n">
        <v>0.02913165266106432</v>
      </c>
      <c r="H156" s="55" t="n">
        <v>693.2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الرئيس التنفيذي</t>
        </is>
      </c>
      <c r="M156" s="57" t="n"/>
    </row>
    <row r="157">
      <c r="A157" s="15" t="n">
        <v>155</v>
      </c>
      <c r="B157" s="13" t="inlineStr">
        <is>
          <t>الاستثمار</t>
        </is>
      </c>
      <c r="C157" s="21" t="inlineStr">
        <is>
          <t>نسبة اكتمال أرشفة ملفات العملاء</t>
        </is>
      </c>
      <c r="D157" s="55" t="n">
        <v>0.972</v>
      </c>
      <c r="E157" s="55" t="n">
        <v>1</v>
      </c>
      <c r="F157" s="56" t="n">
        <v>0.972</v>
      </c>
      <c r="G157" s="12" t="n">
        <v>0.02800000000000002</v>
      </c>
      <c r="H157" s="55" t="n">
        <v>0.972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الاستثمار</t>
        </is>
      </c>
      <c r="M157" s="57" t="n"/>
    </row>
    <row r="158">
      <c r="A158" s="15" t="n">
        <v>156</v>
      </c>
      <c r="B158" s="13" t="inlineStr">
        <is>
          <t>الإدارة القانونية</t>
        </is>
      </c>
      <c r="C158" s="21" t="inlineStr">
        <is>
          <t>نسبة العقود الخالية من الملاحظات والمخاطر القانونية</t>
        </is>
      </c>
      <c r="D158" s="55" t="n">
        <v>0.924</v>
      </c>
      <c r="E158" s="55" t="n">
        <v>0.95</v>
      </c>
      <c r="F158" s="56" t="n">
        <v>0.9726315789473685</v>
      </c>
      <c r="G158" s="12" t="n">
        <v>0.02736842105263149</v>
      </c>
      <c r="H158" s="55" t="n">
        <v>0.924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القانوني</t>
        </is>
      </c>
      <c r="M158" s="57" t="n"/>
    </row>
    <row r="159">
      <c r="A159" s="15" t="n">
        <v>157</v>
      </c>
      <c r="B159" s="13" t="inlineStr">
        <is>
          <t>الإدارة المالية</t>
        </is>
      </c>
      <c r="C159" s="21" t="inlineStr">
        <is>
          <t>اكتمال مطابقة حسابات الموردين</t>
        </is>
      </c>
      <c r="D159" s="55" t="n">
        <v>0.926</v>
      </c>
      <c r="E159" s="55" t="n">
        <v>0.95</v>
      </c>
      <c r="F159" s="56" t="n">
        <v>0.9747368421052632</v>
      </c>
      <c r="G159" s="12" t="n">
        <v>0.02526315789473677</v>
      </c>
      <c r="H159" s="55" t="n">
        <v>0.926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المالي</t>
        </is>
      </c>
      <c r="M159" s="57" t="n"/>
    </row>
    <row r="160">
      <c r="A160" s="15" t="n">
        <v>158</v>
      </c>
      <c r="B160" s="13" t="inlineStr">
        <is>
          <t>سلاسل الإمداد</t>
        </is>
      </c>
      <c r="C160" s="21" t="inlineStr">
        <is>
          <t>كفاءة إدارة الموردين</t>
        </is>
      </c>
      <c r="D160" s="55" t="n">
        <v>0.881</v>
      </c>
      <c r="E160" s="55" t="n">
        <v>0.9</v>
      </c>
      <c r="F160" s="56" t="n">
        <v>0.9788888888888889</v>
      </c>
      <c r="G160" s="12" t="n">
        <v>0.02111111111111108</v>
      </c>
      <c r="H160" s="55" t="n">
        <v>0.881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سلاسل الإمداد</t>
        </is>
      </c>
      <c r="M160" s="57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نسبة إنجاز أوامر الشراء خلال المدة المستهدفة</t>
        </is>
      </c>
      <c r="D161" s="55" t="n">
        <v>0.9320000000000001</v>
      </c>
      <c r="E161" s="55" t="n">
        <v>0.95</v>
      </c>
      <c r="F161" s="56" t="n">
        <v>0.9810526315789475</v>
      </c>
      <c r="G161" s="12" t="n">
        <v>0.01894736842105249</v>
      </c>
      <c r="H161" s="55" t="n">
        <v>0.9320000000000001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7" t="n"/>
    </row>
    <row r="162">
      <c r="A162" s="15" t="n">
        <v>160</v>
      </c>
      <c r="B162" s="13" t="inlineStr">
        <is>
          <t>التشغيل والمحطات</t>
        </is>
      </c>
      <c r="C162" s="21" t="inlineStr">
        <is>
          <t>نسبة المضخات العاملة</t>
        </is>
      </c>
      <c r="D162" s="55" t="n">
        <v>0.953</v>
      </c>
      <c r="E162" s="55" t="n">
        <v>0.97</v>
      </c>
      <c r="F162" s="56" t="n">
        <v>0.9824742268041237</v>
      </c>
      <c r="G162" s="12" t="n">
        <v>0.01752577319587634</v>
      </c>
      <c r="H162" s="55" t="n">
        <v>0.953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التشغيل</t>
        </is>
      </c>
      <c r="M162" s="57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تطبيق المعيار الشامل في المحطات</t>
        </is>
      </c>
      <c r="D163" s="55" t="n">
        <v>0.787</v>
      </c>
      <c r="E163" s="55" t="n">
        <v>0.8</v>
      </c>
      <c r="F163" s="56" t="n">
        <v>0.98375</v>
      </c>
      <c r="G163" s="12" t="n">
        <v>0.01624999999999999</v>
      </c>
      <c r="H163" s="55" t="n">
        <v>0.787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7" t="n"/>
    </row>
    <row r="164">
      <c r="A164" s="15" t="n">
        <v>162</v>
      </c>
      <c r="B164" s="13" t="inlineStr">
        <is>
          <t>التقنية الرقمية</t>
        </is>
      </c>
      <c r="C164" s="21" t="inlineStr">
        <is>
          <t>نسبة إنجاز مشاريع التحول الرقمي والمشاريع التقنية حسب الخطة</t>
        </is>
      </c>
      <c r="D164" s="55" t="n">
        <v>0.89</v>
      </c>
      <c r="E164" s="55" t="n">
        <v>0.9</v>
      </c>
      <c r="F164" s="56" t="n">
        <v>0.9888888888888889</v>
      </c>
      <c r="G164" s="12" t="n">
        <v>0.01111111111111107</v>
      </c>
      <c r="H164" s="55" t="n">
        <v>0.89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التقنية</t>
        </is>
      </c>
      <c r="M164" s="57" t="n"/>
    </row>
    <row r="165">
      <c r="A165" s="15" t="n">
        <v>163</v>
      </c>
      <c r="B165" s="13" t="inlineStr">
        <is>
          <t>الإدارة المالية</t>
        </is>
      </c>
      <c r="C165" s="21" t="inlineStr">
        <is>
          <t>انحراف الموازنة</t>
        </is>
      </c>
      <c r="D165" s="55" t="n">
        <v>0.101</v>
      </c>
      <c r="E165" s="55" t="n">
        <v>0.1</v>
      </c>
      <c r="F165" s="56" t="n">
        <v>0.9900990099009901</v>
      </c>
      <c r="G165" s="12" t="n">
        <v>0.00990099009900991</v>
      </c>
      <c r="H165" s="55" t="n">
        <v>0.101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المدير المالي</t>
        </is>
      </c>
      <c r="M165" s="57" t="n"/>
    </row>
    <row r="166">
      <c r="A166" s="15" t="n">
        <v>164</v>
      </c>
      <c r="B166" s="13" t="inlineStr">
        <is>
          <t>الصيانة والأتمتة</t>
        </is>
      </c>
      <c r="C166" s="21" t="inlineStr">
        <is>
          <t>نسبة استعادة أنظمة الأتمتة ضمن الزمن المحدد</t>
        </is>
      </c>
      <c r="D166" s="55" t="n">
        <v>0.9419999999999999</v>
      </c>
      <c r="E166" s="55" t="n">
        <v>0.95</v>
      </c>
      <c r="F166" s="56" t="n">
        <v>0.991578947368421</v>
      </c>
      <c r="G166" s="12" t="n">
        <v>0.008421052631578996</v>
      </c>
      <c r="H166" s="55" t="n">
        <v>0.9419999999999999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مدير الصيانة والأتمتة</t>
        </is>
      </c>
      <c r="M166" s="57" t="n"/>
    </row>
    <row r="167">
      <c r="A167" s="15" t="n">
        <v>165</v>
      </c>
      <c r="B167" s="13" t="inlineStr">
        <is>
          <t>الجودة</t>
        </is>
      </c>
      <c r="C167" s="21" t="inlineStr">
        <is>
          <t>نسبة اكتمال وتحديث الإجراءات المعتمدة</t>
        </is>
      </c>
      <c r="D167" s="55" t="n">
        <v>0.944</v>
      </c>
      <c r="E167" s="55" t="n">
        <v>0.95</v>
      </c>
      <c r="F167" s="56" t="n">
        <v>0.9936842105263158</v>
      </c>
      <c r="G167" s="12" t="n">
        <v>0.006315789473684164</v>
      </c>
      <c r="H167" s="55" t="n">
        <v>0.944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الجودة</t>
        </is>
      </c>
      <c r="M167" s="57" t="n"/>
    </row>
    <row r="168">
      <c r="A168" s="15" t="n">
        <v>166</v>
      </c>
      <c r="B168" s="13" t="inlineStr">
        <is>
          <t>الامتياز التجاري</t>
        </is>
      </c>
      <c r="C168" s="21" t="inlineStr">
        <is>
          <t>نسبة تطبيق المعيار الشامل داخل المحطات</t>
        </is>
      </c>
      <c r="D168" s="55" t="n">
        <v>0.299</v>
      </c>
      <c r="E168" s="55" t="n">
        <v>0.3</v>
      </c>
      <c r="F168" s="56" t="n">
        <v>0.9966666666666667</v>
      </c>
      <c r="G168" s="12" t="n">
        <v>0.003333333333333299</v>
      </c>
      <c r="H168" s="55" t="n">
        <v>0.299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الامتياز</t>
        </is>
      </c>
      <c r="M168" s="57" t="n"/>
    </row>
  </sheetData>
  <autoFilter ref="A2:M168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2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5" t="inlineStr">
        <is>
          <t>↑</t>
        </is>
      </c>
      <c r="G15" s="60" t="n">
        <v>167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IF(COUNT($H15:$S15)=0,"",SUM($H15:$S15))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IF($G15="","",$G15*COUNT($H15:$S15)/12)</f>
        <v/>
      </c>
      <c r="X15" s="59">
        <f>IF($U15="","—",IF($U15&gt;=COUNT($H15:$S15)/12,"🟢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5" t="inlineStr">
        <is>
          <t>↑</t>
        </is>
      </c>
      <c r="G18" s="55" t="n"/>
      <c r="H18" s="71" t="n"/>
      <c r="I18" s="71" t="n"/>
      <c r="J18" s="71" t="n"/>
      <c r="K18" s="71" t="n"/>
      <c r="L18" s="71" t="n"/>
      <c r="M18" s="71" t="n"/>
      <c r="N18" s="71" t="n"/>
      <c r="O18" s="71" t="n"/>
      <c r="P18" s="71" t="n"/>
      <c r="Q18" s="71" t="n"/>
      <c r="R18" s="71" t="n"/>
      <c r="S18" s="71" t="n"/>
      <c r="T18" s="72">
        <f>IF(COUNT($H18:$S18)=0,"",SUM($H18:$S18))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3">
        <f>IF($G18="","",$G18*COUNT($H18:$S18)/12)</f>
        <v/>
      </c>
      <c r="X18" s="59">
        <f>IF($U18="","—",IF($U18&gt;=COUNT($H18:$S18)/12,"🟢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5" t="inlineStr">
        <is>
          <t>↓</t>
        </is>
      </c>
      <c r="G22" s="55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  <c r="R22" s="71" t="n"/>
      <c r="S22" s="71" t="n"/>
      <c r="T22" s="72">
        <f>IFERROR(LOOKUP(2,1/($H22:$S22&lt;&gt;""),$H22:$S22),"")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3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↓</t>
        </is>
      </c>
      <c r="G24" s="67" t="n">
        <v>5</v>
      </c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9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70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إغلاق ملاحظات الجودة الميدانية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0.95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متوسط درجة تقييم جودة المحطة (قائمة التحقق)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7" t="n">
        <v>85</v>
      </c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9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70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تنفيذ الزيارات الميدانية المجدولة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66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المحطات المستوفية لمعايير السلامة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محقق",IF($U29&gt;=0.97,"🟡 قريب","🔴 تحت الهدف")))</f>
        <v/>
      </c>
      <c r="W29" s="66">
        <f>IF($G29="","",$G29)</f>
        <v/>
      </c>
      <c r="X29" s="59">
        <f>IF($U29="","—",IF($U29&gt;=0.97,"🟢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متوسط وقت معالجة البلاغات التشغيلية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↓</t>
        </is>
      </c>
      <c r="G30" s="67" t="n">
        <v>24</v>
      </c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9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70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أتمتة محطات الامتياز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0.9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تطبيق المعيار الشامل داخل المحطات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0.3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التزام المحطات بالهوية المؤسسية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0.55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متوسط تقييم المحطات على خرائط قوقل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7" t="n">
        <v>4.7</v>
      </c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9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70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معدل رضا شركاء الامتياز (CSAT)</t>
        </is>
      </c>
      <c r="D35" s="15" t="inlineStr">
        <is>
          <t>ربعي</t>
        </is>
      </c>
      <c r="E35" s="15" t="inlineStr">
        <is>
          <t>معدل</t>
        </is>
      </c>
      <c r="F35" s="55" t="inlineStr">
        <is>
          <t>↑</t>
        </is>
      </c>
      <c r="G35" s="64" t="n">
        <v>0.9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هدف",IF($U35&gt;=0.9,"✅ محقق",IF($U35&gt;=0.75,"🟡 قريب","🔴 تحت الهدف")))</f>
        <v/>
      </c>
      <c r="W35" s="66">
        <f>IF($G35="","",$G35)</f>
        <v/>
      </c>
      <c r="X35" s="59">
        <f>IF($U35="","—",IF($U35&gt;=0.75,"🟢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حل الشكاوى خلال المدة المحددة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0.95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انخفاض الشكاوى التشغيلية والإدارية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0.3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استدامة أصحاب الامتياز (Retention)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0.9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زيادة عدد أصحاب الامتياز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1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متوسط مدة إغلاق عقد الامتياز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↓</t>
        </is>
      </c>
      <c r="G40" s="67" t="n">
        <v>1</v>
      </c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9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70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الامتياز التجاري</t>
        </is>
      </c>
      <c r="C41" s="11" t="inlineStr">
        <is>
          <t>نسبة التحصيل خلال 5 أيام عمل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عدد المحطات المشغّلة (تراكمي)</t>
        </is>
      </c>
      <c r="D42" s="15" t="inlineStr">
        <is>
          <t>شهري</t>
        </is>
      </c>
      <c r="E42" s="15" t="inlineStr">
        <is>
          <t>لقطة</t>
        </is>
      </c>
      <c r="F42" s="55" t="inlineStr">
        <is>
          <t>↑</t>
        </is>
      </c>
      <c r="G42" s="60" t="n">
        <v>85</v>
      </c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2">
        <f>IFERROR(LOOKUP(2,1/($H42:$S42&lt;&gt;""),$H42:$S42),"")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3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نمو مبيعات بنزين 91 مقارنة بالعام السابق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0.1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بنزين 95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نمو مبيعات بنزين 98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0.1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نمو مبيعات الديزل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0.1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جاهزية المحطة الشاملة (Uptime)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0.99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66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المضخات العاملة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0.97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تكلفة التشغيل لكل لتر مباع</t>
        </is>
      </c>
      <c r="D49" s="15" t="inlineStr">
        <is>
          <t>ربعي</t>
        </is>
      </c>
      <c r="E49" s="15" t="inlineStr">
        <is>
          <t>معدل</t>
        </is>
      </c>
      <c r="F49" s="55" t="inlineStr">
        <is>
          <t>↓</t>
        </is>
      </c>
      <c r="G49" s="55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نسبة الصيانة الوقائية المنفذة في موعدها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4" t="n">
        <v>0.95</v>
      </c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56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6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انخفاض الشكاوى مقارنة بالشهر السابق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0.2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تقييم Google Maps للمحطات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7" t="n">
        <v>4.5</v>
      </c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9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70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سرعة تعبئة الوقود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↓</t>
        </is>
      </c>
      <c r="G53" s="67" t="n">
        <v>3</v>
      </c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9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70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دقة التعبئة بدون أخطاء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0.99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محقق",IF($U54&gt;=0.97,"🟡 قريب","🔴 تحت الهدف")))</f>
        <v/>
      </c>
      <c r="W54" s="66">
        <f>IF($G54="","",$G54)</f>
        <v/>
      </c>
      <c r="X54" s="59">
        <f>IF($U54="","—",IF($U54&gt;=0.97,"🟢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تطبيق المعيار الشامل في المحطات</t>
        </is>
      </c>
      <c r="D55" s="15" t="inlineStr">
        <is>
          <t>شهري</t>
        </is>
      </c>
      <c r="E55" s="15" t="inlineStr">
        <is>
          <t>لقطة</t>
        </is>
      </c>
      <c r="F55" s="55" t="inlineStr">
        <is>
          <t>↑</t>
        </is>
      </c>
      <c r="G55" s="64" t="n">
        <v>0.8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IFERROR(LOOKUP(2,1/($H55:$S55&lt;&gt;""),$H55:$S55),"")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6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الالتزام بمعايير السلامة داخل المحطة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1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محقق",IF($U56&gt;=0.97,"🟡 قريب","🔴 تحت الهدف")))</f>
        <v/>
      </c>
      <c r="W56" s="66">
        <f>IF($G56="","",$G56)</f>
        <v/>
      </c>
      <c r="X56" s="59">
        <f>IF($U56="","—",IF($U56&gt;=0.97,"🟢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التشجير داخل المحطة (معيار الوزارة)</t>
        </is>
      </c>
      <c r="D57" s="15" t="inlineStr">
        <is>
          <t>شهري</t>
        </is>
      </c>
      <c r="E57" s="15" t="inlineStr">
        <is>
          <t>لقطة</t>
        </is>
      </c>
      <c r="F57" s="55" t="inlineStr">
        <is>
          <t>↑</t>
        </is>
      </c>
      <c r="G57" s="64" t="n">
        <v>1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IFERROR(LOOKUP(2,1/($H57:$S57&lt;&gt;""),$H57:$S57),"")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عقود الاستثمار العادي الجديدة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عقود الاستحواذ الجديدة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100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المحطات المستحوَذ عليها المشغّلة (تراكمي)</t>
        </is>
      </c>
      <c r="D60" s="15" t="inlineStr">
        <is>
          <t>شهري</t>
        </is>
      </c>
      <c r="E60" s="15" t="inlineStr">
        <is>
          <t>لقطة</t>
        </is>
      </c>
      <c r="F60" s="55" t="inlineStr">
        <is>
          <t>↑</t>
        </is>
      </c>
      <c r="G60" s="60" t="n">
        <v>120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IFERROR(LOOKUP(2,1/($H60:$S60&lt;&gt;""),$H60:$S60),"")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عقود تأجير الأرض الجديدة</t>
        </is>
      </c>
      <c r="D61" s="15" t="inlineStr">
        <is>
          <t>شهري</t>
        </is>
      </c>
      <c r="E61" s="15" t="inlineStr">
        <is>
          <t>تراكمي</t>
        </is>
      </c>
      <c r="F61" s="55" t="inlineStr">
        <is>
          <t>↑</t>
        </is>
      </c>
      <c r="G61" s="60" t="n">
        <v>11</v>
      </c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62">
        <f>IF(COUNT($H61:$S61)=0,"",SUM($H61:$S61))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3">
        <f>IF($G61="","",$G61*COUNT($H61:$S61)/12)</f>
        <v/>
      </c>
      <c r="X61" s="59">
        <f>IF($U61="","—",IF($U61&gt;=COUNT($H61:$S61)/12,"🟢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عقود إيجار المحطة الجديدة</t>
        </is>
      </c>
      <c r="D62" s="15" t="inlineStr">
        <is>
          <t>شهري</t>
        </is>
      </c>
      <c r="E62" s="15" t="inlineStr">
        <is>
          <t>تراكمي</t>
        </is>
      </c>
      <c r="F62" s="55" t="inlineStr">
        <is>
          <t>↑</t>
        </is>
      </c>
      <c r="G62" s="60" t="n">
        <v>12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IF(COUNT($H62:$S62)=0,"",SUM($H62:$S62))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IF($G62="","",$G62*COUNT($H62:$S62)/12)</f>
        <v/>
      </c>
      <c r="X62" s="59">
        <f>IF($U62="","—",IF($U62&gt;=COUNT($H62:$S62)/12,"🟢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عقود تشغيل المحطة الجديدة</t>
        </is>
      </c>
      <c r="D63" s="15" t="inlineStr">
        <is>
          <t>شهري</t>
        </is>
      </c>
      <c r="E63" s="15" t="inlineStr">
        <is>
          <t>تراكمي</t>
        </is>
      </c>
      <c r="F63" s="55" t="inlineStr">
        <is>
          <t>↑</t>
        </is>
      </c>
      <c r="G63" s="60" t="n">
        <v>68</v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2">
        <f>IF(COUNT($H63:$S63)=0,"",SUM($H63:$S63))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3">
        <f>IF($G63="","",$G63*COUNT($H63:$S63)/12)</f>
        <v/>
      </c>
      <c r="X63" s="59">
        <f>IF($U63="","—",IF($U63&gt;=COUNT($H63:$S63)/12,"🟢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المواقع المعتمدة ذات العائد المجدي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0.8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متوسط فترة استرداد رأس المال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↓</t>
        </is>
      </c>
      <c r="G65" s="67" t="n">
        <v>5</v>
      </c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9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70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متوسط قيمة عقد الإيجار السنوي (أرض)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55" t="n"/>
      <c r="H66" s="71" t="n"/>
      <c r="I66" s="71" t="n"/>
      <c r="J66" s="71" t="n"/>
      <c r="K66" s="71" t="n"/>
      <c r="L66" s="71" t="n"/>
      <c r="M66" s="71" t="n"/>
      <c r="N66" s="71" t="n"/>
      <c r="O66" s="71" t="n"/>
      <c r="P66" s="71" t="n"/>
      <c r="Q66" s="71" t="n"/>
      <c r="R66" s="71" t="n"/>
      <c r="S66" s="71" t="n"/>
      <c r="T66" s="72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73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نسبة العقود التي تغطي المناطق الـ13</t>
        </is>
      </c>
      <c r="D67" s="15" t="inlineStr">
        <is>
          <t>شهري</t>
        </is>
      </c>
      <c r="E67" s="15" t="inlineStr">
        <is>
          <t>لقطة</t>
        </is>
      </c>
      <c r="F67" s="55" t="inlineStr">
        <is>
          <t>↑</t>
        </is>
      </c>
      <c r="G67" s="64" t="n">
        <v>1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IFERROR(LOOKUP(2,1/($H67:$S67&lt;&gt;""),$H67:$S67),"")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نسبة العقود خارج المدن الرئيسية</t>
        </is>
      </c>
      <c r="D68" s="15" t="inlineStr">
        <is>
          <t>شهري</t>
        </is>
      </c>
      <c r="E68" s="15" t="inlineStr">
        <is>
          <t>لقطة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IFERROR(LOOKUP(2,1/($H68:$S68&lt;&gt;""),$H68:$S68),"")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العقود في الـ12 مدينة الرئيسية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↓</t>
        </is>
      </c>
      <c r="G69" s="64" t="n">
        <v>0.4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نسبة العقود على الطرق الإقليمية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4" t="n">
        <v>0.25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متوسط مدة إغلاق عقد الاستثمار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↓</t>
        </is>
      </c>
      <c r="G71" s="67" t="n">
        <v>1</v>
      </c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9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70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العقود المتحوّلة لمحطات مشغّلة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0.3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نسبة تخفيض إيجار المواقع عالية التكاليف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0.3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اكتمال المستندات النظامية قبل التوقيع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1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نسبة العقود المؤرشفة إلكترونياً خلال 48 ساعة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الاستثمار</t>
        </is>
      </c>
      <c r="C76" s="11" t="inlineStr">
        <is>
          <t>جودة التفاوض مع المستثمرين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0.98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الاستثمار</t>
        </is>
      </c>
      <c r="C77" s="11" t="inlineStr">
        <is>
          <t>سرعة إنجاز إجراءات التعاقد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7" t="n">
        <v>1</v>
      </c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9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70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الاستثمار</t>
        </is>
      </c>
      <c r="C78" s="11" t="inlineStr">
        <is>
          <t>مدى رضا المستثمرين وشركاء الاستثمار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الاستثمار</t>
        </is>
      </c>
      <c r="C79" s="11" t="inlineStr">
        <is>
          <t>نسبة اكتمال أرشفة ملفات العملاء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1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الاستثمار</t>
        </is>
      </c>
      <c r="C80" s="11" t="inlineStr">
        <is>
          <t>نسبة إنجاز التقارير الدورية في موعدها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1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نمو الإيرادات الإيجارية</t>
        </is>
      </c>
      <c r="D81" s="15" t="inlineStr">
        <is>
          <t>ربعي</t>
        </is>
      </c>
      <c r="E81" s="15" t="inlineStr">
        <is>
          <t>معدل</t>
        </is>
      </c>
      <c r="F81" s="55" t="inlineStr">
        <is>
          <t>↑</t>
        </is>
      </c>
      <c r="G81" s="64" t="n">
        <v>0.08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الالتزام بالعقود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1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نسبة تحصيل الإيجارات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0.95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نسبة الإشغال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0.6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الوحدات المؤجَّرة شهرياً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0" t="n">
        <v>68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العملاء المحتملون (LEADS)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0" t="n">
        <v>680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معدل التحويل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0.2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زيادة عدد العلامات التجارية</t>
        </is>
      </c>
      <c r="D88" s="15" t="inlineStr">
        <is>
          <t>شهري</t>
        </is>
      </c>
      <c r="E88" s="15" t="inlineStr">
        <is>
          <t>لقطة</t>
        </is>
      </c>
      <c r="F88" s="55" t="inlineStr">
        <is>
          <t>↑</t>
        </is>
      </c>
      <c r="G88" s="60" t="n">
        <v>246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IFERROR(LOOKUP(2,1/($H88:$S88&lt;&gt;""),$H88:$S88),"")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نسبة تأجير ساحة درب</t>
        </is>
      </c>
      <c r="D89" s="15" t="inlineStr">
        <is>
          <t>شهري</t>
        </is>
      </c>
      <c r="E89" s="15" t="inlineStr">
        <is>
          <t>لقطة</t>
        </is>
      </c>
      <c r="F89" s="55" t="inlineStr">
        <is>
          <t>↑</t>
        </is>
      </c>
      <c r="G89" s="64" t="n">
        <v>0.8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IFERROR(LOOKUP(2,1/($H89:$S89&lt;&gt;""),$H89:$S89),"")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علامات تجارية جديدة (ساحة درب)</t>
        </is>
      </c>
      <c r="D90" s="15" t="inlineStr">
        <is>
          <t>شهري</t>
        </is>
      </c>
      <c r="E90" s="15" t="inlineStr">
        <is>
          <t>تراكمي</t>
        </is>
      </c>
      <c r="F90" s="55" t="inlineStr">
        <is>
          <t>↑</t>
        </is>
      </c>
      <c r="G90" s="60" t="n">
        <v>6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IF(COUNT($H90:$S90)=0,"",SUM($H90:$S90))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IF($G90="","",$G90*COUNT($H90:$S90)/12)</f>
        <v/>
      </c>
      <c r="X90" s="59">
        <f>IF($U90="","—",IF($U90&gt;=COUNT($H90:$S90)/12,"🟢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الشراكات الاستراتيجية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↑</t>
        </is>
      </c>
      <c r="G91" s="60" t="n">
        <v>5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العقار</t>
        </is>
      </c>
      <c r="C92" s="11" t="inlineStr">
        <is>
          <t>نسبة تجديد العقود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العقار</t>
        </is>
      </c>
      <c r="C93" s="11" t="inlineStr">
        <is>
          <t>متوسط زمن تسليم الوحدة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↓</t>
        </is>
      </c>
      <c r="G93" s="67" t="n">
        <v>7</v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9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70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العقار</t>
        </is>
      </c>
      <c r="C94" s="11" t="inlineStr">
        <is>
          <t>نسبة إغلاق الطلبات خلال 3 أسابيع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العقار</t>
        </is>
      </c>
      <c r="C95" s="11" t="inlineStr">
        <is>
          <t>استدامة المستأجرين (لم يُنهَ مبكراً)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0.8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العقار</t>
        </is>
      </c>
      <c r="C96" s="11" t="inlineStr">
        <is>
          <t>معدل رضا المستأجرين (استبيان ربعي)</t>
        </is>
      </c>
      <c r="D96" s="15" t="inlineStr">
        <is>
          <t>ربعي</t>
        </is>
      </c>
      <c r="E96" s="15" t="inlineStr">
        <is>
          <t>معدل</t>
        </is>
      </c>
      <c r="F96" s="55" t="inlineStr">
        <is>
          <t>↑</t>
        </is>
      </c>
      <c r="G96" s="64" t="n">
        <v>0.9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هدف",IF($U96&gt;=0.9,"✅ محقق",IF($U96&gt;=0.75,"🟡 قريب","🔴 تحت الهدف")))</f>
        <v/>
      </c>
      <c r="W96" s="66">
        <f>IF($G96="","",$G96)</f>
        <v/>
      </c>
      <c r="X96" s="59">
        <f>IF($U96="","—",IF($U96&gt;=0.75,"🟢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عدد محطات الشركة المُسلَّمة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↑</t>
        </is>
      </c>
      <c r="G97" s="60" t="n">
        <v>20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نسبة إنجاز محفظة مشاريع التوسع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0.7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نسبة تسليم المحطات في الموعد المخطط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المشاريع المنفّذة ضمن الميزانية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0.85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عدد محطات الامتياز المُسلَّمة بالهوية</t>
        </is>
      </c>
      <c r="D101" s="15" t="inlineStr">
        <is>
          <t>شهري</t>
        </is>
      </c>
      <c r="E101" s="15" t="inlineStr">
        <is>
          <t>تراكمي</t>
        </is>
      </c>
      <c r="F101" s="55" t="inlineStr">
        <is>
          <t>↑</t>
        </is>
      </c>
      <c r="G101" s="60" t="n">
        <v>40</v>
      </c>
      <c r="H101" s="61" t="n"/>
      <c r="I101" s="61" t="n"/>
      <c r="J101" s="61" t="n"/>
      <c r="K101" s="61" t="n"/>
      <c r="L101" s="61" t="n"/>
      <c r="M101" s="61" t="n"/>
      <c r="N101" s="61" t="n"/>
      <c r="O101" s="61" t="n"/>
      <c r="P101" s="61" t="n"/>
      <c r="Q101" s="61" t="n"/>
      <c r="R101" s="61" t="n"/>
      <c r="S101" s="61" t="n"/>
      <c r="T101" s="62">
        <f>IF(COUNT($H101:$S101)=0,"",SUM($H101:$S101))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3">
        <f>IF($G101="","",$G101*COUNT($H101:$S101)/12)</f>
        <v/>
      </c>
      <c r="X101" s="59">
        <f>IF($U101="","—",IF($U101&gt;=COUNT($H101:$S101)/12,"🟢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تنفيذ زيارات الإشراف المجدولة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نسبة التزام المطوّرين بالجدول الزمني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0.75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إغلاق ملاحظات الجودة على المطوّرين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نسبة المشاريع الخالية من مخالفات الجودة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إدارة المشاريع</t>
        </is>
      </c>
      <c r="C106" s="11" t="inlineStr">
        <is>
          <t>عدد مخالفات المقاولين (سنوي)</t>
        </is>
      </c>
      <c r="D106" s="15" t="inlineStr">
        <is>
          <t>شهري</t>
        </is>
      </c>
      <c r="E106" s="15" t="inlineStr">
        <is>
          <t>تراكمي</t>
        </is>
      </c>
      <c r="F106" s="55" t="inlineStr">
        <is>
          <t>↓</t>
        </is>
      </c>
      <c r="G106" s="60" t="n">
        <v>10</v>
      </c>
      <c r="H106" s="61" t="n"/>
      <c r="I106" s="61" t="n"/>
      <c r="J106" s="61" t="n"/>
      <c r="K106" s="61" t="n"/>
      <c r="L106" s="61" t="n"/>
      <c r="M106" s="61" t="n"/>
      <c r="N106" s="61" t="n"/>
      <c r="O106" s="61" t="n"/>
      <c r="P106" s="61" t="n"/>
      <c r="Q106" s="61" t="n"/>
      <c r="R106" s="61" t="n"/>
      <c r="S106" s="61" t="n"/>
      <c r="T106" s="62">
        <f>IF(COUNT($H106:$S106)=0,"",SUM($H106:$S106))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3">
        <f>IF($G106="","",$G106*COUNT($H106:$S106)/12)</f>
        <v/>
      </c>
      <c r="X106" s="59">
        <f>IF($U106="","—",IF($U106&gt;=COUNT($H106:$S106)/12,"🟢 على المسار","🟠 متأخّر"))</f>
        <v/>
      </c>
    </row>
    <row r="107" ht="22" customHeight="1">
      <c r="A107" s="59" t="n">
        <v>104</v>
      </c>
      <c r="B107" s="13" t="inlineStr">
        <is>
          <t>إدارة المشاريع</t>
        </is>
      </c>
      <c r="C107" s="11" t="inlineStr">
        <is>
          <t>نسبة التزام المقاولين بمعايير السلامة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محقق",IF($U107&gt;=0.97,"🟡 قريب","🔴 تحت الهدف")))</f>
        <v/>
      </c>
      <c r="W107" s="66">
        <f>IF($G107="","",$G107)</f>
        <v/>
      </c>
      <c r="X107" s="59">
        <f>IF($U107="","—",IF($U107&gt;=0.97,"🟢 على المسار","🟠 متأخّر"))</f>
        <v/>
      </c>
    </row>
    <row r="108" ht="22" customHeight="1">
      <c r="A108" s="59" t="n">
        <v>105</v>
      </c>
      <c r="B108" s="13" t="inlineStr">
        <is>
          <t>إدارة المشاريع</t>
        </is>
      </c>
      <c r="C108" s="11" t="inlineStr">
        <is>
          <t>نسبة الالتزام بالميزانية المعتمدة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1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إدارة المشاريع</t>
        </is>
      </c>
      <c r="C109" s="11" t="inlineStr">
        <is>
          <t>نسبة الالتزام بالجدول الزمني العام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1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إدارة المشاريع</t>
        </is>
      </c>
      <c r="C110" s="11" t="inlineStr">
        <is>
          <t>متوسط مدة إغلاق قائمة الملاحظات النهائية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30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سلاسل الإمداد</t>
        </is>
      </c>
      <c r="C111" s="11" t="inlineStr">
        <is>
          <t>نسبة تلبية طلبات المحطات من الوقود Fill Rate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0.98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سلاسل الإمداد</t>
        </is>
      </c>
      <c r="C112" s="11" t="inlineStr">
        <is>
          <t>عدد انقطاعات التوريد المؤثرة شهريًا</t>
        </is>
      </c>
      <c r="D112" s="15" t="inlineStr">
        <is>
          <t>شهري</t>
        </is>
      </c>
      <c r="E112" s="15" t="inlineStr">
        <is>
          <t>تراكمي</t>
        </is>
      </c>
      <c r="F112" s="55" t="inlineStr">
        <is>
          <t>↓</t>
        </is>
      </c>
      <c r="G112" s="60" t="n">
        <v>0</v>
      </c>
      <c r="H112" s="61" t="n"/>
      <c r="I112" s="61" t="n"/>
      <c r="J112" s="61" t="n"/>
      <c r="K112" s="61" t="n"/>
      <c r="L112" s="61" t="n"/>
      <c r="M112" s="61" t="n"/>
      <c r="N112" s="61" t="n"/>
      <c r="O112" s="61" t="n"/>
      <c r="P112" s="61" t="n"/>
      <c r="Q112" s="61" t="n"/>
      <c r="R112" s="61" t="n"/>
      <c r="S112" s="61" t="n"/>
      <c r="T112" s="62">
        <f>IF(COUNT($H112:$S112)=0,"",SUM($H112:$S112))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3">
        <f>IF($G112="","",$G112*COUNT($H112:$S112)/12)</f>
        <v/>
      </c>
      <c r="X112" s="59">
        <f>IF($U112="","—",IF($U112&gt;=COUNT($H112:$S112)/12,"🟢 على المسار","🟠 متأخّر"))</f>
        <v/>
      </c>
    </row>
    <row r="113" ht="22" customHeight="1">
      <c r="A113" s="59" t="n">
        <v>110</v>
      </c>
      <c r="B113" s="13" t="inlineStr">
        <is>
          <t>سلاسل الإمداد</t>
        </is>
      </c>
      <c r="C113" s="11" t="inlineStr">
        <is>
          <t>نسبة تغطية مخزون الوقود بالأيام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7" t="n">
        <v>5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توفر المواد المخزنية والحرجة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0.98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نسبة المواد الراكدة من المخزون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4" t="n">
        <v>0.05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دقة أوامر الشراء ومستنداتها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0.98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نسبة إنجاز أوامر الشراء خلال المدة المستهدفة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سلاسل الإمداد</t>
        </is>
      </c>
      <c r="C118" s="11" t="inlineStr">
        <is>
          <t>نسبة الالتزام بزمن التسليم والتوريد للمحطات والإدارات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سلاسل الإمداد</t>
        </is>
      </c>
      <c r="C119" s="11" t="inlineStr">
        <is>
          <t>نسبة جاهزية الإمداد للمحطات الجديدة وخطط الافتتاح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1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محقق",IF($U119&gt;=0.97,"🟡 قريب","🔴 تحت الهدف")))</f>
        <v/>
      </c>
      <c r="W119" s="66">
        <f>IF($G119="","",$G119)</f>
        <v/>
      </c>
      <c r="X119" s="59">
        <f>IF($U119="","—",IF($U119&gt;=0.97,"🟢 على المسار","🟠 متأخّر"))</f>
        <v/>
      </c>
    </row>
    <row r="120" ht="22" customHeight="1">
      <c r="A120" s="59" t="n">
        <v>117</v>
      </c>
      <c r="B120" s="13" t="inlineStr">
        <is>
          <t>سلاسل الإمداد</t>
        </is>
      </c>
      <c r="C120" s="11" t="inlineStr">
        <is>
          <t>نسبة الالتزام بجدول النقل واستخدام الأسطول بكفاءة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سلاسل الإمداد</t>
        </is>
      </c>
      <c r="C121" s="11" t="inlineStr">
        <is>
          <t>كفاءة إدارة الموردين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سلاسل الإمداد</t>
        </is>
      </c>
      <c r="C122" s="11" t="inlineStr">
        <is>
          <t>مستوى رضا الإدارات عن خدمات سلاسل الإمداد</t>
        </is>
      </c>
      <c r="D122" s="15" t="inlineStr">
        <is>
          <t>ربعي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0.85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هدف",IF($U122&gt;=0.9,"✅ محقق",IF($U122&gt;=0.75,"🟡 قريب","🔴 تحت الهدف")))</f>
        <v/>
      </c>
      <c r="W122" s="66">
        <f>IF($G122="","",$G122)</f>
        <v/>
      </c>
      <c r="X122" s="59">
        <f>IF($U122="","—",IF($U122&gt;=0.75,"🟢 على المسار","🟠 متأخّر"))</f>
        <v/>
      </c>
    </row>
    <row r="123" ht="22" customHeight="1">
      <c r="A123" s="59" t="n">
        <v>120</v>
      </c>
      <c r="B123" s="13" t="inlineStr">
        <is>
          <t>الصيانة والأتمتة</t>
        </is>
      </c>
      <c r="C123" s="11" t="inlineStr">
        <is>
          <t>نسبة الجاهزية الفنية للأصول والمعدات (Availability)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0.98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محقق",IF($U123&gt;=0.97,"🟡 قريب","🔴 تحت الهدف")))</f>
        <v/>
      </c>
      <c r="W123" s="66">
        <f>IF($G123="","",$G123)</f>
        <v/>
      </c>
      <c r="X123" s="59">
        <f>IF($U123="","—",IF($U123&gt;=0.97,"🟢 على المسار","🟠 متأخّر"))</f>
        <v/>
      </c>
    </row>
    <row r="124" ht="22" customHeight="1">
      <c r="A124" s="59" t="n">
        <v>121</v>
      </c>
      <c r="B124" s="13" t="inlineStr">
        <is>
          <t>الصيانة والأتمتة</t>
        </is>
      </c>
      <c r="C124" s="11" t="inlineStr">
        <is>
          <t>نسبة تنفيذ الصيانة الوقائية في موعدها (PM)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0.95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الصيانة والأتمتة</t>
        </is>
      </c>
      <c r="C125" s="11" t="inlineStr">
        <is>
          <t>نسبة إغلاق بلاغات الصيانة ضمن اتفاقية الخدمة (SLA)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متوسط زمن الاستجابة للبلاغات الطارئة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↓</t>
        </is>
      </c>
      <c r="G126" s="67" t="n">
        <v>30</v>
      </c>
      <c r="H126" s="68" t="n"/>
      <c r="I126" s="68" t="n"/>
      <c r="J126" s="68" t="n"/>
      <c r="K126" s="68" t="n"/>
      <c r="L126" s="68" t="n"/>
      <c r="M126" s="68" t="n"/>
      <c r="N126" s="68" t="n"/>
      <c r="O126" s="68" t="n"/>
      <c r="P126" s="68" t="n"/>
      <c r="Q126" s="68" t="n"/>
      <c r="R126" s="68" t="n"/>
      <c r="S126" s="68" t="n"/>
      <c r="T126" s="69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70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متوسط زمن إصلاح الأعطال (MTTR)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↓</t>
        </is>
      </c>
      <c r="G127" s="67" t="n">
        <v>4</v>
      </c>
      <c r="H127" s="68" t="n"/>
      <c r="I127" s="68" t="n"/>
      <c r="J127" s="68" t="n"/>
      <c r="K127" s="68" t="n"/>
      <c r="L127" s="68" t="n"/>
      <c r="M127" s="68" t="n"/>
      <c r="N127" s="68" t="n"/>
      <c r="O127" s="68" t="n"/>
      <c r="P127" s="68" t="n"/>
      <c r="Q127" s="68" t="n"/>
      <c r="R127" s="68" t="n"/>
      <c r="S127" s="68" t="n"/>
      <c r="T127" s="69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70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الصيانة والأتمتة</t>
        </is>
      </c>
      <c r="C128" s="11" t="inlineStr">
        <is>
          <t>معدل تكرار الأعطال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↓</t>
        </is>
      </c>
      <c r="G128" s="64" t="n">
        <v>0.05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الصيانة والأتمتة</t>
        </is>
      </c>
      <c r="C129" s="11" t="inlineStr">
        <is>
          <t>نسبة استمرارية تشغيل المحطات دون توقف فني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0.99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الصيانة والأتمتة</t>
        </is>
      </c>
      <c r="C130" s="11" t="inlineStr">
        <is>
          <t>نسبة التشغيل السليم لأنظمة الأتمتة (Uptime)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0.99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الصيانة والأتمتة</t>
        </is>
      </c>
      <c r="C131" s="11" t="inlineStr">
        <is>
          <t>نسبة استعادة أنظمة الأتمتة ضمن الزمن المحدد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الصيانة والأتمتة</t>
        </is>
      </c>
      <c r="C132" s="11" t="inlineStr">
        <is>
          <t>كفاءة تكاليف الصيانة (الالتزام بالميزانية)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التقنية الرقمية</t>
        </is>
      </c>
      <c r="C133" s="11" t="inlineStr">
        <is>
          <t>نسبة توفر الأنظمة والخدمات التقنية المركزية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التقنية الرقمية</t>
        </is>
      </c>
      <c r="C134" s="11" t="inlineStr">
        <is>
          <t>نسبة معالجة الأعطال وطلبات الدعم الفني ضمن المدة المستهدفة SLA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التقنية الرقمية</t>
        </is>
      </c>
      <c r="C135" s="11" t="inlineStr">
        <is>
          <t>نسبة استقرار التشغيل التقني للمحطات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إنجاز مشاريع التحول الرقمي والمشاريع التقنية حسب الخطة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تسليم المشاريع التقنية ضمن الوقت والميزانية ونطاق العمل المعتمد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الالتزام بإدارة صلاحيات المستخدمين والحسابات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1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نسبة نجاح النسخ الاحتياطي واختبارات استعادة البيانات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التقنية الرقمية</t>
        </is>
      </c>
      <c r="C140" s="11" t="inlineStr">
        <is>
          <t>نسبة الامتثال لضوابط الأمن السيبراني الأساسية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محقق",IF($U140&gt;=0.97,"🟡 قريب","🔴 تحت الهدف")))</f>
        <v/>
      </c>
      <c r="W140" s="66">
        <f>IF($G140="","",$G140)</f>
        <v/>
      </c>
      <c r="X140" s="59">
        <f>IF($U140="","—",IF($U140&gt;=0.97,"🟢 على المسار","🟠 متأخّر"))</f>
        <v/>
      </c>
    </row>
    <row r="141" ht="22" customHeight="1">
      <c r="A141" s="59" t="n">
        <v>138</v>
      </c>
      <c r="B141" s="13" t="inlineStr">
        <is>
          <t>التقنية الرقمية</t>
        </is>
      </c>
      <c r="C141" s="11" t="inlineStr">
        <is>
          <t>نسبة دقة وتكامل البيانات بين الأنظمة الرقمية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0.98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التقنية الرقمية</t>
        </is>
      </c>
      <c r="C142" s="11" t="inlineStr">
        <is>
          <t>نسبة الالتزام بتحديث وتوثيق أصول تقنية المعلومات والتراخيص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التقنية الرقمية</t>
        </is>
      </c>
      <c r="C143" s="11" t="inlineStr">
        <is>
          <t>نسبة تنفيذ الصيانة الوقائية للأجهزة والبنية التقنية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التقنية الرقمية</t>
        </is>
      </c>
      <c r="C144" s="11" t="inlineStr">
        <is>
          <t>مستوى رضا الإدارات والمستخدمين عن خدمات تقنية المعلومات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0.85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نسبة الالتزام بالتوطين والامتثال الحكومي دون مخالفات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1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محقق",IF($U145&gt;=0.97,"🟡 قريب","🔴 تحت الهدف")))</f>
        <v/>
      </c>
      <c r="W145" s="66">
        <f>IF($G145="","",$G145)</f>
        <v/>
      </c>
      <c r="X145" s="59">
        <f>IF($U145="","—",IF($U145&gt;=0.97,"🟢 على المسار","🟠 متأخّر"))</f>
        <v/>
      </c>
    </row>
    <row r="146" ht="22" customHeight="1">
      <c r="A146" s="59" t="n">
        <v>143</v>
      </c>
      <c r="B146" s="13" t="inlineStr">
        <is>
          <t>الموارد البشرية</t>
        </is>
      </c>
      <c r="C146" s="11" t="inlineStr">
        <is>
          <t>نسبة الالتزام بنظام العمل واللوائح وخطة القوى العاملة المعتمدة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1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الموارد البشرية</t>
        </is>
      </c>
      <c r="C147" s="11" t="inlineStr">
        <is>
          <t>نسبة إنجاز معاملات شؤون الموظفين ضمن المدة المستهدفة SLA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0.9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الالتزام بتجديد الوثائق واكتمال ملفات الموظفين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نسبة جاهزية وتغطية عمالة المحطات حسب خطة التشغيل والافتتاحات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0.95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محقق",IF($U149&gt;=0.97,"🟡 قريب","🔴 تحت الهدف")))</f>
        <v/>
      </c>
      <c r="W149" s="66">
        <f>IF($G149="","",$G149)</f>
        <v/>
      </c>
      <c r="X149" s="59">
        <f>IF($U149="","—",IF($U149&gt;=0.97,"🟢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متوسط مدة إغلاق الشواغر المعتمدة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↓</t>
        </is>
      </c>
      <c r="G150" s="67" t="n">
        <v>30</v>
      </c>
      <c r="H150" s="68" t="n"/>
      <c r="I150" s="68" t="n"/>
      <c r="J150" s="68" t="n"/>
      <c r="K150" s="68" t="n"/>
      <c r="L150" s="68" t="n"/>
      <c r="M150" s="68" t="n"/>
      <c r="N150" s="68" t="n"/>
      <c r="O150" s="68" t="n"/>
      <c r="P150" s="68" t="n"/>
      <c r="Q150" s="68" t="n"/>
      <c r="R150" s="68" t="n"/>
      <c r="S150" s="68" t="n"/>
      <c r="T150" s="69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70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نجاح التعيينات الجديدة خلال فترة التجربة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0.9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نسبة كفاءة تكلفة القوى العاملة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الموارد البشرية</t>
        </is>
      </c>
      <c r="C153" s="11" t="inlineStr">
        <is>
          <t>نسبة دقة الرواتب والمستحقات الشهرية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0.995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الموارد البشرية</t>
        </is>
      </c>
      <c r="C154" s="11" t="inlineStr">
        <is>
          <t>معدل دوران الموظفين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↓</t>
        </is>
      </c>
      <c r="G154" s="64" t="n">
        <v>0.1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الموارد البشرية</t>
        </is>
      </c>
      <c r="C155" s="11" t="inlineStr">
        <is>
          <t>نسبة تنفيذ برامج التدريب والتأهيل المعتمدة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الموارد البشرية</t>
        </is>
      </c>
      <c r="C156" s="11" t="inlineStr">
        <is>
          <t>نسبة إغلاق تقييمات الأداء وخطط الإحلال للوظائف الحرجة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التسويق</t>
        </is>
      </c>
      <c r="C157" s="11" t="inlineStr">
        <is>
          <t>الوصول الكلي (Total Reach)</t>
        </is>
      </c>
      <c r="D157" s="15" t="inlineStr">
        <is>
          <t>شهري</t>
        </is>
      </c>
      <c r="E157" s="15" t="inlineStr">
        <is>
          <t>لقطة</t>
        </is>
      </c>
      <c r="F157" s="55" t="inlineStr">
        <is>
          <t>↑</t>
        </is>
      </c>
      <c r="G157" s="60" t="n">
        <v>50000000</v>
      </c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IFERROR(LOOKUP(2,1/($H157:$S157&lt;&gt;""),$H157:$S157),"")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هدف",IF($U157&gt;=0.9,"✅ محقق",IF($U157&gt;=0.75,"🟡 قريب","🔴 تحت الهدف")))</f>
        <v/>
      </c>
      <c r="W157" s="63">
        <f>IF($G157="","",$G157)</f>
        <v/>
      </c>
      <c r="X157" s="59">
        <f>IF($U157="","—",IF($U157&gt;=0.75,"🟢 على المسار","🟠 متأخّر"))</f>
        <v/>
      </c>
    </row>
    <row r="158" ht="22" customHeight="1">
      <c r="A158" s="59" t="n">
        <v>155</v>
      </c>
      <c r="B158" s="13" t="inlineStr">
        <is>
          <t>التسويق</t>
        </is>
      </c>
      <c r="C158" s="11" t="inlineStr">
        <is>
          <t>عملاء تجاريون جدد</t>
        </is>
      </c>
      <c r="D158" s="15" t="inlineStr">
        <is>
          <t>شهري</t>
        </is>
      </c>
      <c r="E158" s="15" t="inlineStr">
        <is>
          <t>تراكمي</t>
        </is>
      </c>
      <c r="F158" s="55" t="inlineStr">
        <is>
          <t>↑</t>
        </is>
      </c>
      <c r="G158" s="60" t="n">
        <v>200</v>
      </c>
      <c r="H158" s="61" t="n"/>
      <c r="I158" s="61" t="n"/>
      <c r="J158" s="61" t="n"/>
      <c r="K158" s="61" t="n"/>
      <c r="L158" s="61" t="n"/>
      <c r="M158" s="61" t="n"/>
      <c r="N158" s="61" t="n"/>
      <c r="O158" s="61" t="n"/>
      <c r="P158" s="61" t="n"/>
      <c r="Q158" s="61" t="n"/>
      <c r="R158" s="61" t="n"/>
      <c r="S158" s="61" t="n"/>
      <c r="T158" s="62">
        <f>IF(COUNT($H158:$S158)=0,"",SUM($H158:$S158))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3">
        <f>IF($G158="","",$G158*COUNT($H158:$S158)/12)</f>
        <v/>
      </c>
      <c r="X158" s="59">
        <f>IF($U158="","—",IF($U158&gt;=COUNT($H158:$S158)/12,"🟢 على المسار","🟠 متأخّر"))</f>
        <v/>
      </c>
    </row>
    <row r="159" ht="22" customHeight="1">
      <c r="A159" s="59" t="n">
        <v>156</v>
      </c>
      <c r="B159" s="13" t="inlineStr">
        <is>
          <t>التسويق</t>
        </is>
      </c>
      <c r="C159" s="11" t="inlineStr">
        <is>
          <t>إجمالي المتابعين (كل المنصات)</t>
        </is>
      </c>
      <c r="D159" s="15" t="inlineStr">
        <is>
          <t>شهري</t>
        </is>
      </c>
      <c r="E159" s="15" t="inlineStr">
        <is>
          <t>لقطة</t>
        </is>
      </c>
      <c r="F159" s="55" t="inlineStr">
        <is>
          <t>↑</t>
        </is>
      </c>
      <c r="G159" s="60" t="n">
        <v>380000</v>
      </c>
      <c r="H159" s="61" t="n"/>
      <c r="I159" s="61" t="n"/>
      <c r="J159" s="61" t="n"/>
      <c r="K159" s="61" t="n"/>
      <c r="L159" s="61" t="n"/>
      <c r="M159" s="61" t="n"/>
      <c r="N159" s="61" t="n"/>
      <c r="O159" s="61" t="n"/>
      <c r="P159" s="61" t="n"/>
      <c r="Q159" s="61" t="n"/>
      <c r="R159" s="61" t="n"/>
      <c r="S159" s="61" t="n"/>
      <c r="T159" s="62">
        <f>IFERROR(LOOKUP(2,1/($H159:$S159&lt;&gt;""),$H159:$S159),"")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هدف",IF($U159&gt;=0.9,"✅ محقق",IF($U159&gt;=0.75,"🟡 قريب","🔴 تحت الهدف")))</f>
        <v/>
      </c>
      <c r="W159" s="63">
        <f>IF($G159="","",$G159)</f>
        <v/>
      </c>
      <c r="X159" s="59">
        <f>IF($U159="","—",IF($U159&gt;=0.75,"🟢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معدل التفاعل (Engagement)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هدف",IF($U160&gt;=0.9,"✅ محقق",IF($U160&gt;=0.75,"🟡 قريب","🔴 تحت الهدف")))</f>
        <v/>
      </c>
      <c r="W160" s="66">
        <f>IF($G160="","",$G160)</f>
        <v/>
      </c>
      <c r="X160" s="59">
        <f>IF($U160="","—",IF($U160&gt;=0.75,"🟢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حملات تسويقية منجزة</t>
        </is>
      </c>
      <c r="D161" s="15" t="inlineStr">
        <is>
          <t>شهري</t>
        </is>
      </c>
      <c r="E161" s="15" t="inlineStr">
        <is>
          <t>تراكمي</t>
        </is>
      </c>
      <c r="F161" s="55" t="inlineStr">
        <is>
          <t>↑</t>
        </is>
      </c>
      <c r="G161" s="60" t="n">
        <v>48</v>
      </c>
      <c r="H161" s="61" t="n"/>
      <c r="I161" s="61" t="n"/>
      <c r="J161" s="61" t="n"/>
      <c r="K161" s="61" t="n"/>
      <c r="L161" s="61" t="n"/>
      <c r="M161" s="61" t="n"/>
      <c r="N161" s="61" t="n"/>
      <c r="O161" s="61" t="n"/>
      <c r="P161" s="61" t="n"/>
      <c r="Q161" s="61" t="n"/>
      <c r="R161" s="61" t="n"/>
      <c r="S161" s="61" t="n"/>
      <c r="T161" s="62">
        <f>IF(COUNT($H161:$S161)=0,"",SUM($H161:$S161))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3">
        <f>IF($G161="","",$G161*COUNT($H161:$S161)/12)</f>
        <v/>
      </c>
      <c r="X161" s="59">
        <f>IF($U161="","—",IF($U161&gt;=COUNT($H161:$S161)/12,"🟢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تحويل الفرص إلى عقود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0.25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نسبة المبيعات لكل حملة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1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التسويق</t>
        </is>
      </c>
      <c r="C164" s="11" t="inlineStr">
        <is>
          <t>نسبة التزام الهوية البصرية</t>
        </is>
      </c>
      <c r="D164" s="15" t="inlineStr">
        <is>
          <t>شهري</t>
        </is>
      </c>
      <c r="E164" s="15" t="inlineStr">
        <is>
          <t>لقطة</t>
        </is>
      </c>
      <c r="F164" s="55" t="inlineStr">
        <is>
          <t>↑</t>
        </is>
      </c>
      <c r="G164" s="64" t="n">
        <v>1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IFERROR(LOOKUP(2,1/($H164:$S164&lt;&gt;""),$H164:$S164),"")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التسويق</t>
        </is>
      </c>
      <c r="C165" s="11" t="inlineStr">
        <is>
          <t>وصول العلاقات العامة (PR)</t>
        </is>
      </c>
      <c r="D165" s="15" t="inlineStr">
        <is>
          <t>شهري</t>
        </is>
      </c>
      <c r="E165" s="15" t="inlineStr">
        <is>
          <t>لقطة</t>
        </is>
      </c>
      <c r="F165" s="55" t="inlineStr">
        <is>
          <t>↑</t>
        </is>
      </c>
      <c r="G165" s="60" t="n">
        <v>7000000</v>
      </c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IFERROR(LOOKUP(2,1/($H165:$S165&lt;&gt;""),$H165:$S165),"")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3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التسويق</t>
        </is>
      </c>
      <c r="C166" s="11" t="inlineStr">
        <is>
          <t>عدد المعارض بالسنة</t>
        </is>
      </c>
      <c r="D166" s="15" t="inlineStr">
        <is>
          <t>شهري</t>
        </is>
      </c>
      <c r="E166" s="15" t="inlineStr">
        <is>
          <t>تراكمي</t>
        </is>
      </c>
      <c r="F166" s="55" t="inlineStr">
        <is>
          <t>↑</t>
        </is>
      </c>
      <c r="G166" s="60" t="n">
        <v>3</v>
      </c>
      <c r="H166" s="61" t="n"/>
      <c r="I166" s="61" t="n"/>
      <c r="J166" s="61" t="n"/>
      <c r="K166" s="61" t="n"/>
      <c r="L166" s="61" t="n"/>
      <c r="M166" s="61" t="n"/>
      <c r="N166" s="61" t="n"/>
      <c r="O166" s="61" t="n"/>
      <c r="P166" s="61" t="n"/>
      <c r="Q166" s="61" t="n"/>
      <c r="R166" s="61" t="n"/>
      <c r="S166" s="61" t="n"/>
      <c r="T166" s="62">
        <f>IF(COUNT($H166:$S166)=0,"",SUM($H166:$S166))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3">
        <f>IF($G166="","",$G166*COUNT($H166:$S166)/12)</f>
        <v/>
      </c>
      <c r="X166" s="59">
        <f>IF($U166="","—",IF($U166&gt;=COUNT($H166:$S166)/12,"🟢 على المسار","🟠 متأخّر"))</f>
        <v/>
      </c>
    </row>
    <row r="167" ht="22" customHeight="1">
      <c r="A167" s="59" t="n">
        <v>164</v>
      </c>
      <c r="B167" s="13" t="inlineStr">
        <is>
          <t>التسويق</t>
        </is>
      </c>
      <c r="C167" s="11" t="inlineStr">
        <is>
          <t>اتفاقيات استراتيجية</t>
        </is>
      </c>
      <c r="D167" s="15" t="inlineStr">
        <is>
          <t>شهري</t>
        </is>
      </c>
      <c r="E167" s="15" t="inlineStr">
        <is>
          <t>تراكمي</t>
        </is>
      </c>
      <c r="F167" s="55" t="inlineStr">
        <is>
          <t>↑</t>
        </is>
      </c>
      <c r="G167" s="60" t="n">
        <v>3</v>
      </c>
      <c r="H167" s="61" t="n"/>
      <c r="I167" s="61" t="n"/>
      <c r="J167" s="61" t="n"/>
      <c r="K167" s="61" t="n"/>
      <c r="L167" s="61" t="n"/>
      <c r="M167" s="61" t="n"/>
      <c r="N167" s="61" t="n"/>
      <c r="O167" s="61" t="n"/>
      <c r="P167" s="61" t="n"/>
      <c r="Q167" s="61" t="n"/>
      <c r="R167" s="61" t="n"/>
      <c r="S167" s="61" t="n"/>
      <c r="T167" s="62">
        <f>IF(COUNT($H167:$S167)=0,"",SUM($H167:$S167))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3">
        <f>IF($G167="","",$G167*COUNT($H167:$S167)/12)</f>
        <v/>
      </c>
      <c r="X167" s="59">
        <f>IF($U167="","—",IF($U167&gt;=COUNT($H167:$S167)/12,"🟢 على المسار","🟠 متأخّر"))</f>
        <v/>
      </c>
    </row>
    <row r="168" ht="22" customHeight="1">
      <c r="A168" s="59" t="n">
        <v>165</v>
      </c>
      <c r="B168" s="13" t="inlineStr">
        <is>
          <t>التسويق</t>
        </is>
      </c>
      <c r="C168" s="11" t="inlineStr">
        <is>
          <t>تقييم خرائط قوقل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7" t="n">
        <v>4.7</v>
      </c>
      <c r="H168" s="68" t="n"/>
      <c r="I168" s="68" t="n"/>
      <c r="J168" s="68" t="n"/>
      <c r="K168" s="68" t="n"/>
      <c r="L168" s="68" t="n"/>
      <c r="M168" s="68" t="n"/>
      <c r="N168" s="68" t="n"/>
      <c r="O168" s="68" t="n"/>
      <c r="P168" s="68" t="n"/>
      <c r="Q168" s="68" t="n"/>
      <c r="R168" s="68" t="n"/>
      <c r="S168" s="68" t="n"/>
      <c r="T168" s="69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70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التسويق</t>
        </is>
      </c>
      <c r="C169" s="11" t="inlineStr">
        <is>
          <t>معدل خفض الشكاوى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0.3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التسويق</t>
        </is>
      </c>
      <c r="C170" s="11" t="inlineStr">
        <is>
          <t>وصول محتوى تطبيق تانكي</t>
        </is>
      </c>
      <c r="D170" s="15" t="inlineStr">
        <is>
          <t>شهري</t>
        </is>
      </c>
      <c r="E170" s="15" t="inlineStr">
        <is>
          <t>لقطة</t>
        </is>
      </c>
      <c r="F170" s="55" t="inlineStr">
        <is>
          <t>↑</t>
        </is>
      </c>
      <c r="G170" s="60" t="n">
        <v>1000000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IFERROR(LOOKUP(2,1/($H170:$S170&lt;&gt;""),$H170:$S170),"")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3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التسويق</t>
        </is>
      </c>
      <c r="C171" s="11" t="inlineStr">
        <is>
          <t>مشاركات تطبيق تانكي</t>
        </is>
      </c>
      <c r="D171" s="15" t="inlineStr">
        <is>
          <t>شهري</t>
        </is>
      </c>
      <c r="E171" s="15" t="inlineStr">
        <is>
          <t>تراكمي</t>
        </is>
      </c>
      <c r="F171" s="55" t="inlineStr">
        <is>
          <t>↑</t>
        </is>
      </c>
      <c r="G171" s="60" t="n">
        <v>250</v>
      </c>
      <c r="H171" s="61" t="n"/>
      <c r="I171" s="61" t="n"/>
      <c r="J171" s="61" t="n"/>
      <c r="K171" s="61" t="n"/>
      <c r="L171" s="61" t="n"/>
      <c r="M171" s="61" t="n"/>
      <c r="N171" s="61" t="n"/>
      <c r="O171" s="61" t="n"/>
      <c r="P171" s="61" t="n"/>
      <c r="Q171" s="61" t="n"/>
      <c r="R171" s="61" t="n"/>
      <c r="S171" s="61" t="n"/>
      <c r="T171" s="62">
        <f>IF(COUNT($H171:$S171)=0,"",SUM($H171:$S171))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3">
        <f>IF($G171="","",$G171*COUNT($H171:$S171)/12)</f>
        <v/>
      </c>
      <c r="X171" s="59">
        <f>IF($U171="","—",IF($U171&gt;=COUNT($H171:$S171)/12,"🟢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المحطات الحرجة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4" t="n">
        <v>0.05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مطابقة جودة الوقود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محقق",IF($U173&gt;=0.97,"🟡 قريب","🔴 تحت الهدف")))</f>
        <v/>
      </c>
      <c r="W173" s="66">
        <f>IF($G173="","",$G173)</f>
        <v/>
      </c>
      <c r="X173" s="59">
        <f>IF($U173="","—",IF($U173&gt;=0.97,"🟢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إغلاق الملاحظات في الوقت المحدد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فعالية الإجراءات التصحيحية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0.85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تكرار الملاحظات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↓</t>
        </is>
      </c>
      <c r="G176" s="64" t="n">
        <v>0.1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تنفيذ خطة التفتيش والتدقيق</t>
        </is>
      </c>
      <c r="D177" s="15" t="inlineStr">
        <is>
          <t>ربعي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جاهزية نظام إدارة الجودة QMS</t>
        </is>
      </c>
      <c r="D178" s="15" t="inlineStr">
        <is>
          <t>شهري</t>
        </is>
      </c>
      <c r="E178" s="15" t="inlineStr">
        <is>
          <t>لقطة</t>
        </is>
      </c>
      <c r="F178" s="55" t="inlineStr">
        <is>
          <t>↑</t>
        </is>
      </c>
      <c r="G178" s="64" t="n">
        <v>0.9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IFERROR(LOOKUP(2,1/($H178:$S178&lt;&gt;""),$H178:$S178),"")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محقق",IF($U178&gt;=0.97,"🟡 قريب","🔴 تحت الهدف")))</f>
        <v/>
      </c>
      <c r="W178" s="66">
        <f>IF($G178="","",$G178)</f>
        <v/>
      </c>
      <c r="X178" s="59">
        <f>IF($U178="","—",IF($U178&gt;=0.97,"🟢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مخاطر الجودة الحرجة المفتوحة</t>
        </is>
      </c>
      <c r="D179" s="15" t="inlineStr">
        <is>
          <t>شهري</t>
        </is>
      </c>
      <c r="E179" s="15" t="inlineStr">
        <is>
          <t>لقطة</t>
        </is>
      </c>
      <c r="F179" s="55" t="inlineStr">
        <is>
          <t>↓</t>
        </is>
      </c>
      <c r="G179" s="60" t="n">
        <v>0</v>
      </c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IFERROR(LOOKUP(2,1/($H179:$S179&lt;&gt;""),$H179:$S179),"")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إغلاق مخاطر الجودة في الوقت المحدد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انخفاض الشكاوى المتكررة ذات العلاقة بالجودة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0.15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اكتمال وتحديث الإجراءات المعتمدة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اكتمال سجلات الجودة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رقمنة عمليات الجودة</t>
        </is>
      </c>
      <c r="D184" s="15" t="inlineStr">
        <is>
          <t>شهري</t>
        </is>
      </c>
      <c r="E184" s="15" t="inlineStr">
        <is>
          <t>لقطة</t>
        </is>
      </c>
      <c r="F184" s="55" t="inlineStr">
        <is>
          <t>↑</t>
        </is>
      </c>
      <c r="G184" s="64" t="n">
        <v>0.8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IFERROR(LOOKUP(2,1/($H184:$S184&lt;&gt;""),$H184:$S184),"")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عدد مبادرات التحسين المؤثرة</t>
        </is>
      </c>
      <c r="D185" s="15" t="inlineStr">
        <is>
          <t>ربعي</t>
        </is>
      </c>
      <c r="E185" s="15" t="inlineStr">
        <is>
          <t>تراكمي</t>
        </is>
      </c>
      <c r="F185" s="55" t="inlineStr">
        <is>
          <t>↑</t>
        </is>
      </c>
      <c r="G185" s="60" t="n">
        <v>8</v>
      </c>
      <c r="H185" s="61" t="n"/>
      <c r="I185" s="61" t="n"/>
      <c r="J185" s="61" t="n"/>
      <c r="K185" s="61" t="n"/>
      <c r="L185" s="61" t="n"/>
      <c r="M185" s="61" t="n"/>
      <c r="N185" s="61" t="n"/>
      <c r="O185" s="61" t="n"/>
      <c r="P185" s="61" t="n"/>
      <c r="Q185" s="61" t="n"/>
      <c r="R185" s="61" t="n"/>
      <c r="S185" s="61" t="n"/>
      <c r="T185" s="62">
        <f>IF(COUNT($H185:$S185)=0,"",SUM($H185:$S185))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3">
        <f>IF($G185="","",$G185*COUNT($H185:$S185)/12)</f>
        <v/>
      </c>
      <c r="X185" s="59">
        <f>IF($U185="","—",IF($U185&gt;=COUNT($H185:$S185)/12,"🟢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المُراجَعة قانونياً قبل التوقيع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صياغة ومراجعة العقد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3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العقود الخالية من الملاحظات والمخاطر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القضايا المُغلقة لصالح الشركة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تقديم المذكرات والردود في المواعيد النظامية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متوسط زمن إعداد المذكرة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↓</t>
        </is>
      </c>
      <c r="G191" s="67" t="n">
        <v>5</v>
      </c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9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70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الاستشارات المُنجزة ضمن المدة المستهدفة (SLA)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مستوى رضا الإدارات عن الدعم القانوني</t>
        </is>
      </c>
      <c r="D193" s="15" t="inlineStr">
        <is>
          <t>ربعي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0.85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هدف",IF($U193&gt;=0.9,"✅ محقق",IF($U193&gt;=0.75,"🟡 قريب","🔴 تحت الهدف")))</f>
        <v/>
      </c>
      <c r="W193" s="66">
        <f>IF($G193="","",$G193)</f>
        <v/>
      </c>
      <c r="X193" s="59">
        <f>IF($U193="","—",IF($U193&gt;=0.75,"🟢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إنجاز التحقيقات ضمن المدة المحددة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التحقيقات المُغلقة من إجمالي المُحالة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متوسط زمن إغلاق قضية التحقيق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↓</t>
        </is>
      </c>
      <c r="G196" s="67" t="n">
        <v>30</v>
      </c>
      <c r="H196" s="68" t="n"/>
      <c r="I196" s="68" t="n"/>
      <c r="J196" s="68" t="n"/>
      <c r="K196" s="68" t="n"/>
      <c r="L196" s="68" t="n"/>
      <c r="M196" s="68" t="n"/>
      <c r="N196" s="68" t="n"/>
      <c r="O196" s="68" t="n"/>
      <c r="P196" s="68" t="n"/>
      <c r="Q196" s="68" t="n"/>
      <c r="R196" s="68" t="n"/>
      <c r="S196" s="68" t="n"/>
      <c r="T196" s="69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70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تنفيذ التوصيات الصادرة عن التحقيقات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التزام التحقيقات بالإجراءات النظامية والعدالة الإجرائية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نمو الإيرادات السنوي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0.2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EBITDA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0.08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صافي الربح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العائد على حقوق الملكية (ROE)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 (Current Ratio)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متوسط أيام التحصيل العام (DSO)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7" t="n">
        <v>30</v>
      </c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9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70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التحصيل العام (الشركة)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0.95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الذمم المتأخرة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نسبة الديون المعدومة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↓</t>
        </is>
      </c>
      <c r="G209" s="64" t="n">
        <v>0.01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سداد الموردين في الموعد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0.98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اكتمال مطابقة حسابات الموردين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0.95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التنبؤ النقدي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تباين مخزون الوقود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4" t="n">
        <v>0.001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دقة مطابقة المخزون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0.995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دقة تسوية أرامكو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1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محقق",IF($U215&gt;=0.97,"🟡 قريب","🔴 تحت الهدف")))</f>
        <v/>
      </c>
      <c r="W215" s="66">
        <f>IF($G215="","",$G215)</f>
        <v/>
      </c>
      <c r="X215" s="59">
        <f>IF($U215="","—",IF($U215&gt;=0.97,"🟢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تحصيل الامتياز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↑</t>
        </is>
      </c>
      <c r="G216" s="64" t="n">
        <v>0.98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أيام تحصيل رسوم الامتياز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↓</t>
        </is>
      </c>
      <c r="G217" s="67" t="n">
        <v>15</v>
      </c>
      <c r="H217" s="68" t="n"/>
      <c r="I217" s="68" t="n"/>
      <c r="J217" s="68" t="n"/>
      <c r="K217" s="68" t="n"/>
      <c r="L217" s="68" t="n"/>
      <c r="M217" s="68" t="n"/>
      <c r="N217" s="68" t="n"/>
      <c r="O217" s="68" t="n"/>
      <c r="P217" s="68" t="n"/>
      <c r="Q217" s="68" t="n"/>
      <c r="R217" s="68" t="n"/>
      <c r="S217" s="68" t="n"/>
      <c r="T217" s="69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محقق",IF($U217&gt;=0.85,"🟡 قريب","🔴 تحت الهدف")))</f>
        <v/>
      </c>
      <c r="W217" s="70">
        <f>IF($G217="","",$G217)</f>
        <v/>
      </c>
      <c r="X217" s="59">
        <f>IF($U217="","—",IF($U217&gt;=0.85,"🟢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نسبة تحصيل الإيجار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0.98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66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معدل تجديد عقود الإيجار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0.9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انحراف الموازنة</t>
        </is>
      </c>
      <c r="D220" s="15" t="inlineStr">
        <is>
          <t>ربعي</t>
        </is>
      </c>
      <c r="E220" s="15" t="inlineStr">
        <is>
          <t>معدل</t>
        </is>
      </c>
      <c r="F220" s="55" t="inlineStr">
        <is>
          <t>↓</t>
        </is>
      </c>
      <c r="G220" s="64" t="n">
        <v>0.1</v>
      </c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56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66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أيام الإقفال الشهري</t>
        </is>
      </c>
      <c r="D221" s="15" t="inlineStr">
        <is>
          <t>شهري</t>
        </is>
      </c>
      <c r="E221" s="15" t="inlineStr">
        <is>
          <t>معدل</t>
        </is>
      </c>
      <c r="F221" s="55" t="inlineStr">
        <is>
          <t>↓</t>
        </is>
      </c>
      <c r="G221" s="67" t="n">
        <v>6</v>
      </c>
      <c r="H221" s="68" t="n"/>
      <c r="I221" s="68" t="n"/>
      <c r="J221" s="68" t="n"/>
      <c r="K221" s="68" t="n"/>
      <c r="L221" s="68" t="n"/>
      <c r="M221" s="68" t="n"/>
      <c r="N221" s="68" t="n"/>
      <c r="O221" s="68" t="n"/>
      <c r="P221" s="68" t="n"/>
      <c r="Q221" s="68" t="n"/>
      <c r="R221" s="68" t="n"/>
      <c r="S221" s="68" t="n"/>
      <c r="T221" s="69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70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نسبة تسويات التدقيق</t>
        </is>
      </c>
      <c r="D222" s="15" t="inlineStr">
        <is>
          <t>ربعي</t>
        </is>
      </c>
      <c r="E222" s="15" t="inlineStr">
        <is>
          <t>معدل</t>
        </is>
      </c>
      <c r="F222" s="55" t="inlineStr">
        <is>
          <t>↓</t>
        </is>
      </c>
      <c r="G222" s="64" t="n">
        <v>0.02</v>
      </c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56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66">
        <f>IF($G222="","",$G222)</f>
        <v/>
      </c>
      <c r="X222" s="59">
        <f>IF($U222="","—",IF($U222&gt;=0.85,"🟢 على المسار","🟠 متأخّر"))</f>
        <v/>
      </c>
    </row>
  </sheetData>
  <autoFilter ref="A3:X222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4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4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4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4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4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4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4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4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4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4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4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4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5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28</v>
      </c>
      <c r="D6" s="75" t="n">
        <v>1</v>
      </c>
      <c r="E6" s="15" t="n">
        <v>18</v>
      </c>
      <c r="F6" s="15" t="n">
        <v>4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5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23</v>
      </c>
      <c r="D8" s="75" t="n">
        <v>1</v>
      </c>
      <c r="E8" s="15" t="n">
        <v>4</v>
      </c>
      <c r="F8" s="15" t="n">
        <v>3</v>
      </c>
      <c r="G8" s="15" t="n">
        <v>16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5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5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5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5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5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5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5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5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5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5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0.151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0.11</v>
      </c>
    </row>
    <row r="24">
      <c r="A24" s="15" t="n">
        <v>3</v>
      </c>
      <c r="B24" s="13" t="inlineStr">
        <is>
          <t>العمليات الداخلية</t>
        </is>
      </c>
      <c r="C24" s="15" t="n">
        <v>139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0.105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23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1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6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6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6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6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6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6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6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6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6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6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6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6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4" t="n">
        <v>0.05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6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6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6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6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6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6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6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6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6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6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إغلاق ملاحظات الجودة الميدانية</t>
        </is>
      </c>
      <c r="D25" s="76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متوسط درجة تقييم جودة المحطة (قائمة التحقق)</t>
        </is>
      </c>
      <c r="D26" s="76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6" s="11" t="inlineStr">
        <is>
          <t>إجمالي العدد خلال الفترة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تنفيذ الزيارات الميدانية المجدولة</t>
        </is>
      </c>
      <c r="D27" s="76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المحطات المستوفية لمعايير السلامة</t>
        </is>
      </c>
      <c r="D28" s="76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0.04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وقت معالجة البلاغات التشغيلية</t>
        </is>
      </c>
      <c r="D29" s="76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9" s="11" t="inlineStr">
        <is>
          <t>متوسط ساعة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0.03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76" t="inlineStr">
        <is>
          <t>يقيس نسبة أتمتة محطات الامتياز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0.04</v>
      </c>
      <c r="J30" s="15" t="inlineStr">
        <is>
          <t>مدير الامتياز</t>
        </is>
      </c>
      <c r="K30" s="11" t="inlineStr">
        <is>
          <t>مكتب إدارة المشاريع (PMO)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تطبيق المعيار الشامل داخل المحطات</t>
        </is>
      </c>
      <c r="D31" s="76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0.02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التزام المحطات بالهوية المؤسسية</t>
        </is>
      </c>
      <c r="D32" s="76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الابتكار · تطوير التصاميم والهوية</t>
        </is>
      </c>
      <c r="H32" s="15" t="inlineStr">
        <is>
          <t>التعلّم والنمو</t>
        </is>
      </c>
      <c r="I32" s="64" t="n">
        <v>0.04</v>
      </c>
      <c r="J32" s="15" t="inlineStr">
        <is>
          <t>مدير الامتياز</t>
        </is>
      </c>
      <c r="K32" s="11" t="inlineStr">
        <is>
          <t>نظام تشغيل المحطات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تقييم المحطات على خرائط قوقل</t>
        </is>
      </c>
      <c r="D33" s="76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3" s="11" t="inlineStr">
        <is>
          <t>متوسط التقييم (من 5)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تقييمات خرائط قوقل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معدل رضا شركاء الامتياز (CSAT)</t>
        </is>
      </c>
      <c r="D34" s="76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استبيان دوري</t>
        </is>
      </c>
      <c r="L34" s="15" t="inlineStr">
        <is>
          <t>ربعي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حل الشكاوى خلال المدة المحددة</t>
        </is>
      </c>
      <c r="D35" s="76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انخفاض الشكاوى التشغيلية والإدارية</t>
        </is>
      </c>
      <c r="D36" s="76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استدامة أصحاب الامتياز (Retention)</t>
        </is>
      </c>
      <c r="D37" s="76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زيادة عدد أصحاب الامتياز</t>
        </is>
      </c>
      <c r="D38" s="76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⚙️ نشاط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متوسط مدة إغلاق عقد الامتياز</t>
        </is>
      </c>
      <c r="D39" s="76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9" s="11" t="inlineStr">
        <is>
          <t>متوسط أسبوع خلال الفترة</t>
        </is>
      </c>
      <c r="F39" s="15" t="inlineStr">
        <is>
          <t>🎯 نتيجة</t>
        </is>
      </c>
      <c r="G39" s="11" t="inlineStr">
        <is>
          <t>النمو · الامتياز التجاري</t>
        </is>
      </c>
      <c r="H39" s="15" t="inlineStr">
        <is>
          <t>العمليات الداخلية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نسبة التحصيل خلال 5 أيام عمل</t>
        </is>
      </c>
      <c r="D40" s="76" t="inlineStr">
        <is>
          <t>يقيس نسبة التحصيل خلال 5 أيام عمل ضمن محور «الأداء المالي»،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الامتياز التجاري</t>
        </is>
      </c>
      <c r="H40" s="15" t="inlineStr">
        <is>
          <t>مالي</t>
        </is>
      </c>
      <c r="I40" s="64" t="n">
        <v>0.04</v>
      </c>
      <c r="J40" s="15" t="inlineStr">
        <is>
          <t>مدير الامتياز</t>
        </is>
      </c>
      <c r="K40" s="11" t="inlineStr">
        <is>
          <t>نظام المحاسبة / ERP (D365)</t>
        </is>
      </c>
      <c r="L40" s="15" t="inlineStr">
        <is>
          <t>شهري</t>
        </is>
      </c>
      <c r="M40" s="15" t="inlineStr">
        <is>
          <t>الإدارة المالية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عدد المحطات المشغّلة (تراكمي)</t>
        </is>
      </c>
      <c r="D41" s="76" t="inlineStr">
        <is>
          <t>يقيس عدد المحطات المشغّلة (تراكمي) ضمن محور «النمو»،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⚙️ نشاط</t>
        </is>
      </c>
      <c r="G41" s="11" t="inlineStr">
        <is>
          <t>النمو · التوسع في المواقع</t>
        </is>
      </c>
      <c r="H41" s="15" t="inlineStr">
        <is>
          <t>العمليات الداخلية</t>
        </is>
      </c>
      <c r="I41" s="64" t="n">
        <v>0.08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نمو مبيعات بنزين 91 مقارنة بالعام السابق</t>
        </is>
      </c>
      <c r="D42" s="76" t="inlineStr">
        <is>
          <t>يقيس نمو مبيعات بنزين 91 مقارنة بالعام السابق ضمن محور «الربحية»،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🎯 نتيجة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المحاسبة / ERP (D365)</t>
        </is>
      </c>
      <c r="L42" s="15" t="inlineStr">
        <is>
          <t>شهري</t>
        </is>
      </c>
      <c r="M42" s="15" t="inlineStr">
        <is>
          <t>الإدارة المالية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95 مقارنة بالعام السابق</t>
        </is>
      </c>
      <c r="D43" s="76" t="inlineStr">
        <is>
          <t>يقيس نمو مبيعات بنزين 95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98 مقارنة بالعام السابق</t>
        </is>
      </c>
      <c r="D44" s="76" t="inlineStr">
        <is>
          <t>يقيس نمو مبيعات بنزين 98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الديزل مقارنة بالعام السابق</t>
        </is>
      </c>
      <c r="D45" s="76" t="inlineStr">
        <is>
          <t>يقيس نمو مبيعات الديزل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جاهزية المحطة الشاملة (Uptime)</t>
        </is>
      </c>
      <c r="D46" s="76" t="inlineStr">
        <is>
          <t>يقيس نسبة جاهزية المحطة الشاملة (Uptime) ضمن محور «حماية الإيراد»،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المضخات العاملة</t>
        </is>
      </c>
      <c r="D47" s="76" t="inlineStr">
        <is>
          <t>يقيس نسبة المضخات العاملة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تكلفة التشغيل لكل لتر مباع</t>
        </is>
      </c>
      <c r="D48" s="76" t="inlineStr">
        <is>
          <t>يقيس تكلفة التشغيل لكل لتر مباع ضمن محور «ضغط التكلفة»،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مالي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ربعي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نسبة الصيانة الوقائية المنفذة في موعدها</t>
        </is>
      </c>
      <c r="D49" s="76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انخفاض الشكاوى مقارنة بالشهر السابق</t>
        </is>
      </c>
      <c r="D50" s="76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تعزيز تجربة العملاء</t>
        </is>
      </c>
      <c r="H50" s="15" t="inlineStr">
        <is>
          <t>العملاء</t>
        </is>
      </c>
      <c r="I50" s="64" t="n">
        <v>0.05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تقييم Google Maps للمحطات</t>
        </is>
      </c>
      <c r="D51" s="76" t="inlineStr">
        <is>
          <t>يقيس تقييم Google Maps للمحطات ضمن محور «تجربة العميل»، ويعكس مساهمة الإدارة في ركيزة الاستدامة.</t>
        </is>
      </c>
      <c r="E51" s="11" t="inlineStr">
        <is>
          <t>متوسط التقييم (من 5)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0.07000000000000001</v>
      </c>
      <c r="J51" s="15" t="inlineStr">
        <is>
          <t>مدير التشغيل</t>
        </is>
      </c>
      <c r="K51" s="11" t="inlineStr">
        <is>
          <t>تقييمات خرائط قوقل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سرعة تعبئة الوقود</t>
        </is>
      </c>
      <c r="D52" s="76" t="inlineStr">
        <is>
          <t>يقيس سرعة تعبئة الوقود ضمن محور «تجربة العميل»، ويعكس مساهمة الإدارة في ركيزة الاستدامة.</t>
        </is>
      </c>
      <c r="E52" s="11" t="inlineStr">
        <is>
          <t>متوسط دقيقة خلال الفترة</t>
        </is>
      </c>
      <c r="F52" s="15" t="inlineStr">
        <is>
          <t>🔧 تشغيلي</t>
        </is>
      </c>
      <c r="G52" s="11" t="inlineStr">
        <is>
          <t>الاستدامة · تعزيز تجربة العملاء</t>
        </is>
      </c>
      <c r="H52" s="15" t="inlineStr">
        <is>
          <t>العمليات الداخلية</t>
        </is>
      </c>
      <c r="I52" s="64" t="n">
        <v>0.05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دقة التعبئة بدون أخطاء</t>
        </is>
      </c>
      <c r="D53" s="76" t="inlineStr">
        <is>
          <t>يقيس دقة التعبئة بدون أخطاء ضمن محور «تجربة العميل»،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جودة التشغيل</t>
        </is>
      </c>
      <c r="H53" s="15" t="inlineStr">
        <is>
          <t>العمليات الداخلية</t>
        </is>
      </c>
      <c r="I53" s="64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تطبيق المعيار الشامل في المحطات</t>
        </is>
      </c>
      <c r="D54" s="76" t="inlineStr">
        <is>
          <t>يقيس تطبيق المعيار الشامل في المحطات ضمن محور «تجربة العميل»، ويعكس مساهمة الإدارة في ركيزة الابتكار.</t>
        </is>
      </c>
      <c r="E54" s="11" t="inlineStr">
        <is>
          <t>(المتحقّق ÷ الإجمالي) × 100٪</t>
        </is>
      </c>
      <c r="F54" s="15" t="inlineStr">
        <is>
          <t>🔧 تشغيلي</t>
        </is>
      </c>
      <c r="G54" s="11" t="inlineStr">
        <is>
          <t>الابتكار · التحول التقني</t>
        </is>
      </c>
      <c r="H54" s="15" t="inlineStr">
        <is>
          <t>التعلّم والنمو</t>
        </is>
      </c>
      <c r="I54" s="64" t="n">
        <v>0.02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الالتزام بمعايير السلامة داخل المحطة</t>
        </is>
      </c>
      <c r="D55" s="76" t="inlineStr">
        <is>
          <t>يقيس الالتزام بمعايير السلامة داخل المحطة ضمن محور «السلامة»،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4" t="n">
        <v>0.07000000000000001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التشجير داخل المحطة (معيار الوزارة)</t>
        </is>
      </c>
      <c r="D56" s="76" t="inlineStr">
        <is>
          <t>يقيس التشجير داخل المحطة (معيار الوزارة) ضمن محور «البيئة»،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4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عقود الاستثمار العادي الجديدة</t>
        </is>
      </c>
      <c r="D57" s="76" t="inlineStr">
        <is>
          <t>يقيس عقود الاستثمار العادي الجديدة ضمن محور «نمو المحفظة»،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0.05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عقود الاستحواذ الجديدة</t>
        </is>
      </c>
      <c r="D58" s="76" t="inlineStr">
        <is>
          <t>يقيس عقود الاستحواذ الجديدة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المحطات المستحوَذ عليها المشغّلة (تراكمي)</t>
        </is>
      </c>
      <c r="D59" s="76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0.05</v>
      </c>
      <c r="J59" s="15" t="inlineStr">
        <is>
          <t>مدير الاستثمار</t>
        </is>
      </c>
      <c r="K59" s="11" t="inlineStr">
        <is>
          <t>نظام تشغيل المحطات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تأجير الأرض الجديدة</t>
        </is>
      </c>
      <c r="D60" s="76" t="inlineStr">
        <is>
          <t>يقيس عقود تأجير الأرض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عقود إيجار المحطة الجديدة</t>
        </is>
      </c>
      <c r="D61" s="76" t="inlineStr">
        <is>
          <t>يقيس عقود إيجار المحطة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تشغيل المحطة الجديدة</t>
        </is>
      </c>
      <c r="D62" s="76" t="inlineStr">
        <is>
          <t>يقيس عقود تشغيل المحطة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المواقع المعتمدة ذات العائد المجدي</t>
        </is>
      </c>
      <c r="D63" s="76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🎯 نتيجة</t>
        </is>
      </c>
      <c r="G63" s="11" t="inlineStr">
        <is>
          <t>الاستدامة · جودة التشغيل</t>
        </is>
      </c>
      <c r="H63" s="15" t="inlineStr">
        <is>
          <t>مالي</t>
        </is>
      </c>
      <c r="I63" s="64" t="n">
        <v>0.05</v>
      </c>
      <c r="J63" s="15" t="inlineStr">
        <is>
          <t>مدير الاستثمار</t>
        </is>
      </c>
      <c r="K63" s="11" t="inlineStr">
        <is>
          <t>نظام المحاسبة / ERP (D365)</t>
        </is>
      </c>
      <c r="L63" s="15" t="inlineStr">
        <is>
          <t>شهري</t>
        </is>
      </c>
      <c r="M63" s="15" t="inlineStr">
        <is>
          <t>الإدارة المالية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متوسط فترة استرداد رأس المال</t>
        </is>
      </c>
      <c r="D64" s="76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4" s="11" t="inlineStr">
        <is>
          <t>متوسط سنة خلال الفترة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مالي</t>
        </is>
      </c>
      <c r="I64" s="64" t="n">
        <v>0.04</v>
      </c>
      <c r="J64" s="15" t="inlineStr">
        <is>
          <t>مدير الاستثمار</t>
        </is>
      </c>
      <c r="K64" s="11" t="inlineStr">
        <is>
          <t>نظام المحاسبة / ERP (D365)</t>
        </is>
      </c>
      <c r="L64" s="15" t="inlineStr">
        <is>
          <t>شهري</t>
        </is>
      </c>
      <c r="M64" s="15" t="inlineStr">
        <is>
          <t>الإدارة المالية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متوسط قيمة عقد الإيجار السنوي (أرض)</t>
        </is>
      </c>
      <c r="D65" s="76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5" s="11" t="inlineStr">
        <is>
          <t>إجمالي القيمة (ر.س) خلال الفترة</t>
        </is>
      </c>
      <c r="F65" s="15" t="inlineStr">
        <is>
          <t>🎯 نتيجة</t>
        </is>
      </c>
      <c r="G65" s="11" t="inlineStr">
        <is>
          <t>النمو · التوسع في المواقع</t>
        </is>
      </c>
      <c r="H65" s="15" t="inlineStr">
        <is>
          <t>مالي</t>
        </is>
      </c>
      <c r="I65" s="64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نسبة العقود التي تغطي المناطق الـ13</t>
        </is>
      </c>
      <c r="D66" s="76" t="inlineStr">
        <is>
          <t>يقيس نسبة العقود التي تغطي المناطق الـ13 ضمن محور «التوسع الإقليمي»، ويعكس مساهمة الإدارة في ركيزة النمو.</t>
        </is>
      </c>
      <c r="E66" s="11" t="inlineStr">
        <is>
          <t>(المتحقّق ÷ الإجمالي) × 100٪</t>
        </is>
      </c>
      <c r="F66" s="15" t="inlineStr">
        <is>
          <t>🔧 تشغيلي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64" t="n">
        <v>0.05</v>
      </c>
      <c r="J66" s="15" t="inlineStr">
        <is>
          <t>مدير الاستثمار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نسبة العقود خارج المدن الرئيسية</t>
        </is>
      </c>
      <c r="D67" s="76" t="inlineStr">
        <is>
          <t>يقيس نسبة العقود خارج المدن الرئيسية ضمن محور «التوسع الإقليمي»،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التوسع في المواقع</t>
        </is>
      </c>
      <c r="H67" s="15" t="inlineStr">
        <is>
          <t>العمليات الداخلية</t>
        </is>
      </c>
      <c r="I67" s="64" t="n">
        <v>0.05</v>
      </c>
      <c r="J67" s="15" t="inlineStr">
        <is>
          <t>مدير الاستثمار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الاستثمار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في الـ12 مدينة الرئيسية</t>
        </is>
      </c>
      <c r="D68" s="76" t="inlineStr">
        <is>
          <t>يقيس نسبة العقود في الـ12 مدينة الرئيسية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على الطرق الإقليمية</t>
        </is>
      </c>
      <c r="D69" s="76" t="inlineStr">
        <is>
          <t>يقيس نسبة العقود على الطرق الإقليمية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متوسط مدة إغلاق عقد الاستثمار</t>
        </is>
      </c>
      <c r="D70" s="76" t="inlineStr">
        <is>
          <t>يقيس متوسط مدة إغلاق عقد الاستثمار ضمن محور «كفاءة الدورة»، ويعكس مساهمة الإدارة في ركيزة النمو.</t>
        </is>
      </c>
      <c r="E70" s="11" t="inlineStr">
        <is>
          <t>متوسط أسبوع خلال الفترة</t>
        </is>
      </c>
      <c r="F70" s="15" t="inlineStr">
        <is>
          <t>🎯 نتيجة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المتحوّلة لمحطات مشغّلة</t>
        </is>
      </c>
      <c r="D71" s="76" t="inlineStr">
        <is>
          <t>يقيس نسبة العقود المتحوّلة لمحطات مشغّلة ضمن محور «كفاءة الدورة»،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4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نسبة تخفيض إيجار المواقع عالية التكاليف</t>
        </is>
      </c>
      <c r="D72" s="76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64" t="n">
        <v>0.04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اكتمال المستندات النظامية قبل التوقيع</t>
        </is>
      </c>
      <c r="D73" s="76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⚙️ نشاط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0.02</v>
      </c>
      <c r="J73" s="15" t="inlineStr">
        <is>
          <t>مدير الاستثمار</t>
        </is>
      </c>
      <c r="K73" s="11" t="inlineStr">
        <is>
          <t>نظام إدارة الجودة (QMS)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العقود المؤرشفة إلكترونياً خلال 48 ساعة</t>
        </is>
      </c>
      <c r="D74" s="76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0.05</v>
      </c>
      <c r="J74" s="15" t="inlineStr">
        <is>
          <t>مدير الاستثمار</t>
        </is>
      </c>
      <c r="K74" s="11" t="inlineStr">
        <is>
          <t>نظام إدارة الجودة (QMS)</t>
        </is>
      </c>
      <c r="L74" s="15" t="inlineStr">
        <is>
          <t>شهري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جودة التفاوض مع المستثمرين</t>
        </is>
      </c>
      <c r="D75" s="76" t="inlineStr">
        <is>
          <t>يقيس جودة التفاوض مع المستثمرين ضمن محور «جودة التعاقد»، ويعكس مساهمة الإدارة في ركيزة النمو.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النمو · التوسع في المواقع</t>
        </is>
      </c>
      <c r="H75" s="15" t="inlineStr">
        <is>
          <t>العمليات الداخلية</t>
        </is>
      </c>
      <c r="I75" s="64" t="n">
        <v>0.03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7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سرعة إنجاز إجراءات التعاقد</t>
        </is>
      </c>
      <c r="D76" s="76" t="inlineStr">
        <is>
          <t>يقيس سرعة إنجاز إجراءات التعاقد ضمن محور «جودة التعاقد»، ويعكس مساهمة الإدارة في ركيزة النمو.</t>
        </is>
      </c>
      <c r="E76" s="11" t="inlineStr">
        <is>
          <t>متوسط أسبوع خلال الفترة</t>
        </is>
      </c>
      <c r="F76" s="15" t="inlineStr">
        <is>
          <t>🔧 تشغيلي</t>
        </is>
      </c>
      <c r="G76" s="11" t="inlineStr">
        <is>
          <t>النمو · التوسع في المواقع</t>
        </is>
      </c>
      <c r="H76" s="15" t="inlineStr">
        <is>
          <t>العمليات الداخلية</t>
        </is>
      </c>
      <c r="I76" s="64" t="n">
        <v>0.03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7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مدى رضا المستثمرين وشركاء الاستثمار</t>
        </is>
      </c>
      <c r="D77" s="76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0.05</v>
      </c>
      <c r="J77" s="15" t="inlineStr">
        <is>
          <t>مدير الاستثمار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الاستثمار</t>
        </is>
      </c>
      <c r="N77" s="57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نسبة اكتمال أرشفة ملفات العملاء</t>
        </is>
      </c>
      <c r="D78" s="76" t="inlineStr">
        <is>
          <t>يقيس نسبة اكتمال أرشفة ملفات العملاء ضمن محور «جودة التعاقد»،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⚙️ نشاط</t>
        </is>
      </c>
      <c r="G78" s="11" t="inlineStr">
        <is>
          <t>الاستدامة · جودة التشغيل</t>
        </is>
      </c>
      <c r="H78" s="15" t="inlineStr">
        <is>
          <t>العملاء</t>
        </is>
      </c>
      <c r="I78" s="64" t="n">
        <v>0.02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7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نسبة إنجاز التقارير الدورية في موعدها</t>
        </is>
      </c>
      <c r="D79" s="76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⚙️ نشاط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64" t="n">
        <v>0.02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نمو الإيرادات الإيجارية</t>
        </is>
      </c>
      <c r="D80" s="76" t="inlineStr">
        <is>
          <t>يقيس نمو الإيرادات الإيجارية ضمن محور «الإدارة»،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منظومة التأجير</t>
        </is>
      </c>
      <c r="H80" s="15" t="inlineStr">
        <is>
          <t>مالي</t>
        </is>
      </c>
      <c r="I80" s="64" t="n">
        <v>0.08</v>
      </c>
      <c r="J80" s="15" t="inlineStr">
        <is>
          <t>مدير العقار</t>
        </is>
      </c>
      <c r="K80" s="11" t="inlineStr">
        <is>
          <t>نظام المحاسبة / ERP (D365)</t>
        </is>
      </c>
      <c r="L80" s="15" t="inlineStr">
        <is>
          <t>ربعي</t>
        </is>
      </c>
      <c r="M80" s="15" t="inlineStr">
        <is>
          <t>الإدارة المالية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الالتزام بالعقود</t>
        </is>
      </c>
      <c r="D81" s="76" t="inlineStr">
        <is>
          <t>يقيس نسبة الالتزام بالعقود ضمن محور «الإدارة»،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منظومة التأجير</t>
        </is>
      </c>
      <c r="H81" s="15" t="inlineStr">
        <is>
          <t>العمليات الداخلية</t>
        </is>
      </c>
      <c r="I81" s="64" t="n">
        <v>0.08</v>
      </c>
      <c r="J81" s="15" t="inlineStr">
        <is>
          <t>مدير العقار</t>
        </is>
      </c>
      <c r="K81" s="11" t="inlineStr">
        <is>
          <t>نظام إدارة العقود (CRM)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نسبة تحصيل الإيجارات</t>
        </is>
      </c>
      <c r="D82" s="76" t="inlineStr">
        <is>
          <t>يقيس نسبة تحصيل الإيجارات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4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شهري</t>
        </is>
      </c>
      <c r="M82" s="15" t="inlineStr">
        <is>
          <t>الإدارة المالية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الإشغال</t>
        </is>
      </c>
      <c r="D83" s="76" t="inlineStr">
        <is>
          <t>يقيس نسبة الإشغال ضمن محور «التأجير»،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4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الوحدات المؤجَّرة شهرياً</t>
        </is>
      </c>
      <c r="D84" s="76" t="inlineStr">
        <is>
          <t>يقيس الوحدات المؤجَّرة شهرياً ضمن محور «التأجير»، ويعكس مساهمة الإدارة في ركيزة الاستدامة.</t>
        </is>
      </c>
      <c r="E84" s="11" t="inlineStr">
        <is>
          <t>إجمالي العدد خلال الفترة</t>
        </is>
      </c>
      <c r="F84" s="15" t="inlineStr">
        <is>
          <t>🔧 تشغيلي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4" t="n">
        <v>0.05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العملاء المحتملون (LEADS)</t>
        </is>
      </c>
      <c r="D85" s="76" t="inlineStr">
        <is>
          <t>يقيس العملاء المحتملون (LEADS) ضمن محور «التأجير»،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🔧 تشغيلي</t>
        </is>
      </c>
      <c r="G85" s="11" t="inlineStr">
        <is>
          <t>النمو · زيادة وصول العملاء</t>
        </is>
      </c>
      <c r="H85" s="15" t="inlineStr">
        <is>
          <t>العملاء</t>
        </is>
      </c>
      <c r="I85" s="64" t="n">
        <v>0.05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معدل التحويل</t>
        </is>
      </c>
      <c r="D86" s="76" t="inlineStr">
        <is>
          <t>يقيس معدل التحويل ضمن محور «التأجير»، ويعكس مساهمة الإدارة في ركيزة النمو.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النمو · زيادة وصول العملاء</t>
        </is>
      </c>
      <c r="H86" s="15" t="inlineStr">
        <is>
          <t>العمليات الداخلية</t>
        </is>
      </c>
      <c r="I86" s="64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زيادة عدد العلامات التجارية</t>
        </is>
      </c>
      <c r="D87" s="76" t="inlineStr">
        <is>
          <t>يقيس زيادة عدد العلامات التجارية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76" t="inlineStr">
        <is>
          <t>يقيس نسبة تأجير ساحة درب ضمن محور «الإبداع والتكامل»، ويعكس مساهمة الإدارة في ركيزة الابتكار.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الابتكار · ساحات درب</t>
        </is>
      </c>
      <c r="H88" s="15" t="inlineStr">
        <is>
          <t>العمليات الداخلية</t>
        </is>
      </c>
      <c r="I88" s="64" t="n">
        <v>0.05</v>
      </c>
      <c r="J88" s="15" t="inlineStr">
        <is>
          <t>مدير العقار</t>
        </is>
      </c>
      <c r="K88" s="11" t="inlineStr">
        <is>
          <t>مكتب إدارة المشاريع (PMO)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علامات تجارية جديدة (ساحة درب)</t>
        </is>
      </c>
      <c r="D89" s="76" t="inlineStr">
        <is>
          <t>يقيس علامات تجارية جديدة (ساحة درب) ضمن محور «الإبداع والتكامل»، ويعكس مساهمة الإدارة في ركيزة الابتكار.</t>
        </is>
      </c>
      <c r="E89" s="11" t="inlineStr">
        <is>
          <t>إجمالي العدد خلال الفترة</t>
        </is>
      </c>
      <c r="F89" s="15" t="inlineStr">
        <is>
          <t>🔧 تشغيلي</t>
        </is>
      </c>
      <c r="G89" s="11" t="inlineStr">
        <is>
          <t>الابتكار · ساحات درب</t>
        </is>
      </c>
      <c r="H89" s="15" t="inlineStr">
        <is>
          <t>العمليات الداخلية</t>
        </is>
      </c>
      <c r="I89" s="64" t="n">
        <v>0.05</v>
      </c>
      <c r="J89" s="15" t="inlineStr">
        <is>
          <t>مدير العقار</t>
        </is>
      </c>
      <c r="K89" s="11" t="inlineStr">
        <is>
          <t>مكتب إدارة المشاريع (PMO)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الشراكات الاستراتيجية</t>
        </is>
      </c>
      <c r="D90" s="76" t="inlineStr">
        <is>
          <t>يقيس الشراكات الاستراتيجية ضمن محور «الإبداع والتكامل»، ويعكس مساهمة الإدارة في ركيزة الابتكار.</t>
        </is>
      </c>
      <c r="E90" s="11" t="inlineStr">
        <is>
          <t>إجمالي العدد خلال الفترة</t>
        </is>
      </c>
      <c r="F90" s="15" t="inlineStr">
        <is>
          <t>🔧 تشغيلي</t>
        </is>
      </c>
      <c r="G90" s="11" t="inlineStr">
        <is>
          <t>الابتكار · إطلاق مشاريع جديدة</t>
        </is>
      </c>
      <c r="H90" s="15" t="inlineStr">
        <is>
          <t>التعلّم والنمو</t>
        </is>
      </c>
      <c r="I90" s="64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نسبة تجديد العقود</t>
        </is>
      </c>
      <c r="D91" s="76" t="inlineStr">
        <is>
          <t>يقيس نسبة تجديد العقود ضمن محور «إدارة الأملاك»،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منظومة التأجير</t>
        </is>
      </c>
      <c r="H91" s="15" t="inlineStr">
        <is>
          <t>العمليات الداخلية</t>
        </is>
      </c>
      <c r="I91" s="64" t="n">
        <v>0.08</v>
      </c>
      <c r="J91" s="15" t="inlineStr">
        <is>
          <t>مدير العقار</t>
        </is>
      </c>
      <c r="K91" s="11" t="inlineStr">
        <is>
          <t>نظام إدارة العقود (CRM)</t>
        </is>
      </c>
      <c r="L91" s="15" t="inlineStr">
        <is>
          <t>شهري</t>
        </is>
      </c>
      <c r="M91" s="15" t="inlineStr">
        <is>
          <t>مدير العقار</t>
        </is>
      </c>
      <c r="N91" s="57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متوسط زمن تسليم الوحدة</t>
        </is>
      </c>
      <c r="D92" s="76" t="inlineStr">
        <is>
          <t>يقيس متوسط زمن تسليم الوحدة ضمن محور «تنسيق المشاريع»، ويعكس مساهمة الإدارة في ركيزة الاستدامة.</t>
        </is>
      </c>
      <c r="E92" s="11" t="inlineStr">
        <is>
          <t>متوسط يوم خلال الفترة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0.05</v>
      </c>
      <c r="J92" s="15" t="inlineStr">
        <is>
          <t>مدير العقار</t>
        </is>
      </c>
      <c r="K92" s="11" t="inlineStr">
        <is>
          <t>سجلات الإدارة</t>
        </is>
      </c>
      <c r="L92" s="15" t="inlineStr">
        <is>
          <t>شهري</t>
        </is>
      </c>
      <c r="M92" s="15" t="inlineStr">
        <is>
          <t>مدير العقار</t>
        </is>
      </c>
      <c r="N92" s="57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إغلاق الطلبات خلال 3 أسابيع</t>
        </is>
      </c>
      <c r="D93" s="76" t="inlineStr">
        <is>
          <t>يقيس نسبة إغلاق الطلبات خلال 3 أسابيع ضمن محور «تنسيق المشاريع»،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0.05</v>
      </c>
      <c r="J93" s="15" t="inlineStr">
        <is>
          <t>مدير العقار</t>
        </is>
      </c>
      <c r="K93" s="11" t="inlineStr">
        <is>
          <t>سجلات الإدارة</t>
        </is>
      </c>
      <c r="L93" s="15" t="inlineStr">
        <is>
          <t>شهري</t>
        </is>
      </c>
      <c r="M93" s="15" t="inlineStr">
        <is>
          <t>مدير العقار</t>
        </is>
      </c>
      <c r="N93" s="57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استدامة المستأجرين (لم يُنهَ مبكراً)</t>
        </is>
      </c>
      <c r="D94" s="76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تعزيز تجربة العملاء</t>
        </is>
      </c>
      <c r="H94" s="15" t="inlineStr">
        <is>
          <t>العملاء</t>
        </is>
      </c>
      <c r="I94" s="64" t="n">
        <v>0.05</v>
      </c>
      <c r="J94" s="15" t="inlineStr">
        <is>
          <t>مدير العقار</t>
        </is>
      </c>
      <c r="K94" s="11" t="inlineStr">
        <is>
          <t>نظام إدارة الجودة (QMS)</t>
        </is>
      </c>
      <c r="L94" s="15" t="inlineStr">
        <is>
          <t>شهري</t>
        </is>
      </c>
      <c r="M94" s="15" t="inlineStr">
        <is>
          <t>مدير العقار</t>
        </is>
      </c>
      <c r="N94" s="57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معدل رضا المستأجرين (استبيان ربعي)</t>
        </is>
      </c>
      <c r="D95" s="76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تعزيز تجربة العملاء</t>
        </is>
      </c>
      <c r="H95" s="15" t="inlineStr">
        <is>
          <t>العملاء</t>
        </is>
      </c>
      <c r="I95" s="64" t="n">
        <v>0.07000000000000001</v>
      </c>
      <c r="J95" s="15" t="inlineStr">
        <is>
          <t>مدير العقار</t>
        </is>
      </c>
      <c r="K95" s="11" t="inlineStr">
        <is>
          <t>استبيان دوري</t>
        </is>
      </c>
      <c r="L95" s="15" t="inlineStr">
        <is>
          <t>ربعي</t>
        </is>
      </c>
      <c r="M95" s="15" t="inlineStr">
        <is>
          <t>مدير العقار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عدد محطات الشركة المُسلَّمة</t>
        </is>
      </c>
      <c r="D96" s="76" t="inlineStr">
        <is>
          <t>يقيس عدد محطات الشركة المُسلَّمة ضمن محور «تسليم محطات الشركة»، ويعكس مساهمة الإدارة في ركيزة النمو.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النمو · التوسع في المواقع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إدارة المشاريع</t>
        </is>
      </c>
      <c r="K96" s="11" t="inlineStr">
        <is>
          <t>نظام إدارة المشاريع (PMO/Primavera)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نسبة إنجاز محفظة مشاريع التوسع</t>
        </is>
      </c>
      <c r="D97" s="76" t="inlineStr">
        <is>
          <t>يقيس نسبة إنجاز محفظة مشاريع التوسع ضمن محور «تسليم محطات الشركة»،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النمو · التوسع في المواقع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إدارة المشاريع</t>
        </is>
      </c>
      <c r="K97" s="11" t="inlineStr">
        <is>
          <t>نظام إدارة المشاريع (PMO/Primavera)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نسبة تسليم المحطات في الموعد المخطط</t>
        </is>
      </c>
      <c r="D98" s="76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المشاريع المنفّذة ضمن الميزانية</t>
        </is>
      </c>
      <c r="D99" s="76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عدد محطات الامتياز المُسلَّمة بالهوية</t>
        </is>
      </c>
      <c r="D100" s="76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0" s="11" t="inlineStr">
        <is>
          <t>إجمالي العدد خلال الفترة</t>
        </is>
      </c>
      <c r="F100" s="15" t="inlineStr">
        <is>
          <t>⚙️ نشاط</t>
        </is>
      </c>
      <c r="G100" s="11" t="inlineStr">
        <is>
          <t>النمو · الامتياز التجاري</t>
        </is>
      </c>
      <c r="H100" s="15" t="inlineStr">
        <is>
          <t>التعلّم والنمو</t>
        </is>
      </c>
      <c r="I100" s="64" t="n">
        <v>0.09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تنفيذ زيارات الإشراف المجدولة</t>
        </is>
      </c>
      <c r="D101" s="76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⚙️ نشاط</t>
        </is>
      </c>
      <c r="G101" s="11" t="inlineStr">
        <is>
          <t>الاستدامة · الامتياز التجاري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نسبة التزام المطوّرين بالجدول الزمني</t>
        </is>
      </c>
      <c r="D102" s="76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الامتياز التجاري</t>
        </is>
      </c>
      <c r="H102" s="15" t="inlineStr">
        <is>
          <t>العمليات الداخلية</t>
        </is>
      </c>
      <c r="I102" s="64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إغلاق ملاحظات الجودة على المطوّرين</t>
        </is>
      </c>
      <c r="D103" s="76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المشاريع الخالية من مخالفات الجودة</t>
        </is>
      </c>
      <c r="D104" s="76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عدد مخالفات المقاولين (سنوي)</t>
        </is>
      </c>
      <c r="D105" s="76" t="inlineStr">
        <is>
          <t>يقيس عدد مخالفات المقاولين (سنوي) ضمن محور «الجودة والمقاولون»، ويعكس مساهمة الإدارة في ركيزة الاستدامة.</t>
        </is>
      </c>
      <c r="E105" s="11" t="inlineStr">
        <is>
          <t>إجمالي العدد خلال الفترة</t>
        </is>
      </c>
      <c r="F105" s="15" t="inlineStr">
        <is>
          <t>⚙️ نشاط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7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نسبة التزام المقاولين بمعايير السلامة</t>
        </is>
      </c>
      <c r="D106" s="76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0.09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7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الالتزام بالميزانية المعتمدة</t>
        </is>
      </c>
      <c r="D107" s="76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7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نسبة الالتزام بالجدول الزمني العام</t>
        </is>
      </c>
      <c r="D108" s="76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7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متوسط مدة إغلاق قائمة الملاحظات النهائية</t>
        </is>
      </c>
      <c r="D109" s="76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09" s="11" t="inlineStr">
        <is>
          <t>متوسط يوم خلال الفترة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7" t="n"/>
    </row>
    <row r="110" ht="30" customHeight="1">
      <c r="A110" s="15" t="n">
        <v>108</v>
      </c>
      <c r="B110" s="13" t="inlineStr">
        <is>
          <t>سلاسل الإمداد</t>
        </is>
      </c>
      <c r="C110" s="21" t="inlineStr">
        <is>
          <t>نسبة تلبية طلبات المحطات من الوقود Fill Rate</t>
        </is>
      </c>
      <c r="D110" s="76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النمو · زيادة وصول العملاء</t>
        </is>
      </c>
      <c r="H110" s="15" t="inlineStr">
        <is>
          <t>العمليات الداخلية</t>
        </is>
      </c>
      <c r="I110" s="64" t="n">
        <v>0.13</v>
      </c>
      <c r="J110" s="15" t="inlineStr">
        <is>
          <t>مدير سلاسل الإمداد</t>
        </is>
      </c>
      <c r="K110" s="11" t="inlineStr">
        <is>
          <t>نظام سلاسل الإمداد والمخزون (WMS/ERP)</t>
        </is>
      </c>
      <c r="L110" s="15" t="inlineStr">
        <is>
          <t>شهري</t>
        </is>
      </c>
      <c r="M110" s="15" t="inlineStr">
        <is>
          <t>مدير سلاسل الإمداد</t>
        </is>
      </c>
      <c r="N110" s="57" t="n"/>
    </row>
    <row r="111" ht="30" customHeight="1">
      <c r="A111" s="15" t="n">
        <v>109</v>
      </c>
      <c r="B111" s="13" t="inlineStr">
        <is>
          <t>سلاسل الإمداد</t>
        </is>
      </c>
      <c r="C111" s="21" t="inlineStr">
        <is>
          <t>عدد انقطاعات التوريد المؤثرة شهريًا</t>
        </is>
      </c>
      <c r="D111" s="76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1" s="11" t="inlineStr">
        <is>
          <t>إجمالي العدد خلال الفترة</t>
        </is>
      </c>
      <c r="F111" s="15" t="inlineStr">
        <is>
          <t>⚙️ نشاط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سلاسل الإمداد</t>
        </is>
      </c>
      <c r="K111" s="11" t="inlineStr">
        <is>
          <t>نظام سلاسل الإمداد والمخزون (WMS/ERP)</t>
        </is>
      </c>
      <c r="L111" s="15" t="inlineStr">
        <is>
          <t>شهري</t>
        </is>
      </c>
      <c r="M111" s="15" t="inlineStr">
        <is>
          <t>مدير سلاسل الإمداد</t>
        </is>
      </c>
      <c r="N111" s="57" t="n"/>
    </row>
    <row r="112" ht="30" customHeight="1">
      <c r="A112" s="15" t="n">
        <v>110</v>
      </c>
      <c r="B112" s="13" t="inlineStr">
        <is>
          <t>سلاسل الإمداد</t>
        </is>
      </c>
      <c r="C112" s="21" t="inlineStr">
        <is>
          <t>نسبة تغطية مخزون الوقود بالأيام</t>
        </is>
      </c>
      <c r="D112" s="76" t="inlineStr">
        <is>
          <t>يقيس نسبة تغطية مخزون الوقود بالأيام ضمن محور «المخزون»،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0.09</v>
      </c>
      <c r="J112" s="15" t="inlineStr">
        <is>
          <t>مدير سلاسل الإمداد</t>
        </is>
      </c>
      <c r="K112" s="11" t="inlineStr">
        <is>
          <t>نظام سلاسل الإمداد والمخزون (WMS/ERP)</t>
        </is>
      </c>
      <c r="L112" s="15" t="inlineStr">
        <is>
          <t>شهري</t>
        </is>
      </c>
      <c r="M112" s="15" t="inlineStr">
        <is>
          <t>مدير سلاسل الإمداد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توفر المواد المخزنية والحرجة</t>
        </is>
      </c>
      <c r="D113" s="76" t="inlineStr">
        <is>
          <t>يقيس نسبة توفر المواد المخزنية والحرجة ضمن محور «المخزون»،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0.09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نسبة المواد الراكدة من المخزون</t>
        </is>
      </c>
      <c r="D114" s="76" t="inlineStr">
        <is>
          <t>يقيس نسبة المواد الراكدة من المخزون ضمن محور «المخزون»،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0.06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دقة أوامر الشراء ومستنداتها</t>
        </is>
      </c>
      <c r="D115" s="76" t="inlineStr">
        <is>
          <t>يقيس دقة أوامر الشراء ومستنداتها ضمن محور «المشتريات»،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إنجاز أوامر الشراء خلال المدة المستهدفة</t>
        </is>
      </c>
      <c r="D116" s="76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0.08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الالتزام بزمن التسليم والتوريد للمحطات والإدارات</t>
        </is>
      </c>
      <c r="D117" s="76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0.1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7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نسبة جاهزية الإمداد للمحطات الجديدة وخطط الافتتاح</t>
        </is>
      </c>
      <c r="D118" s="76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النمو · التوسع في المواقع</t>
        </is>
      </c>
      <c r="H118" s="15" t="inlineStr">
        <is>
          <t>العمليات الداخلية</t>
        </is>
      </c>
      <c r="I118" s="64" t="n">
        <v>0.08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7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الالتزام بجدول النقل واستخدام الأسطول بكفاءة</t>
        </is>
      </c>
      <c r="D119" s="76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0.07000000000000001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7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كفاءة إدارة الموردين</t>
        </is>
      </c>
      <c r="D120" s="76" t="inlineStr">
        <is>
          <t>يقيس كفاءة إدارة الموردين ضمن محور «الموردون والرضا»،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4" t="n">
        <v>0.06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7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مستوى رضا الإدارات عن خدمات سلاسل الإمداد</t>
        </is>
      </c>
      <c r="D121" s="76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العملاء</t>
        </is>
      </c>
      <c r="I121" s="64" t="n">
        <v>0.04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ربعي</t>
        </is>
      </c>
      <c r="M121" s="15" t="inlineStr">
        <is>
          <t>مدير سلاسل الإمداد</t>
        </is>
      </c>
      <c r="N121" s="57" t="n"/>
    </row>
    <row r="122" ht="30" customHeight="1">
      <c r="A122" s="15" t="n">
        <v>120</v>
      </c>
      <c r="B122" s="13" t="inlineStr">
        <is>
          <t>الصيانة والأتمتة</t>
        </is>
      </c>
      <c r="C122" s="21" t="inlineStr">
        <is>
          <t>نسبة الجاهزية الفنية للأصول والمعدات (Availability)</t>
        </is>
      </c>
      <c r="D122" s="76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0.15</v>
      </c>
      <c r="J122" s="15" t="inlineStr">
        <is>
          <t>مدير الصيانة والأتمتة</t>
        </is>
      </c>
      <c r="K122" s="11" t="inlineStr">
        <is>
          <t>نظام إدارة الصيانة (CMMS) وأنظمة الأتمتة (SCADA)</t>
        </is>
      </c>
      <c r="L122" s="15" t="inlineStr">
        <is>
          <t>شهري</t>
        </is>
      </c>
      <c r="M122" s="15" t="inlineStr">
        <is>
          <t>مدير الصيانة والأتمتة</t>
        </is>
      </c>
      <c r="N122" s="57" t="n"/>
    </row>
    <row r="123" ht="30" customHeight="1">
      <c r="A123" s="15" t="n">
        <v>121</v>
      </c>
      <c r="B123" s="13" t="inlineStr">
        <is>
          <t>الصيانة والأتمتة</t>
        </is>
      </c>
      <c r="C123" s="21" t="inlineStr">
        <is>
          <t>نسبة تنفيذ الصيانة الوقائية في موعدها (PM)</t>
        </is>
      </c>
      <c r="D123" s="76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⚙️ نشاط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0.12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57" t="n"/>
    </row>
    <row r="124" ht="30" customHeight="1">
      <c r="A124" s="15" t="n">
        <v>122</v>
      </c>
      <c r="B124" s="13" t="inlineStr">
        <is>
          <t>الصيانة والأتمتة</t>
        </is>
      </c>
      <c r="C124" s="21" t="inlineStr">
        <is>
          <t>نسبة إغلاق بلاغات الصيانة ضمن اتفاقية الخدمة (SLA)</t>
        </is>
      </c>
      <c r="D124" s="76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4" t="n">
        <v>0.1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متوسط زمن الاستجابة للبلاغات الطارئة</t>
        </is>
      </c>
      <c r="D125" s="76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5" s="11" t="inlineStr">
        <is>
          <t>متوسط دقيقة خلال الفترة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4" t="n">
        <v>0.08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متوسط زمن إصلاح الأعطال (MTTR)</t>
        </is>
      </c>
      <c r="D126" s="76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6" s="11" t="inlineStr">
        <is>
          <t>متوسط ساعة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معدل تكرار الأعطال</t>
        </is>
      </c>
      <c r="D127" s="76" t="inlineStr">
        <is>
          <t>يقيس معدل تكرار الأعطال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4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7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نسبة استمرارية تشغيل المحطات دون توقف فني</t>
        </is>
      </c>
      <c r="D128" s="76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4" t="n">
        <v>0.15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7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نسبة التشغيل السليم لأنظمة الأتمتة (Uptime)</t>
        </is>
      </c>
      <c r="D129" s="76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الابتكار · التحول التقني</t>
        </is>
      </c>
      <c r="H129" s="15" t="inlineStr">
        <is>
          <t>التعلّم والنمو</t>
        </is>
      </c>
      <c r="I129" s="64" t="n">
        <v>0.1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7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نسبة استعادة أنظمة الأتمتة ضمن الزمن المحدد</t>
        </is>
      </c>
      <c r="D130" s="76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0.08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7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كفاءة تكاليف الصيانة (الالتزام بالميزانية)</t>
        </is>
      </c>
      <c r="D131" s="76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4" t="n">
        <v>0.04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7" t="n"/>
    </row>
    <row r="132" ht="30" customHeight="1">
      <c r="A132" s="15" t="n">
        <v>130</v>
      </c>
      <c r="B132" s="13" t="inlineStr">
        <is>
          <t>التقنية الرقمية</t>
        </is>
      </c>
      <c r="C132" s="21" t="inlineStr">
        <is>
          <t>نسبة توفر الأنظمة والخدمات التقنية المركزية</t>
        </is>
      </c>
      <c r="D132" s="76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4" t="n">
        <v>0.13</v>
      </c>
      <c r="J132" s="15" t="inlineStr">
        <is>
          <t>مدير التقنية</t>
        </is>
      </c>
      <c r="K132" s="11" t="inlineStr">
        <is>
          <t>أنظمة تقنية المعلومات (ERP/ITSM/SIEM)</t>
        </is>
      </c>
      <c r="L132" s="15" t="inlineStr">
        <is>
          <t>شهري</t>
        </is>
      </c>
      <c r="M132" s="15" t="inlineStr">
        <is>
          <t>مدير التقنية</t>
        </is>
      </c>
      <c r="N132" s="57" t="n"/>
    </row>
    <row r="133" ht="30" customHeight="1">
      <c r="A133" s="15" t="n">
        <v>131</v>
      </c>
      <c r="B133" s="13" t="inlineStr">
        <is>
          <t>التقنية الرقمية</t>
        </is>
      </c>
      <c r="C133" s="21" t="inlineStr">
        <is>
          <t>نسبة معالجة الأعطال وطلبات الدعم الفني ضمن المدة المستهدفة SLA</t>
        </is>
      </c>
      <c r="D133" s="76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العمليات الداخلية</t>
        </is>
      </c>
      <c r="I133" s="64" t="n">
        <v>0.12</v>
      </c>
      <c r="J133" s="15" t="inlineStr">
        <is>
          <t>مدير التقنية</t>
        </is>
      </c>
      <c r="K133" s="11" t="inlineStr">
        <is>
          <t>أنظمة تقنية المعلومات (ERP/ITSM/SIEM)</t>
        </is>
      </c>
      <c r="L133" s="15" t="inlineStr">
        <is>
          <t>شهري</t>
        </is>
      </c>
      <c r="M133" s="15" t="inlineStr">
        <is>
          <t>مدير التقنية</t>
        </is>
      </c>
      <c r="N133" s="57" t="n"/>
    </row>
    <row r="134" ht="30" customHeight="1">
      <c r="A134" s="15" t="n">
        <v>132</v>
      </c>
      <c r="B134" s="13" t="inlineStr">
        <is>
          <t>التقنية الرقمية</t>
        </is>
      </c>
      <c r="C134" s="21" t="inlineStr">
        <is>
          <t>نسبة استقرار التشغيل التقني للمحطات</t>
        </is>
      </c>
      <c r="D134" s="76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4" t="n">
        <v>0.1</v>
      </c>
      <c r="J134" s="15" t="inlineStr">
        <is>
          <t>مدير التقنية</t>
        </is>
      </c>
      <c r="K134" s="11" t="inlineStr">
        <is>
          <t>أنظمة تقنية المعلومات (ERP/ITSM/SIEM)</t>
        </is>
      </c>
      <c r="L134" s="15" t="inlineStr">
        <is>
          <t>شهري</t>
        </is>
      </c>
      <c r="M134" s="15" t="inlineStr">
        <is>
          <t>مدير التقنية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إنجاز مشاريع التحول الرقمي والمشاريع التقنية حسب الخطة</t>
        </is>
      </c>
      <c r="D135" s="76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4" t="n">
        <v>0.1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تسليم المشاريع التقنية ضمن الوقت والميزانية ونطاق العمل المعتمد</t>
        </is>
      </c>
      <c r="D136" s="76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4" t="n">
        <v>0.09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الالتزام بإدارة صلاحيات المستخدمين والحسابات</t>
        </is>
      </c>
      <c r="D137" s="76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الابتكار · التحول التقني</t>
        </is>
      </c>
      <c r="H137" s="15" t="inlineStr">
        <is>
          <t>التعلّم والنمو</t>
        </is>
      </c>
      <c r="I137" s="64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نجاح النسخ الاحتياطي واختبارات استعادة البيانات</t>
        </is>
      </c>
      <c r="D138" s="76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العمليات الداخلية</t>
        </is>
      </c>
      <c r="I138" s="64" t="n">
        <v>0.08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الامتثال لضوابط الأمن السيبراني الأساسية</t>
        </is>
      </c>
      <c r="D139" s="76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64" t="n">
        <v>0.08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7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دقة وتكامل البيانات بين الأنظمة الرقمية</t>
        </is>
      </c>
      <c r="D140" s="76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7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الالتزام بتحديث وتوثيق أصول تقنية المعلومات والتراخيص</t>
        </is>
      </c>
      <c r="D141" s="76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4" t="n">
        <v>0.05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7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تنفيذ الصيانة الوقائية للأجهزة والبنية التقنية</t>
        </is>
      </c>
      <c r="D142" s="76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⚙️ نشاط</t>
        </is>
      </c>
      <c r="G142" s="11" t="inlineStr">
        <is>
          <t>الابتكار · التحول التقني</t>
        </is>
      </c>
      <c r="H142" s="15" t="inlineStr">
        <is>
          <t>العمليات الداخلية</t>
        </is>
      </c>
      <c r="I142" s="64" t="n">
        <v>0.05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7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مستوى رضا الإدارات والمستخدمين عن خدمات تقنية المعلومات</t>
        </is>
      </c>
      <c r="D143" s="76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4" t="n">
        <v>0.04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ربعي</t>
        </is>
      </c>
      <c r="M143" s="15" t="inlineStr">
        <is>
          <t>مدير التقنية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نسبة الالتزام بالتوطين والامتثال الحكومي دون مخالفات</t>
        </is>
      </c>
      <c r="D144" s="76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4" t="n">
        <v>0.11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الموارد البشرية</t>
        </is>
      </c>
      <c r="C145" s="21" t="inlineStr">
        <is>
          <t>نسبة الالتزام بنظام العمل واللوائح وخطة القوى العاملة المعتمدة</t>
        </is>
      </c>
      <c r="D145" s="76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العمليات الداخلية</t>
        </is>
      </c>
      <c r="I145" s="64" t="n">
        <v>0.11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57" t="n"/>
    </row>
    <row r="146" ht="30" customHeight="1">
      <c r="A146" s="15" t="n">
        <v>144</v>
      </c>
      <c r="B146" s="13" t="inlineStr">
        <is>
          <t>الموارد البشرية</t>
        </is>
      </c>
      <c r="C146" s="21" t="inlineStr">
        <is>
          <t>نسبة إنجاز معاملات شؤون الموظفين ضمن المدة المستهدفة SLA</t>
        </is>
      </c>
      <c r="D146" s="76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4" t="n">
        <v>0.09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بتجديد الوثائق واكتمال ملفات الموظفين</t>
        </is>
      </c>
      <c r="D147" s="76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التعلّم والنمو</t>
        </is>
      </c>
      <c r="I147" s="64" t="n">
        <v>0.09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جاهزية وتغطية عمالة المحطات حسب خطة التشغيل والافتتاحات</t>
        </is>
      </c>
      <c r="D148" s="76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4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متوسط مدة إغلاق الشواغر المعتمدة</t>
        </is>
      </c>
      <c r="D149" s="76" t="inlineStr">
        <is>
          <t>يقيس متوسط مدة إغلاق الشواغر المعتمدة ضمن محور «الاستقطاب»، ويعكس مساهمة الإدارة في ركيزة الاستدامة.</t>
        </is>
      </c>
      <c r="E149" s="11" t="inlineStr">
        <is>
          <t>متوسط يوم خلال الفترة</t>
        </is>
      </c>
      <c r="F149" s="15" t="inlineStr">
        <is>
          <t>🎯 نتيجة</t>
        </is>
      </c>
      <c r="G149" s="11" t="inlineStr">
        <is>
          <t>الاستدامة · الاستثمار في الموظفين</t>
        </is>
      </c>
      <c r="H149" s="15" t="inlineStr">
        <is>
          <t>العمليات الداخلية</t>
        </is>
      </c>
      <c r="I149" s="64" t="n">
        <v>0.08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نجاح التعيينات الجديدة خلال فترة التجربة</t>
        </is>
      </c>
      <c r="D150" s="76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العملاء</t>
        </is>
      </c>
      <c r="I150" s="64" t="n">
        <v>0.08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كفاءة تكلفة القوى العاملة</t>
        </is>
      </c>
      <c r="D151" s="76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الاستثمار في الموظفين</t>
        </is>
      </c>
      <c r="H151" s="15" t="inlineStr">
        <is>
          <t>مالي</t>
        </is>
      </c>
      <c r="I151" s="64" t="n">
        <v>0.09</v>
      </c>
      <c r="J151" s="15" t="inlineStr">
        <is>
          <t>مدير الموارد البشرية</t>
        </is>
      </c>
      <c r="K151" s="11" t="inlineStr">
        <is>
          <t>نظام الرواتب (Payroll) / حماية الأجور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نسبة دقة الرواتب والمستحقات الشهرية</t>
        </is>
      </c>
      <c r="D152" s="76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مالي</t>
        </is>
      </c>
      <c r="I152" s="64" t="n">
        <v>0.08</v>
      </c>
      <c r="J152" s="15" t="inlineStr">
        <is>
          <t>مدير الموارد البشرية</t>
        </is>
      </c>
      <c r="K152" s="11" t="inlineStr">
        <is>
          <t>نظام الرواتب (Payroll) / حماية الأجور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7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معدل دوران الموظفين</t>
        </is>
      </c>
      <c r="D153" s="76" t="inlineStr">
        <is>
          <t>يقيس معدل دوران الموظفين ضمن محور «الاستقرار والتطوير»،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التعلّم والنمو</t>
        </is>
      </c>
      <c r="I153" s="64" t="n">
        <v>0.06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7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تنفيذ برامج التدريب والتأهيل المعتمدة</t>
        </is>
      </c>
      <c r="D154" s="76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الاستثمار في الموظفين</t>
        </is>
      </c>
      <c r="H154" s="15" t="inlineStr">
        <is>
          <t>التعلّم والنمو</t>
        </is>
      </c>
      <c r="I154" s="64" t="n">
        <v>0.06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7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إغلاق تقييمات الأداء وخطط الإحلال للوظائف الحرجة</t>
        </is>
      </c>
      <c r="D155" s="76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العمليات الداخلية</t>
        </is>
      </c>
      <c r="I155" s="64" t="n">
        <v>0.04</v>
      </c>
      <c r="J155" s="15" t="inlineStr">
        <is>
          <t>مدير الموارد البشرية</t>
        </is>
      </c>
      <c r="K155" s="11" t="inlineStr">
        <is>
          <t>نظام الموارد البشرية (HRMS)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7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الوصول الكلي (Total Reach)</t>
        </is>
      </c>
      <c r="D156" s="76" t="inlineStr">
        <is>
          <t>يقيس الوصول الكلي (Total Reach) ضمن محور «الإدارة العامة»، ويعكس مساهمة الإدارة في ركيزة النمو.</t>
        </is>
      </c>
      <c r="E156" s="11" t="inlineStr">
        <is>
          <t>إجمالي العدد خلال الفترة</t>
        </is>
      </c>
      <c r="F156" s="15" t="inlineStr">
        <is>
          <t>🎯 نتيجة</t>
        </is>
      </c>
      <c r="G156" s="11" t="inlineStr">
        <is>
          <t>النمو · زيادة وصول العملاء</t>
        </is>
      </c>
      <c r="H156" s="15" t="inlineStr">
        <is>
          <t>العملاء</t>
        </is>
      </c>
      <c r="I156" s="64" t="n">
        <v>0.08</v>
      </c>
      <c r="J156" s="15" t="inlineStr">
        <is>
          <t>مدير التسويق</t>
        </is>
      </c>
      <c r="K156" s="11" t="inlineStr">
        <is>
          <t>أنظمة التسويق الرقمي / تانكي</t>
        </is>
      </c>
      <c r="L156" s="15" t="inlineStr">
        <is>
          <t>شهري</t>
        </is>
      </c>
      <c r="M156" s="15" t="inlineStr">
        <is>
          <t>مدير التسويق</t>
        </is>
      </c>
      <c r="N156" s="57" t="n"/>
    </row>
    <row r="157" ht="30" customHeight="1">
      <c r="A157" s="15" t="n">
        <v>155</v>
      </c>
      <c r="B157" s="13" t="inlineStr">
        <is>
          <t>التسويق</t>
        </is>
      </c>
      <c r="C157" s="21" t="inlineStr">
        <is>
          <t>عملاء تجاريون جدد</t>
        </is>
      </c>
      <c r="D157" s="76" t="inlineStr">
        <is>
          <t>يقيس عملاء تجاريون جدد ضمن محور «الإدارة العامة»، ويعكس مساهمة الإدارة في ركيزة النمو.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4" t="n">
        <v>0.06</v>
      </c>
      <c r="J157" s="15" t="inlineStr">
        <is>
          <t>مدير التسويق</t>
        </is>
      </c>
      <c r="K157" s="11" t="inlineStr">
        <is>
          <t>سجلات الإدارة</t>
        </is>
      </c>
      <c r="L157" s="15" t="inlineStr">
        <is>
          <t>شهري</t>
        </is>
      </c>
      <c r="M157" s="15" t="inlineStr">
        <is>
          <t>مدير التسويق</t>
        </is>
      </c>
      <c r="N157" s="57" t="n"/>
    </row>
    <row r="158" ht="30" customHeight="1">
      <c r="A158" s="15" t="n">
        <v>156</v>
      </c>
      <c r="B158" s="13" t="inlineStr">
        <is>
          <t>التسويق</t>
        </is>
      </c>
      <c r="C158" s="21" t="inlineStr">
        <is>
          <t>إجمالي المتابعين (كل المنصات)</t>
        </is>
      </c>
      <c r="D158" s="76" t="inlineStr">
        <is>
          <t>يقيس إجمالي المتابعين (كل المنصات) ضمن محور «الفريق الإبداعي»، ويعكس مساهمة الإدارة في ركيزة النمو.</t>
        </is>
      </c>
      <c r="E158" s="11" t="inlineStr">
        <is>
          <t>إجمالي العدد خلال الفترة</t>
        </is>
      </c>
      <c r="F158" s="15" t="inlineStr">
        <is>
          <t>🔧 تشغيلي</t>
        </is>
      </c>
      <c r="G158" s="11" t="inlineStr">
        <is>
          <t>النمو · زيادة وصول العملاء</t>
        </is>
      </c>
      <c r="H158" s="15" t="inlineStr">
        <is>
          <t>العملاء</t>
        </is>
      </c>
      <c r="I158" s="64" t="n">
        <v>0.08</v>
      </c>
      <c r="J158" s="15" t="inlineStr">
        <is>
          <t>مدير التسويق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التسويق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معدل التفاعل (Engagement)</t>
        </is>
      </c>
      <c r="D159" s="76" t="inlineStr">
        <is>
          <t>يقيس معدل التفاعل (Engagement) ضمن محور «الفريق الإبداعي»، ويعكس مساهمة الإدارة في ركيزة النمو.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4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حملات تسويقية منجزة</t>
        </is>
      </c>
      <c r="D160" s="76" t="inlineStr">
        <is>
          <t>يقيس حملات تسويقية منجزة ضمن محور «الحملات التسويقية»،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⚙️ نشاط</t>
        </is>
      </c>
      <c r="G160" s="11" t="inlineStr">
        <is>
          <t>النمو · زيادة وصول العملاء</t>
        </is>
      </c>
      <c r="H160" s="15" t="inlineStr">
        <is>
          <t>العمليات الداخلية</t>
        </is>
      </c>
      <c r="I160" s="64" t="n">
        <v>0.06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تحويل الفرص إلى عقود</t>
        </is>
      </c>
      <c r="D161" s="76" t="inlineStr">
        <is>
          <t>يقيس تحويل الفرص إلى عقود ضمن محور «الحملات التسويقية»، ويعكس مساهمة الإدارة في ركيزة النمو.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العمليات الداخلية</t>
        </is>
      </c>
      <c r="I161" s="64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نسبة المبيعات لكل حملة</t>
        </is>
      </c>
      <c r="D162" s="76" t="inlineStr">
        <is>
          <t>يقيس نسبة المبيعات لكل حملة ضمن محور «الحملات التسويقية»،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⚙️ نشاط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64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نسبة التزام الهوية البصرية</t>
        </is>
      </c>
      <c r="D163" s="76" t="inlineStr">
        <is>
          <t>يقيس نسبة التزام الهوية البصرية ضمن محور «الدعاية والإعلان»، ويعكس مساهمة الإدارة في ركيزة الابتكار.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الابتكار · تطوير التصاميم والهوية</t>
        </is>
      </c>
      <c r="H163" s="15" t="inlineStr">
        <is>
          <t>التعلّم والنمو</t>
        </is>
      </c>
      <c r="I163" s="64" t="n">
        <v>0.08</v>
      </c>
      <c r="J163" s="15" t="inlineStr">
        <is>
          <t>مدير التسويق</t>
        </is>
      </c>
      <c r="K163" s="11" t="inlineStr">
        <is>
          <t>سجلات الإدارة</t>
        </is>
      </c>
      <c r="L163" s="15" t="inlineStr">
        <is>
          <t>شهري</t>
        </is>
      </c>
      <c r="M163" s="15" t="inlineStr">
        <is>
          <t>مدير التسويق</t>
        </is>
      </c>
      <c r="N163" s="57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وصول العلاقات العامة (PR)</t>
        </is>
      </c>
      <c r="D164" s="76" t="inlineStr">
        <is>
          <t>يقيس وصول العلاقات العامة (PR) ضمن محور «العلاقات والشراكات»،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العملاء</t>
        </is>
      </c>
      <c r="I164" s="64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7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عدد المعارض بالسنة</t>
        </is>
      </c>
      <c r="D165" s="76" t="inlineStr">
        <is>
          <t>يقيس عدد المعارض بالسنة ضمن محور «العلاقات والشراكات»، ويعكس مساهمة الإدارة في ركيزة الابتكار.</t>
        </is>
      </c>
      <c r="E165" s="11" t="inlineStr">
        <is>
          <t>إجمالي العدد خلال الفترة</t>
        </is>
      </c>
      <c r="F165" s="15" t="inlineStr">
        <is>
          <t>⚙️ نشاط</t>
        </is>
      </c>
      <c r="G165" s="11" t="inlineStr">
        <is>
          <t>الابتكار · إطلاق مشاريع جديدة</t>
        </is>
      </c>
      <c r="H165" s="15" t="inlineStr">
        <is>
          <t>العمليات الداخلية</t>
        </is>
      </c>
      <c r="I165" s="64" t="n">
        <v>0.06</v>
      </c>
      <c r="J165" s="15" t="inlineStr">
        <is>
          <t>مدير التسويق</t>
        </is>
      </c>
      <c r="K165" s="11" t="inlineStr">
        <is>
          <t>سجلات الإدارة</t>
        </is>
      </c>
      <c r="L165" s="15" t="inlineStr">
        <is>
          <t>شهري</t>
        </is>
      </c>
      <c r="M165" s="15" t="inlineStr">
        <is>
          <t>مدير التسويق</t>
        </is>
      </c>
      <c r="N165" s="57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اتفاقيات استراتيجية</t>
        </is>
      </c>
      <c r="D166" s="76" t="inlineStr">
        <is>
          <t>يقيس اتفاقيات استراتيجية ضمن محور «العلاقات والشراكات»، ويعكس مساهمة الإدارة في ركيزة الابتكار.</t>
        </is>
      </c>
      <c r="E166" s="11" t="inlineStr">
        <is>
          <t>إجمالي العدد خلال الفترة</t>
        </is>
      </c>
      <c r="F166" s="15" t="inlineStr">
        <is>
          <t>🔧 تشغيلي</t>
        </is>
      </c>
      <c r="G166" s="11" t="inlineStr">
        <is>
          <t>الابتكار · إطلاق مشاريع جديدة</t>
        </is>
      </c>
      <c r="H166" s="15" t="inlineStr">
        <is>
          <t>العمليات الداخلية</t>
        </is>
      </c>
      <c r="I166" s="64" t="n">
        <v>0.06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7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تقييم خرائط قوقل</t>
        </is>
      </c>
      <c r="D167" s="76" t="inlineStr">
        <is>
          <t>يقيس تقييم خرائط قوقل ضمن محور «خدمة العملاء والدعم»، ويعكس مساهمة الإدارة في ركيزة الاستدامة.</t>
        </is>
      </c>
      <c r="E167" s="11" t="inlineStr">
        <is>
          <t>متوسط التقييم (من 5)</t>
        </is>
      </c>
      <c r="F167" s="15" t="inlineStr">
        <is>
          <t>🎯 نتيجة</t>
        </is>
      </c>
      <c r="G167" s="11" t="inlineStr">
        <is>
          <t>الاستدامة · تعزيز تجربة العملاء</t>
        </is>
      </c>
      <c r="H167" s="15" t="inlineStr">
        <is>
          <t>العملاء</t>
        </is>
      </c>
      <c r="I167" s="64" t="n">
        <v>0.06</v>
      </c>
      <c r="J167" s="15" t="inlineStr">
        <is>
          <t>مدير التسويق</t>
        </is>
      </c>
      <c r="K167" s="11" t="inlineStr">
        <is>
          <t>تقييمات خرائط قوقل</t>
        </is>
      </c>
      <c r="L167" s="15" t="inlineStr">
        <is>
          <t>شهري</t>
        </is>
      </c>
      <c r="M167" s="15" t="inlineStr">
        <is>
          <t>مدير التسويق</t>
        </is>
      </c>
      <c r="N167" s="57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معدل خفض الشكاوى</t>
        </is>
      </c>
      <c r="D168" s="76" t="inlineStr">
        <is>
          <t>يقيس معدل خفض الشكاوى ضمن محور «خدمة العملاء والدعم»،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تعزيز تجربة العملاء</t>
        </is>
      </c>
      <c r="H168" s="15" t="inlineStr">
        <is>
          <t>العملاء</t>
        </is>
      </c>
      <c r="I168" s="64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7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وصول محتوى تطبيق تانكي</t>
        </is>
      </c>
      <c r="D169" s="76" t="inlineStr">
        <is>
          <t>يقيس وصول محتوى تطبيق تانكي ضمن محور «تطبيق تانكي»،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تطبيق «تانكي»</t>
        </is>
      </c>
      <c r="H169" s="15" t="inlineStr">
        <is>
          <t>العملاء</t>
        </is>
      </c>
      <c r="I169" s="64" t="n">
        <v>0.05</v>
      </c>
      <c r="J169" s="15" t="inlineStr">
        <is>
          <t>مدير التسويق</t>
        </is>
      </c>
      <c r="K169" s="11" t="inlineStr">
        <is>
          <t>أنظمة التسويق الرقمي / تانكي</t>
        </is>
      </c>
      <c r="L169" s="15" t="inlineStr">
        <is>
          <t>شهري</t>
        </is>
      </c>
      <c r="M169" s="15" t="inlineStr">
        <is>
          <t>مدير التسويق</t>
        </is>
      </c>
      <c r="N169" s="57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مشاركات تطبيق تانكي</t>
        </is>
      </c>
      <c r="D170" s="76" t="inlineStr">
        <is>
          <t>يقيس مشاركات تطبيق تانكي ضمن محور «تطبيق تانكي»،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تطبيق «تانكي»</t>
        </is>
      </c>
      <c r="H170" s="15" t="inlineStr">
        <is>
          <t>العمليات الداخلية</t>
        </is>
      </c>
      <c r="I170" s="64" t="n">
        <v>0.05</v>
      </c>
      <c r="J170" s="15" t="inlineStr">
        <is>
          <t>مدير التسويق</t>
        </is>
      </c>
      <c r="K170" s="11" t="inlineStr">
        <is>
          <t>أنظمة التسويق الرقمي / تانكي</t>
        </is>
      </c>
      <c r="L170" s="15" t="inlineStr">
        <is>
          <t>شهري</t>
        </is>
      </c>
      <c r="M170" s="15" t="inlineStr">
        <is>
          <t>مدير التسويق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المحطات الحرجة</t>
        </is>
      </c>
      <c r="D171" s="76" t="inlineStr">
        <is>
          <t>يقيس نسبة المحطات الحرجة ضمن محور «مخاطر الجودة»،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مطابقة جودة الوقود</t>
        </is>
      </c>
      <c r="D172" s="76" t="inlineStr">
        <is>
          <t>يقيس نسبة مطابقة جودة الوقود ضمن محور «جودة الوقود»،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0.07000000000000001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إغلاق الملاحظات في الوقت المحدد</t>
        </is>
      </c>
      <c r="D173" s="76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فعالية الإجراءات التصحيحية</t>
        </is>
      </c>
      <c r="D174" s="76" t="inlineStr">
        <is>
          <t>يقيس نسبة فعالية الإجراءات التصحيحية ضمن محور «تحسين ووقاية»،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0.07000000000000001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تكرار الملاحظات</t>
        </is>
      </c>
      <c r="D175" s="76" t="inlineStr">
        <is>
          <t>يقيس نسبة تكرار الملاحظات ضمن محور «منع التكرار»،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تنفيذ خطة التفتيش والتدقيق</t>
        </is>
      </c>
      <c r="D176" s="76" t="inlineStr">
        <is>
          <t>يقيس نسبة تنفيذ خطة التفتيش والتدقيق ضمن محور «تفتيش وتدقيق»،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0.07000000000000001</v>
      </c>
      <c r="J176" s="15" t="inlineStr">
        <is>
          <t>مدير الجودة</t>
        </is>
      </c>
      <c r="K176" s="11" t="inlineStr">
        <is>
          <t>نظام المحاسبة / ERP (D365)</t>
        </is>
      </c>
      <c r="L176" s="15" t="inlineStr">
        <is>
          <t>ربعي</t>
        </is>
      </c>
      <c r="M176" s="15" t="inlineStr">
        <is>
          <t>الإدارة المالية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جاهزية نظام إدارة الجودة QMS</t>
        </is>
      </c>
      <c r="D177" s="76" t="inlineStr">
        <is>
          <t>يقيس نسبة جاهزية نظام إدارة الجودة QMS ضمن محور «حوكمة الجودة»،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مخاطر الجودة الحرجة المفتوحة</t>
        </is>
      </c>
      <c r="D178" s="76" t="inlineStr">
        <is>
          <t>يقيس عدد مخاطر الجودة الحرجة المفتوحة ضمن محور «مخاطر الجودة»،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إغلاق مخاطر الجودة في الوقت المحدد</t>
        </is>
      </c>
      <c r="D179" s="76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انخفاض الشكاوى المتكررة ذات العلاقة بالجودة</t>
        </is>
      </c>
      <c r="D180" s="76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تعزيز تجربة العملاء</t>
        </is>
      </c>
      <c r="H180" s="15" t="inlineStr">
        <is>
          <t>العملاء</t>
        </is>
      </c>
      <c r="I180" s="64" t="n">
        <v>0.07000000000000001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اكتمال وتحديث الإجراءات المعتمدة</t>
        </is>
      </c>
      <c r="D181" s="76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اكتمال سجلات الجودة</t>
        </is>
      </c>
      <c r="D182" s="76" t="inlineStr">
        <is>
          <t>يقيس نسبة اكتمال سجلات الجودة ضمن محور «توثيق وحوكمة»،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رقمنة عمليات الجودة</t>
        </is>
      </c>
      <c r="D183" s="76" t="inlineStr">
        <is>
          <t>يقيس نسبة رقمنة عمليات الجودة ضمن محور «الابتكار والرقمنة»،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الابتكار · التحول التقني</t>
        </is>
      </c>
      <c r="H183" s="15" t="inlineStr">
        <is>
          <t>التعلّم والنمو</t>
        </is>
      </c>
      <c r="I183" s="64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عدد مبادرات التحسين المؤثرة</t>
        </is>
      </c>
      <c r="D184" s="76" t="inlineStr">
        <is>
          <t>يقيس عدد مبادرات التحسين المؤثرة ضمن محور «التحسين المستمر»، ويعكس مساهمة الإدارة في ركيزة الاستدامة.</t>
        </is>
      </c>
      <c r="E184" s="11" t="inlineStr">
        <is>
          <t>إجمالي العدد خلال الفترة</t>
        </is>
      </c>
      <c r="F184" s="15" t="inlineStr">
        <is>
          <t>⚙️ نشاط</t>
        </is>
      </c>
      <c r="G184" s="11" t="inlineStr">
        <is>
          <t>الاستدامة · جودة التشغيل</t>
        </is>
      </c>
      <c r="H184" s="15" t="inlineStr">
        <is>
          <t>التعلّم والنمو</t>
        </is>
      </c>
      <c r="I184" s="64" t="n">
        <v>0.07000000000000001</v>
      </c>
      <c r="J184" s="15" t="inlineStr">
        <is>
          <t>مدير الجودة</t>
        </is>
      </c>
      <c r="K184" s="11" t="inlineStr">
        <is>
          <t>سجلات الإدارة</t>
        </is>
      </c>
      <c r="L184" s="15" t="inlineStr">
        <is>
          <t>ربعي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المُراجَعة قانونياً قبل التوقيع</t>
        </is>
      </c>
      <c r="D185" s="76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العقود (CRM)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صياغة ومراجعة العقد</t>
        </is>
      </c>
      <c r="D186" s="76" t="inlineStr">
        <is>
          <t>يقيس متوسط زمن صياغة ومراجعة العقد ضمن محور «أعمال العقود»،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العقود الخالية من الملاحظات والمخاطر القانونية</t>
        </is>
      </c>
      <c r="D187" s="76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القضايا المُغلقة لصالح الشركة</t>
        </is>
      </c>
      <c r="D188" s="76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تقديم المذكرات والردود في المواعيد النظامية</t>
        </is>
      </c>
      <c r="D189" s="76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إعداد المذكرة القانونية</t>
        </is>
      </c>
      <c r="D190" s="76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⚙️ نشاط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الاستشارات المُنجزة ضمن المدة المستهدفة (SLA)</t>
        </is>
      </c>
      <c r="D191" s="76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مستوى رضا الإدارات عن الدعم القانوني</t>
        </is>
      </c>
      <c r="D192" s="76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العملاء</t>
        </is>
      </c>
      <c r="I192" s="64" t="n">
        <v>0.1</v>
      </c>
      <c r="J192" s="15" t="inlineStr">
        <is>
          <t>المدير القانوني</t>
        </is>
      </c>
      <c r="K192" s="11" t="inlineStr">
        <is>
          <t>استبيان دوري</t>
        </is>
      </c>
      <c r="L192" s="15" t="inlineStr">
        <is>
          <t>ربعي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إنجاز التحقيقات ضمن المدة المحددة</t>
        </is>
      </c>
      <c r="D193" s="76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التحقيقات المُغلقة من إجمالي المُحالة</t>
        </is>
      </c>
      <c r="D194" s="76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متوسط زمن إغلاق قضية التحقيق</t>
        </is>
      </c>
      <c r="D195" s="76" t="inlineStr">
        <is>
          <t>يقيس متوسط زمن إغلاق قضية التحقيق ضمن محور «التحقيق»،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تنفيذ التوصيات الصادرة عن التحقيقات</t>
        </is>
      </c>
      <c r="D196" s="76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⚙️ نشاط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التزام التحقيقات بالإجراءات النظامية والعدالة الإجرائية</t>
        </is>
      </c>
      <c r="D197" s="76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نمو الإيرادات السنوي</t>
        </is>
      </c>
      <c r="D198" s="76" t="inlineStr">
        <is>
          <t>يقيس نمو الإيرادات السنوي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EBITDA</t>
        </is>
      </c>
      <c r="D199" s="76" t="inlineStr">
        <is>
          <t>يقيس هامش EBITDA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صافي الربح</t>
        </is>
      </c>
      <c r="D200" s="76" t="inlineStr">
        <is>
          <t>يقيس هامش صافي الربح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العائد على حقوق الملكية (ROE)</t>
        </is>
      </c>
      <c r="D201" s="76" t="inlineStr">
        <is>
          <t>يقيس العائد على حقوق الملكية (ROE)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6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 (Current Ratio)</t>
        </is>
      </c>
      <c r="D203" s="76" t="inlineStr">
        <is>
          <t>يقيس النسبة الجارية (Current Ratio)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0.04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6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متوسط أيام التحصيل العام (DSO)</t>
        </is>
      </c>
      <c r="D205" s="76" t="inlineStr">
        <is>
          <t>يقيس متوسط أيام التحصيل العام (DSO) ضمن محور «الذمم المدينة»، ويعكس مساهمة الإدارة في ركيزة الاستدامة.</t>
        </is>
      </c>
      <c r="E205" s="11" t="inlineStr">
        <is>
          <t>متوسط يوم خلال الفترة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التحصيل العام (الشركة)</t>
        </is>
      </c>
      <c r="D206" s="76" t="inlineStr">
        <is>
          <t>يقيس نسبة التحصيل العام (الشركة)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الذمم المتأخرة</t>
        </is>
      </c>
      <c r="D207" s="76" t="inlineStr">
        <is>
          <t>يقيس نسبة الذمم المتأخرة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نسبة الديون المعدومة</t>
        </is>
      </c>
      <c r="D208" s="76" t="inlineStr">
        <is>
          <t>يقيس نسبة الديون المعدومة ضمن محور «الذمم المدينة»،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سداد الموردين في الموعد</t>
        </is>
      </c>
      <c r="D209" s="76" t="inlineStr">
        <is>
          <t>يقيس سداد الموردين في الموعد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4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اكتمال مطابقة حسابات الموردين</t>
        </is>
      </c>
      <c r="D210" s="76" t="inlineStr">
        <is>
          <t>يقيس اكتمال مطابقة حسابات الموردين ضمن محور «الذمم الدائنة»،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التنبؤ النقدي</t>
        </is>
      </c>
      <c r="D211" s="76" t="inlineStr">
        <is>
          <t>يقيس دقة التنبؤ النقدي ضمن محور «الخزينة»،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تباين مخزون الوقود</t>
        </is>
      </c>
      <c r="D212" s="76" t="inlineStr">
        <is>
          <t>يقيس تباين مخزون الوقود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0.04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دقة مطابقة المخزون</t>
        </is>
      </c>
      <c r="D213" s="76" t="inlineStr">
        <is>
          <t>يقيس دقة مطابقة المخزون ضمن محور «صناعة الوقود»،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0.03</v>
      </c>
      <c r="J213" s="15" t="inlineStr">
        <is>
          <t>المدير المالي</t>
        </is>
      </c>
      <c r="K213" s="11" t="inlineStr">
        <is>
          <t>نظام إدارة الجودة (QMS)</t>
        </is>
      </c>
      <c r="L213" s="15" t="inlineStr">
        <is>
          <t>شهري</t>
        </is>
      </c>
      <c r="M213" s="15" t="inlineStr">
        <is>
          <t>المدير المالي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تسوية أرامكو</t>
        </is>
      </c>
      <c r="D214" s="76" t="inlineStr">
        <is>
          <t>يقيس دقة تسوية أرامكو ضمن محور «صناعة الوقود»،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0.03</v>
      </c>
      <c r="J214" s="15" t="inlineStr">
        <is>
          <t>المدير المالي</t>
        </is>
      </c>
      <c r="K214" s="11" t="inlineStr">
        <is>
          <t>نظام تشغيل المحطات</t>
        </is>
      </c>
      <c r="L214" s="15" t="inlineStr">
        <is>
          <t>شهري</t>
        </is>
      </c>
      <c r="M214" s="15" t="inlineStr">
        <is>
          <t>المدير المالي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تحصيل الامتياز</t>
        </is>
      </c>
      <c r="D215" s="76" t="inlineStr">
        <is>
          <t>يقيس نسبة تحصيل الامتياز ضمن محور «تمويل الامتياز»، ويعكس مساهمة الإدارة في ركيزة النمو.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النمو · الامتياز التجاري</t>
        </is>
      </c>
      <c r="H215" s="15" t="inlineStr">
        <is>
          <t>مالي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أيام تحصيل رسوم الامتياز</t>
        </is>
      </c>
      <c r="D216" s="76" t="inlineStr">
        <is>
          <t>يقيس أيام تحصيل رسوم الامتياز ضمن محور «تمويل الامتياز»، ويعكس مساهمة الإدارة في ركيزة النمو.</t>
        </is>
      </c>
      <c r="E216" s="11" t="inlineStr">
        <is>
          <t>متوسط يوم خلال الفترة</t>
        </is>
      </c>
      <c r="F216" s="15" t="inlineStr">
        <is>
          <t>🎯 نتيجة</t>
        </is>
      </c>
      <c r="G216" s="11" t="inlineStr">
        <is>
          <t>النمو · الامتياز التجاري</t>
        </is>
      </c>
      <c r="H216" s="15" t="inlineStr">
        <is>
          <t>مالي</t>
        </is>
      </c>
      <c r="I216" s="64" t="n">
        <v>0.05</v>
      </c>
      <c r="J216" s="15" t="inlineStr">
        <is>
          <t>المدير المالي</t>
        </is>
      </c>
      <c r="K216" s="11" t="inlineStr">
        <is>
          <t>نظام المحاسبة / ERP (D365)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نسبة تحصيل الإيجار</t>
        </is>
      </c>
      <c r="D217" s="76" t="inlineStr">
        <is>
          <t>يقيس نسبة تحصيل الإيجار ضمن محور «العقار والإيجار»،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منظومة التأجير</t>
        </is>
      </c>
      <c r="H217" s="15" t="inlineStr">
        <is>
          <t>مالي</t>
        </is>
      </c>
      <c r="I217" s="64" t="n">
        <v>0.05</v>
      </c>
      <c r="J217" s="15" t="inlineStr">
        <is>
          <t>المدير المالي</t>
        </is>
      </c>
      <c r="K217" s="11" t="inlineStr">
        <is>
          <t>نظام المحاسبة / ERP (D365)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معدل تجديد عقود الإيجار</t>
        </is>
      </c>
      <c r="D218" s="76" t="inlineStr">
        <is>
          <t>يقيس معدل تجديد عقود الإيجار ضمن محور «العقار والإيجار»،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منظومة التأجير</t>
        </is>
      </c>
      <c r="H218" s="15" t="inlineStr">
        <is>
          <t>العمليات الداخلية</t>
        </is>
      </c>
      <c r="I218" s="64" t="n">
        <v>0.05</v>
      </c>
      <c r="J218" s="15" t="inlineStr">
        <is>
          <t>المدير المالي</t>
        </is>
      </c>
      <c r="K218" s="11" t="inlineStr">
        <is>
          <t>نظام إدارة العقود (CRM)</t>
        </is>
      </c>
      <c r="L218" s="15" t="inlineStr">
        <is>
          <t>شهري</t>
        </is>
      </c>
      <c r="M218" s="15" t="inlineStr">
        <is>
          <t>المدير المالي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انحراف الموازنة</t>
        </is>
      </c>
      <c r="D219" s="76" t="inlineStr">
        <is>
          <t>يقيس انحراف الموازنة ضمن محور «الموازنة والتقارير»،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4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ربعي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أيام الإقفال الشهري</t>
        </is>
      </c>
      <c r="D220" s="76" t="inlineStr">
        <is>
          <t>يقيس أيام الإقفال الشهري ضمن محور «الموازنة والتقارير»، ويعكس مساهمة الإدارة في ركيزة الاستدامة.</t>
        </is>
      </c>
      <c r="E220" s="11" t="inlineStr">
        <is>
          <t>متوسط يوم خلال الفترة</t>
        </is>
      </c>
      <c r="F220" s="15" t="inlineStr">
        <is>
          <t>🔧 تشغيلي</t>
        </is>
      </c>
      <c r="G220" s="11" t="inlineStr">
        <is>
          <t>الاستدامة · جودة التشغيل</t>
        </is>
      </c>
      <c r="H220" s="15" t="inlineStr">
        <is>
          <t>العمليات الداخلية</t>
        </is>
      </c>
      <c r="I220" s="64" t="n">
        <v>0.03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نسبة تسويات التدقيق</t>
        </is>
      </c>
      <c r="D221" s="76" t="inlineStr">
        <is>
          <t>يقيس نسبة تسويات التدقيق ضمن محور «الموازنة والتقارير»،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🔧 تشغيلي</t>
        </is>
      </c>
      <c r="G221" s="11" t="inlineStr">
        <is>
          <t>الاستدامة · جودة التشغيل</t>
        </is>
      </c>
      <c r="H221" s="15" t="inlineStr">
        <is>
          <t>العمليات الداخلية</t>
        </is>
      </c>
      <c r="I221" s="64" t="n">
        <v>0.03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ربعي</t>
        </is>
      </c>
      <c r="M221" s="15" t="inlineStr">
        <is>
          <t>الإدارة المالية</t>
        </is>
      </c>
      <c r="N221" s="57" t="n"/>
    </row>
  </sheetData>
  <autoFilter ref="A2:N221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</t>
        </is>
      </c>
      <c r="C4" s="79" t="inlineStr">
        <is>
          <t>📊 الأداء العام للنمو والتوسع</t>
        </is>
      </c>
      <c r="D4" s="80" t="n"/>
      <c r="E4" s="80" t="n"/>
      <c r="F4" s="81" t="inlineStr">
        <is>
          <t>🔷 أساسي</t>
        </is>
      </c>
      <c r="G4" s="82" t="n">
        <v>0.44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«المحطات المشغّلة — الشركة» خلال الفترة</t>
        </is>
      </c>
      <c r="Q5" s="86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«العقود الجديدة — الشركة»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«نمو إيرادات الشركة»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الابتكار</t>
        </is>
      </c>
      <c r="C8" s="79" t="inlineStr">
        <is>
          <t>📊 التحول الرقمي وإنجاز المشاريع</t>
        </is>
      </c>
      <c r="D8" s="80" t="n"/>
      <c r="E8" s="80" t="n"/>
      <c r="F8" s="81" t="inlineStr">
        <is>
          <t>🔷 أساسي</t>
        </is>
      </c>
      <c r="G8" s="82" t="n">
        <v>0.16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5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«إنجاز مشاريع الخارطة التنفيذية» ÷ الإجمالي المستهدف لنفس البند × 100٪</t>
        </is>
      </c>
      <c r="Q9" s="86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«التحول الرقمي على مستوى الشركة» ÷ الإجمالي المستهدف لنفس البند × 100٪</t>
        </is>
      </c>
      <c r="Q10" s="86" t="inlineStr">
        <is>
          <t>سجلات الإدارة</t>
        </is>
      </c>
      <c r="R10" s="15" t="inlineStr">
        <is>
          <t>شهري</t>
        </is>
      </c>
    </row>
    <row r="11" ht="24" customHeight="1">
      <c r="B11" s="78" t="inlineStr">
        <is>
          <t>الاستدامة</t>
        </is>
      </c>
      <c r="C11" s="79" t="inlineStr">
        <is>
          <t>📊 الاستدامة ورضا المستفيدين</t>
        </is>
      </c>
      <c r="D11" s="80" t="n"/>
      <c r="E11" s="80" t="n"/>
      <c r="F11" s="81" t="inlineStr">
        <is>
          <t>🔷 أساسي</t>
        </is>
      </c>
      <c r="G11" s="82" t="n">
        <v>0.32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6" t="inlineStr">
        <is>
          <t>القيمة المتحقّقة من «مؤشر رضا العملاء العام» ÷ المستهدف × 100٪</t>
        </is>
      </c>
      <c r="Q12" s="86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5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6" t="inlineStr">
        <is>
          <t>٪ الموظفين المروّجين − ٪ المنتقدين (مقياس eNPS)</t>
        </is>
      </c>
      <c r="Q13" s="86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«تحقيق المستهدفات الاستراتيجية العامة» ÷ الإجمالي المستهدف لنفس البند × 100٪</t>
        </is>
      </c>
      <c r="Q14" s="86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6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القيمة المتحقّقة من «الالتزام بمعايير وزارة الطاقة» ÷ المستهدف × 100٪</t>
        </is>
      </c>
      <c r="Q16" s="86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 والتوسع</t>
        </is>
      </c>
      <c r="C4" s="79" t="inlineStr">
        <is>
          <t>📊 نمو شبكة الامتياز</t>
        </is>
      </c>
      <c r="D4" s="80" t="n"/>
      <c r="E4" s="80" t="n"/>
      <c r="F4" s="81" t="inlineStr">
        <is>
          <t>🔷 أساسي</t>
        </is>
      </c>
      <c r="G4" s="82" t="n">
        <v>0.1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الامتياز المشغّلة» تراكمياً حتى نهاية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عدد عقود الامتياز الجديدة الموقّعة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167</v>
      </c>
      <c r="I6" s="22" t="inlineStr">
        <is>
          <t>167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159.2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الامتياز الجديدة الموقّعة» المُسجّلة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8" t="inlineStr">
        <is>
          <t>المبيعات والأداء التجاري</t>
        </is>
      </c>
      <c r="C7" s="79" t="inlineStr">
        <is>
          <t>📊 مبيعات الامتياز التجاري</t>
        </is>
      </c>
      <c r="D7" s="80" t="n"/>
      <c r="E7" s="80" t="n"/>
      <c r="F7" s="81" t="inlineStr">
        <is>
          <t>🔷 أساسي</t>
        </is>
      </c>
      <c r="G7" s="82" t="n">
        <v>0.07000000000000001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0.04</v>
      </c>
      <c r="H8" s="60" t="n">
        <v>718838077</v>
      </c>
      <c r="I8" s="22" t="inlineStr">
        <is>
          <t>718.8M لتر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مجموع لترات «مبيعات وقود محطات الامتياز»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«تأجير وحدات الامتياز»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8" t="inlineStr">
        <is>
          <t>الأداء المالي</t>
        </is>
      </c>
      <c r="C10" s="79" t="inlineStr">
        <is>
          <t>📊 الأداء المالي للامتياز</t>
        </is>
      </c>
      <c r="D10" s="80" t="n"/>
      <c r="E10" s="80" t="n"/>
      <c r="F10" s="81" t="inlineStr">
        <is>
          <t>🔷 أساسي</t>
        </is>
      </c>
      <c r="G10" s="82" t="n">
        <v>0.28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إجمالي إيرادات إدارة الامتياز</t>
        </is>
      </c>
      <c r="D11" s="55" t="inlineStr">
        <is>
          <t>ر.س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0.04</v>
      </c>
      <c r="H11" s="55" t="inlineStr"/>
      <c r="I11" s="22" t="inlineStr">
        <is>
          <t>تصاعدي مستمر</t>
        </is>
      </c>
      <c r="J11" s="85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7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قيمة «إيرادات إدارة الامتياز» بالريال خلال الفترة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رفع هامش الربحية للامتياز</t>
        </is>
      </c>
      <c r="D12" s="55" t="inlineStr">
        <is>
          <t>هللة/لتر</t>
        </is>
      </c>
      <c r="E12" s="55" t="inlineStr">
        <is>
          <t>↑</t>
        </is>
      </c>
      <c r="F12" s="15" t="inlineStr">
        <is>
          <t>🟠 مهم</t>
        </is>
      </c>
      <c r="G12" s="64" t="n">
        <v>0.03</v>
      </c>
      <c r="H12" s="67" t="n">
        <v>1.8</v>
      </c>
      <c r="I12" s="22" t="inlineStr">
        <is>
          <t>+1.8 هللة/لتر</t>
        </is>
      </c>
      <c r="J12" s="85" t="inlineStr">
        <is>
          <t>النمو</t>
        </is>
      </c>
      <c r="K12" s="11" t="inlineStr">
        <is>
          <t>الامتياز التجاري</t>
        </is>
      </c>
      <c r="L12" s="15" t="inlineStr">
        <is>
          <t>مالي</t>
        </is>
      </c>
      <c r="M12" s="68" t="n">
        <v>1.564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«رفع هامش الربحية للامتياز»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نسبة التحصيل المالي من شركاء الامتياز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0.04</v>
      </c>
      <c r="H13" s="64" t="n">
        <v>0.95</v>
      </c>
      <c r="I13" s="22" t="inlineStr">
        <is>
          <t>95%+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0.8120000000000001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«التحصيل المالي من شركاء الامتياز» ÷ الإجمالي المستهدف لنفس البند × 100٪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متوسط أيام تحصيل شركاء الامتياز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0.04</v>
      </c>
      <c r="H14" s="67" t="n">
        <v>30</v>
      </c>
      <c r="I14" s="22" t="inlineStr">
        <is>
          <t>≤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26.2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تحصيل شركاء الامتياز»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إجمالي المستحقات المتأخرة (+30 يوم)</t>
        </is>
      </c>
      <c r="D15" s="55" t="inlineStr">
        <is>
          <t>ر.س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55" t="inlineStr"/>
      <c r="I15" s="22" t="inlineStr">
        <is>
          <t>تراجع مستمر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7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مجموع قيمة «المستحقات المتأخرة» بالريال خلال الفترة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الشركاء الملتزمين بمواعيد السداد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0.03</v>
      </c>
      <c r="H16" s="64" t="n">
        <v>0.9</v>
      </c>
      <c r="I16" s="22" t="inlineStr">
        <is>
          <t>90%+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5" t="n">
        <v>0.705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«الشركاء الملتزمين بمواعيد السداد»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الأداء المالي</t>
        </is>
      </c>
      <c r="C17" s="21" t="inlineStr">
        <is>
          <t>معدل دوران رأس المال (أيام الدورة)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0.03</v>
      </c>
      <c r="H17" s="67" t="n">
        <v>5</v>
      </c>
      <c r="I17" s="22" t="inlineStr">
        <is>
          <t>≤ 5 أيام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8" t="n">
        <v>4.329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عدد حالات «دوران رأس المال» خلال الفترة ÷ إجمالي الحالات القابلة للقياس × 100٪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ht="24" customHeight="1">
      <c r="B18" s="78" t="inlineStr">
        <is>
          <t>التشغيل والجودة</t>
        </is>
      </c>
      <c r="C18" s="79" t="inlineStr">
        <is>
          <t>📊 جودة وجاهزية تشغيل الامتياز</t>
        </is>
      </c>
      <c r="D18" s="80" t="n"/>
      <c r="E18" s="80" t="n"/>
      <c r="F18" s="81" t="inlineStr">
        <is>
          <t>🔷 أساسي</t>
        </is>
      </c>
      <c r="G18" s="82" t="n">
        <v>0.27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جاهزية محطات الامتياز (صفر انقطاع)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0.99</v>
      </c>
      <c r="I19" s="22" t="inlineStr">
        <is>
          <t>99%+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6" t="inlineStr">
        <is>
          <t>قيمة/عدد المتحقّق من «جاهزية محطات الامتياز» ÷ الإجمالي المستهدف لنفس البند × 100٪</t>
        </is>
      </c>
      <c r="Q19" s="86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نسبة إغلاق ملاحظات الجودة الميدانية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0.03</v>
      </c>
      <c r="H20" s="64" t="n">
        <v>0.95</v>
      </c>
      <c r="I20" s="22" t="inlineStr">
        <is>
          <t>95%+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0.879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«إغلاق ملاحظات الجودة الميدانية» ÷ الإجمالي المستهدف لنفس البند × 100٪</t>
        </is>
      </c>
      <c r="Q20" s="86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متوسط درجة تقييم جودة المحطة (قائمة التحقق)</t>
        </is>
      </c>
      <c r="D21" s="55" t="inlineStr">
        <is>
          <t>درجة/100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0.04</v>
      </c>
      <c r="H21" s="67" t="n">
        <v>85</v>
      </c>
      <c r="I21" s="22" t="inlineStr">
        <is>
          <t>85+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78.8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مجموع قيم «درجة تقييم جودة المحطة» ÷ عدد المفردات المقيسة</t>
        </is>
      </c>
      <c r="Q21" s="86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تنفيذ الزيارات الميدانية المجدولة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0.03</v>
      </c>
      <c r="H22" s="64" t="n">
        <v>1</v>
      </c>
      <c r="I22" s="22" t="inlineStr">
        <is>
          <t>100%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1.034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قيمة/عدد المتحقّق من «تنفيذ الزيارات الميدانية المجدولة» ÷ الإجمالي المستهدف لنفس البند × 100٪</t>
        </is>
      </c>
      <c r="Q22" s="86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نسبة المحطات المستوفية لمعايير السلامة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4" t="n">
        <v>1</v>
      </c>
      <c r="I23" s="22" t="inlineStr">
        <is>
          <t>100%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0.911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6" t="inlineStr">
        <is>
          <t>قيمة/عدد المتحقّق من «المحطات المستوفية لمعايير السلامة» ÷ الإجمالي المستهدف لنفس البند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متوسط وقت معالجة البلاغات التشغيلية</t>
        </is>
      </c>
      <c r="D24" s="55" t="inlineStr">
        <is>
          <t>ساعة</t>
        </is>
      </c>
      <c r="E24" s="55" t="inlineStr">
        <is>
          <t>↓</t>
        </is>
      </c>
      <c r="F24" s="15" t="inlineStr">
        <is>
          <t>🟠 مهم</t>
        </is>
      </c>
      <c r="G24" s="64" t="n">
        <v>0.03</v>
      </c>
      <c r="H24" s="67" t="n">
        <v>24</v>
      </c>
      <c r="I24" s="22" t="inlineStr">
        <is>
          <t>≤ 24 ساعة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8" t="n">
        <v>26.2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مجموع ساعات «وقت معالجة البلاغات التشغيلية» ÷ عدد الحالات المغلقة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أتمتة محطات الامتياز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🔴 رئيسي</t>
        </is>
      </c>
      <c r="G25" s="64" t="n">
        <v>0.04</v>
      </c>
      <c r="H25" s="64" t="n">
        <v>0.9</v>
      </c>
      <c r="I25" s="22" t="inlineStr">
        <is>
          <t>90%</t>
        </is>
      </c>
      <c r="J25" s="85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0.674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قيمة/عدد المتحقّق من «أتمتة محطات الامتياز» ÷ الإجمالي المستهدف لنفس البند × 100٪</t>
        </is>
      </c>
      <c r="Q25" s="86" t="inlineStr">
        <is>
          <t>مكتب إدارة المشاريع (PMO)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التشغيل والجودة</t>
        </is>
      </c>
      <c r="C26" s="21" t="inlineStr">
        <is>
          <t>نسبة تطبيق المعيار الشامل داخل المحطات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🟡 متابعة</t>
        </is>
      </c>
      <c r="G26" s="64" t="n">
        <v>0.02</v>
      </c>
      <c r="H26" s="64" t="n">
        <v>0.3</v>
      </c>
      <c r="I26" s="22" t="inlineStr">
        <is>
          <t>30%</t>
        </is>
      </c>
      <c r="J26" s="85" t="inlineStr">
        <is>
          <t>الابتكار</t>
        </is>
      </c>
      <c r="K26" s="11" t="inlineStr">
        <is>
          <t>التحول التقني</t>
        </is>
      </c>
      <c r="L26" s="15" t="inlineStr">
        <is>
          <t>التعلّم والنمو</t>
        </is>
      </c>
      <c r="M26" s="65" t="n">
        <v>0.299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«تطبيق المعيار الشامل داخل المحطات» ÷ الإجمالي المستهدف لنفس البند × 100٪</t>
        </is>
      </c>
      <c r="Q26" s="86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20</v>
      </c>
      <c r="B27" s="21" t="inlineStr">
        <is>
          <t>الهوية والتسويق</t>
        </is>
      </c>
      <c r="C27" s="21" t="inlineStr">
        <is>
          <t>نسبة التزام المحطات بالهوية المؤسسية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0.04</v>
      </c>
      <c r="H27" s="64" t="n">
        <v>0.55</v>
      </c>
      <c r="I27" s="22" t="inlineStr">
        <is>
          <t>55%</t>
        </is>
      </c>
      <c r="J27" s="85" t="inlineStr">
        <is>
          <t>الابتكار</t>
        </is>
      </c>
      <c r="K27" s="11" t="inlineStr">
        <is>
          <t>تطوير التصاميم والهوية</t>
        </is>
      </c>
      <c r="L27" s="15" t="inlineStr">
        <is>
          <t>التعلّم والنمو</t>
        </is>
      </c>
      <c r="M27" s="65" t="n">
        <v>0.44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«التزام المحطات بالهوية المؤسسية» ÷ الإجمالي المستهدف لنفس البند × 100٪</t>
        </is>
      </c>
      <c r="Q27" s="86" t="inlineStr">
        <is>
          <t>نظام تشغيل المحطات</t>
        </is>
      </c>
      <c r="R27" s="15" t="inlineStr">
        <is>
          <t>شهري</t>
        </is>
      </c>
    </row>
    <row r="28" ht="24" customHeight="1">
      <c r="B28" s="78" t="inlineStr">
        <is>
          <t>تجربة العملاء والشركاء</t>
        </is>
      </c>
      <c r="C28" s="79" t="inlineStr">
        <is>
          <t>📊 تجربة عملاء الامتياز</t>
        </is>
      </c>
      <c r="D28" s="80" t="n"/>
      <c r="E28" s="80" t="n"/>
      <c r="F28" s="81" t="inlineStr">
        <is>
          <t>🔷 أساسي</t>
        </is>
      </c>
      <c r="G28" s="82" t="n">
        <v>0.14</v>
      </c>
      <c r="H28" s="80" t="n"/>
      <c r="I28" s="80" t="n"/>
      <c r="J28" s="80" t="n"/>
      <c r="K28" s="80" t="n"/>
      <c r="L28" s="80" t="n"/>
      <c r="M28" s="80" t="n"/>
      <c r="N28" s="83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8" s="84">
        <f>IF($N28="","⏳ بانتظار هدف",IF($N28&gt;=1,"✅ محقق",IF($N28&gt;=0.85,"🟡 قريب","🔴 تحت الهدف")))</f>
        <v/>
      </c>
      <c r="P28" s="80" t="n"/>
      <c r="Q28" s="80" t="n"/>
      <c r="R28" s="80" t="n"/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متوسط تقييم المحطات على خرائط قوقل</t>
        </is>
      </c>
      <c r="D29" s="55" t="inlineStr">
        <is>
          <t>نجمة/5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7" t="n">
        <v>4.7</v>
      </c>
      <c r="I29" s="22" t="inlineStr">
        <is>
          <t>≥ 4.7 نجمة</t>
        </is>
      </c>
      <c r="J29" s="85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8" t="n">
        <v>3.474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6" t="inlineStr">
        <is>
          <t>مجموع قيم «تقييم المحطات على خرائط قوقل» ÷ عدد المفردات المقيسة</t>
        </is>
      </c>
      <c r="Q29" s="86" t="inlineStr">
        <is>
          <t>تقييمات خرائط قوقل</t>
        </is>
      </c>
      <c r="R29" s="15" t="inlineStr">
        <is>
          <t>شهري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معدل رضا شركاء الامتياز (CSAT)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0.04</v>
      </c>
      <c r="H30" s="64" t="n">
        <v>0.9</v>
      </c>
      <c r="I30" s="22" t="inlineStr">
        <is>
          <t>90%+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0.837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هدف",IF($N30&gt;=0.9,"✅ محقق",IF($N30&gt;=0.75,"🟡 قريب","🔴 تحت الهدف")))</f>
        <v/>
      </c>
      <c r="P30" s="86" t="inlineStr">
        <is>
          <t>عدد حالات «رضا شركاء الامتياز» خلال الفترة ÷ إجمالي الحالات القابلة للقياس × 100٪</t>
        </is>
      </c>
      <c r="Q30" s="86" t="inlineStr">
        <is>
          <t>استبيان دوري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حل الشكاوى خلال المدة المحددة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95%+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0.922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قيمة/عدد المتحقّق من «حل الشكاوى خلال المدة المحددة» ÷ الإجمالي المستهدف لنفس البند × 100٪</t>
        </is>
      </c>
      <c r="Q31" s="86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تجربة العملاء والشركاء</t>
        </is>
      </c>
      <c r="C32" s="21" t="inlineStr">
        <is>
          <t>نسبة انخفاض الشكاوى التشغيلية والإدارية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0.03</v>
      </c>
      <c r="H32" s="64" t="n">
        <v>0.3</v>
      </c>
      <c r="I32" s="22" t="inlineStr">
        <is>
          <t>≥ 30%</t>
        </is>
      </c>
      <c r="J32" s="85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العملاء</t>
        </is>
      </c>
      <c r="M32" s="65" t="n">
        <v>0.274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«انخفاض الشكاوى التشغيلية والإدارية» ÷ الإجمالي المستهدف لنفس البند × 100٪</t>
        </is>
      </c>
      <c r="Q32" s="86" t="inlineStr">
        <is>
          <t>سجلات الإدارة</t>
        </is>
      </c>
      <c r="R32" s="15" t="inlineStr">
        <is>
          <t>شهري</t>
        </is>
      </c>
    </row>
    <row r="33" ht="24" customHeight="1">
      <c r="B33" s="78" t="inlineStr">
        <is>
          <t>استدامة الشراكة والامتثال</t>
        </is>
      </c>
      <c r="C33" s="79" t="inlineStr">
        <is>
          <t>📊 استدامة شراكات الامتياز</t>
        </is>
      </c>
      <c r="D33" s="80" t="n"/>
      <c r="E33" s="80" t="n"/>
      <c r="F33" s="81" t="inlineStr">
        <is>
          <t>🔷 أساسي</t>
        </is>
      </c>
      <c r="G33" s="82" t="n">
        <v>0.1</v>
      </c>
      <c r="H33" s="80" t="n"/>
      <c r="I33" s="80" t="n"/>
      <c r="J33" s="80" t="n"/>
      <c r="K33" s="80" t="n"/>
      <c r="L33" s="80" t="n"/>
      <c r="M33" s="80" t="n"/>
      <c r="N33" s="83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3" s="84">
        <f>IF($N33="","⏳ بانتظار هدف",IF($N33&gt;=1,"✅ محقق",IF($N33&gt;=0.85,"🟡 قريب","🔴 تحت الهدف")))</f>
        <v/>
      </c>
      <c r="P33" s="80" t="n"/>
      <c r="Q33" s="80" t="n"/>
      <c r="R33" s="80" t="n"/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استدامة أصحاب الامتياز (Retention)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0.9</v>
      </c>
      <c r="I34" s="22" t="inlineStr">
        <is>
          <t>90%</t>
        </is>
      </c>
      <c r="J34" s="85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0.853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قيمة/عدد المتحقّق من «استدامة أصحاب الامتياز» ÷ الإجمالي المستهدف لنفس البند × 100٪</t>
        </is>
      </c>
      <c r="Q34" s="86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نسبة زيادة عدد أصحاب الامتياز</t>
        </is>
      </c>
      <c r="D35" s="55" t="inlineStr">
        <is>
          <t>%</t>
        </is>
      </c>
      <c r="E35" s="55" t="inlineStr">
        <is>
          <t>↑</t>
        </is>
      </c>
      <c r="F35" s="15" t="inlineStr">
        <is>
          <t>🟠 مهم</t>
        </is>
      </c>
      <c r="G35" s="64" t="n">
        <v>0.03</v>
      </c>
      <c r="H35" s="64" t="n">
        <v>1</v>
      </c>
      <c r="I35" s="22" t="inlineStr">
        <is>
          <t>100% نمو</t>
        </is>
      </c>
      <c r="J35" s="85" t="inlineStr">
        <is>
          <t>الاستدامة</t>
        </is>
      </c>
      <c r="K35" s="11" t="inlineStr">
        <is>
          <t>تعزيز تجربة العملاء</t>
        </is>
      </c>
      <c r="L35" s="15" t="inlineStr">
        <is>
          <t>العمليات الداخلية</t>
        </is>
      </c>
      <c r="M35" s="65" t="n">
        <v>0.8100000000000001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«زيادة عدد أصحاب الامتياز» ÷ الإجمالي المستهدف لنفس البند × 100٪</t>
        </is>
      </c>
      <c r="Q35" s="86" t="inlineStr">
        <is>
          <t>نظام إدارة الجودة (QMS)</t>
        </is>
      </c>
      <c r="R35" s="15" t="inlineStr">
        <is>
          <t>شهري</t>
        </is>
      </c>
    </row>
    <row r="36" outlineLevel="1" ht="26" customHeight="1">
      <c r="A36" s="20" t="n">
        <v>27</v>
      </c>
      <c r="B36" s="21" t="inlineStr">
        <is>
          <t>استدامة الشراكة والامتثال</t>
        </is>
      </c>
      <c r="C36" s="21" t="inlineStr">
        <is>
          <t>متوسط مدة إغلاق عقد الامتياز</t>
        </is>
      </c>
      <c r="D36" s="55" t="inlineStr">
        <is>
          <t>أسبوع</t>
        </is>
      </c>
      <c r="E36" s="55" t="inlineStr">
        <is>
          <t>↓</t>
        </is>
      </c>
      <c r="F36" s="15" t="inlineStr">
        <is>
          <t>🔴 رئيسي</t>
        </is>
      </c>
      <c r="G36" s="64" t="n">
        <v>0.04</v>
      </c>
      <c r="H36" s="67" t="n">
        <v>1</v>
      </c>
      <c r="I36" s="22" t="inlineStr">
        <is>
          <t>≤ أسبوع</t>
        </is>
      </c>
      <c r="J36" s="85" t="inlineStr">
        <is>
          <t>النمو</t>
        </is>
      </c>
      <c r="K36" s="11" t="inlineStr">
        <is>
          <t>الامتياز التجاري</t>
        </is>
      </c>
      <c r="L36" s="15" t="inlineStr">
        <is>
          <t>العمليات الداخلية</t>
        </is>
      </c>
      <c r="M36" s="68" t="n">
        <v>0.899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6" t="inlineStr">
        <is>
          <t>مجموع قيم «مدة إغلاق عقد الامتياز» ÷ عدد المفردات المقيسة</t>
        </is>
      </c>
      <c r="Q36" s="86" t="inlineStr">
        <is>
          <t>نظام إدارة الجودة (QMS)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الأداء المالي</t>
        </is>
      </c>
      <c r="C37" s="21" t="inlineStr">
        <is>
          <t>نسبة التحصيل خلال 5 أيام عمل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🔴 رئيسي</t>
        </is>
      </c>
      <c r="G37" s="64" t="n">
        <v>0.04</v>
      </c>
      <c r="H37" s="64" t="n">
        <v>0.9</v>
      </c>
      <c r="I37" s="22" t="inlineStr">
        <is>
          <t>≥ 90%</t>
        </is>
      </c>
      <c r="J37" s="85" t="inlineStr">
        <is>
          <t>الاستدامة</t>
        </is>
      </c>
      <c r="K37" s="11" t="inlineStr">
        <is>
          <t>الامتياز التجاري</t>
        </is>
      </c>
      <c r="L37" s="15" t="inlineStr">
        <is>
          <t>مالي</t>
        </is>
      </c>
      <c r="M37" s="65" t="n">
        <v>0.652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6" t="inlineStr">
        <is>
          <t>قيمة/عدد المتحقّق من «التحصيل خلال 5 أيام عمل» ÷ الإجمالي المستهدف لنفس البند × 100٪</t>
        </is>
      </c>
      <c r="Q37" s="86" t="inlineStr">
        <is>
          <t>نظام المحاسبة / ERP (D365)</t>
        </is>
      </c>
      <c r="R37" s="15" t="inlineStr">
        <is>
          <t>شهري</t>
        </is>
      </c>
    </row>
  </sheetData>
  <autoFilter ref="A3:R37"/>
  <mergeCells count="2">
    <mergeCell ref="A2:R2"/>
    <mergeCell ref="A1:R1"/>
  </mergeCells>
  <dataValidations count="1">
    <dataValidation sqref="M5 M6 M8 M9 M11 M12 M13 M14 M15 M16 M17 M19 M20 M21 M22 M23 M24 M25 M26 M27 M29 M30 M31 M32 M34 M35 M36 M3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6" t="inlineStr">
        <is>
          <t>إجمالي عدد «المحطات المشغّلة» تراكمياً حتى نهاية الفترة</t>
        </is>
      </c>
      <c r="Q4" s="86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8" t="inlineStr">
        <is>
          <t>الربحية</t>
        </is>
      </c>
      <c r="C5" s="79" t="inlineStr">
        <is>
          <t>📊 نمو مبيعات الوقود</t>
        </is>
      </c>
      <c r="D5" s="80" t="n"/>
      <c r="E5" s="80" t="n"/>
      <c r="F5" s="81" t="inlineStr">
        <is>
          <t>🔷 أساسي</t>
        </is>
      </c>
      <c r="G5" s="82" t="n">
        <v>0.32</v>
      </c>
      <c r="H5" s="80" t="n"/>
      <c r="I5" s="80" t="n"/>
      <c r="J5" s="80" t="n"/>
      <c r="K5" s="80" t="n"/>
      <c r="L5" s="80" t="n"/>
      <c r="M5" s="80" t="n"/>
      <c r="N5" s="83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4">
        <f>IF($N5="","⏳ بانتظار هدف",IF($N5&gt;=1,"✅ محقق",IF($N5&gt;=0.85,"🟡 قريب","🔴 تحت الهدف")))</f>
        <v/>
      </c>
      <c r="P5" s="80" t="n"/>
      <c r="Q5" s="80" t="n"/>
      <c r="R5" s="80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«نمو مبيعات بنزين 91 مقارنة بالعام السابق»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«نمو مبيعات بنزين 95 مقارنة بالعام السابق»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«نمو مبيعات بنزين 98 مقارنة بالعام السابق» ÷ المستهدف × 100٪</t>
        </is>
      </c>
      <c r="Q8" s="86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القيمة المتحقّقة من «نمو مبيعات الديزل مقارنة بالعام السابق» ÷ المستهدف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0.07000000000000001</v>
      </c>
      <c r="H10" s="64" t="n">
        <v>0.99</v>
      </c>
      <c r="I10" s="22" t="inlineStr">
        <is>
          <t>99%+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6" t="inlineStr">
        <is>
          <t>قيمة/عدد المتحقّق من «جاهزية المحطة الشاملة»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«المضخات العاملة» ÷ الإجمالي المستهدف لنفس البند × 100٪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ضغط التكلفة</t>
        </is>
      </c>
      <c r="C12" s="21" t="inlineStr">
        <is>
          <t>تكلفة التشغيل لكل لتر مباع</t>
        </is>
      </c>
      <c r="D12" s="55" t="inlineStr">
        <is>
          <t>هللة/لتر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0.05</v>
      </c>
      <c r="H12" s="55" t="inlineStr"/>
      <c r="I12" s="22" t="inlineStr">
        <is>
          <t>خفض ≥5% سنوياً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«تكلفة التشغيل لكل لتر مباع» خلال الفترة</t>
        </is>
      </c>
      <c r="Q12" s="86" t="inlineStr">
        <is>
          <t>نظام تشغيل المحطات</t>
        </is>
      </c>
      <c r="R12" s="15" t="inlineStr">
        <is>
          <t>ربعي</t>
        </is>
      </c>
    </row>
    <row r="13" ht="26" customHeight="1">
      <c r="A13" s="20" t="n">
        <v>9</v>
      </c>
      <c r="B13" s="21" t="inlineStr">
        <is>
          <t>حماية الأصول</t>
        </is>
      </c>
      <c r="C13" s="21" t="inlineStr">
        <is>
          <t>نسبة الصيانة الوقائية المنفذة في موعدها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«الصيانة الوقائية المنفذة في موعدها» ÷ الإجمالي المستهدف لنفس البند × 100٪</t>
        </is>
      </c>
      <c r="Q13" s="86" t="inlineStr">
        <is>
          <t>نظام تشغيل المحطات</t>
        </is>
      </c>
      <c r="R13" s="15" t="inlineStr">
        <is>
          <t>شهري</t>
        </is>
      </c>
    </row>
    <row r="14" ht="24" customHeight="1">
      <c r="B14" s="78" t="inlineStr">
        <is>
          <t>تجربة العميل</t>
        </is>
      </c>
      <c r="C14" s="79" t="inlineStr">
        <is>
          <t>📊 تجربة العميل العام</t>
        </is>
      </c>
      <c r="D14" s="80" t="n"/>
      <c r="E14" s="80" t="n"/>
      <c r="F14" s="81" t="inlineStr">
        <is>
          <t>🔷 أساسي</t>
        </is>
      </c>
      <c r="G14" s="82" t="n">
        <v>0.24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نسبة انخفاض الشكاوى مقارنة بالشهر السابق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0.2</v>
      </c>
      <c r="I15" s="22" t="inlineStr">
        <is>
          <t>≥ 20%</t>
        </is>
      </c>
      <c r="J15" s="8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5" t="n">
        <v>0.163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«انخفاض الشكاوى مقارنة بالشهر السابق» ÷ الإجمالي المستهدف لنفس البند × 100٪</t>
        </is>
      </c>
      <c r="Q15" s="86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تقييم Google Maps للمحطات</t>
        </is>
      </c>
      <c r="D16" s="55" t="inlineStr">
        <is>
          <t>نجمة/5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0.07000000000000001</v>
      </c>
      <c r="H16" s="67" t="n">
        <v>4.5</v>
      </c>
      <c r="I16" s="22" t="inlineStr">
        <is>
          <t>≥ 4.5</t>
        </is>
      </c>
      <c r="J16" s="85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8" t="n">
        <v>4.048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متوسط تقييم «تقييم Google Maps للمحطات» على مقياسه المعتمد</t>
        </is>
      </c>
      <c r="Q16" s="86" t="inlineStr">
        <is>
          <t>تقييمات خرائط قوقل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سرعة تعبئة الوقود</t>
        </is>
      </c>
      <c r="D17" s="55" t="inlineStr">
        <is>
          <t>دقيقة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3</v>
      </c>
      <c r="I17" s="22" t="inlineStr">
        <is>
          <t>≤ 3 دقائق</t>
        </is>
      </c>
      <c r="J17" s="85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8" t="n">
        <v>3.352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قياس «سرعة تعبئة الوقود» مقابل مستهدفه المعتمد خلال الفترة</t>
        </is>
      </c>
      <c r="Q17" s="86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دقة التعبئة بدون أخطاء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0.99</v>
      </c>
      <c r="I18" s="22" t="inlineStr">
        <is>
          <t>≥ 99%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القيمة المتحقّقة من «دقة التعبئة بدون أخطاء» ÷ المستهدف × 100٪</t>
        </is>
      </c>
      <c r="Q18" s="86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14</v>
      </c>
      <c r="B19" s="21" t="inlineStr">
        <is>
          <t>تجربة العميل</t>
        </is>
      </c>
      <c r="C19" s="21" t="inlineStr">
        <is>
          <t>تطبيق المعيار الشامل في 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🟡 متابعة</t>
        </is>
      </c>
      <c r="G19" s="64" t="n">
        <v>0.02</v>
      </c>
      <c r="H19" s="64" t="n">
        <v>0.8</v>
      </c>
      <c r="I19" s="22" t="inlineStr">
        <is>
          <t>≥ 80%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التعلّم والنمو</t>
        </is>
      </c>
      <c r="M19" s="65" t="n">
        <v>0.787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«تطبيق المعيار الشامل في المحطات» ÷ المستهدف × 100٪</t>
        </is>
      </c>
      <c r="Q19" s="86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السلامة</t>
        </is>
      </c>
      <c r="C20" s="21" t="inlineStr">
        <is>
          <t>الالتزام بمعايير السلامة داخل المحطة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0.837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«الالتزام بمعايير السلامة داخل المحطة» ÷ المستهدف × 100٪</t>
        </is>
      </c>
      <c r="Q20" s="86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16</v>
      </c>
      <c r="B21" s="21" t="inlineStr">
        <is>
          <t>البيئة</t>
        </is>
      </c>
      <c r="C21" s="21" t="inlineStr">
        <is>
          <t>التشجير داخل المحطة (معيار الوزارة)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0.747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«التشجير داخل المحطة» ÷ المستهدف × 100٪</t>
        </is>
      </c>
      <c r="Q21" s="86" t="inlineStr">
        <is>
          <t>نظام تشغيل المحطات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4 M6 M7 M8 M9 M10 M11 M12 M13 M15 M16 M17 M18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نمو المحفظة</t>
        </is>
      </c>
      <c r="C4" s="79" t="inlineStr">
        <is>
          <t>📊 نمو محفظة الاستثمار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المؤشرات'!$B:$B,"الاستثمار",'قاعدة المؤشرات'!$L:$L,"نمو المحفظة")/SUMIFS('قاعدة المؤشرات'!$K:$K,'قاعدة المؤشرات'!$B:$B,"الاستثمار",'قاعدة المؤشرات'!$L:$L,"نمو المحفظة"),"")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90</v>
      </c>
      <c r="I5" s="22" t="inlineStr">
        <is>
          <t>90 عقد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«عقود الاستثمار العادي الجديدة» المُسجّل خلال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100</v>
      </c>
      <c r="I6" s="22" t="inlineStr">
        <is>
          <t>100 عقد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1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الاستحواذ الجديدة» المُسجّل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55" t="inlineStr">
        <is>
          <t>محطة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0" t="n">
        <v>120</v>
      </c>
      <c r="I7" s="22" t="inlineStr">
        <is>
          <t>120 محطة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إجمالي عدد «المحطات المستحوَذ عليها المشغّلة» المُسجّل خلال الفترة</t>
        </is>
      </c>
      <c r="Q7" s="86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55" t="inlineStr">
        <is>
          <t>عقد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11</v>
      </c>
      <c r="I8" s="22" t="inlineStr">
        <is>
          <t>11 عقد</t>
        </is>
      </c>
      <c r="J8" s="85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إجمالي عدد «عقود تأجير الأرض الجديدة» المُسجّل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55" t="inlineStr">
        <is>
          <t>عقد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0.05</v>
      </c>
      <c r="H9" s="60" t="n">
        <v>12</v>
      </c>
      <c r="I9" s="22" t="inlineStr">
        <is>
          <t>12 عقد</t>
        </is>
      </c>
      <c r="J9" s="85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1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إجمالي عدد «عقود إيجار المحطة الجديدة» المُسجّل خلال الفترة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55" t="inlineStr">
        <is>
          <t>عقد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0.05</v>
      </c>
      <c r="H10" s="60" t="n">
        <v>68</v>
      </c>
      <c r="I10" s="22" t="inlineStr">
        <is>
          <t>68 عقد</t>
        </is>
      </c>
      <c r="J10" s="85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1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«عقود تشغيل المحطة الجديدة»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8" t="inlineStr">
        <is>
          <t>الربحية وجودة الموقع</t>
        </is>
      </c>
      <c r="C11" s="79" t="inlineStr">
        <is>
          <t>📊 ربحية وجودة المواقع</t>
        </is>
      </c>
      <c r="D11" s="80" t="n"/>
      <c r="E11" s="80" t="n"/>
      <c r="F11" s="81" t="inlineStr">
        <is>
          <t>🔷 أساسي</t>
        </is>
      </c>
      <c r="G11" s="82" t="n">
        <v>0.14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المؤشرات'!$B:$B,"الاستثمار",'قاعدة المؤشرات'!$L:$L,"الربحية وجودة الموقع")/SUMIFS('قاعدة المؤشرات'!$K:$K,'قاعدة المؤشرات'!$B:$B,"الاستثمار",'قاعدة المؤشرات'!$L:$L,"الربحية وجودة الموقع"),"")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7</v>
      </c>
      <c r="B12" s="21" t="inlineStr">
        <is>
          <t>الربحية وجودة الموقع</t>
        </is>
      </c>
      <c r="C12" s="21" t="inlineStr">
        <is>
          <t>نسبة المواقع المعتمدة ذات العائد المجدي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0.8</v>
      </c>
      <c r="I12" s="22" t="inlineStr">
        <is>
          <t>80%+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0.649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«المواقع المعتمدة ذات العائد المجدي» ÷ الإجمالي المستهدف لنفس البند × 100٪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الربحية وجودة الموقع</t>
        </is>
      </c>
      <c r="C13" s="21" t="inlineStr">
        <is>
          <t>متوسط فترة استرداد رأس المال</t>
        </is>
      </c>
      <c r="D13" s="55" t="inlineStr">
        <is>
          <t>سنة</t>
        </is>
      </c>
      <c r="E13" s="55" t="inlineStr">
        <is>
          <t>↓</t>
        </is>
      </c>
      <c r="F13" s="15" t="inlineStr">
        <is>
          <t>🟠 مهم</t>
        </is>
      </c>
      <c r="G13" s="64" t="n">
        <v>0.04</v>
      </c>
      <c r="H13" s="67" t="n">
        <v>5</v>
      </c>
      <c r="I13" s="22" t="inlineStr">
        <is>
          <t>≤ 5 سنوات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4.983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مجموع قيم «فترة استرداد رأس المال» ÷ عدد المفردات المقيسة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الربحية وجودة الموقع</t>
        </is>
      </c>
      <c r="C14" s="21" t="inlineStr">
        <is>
          <t>متوسط قيمة عقد الإيجار السنوي (أرض)</t>
        </is>
      </c>
      <c r="D14" s="55" t="inlineStr">
        <is>
          <t>ر.س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0.05</v>
      </c>
      <c r="H14" s="55" t="inlineStr"/>
      <c r="I14" s="22" t="inlineStr">
        <is>
          <t>يُحدد لاحقاً</t>
        </is>
      </c>
      <c r="J14" s="85" t="inlineStr">
        <is>
          <t>النمو</t>
        </is>
      </c>
      <c r="K14" s="11" t="inlineStr">
        <is>
          <t>التوسع في المواقع</t>
        </is>
      </c>
      <c r="L14" s="15" t="inlineStr">
        <is>
          <t>مالي</t>
        </is>
      </c>
      <c r="M14" s="7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قيم «قيمة عقد الإيجار السنوي» ÷ عدد المفردات المقيسة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ht="24" customHeight="1">
      <c r="B15" s="78" t="inlineStr">
        <is>
          <t>التوسع الإقليمي</t>
        </is>
      </c>
      <c r="C15" s="79" t="inlineStr">
        <is>
          <t>📊 التغطية الإقليمية للعقود</t>
        </is>
      </c>
      <c r="D15" s="80" t="n"/>
      <c r="E15" s="80" t="n"/>
      <c r="F15" s="81" t="inlineStr">
        <is>
          <t>🔷 أساسي</t>
        </is>
      </c>
      <c r="G15" s="82" t="n">
        <v>0.2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المؤشرات'!$B:$B,"الاستثمار",'قاعدة المؤشرات'!$L:$L,"التوسع الإقليمي")/SUMIFS('قاعدة المؤشرات'!$K:$K,'قاعدة المؤشرات'!$B:$B,"الاستثمار",'قاعدة المؤشرات'!$L:$L,"التوسع الإقليمي"),"")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10</v>
      </c>
      <c r="B16" s="21" t="inlineStr">
        <is>
          <t>التوسع الإقليمي</t>
        </is>
      </c>
      <c r="C16" s="21" t="inlineStr">
        <is>
          <t>نسبة العقود التي تغطي المناطق الـ13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1.028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«العقود التي تغطي المناطق الـ13» ÷ الإجمالي المستهدف لنفس البند × 100٪</t>
        </is>
      </c>
      <c r="Q16" s="86" t="inlineStr">
        <is>
          <t>نظام إدارة العقود (CRM)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التوسع الإقليمي</t>
        </is>
      </c>
      <c r="C17" s="21" t="inlineStr">
        <is>
          <t>نسبة العقود خارج المدن الرئيسية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0.6</v>
      </c>
      <c r="I17" s="22" t="inlineStr">
        <is>
          <t>&gt; 60%</t>
        </is>
      </c>
      <c r="J17" s="85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5" t="n">
        <v>0.516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«العقود خارج المدن الرئيسية» ÷ الإجمالي المستهدف لنفس البند × 100٪</t>
        </is>
      </c>
      <c r="Q17" s="86" t="inlineStr">
        <is>
          <t>نظام إدارة العقود (CRM)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التوسع الإقليمي</t>
        </is>
      </c>
      <c r="C18" s="21" t="inlineStr">
        <is>
          <t>نسبة العقود في الـ12 مدينة الرئيسية</t>
        </is>
      </c>
      <c r="D18" s="55" t="inlineStr">
        <is>
          <t>%</t>
        </is>
      </c>
      <c r="E18" s="55" t="inlineStr">
        <is>
          <t>↓</t>
        </is>
      </c>
      <c r="F18" s="15" t="inlineStr">
        <is>
          <t>🔴 رئيسي</t>
        </is>
      </c>
      <c r="G18" s="64" t="n">
        <v>0.05</v>
      </c>
      <c r="H18" s="64" t="n">
        <v>0.4</v>
      </c>
      <c r="I18" s="22" t="inlineStr">
        <is>
          <t>&lt; 40%</t>
        </is>
      </c>
      <c r="J18" s="85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5" t="n">
        <v>0.415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«العقود في الـ12 مدينة الرئيسية» ÷ الإجمالي المستهدف لنفس البند × 100٪</t>
        </is>
      </c>
      <c r="Q18" s="86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13</v>
      </c>
      <c r="B19" s="21" t="inlineStr">
        <is>
          <t>التوسع الإقليمي</t>
        </is>
      </c>
      <c r="C19" s="21" t="inlineStr">
        <is>
          <t>نسبة العقود على الطرق الإقليمية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4" t="n">
        <v>0.25</v>
      </c>
      <c r="I19" s="22" t="inlineStr">
        <is>
          <t>&gt; 25%</t>
        </is>
      </c>
      <c r="J19" s="85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5" t="n">
        <v>0.236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«العقود على الطرق الإقليمية» ÷ الإجمالي المستهدف لنفس البند × 100٪</t>
        </is>
      </c>
      <c r="Q19" s="86" t="inlineStr">
        <is>
          <t>نظام إدارة العقود (CRM)</t>
        </is>
      </c>
      <c r="R19" s="15" t="inlineStr">
        <is>
          <t>شهري</t>
        </is>
      </c>
    </row>
    <row r="20" ht="24" customHeight="1">
      <c r="B20" s="78" t="inlineStr">
        <is>
          <t>كفاءة الدورة</t>
        </is>
      </c>
      <c r="C20" s="79" t="inlineStr">
        <is>
          <t>📊 كفاءة دورة الاستثمار</t>
        </is>
      </c>
      <c r="D20" s="80" t="n"/>
      <c r="E20" s="80" t="n"/>
      <c r="F20" s="81" t="inlineStr">
        <is>
          <t>🔷 أساسي</t>
        </is>
      </c>
      <c r="G20" s="82" t="n">
        <v>0.14</v>
      </c>
      <c r="H20" s="80" t="n"/>
      <c r="I20" s="80" t="n"/>
      <c r="J20" s="80" t="n"/>
      <c r="K20" s="80" t="n"/>
      <c r="L20" s="80" t="n"/>
      <c r="M20" s="80" t="n"/>
      <c r="N20" s="83">
        <f>IFERROR(SUMIFS('قاعدة المؤشرات'!$J:$J,'قاعدة المؤشرات'!$B:$B,"الاستثمار",'قاعدة المؤشرات'!$L:$L,"كفاءة الدورة")/SUMIFS('قاعدة المؤشرات'!$K:$K,'قاعدة المؤشرات'!$B:$B,"الاستثمار",'قاعدة المؤشرات'!$L:$L,"كفاءة الدورة"),"")</f>
        <v/>
      </c>
      <c r="O20" s="84">
        <f>IF($N20="","⏳ بانتظار هدف",IF($N20&gt;=1,"✅ محقق",IF($N20&gt;=0.85,"🟡 قريب","🔴 تحت الهدف")))</f>
        <v/>
      </c>
      <c r="P20" s="80" t="n"/>
      <c r="Q20" s="80" t="n"/>
      <c r="R20" s="80" t="n"/>
    </row>
    <row r="21" outlineLevel="1" ht="26" customHeight="1">
      <c r="A21" s="20" t="n">
        <v>14</v>
      </c>
      <c r="B21" s="21" t="inlineStr">
        <is>
          <t>كفاءة الدورة</t>
        </is>
      </c>
      <c r="C21" s="21" t="inlineStr">
        <is>
          <t>متوسط مدة إغلاق عقد الاستثمار</t>
        </is>
      </c>
      <c r="D21" s="55" t="inlineStr">
        <is>
          <t>أسبوع</t>
        </is>
      </c>
      <c r="E21" s="55" t="inlineStr">
        <is>
          <t>↓</t>
        </is>
      </c>
      <c r="F21" s="15" t="inlineStr">
        <is>
          <t>🔴 رئيسي</t>
        </is>
      </c>
      <c r="G21" s="64" t="n">
        <v>0.05</v>
      </c>
      <c r="H21" s="67" t="n">
        <v>1</v>
      </c>
      <c r="I21" s="22" t="inlineStr">
        <is>
          <t>≤ أسبوع</t>
        </is>
      </c>
      <c r="J21" s="85" t="inlineStr">
        <is>
          <t>النمو</t>
        </is>
      </c>
      <c r="K21" s="11" t="inlineStr">
        <is>
          <t>التوسع في المواقع</t>
        </is>
      </c>
      <c r="L21" s="15" t="inlineStr">
        <is>
          <t>العمليات الداخلية</t>
        </is>
      </c>
      <c r="M21" s="68" t="n">
        <v>0.912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مجموع قيم «مدة إغلاق عقد الاستثمار» ÷ عدد المفردات المقيسة</t>
        </is>
      </c>
      <c r="Q21" s="86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كفاءة الدورة</t>
        </is>
      </c>
      <c r="C22" s="21" t="inlineStr">
        <is>
          <t>نسبة العقود المتحوّلة لمحطات مشغّلة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0.3</v>
      </c>
      <c r="I22" s="22" t="inlineStr">
        <is>
          <t>≥ 30%</t>
        </is>
      </c>
      <c r="J22" s="85" t="inlineStr">
        <is>
          <t>النمو</t>
        </is>
      </c>
      <c r="K22" s="11" t="inlineStr">
        <is>
          <t>التوسع في المواقع</t>
        </is>
      </c>
      <c r="L22" s="15" t="inlineStr">
        <is>
          <t>العمليات الداخلية</t>
        </is>
      </c>
      <c r="M22" s="65" t="n">
        <v>0.308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قيمة/عدد المتحقّق من «العقود المتحوّلة لمحطات مشغّلة» ÷ الإجمالي المستهدف لنفس البند × 100٪</t>
        </is>
      </c>
      <c r="Q22" s="86" t="inlineStr">
        <is>
          <t>نظام إدارة العقود (CRM)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كفاءة الدورة</t>
        </is>
      </c>
      <c r="C23" s="21" t="inlineStr">
        <is>
          <t>نسبة تخفيض إيجار المواقع عالية التكاليف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0.04</v>
      </c>
      <c r="H23" s="64" t="n">
        <v>0.3</v>
      </c>
      <c r="I23" s="22" t="inlineStr">
        <is>
          <t>≥ 30%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0.221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«تخفيض إيجار المواقع عالية التكاليف» ÷ الإجمالي المستهدف لنفس البند × 100٪</t>
        </is>
      </c>
      <c r="Q23" s="86" t="inlineStr">
        <is>
          <t>نظام إدارة العقود (CRM)</t>
        </is>
      </c>
      <c r="R23" s="15" t="inlineStr">
        <is>
          <t>شهري</t>
        </is>
      </c>
    </row>
    <row r="24" ht="24" customHeight="1">
      <c r="B24" s="78" t="inlineStr">
        <is>
          <t>الامتثال</t>
        </is>
      </c>
      <c r="C24" s="79" t="inlineStr">
        <is>
          <t>📊 الامتثال والتوثيق</t>
        </is>
      </c>
      <c r="D24" s="80" t="n"/>
      <c r="E24" s="80" t="n"/>
      <c r="F24" s="81" t="inlineStr">
        <is>
          <t>🔷 أساسي</t>
        </is>
      </c>
      <c r="G24" s="82" t="n">
        <v>0.07000000000000001</v>
      </c>
      <c r="H24" s="80" t="n"/>
      <c r="I24" s="80" t="n"/>
      <c r="J24" s="80" t="n"/>
      <c r="K24" s="80" t="n"/>
      <c r="L24" s="80" t="n"/>
      <c r="M24" s="80" t="n"/>
      <c r="N24" s="83">
        <f>IFERROR(SUMIFS('قاعدة المؤشرات'!$J:$J,'قاعدة المؤشرات'!$B:$B,"الاستثمار",'قاعدة المؤشرات'!$L:$L,"الامتثال")/SUMIFS('قاعدة المؤشرات'!$K:$K,'قاعدة المؤشرات'!$B:$B,"الاستثمار",'قاعدة المؤشرات'!$L:$L,"الامتثال"),"")</f>
        <v/>
      </c>
      <c r="O24" s="84">
        <f>IF($N24="","⏳ بانتظار هدف",IF($N24&gt;=1,"✅ محقق",IF($N24&gt;=0.85,"🟡 قريب","🔴 تحت الهدف")))</f>
        <v/>
      </c>
      <c r="P24" s="80" t="n"/>
      <c r="Q24" s="80" t="n"/>
      <c r="R24" s="80" t="n"/>
    </row>
    <row r="25" outlineLevel="1" ht="26" customHeight="1">
      <c r="A25" s="20" t="n">
        <v>17</v>
      </c>
      <c r="B25" s="21" t="inlineStr">
        <is>
          <t>الامتثال</t>
        </is>
      </c>
      <c r="C25" s="21" t="inlineStr">
        <is>
          <t>نسبة اكتمال المستندات النظامية قبل التوقيع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🏁 معلم</t>
        </is>
      </c>
      <c r="G25" s="64" t="n">
        <v>0.02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0.751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قيمة/عدد المتحقّق من «اكتمال المستندات النظامية قبل التوقيع» ÷ الإجمالي المستهدف لنفس البند × 100٪</t>
        </is>
      </c>
      <c r="Q25" s="86" t="inlineStr">
        <is>
          <t>نظام إدارة الجودة (QMS)</t>
        </is>
      </c>
      <c r="R25" s="15" t="inlineStr">
        <is>
          <t>شهري</t>
        </is>
      </c>
    </row>
    <row r="26" outlineLevel="1" ht="26" customHeight="1">
      <c r="A26" s="20" t="n">
        <v>18</v>
      </c>
      <c r="B26" s="21" t="inlineStr">
        <is>
          <t>الامتثال</t>
        </is>
      </c>
      <c r="C26" s="21" t="inlineStr">
        <is>
          <t>نسبة العقود المؤرشفة إلكترونياً خلال 48 ساعة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0.95</v>
      </c>
      <c r="I26" s="22" t="inlineStr">
        <is>
          <t>95%+</t>
        </is>
      </c>
      <c r="J26" s="8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0.736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«العقود المؤرشفة إلكترونياً خلال 48 ساعة» ÷ الإجمالي المستهدف لنفس البند × 100٪</t>
        </is>
      </c>
      <c r="Q26" s="86" t="inlineStr">
        <is>
          <t>نظام إدارة الجودة (QMS)</t>
        </is>
      </c>
      <c r="R26" s="15" t="inlineStr">
        <is>
          <t>شهري</t>
        </is>
      </c>
    </row>
    <row r="27" ht="24" customHeight="1">
      <c r="B27" s="78" t="inlineStr">
        <is>
          <t>جودة التعاقد</t>
        </is>
      </c>
      <c r="C27" s="79" t="inlineStr">
        <is>
          <t>📊 جودة وكفاءة التعاقد</t>
        </is>
      </c>
      <c r="D27" s="80" t="n"/>
      <c r="E27" s="80" t="n"/>
      <c r="F27" s="81" t="inlineStr">
        <is>
          <t>🔷 أساسي</t>
        </is>
      </c>
      <c r="G27" s="82" t="n">
        <v>0.15</v>
      </c>
      <c r="H27" s="80" t="n"/>
      <c r="I27" s="80" t="n"/>
      <c r="J27" s="80" t="n"/>
      <c r="K27" s="80" t="n"/>
      <c r="L27" s="80" t="n"/>
      <c r="M27" s="80" t="n"/>
      <c r="N27" s="83">
        <f>IFERROR(SUMIFS('قاعدة المؤشرات'!$J:$J,'قاعدة المؤشرات'!$B:$B,"الاستثمار",'قاعدة المؤشرات'!$L:$L,"جودة التعاقد")/SUMIFS('قاعدة المؤشرات'!$K:$K,'قاعدة المؤشرات'!$B:$B,"الاستثمار",'قاعدة المؤشرات'!$L:$L,"جودة التعاقد"),"")</f>
        <v/>
      </c>
      <c r="O27" s="84">
        <f>IF($N27="","⏳ بانتظار هدف",IF($N27&gt;=1,"✅ محقق",IF($N27&gt;=0.85,"🟡 قريب","🔴 تحت الهدف")))</f>
        <v/>
      </c>
      <c r="P27" s="80" t="n"/>
      <c r="Q27" s="80" t="n"/>
      <c r="R27" s="80" t="n"/>
    </row>
    <row r="28" outlineLevel="1" ht="26" customHeight="1">
      <c r="A28" s="20" t="n">
        <v>19</v>
      </c>
      <c r="B28" s="21" t="inlineStr">
        <is>
          <t>جودة التعاقد</t>
        </is>
      </c>
      <c r="C28" s="21" t="inlineStr">
        <is>
          <t>جودة التفاوض مع المستثمرين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0.03</v>
      </c>
      <c r="H28" s="64" t="n">
        <v>0.98</v>
      </c>
      <c r="I28" s="22" t="inlineStr">
        <is>
          <t>98%</t>
        </is>
      </c>
      <c r="J28" s="85" t="inlineStr">
        <is>
          <t>النمو</t>
        </is>
      </c>
      <c r="K28" s="11" t="inlineStr">
        <is>
          <t>التوسع في المواقع</t>
        </is>
      </c>
      <c r="L28" s="15" t="inlineStr">
        <is>
          <t>العمليات الداخلية</t>
        </is>
      </c>
      <c r="M28" s="65" t="n">
        <v>1.009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القيمة المتحقّقة من «جودة التفاوض مع المستثمرين» ÷ المستهدف × 100٪</t>
        </is>
      </c>
      <c r="Q28" s="86" t="inlineStr">
        <is>
          <t>نظام إدارة الجودة (QMS)</t>
        </is>
      </c>
      <c r="R28" s="15" t="inlineStr">
        <is>
          <t>شهري</t>
        </is>
      </c>
    </row>
    <row r="29" outlineLevel="1" ht="26" customHeight="1">
      <c r="A29" s="20" t="n">
        <v>20</v>
      </c>
      <c r="B29" s="21" t="inlineStr">
        <is>
          <t>جودة التعاقد</t>
        </is>
      </c>
      <c r="C29" s="21" t="inlineStr">
        <is>
          <t>سرعة إنجاز إجراءات التعاقد</t>
        </is>
      </c>
      <c r="D29" s="55" t="inlineStr">
        <is>
          <t>أسبوع</t>
        </is>
      </c>
      <c r="E29" s="55" t="inlineStr">
        <is>
          <t>↓</t>
        </is>
      </c>
      <c r="F29" s="15" t="inlineStr">
        <is>
          <t>🟠 مهم</t>
        </is>
      </c>
      <c r="G29" s="64" t="n">
        <v>0.03</v>
      </c>
      <c r="H29" s="67" t="n">
        <v>1</v>
      </c>
      <c r="I29" s="22" t="inlineStr">
        <is>
          <t>≤ أسبوع</t>
        </is>
      </c>
      <c r="J29" s="85" t="inlineStr">
        <is>
          <t>النمو</t>
        </is>
      </c>
      <c r="K29" s="11" t="inlineStr">
        <is>
          <t>التوسع في المواقع</t>
        </is>
      </c>
      <c r="L29" s="15" t="inlineStr">
        <is>
          <t>العمليات الداخلية</t>
        </is>
      </c>
      <c r="M29" s="68" t="n">
        <v>1.061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6" t="inlineStr">
        <is>
          <t>قياس «سرعة إنجاز إجراءات التعاقد» مقابل مستهدفه المعتمد خلال الفترة</t>
        </is>
      </c>
      <c r="Q29" s="86" t="inlineStr">
        <is>
          <t>نظام إدارة الجودة (QMS)</t>
        </is>
      </c>
      <c r="R29" s="15" t="inlineStr">
        <is>
          <t>شهري</t>
        </is>
      </c>
    </row>
    <row r="30" outlineLevel="1" ht="26" customHeight="1">
      <c r="A30" s="20" t="n">
        <v>21</v>
      </c>
      <c r="B30" s="21" t="inlineStr">
        <is>
          <t>جودة التعاقد</t>
        </is>
      </c>
      <c r="C30" s="21" t="inlineStr">
        <is>
          <t>مدى رضا المستثمرين وشركاء الاستثمار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0.8</v>
      </c>
      <c r="I30" s="22" t="inlineStr">
        <is>
          <t>80%+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0.786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هدف",IF($N30&gt;=0.9,"✅ محقق",IF($N30&gt;=0.75,"🟡 قريب","🔴 تحت الهدف")))</f>
        <v/>
      </c>
      <c r="P30" s="86" t="inlineStr">
        <is>
          <t>القيمة المتحقّقة من «مدى رضا المستثمرين وشركاء الاستثمار» ÷ المستهدف × 100٪</t>
        </is>
      </c>
      <c r="Q30" s="86" t="inlineStr">
        <is>
          <t>استبيان دوري</t>
        </is>
      </c>
      <c r="R30" s="15" t="inlineStr">
        <is>
          <t>ربعي</t>
        </is>
      </c>
    </row>
    <row r="31" outlineLevel="1" ht="26" customHeight="1">
      <c r="A31" s="20" t="n">
        <v>22</v>
      </c>
      <c r="B31" s="21" t="inlineStr">
        <is>
          <t>جودة التعاقد</t>
        </is>
      </c>
      <c r="C31" s="21" t="inlineStr">
        <is>
          <t>نسبة اكتمال أرشفة ملفات العملاء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🏁 معلم</t>
        </is>
      </c>
      <c r="G31" s="64" t="n">
        <v>0.02</v>
      </c>
      <c r="H31" s="64" t="n">
        <v>1</v>
      </c>
      <c r="I31" s="22" t="inlineStr">
        <is>
          <t>100%</t>
        </is>
      </c>
      <c r="J31" s="85" t="inlineStr">
        <is>
          <t>الاستدامة</t>
        </is>
      </c>
      <c r="K31" s="11" t="inlineStr">
        <is>
          <t>جودة التشغيل</t>
        </is>
      </c>
      <c r="L31" s="15" t="inlineStr">
        <is>
          <t>العملاء</t>
        </is>
      </c>
      <c r="M31" s="65" t="n">
        <v>0.972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قيمة/عدد المتحقّق من «اكتمال أرشفة ملفات العملاء» ÷ الإجمالي المستهدف لنفس البند × 100٪</t>
        </is>
      </c>
      <c r="Q31" s="86" t="inlineStr">
        <is>
          <t>نظام إدارة الجودة (QMS)</t>
        </is>
      </c>
      <c r="R31" s="15" t="inlineStr">
        <is>
          <t>شهري</t>
        </is>
      </c>
    </row>
    <row r="32" outlineLevel="1" ht="26" customHeight="1">
      <c r="A32" s="20" t="n">
        <v>23</v>
      </c>
      <c r="B32" s="21" t="inlineStr">
        <is>
          <t>جودة التعاقد</t>
        </is>
      </c>
      <c r="C32" s="21" t="inlineStr">
        <is>
          <t>نسبة إنجاز التقارير الدورية في موعدها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🟡 متابعة</t>
        </is>
      </c>
      <c r="G32" s="64" t="n">
        <v>0.02</v>
      </c>
      <c r="H32" s="64" t="n">
        <v>1</v>
      </c>
      <c r="I32" s="22" t="inlineStr">
        <is>
          <t>100%</t>
        </is>
      </c>
      <c r="J32" s="85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0.961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«إنجاز التقارير الدورية في موعدها» ÷ الإجمالي المستهدف لنفس البند × 100٪</t>
        </is>
      </c>
      <c r="Q32" s="86" t="inlineStr">
        <is>
          <t>نظام إدارة الجودة (QMS)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5 M6 M7 M8 M9 M10 M12 M13 M14 M16 M17 M18 M19 M21 M22 M23 M25 M26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</t>
        </is>
      </c>
      <c r="C4" s="79" t="inlineStr">
        <is>
          <t>📊 إدارة الإيراد العقاري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المؤشرات'!$B:$B,"العقار",'قاعدة المؤشرات'!$L:$L,"الإدارة")/SUMIFS('قاعدة المؤشرات'!$K:$K,'قاعدة المؤشرات'!$B:$B,"العقار",'قاعدة المؤشرات'!$L:$L,"الإدارة"),"")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</t>
        </is>
      </c>
      <c r="C5" s="21" t="inlineStr">
        <is>
          <t>نمو الإيرادات الإيجارية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0.08</v>
      </c>
      <c r="I5" s="22" t="inlineStr">
        <is>
          <t>&gt; 8% سنوياً</t>
        </is>
      </c>
      <c r="J5" s="85" t="inlineStr">
        <is>
          <t>الاستدامة</t>
        </is>
      </c>
      <c r="K5" s="11" t="inlineStr">
        <is>
          <t>منظومة التأجير</t>
        </is>
      </c>
      <c r="L5" s="15" t="inlineStr">
        <is>
          <t>مالي</t>
        </is>
      </c>
      <c r="M5" s="65" t="n">
        <v>0.068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الإيجارية»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الإدارة</t>
        </is>
      </c>
      <c r="C6" s="21" t="inlineStr">
        <is>
          <t>نسبة الالتزام بالعقود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1.03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«الالتزام بالعقود» ÷ الإجمالي المستهدف لنفس البند × 100٪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الإدارة</t>
        </is>
      </c>
      <c r="C7" s="21" t="inlineStr">
        <is>
          <t>نسبة تحصيل الإيجارات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0.95</v>
      </c>
      <c r="I7" s="22" t="inlineStr">
        <is>
          <t>&gt; 95%</t>
        </is>
      </c>
      <c r="J7" s="85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«تحصيل الإيجارات»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التأجير</t>
        </is>
      </c>
      <c r="C8" s="79" t="inlineStr">
        <is>
          <t>📊 أداء التأجير والإشغال</t>
        </is>
      </c>
      <c r="D8" s="80" t="n"/>
      <c r="E8" s="80" t="n"/>
      <c r="F8" s="81" t="inlineStr">
        <is>
          <t>🔷 أساسي</t>
        </is>
      </c>
      <c r="G8" s="82" t="n">
        <v>0.31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المؤشرات'!$B:$B,"العقار",'قاعدة المؤشرات'!$L:$L,"التأجير")/SUMIFS('قاعدة المؤشرات'!$K:$K,'قاعدة المؤشرات'!$B:$B,"العقار",'قاعدة المؤشرات'!$L:$L,"التأجير"),"")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التأجير</t>
        </is>
      </c>
      <c r="C9" s="21" t="inlineStr">
        <is>
          <t>نسبة الإشغال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0.6</v>
      </c>
      <c r="I9" s="22" t="inlineStr">
        <is>
          <t>≥ 60%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0.611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«الإشغال»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التأجير</t>
        </is>
      </c>
      <c r="C10" s="21" t="inlineStr">
        <is>
          <t>الوحدات المؤجَّرة شهرياً</t>
        </is>
      </c>
      <c r="D10" s="55" t="inlineStr">
        <is>
          <t>وحدة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0" t="n">
        <v>68</v>
      </c>
      <c r="I10" s="22" t="inlineStr">
        <is>
          <t>68 شهرياً</t>
        </is>
      </c>
      <c r="J10" s="85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1" t="n">
        <v>54.8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«الوحدات المؤجَّرة شهرياً»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التأجير</t>
        </is>
      </c>
      <c r="C11" s="21" t="inlineStr">
        <is>
          <t>العملاء المحتملون (LEADS)</t>
        </is>
      </c>
      <c r="D11" s="55" t="inlineStr">
        <is>
          <t>عميل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680</v>
      </c>
      <c r="I11" s="22" t="inlineStr">
        <is>
          <t>544–680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531.8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«العملاء المحتملون»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التأجير</t>
        </is>
      </c>
      <c r="C12" s="21" t="inlineStr">
        <is>
          <t>معدل التحويل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</v>
      </c>
      <c r="I12" s="22" t="inlineStr">
        <is>
          <t>15–25%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0.208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حالات «التحويل» خلال الفترة ÷ إجمالي الحالات القابلة للقياس × 100٪</t>
        </is>
      </c>
      <c r="Q12" s="86" t="inlineStr">
        <is>
          <t>نظام إدارة العقود (CRM)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التأجير</t>
        </is>
      </c>
      <c r="C13" s="21" t="inlineStr">
        <is>
          <t>زيادة عدد العلامات التجارية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246</v>
      </c>
      <c r="I13" s="22" t="inlineStr">
        <is>
          <t>246 علامة</t>
        </is>
      </c>
      <c r="J13" s="85" t="inlineStr">
        <is>
          <t>الاستدامة</t>
        </is>
      </c>
      <c r="K13" s="11" t="inlineStr">
        <is>
          <t>منظومة التأجير</t>
        </is>
      </c>
      <c r="L13" s="15" t="inlineStr">
        <is>
          <t>العمليات الداخلية</t>
        </is>
      </c>
      <c r="M13" s="61" t="n">
        <v>202.6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إجمالي عدد «زيادة عدد العلامات التجارية» المُسجّل خلال الفترة</t>
        </is>
      </c>
      <c r="Q13" s="86" t="inlineStr">
        <is>
          <t>نظام إدارة العقود (CRM)</t>
        </is>
      </c>
      <c r="R13" s="15" t="inlineStr">
        <is>
          <t>شهري</t>
        </is>
      </c>
    </row>
    <row r="14" ht="24" customHeight="1">
      <c r="B14" s="78" t="inlineStr">
        <is>
          <t>الإبداع والتكامل</t>
        </is>
      </c>
      <c r="C14" s="79" t="inlineStr">
        <is>
          <t>📊 ساحات درب والشراكات</t>
        </is>
      </c>
      <c r="D14" s="80" t="n"/>
      <c r="E14" s="80" t="n"/>
      <c r="F14" s="81" t="inlineStr">
        <is>
          <t>🔷 أساسي</t>
        </is>
      </c>
      <c r="G14" s="82" t="n">
        <v>0.15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المؤشرات'!$B:$B,"العقار",'قاعدة المؤشرات'!$L:$L,"الإبداع والتكامل")/SUMIFS('قاعدة المؤشرات'!$K:$K,'قاعدة المؤشرات'!$B:$B,"العقار",'قاعدة المؤشرات'!$L:$L,"الإبداع والتكامل"),"")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الإبداع والتكامل</t>
        </is>
      </c>
      <c r="C15" s="21" t="inlineStr">
        <is>
          <t>نسبة تأجير ساحة درب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0.8</v>
      </c>
      <c r="I15" s="22" t="inlineStr">
        <is>
          <t>≥ 80%</t>
        </is>
      </c>
      <c r="J15" s="85" t="inlineStr">
        <is>
          <t>الابتكار</t>
        </is>
      </c>
      <c r="K15" s="11" t="inlineStr">
        <is>
          <t>ساحات درب</t>
        </is>
      </c>
      <c r="L15" s="15" t="inlineStr">
        <is>
          <t>العمليات الداخلية</t>
        </is>
      </c>
      <c r="M15" s="65" t="n">
        <v>0.671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«تأجير ساحة درب» ÷ الإجمالي المستهدف لنفس البند × 100٪</t>
        </is>
      </c>
      <c r="Q15" s="86" t="inlineStr">
        <is>
          <t>مكتب إدارة المشاريع (PMO)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الإبداع والتكامل</t>
        </is>
      </c>
      <c r="C16" s="21" t="inlineStr">
        <is>
          <t>علامات تجارية جديدة (ساحة درب)</t>
        </is>
      </c>
      <c r="D16" s="55" t="inlineStr">
        <is>
          <t>علامة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0" t="n">
        <v>6</v>
      </c>
      <c r="I16" s="22" t="inlineStr">
        <is>
          <t>6 علامات</t>
        </is>
      </c>
      <c r="J16" s="85" t="inlineStr">
        <is>
          <t>الابتكار</t>
        </is>
      </c>
      <c r="K16" s="11" t="inlineStr">
        <is>
          <t>ساحات درب</t>
        </is>
      </c>
      <c r="L16" s="15" t="inlineStr">
        <is>
          <t>العمليات الداخلية</t>
        </is>
      </c>
      <c r="M16" s="61" t="n">
        <v>5.769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«علامات تجارية جديدة» المُسجّل خلال الفترة</t>
        </is>
      </c>
      <c r="Q16" s="86" t="inlineStr">
        <is>
          <t>مكتب إدارة المشاريع (PMO)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الإبداع والتكامل</t>
        </is>
      </c>
      <c r="C17" s="21" t="inlineStr">
        <is>
          <t>الشراكات الاستراتيجية</t>
        </is>
      </c>
      <c r="D17" s="55" t="inlineStr">
        <is>
          <t>شراكة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5</v>
      </c>
      <c r="I17" s="22" t="inlineStr">
        <is>
          <t>5 شراكات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التعلّم والنمو</t>
        </is>
      </c>
      <c r="M17" s="61" t="n">
        <v>4.59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«الشراكات الاستراتيجية» المُسجّل خلال الفترة</t>
        </is>
      </c>
      <c r="Q17" s="86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0" t="n">
        <v>12</v>
      </c>
      <c r="B18" s="21" t="inlineStr">
        <is>
          <t>إدارة الأملاك</t>
        </is>
      </c>
      <c r="C18" s="21" t="inlineStr">
        <is>
          <t>نسبة تجديد العقود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1</v>
      </c>
      <c r="I18" s="22" t="inlineStr">
        <is>
          <t>100%</t>
        </is>
      </c>
      <c r="J18" s="85" t="inlineStr">
        <is>
          <t>الاستدامة</t>
        </is>
      </c>
      <c r="K18" s="11" t="inlineStr">
        <is>
          <t>منظومة التأجير</t>
        </is>
      </c>
      <c r="L18" s="15" t="inlineStr">
        <is>
          <t>العمليات الداخلية</t>
        </is>
      </c>
      <c r="M18" s="65" t="n">
        <v>0.792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«تجديد العقود»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ht="24" customHeight="1">
      <c r="B19" s="78" t="inlineStr">
        <is>
          <t>تنسيق المشاريع</t>
        </is>
      </c>
      <c r="C19" s="79" t="inlineStr">
        <is>
          <t>📊 تسليم الوحدات</t>
        </is>
      </c>
      <c r="D19" s="80" t="n"/>
      <c r="E19" s="80" t="n"/>
      <c r="F19" s="81" t="inlineStr">
        <is>
          <t>🔷 أساسي</t>
        </is>
      </c>
      <c r="G19" s="82" t="n">
        <v>0.1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المؤشرات'!$B:$B,"العقار",'قاعدة المؤشرات'!$L:$L,"تنسيق المشاريع")/SUMIFS('قاعدة المؤشرات'!$K:$K,'قاعدة المؤشرات'!$B:$B,"العقار",'قاعدة المؤشرات'!$L:$L,"تنسيق المشاريع"),"")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تنسيق المشاريع</t>
        </is>
      </c>
      <c r="C20" s="21" t="inlineStr">
        <is>
          <t>متوسط زمن تسليم الوحدة</t>
        </is>
      </c>
      <c r="D20" s="55" t="inlineStr">
        <is>
          <t>يوم</t>
        </is>
      </c>
      <c r="E20" s="55" t="inlineStr">
        <is>
          <t>↓</t>
        </is>
      </c>
      <c r="F20" s="15" t="inlineStr">
        <is>
          <t>🟠 مهم</t>
        </is>
      </c>
      <c r="G20" s="64" t="n">
        <v>0.05</v>
      </c>
      <c r="H20" s="67" t="n">
        <v>7</v>
      </c>
      <c r="I20" s="22" t="inlineStr">
        <is>
          <t>≤ 7 أيام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7.983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مجموع أيام «زمن تسليم الوحدة» ÷ عدد الحالات</t>
        </is>
      </c>
      <c r="Q20" s="86" t="inlineStr">
        <is>
          <t>سجلات الإدارة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تنسيق المشاريع</t>
        </is>
      </c>
      <c r="C21" s="21" t="inlineStr">
        <is>
          <t>نسبة إغلاق الطلبات خلال 3 أسابيع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</v>
      </c>
      <c r="I21" s="22" t="inlineStr">
        <is>
          <t>&gt; 90%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0.698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الطلبات خلال 3 أسابيع» ÷ الإجمالي المستهدف لنفس البند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الجودة والاستدامة</t>
        </is>
      </c>
      <c r="C22" s="79" t="inlineStr">
        <is>
          <t>📊 استدامة المستأجرين</t>
        </is>
      </c>
      <c r="D22" s="80" t="n"/>
      <c r="E22" s="80" t="n"/>
      <c r="F22" s="81" t="inlineStr">
        <is>
          <t>🔷 أساسي</t>
        </is>
      </c>
      <c r="G22" s="82" t="n">
        <v>0.12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المؤشرات'!$B:$B,"العقار",'قاعدة المؤشرات'!$L:$L,"الجودة والاستدامة")/SUMIFS('قاعدة المؤشرات'!$K:$K,'قاعدة المؤشرات'!$B:$B,"العقار",'قاعدة المؤشرات'!$L:$L,"الجودة والاستدامة"),"")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الجودة والاستدامة</t>
        </is>
      </c>
      <c r="C23" s="21" t="inlineStr">
        <is>
          <t>استدامة المستأجرين (لم يُنهَ مبكراً)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5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0.695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«استدامة المستأجرين» ÷ المستهدف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الجودة والاستدامة</t>
        </is>
      </c>
      <c r="C24" s="21" t="inlineStr">
        <is>
          <t>معدل رضا المستأجرين (استبيان ربعي)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0.07000000000000001</v>
      </c>
      <c r="H24" s="64" t="n">
        <v>0.9</v>
      </c>
      <c r="I24" s="22" t="inlineStr">
        <is>
          <t>≥ 90%</t>
        </is>
      </c>
      <c r="J24" s="85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5" t="n">
        <v>0.894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هدف",IF($N24&gt;=0.9,"✅ محقق",IF($N24&gt;=0.75,"🟡 قريب","🔴 تحت الهدف")))</f>
        <v/>
      </c>
      <c r="P24" s="86" t="inlineStr">
        <is>
          <t>عدد حالات «رضا المستأجرين» خلال الفترة ÷ إجمالي الحالات القابلة للقياس × 100٪</t>
        </is>
      </c>
      <c r="Q24" s="86" t="inlineStr">
        <is>
          <t>استبيان دوري</t>
        </is>
      </c>
      <c r="R24" s="15" t="inlineStr">
        <is>
          <t>ربعي</t>
        </is>
      </c>
    </row>
  </sheetData>
  <autoFilter ref="A3:R24"/>
  <mergeCells count="2">
    <mergeCell ref="A2:R2"/>
    <mergeCell ref="A1:R1"/>
  </mergeCells>
  <dataValidations count="1">
    <dataValidation sqref="M5 M6 M7 M9 M10 M11 M12 M13 M15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تسليم محطات الشركة</t>
        </is>
      </c>
      <c r="C4" s="79" t="inlineStr">
        <is>
          <t>📊 تسليم محطات الشركة</t>
        </is>
      </c>
      <c r="D4" s="80" t="n"/>
      <c r="E4" s="80" t="n"/>
      <c r="F4" s="81" t="inlineStr">
        <is>
          <t>🔷 أساسي</t>
        </is>
      </c>
      <c r="G4" s="82" t="n">
        <v>0.34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الشركة المُسلَّمة» المُسجّلة خلال الفترة</t>
        </is>
      </c>
      <c r="Q5" s="86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«إنجاز محفظة مشاريع التوسع» ÷ الإجمالي المستهدف لنفس البند × 100٪</t>
        </is>
      </c>
      <c r="Q6" s="86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«تسليم المحطات في الموعد المخطط» ÷ الإجمالي المستهدف لنفس البند × 100٪</t>
        </is>
      </c>
      <c r="Q7" s="86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«المشاريع المنفّذة ضمن الميزانية» ÷ الإجمالي المستهدف لنفس البند × 100٪</t>
        </is>
      </c>
      <c r="Q8" s="86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8" t="inlineStr">
        <is>
          <t>الإشراف على الامتياز</t>
        </is>
      </c>
      <c r="C9" s="79" t="inlineStr">
        <is>
          <t>📊 الإشراف على تطوير الامتياز</t>
        </is>
      </c>
      <c r="D9" s="80" t="n"/>
      <c r="E9" s="80" t="n"/>
      <c r="F9" s="81" t="inlineStr">
        <is>
          <t>🔷 أساسي</t>
        </is>
      </c>
      <c r="G9" s="82" t="n">
        <v>0.27</v>
      </c>
      <c r="H9" s="80" t="n"/>
      <c r="I9" s="80" t="n"/>
      <c r="J9" s="80" t="n"/>
      <c r="K9" s="80" t="n"/>
      <c r="L9" s="80" t="n"/>
      <c r="M9" s="80" t="n"/>
      <c r="N9" s="83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4">
        <f>IF($N9="","⏳ بانتظار هدف",IF($N9&gt;=1,"✅ محقق",IF($N9&gt;=0.85,"🟡 قريب","🔴 تحت الهدف")))</f>
        <v/>
      </c>
      <c r="P9" s="80" t="n"/>
      <c r="Q9" s="80" t="n"/>
      <c r="R9" s="80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5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«محطات الامتياز المُسلَّمة بالهوية» المُسجّلة خلال الفترة</t>
        </is>
      </c>
      <c r="Q10" s="86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5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«تنفيذ زيارات الإشراف المجدولة» ÷ الإجمالي المستهدف لنفس البند × 100٪</t>
        </is>
      </c>
      <c r="Q11" s="86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5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«التزام المطوّرين بالجدول الزمني» ÷ الإجمالي المستهدف لنفس البند × 100٪</t>
        </is>
      </c>
      <c r="Q12" s="86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ملاحظات الجودة على المطوّرين» ÷ الإجمالي المستهدف لنفس البند × 100٪</t>
        </is>
      </c>
      <c r="Q13" s="86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8" t="inlineStr">
        <is>
          <t>الجودة والمقاولون</t>
        </is>
      </c>
      <c r="C14" s="79" t="inlineStr">
        <is>
          <t>📊 جودة المقاولين</t>
        </is>
      </c>
      <c r="D14" s="80" t="n"/>
      <c r="E14" s="80" t="n"/>
      <c r="F14" s="81" t="inlineStr">
        <is>
          <t>🔷 أساسي</t>
        </is>
      </c>
      <c r="G14" s="82" t="n">
        <v>0.21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«المشاريع الخالية من مخالفات الجودة» ÷ الإجمالي المستهدف لنفس البند × 100٪</t>
        </is>
      </c>
      <c r="Q15" s="86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«مخالفات المقاولين» المُسجّلة خلال الفترة</t>
        </is>
      </c>
      <c r="Q16" s="86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6" t="inlineStr">
        <is>
          <t>قيمة/عدد المتحقّق من «التزام المقاولين بمعايير السلامة» ÷ الإجمالي المستهدف لنفس البند × 100٪</t>
        </is>
      </c>
      <c r="Q17" s="86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8" t="inlineStr">
        <is>
          <t>الالتزام بالخطة</t>
        </is>
      </c>
      <c r="C18" s="79" t="inlineStr">
        <is>
          <t>📊 الالتزام بالميزانية والجدول</t>
        </is>
      </c>
      <c r="D18" s="80" t="n"/>
      <c r="E18" s="80" t="n"/>
      <c r="F18" s="81" t="inlineStr">
        <is>
          <t>🔷 أساسي</t>
        </is>
      </c>
      <c r="G18" s="82" t="n">
        <v>0.12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«الالتزام بالميزانية المعتمدة» ÷ الإجمالي المستهدف لنفس البند × 100٪</t>
        </is>
      </c>
      <c r="Q19" s="86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«الالتزام بالجدول الزمني العام» ÷ الإجمالي المستهدف لنفس البند × 100٪</t>
        </is>
      </c>
      <c r="Q20" s="86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مجموع أيام «مدة إغلاق قائمة الملاحظات النهائية» ÷ عدد الحالات</t>
        </is>
      </c>
      <c r="Q21" s="86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خدمة العميل والتوفّر</t>
        </is>
      </c>
      <c r="C4" s="79" t="inlineStr">
        <is>
          <t>📊 توفّر الوقود وخدمة المحطات</t>
        </is>
      </c>
      <c r="D4" s="80" t="n"/>
      <c r="E4" s="80" t="n"/>
      <c r="F4" s="81" t="inlineStr">
        <is>
          <t>🔷 أساسي</t>
        </is>
      </c>
      <c r="G4" s="82" t="n">
        <v>0.23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6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6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8" t="inlineStr">
        <is>
          <t>المخزون</t>
        </is>
      </c>
      <c r="C7" s="79" t="inlineStr">
        <is>
          <t>📊 كفاءة المخزون</t>
        </is>
      </c>
      <c r="D7" s="80" t="n"/>
      <c r="E7" s="80" t="n"/>
      <c r="F7" s="81" t="inlineStr">
        <is>
          <t>🔷 أساسي</t>
        </is>
      </c>
      <c r="G7" s="82" t="n">
        <v>0.24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6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6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6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8" t="inlineStr">
        <is>
          <t>المشتريات</t>
        </is>
      </c>
      <c r="C11" s="79" t="inlineStr">
        <is>
          <t>📊 كفاءة المشتريات</t>
        </is>
      </c>
      <c r="D11" s="80" t="n"/>
      <c r="E11" s="80" t="n"/>
      <c r="F11" s="81" t="inlineStr">
        <is>
          <t>🔷 أساسي</t>
        </is>
      </c>
      <c r="G11" s="82" t="n">
        <v>0.18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6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6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8" t="inlineStr">
        <is>
          <t>التوريد والتسليم</t>
        </is>
      </c>
      <c r="C14" s="79" t="inlineStr">
        <is>
          <t>📊 التزام التوريد والتسليم</t>
        </is>
      </c>
      <c r="D14" s="80" t="n"/>
      <c r="E14" s="80" t="n"/>
      <c r="F14" s="81" t="inlineStr">
        <is>
          <t>🔷 أساسي</t>
        </is>
      </c>
      <c r="G14" s="82" t="n">
        <v>0.18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6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6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6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6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8" t="inlineStr">
        <is>
          <t>الموردون والرضا</t>
        </is>
      </c>
      <c r="C18" s="79" t="inlineStr">
        <is>
          <t>📊 إدارة الموردين والرضا</t>
        </is>
      </c>
      <c r="D18" s="80" t="n"/>
      <c r="E18" s="80" t="n"/>
      <c r="F18" s="81" t="inlineStr">
        <is>
          <t>🔷 أساسي</t>
        </is>
      </c>
      <c r="G18" s="82" t="n">
        <v>0.1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6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6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جاهزية الأصول</t>
        </is>
      </c>
      <c r="C4" s="79" t="inlineStr">
        <is>
          <t>📊 جاهزية الأصول والصيانة الوقائية</t>
        </is>
      </c>
      <c r="D4" s="80" t="n"/>
      <c r="E4" s="80" t="n"/>
      <c r="F4" s="81" t="inlineStr">
        <is>
          <t>🔷 أساسي</t>
        </is>
      </c>
      <c r="G4" s="82" t="n">
        <v>0.27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إجمالي ساعات جاهزية الأصول والمعدات الحرجة ÷ إجمالي ساعات التشغيل المخططة لها × 100</t>
        </is>
      </c>
      <c r="Q5" s="86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عدد أوامر الصيانة الوقائية المنفذة ضمن الموعد المحدد ÷ إجمالي أوامر الصيانة الوقائية المستحقة × 100</t>
        </is>
      </c>
      <c r="Q6" s="86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8" t="inlineStr">
        <is>
          <t>الاستجابة والإصلاح</t>
        </is>
      </c>
      <c r="C7" s="79" t="inlineStr">
        <is>
          <t>📊 سرعة الاستجابة والإصلاح</t>
        </is>
      </c>
      <c r="D7" s="80" t="n"/>
      <c r="E7" s="80" t="n"/>
      <c r="F7" s="81" t="inlineStr">
        <is>
          <t>🔷 أساسي</t>
        </is>
      </c>
      <c r="G7" s="82" t="n">
        <v>0.36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عدد بلاغات الصيانة المغلقة ضمن الزمن المحدد حسب الأولوية ÷ إجمالي البلاغات المغلقة × 100</t>
        </is>
      </c>
      <c r="Q8" s="86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مجموع الدقائق من تسجيل البلاغ الطارئ حتى بدء المعالجة الفعلية ÷ إجمالي البلاغات الطارئة</t>
        </is>
      </c>
      <c r="Q9" s="86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ساعات الإصلاح الفعلية للأعطال المغلقة ÷ إجمالي عدد الأعطال المغلقة</t>
        </is>
      </c>
      <c r="Q10" s="86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عدد الأعطال المتكررة لنفس الأصل وبنفس السبب ÷ إجمالي عدد الأعطال × 100</t>
        </is>
      </c>
      <c r="Q11" s="86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المحطات دون توقف كلي بسبب عطل فني ضمن مسؤولية الصيانة ÷ إجمالي المحطات العاملة × 100</t>
        </is>
      </c>
      <c r="Q12" s="86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8" t="inlineStr">
        <is>
          <t>موثوقية الأتمتة</t>
        </is>
      </c>
      <c r="C13" s="79" t="inlineStr">
        <is>
          <t>📊 موثوقية أنظمة الأتمتة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عدد حالات الأتمتة العاملة والمتصلة بقراءات صحيحة ومحدثة ÷ إجمالي حالات الأتمتة المطلوبة × 100</t>
        </is>
      </c>
      <c r="Q14" s="86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عدد أعطال الأتمتة المستعادة ضمن الزمن المعتمد حسب الأولوية ÷ إجمالي أعطال الأتمتة المغلقة × 100</t>
        </is>
      </c>
      <c r="Q15" s="86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(1 − |الفرق بين المصروف الفعلي والميزانية| ÷ الميزانية المعتمدة) × 100</t>
        </is>
      </c>
      <c r="Q16" s="86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توفّر واستقرار الأنظمة</t>
        </is>
      </c>
      <c r="C4" s="79" t="inlineStr">
        <is>
          <t>📊 توفّر واستقرار الأنظمة التقنية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5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6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6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5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6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8" t="inlineStr">
        <is>
          <t>المشاريع التقنية</t>
        </is>
      </c>
      <c r="C8" s="79" t="inlineStr">
        <is>
          <t>📊 إنجاز المشاريع التقنية</t>
        </is>
      </c>
      <c r="D8" s="80" t="n"/>
      <c r="E8" s="80" t="n"/>
      <c r="F8" s="81" t="inlineStr">
        <is>
          <t>🔷 أساسي</t>
        </is>
      </c>
      <c r="G8" s="82" t="n">
        <v>0.19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5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مدى إنجاز محفظة مشاريع التحول الرقمي والمشاريع التقنية وفق الخطة الزمنية والأولويات المعتمدة.</t>
        </is>
      </c>
      <c r="Q9" s="86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6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8" t="inlineStr">
        <is>
          <t>الأمن والصلاحيات</t>
        </is>
      </c>
      <c r="C11" s="79" t="inlineStr">
        <is>
          <t>📊 الأمن السيبراني والصلاحيات</t>
        </is>
      </c>
      <c r="D11" s="80" t="n"/>
      <c r="E11" s="80" t="n"/>
      <c r="F11" s="81" t="inlineStr">
        <is>
          <t>🔷 أساسي</t>
        </is>
      </c>
      <c r="G11" s="82" t="n">
        <v>0.26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5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6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6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6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8" t="inlineStr">
        <is>
          <t>الحوكمة والبيانات</t>
        </is>
      </c>
      <c r="C15" s="79" t="inlineStr">
        <is>
          <t>📊 حوكمة وتكامل البيانات</t>
        </is>
      </c>
      <c r="D15" s="80" t="n"/>
      <c r="E15" s="80" t="n"/>
      <c r="F15" s="81" t="inlineStr">
        <is>
          <t>🔷 أساسي</t>
        </is>
      </c>
      <c r="G15" s="82" t="n">
        <v>0.11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5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6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6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8" t="inlineStr">
        <is>
          <t>الصيانة والرضا</t>
        </is>
      </c>
      <c r="C18" s="79" t="inlineStr">
        <is>
          <t>📊 صيانة تقنية ورضا المستخدمين</t>
        </is>
      </c>
      <c r="D18" s="80" t="n"/>
      <c r="E18" s="80" t="n"/>
      <c r="F18" s="81" t="inlineStr">
        <is>
          <t>🔷 أساسي</t>
        </is>
      </c>
      <c r="G18" s="82" t="n">
        <v>0.09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6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6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الامتثال والالتزام</t>
        </is>
      </c>
      <c r="C4" s="79" t="inlineStr">
        <is>
          <t>📊 الامتثال والتوطين</t>
        </is>
      </c>
      <c r="D4" s="80" t="n"/>
      <c r="E4" s="80" t="n"/>
      <c r="F4" s="81" t="inlineStr">
        <is>
          <t>🔷 أساسي</t>
        </is>
      </c>
      <c r="G4" s="82" t="n">
        <v>0.31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6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6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6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5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6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5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6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6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8" t="inlineStr">
        <is>
          <t>الاستقطاب</t>
        </is>
      </c>
      <c r="C10" s="79" t="inlineStr">
        <is>
          <t>📊 كفاءة الاستقطاب</t>
        </is>
      </c>
      <c r="D10" s="80" t="n"/>
      <c r="E10" s="80" t="n"/>
      <c r="F10" s="81" t="inlineStr">
        <is>
          <t>🔷 أساسي</t>
        </is>
      </c>
      <c r="G10" s="82" t="n">
        <v>0.16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6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6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8" t="inlineStr">
        <is>
          <t>التكلفة والرواتب</t>
        </is>
      </c>
      <c r="C13" s="79" t="inlineStr">
        <is>
          <t>📊 كفاءة التكلفة ودقة الرواتب</t>
        </is>
      </c>
      <c r="D13" s="80" t="n"/>
      <c r="E13" s="80" t="n"/>
      <c r="F13" s="81" t="inlineStr">
        <is>
          <t>🔷 أساسي</t>
        </is>
      </c>
      <c r="G13" s="82" t="n">
        <v>0.17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5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6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5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6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8" t="inlineStr">
        <is>
          <t>الاستقرار والتطوير</t>
        </is>
      </c>
      <c r="C16" s="79" t="inlineStr">
        <is>
          <t>📊 الاستقرار والتطوير</t>
        </is>
      </c>
      <c r="D16" s="80" t="n"/>
      <c r="E16" s="80" t="n"/>
      <c r="F16" s="81" t="inlineStr">
        <is>
          <t>🔷 أساسي</t>
        </is>
      </c>
      <c r="G16" s="82" t="n">
        <v>0.16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5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5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6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5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6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 العامة</t>
        </is>
      </c>
      <c r="C4" s="79" t="inlineStr">
        <is>
          <t>📊 الوصول واكتساب العملاء</t>
        </is>
      </c>
      <c r="D4" s="80" t="n"/>
      <c r="E4" s="80" t="n"/>
      <c r="F4" s="81" t="inlineStr">
        <is>
          <t>🔷 أساسي</t>
        </is>
      </c>
      <c r="G4" s="82" t="n">
        <v>0.14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6" t="inlineStr">
        <is>
          <t>إجمالي عدد «الوصول الكلي» المُسجّل خلال الفترة</t>
        </is>
      </c>
      <c r="Q5" s="86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«عملاء تجاريون جدد» المُسجّل خلال الفترة</t>
        </is>
      </c>
      <c r="Q6" s="86" t="inlineStr">
        <is>
          <t>سجلات الإدارة</t>
        </is>
      </c>
      <c r="R6" s="15" t="inlineStr">
        <is>
          <t>شهري</t>
        </is>
      </c>
    </row>
    <row r="7" ht="24" customHeight="1">
      <c r="B7" s="78" t="inlineStr">
        <is>
          <t>الفريق الإبداعي</t>
        </is>
      </c>
      <c r="C7" s="79" t="inlineStr">
        <is>
          <t>📊 المحتوى والتفاعل</t>
        </is>
      </c>
      <c r="D7" s="80" t="n"/>
      <c r="E7" s="80" t="n"/>
      <c r="F7" s="81" t="inlineStr">
        <is>
          <t>🔷 أساسي</t>
        </is>
      </c>
      <c r="G7" s="82" t="n">
        <v>0.16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6" t="inlineStr">
        <is>
          <t>مجموع «المتابعين» خلال الفترة</t>
        </is>
      </c>
      <c r="Q8" s="86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6" t="inlineStr">
        <is>
          <t>عدد حالات «التفاعل» خلال الفترة ÷ إجمالي الحالات القابلة للقياس × 100٪</t>
        </is>
      </c>
      <c r="Q9" s="86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8" t="inlineStr">
        <is>
          <t>الحملات التسويقية</t>
        </is>
      </c>
      <c r="C10" s="79" t="inlineStr">
        <is>
          <t>📊 فاعلية الحملات</t>
        </is>
      </c>
      <c r="D10" s="80" t="n"/>
      <c r="E10" s="80" t="n"/>
      <c r="F10" s="81" t="inlineStr">
        <is>
          <t>🔷 أساسي</t>
        </is>
      </c>
      <c r="G10" s="82" t="n">
        <v>0.22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«حملات تسويقية منجزة» المُسجّل خلال الفترة</t>
        </is>
      </c>
      <c r="Q11" s="86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القيمة المتحقّقة من «تحويل الفرص إلى عقود» ÷ المستهدف × 100٪</t>
        </is>
      </c>
      <c r="Q12" s="86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«المبيعات لكل حملة» ÷ الإجمالي المستهدف لنفس البند × 100٪</t>
        </is>
      </c>
      <c r="Q13" s="86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«التزام الهوية البصرية» ÷ الإجمالي المستهدف لنفس البند × 100٪</t>
        </is>
      </c>
      <c r="Q14" s="86" t="inlineStr">
        <is>
          <t>سجلات الإدارة</t>
        </is>
      </c>
      <c r="R14" s="15" t="inlineStr">
        <is>
          <t>شهري</t>
        </is>
      </c>
    </row>
    <row r="15" ht="24" customHeight="1">
      <c r="B15" s="78" t="inlineStr">
        <is>
          <t>العلاقات والشراكات</t>
        </is>
      </c>
      <c r="C15" s="79" t="inlineStr">
        <is>
          <t>📊 العلاقات والشراكات</t>
        </is>
      </c>
      <c r="D15" s="80" t="n"/>
      <c r="E15" s="80" t="n"/>
      <c r="F15" s="81" t="inlineStr">
        <is>
          <t>🔷 أساسي</t>
        </is>
      </c>
      <c r="G15" s="82" t="n">
        <v>0.18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5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«وصول العلاقات العامة» المُسجّل خلال الفترة</t>
        </is>
      </c>
      <c r="Q16" s="86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«المعارض بالسنة» المُسجّلة خلال الفترة</t>
        </is>
      </c>
      <c r="Q17" s="86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5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«اتفاقيات استراتيجية» المُسجّل خلال الفترة</t>
        </is>
      </c>
      <c r="Q18" s="86" t="inlineStr">
        <is>
          <t>سجلات الإدارة</t>
        </is>
      </c>
      <c r="R18" s="15" t="inlineStr">
        <is>
          <t>شهري</t>
        </is>
      </c>
    </row>
    <row r="19" ht="24" customHeight="1">
      <c r="B19" s="78" t="inlineStr">
        <is>
          <t>خدمة العملاء والدعم</t>
        </is>
      </c>
      <c r="C19" s="79" t="inlineStr">
        <is>
          <t>📊 خدمة العملاء</t>
        </is>
      </c>
      <c r="D19" s="80" t="n"/>
      <c r="E19" s="80" t="n"/>
      <c r="F19" s="81" t="inlineStr">
        <is>
          <t>🔷 أساسي</t>
        </is>
      </c>
      <c r="G19" s="82" t="n">
        <v>0.12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5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متوسط تقييم «تقييم خرائط قوقل» على مقياسه المعتمد</t>
        </is>
      </c>
      <c r="Q20" s="86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5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عدد حالات «خفض الشكاوى» خلال الفترة ÷ إجمالي الحالات القابلة للقياس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تطبيق تانكي</t>
        </is>
      </c>
      <c r="C22" s="79" t="inlineStr">
        <is>
          <t>📊 نمو تطبيق تانكي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5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إجمالي عدد «وصول محتوى تطبيق تانكي» المُسجّل خلال الفترة</t>
        </is>
      </c>
      <c r="Q23" s="86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5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إجمالي عدد «مشاركات تطبيق تانكي» المُسجّل خلال الفترة</t>
        </is>
      </c>
      <c r="Q24" s="86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مخاطر الجودة</t>
        </is>
      </c>
      <c r="C4" s="79" t="inlineStr">
        <is>
          <t>📊 إدارة مخاطر الجودة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4" t="n">
        <v>0.05</v>
      </c>
      <c r="I5" s="22" t="inlineStr">
        <is>
          <t>&lt; 5%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«المحطات الحرجة» ÷ الإجمالي المستهدف لنفس البند × 100٪</t>
        </is>
      </c>
      <c r="Q5" s="86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0.07000000000000001</v>
      </c>
      <c r="H6" s="64" t="n">
        <v>0.995</v>
      </c>
      <c r="I6" s="22" t="inlineStr">
        <is>
          <t>99.5%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6" t="inlineStr">
        <is>
          <t>قيمة/عدد المتحقّق من «مطابقة جودة الوقود» ÷ الإجمالي المستهدف لنفس البند × 100٪</t>
        </is>
      </c>
      <c r="Q6" s="86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«إغلاق الملاحظات في الوقت المحدد»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0.07000000000000001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«فعالية الإجراءات التصحيحية» ÷ الإجمالي المستهدف لنفس البند × 100٪</t>
        </is>
      </c>
      <c r="Q8" s="86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0.07000000000000001</v>
      </c>
      <c r="H9" s="64" t="n">
        <v>0.1</v>
      </c>
      <c r="I9" s="22" t="inlineStr">
        <is>
          <t>&lt; 10%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«تكرار الملاحظات» ÷ الإجمالي المستهدف لنفس البند × 100٪</t>
        </is>
      </c>
      <c r="Q9" s="86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0.95</v>
      </c>
      <c r="I10" s="22" t="inlineStr">
        <is>
          <t>≥ 95%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«تنفيذ خطة التفتيش والتدقيق»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</v>
      </c>
      <c r="I11" s="22" t="inlineStr">
        <is>
          <t>80% ← 90%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6" t="inlineStr">
        <is>
          <t>قيمة/عدد المتحقّق من «جاهزية نظام إدارة الجودة QMS» ÷ الإجمالي المستهدف لنفس البند × 100٪</t>
        </is>
      </c>
      <c r="Q11" s="86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0.07000000000000001</v>
      </c>
      <c r="H12" s="60" t="n">
        <v>0</v>
      </c>
      <c r="I12" s="22" t="inlineStr">
        <is>
          <t>صفر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إجمالي عدد «مخاطر الجودة الحرجة المفتوحة» تراكمياً حتى نهاية الفترة</t>
        </is>
      </c>
      <c r="Q12" s="86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مخاطر الجودة في الوقت المحدد» ÷ الإجمالي المستهدف لنفس البند × 100٪</t>
        </is>
      </c>
      <c r="Q13" s="86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0.07000000000000001</v>
      </c>
      <c r="H14" s="64" t="n">
        <v>0.15</v>
      </c>
      <c r="I14" s="22" t="inlineStr">
        <is>
          <t>انخفاض 15% ربعياً</t>
        </is>
      </c>
      <c r="J14" s="85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6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الجودة الإدارية</t>
        </is>
      </c>
      <c r="C15" s="21" t="inlineStr">
        <is>
          <t>نسبة اكتمال وتحديث الإجراءات المعتمدة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🟡 متابعة</t>
        </is>
      </c>
      <c r="G15" s="64" t="n">
        <v>0.03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0.944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«اكتمال وتحديث الإجراءات المعتمدة»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توثيق وحوكمة</t>
        </is>
      </c>
      <c r="C16" s="21" t="inlineStr">
        <is>
          <t>نسبة اكتمال سجلات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0.982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«اكتمال سجلات الجودة» ÷ الإجمالي المستهدف لنفس البند × 100٪</t>
        </is>
      </c>
      <c r="Q16" s="86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13</v>
      </c>
      <c r="B17" s="21" t="inlineStr">
        <is>
          <t>الابتكار والرقمنة</t>
        </is>
      </c>
      <c r="C17" s="21" t="inlineStr">
        <is>
          <t>نسبة رقمنة عمليات الجودة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5" t="n">
        <v>0.834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«رقمنة عمليات الجودة» ÷ الإجمالي المستهدف لنفس البند × 100٪</t>
        </is>
      </c>
      <c r="Q17" s="86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14</v>
      </c>
      <c r="B18" s="21" t="inlineStr">
        <is>
          <t>التحسين المستمر</t>
        </is>
      </c>
      <c r="C18" s="21" t="inlineStr">
        <is>
          <t>عدد مبادرات التحسين المؤثرة</t>
        </is>
      </c>
      <c r="D18" s="55" t="inlineStr">
        <is>
          <t>مبادرة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0.07000000000000001</v>
      </c>
      <c r="H18" s="60" t="n">
        <v>8</v>
      </c>
      <c r="I18" s="22" t="inlineStr">
        <is>
          <t>≥ 8 سنوياً (2 ربعياً)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1" t="n">
        <v>6.827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«مبادرات التحسين المؤثرة» المُسجّلة خلال الفترة</t>
        </is>
      </c>
      <c r="Q18" s="86" t="inlineStr">
        <is>
          <t>سجلات الإدارة</t>
        </is>
      </c>
      <c r="R18" s="15" t="inlineStr">
        <is>
          <t>ربعي</t>
        </is>
      </c>
    </row>
  </sheetData>
  <autoFilter ref="A3:R18"/>
  <mergeCells count="2">
    <mergeCell ref="A2:R2"/>
    <mergeCell ref="A1:R1"/>
  </mergeCells>
  <dataValidations count="1">
    <dataValidation sqref="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أعمال العقود</t>
        </is>
      </c>
      <c r="C4" s="79" t="inlineStr">
        <is>
          <t>📊 جودة مراجعة العقود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«العقود المُراجَعة قانونياً قبل التوقيع» ÷ الإجمالي المستهدف لنفس البند × 100٪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أيام «زمن صياغة ومراجعة العقد» ÷ عدد الحالات</t>
        </is>
      </c>
      <c r="Q6" s="86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8" t="inlineStr">
        <is>
          <t>أعمال القضايا</t>
        </is>
      </c>
      <c r="C8" s="79" t="inlineStr">
        <is>
          <t>📊 إدارة القضايا</t>
        </is>
      </c>
      <c r="D8" s="80" t="n"/>
      <c r="E8" s="80" t="n"/>
      <c r="F8" s="81" t="inlineStr">
        <is>
          <t>🔷 أساسي</t>
        </is>
      </c>
      <c r="G8" s="82" t="n">
        <v>0.21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«القضايا المُغلقة لصالح الشركة» ÷ الإجمالي المستهدف لنفس البند × 100٪</t>
        </is>
      </c>
      <c r="Q9" s="86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6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أيام «زمن إعداد المذكرة القانونية» ÷ عدد الحالات</t>
        </is>
      </c>
      <c r="Q11" s="86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8" t="inlineStr">
        <is>
          <t>الاستشارات القانونية</t>
        </is>
      </c>
      <c r="C12" s="79" t="inlineStr">
        <is>
          <t>📊 الاستشارات القانونية</t>
        </is>
      </c>
      <c r="D12" s="80" t="n"/>
      <c r="E12" s="80" t="n"/>
      <c r="F12" s="81" t="inlineStr">
        <is>
          <t>🔷 أساسي</t>
        </is>
      </c>
      <c r="G12" s="82" t="n">
        <v>0.17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«الاستشارات المُنجزة ضمن المدة المستهدفة» ÷ الإجمالي المستهدف لنفس البند × 100٪</t>
        </is>
      </c>
      <c r="Q13" s="86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6" t="inlineStr">
        <is>
          <t>القيمة المتحقّقة من «مستوى رضا الإدارات عن الدعم القانوني» ÷ المستهدف × 100٪</t>
        </is>
      </c>
      <c r="Q14" s="86" t="inlineStr">
        <is>
          <t>استبيان دوري</t>
        </is>
      </c>
      <c r="R14" s="15" t="inlineStr">
        <is>
          <t>ربعي</t>
        </is>
      </c>
    </row>
    <row r="15" ht="24" customHeight="1">
      <c r="B15" s="78" t="inlineStr">
        <is>
          <t>التحقيق</t>
        </is>
      </c>
      <c r="C15" s="79" t="inlineStr">
        <is>
          <t>📊 كفاءة التحقيقات</t>
        </is>
      </c>
      <c r="D15" s="80" t="n"/>
      <c r="E15" s="80" t="n"/>
      <c r="F15" s="81" t="inlineStr">
        <is>
          <t>🔷 أساسي</t>
        </is>
      </c>
      <c r="G15" s="82" t="n">
        <v>0.32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«إنجاز التحقيقات ضمن المدة المحددة» ÷ الإجمالي المستهدف لنفس البند × 100٪</t>
        </is>
      </c>
      <c r="Q16" s="86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«التحقيقات المُغلقة من إجمالي المُحالة» ÷ الإجمالي المستهدف لنفس البند × 100٪</t>
        </is>
      </c>
      <c r="Q17" s="86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مجموع أيام «زمن إغلاق قضية التحقيق» ÷ عدد الحالات</t>
        </is>
      </c>
      <c r="Q18" s="86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«تنفيذ التوصيات الصادرة عن التحقيقات» ÷ الإجمالي المستهدف لنفس البند × 100٪</t>
        </is>
      </c>
      <c r="Q19" s="86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6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المالية الاستراتيجية</t>
        </is>
      </c>
      <c r="C4" s="79" t="inlineStr">
        <is>
          <t>📊 الأداء المالي الاستراتيجي</t>
        </is>
      </c>
      <c r="D4" s="80" t="n"/>
      <c r="E4" s="80" t="n"/>
      <c r="F4" s="81" t="inlineStr">
        <is>
          <t>🔷 أساسي</t>
        </is>
      </c>
      <c r="G4" s="82" t="n">
        <v>0.22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السنوي»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«هامش EBITDA»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«هامش صافي الربح»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«العائد على حقوق الملكية» ÷ المستهدف × 100٪</t>
        </is>
      </c>
      <c r="Q8" s="86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«التدفق النقدي التشغيلي» ÷ الإجمالي المستهدف لنفس البند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8" t="inlineStr">
        <is>
          <t>السيولة ورأس المال</t>
        </is>
      </c>
      <c r="C10" s="79" t="inlineStr">
        <is>
          <t>📊 السيولة ورأس المال العامل</t>
        </is>
      </c>
      <c r="D10" s="80" t="n"/>
      <c r="E10" s="80" t="n"/>
      <c r="F10" s="81" t="inlineStr">
        <is>
          <t>🔷 أساسي</t>
        </is>
      </c>
      <c r="G10" s="82" t="n">
        <v>0.09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قياس «النسبة الجارية» مقابل مستهدفه المعتمد خلال الفترة</t>
        </is>
      </c>
      <c r="Q11" s="86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متوسط عدد أيام «دورة التحويل النقدي»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8" t="inlineStr">
        <is>
          <t>الذمم المدينة</t>
        </is>
      </c>
      <c r="C13" s="79" t="inlineStr">
        <is>
          <t>📊 التحصيل وإدارة المدينين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التحصيل العام»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«التحصيل العام» ÷ الإجمالي المستهدف لنفس البند × 100٪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«الذمم المتأخرة»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«الديون المعدومة» ÷ الإجمالي المستهدف لنفس البند × 100٪</t>
        </is>
      </c>
      <c r="Q17" s="86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8" t="inlineStr">
        <is>
          <t>الذمم الدائنة</t>
        </is>
      </c>
      <c r="C18" s="79" t="inlineStr">
        <is>
          <t>📊 إدارة الدائنين</t>
        </is>
      </c>
      <c r="D18" s="80" t="n"/>
      <c r="E18" s="80" t="n"/>
      <c r="F18" s="81" t="inlineStr">
        <is>
          <t>🔷 أساسي</t>
        </is>
      </c>
      <c r="G18" s="82" t="n">
        <v>0.08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«سداد الموردين في الموعد» ÷ المستهدف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اكتمال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0.926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«اكتمال مطابقة حسابات الموردين» ÷ المستهدف × 100٪</t>
        </is>
      </c>
      <c r="Q20" s="86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«دقة التنبؤ النقدي» ÷ المستهدف × 100٪</t>
        </is>
      </c>
      <c r="Q21" s="86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8" t="inlineStr">
        <is>
          <t>صناعة الوقود</t>
        </is>
      </c>
      <c r="C22" s="79" t="inlineStr">
        <is>
          <t>📊 دقة مخزون وتسويات الوقود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«تباين مخزون الوقود» ÷ المستهدف × 100٪</t>
        </is>
      </c>
      <c r="Q23" s="86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القيمة المتحقّقة من «دقة مطابقة المخزون» ÷ المستهدف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6" t="inlineStr">
        <is>
          <t>القيمة المتحقّقة من «دقة تسوية أرامكو» ÷ المستهدف × 100٪</t>
        </is>
      </c>
      <c r="Q25" s="86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8" t="inlineStr">
        <is>
          <t>تمويل الامتياز</t>
        </is>
      </c>
      <c r="C26" s="79" t="inlineStr">
        <is>
          <t>📊 تحصيل الامتياز</t>
        </is>
      </c>
      <c r="D26" s="80" t="n"/>
      <c r="E26" s="80" t="n"/>
      <c r="F26" s="81" t="inlineStr">
        <is>
          <t>🔷 أساسي</t>
        </is>
      </c>
      <c r="G26" s="82" t="n">
        <v>0.1</v>
      </c>
      <c r="H26" s="80" t="n"/>
      <c r="I26" s="80" t="n"/>
      <c r="J26" s="80" t="n"/>
      <c r="K26" s="80" t="n"/>
      <c r="L26" s="80" t="n"/>
      <c r="M26" s="80" t="n"/>
      <c r="N26" s="83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4">
        <f>IF($N26="","⏳ بانتظار هدف",IF($N26&gt;=1,"✅ محقق",IF($N26&gt;=0.85,"🟡 قريب","🔴 تحت الهدف")))</f>
        <v/>
      </c>
      <c r="P26" s="80" t="n"/>
      <c r="Q26" s="80" t="n"/>
      <c r="R26" s="80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5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«تحصيل الامتياز» ÷ الإجمالي المستهدف لنفس البند × 100٪</t>
        </is>
      </c>
      <c r="Q27" s="86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5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متوسط عدد أيام «أيام تحصيل رسوم الامتياز» خلال الفترة</t>
        </is>
      </c>
      <c r="Q28" s="86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8" t="inlineStr">
        <is>
          <t>العقار والإيجار</t>
        </is>
      </c>
      <c r="C29" s="79" t="inlineStr">
        <is>
          <t>📊 تحصيل الإيجار</t>
        </is>
      </c>
      <c r="D29" s="80" t="n"/>
      <c r="E29" s="80" t="n"/>
      <c r="F29" s="81" t="inlineStr">
        <is>
          <t>🔷 أساسي</t>
        </is>
      </c>
      <c r="G29" s="82" t="n">
        <v>0.1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5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قيمة/عدد المتحقّق من «تحصيل الإيجار» ÷ الإجمالي المستهدف لنفس البند × 100٪</t>
        </is>
      </c>
      <c r="Q30" s="86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5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عدد حالات «تجديد عقود الإيجار» خلال الفترة ÷ إجمالي الحالات القابلة للقياس × 100٪</t>
        </is>
      </c>
      <c r="Q31" s="86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8" t="inlineStr">
        <is>
          <t>الموازنة والتقارير</t>
        </is>
      </c>
      <c r="C32" s="79" t="inlineStr">
        <is>
          <t>📊 انضباط الموازنة</t>
        </is>
      </c>
      <c r="D32" s="80" t="n"/>
      <c r="E32" s="80" t="n"/>
      <c r="F32" s="81" t="inlineStr">
        <is>
          <t>🔷 أساسي</t>
        </is>
      </c>
      <c r="G32" s="82" t="n">
        <v>0.09</v>
      </c>
      <c r="H32" s="80" t="n"/>
      <c r="I32" s="80" t="n"/>
      <c r="J32" s="80" t="n"/>
      <c r="K32" s="80" t="n"/>
      <c r="L32" s="80" t="n"/>
      <c r="M32" s="80" t="n"/>
      <c r="N32" s="83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4">
        <f>IF($N32="","⏳ بانتظار هدف",IF($N32&gt;=1,"✅ محقق",IF($N32&gt;=0.85,"🟡 قريب","🔴 تحت الهدف")))</f>
        <v/>
      </c>
      <c r="P32" s="80" t="n"/>
      <c r="Q32" s="80" t="n"/>
      <c r="R32" s="80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القيمة المتحقّقة من «انحراف الموازنة» ÷ المستهدف × 100٪</t>
        </is>
      </c>
      <c r="Q33" s="86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5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متوسط عدد أيام «أيام الإقفال الشهري» خلال الفترة</t>
        </is>
      </c>
      <c r="Q34" s="86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5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«تسويات التدقيق» ÷ الإجمالي المستهدف لنفس البند × 100٪</t>
        </is>
      </c>
      <c r="Q35" s="86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7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8" t="n"/>
      <c r="D15" s="88" t="n"/>
      <c r="E15" s="88" t="n"/>
      <c r="F15" s="88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8" t="n"/>
      <c r="D16" s="88" t="n"/>
      <c r="E16" s="88" t="n"/>
      <c r="F16" s="88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8" t="n"/>
      <c r="D17" s="88" t="n"/>
      <c r="E17" s="88" t="n"/>
      <c r="F17" s="88" t="n"/>
      <c r="G17" s="10">
        <f>IFERROR(F17/D17,0)</f>
        <v/>
      </c>
      <c r="H17" s="37" t="n"/>
    </row>
    <row r="18">
      <c r="A18" s="87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8" t="n"/>
      <c r="D19" s="88" t="n"/>
      <c r="E19" s="88" t="n"/>
      <c r="F19" s="88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8" t="n"/>
      <c r="D20" s="88" t="n"/>
      <c r="E20" s="88" t="n"/>
      <c r="F20" s="88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8" t="n"/>
      <c r="D21" s="88" t="n"/>
      <c r="E21" s="88" t="n"/>
      <c r="F21" s="88" t="n"/>
      <c r="G21" s="10">
        <f>IFERROR(F21/D21,0)</f>
        <v/>
      </c>
      <c r="H21" s="37" t="n"/>
    </row>
    <row r="22">
      <c r="A22" s="87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8" t="n"/>
      <c r="D23" s="88" t="n"/>
      <c r="E23" s="88" t="n"/>
      <c r="F23" s="88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8" t="n"/>
      <c r="D24" s="88" t="n"/>
      <c r="E24" s="88" t="n"/>
      <c r="F24" s="88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8" t="n"/>
      <c r="D25" s="88" t="n"/>
      <c r="E25" s="88" t="n"/>
      <c r="F25" s="88" t="n"/>
      <c r="G25" s="10">
        <f>IFERROR(F25/D25,0)</f>
        <v/>
      </c>
      <c r="H25" s="37" t="n"/>
    </row>
    <row r="26">
      <c r="A26" s="87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8" t="n"/>
      <c r="D27" s="88" t="n"/>
      <c r="E27" s="88" t="n"/>
      <c r="F27" s="88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8" t="n"/>
      <c r="D28" s="88" t="n"/>
      <c r="E28" s="88" t="n"/>
      <c r="F28" s="88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8" t="n"/>
      <c r="D29" s="88" t="n"/>
      <c r="E29" s="88" t="n"/>
      <c r="F29" s="88" t="n"/>
      <c r="G29" s="10">
        <f>IFERROR(F29/D29,0)</f>
        <v/>
      </c>
      <c r="H29" s="37" t="n"/>
    </row>
    <row r="30">
      <c r="A30" s="87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8" t="n"/>
      <c r="D31" s="88" t="n"/>
      <c r="E31" s="88" t="n"/>
      <c r="F31" s="88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8" t="n"/>
      <c r="D32" s="88" t="n"/>
      <c r="E32" s="88" t="n"/>
      <c r="F32" s="88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8" t="n"/>
      <c r="D33" s="88" t="n"/>
      <c r="E33" s="88" t="n"/>
      <c r="F33" s="88" t="n"/>
      <c r="G33" s="10">
        <f>IFERROR(F33/D33,0)</f>
        <v/>
      </c>
      <c r="H33" s="37" t="n"/>
    </row>
    <row r="34">
      <c r="A34" s="87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8" t="n"/>
      <c r="D35" s="88" t="n"/>
      <c r="E35" s="88" t="n"/>
      <c r="F35" s="88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8" t="n"/>
      <c r="D36" s="88" t="n"/>
      <c r="E36" s="88" t="n"/>
      <c r="F36" s="88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8" t="n"/>
      <c r="D37" s="88" t="n"/>
      <c r="E37" s="88" t="n"/>
      <c r="F37" s="88" t="n"/>
      <c r="G37" s="10">
        <f>IFERROR(F37/D37,0)</f>
        <v/>
      </c>
      <c r="H37" s="37" t="n"/>
    </row>
    <row r="38">
      <c r="A38" s="87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8" t="n"/>
      <c r="D39" s="88" t="n"/>
      <c r="E39" s="88" t="n"/>
      <c r="F39" s="88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8" t="n"/>
      <c r="D40" s="88" t="n"/>
      <c r="E40" s="88" t="n"/>
      <c r="F40" s="88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8" t="n"/>
      <c r="D41" s="88" t="n"/>
      <c r="E41" s="88" t="n"/>
      <c r="F41" s="88" t="n"/>
      <c r="G41" s="10">
        <f>IFERROR(F41/D41,0)</f>
        <v/>
      </c>
      <c r="H41" s="37" t="n"/>
    </row>
    <row r="42">
      <c r="A42" s="87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8" t="n"/>
      <c r="D43" s="88" t="n"/>
      <c r="E43" s="88" t="n"/>
      <c r="F43" s="88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8" t="n"/>
      <c r="D44" s="88" t="n"/>
      <c r="E44" s="88" t="n"/>
      <c r="F44" s="88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8" t="n"/>
      <c r="D45" s="88" t="n"/>
      <c r="E45" s="88" t="n"/>
      <c r="F45" s="88" t="n"/>
      <c r="G45" s="10">
        <f>IFERROR(F45/D45,0)</f>
        <v/>
      </c>
      <c r="H45" s="37" t="n"/>
    </row>
    <row r="46">
      <c r="A46" s="87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8" t="n"/>
      <c r="D47" s="88" t="n"/>
      <c r="E47" s="88" t="n"/>
      <c r="F47" s="88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8" t="n"/>
      <c r="D48" s="88" t="n"/>
      <c r="E48" s="88" t="n"/>
      <c r="F48" s="88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8" t="n"/>
      <c r="D49" s="88" t="n"/>
      <c r="E49" s="88" t="n"/>
      <c r="F49" s="88" t="n"/>
      <c r="G49" s="10">
        <f>IFERROR(F49/D49,0)</f>
        <v/>
      </c>
      <c r="H49" s="37" t="n"/>
    </row>
    <row r="50">
      <c r="A50" s="87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8" t="n"/>
      <c r="D51" s="88" t="n"/>
      <c r="E51" s="88" t="n"/>
      <c r="F51" s="88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8" t="n"/>
      <c r="D52" s="88" t="n"/>
      <c r="E52" s="88" t="n"/>
      <c r="F52" s="88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8" t="n"/>
      <c r="D53" s="88" t="n"/>
      <c r="E53" s="88" t="n"/>
      <c r="F53" s="88" t="n"/>
      <c r="G53" s="10">
        <f>IFERROR(F53/D53,0)</f>
        <v/>
      </c>
      <c r="H53" s="37" t="n"/>
    </row>
    <row r="54">
      <c r="A54" s="87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8" t="n"/>
      <c r="D55" s="88" t="n"/>
      <c r="E55" s="88" t="n"/>
      <c r="F55" s="88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8" t="n"/>
      <c r="D56" s="88" t="n"/>
      <c r="E56" s="88" t="n"/>
      <c r="F56" s="88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8" t="n"/>
      <c r="D57" s="88" t="n"/>
      <c r="E57" s="88" t="n"/>
      <c r="F57" s="88" t="n"/>
      <c r="G57" s="10">
        <f>IFERROR(F57/D57,0)</f>
        <v/>
      </c>
      <c r="H57" s="37" t="n"/>
    </row>
    <row r="58">
      <c r="A58" s="87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8" t="n"/>
      <c r="D59" s="88" t="n"/>
      <c r="E59" s="88" t="n"/>
      <c r="F59" s="88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8" t="n"/>
      <c r="D60" s="88" t="n"/>
      <c r="E60" s="88" t="n"/>
      <c r="F60" s="88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8" t="n"/>
      <c r="D61" s="88" t="n"/>
      <c r="E61" s="88" t="n"/>
      <c r="F61" s="88" t="n"/>
      <c r="G61" s="10">
        <f>IFERROR(F61/D61,0)</f>
        <v/>
      </c>
      <c r="H61" s="37" t="n"/>
    </row>
    <row r="62">
      <c r="A62" s="87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8" t="n"/>
      <c r="D63" s="88" t="n"/>
      <c r="E63" s="88" t="n"/>
      <c r="F63" s="88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8" t="n"/>
      <c r="D64" s="88" t="n"/>
      <c r="E64" s="88" t="n"/>
      <c r="F64" s="88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8" t="n"/>
      <c r="D65" s="88" t="n"/>
      <c r="E65" s="88" t="n"/>
      <c r="F65" s="88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التجاري'!C17</f>
        <v/>
      </c>
      <c r="D22" s="15">
        <f>'الامتياز التجاري'!J17</f>
        <v/>
      </c>
      <c r="E22" s="13">
        <f>'الامتياز التجاري'!K17</f>
        <v/>
      </c>
      <c r="F22" s="15">
        <f>'الامتياز التجاري'!L17</f>
        <v/>
      </c>
      <c r="G22" s="56">
        <f>'الامتياز التجاري'!N17</f>
        <v/>
      </c>
      <c r="H22" s="15">
        <f>'الامتياز التجاري'!O17</f>
        <v/>
      </c>
      <c r="I22" s="24">
        <f>'الامتياز التجاري'!G17</f>
        <v/>
      </c>
      <c r="J22" s="15">
        <f>IF($G22="",0,$G22*$I22)</f>
        <v/>
      </c>
      <c r="K22" s="15">
        <f>IF($G22="",0,$I22)</f>
        <v/>
      </c>
      <c r="L22" s="13">
        <f>'الامتياز التجاري'!B17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التجاري'!C27</f>
        <v/>
      </c>
      <c r="D31" s="15">
        <f>'الامتياز التجاري'!J27</f>
        <v/>
      </c>
      <c r="E31" s="13">
        <f>'الامتياز التجاري'!K27</f>
        <v/>
      </c>
      <c r="F31" s="15">
        <f>'الامتياز التجاري'!L27</f>
        <v/>
      </c>
      <c r="G31" s="56">
        <f>'الامتياز التجاري'!N27</f>
        <v/>
      </c>
      <c r="H31" s="15">
        <f>'الامتياز التجاري'!O27</f>
        <v/>
      </c>
      <c r="I31" s="24">
        <f>'الامتياز التجاري'!G27</f>
        <v/>
      </c>
      <c r="J31" s="15">
        <f>IF($G31="",0,$G31*$I31)</f>
        <v/>
      </c>
      <c r="K31" s="15">
        <f>IF($G31="",0,$I31)</f>
        <v/>
      </c>
      <c r="L31" s="13">
        <f>'الامتياز التجاري'!B27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التجاري'!C32</f>
        <v/>
      </c>
      <c r="D35" s="15">
        <f>'الامتياز التجاري'!J32</f>
        <v/>
      </c>
      <c r="E35" s="13">
        <f>'الامتياز التجاري'!K32</f>
        <v/>
      </c>
      <c r="F35" s="15">
        <f>'الامتياز التجاري'!L32</f>
        <v/>
      </c>
      <c r="G35" s="56">
        <f>'الامتياز التجاري'!N32</f>
        <v/>
      </c>
      <c r="H35" s="15">
        <f>'الامتياز التجاري'!O32</f>
        <v/>
      </c>
      <c r="I35" s="24">
        <f>'الامتياز التجاري'!G32</f>
        <v/>
      </c>
      <c r="J35" s="15">
        <f>IF($G35="",0,$G35*$I35)</f>
        <v/>
      </c>
      <c r="K35" s="15">
        <f>IF($G35="",0,$I35)</f>
        <v/>
      </c>
      <c r="L35" s="13">
        <f>'الامتياز التجاري'!B32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التجاري'!C36</f>
        <v/>
      </c>
      <c r="D38" s="15">
        <f>'الامتياز التجاري'!J36</f>
        <v/>
      </c>
      <c r="E38" s="13">
        <f>'الامتياز التجاري'!K36</f>
        <v/>
      </c>
      <c r="F38" s="15">
        <f>'الامتياز التجاري'!L36</f>
        <v/>
      </c>
      <c r="G38" s="56">
        <f>'الامتياز التجاري'!N36</f>
        <v/>
      </c>
      <c r="H38" s="15">
        <f>'الامتياز التجاري'!O36</f>
        <v/>
      </c>
      <c r="I38" s="24">
        <f>'الامتياز التجاري'!G36</f>
        <v/>
      </c>
      <c r="J38" s="15">
        <f>IF($G38="",0,$G38*$I38)</f>
        <v/>
      </c>
      <c r="K38" s="15">
        <f>IF($G38="",0,$I38)</f>
        <v/>
      </c>
      <c r="L38" s="13">
        <f>'الامتياز التجاري'!B36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التجاري'!C37</f>
        <v/>
      </c>
      <c r="D39" s="15">
        <f>'الامتياز التجاري'!J37</f>
        <v/>
      </c>
      <c r="E39" s="13">
        <f>'الامتياز التجاري'!K37</f>
        <v/>
      </c>
      <c r="F39" s="15">
        <f>'الامتياز التجاري'!L37</f>
        <v/>
      </c>
      <c r="G39" s="56">
        <f>'الامتياز التجاري'!N37</f>
        <v/>
      </c>
      <c r="H39" s="15">
        <f>'الامتياز التجاري'!O37</f>
        <v/>
      </c>
      <c r="I39" s="24">
        <f>'الامتياز التجاري'!G37</f>
        <v/>
      </c>
      <c r="J39" s="15">
        <f>IF($G39="",0,$G39*$I39)</f>
        <v/>
      </c>
      <c r="K39" s="15">
        <f>IF($G39="",0,$I39)</f>
        <v/>
      </c>
      <c r="L39" s="13">
        <f>'الامتياز التجاري'!B37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والمحطات'!C4</f>
        <v/>
      </c>
      <c r="D40" s="15">
        <f>'التشغيل والمحطات'!J4</f>
        <v/>
      </c>
      <c r="E40" s="13">
        <f>'التشغيل والمحطات'!K4</f>
        <v/>
      </c>
      <c r="F40" s="15">
        <f>'التشغيل والمحطات'!L4</f>
        <v/>
      </c>
      <c r="G40" s="56">
        <f>'التشغيل والمحطات'!N4</f>
        <v/>
      </c>
      <c r="H40" s="15">
        <f>'التشغيل والمحطات'!O4</f>
        <v/>
      </c>
      <c r="I40" s="24">
        <f>'التشغيل والمحطات'!G4</f>
        <v/>
      </c>
      <c r="J40" s="15">
        <f>IF($G40="",0,$G40*$I40)</f>
        <v/>
      </c>
      <c r="K40" s="15">
        <f>IF($G40="",0,$I40)</f>
        <v/>
      </c>
      <c r="L40" s="13">
        <f>'التشغيل والمحطات'!B4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والمحطات'!C6</f>
        <v/>
      </c>
      <c r="D41" s="15">
        <f>'التشغيل والمحطات'!J6</f>
        <v/>
      </c>
      <c r="E41" s="13">
        <f>'التشغيل والمحطات'!K6</f>
        <v/>
      </c>
      <c r="F41" s="15">
        <f>'التشغيل والمحطات'!L6</f>
        <v/>
      </c>
      <c r="G41" s="56">
        <f>'التشغيل والمحطات'!N6</f>
        <v/>
      </c>
      <c r="H41" s="15">
        <f>'التشغيل والمحطات'!O6</f>
        <v/>
      </c>
      <c r="I41" s="24">
        <f>'التشغيل والمحطات'!G6</f>
        <v/>
      </c>
      <c r="J41" s="15">
        <f>IF($G41="",0,$G41*$I41)</f>
        <v/>
      </c>
      <c r="K41" s="15">
        <f>IF($G41="",0,$I41)</f>
        <v/>
      </c>
      <c r="L41" s="13">
        <f>'التشغيل والمحطات'!B6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والمحطات'!C7</f>
        <v/>
      </c>
      <c r="D42" s="15">
        <f>'التشغيل والمحطات'!J7</f>
        <v/>
      </c>
      <c r="E42" s="13">
        <f>'التشغيل والمحطات'!K7</f>
        <v/>
      </c>
      <c r="F42" s="15">
        <f>'التشغيل والمحطات'!L7</f>
        <v/>
      </c>
      <c r="G42" s="56">
        <f>'التشغيل والمحطات'!N7</f>
        <v/>
      </c>
      <c r="H42" s="15">
        <f>'التشغيل والمحطات'!O7</f>
        <v/>
      </c>
      <c r="I42" s="24">
        <f>'التشغيل والمحطات'!G7</f>
        <v/>
      </c>
      <c r="J42" s="15">
        <f>IF($G42="",0,$G42*$I42)</f>
        <v/>
      </c>
      <c r="K42" s="15">
        <f>IF($G42="",0,$I42)</f>
        <v/>
      </c>
      <c r="L42" s="13">
        <f>'التشغيل والمحطات'!B7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والمحطات'!C8</f>
        <v/>
      </c>
      <c r="D43" s="15">
        <f>'التشغيل والمحطات'!J8</f>
        <v/>
      </c>
      <c r="E43" s="13">
        <f>'التشغيل والمحطات'!K8</f>
        <v/>
      </c>
      <c r="F43" s="15">
        <f>'التشغيل والمحطات'!L8</f>
        <v/>
      </c>
      <c r="G43" s="56">
        <f>'التشغيل والمحطات'!N8</f>
        <v/>
      </c>
      <c r="H43" s="15">
        <f>'التشغيل والمحطات'!O8</f>
        <v/>
      </c>
      <c r="I43" s="24">
        <f>'التشغيل والمحطات'!G8</f>
        <v/>
      </c>
      <c r="J43" s="15">
        <f>IF($G43="",0,$G43*$I43)</f>
        <v/>
      </c>
      <c r="K43" s="15">
        <f>IF($G43="",0,$I43)</f>
        <v/>
      </c>
      <c r="L43" s="13">
        <f>'التشغيل والمحطات'!B8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والمحطات'!C9</f>
        <v/>
      </c>
      <c r="D44" s="15">
        <f>'التشغيل والمحطات'!J9</f>
        <v/>
      </c>
      <c r="E44" s="13">
        <f>'التشغيل والمحطات'!K9</f>
        <v/>
      </c>
      <c r="F44" s="15">
        <f>'التشغيل والمحطات'!L9</f>
        <v/>
      </c>
      <c r="G44" s="56">
        <f>'التشغيل والمحطات'!N9</f>
        <v/>
      </c>
      <c r="H44" s="15">
        <f>'التشغيل والمحطات'!O9</f>
        <v/>
      </c>
      <c r="I44" s="24">
        <f>'التشغيل والمحطات'!G9</f>
        <v/>
      </c>
      <c r="J44" s="15">
        <f>IF($G44="",0,$G44*$I44)</f>
        <v/>
      </c>
      <c r="K44" s="15">
        <f>IF($G44="",0,$I44)</f>
        <v/>
      </c>
      <c r="L44" s="13">
        <f>'التشغيل والمحطات'!B9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والمحطات'!C10</f>
        <v/>
      </c>
      <c r="D45" s="15">
        <f>'التشغيل والمحطات'!J10</f>
        <v/>
      </c>
      <c r="E45" s="13">
        <f>'التشغيل والمحطات'!K10</f>
        <v/>
      </c>
      <c r="F45" s="15">
        <f>'التشغيل والمحطات'!L10</f>
        <v/>
      </c>
      <c r="G45" s="56">
        <f>'التشغيل والمحطات'!N10</f>
        <v/>
      </c>
      <c r="H45" s="15">
        <f>'التشغيل والمحطات'!O10</f>
        <v/>
      </c>
      <c r="I45" s="24">
        <f>'التشغيل والمحطات'!G10</f>
        <v/>
      </c>
      <c r="J45" s="15">
        <f>IF($G45="",0,$G45*$I45)</f>
        <v/>
      </c>
      <c r="K45" s="15">
        <f>IF($G45="",0,$I45)</f>
        <v/>
      </c>
      <c r="L45" s="13">
        <f>'التشغيل والمحطات'!B10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والمحطات'!C11</f>
        <v/>
      </c>
      <c r="D46" s="15">
        <f>'التشغيل والمحطات'!J11</f>
        <v/>
      </c>
      <c r="E46" s="13">
        <f>'التشغيل والمحطات'!K11</f>
        <v/>
      </c>
      <c r="F46" s="15">
        <f>'التشغيل والمحطات'!L11</f>
        <v/>
      </c>
      <c r="G46" s="56">
        <f>'التشغيل والمحطات'!N11</f>
        <v/>
      </c>
      <c r="H46" s="15">
        <f>'التشغيل والمحطات'!O11</f>
        <v/>
      </c>
      <c r="I46" s="24">
        <f>'التشغيل والمحطات'!G11</f>
        <v/>
      </c>
      <c r="J46" s="15">
        <f>IF($G46="",0,$G46*$I46)</f>
        <v/>
      </c>
      <c r="K46" s="15">
        <f>IF($G46="",0,$I46)</f>
        <v/>
      </c>
      <c r="L46" s="13">
        <f>'التشغيل والمحطات'!B11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والمحطات'!C12</f>
        <v/>
      </c>
      <c r="D47" s="15">
        <f>'التشغيل والمحطات'!J12</f>
        <v/>
      </c>
      <c r="E47" s="13">
        <f>'التشغيل والمحطات'!K12</f>
        <v/>
      </c>
      <c r="F47" s="15">
        <f>'التشغيل والمحطات'!L12</f>
        <v/>
      </c>
      <c r="G47" s="56">
        <f>'التشغيل والمحطات'!N12</f>
        <v/>
      </c>
      <c r="H47" s="15">
        <f>'التشغيل والمحطات'!O12</f>
        <v/>
      </c>
      <c r="I47" s="24">
        <f>'التشغيل والمحطات'!G12</f>
        <v/>
      </c>
      <c r="J47" s="15">
        <f>IF($G47="",0,$G47*$I47)</f>
        <v/>
      </c>
      <c r="K47" s="15">
        <f>IF($G47="",0,$I47)</f>
        <v/>
      </c>
      <c r="L47" s="13">
        <f>'التشغيل والمحطات'!B12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والمحطات'!C13</f>
        <v/>
      </c>
      <c r="D48" s="15">
        <f>'التشغيل والمحطات'!J13</f>
        <v/>
      </c>
      <c r="E48" s="13">
        <f>'التشغيل والمحطات'!K13</f>
        <v/>
      </c>
      <c r="F48" s="15">
        <f>'التشغيل والمحطات'!L13</f>
        <v/>
      </c>
      <c r="G48" s="56">
        <f>'التشغيل والمحطات'!N13</f>
        <v/>
      </c>
      <c r="H48" s="15">
        <f>'التشغيل والمحطات'!O13</f>
        <v/>
      </c>
      <c r="I48" s="24">
        <f>'التشغيل والمحطات'!G13</f>
        <v/>
      </c>
      <c r="J48" s="15">
        <f>IF($G48="",0,$G48*$I48)</f>
        <v/>
      </c>
      <c r="K48" s="15">
        <f>IF($G48="",0,$I48)</f>
        <v/>
      </c>
      <c r="L48" s="13">
        <f>'التشغيل والمحطات'!B13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والمحطات'!C15</f>
        <v/>
      </c>
      <c r="D49" s="15">
        <f>'التشغيل والمحطات'!J15</f>
        <v/>
      </c>
      <c r="E49" s="13">
        <f>'التشغيل والمحطات'!K15</f>
        <v/>
      </c>
      <c r="F49" s="15">
        <f>'التشغيل والمحطات'!L15</f>
        <v/>
      </c>
      <c r="G49" s="56">
        <f>'التشغيل والمحطات'!N15</f>
        <v/>
      </c>
      <c r="H49" s="15">
        <f>'التشغيل والمحطات'!O15</f>
        <v/>
      </c>
      <c r="I49" s="24">
        <f>'التشغيل والمحطات'!G15</f>
        <v/>
      </c>
      <c r="J49" s="15">
        <f>IF($G49="",0,$G49*$I49)</f>
        <v/>
      </c>
      <c r="K49" s="15">
        <f>IF($G49="",0,$I49)</f>
        <v/>
      </c>
      <c r="L49" s="13">
        <f>'التشغيل والمحطات'!B15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والمحطات'!C16</f>
        <v/>
      </c>
      <c r="D50" s="15">
        <f>'التشغيل والمحطات'!J16</f>
        <v/>
      </c>
      <c r="E50" s="13">
        <f>'التشغيل والمحطات'!K16</f>
        <v/>
      </c>
      <c r="F50" s="15">
        <f>'التشغيل والمحطات'!L16</f>
        <v/>
      </c>
      <c r="G50" s="56">
        <f>'التشغيل والمحطات'!N16</f>
        <v/>
      </c>
      <c r="H50" s="15">
        <f>'التشغيل والمحطات'!O16</f>
        <v/>
      </c>
      <c r="I50" s="24">
        <f>'التشغيل والمحطات'!G16</f>
        <v/>
      </c>
      <c r="J50" s="15">
        <f>IF($G50="",0,$G50*$I50)</f>
        <v/>
      </c>
      <c r="K50" s="15">
        <f>IF($G50="",0,$I50)</f>
        <v/>
      </c>
      <c r="L50" s="13">
        <f>'التشغيل والمحطات'!B16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والمحطات'!C17</f>
        <v/>
      </c>
      <c r="D51" s="15">
        <f>'التشغيل والمحطات'!J17</f>
        <v/>
      </c>
      <c r="E51" s="13">
        <f>'التشغيل والمحطات'!K17</f>
        <v/>
      </c>
      <c r="F51" s="15">
        <f>'التشغيل والمحطات'!L17</f>
        <v/>
      </c>
      <c r="G51" s="56">
        <f>'التشغيل والمحطات'!N17</f>
        <v/>
      </c>
      <c r="H51" s="15">
        <f>'التشغيل والمحطات'!O17</f>
        <v/>
      </c>
      <c r="I51" s="24">
        <f>'التشغيل والمحطات'!G17</f>
        <v/>
      </c>
      <c r="J51" s="15">
        <f>IF($G51="",0,$G51*$I51)</f>
        <v/>
      </c>
      <c r="K51" s="15">
        <f>IF($G51="",0,$I51)</f>
        <v/>
      </c>
      <c r="L51" s="13">
        <f>'التشغيل والمحطات'!B17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والمحطات'!C18</f>
        <v/>
      </c>
      <c r="D52" s="15">
        <f>'التشغيل والمحطات'!J18</f>
        <v/>
      </c>
      <c r="E52" s="13">
        <f>'التشغيل والمحطات'!K18</f>
        <v/>
      </c>
      <c r="F52" s="15">
        <f>'التشغيل والمحطات'!L18</f>
        <v/>
      </c>
      <c r="G52" s="56">
        <f>'التشغيل والمحطات'!N18</f>
        <v/>
      </c>
      <c r="H52" s="15">
        <f>'التشغيل والمحطات'!O18</f>
        <v/>
      </c>
      <c r="I52" s="24">
        <f>'التشغيل والمحطات'!G18</f>
        <v/>
      </c>
      <c r="J52" s="15">
        <f>IF($G52="",0,$G52*$I52)</f>
        <v/>
      </c>
      <c r="K52" s="15">
        <f>IF($G52="",0,$I52)</f>
        <v/>
      </c>
      <c r="L52" s="13">
        <f>'التشغيل والمحطات'!B18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والمحطات'!C19</f>
        <v/>
      </c>
      <c r="D53" s="15">
        <f>'التشغيل والمحطات'!J19</f>
        <v/>
      </c>
      <c r="E53" s="13">
        <f>'التشغيل والمحطات'!K19</f>
        <v/>
      </c>
      <c r="F53" s="15">
        <f>'التشغيل والمحطات'!L19</f>
        <v/>
      </c>
      <c r="G53" s="56">
        <f>'التشغيل والمحطات'!N19</f>
        <v/>
      </c>
      <c r="H53" s="15">
        <f>'التشغيل والمحطات'!O19</f>
        <v/>
      </c>
      <c r="I53" s="24">
        <f>'التشغيل والمحطات'!G19</f>
        <v/>
      </c>
      <c r="J53" s="15">
        <f>IF($G53="",0,$G53*$I53)</f>
        <v/>
      </c>
      <c r="K53" s="15">
        <f>IF($G53="",0,$I53)</f>
        <v/>
      </c>
      <c r="L53" s="13">
        <f>'التشغيل والمحطات'!B19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والمحطات'!C20</f>
        <v/>
      </c>
      <c r="D54" s="15">
        <f>'التشغيل والمحطات'!J20</f>
        <v/>
      </c>
      <c r="E54" s="13">
        <f>'التشغيل والمحطات'!K20</f>
        <v/>
      </c>
      <c r="F54" s="15">
        <f>'التشغيل والمحطات'!L20</f>
        <v/>
      </c>
      <c r="G54" s="56">
        <f>'التشغيل والمحطات'!N20</f>
        <v/>
      </c>
      <c r="H54" s="15">
        <f>'التشغيل والمحطات'!O20</f>
        <v/>
      </c>
      <c r="I54" s="24">
        <f>'التشغيل والمحطات'!G20</f>
        <v/>
      </c>
      <c r="J54" s="15">
        <f>IF($G54="",0,$G54*$I54)</f>
        <v/>
      </c>
      <c r="K54" s="15">
        <f>IF($G54="",0,$I54)</f>
        <v/>
      </c>
      <c r="L54" s="13">
        <f>'التشغيل والمحطات'!B20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والمحطات'!C21</f>
        <v/>
      </c>
      <c r="D55" s="15">
        <f>'التشغيل والمحطات'!J21</f>
        <v/>
      </c>
      <c r="E55" s="13">
        <f>'التشغيل والمحطات'!K21</f>
        <v/>
      </c>
      <c r="F55" s="15">
        <f>'التشغيل والمحطات'!L21</f>
        <v/>
      </c>
      <c r="G55" s="56">
        <f>'التشغيل والمحطات'!N21</f>
        <v/>
      </c>
      <c r="H55" s="15">
        <f>'التشغيل والمحطات'!O21</f>
        <v/>
      </c>
      <c r="I55" s="24">
        <f>'التشغيل والمحطات'!G21</f>
        <v/>
      </c>
      <c r="J55" s="15">
        <f>IF($G55="",0,$G55*$I55)</f>
        <v/>
      </c>
      <c r="K55" s="15">
        <f>IF($G55="",0,$I55)</f>
        <v/>
      </c>
      <c r="L55" s="13">
        <f>'التشغيل والمحطات'!B21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'الاستثمار'!C5</f>
        <v/>
      </c>
      <c r="D56" s="15">
        <f>'الاستثمار'!J5</f>
        <v/>
      </c>
      <c r="E56" s="13">
        <f>'الاستثمار'!K5</f>
        <v/>
      </c>
      <c r="F56" s="15">
        <f>'الاستثمار'!L5</f>
        <v/>
      </c>
      <c r="G56" s="56">
        <f>'الاستثمار'!N5</f>
        <v/>
      </c>
      <c r="H56" s="15">
        <f>'الاستثمار'!O5</f>
        <v/>
      </c>
      <c r="I56" s="24">
        <f>'الاستثمار'!G5</f>
        <v/>
      </c>
      <c r="J56" s="15">
        <f>IF($G56="",0,$G56*$I56)</f>
        <v/>
      </c>
      <c r="K56" s="15">
        <f>IF($G56="",0,$I56)</f>
        <v/>
      </c>
      <c r="L56" s="13">
        <f>'الاستثمار'!B5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'الاستثمار'!C6</f>
        <v/>
      </c>
      <c r="D57" s="15">
        <f>'الاستثمار'!J6</f>
        <v/>
      </c>
      <c r="E57" s="13">
        <f>'الاستثمار'!K6</f>
        <v/>
      </c>
      <c r="F57" s="15">
        <f>'الاستثمار'!L6</f>
        <v/>
      </c>
      <c r="G57" s="56">
        <f>'الاستثمار'!N6</f>
        <v/>
      </c>
      <c r="H57" s="15">
        <f>'الاستثمار'!O6</f>
        <v/>
      </c>
      <c r="I57" s="24">
        <f>'الاستثمار'!G6</f>
        <v/>
      </c>
      <c r="J57" s="15">
        <f>IF($G57="",0,$G57*$I57)</f>
        <v/>
      </c>
      <c r="K57" s="15">
        <f>IF($G57="",0,$I57)</f>
        <v/>
      </c>
      <c r="L57" s="13">
        <f>'الاستثمار'!B6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'الاستثمار'!C7</f>
        <v/>
      </c>
      <c r="D58" s="15">
        <f>'الاستثمار'!J7</f>
        <v/>
      </c>
      <c r="E58" s="13">
        <f>'الاستثمار'!K7</f>
        <v/>
      </c>
      <c r="F58" s="15">
        <f>'الاستثمار'!L7</f>
        <v/>
      </c>
      <c r="G58" s="56">
        <f>'الاستثمار'!N7</f>
        <v/>
      </c>
      <c r="H58" s="15">
        <f>'الاستثمار'!O7</f>
        <v/>
      </c>
      <c r="I58" s="24">
        <f>'الاستثمار'!G7</f>
        <v/>
      </c>
      <c r="J58" s="15">
        <f>IF($G58="",0,$G58*$I58)</f>
        <v/>
      </c>
      <c r="K58" s="15">
        <f>IF($G58="",0,$I58)</f>
        <v/>
      </c>
      <c r="L58" s="13">
        <f>'الاستثمار'!B7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'الاستثمار'!C8</f>
        <v/>
      </c>
      <c r="D59" s="15">
        <f>'الاستثمار'!J8</f>
        <v/>
      </c>
      <c r="E59" s="13">
        <f>'الاستثمار'!K8</f>
        <v/>
      </c>
      <c r="F59" s="15">
        <f>'الاستثمار'!L8</f>
        <v/>
      </c>
      <c r="G59" s="56">
        <f>'الاستثمار'!N8</f>
        <v/>
      </c>
      <c r="H59" s="15">
        <f>'الاستثمار'!O8</f>
        <v/>
      </c>
      <c r="I59" s="24">
        <f>'الاستثمار'!G8</f>
        <v/>
      </c>
      <c r="J59" s="15">
        <f>IF($G59="",0,$G59*$I59)</f>
        <v/>
      </c>
      <c r="K59" s="15">
        <f>IF($G59="",0,$I59)</f>
        <v/>
      </c>
      <c r="L59" s="13">
        <f>'الاستثمار'!B8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'الاستثمار'!C9</f>
        <v/>
      </c>
      <c r="D60" s="15">
        <f>'الاستثمار'!J9</f>
        <v/>
      </c>
      <c r="E60" s="13">
        <f>'الاستثمار'!K9</f>
        <v/>
      </c>
      <c r="F60" s="15">
        <f>'الاستثمار'!L9</f>
        <v/>
      </c>
      <c r="G60" s="56">
        <f>'الاستثمار'!N9</f>
        <v/>
      </c>
      <c r="H60" s="15">
        <f>'الاستثمار'!O9</f>
        <v/>
      </c>
      <c r="I60" s="24">
        <f>'الاستثمار'!G9</f>
        <v/>
      </c>
      <c r="J60" s="15">
        <f>IF($G60="",0,$G60*$I60)</f>
        <v/>
      </c>
      <c r="K60" s="15">
        <f>IF($G60="",0,$I60)</f>
        <v/>
      </c>
      <c r="L60" s="13">
        <f>'الاستثمار'!B9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'الاستثمار'!C10</f>
        <v/>
      </c>
      <c r="D61" s="15">
        <f>'الاستثمار'!J10</f>
        <v/>
      </c>
      <c r="E61" s="13">
        <f>'الاستثمار'!K10</f>
        <v/>
      </c>
      <c r="F61" s="15">
        <f>'الاستثمار'!L10</f>
        <v/>
      </c>
      <c r="G61" s="56">
        <f>'الاستثمار'!N10</f>
        <v/>
      </c>
      <c r="H61" s="15">
        <f>'الاستثمار'!O10</f>
        <v/>
      </c>
      <c r="I61" s="24">
        <f>'الاستثمار'!G10</f>
        <v/>
      </c>
      <c r="J61" s="15">
        <f>IF($G61="",0,$G61*$I61)</f>
        <v/>
      </c>
      <c r="K61" s="15">
        <f>IF($G61="",0,$I61)</f>
        <v/>
      </c>
      <c r="L61" s="13">
        <f>'الاستثمار'!B10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'الاستثمار'!C12</f>
        <v/>
      </c>
      <c r="D62" s="15">
        <f>'الاستثمار'!J12</f>
        <v/>
      </c>
      <c r="E62" s="13">
        <f>'الاستثمار'!K12</f>
        <v/>
      </c>
      <c r="F62" s="15">
        <f>'الاستثمار'!L12</f>
        <v/>
      </c>
      <c r="G62" s="56">
        <f>'الاستثمار'!N12</f>
        <v/>
      </c>
      <c r="H62" s="15">
        <f>'الاستثمار'!O12</f>
        <v/>
      </c>
      <c r="I62" s="24">
        <f>'الاستثمار'!G12</f>
        <v/>
      </c>
      <c r="J62" s="15">
        <f>IF($G62="",0,$G62*$I62)</f>
        <v/>
      </c>
      <c r="K62" s="15">
        <f>IF($G62="",0,$I62)</f>
        <v/>
      </c>
      <c r="L62" s="13">
        <f>'الاستثمار'!B12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'الاستثمار'!C13</f>
        <v/>
      </c>
      <c r="D63" s="15">
        <f>'الاستثمار'!J13</f>
        <v/>
      </c>
      <c r="E63" s="13">
        <f>'الاستثمار'!K13</f>
        <v/>
      </c>
      <c r="F63" s="15">
        <f>'الاستثمار'!L13</f>
        <v/>
      </c>
      <c r="G63" s="56">
        <f>'الاستثمار'!N13</f>
        <v/>
      </c>
      <c r="H63" s="15">
        <f>'الاستثمار'!O13</f>
        <v/>
      </c>
      <c r="I63" s="24">
        <f>'الاستثمار'!G13</f>
        <v/>
      </c>
      <c r="J63" s="15">
        <f>IF($G63="",0,$G63*$I63)</f>
        <v/>
      </c>
      <c r="K63" s="15">
        <f>IF($G63="",0,$I63)</f>
        <v/>
      </c>
      <c r="L63" s="13">
        <f>'الاستثمار'!B13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'الاستثمار'!C14</f>
        <v/>
      </c>
      <c r="D64" s="15">
        <f>'الاستثمار'!J14</f>
        <v/>
      </c>
      <c r="E64" s="13">
        <f>'الاستثمار'!K14</f>
        <v/>
      </c>
      <c r="F64" s="15">
        <f>'الاستثمار'!L14</f>
        <v/>
      </c>
      <c r="G64" s="56">
        <f>'الاستثمار'!N14</f>
        <v/>
      </c>
      <c r="H64" s="15">
        <f>'الاستثمار'!O14</f>
        <v/>
      </c>
      <c r="I64" s="24">
        <f>'الاستثمار'!G14</f>
        <v/>
      </c>
      <c r="J64" s="15">
        <f>IF($G64="",0,$G64*$I64)</f>
        <v/>
      </c>
      <c r="K64" s="15">
        <f>IF($G64="",0,$I64)</f>
        <v/>
      </c>
      <c r="L64" s="13">
        <f>'الاستثمار'!B14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'الاستثمار'!C16</f>
        <v/>
      </c>
      <c r="D65" s="15">
        <f>'الاستثمار'!J16</f>
        <v/>
      </c>
      <c r="E65" s="13">
        <f>'الاستثمار'!K16</f>
        <v/>
      </c>
      <c r="F65" s="15">
        <f>'الاستثمار'!L16</f>
        <v/>
      </c>
      <c r="G65" s="56">
        <f>'الاستثمار'!N16</f>
        <v/>
      </c>
      <c r="H65" s="15">
        <f>'الاستثمار'!O16</f>
        <v/>
      </c>
      <c r="I65" s="24">
        <f>'الاستثمار'!G16</f>
        <v/>
      </c>
      <c r="J65" s="15">
        <f>IF($G65="",0,$G65*$I65)</f>
        <v/>
      </c>
      <c r="K65" s="15">
        <f>IF($G65="",0,$I65)</f>
        <v/>
      </c>
      <c r="L65" s="13">
        <f>'الاستثمار'!B16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'الاستثمار'!C17</f>
        <v/>
      </c>
      <c r="D66" s="15">
        <f>'الاستثمار'!J17</f>
        <v/>
      </c>
      <c r="E66" s="13">
        <f>'الاستثمار'!K17</f>
        <v/>
      </c>
      <c r="F66" s="15">
        <f>'الاستثمار'!L17</f>
        <v/>
      </c>
      <c r="G66" s="56">
        <f>'الاستثمار'!N17</f>
        <v/>
      </c>
      <c r="H66" s="15">
        <f>'الاستثمار'!O17</f>
        <v/>
      </c>
      <c r="I66" s="24">
        <f>'الاستثمار'!G17</f>
        <v/>
      </c>
      <c r="J66" s="15">
        <f>IF($G66="",0,$G66*$I66)</f>
        <v/>
      </c>
      <c r="K66" s="15">
        <f>IF($G66="",0,$I66)</f>
        <v/>
      </c>
      <c r="L66" s="13">
        <f>'الاستثمار'!B17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'الاستثمار'!C18</f>
        <v/>
      </c>
      <c r="D67" s="15">
        <f>'الاستثمار'!J18</f>
        <v/>
      </c>
      <c r="E67" s="13">
        <f>'الاستثمار'!K18</f>
        <v/>
      </c>
      <c r="F67" s="15">
        <f>'الاستثمار'!L18</f>
        <v/>
      </c>
      <c r="G67" s="56">
        <f>'الاستثمار'!N18</f>
        <v/>
      </c>
      <c r="H67" s="15">
        <f>'الاستثمار'!O18</f>
        <v/>
      </c>
      <c r="I67" s="24">
        <f>'الاستثمار'!G18</f>
        <v/>
      </c>
      <c r="J67" s="15">
        <f>IF($G67="",0,$G67*$I67)</f>
        <v/>
      </c>
      <c r="K67" s="15">
        <f>IF($G67="",0,$I67)</f>
        <v/>
      </c>
      <c r="L67" s="13">
        <f>'الاستثمار'!B18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'الاستثمار'!C19</f>
        <v/>
      </c>
      <c r="D68" s="15">
        <f>'الاستثمار'!J19</f>
        <v/>
      </c>
      <c r="E68" s="13">
        <f>'الاستثمار'!K19</f>
        <v/>
      </c>
      <c r="F68" s="15">
        <f>'الاستثمار'!L19</f>
        <v/>
      </c>
      <c r="G68" s="56">
        <f>'الاستثمار'!N19</f>
        <v/>
      </c>
      <c r="H68" s="15">
        <f>'الاستثمار'!O19</f>
        <v/>
      </c>
      <c r="I68" s="24">
        <f>'الاستثمار'!G19</f>
        <v/>
      </c>
      <c r="J68" s="15">
        <f>IF($G68="",0,$G68*$I68)</f>
        <v/>
      </c>
      <c r="K68" s="15">
        <f>IF($G68="",0,$I68)</f>
        <v/>
      </c>
      <c r="L68" s="13">
        <f>'الاستثمار'!B19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'الاستثمار'!C21</f>
        <v/>
      </c>
      <c r="D69" s="15">
        <f>'الاستثمار'!J21</f>
        <v/>
      </c>
      <c r="E69" s="13">
        <f>'الاستثمار'!K21</f>
        <v/>
      </c>
      <c r="F69" s="15">
        <f>'الاستثمار'!L21</f>
        <v/>
      </c>
      <c r="G69" s="56">
        <f>'الاستثمار'!N21</f>
        <v/>
      </c>
      <c r="H69" s="15">
        <f>'الاستثمار'!O21</f>
        <v/>
      </c>
      <c r="I69" s="24">
        <f>'الاستثمار'!G21</f>
        <v/>
      </c>
      <c r="J69" s="15">
        <f>IF($G69="",0,$G69*$I69)</f>
        <v/>
      </c>
      <c r="K69" s="15">
        <f>IF($G69="",0,$I69)</f>
        <v/>
      </c>
      <c r="L69" s="13">
        <f>'الاستثمار'!B21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'الاستثمار'!C22</f>
        <v/>
      </c>
      <c r="D70" s="15">
        <f>'الاستثمار'!J22</f>
        <v/>
      </c>
      <c r="E70" s="13">
        <f>'الاستثمار'!K22</f>
        <v/>
      </c>
      <c r="F70" s="15">
        <f>'الاستثمار'!L22</f>
        <v/>
      </c>
      <c r="G70" s="56">
        <f>'الاستثمار'!N22</f>
        <v/>
      </c>
      <c r="H70" s="15">
        <f>'الاستثمار'!O22</f>
        <v/>
      </c>
      <c r="I70" s="24">
        <f>'الاستثمار'!G22</f>
        <v/>
      </c>
      <c r="J70" s="15">
        <f>IF($G70="",0,$G70*$I70)</f>
        <v/>
      </c>
      <c r="K70" s="15">
        <f>IF($G70="",0,$I70)</f>
        <v/>
      </c>
      <c r="L70" s="13">
        <f>'الاستثمار'!B22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'الاستثمار'!C23</f>
        <v/>
      </c>
      <c r="D71" s="15">
        <f>'الاستثمار'!J23</f>
        <v/>
      </c>
      <c r="E71" s="13">
        <f>'الاستثمار'!K23</f>
        <v/>
      </c>
      <c r="F71" s="15">
        <f>'الاستثمار'!L23</f>
        <v/>
      </c>
      <c r="G71" s="56">
        <f>'الاستثمار'!N23</f>
        <v/>
      </c>
      <c r="H71" s="15">
        <f>'الاستثمار'!O23</f>
        <v/>
      </c>
      <c r="I71" s="24">
        <f>'الاستثمار'!G23</f>
        <v/>
      </c>
      <c r="J71" s="15">
        <f>IF($G71="",0,$G71*$I71)</f>
        <v/>
      </c>
      <c r="K71" s="15">
        <f>IF($G71="",0,$I71)</f>
        <v/>
      </c>
      <c r="L71" s="13">
        <f>'الاستثمار'!B23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'الاستثمار'!C25</f>
        <v/>
      </c>
      <c r="D72" s="15">
        <f>'الاستثمار'!J25</f>
        <v/>
      </c>
      <c r="E72" s="13">
        <f>'الاستثمار'!K25</f>
        <v/>
      </c>
      <c r="F72" s="15">
        <f>'الاستثمار'!L25</f>
        <v/>
      </c>
      <c r="G72" s="56">
        <f>'الاستثمار'!N25</f>
        <v/>
      </c>
      <c r="H72" s="15">
        <f>'الاستثمار'!O25</f>
        <v/>
      </c>
      <c r="I72" s="24">
        <f>'الاستثمار'!G25</f>
        <v/>
      </c>
      <c r="J72" s="15">
        <f>IF($G72="",0,$G72*$I72)</f>
        <v/>
      </c>
      <c r="K72" s="15">
        <f>IF($G72="",0,$I72)</f>
        <v/>
      </c>
      <c r="L72" s="13">
        <f>'الاستثمار'!B25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'الاستثمار'!C26</f>
        <v/>
      </c>
      <c r="D73" s="15">
        <f>'الاستثمار'!J26</f>
        <v/>
      </c>
      <c r="E73" s="13">
        <f>'الاستثمار'!K26</f>
        <v/>
      </c>
      <c r="F73" s="15">
        <f>'الاستثمار'!L26</f>
        <v/>
      </c>
      <c r="G73" s="56">
        <f>'الاستثمار'!N26</f>
        <v/>
      </c>
      <c r="H73" s="15">
        <f>'الاستثمار'!O26</f>
        <v/>
      </c>
      <c r="I73" s="24">
        <f>'الاستثمار'!G26</f>
        <v/>
      </c>
      <c r="J73" s="15">
        <f>IF($G73="",0,$G73*$I73)</f>
        <v/>
      </c>
      <c r="K73" s="15">
        <f>IF($G73="",0,$I73)</f>
        <v/>
      </c>
      <c r="L73" s="13">
        <f>'الاستثمار'!B26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'الاستثمار'!C28</f>
        <v/>
      </c>
      <c r="D74" s="15">
        <f>'الاستثمار'!J28</f>
        <v/>
      </c>
      <c r="E74" s="13">
        <f>'الاستثمار'!K28</f>
        <v/>
      </c>
      <c r="F74" s="15">
        <f>'الاستثمار'!L28</f>
        <v/>
      </c>
      <c r="G74" s="56">
        <f>'الاستثمار'!N28</f>
        <v/>
      </c>
      <c r="H74" s="15">
        <f>'الاستثمار'!O28</f>
        <v/>
      </c>
      <c r="I74" s="24">
        <f>'الاستثمار'!G28</f>
        <v/>
      </c>
      <c r="J74" s="15">
        <f>IF($G74="",0,$G74*$I74)</f>
        <v/>
      </c>
      <c r="K74" s="15">
        <f>IF($G74="",0,$I74)</f>
        <v/>
      </c>
      <c r="L74" s="13">
        <f>'الاستثمار'!B28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'الاستثمار'!C29</f>
        <v/>
      </c>
      <c r="D75" s="15">
        <f>'الاستثمار'!J29</f>
        <v/>
      </c>
      <c r="E75" s="13">
        <f>'الاستثمار'!K29</f>
        <v/>
      </c>
      <c r="F75" s="15">
        <f>'الاستثمار'!L29</f>
        <v/>
      </c>
      <c r="G75" s="56">
        <f>'الاستثمار'!N29</f>
        <v/>
      </c>
      <c r="H75" s="15">
        <f>'الاستثمار'!O29</f>
        <v/>
      </c>
      <c r="I75" s="24">
        <f>'الاستثمار'!G29</f>
        <v/>
      </c>
      <c r="J75" s="15">
        <f>IF($G75="",0,$G75*$I75)</f>
        <v/>
      </c>
      <c r="K75" s="15">
        <f>IF($G75="",0,$I75)</f>
        <v/>
      </c>
      <c r="L75" s="13">
        <f>'الاستثمار'!B29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'الاستثمار'!C30</f>
        <v/>
      </c>
      <c r="D76" s="15">
        <f>'الاستثمار'!J30</f>
        <v/>
      </c>
      <c r="E76" s="13">
        <f>'الاستثمار'!K30</f>
        <v/>
      </c>
      <c r="F76" s="15">
        <f>'الاستثمار'!L30</f>
        <v/>
      </c>
      <c r="G76" s="56">
        <f>'الاستثمار'!N30</f>
        <v/>
      </c>
      <c r="H76" s="15">
        <f>'الاستثمار'!O30</f>
        <v/>
      </c>
      <c r="I76" s="24">
        <f>'الاستثمار'!G30</f>
        <v/>
      </c>
      <c r="J76" s="15">
        <f>IF($G76="",0,$G76*$I76)</f>
        <v/>
      </c>
      <c r="K76" s="15">
        <f>IF($G76="",0,$I76)</f>
        <v/>
      </c>
      <c r="L76" s="13">
        <f>'الاستثمار'!B30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'الاستثمار'!C31</f>
        <v/>
      </c>
      <c r="D77" s="15">
        <f>'الاستثمار'!J31</f>
        <v/>
      </c>
      <c r="E77" s="13">
        <f>'الاستثمار'!K31</f>
        <v/>
      </c>
      <c r="F77" s="15">
        <f>'الاستثمار'!L31</f>
        <v/>
      </c>
      <c r="G77" s="56">
        <f>'الاستثمار'!N31</f>
        <v/>
      </c>
      <c r="H77" s="15">
        <f>'الاستثمار'!O31</f>
        <v/>
      </c>
      <c r="I77" s="24">
        <f>'الاستثمار'!G31</f>
        <v/>
      </c>
      <c r="J77" s="15">
        <f>IF($G77="",0,$G77*$I77)</f>
        <v/>
      </c>
      <c r="K77" s="15">
        <f>IF($G77="",0,$I77)</f>
        <v/>
      </c>
      <c r="L77" s="13">
        <f>'الاستثمار'!B31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'الاستثمار'!C32</f>
        <v/>
      </c>
      <c r="D78" s="15">
        <f>'الاستثمار'!J32</f>
        <v/>
      </c>
      <c r="E78" s="13">
        <f>'الاستثمار'!K32</f>
        <v/>
      </c>
      <c r="F78" s="15">
        <f>'الاستثمار'!L32</f>
        <v/>
      </c>
      <c r="G78" s="56">
        <f>'الاستثمار'!N32</f>
        <v/>
      </c>
      <c r="H78" s="15">
        <f>'الاستثمار'!O32</f>
        <v/>
      </c>
      <c r="I78" s="24">
        <f>'الاستثمار'!G32</f>
        <v/>
      </c>
      <c r="J78" s="15">
        <f>IF($G78="",0,$G78*$I78)</f>
        <v/>
      </c>
      <c r="K78" s="15">
        <f>IF($G78="",0,$I78)</f>
        <v/>
      </c>
      <c r="L78" s="13">
        <f>'الاستثمار'!B32</f>
        <v/>
      </c>
    </row>
    <row r="79">
      <c r="A79" s="15" t="n">
        <v>78</v>
      </c>
      <c r="B79" s="13" t="inlineStr">
        <is>
          <t>العقار</t>
        </is>
      </c>
      <c r="C79" s="13">
        <f>'العقار'!C5</f>
        <v/>
      </c>
      <c r="D79" s="15">
        <f>'العقار'!J5</f>
        <v/>
      </c>
      <c r="E79" s="13">
        <f>'العقار'!K5</f>
        <v/>
      </c>
      <c r="F79" s="15">
        <f>'العقار'!L5</f>
        <v/>
      </c>
      <c r="G79" s="56">
        <f>'العقار'!N5</f>
        <v/>
      </c>
      <c r="H79" s="15">
        <f>'العقار'!O5</f>
        <v/>
      </c>
      <c r="I79" s="24">
        <f>'العقار'!G5</f>
        <v/>
      </c>
      <c r="J79" s="15">
        <f>IF($G79="",0,$G79*$I79)</f>
        <v/>
      </c>
      <c r="K79" s="15">
        <f>IF($G79="",0,$I79)</f>
        <v/>
      </c>
      <c r="L79" s="13">
        <f>'العقار'!B5</f>
        <v/>
      </c>
    </row>
    <row r="80">
      <c r="A80" s="15" t="n">
        <v>79</v>
      </c>
      <c r="B80" s="13" t="inlineStr">
        <is>
          <t>العقار</t>
        </is>
      </c>
      <c r="C80" s="13">
        <f>'العقار'!C6</f>
        <v/>
      </c>
      <c r="D80" s="15">
        <f>'العقار'!J6</f>
        <v/>
      </c>
      <c r="E80" s="13">
        <f>'العقار'!K6</f>
        <v/>
      </c>
      <c r="F80" s="15">
        <f>'العقار'!L6</f>
        <v/>
      </c>
      <c r="G80" s="56">
        <f>'العقار'!N6</f>
        <v/>
      </c>
      <c r="H80" s="15">
        <f>'العقار'!O6</f>
        <v/>
      </c>
      <c r="I80" s="24">
        <f>'العقار'!G6</f>
        <v/>
      </c>
      <c r="J80" s="15">
        <f>IF($G80="",0,$G80*$I80)</f>
        <v/>
      </c>
      <c r="K80" s="15">
        <f>IF($G80="",0,$I80)</f>
        <v/>
      </c>
      <c r="L80" s="13">
        <f>'العقار'!B6</f>
        <v/>
      </c>
    </row>
    <row r="81">
      <c r="A81" s="15" t="n">
        <v>80</v>
      </c>
      <c r="B81" s="13" t="inlineStr">
        <is>
          <t>العقار</t>
        </is>
      </c>
      <c r="C81" s="13">
        <f>'العقار'!C7</f>
        <v/>
      </c>
      <c r="D81" s="15">
        <f>'العقار'!J7</f>
        <v/>
      </c>
      <c r="E81" s="13">
        <f>'العقار'!K7</f>
        <v/>
      </c>
      <c r="F81" s="15">
        <f>'العقار'!L7</f>
        <v/>
      </c>
      <c r="G81" s="56">
        <f>'العقار'!N7</f>
        <v/>
      </c>
      <c r="H81" s="15">
        <f>'العقار'!O7</f>
        <v/>
      </c>
      <c r="I81" s="24">
        <f>'العقار'!G7</f>
        <v/>
      </c>
      <c r="J81" s="15">
        <f>IF($G81="",0,$G81*$I81)</f>
        <v/>
      </c>
      <c r="K81" s="15">
        <f>IF($G81="",0,$I81)</f>
        <v/>
      </c>
      <c r="L81" s="13">
        <f>'العقار'!B7</f>
        <v/>
      </c>
    </row>
    <row r="82">
      <c r="A82" s="15" t="n">
        <v>81</v>
      </c>
      <c r="B82" s="13" t="inlineStr">
        <is>
          <t>العقار</t>
        </is>
      </c>
      <c r="C82" s="13">
        <f>'العقار'!C9</f>
        <v/>
      </c>
      <c r="D82" s="15">
        <f>'العقار'!J9</f>
        <v/>
      </c>
      <c r="E82" s="13">
        <f>'العقار'!K9</f>
        <v/>
      </c>
      <c r="F82" s="15">
        <f>'العقار'!L9</f>
        <v/>
      </c>
      <c r="G82" s="56">
        <f>'العقار'!N9</f>
        <v/>
      </c>
      <c r="H82" s="15">
        <f>'العقار'!O9</f>
        <v/>
      </c>
      <c r="I82" s="24">
        <f>'العقار'!G9</f>
        <v/>
      </c>
      <c r="J82" s="15">
        <f>IF($G82="",0,$G82*$I82)</f>
        <v/>
      </c>
      <c r="K82" s="15">
        <f>IF($G82="",0,$I82)</f>
        <v/>
      </c>
      <c r="L82" s="13">
        <f>'العقار'!B9</f>
        <v/>
      </c>
    </row>
    <row r="83">
      <c r="A83" s="15" t="n">
        <v>82</v>
      </c>
      <c r="B83" s="13" t="inlineStr">
        <is>
          <t>العقار</t>
        </is>
      </c>
      <c r="C83" s="13">
        <f>'العقار'!C10</f>
        <v/>
      </c>
      <c r="D83" s="15">
        <f>'العقار'!J10</f>
        <v/>
      </c>
      <c r="E83" s="13">
        <f>'العقار'!K10</f>
        <v/>
      </c>
      <c r="F83" s="15">
        <f>'العقار'!L10</f>
        <v/>
      </c>
      <c r="G83" s="56">
        <f>'العقار'!N10</f>
        <v/>
      </c>
      <c r="H83" s="15">
        <f>'العقار'!O10</f>
        <v/>
      </c>
      <c r="I83" s="24">
        <f>'العقار'!G10</f>
        <v/>
      </c>
      <c r="J83" s="15">
        <f>IF($G83="",0,$G83*$I83)</f>
        <v/>
      </c>
      <c r="K83" s="15">
        <f>IF($G83="",0,$I83)</f>
        <v/>
      </c>
      <c r="L83" s="13">
        <f>'العقار'!B10</f>
        <v/>
      </c>
    </row>
    <row r="84">
      <c r="A84" s="15" t="n">
        <v>83</v>
      </c>
      <c r="B84" s="13" t="inlineStr">
        <is>
          <t>العقار</t>
        </is>
      </c>
      <c r="C84" s="13">
        <f>'العقار'!C11</f>
        <v/>
      </c>
      <c r="D84" s="15">
        <f>'العقار'!J11</f>
        <v/>
      </c>
      <c r="E84" s="13">
        <f>'العقار'!K11</f>
        <v/>
      </c>
      <c r="F84" s="15">
        <f>'العقار'!L11</f>
        <v/>
      </c>
      <c r="G84" s="56">
        <f>'العقار'!N11</f>
        <v/>
      </c>
      <c r="H84" s="15">
        <f>'العقار'!O11</f>
        <v/>
      </c>
      <c r="I84" s="24">
        <f>'العقار'!G11</f>
        <v/>
      </c>
      <c r="J84" s="15">
        <f>IF($G84="",0,$G84*$I84)</f>
        <v/>
      </c>
      <c r="K84" s="15">
        <f>IF($G84="",0,$I84)</f>
        <v/>
      </c>
      <c r="L84" s="13">
        <f>'العقار'!B11</f>
        <v/>
      </c>
    </row>
    <row r="85">
      <c r="A85" s="15" t="n">
        <v>84</v>
      </c>
      <c r="B85" s="13" t="inlineStr">
        <is>
          <t>العقار</t>
        </is>
      </c>
      <c r="C85" s="13">
        <f>'العقار'!C12</f>
        <v/>
      </c>
      <c r="D85" s="15">
        <f>'العقار'!J12</f>
        <v/>
      </c>
      <c r="E85" s="13">
        <f>'العقار'!K12</f>
        <v/>
      </c>
      <c r="F85" s="15">
        <f>'العقار'!L12</f>
        <v/>
      </c>
      <c r="G85" s="56">
        <f>'العقار'!N12</f>
        <v/>
      </c>
      <c r="H85" s="15">
        <f>'العقار'!O12</f>
        <v/>
      </c>
      <c r="I85" s="24">
        <f>'العقار'!G12</f>
        <v/>
      </c>
      <c r="J85" s="15">
        <f>IF($G85="",0,$G85*$I85)</f>
        <v/>
      </c>
      <c r="K85" s="15">
        <f>IF($G85="",0,$I85)</f>
        <v/>
      </c>
      <c r="L85" s="13">
        <f>'العقار'!B12</f>
        <v/>
      </c>
    </row>
    <row r="86">
      <c r="A86" s="15" t="n">
        <v>85</v>
      </c>
      <c r="B86" s="13" t="inlineStr">
        <is>
          <t>العقار</t>
        </is>
      </c>
      <c r="C86" s="13">
        <f>'العقار'!C13</f>
        <v/>
      </c>
      <c r="D86" s="15">
        <f>'العقار'!J13</f>
        <v/>
      </c>
      <c r="E86" s="13">
        <f>'العقار'!K13</f>
        <v/>
      </c>
      <c r="F86" s="15">
        <f>'العقار'!L13</f>
        <v/>
      </c>
      <c r="G86" s="56">
        <f>'العقار'!N13</f>
        <v/>
      </c>
      <c r="H86" s="15">
        <f>'العقار'!O13</f>
        <v/>
      </c>
      <c r="I86" s="24">
        <f>'العقار'!G13</f>
        <v/>
      </c>
      <c r="J86" s="15">
        <f>IF($G86="",0,$G86*$I86)</f>
        <v/>
      </c>
      <c r="K86" s="15">
        <f>IF($G86="",0,$I86)</f>
        <v/>
      </c>
      <c r="L86" s="13">
        <f>'العقار'!B13</f>
        <v/>
      </c>
    </row>
    <row r="87">
      <c r="A87" s="15" t="n">
        <v>86</v>
      </c>
      <c r="B87" s="13" t="inlineStr">
        <is>
          <t>العقار</t>
        </is>
      </c>
      <c r="C87" s="13">
        <f>'العقار'!C15</f>
        <v/>
      </c>
      <c r="D87" s="15">
        <f>'العقار'!J15</f>
        <v/>
      </c>
      <c r="E87" s="13">
        <f>'العقار'!K15</f>
        <v/>
      </c>
      <c r="F87" s="15">
        <f>'العقار'!L15</f>
        <v/>
      </c>
      <c r="G87" s="56">
        <f>'العقار'!N15</f>
        <v/>
      </c>
      <c r="H87" s="15">
        <f>'العقار'!O15</f>
        <v/>
      </c>
      <c r="I87" s="24">
        <f>'العقار'!G15</f>
        <v/>
      </c>
      <c r="J87" s="15">
        <f>IF($G87="",0,$G87*$I87)</f>
        <v/>
      </c>
      <c r="K87" s="15">
        <f>IF($G87="",0,$I87)</f>
        <v/>
      </c>
      <c r="L87" s="13">
        <f>'العقار'!B15</f>
        <v/>
      </c>
    </row>
    <row r="88">
      <c r="A88" s="15" t="n">
        <v>87</v>
      </c>
      <c r="B88" s="13" t="inlineStr">
        <is>
          <t>العقار</t>
        </is>
      </c>
      <c r="C88" s="13">
        <f>'العقار'!C16</f>
        <v/>
      </c>
      <c r="D88" s="15">
        <f>'العقار'!J16</f>
        <v/>
      </c>
      <c r="E88" s="13">
        <f>'العقار'!K16</f>
        <v/>
      </c>
      <c r="F88" s="15">
        <f>'العقار'!L16</f>
        <v/>
      </c>
      <c r="G88" s="56">
        <f>'العقار'!N16</f>
        <v/>
      </c>
      <c r="H88" s="15">
        <f>'العقار'!O16</f>
        <v/>
      </c>
      <c r="I88" s="24">
        <f>'العقار'!G16</f>
        <v/>
      </c>
      <c r="J88" s="15">
        <f>IF($G88="",0,$G88*$I88)</f>
        <v/>
      </c>
      <c r="K88" s="15">
        <f>IF($G88="",0,$I88)</f>
        <v/>
      </c>
      <c r="L88" s="13">
        <f>'العقار'!B16</f>
        <v/>
      </c>
    </row>
    <row r="89">
      <c r="A89" s="15" t="n">
        <v>88</v>
      </c>
      <c r="B89" s="13" t="inlineStr">
        <is>
          <t>العقار</t>
        </is>
      </c>
      <c r="C89" s="13">
        <f>'العقار'!C17</f>
        <v/>
      </c>
      <c r="D89" s="15">
        <f>'العقار'!J17</f>
        <v/>
      </c>
      <c r="E89" s="13">
        <f>'العقار'!K17</f>
        <v/>
      </c>
      <c r="F89" s="15">
        <f>'العقار'!L17</f>
        <v/>
      </c>
      <c r="G89" s="56">
        <f>'العقار'!N17</f>
        <v/>
      </c>
      <c r="H89" s="15">
        <f>'العقار'!O17</f>
        <v/>
      </c>
      <c r="I89" s="24">
        <f>'العقار'!G17</f>
        <v/>
      </c>
      <c r="J89" s="15">
        <f>IF($G89="",0,$G89*$I89)</f>
        <v/>
      </c>
      <c r="K89" s="15">
        <f>IF($G89="",0,$I89)</f>
        <v/>
      </c>
      <c r="L89" s="13">
        <f>'العقار'!B17</f>
        <v/>
      </c>
    </row>
    <row r="90">
      <c r="A90" s="15" t="n">
        <v>89</v>
      </c>
      <c r="B90" s="13" t="inlineStr">
        <is>
          <t>العقار</t>
        </is>
      </c>
      <c r="C90" s="13">
        <f>'العقار'!C18</f>
        <v/>
      </c>
      <c r="D90" s="15">
        <f>'العقار'!J18</f>
        <v/>
      </c>
      <c r="E90" s="13">
        <f>'العقار'!K18</f>
        <v/>
      </c>
      <c r="F90" s="15">
        <f>'العقار'!L18</f>
        <v/>
      </c>
      <c r="G90" s="56">
        <f>'العقار'!N18</f>
        <v/>
      </c>
      <c r="H90" s="15">
        <f>'العقار'!O18</f>
        <v/>
      </c>
      <c r="I90" s="24">
        <f>'العقار'!G18</f>
        <v/>
      </c>
      <c r="J90" s="15">
        <f>IF($G90="",0,$G90*$I90)</f>
        <v/>
      </c>
      <c r="K90" s="15">
        <f>IF($G90="",0,$I90)</f>
        <v/>
      </c>
      <c r="L90" s="13">
        <f>'العقار'!B18</f>
        <v/>
      </c>
    </row>
    <row r="91">
      <c r="A91" s="15" t="n">
        <v>90</v>
      </c>
      <c r="B91" s="13" t="inlineStr">
        <is>
          <t>العقار</t>
        </is>
      </c>
      <c r="C91" s="13">
        <f>'العقار'!C20</f>
        <v/>
      </c>
      <c r="D91" s="15">
        <f>'العقار'!J20</f>
        <v/>
      </c>
      <c r="E91" s="13">
        <f>'العقار'!K20</f>
        <v/>
      </c>
      <c r="F91" s="15">
        <f>'العقار'!L20</f>
        <v/>
      </c>
      <c r="G91" s="56">
        <f>'العقار'!N20</f>
        <v/>
      </c>
      <c r="H91" s="15">
        <f>'العقار'!O20</f>
        <v/>
      </c>
      <c r="I91" s="24">
        <f>'العقار'!G20</f>
        <v/>
      </c>
      <c r="J91" s="15">
        <f>IF($G91="",0,$G91*$I91)</f>
        <v/>
      </c>
      <c r="K91" s="15">
        <f>IF($G91="",0,$I91)</f>
        <v/>
      </c>
      <c r="L91" s="13">
        <f>'العقار'!B20</f>
        <v/>
      </c>
    </row>
    <row r="92">
      <c r="A92" s="15" t="n">
        <v>91</v>
      </c>
      <c r="B92" s="13" t="inlineStr">
        <is>
          <t>العقار</t>
        </is>
      </c>
      <c r="C92" s="13">
        <f>'العقار'!C21</f>
        <v/>
      </c>
      <c r="D92" s="15">
        <f>'العقار'!J21</f>
        <v/>
      </c>
      <c r="E92" s="13">
        <f>'العقار'!K21</f>
        <v/>
      </c>
      <c r="F92" s="15">
        <f>'العقار'!L21</f>
        <v/>
      </c>
      <c r="G92" s="56">
        <f>'العقار'!N21</f>
        <v/>
      </c>
      <c r="H92" s="15">
        <f>'العقار'!O21</f>
        <v/>
      </c>
      <c r="I92" s="24">
        <f>'العقار'!G21</f>
        <v/>
      </c>
      <c r="J92" s="15">
        <f>IF($G92="",0,$G92*$I92)</f>
        <v/>
      </c>
      <c r="K92" s="15">
        <f>IF($G92="",0,$I92)</f>
        <v/>
      </c>
      <c r="L92" s="13">
        <f>'العقار'!B21</f>
        <v/>
      </c>
    </row>
    <row r="93">
      <c r="A93" s="15" t="n">
        <v>92</v>
      </c>
      <c r="B93" s="13" t="inlineStr">
        <is>
          <t>العقار</t>
        </is>
      </c>
      <c r="C93" s="13">
        <f>'العقار'!C23</f>
        <v/>
      </c>
      <c r="D93" s="15">
        <f>'العقار'!J23</f>
        <v/>
      </c>
      <c r="E93" s="13">
        <f>'العقار'!K23</f>
        <v/>
      </c>
      <c r="F93" s="15">
        <f>'العقار'!L23</f>
        <v/>
      </c>
      <c r="G93" s="56">
        <f>'العقار'!N23</f>
        <v/>
      </c>
      <c r="H93" s="15">
        <f>'العقار'!O23</f>
        <v/>
      </c>
      <c r="I93" s="24">
        <f>'العقار'!G23</f>
        <v/>
      </c>
      <c r="J93" s="15">
        <f>IF($G93="",0,$G93*$I93)</f>
        <v/>
      </c>
      <c r="K93" s="15">
        <f>IF($G93="",0,$I93)</f>
        <v/>
      </c>
      <c r="L93" s="13">
        <f>'العقار'!B23</f>
        <v/>
      </c>
    </row>
    <row r="94">
      <c r="A94" s="15" t="n">
        <v>93</v>
      </c>
      <c r="B94" s="13" t="inlineStr">
        <is>
          <t>العقار</t>
        </is>
      </c>
      <c r="C94" s="13">
        <f>'العقار'!C24</f>
        <v/>
      </c>
      <c r="D94" s="15">
        <f>'العقار'!J24</f>
        <v/>
      </c>
      <c r="E94" s="13">
        <f>'العقار'!K24</f>
        <v/>
      </c>
      <c r="F94" s="15">
        <f>'العقار'!L24</f>
        <v/>
      </c>
      <c r="G94" s="56">
        <f>'العقار'!N24</f>
        <v/>
      </c>
      <c r="H94" s="15">
        <f>'العقار'!O24</f>
        <v/>
      </c>
      <c r="I94" s="24">
        <f>'العقار'!G24</f>
        <v/>
      </c>
      <c r="J94" s="15">
        <f>IF($G94="",0,$G94*$I94)</f>
        <v/>
      </c>
      <c r="K94" s="15">
        <f>IF($G94="",0,$I94)</f>
        <v/>
      </c>
      <c r="L94" s="13">
        <f>'العقار'!B24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المشاريع'!C5</f>
        <v/>
      </c>
      <c r="D95" s="15">
        <f>'إدارة المشاريع'!J5</f>
        <v/>
      </c>
      <c r="E95" s="13">
        <f>'إدارة المشاريع'!K5</f>
        <v/>
      </c>
      <c r="F95" s="15">
        <f>'إدارة المشاريع'!L5</f>
        <v/>
      </c>
      <c r="G95" s="56">
        <f>'إدارة المشاريع'!N5</f>
        <v/>
      </c>
      <c r="H95" s="15">
        <f>'إدارة المشاريع'!O5</f>
        <v/>
      </c>
      <c r="I95" s="24">
        <f>'إدارة المشاريع'!G5</f>
        <v/>
      </c>
      <c r="J95" s="15">
        <f>IF($G95="",0,$G95*$I95)</f>
        <v/>
      </c>
      <c r="K95" s="15">
        <f>IF($G95="",0,$I95)</f>
        <v/>
      </c>
      <c r="L95" s="13">
        <f>'إدارة المشاريع'!B5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المشاريع'!C6</f>
        <v/>
      </c>
      <c r="D96" s="15">
        <f>'إدارة المشاريع'!J6</f>
        <v/>
      </c>
      <c r="E96" s="13">
        <f>'إدارة المشاريع'!K6</f>
        <v/>
      </c>
      <c r="F96" s="15">
        <f>'إدارة المشاريع'!L6</f>
        <v/>
      </c>
      <c r="G96" s="56">
        <f>'إدارة المشاريع'!N6</f>
        <v/>
      </c>
      <c r="H96" s="15">
        <f>'إدارة المشاريع'!O6</f>
        <v/>
      </c>
      <c r="I96" s="24">
        <f>'إدارة المشاريع'!G6</f>
        <v/>
      </c>
      <c r="J96" s="15">
        <f>IF($G96="",0,$G96*$I96)</f>
        <v/>
      </c>
      <c r="K96" s="15">
        <f>IF($G96="",0,$I96)</f>
        <v/>
      </c>
      <c r="L96" s="13">
        <f>'إدارة المشاريع'!B6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المشاريع'!C7</f>
        <v/>
      </c>
      <c r="D97" s="15">
        <f>'إدارة المشاريع'!J7</f>
        <v/>
      </c>
      <c r="E97" s="13">
        <f>'إدارة المشاريع'!K7</f>
        <v/>
      </c>
      <c r="F97" s="15">
        <f>'إدارة المشاريع'!L7</f>
        <v/>
      </c>
      <c r="G97" s="56">
        <f>'إدارة المشاريع'!N7</f>
        <v/>
      </c>
      <c r="H97" s="15">
        <f>'إدارة المشاريع'!O7</f>
        <v/>
      </c>
      <c r="I97" s="24">
        <f>'إدارة المشاريع'!G7</f>
        <v/>
      </c>
      <c r="J97" s="15">
        <f>IF($G97="",0,$G97*$I97)</f>
        <v/>
      </c>
      <c r="K97" s="15">
        <f>IF($G97="",0,$I97)</f>
        <v/>
      </c>
      <c r="L97" s="13">
        <f>'إدارة المشاريع'!B7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المشاريع'!C8</f>
        <v/>
      </c>
      <c r="D98" s="15">
        <f>'إدارة المشاريع'!J8</f>
        <v/>
      </c>
      <c r="E98" s="13">
        <f>'إدارة المشاريع'!K8</f>
        <v/>
      </c>
      <c r="F98" s="15">
        <f>'إدارة المشاريع'!L8</f>
        <v/>
      </c>
      <c r="G98" s="56">
        <f>'إدارة المشاريع'!N8</f>
        <v/>
      </c>
      <c r="H98" s="15">
        <f>'إدارة المشاريع'!O8</f>
        <v/>
      </c>
      <c r="I98" s="24">
        <f>'إدارة المشاريع'!G8</f>
        <v/>
      </c>
      <c r="J98" s="15">
        <f>IF($G98="",0,$G98*$I98)</f>
        <v/>
      </c>
      <c r="K98" s="15">
        <f>IF($G98="",0,$I98)</f>
        <v/>
      </c>
      <c r="L98" s="13">
        <f>'إدارة المشاريع'!B8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المشاريع'!C10</f>
        <v/>
      </c>
      <c r="D99" s="15">
        <f>'إدارة المشاريع'!J10</f>
        <v/>
      </c>
      <c r="E99" s="13">
        <f>'إدارة المشاريع'!K10</f>
        <v/>
      </c>
      <c r="F99" s="15">
        <f>'إدارة المشاريع'!L10</f>
        <v/>
      </c>
      <c r="G99" s="56">
        <f>'إدارة المشاريع'!N10</f>
        <v/>
      </c>
      <c r="H99" s="15">
        <f>'إدارة المشاريع'!O10</f>
        <v/>
      </c>
      <c r="I99" s="24">
        <f>'إدارة المشاريع'!G10</f>
        <v/>
      </c>
      <c r="J99" s="15">
        <f>IF($G99="",0,$G99*$I99)</f>
        <v/>
      </c>
      <c r="K99" s="15">
        <f>IF($G99="",0,$I99)</f>
        <v/>
      </c>
      <c r="L99" s="13">
        <f>'إدارة المشاريع'!B10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المشاريع'!C11</f>
        <v/>
      </c>
      <c r="D100" s="15">
        <f>'إدارة المشاريع'!J11</f>
        <v/>
      </c>
      <c r="E100" s="13">
        <f>'إدارة المشاريع'!K11</f>
        <v/>
      </c>
      <c r="F100" s="15">
        <f>'إدارة المشاريع'!L11</f>
        <v/>
      </c>
      <c r="G100" s="56">
        <f>'إدارة المشاريع'!N11</f>
        <v/>
      </c>
      <c r="H100" s="15">
        <f>'إدارة المشاريع'!O11</f>
        <v/>
      </c>
      <c r="I100" s="24">
        <f>'إدارة المشاريع'!G11</f>
        <v/>
      </c>
      <c r="J100" s="15">
        <f>IF($G100="",0,$G100*$I100)</f>
        <v/>
      </c>
      <c r="K100" s="15">
        <f>IF($G100="",0,$I100)</f>
        <v/>
      </c>
      <c r="L100" s="13">
        <f>'إدارة المشاريع'!B11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المشاريع'!C12</f>
        <v/>
      </c>
      <c r="D101" s="15">
        <f>'إدارة المشاريع'!J12</f>
        <v/>
      </c>
      <c r="E101" s="13">
        <f>'إدارة المشاريع'!K12</f>
        <v/>
      </c>
      <c r="F101" s="15">
        <f>'إدارة المشاريع'!L12</f>
        <v/>
      </c>
      <c r="G101" s="56">
        <f>'إدارة المشاريع'!N12</f>
        <v/>
      </c>
      <c r="H101" s="15">
        <f>'إدارة المشاريع'!O12</f>
        <v/>
      </c>
      <c r="I101" s="24">
        <f>'إدارة المشاريع'!G12</f>
        <v/>
      </c>
      <c r="J101" s="15">
        <f>IF($G101="",0,$G101*$I101)</f>
        <v/>
      </c>
      <c r="K101" s="15">
        <f>IF($G101="",0,$I101)</f>
        <v/>
      </c>
      <c r="L101" s="13">
        <f>'إدارة المشاريع'!B12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المشاريع'!C13</f>
        <v/>
      </c>
      <c r="D102" s="15">
        <f>'إدارة المشاريع'!J13</f>
        <v/>
      </c>
      <c r="E102" s="13">
        <f>'إدارة المشاريع'!K13</f>
        <v/>
      </c>
      <c r="F102" s="15">
        <f>'إدارة المشاريع'!L13</f>
        <v/>
      </c>
      <c r="G102" s="56">
        <f>'إدارة المشاريع'!N13</f>
        <v/>
      </c>
      <c r="H102" s="15">
        <f>'إدارة المشاريع'!O13</f>
        <v/>
      </c>
      <c r="I102" s="24">
        <f>'إدارة المشاريع'!G13</f>
        <v/>
      </c>
      <c r="J102" s="15">
        <f>IF($G102="",0,$G102*$I102)</f>
        <v/>
      </c>
      <c r="K102" s="15">
        <f>IF($G102="",0,$I102)</f>
        <v/>
      </c>
      <c r="L102" s="13">
        <f>'إدارة المشاريع'!B13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المشاريع'!C15</f>
        <v/>
      </c>
      <c r="D103" s="15">
        <f>'إدارة المشاريع'!J15</f>
        <v/>
      </c>
      <c r="E103" s="13">
        <f>'إدارة المشاريع'!K15</f>
        <v/>
      </c>
      <c r="F103" s="15">
        <f>'إدارة المشاريع'!L15</f>
        <v/>
      </c>
      <c r="G103" s="56">
        <f>'إدارة المشاريع'!N15</f>
        <v/>
      </c>
      <c r="H103" s="15">
        <f>'إدارة المشاريع'!O15</f>
        <v/>
      </c>
      <c r="I103" s="24">
        <f>'إدارة المشاريع'!G15</f>
        <v/>
      </c>
      <c r="J103" s="15">
        <f>IF($G103="",0,$G103*$I103)</f>
        <v/>
      </c>
      <c r="K103" s="15">
        <f>IF($G103="",0,$I103)</f>
        <v/>
      </c>
      <c r="L103" s="13">
        <f>'إدارة المشاريع'!B15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المشاريع'!C16</f>
        <v/>
      </c>
      <c r="D104" s="15">
        <f>'إدارة المشاريع'!J16</f>
        <v/>
      </c>
      <c r="E104" s="13">
        <f>'إدارة المشاريع'!K16</f>
        <v/>
      </c>
      <c r="F104" s="15">
        <f>'إدارة المشاريع'!L16</f>
        <v/>
      </c>
      <c r="G104" s="56">
        <f>'إدارة المشاريع'!N16</f>
        <v/>
      </c>
      <c r="H104" s="15">
        <f>'إدارة المشاريع'!O16</f>
        <v/>
      </c>
      <c r="I104" s="24">
        <f>'إدارة المشاريع'!G16</f>
        <v/>
      </c>
      <c r="J104" s="15">
        <f>IF($G104="",0,$G104*$I104)</f>
        <v/>
      </c>
      <c r="K104" s="15">
        <f>IF($G104="",0,$I104)</f>
        <v/>
      </c>
      <c r="L104" s="13">
        <f>'إدارة المشاريع'!B16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المشاريع'!C17</f>
        <v/>
      </c>
      <c r="D105" s="15">
        <f>'إدارة المشاريع'!J17</f>
        <v/>
      </c>
      <c r="E105" s="13">
        <f>'إدارة المشاريع'!K17</f>
        <v/>
      </c>
      <c r="F105" s="15">
        <f>'إدارة المشاريع'!L17</f>
        <v/>
      </c>
      <c r="G105" s="56">
        <f>'إدارة المشاريع'!N17</f>
        <v/>
      </c>
      <c r="H105" s="15">
        <f>'إدارة المشاريع'!O17</f>
        <v/>
      </c>
      <c r="I105" s="24">
        <f>'إدارة المشاريع'!G17</f>
        <v/>
      </c>
      <c r="J105" s="15">
        <f>IF($G105="",0,$G105*$I105)</f>
        <v/>
      </c>
      <c r="K105" s="15">
        <f>IF($G105="",0,$I105)</f>
        <v/>
      </c>
      <c r="L105" s="13">
        <f>'إدارة المشاريع'!B17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المشاريع'!C19</f>
        <v/>
      </c>
      <c r="D106" s="15">
        <f>'إدارة المشاريع'!J19</f>
        <v/>
      </c>
      <c r="E106" s="13">
        <f>'إدارة المشاريع'!K19</f>
        <v/>
      </c>
      <c r="F106" s="15">
        <f>'إدارة المشاريع'!L19</f>
        <v/>
      </c>
      <c r="G106" s="56">
        <f>'إدارة المشاريع'!N19</f>
        <v/>
      </c>
      <c r="H106" s="15">
        <f>'إدارة المشاريع'!O19</f>
        <v/>
      </c>
      <c r="I106" s="24">
        <f>'إدارة المشاريع'!G19</f>
        <v/>
      </c>
      <c r="J106" s="15">
        <f>IF($G106="",0,$G106*$I106)</f>
        <v/>
      </c>
      <c r="K106" s="15">
        <f>IF($G106="",0,$I106)</f>
        <v/>
      </c>
      <c r="L106" s="13">
        <f>'إدارة المشاريع'!B19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المشاريع'!C20</f>
        <v/>
      </c>
      <c r="D107" s="15">
        <f>'إدارة المشاريع'!J20</f>
        <v/>
      </c>
      <c r="E107" s="13">
        <f>'إدارة المشاريع'!K20</f>
        <v/>
      </c>
      <c r="F107" s="15">
        <f>'إدارة المشاريع'!L20</f>
        <v/>
      </c>
      <c r="G107" s="56">
        <f>'إدارة المشاريع'!N20</f>
        <v/>
      </c>
      <c r="H107" s="15">
        <f>'إدارة المشاريع'!O20</f>
        <v/>
      </c>
      <c r="I107" s="24">
        <f>'إدارة المشاريع'!G20</f>
        <v/>
      </c>
      <c r="J107" s="15">
        <f>IF($G107="",0,$G107*$I107)</f>
        <v/>
      </c>
      <c r="K107" s="15">
        <f>IF($G107="",0,$I107)</f>
        <v/>
      </c>
      <c r="L107" s="13">
        <f>'إدارة المشاريع'!B20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المشاريع'!C21</f>
        <v/>
      </c>
      <c r="D108" s="15">
        <f>'إدارة المشاريع'!J21</f>
        <v/>
      </c>
      <c r="E108" s="13">
        <f>'إدارة المشاريع'!K21</f>
        <v/>
      </c>
      <c r="F108" s="15">
        <f>'إدارة المشاريع'!L21</f>
        <v/>
      </c>
      <c r="G108" s="56">
        <f>'إدارة المشاريع'!N21</f>
        <v/>
      </c>
      <c r="H108" s="15">
        <f>'إدارة المشاريع'!O21</f>
        <v/>
      </c>
      <c r="I108" s="24">
        <f>'إدارة المشاريع'!G21</f>
        <v/>
      </c>
      <c r="J108" s="15">
        <f>IF($G108="",0,$G108*$I108)</f>
        <v/>
      </c>
      <c r="K108" s="15">
        <f>IF($G108="",0,$I108)</f>
        <v/>
      </c>
      <c r="L108" s="13">
        <f>'إدارة المشاريع'!B21</f>
        <v/>
      </c>
    </row>
    <row r="109">
      <c r="A109" s="15" t="n">
        <v>108</v>
      </c>
      <c r="B109" s="13" t="inlineStr">
        <is>
          <t>سلاسل الإمداد</t>
        </is>
      </c>
      <c r="C109" s="13">
        <f>'سلاسل الإمداد'!C5</f>
        <v/>
      </c>
      <c r="D109" s="15">
        <f>'سلاسل الإمداد'!J5</f>
        <v/>
      </c>
      <c r="E109" s="13">
        <f>'سلاسل الإمداد'!K5</f>
        <v/>
      </c>
      <c r="F109" s="15">
        <f>'سلاسل الإمداد'!L5</f>
        <v/>
      </c>
      <c r="G109" s="56">
        <f>'سلاسل الإمداد'!N5</f>
        <v/>
      </c>
      <c r="H109" s="15">
        <f>'سلاسل الإمداد'!O5</f>
        <v/>
      </c>
      <c r="I109" s="24">
        <f>'سلاسل الإمداد'!G5</f>
        <v/>
      </c>
      <c r="J109" s="15">
        <f>IF($G109="",0,$G109*$I109)</f>
        <v/>
      </c>
      <c r="K109" s="15">
        <f>IF($G109="",0,$I109)</f>
        <v/>
      </c>
      <c r="L109" s="13">
        <f>'سلاسل الإمداد'!B5</f>
        <v/>
      </c>
    </row>
    <row r="110">
      <c r="A110" s="15" t="n">
        <v>109</v>
      </c>
      <c r="B110" s="13" t="inlineStr">
        <is>
          <t>سلاسل الإمداد</t>
        </is>
      </c>
      <c r="C110" s="13">
        <f>'سلاسل الإمداد'!C6</f>
        <v/>
      </c>
      <c r="D110" s="15">
        <f>'سلاسل الإمداد'!J6</f>
        <v/>
      </c>
      <c r="E110" s="13">
        <f>'سلاسل الإمداد'!K6</f>
        <v/>
      </c>
      <c r="F110" s="15">
        <f>'سلاسل الإمداد'!L6</f>
        <v/>
      </c>
      <c r="G110" s="56">
        <f>'سلاسل الإمداد'!N6</f>
        <v/>
      </c>
      <c r="H110" s="15">
        <f>'سلاسل الإمداد'!O6</f>
        <v/>
      </c>
      <c r="I110" s="24">
        <f>'سلاسل الإمداد'!G6</f>
        <v/>
      </c>
      <c r="J110" s="15">
        <f>IF($G110="",0,$G110*$I110)</f>
        <v/>
      </c>
      <c r="K110" s="15">
        <f>IF($G110="",0,$I110)</f>
        <v/>
      </c>
      <c r="L110" s="13">
        <f>'سلاسل الإمداد'!B6</f>
        <v/>
      </c>
    </row>
    <row r="111">
      <c r="A111" s="15" t="n">
        <v>110</v>
      </c>
      <c r="B111" s="13" t="inlineStr">
        <is>
          <t>سلاسل الإمداد</t>
        </is>
      </c>
      <c r="C111" s="13">
        <f>'سلاسل الإمداد'!C8</f>
        <v/>
      </c>
      <c r="D111" s="15">
        <f>'سلاسل الإمداد'!J8</f>
        <v/>
      </c>
      <c r="E111" s="13">
        <f>'سلاسل الإمداد'!K8</f>
        <v/>
      </c>
      <c r="F111" s="15">
        <f>'سلاسل الإمداد'!L8</f>
        <v/>
      </c>
      <c r="G111" s="56">
        <f>'سلاسل الإمداد'!N8</f>
        <v/>
      </c>
      <c r="H111" s="15">
        <f>'سلاسل الإمداد'!O8</f>
        <v/>
      </c>
      <c r="I111" s="24">
        <f>'سلاسل الإمداد'!G8</f>
        <v/>
      </c>
      <c r="J111" s="15">
        <f>IF($G111="",0,$G111*$I111)</f>
        <v/>
      </c>
      <c r="K111" s="15">
        <f>IF($G111="",0,$I111)</f>
        <v/>
      </c>
      <c r="L111" s="13">
        <f>'سلاسل الإمداد'!B8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الإمداد'!C9</f>
        <v/>
      </c>
      <c r="D112" s="15">
        <f>'سلاسل الإمداد'!J9</f>
        <v/>
      </c>
      <c r="E112" s="13">
        <f>'سلاسل الإمداد'!K9</f>
        <v/>
      </c>
      <c r="F112" s="15">
        <f>'سلاسل الإمداد'!L9</f>
        <v/>
      </c>
      <c r="G112" s="56">
        <f>'سلاسل الإمداد'!N9</f>
        <v/>
      </c>
      <c r="H112" s="15">
        <f>'سلاسل الإمداد'!O9</f>
        <v/>
      </c>
      <c r="I112" s="24">
        <f>'سلاسل الإمداد'!G9</f>
        <v/>
      </c>
      <c r="J112" s="15">
        <f>IF($G112="",0,$G112*$I112)</f>
        <v/>
      </c>
      <c r="K112" s="15">
        <f>IF($G112="",0,$I112)</f>
        <v/>
      </c>
      <c r="L112" s="13">
        <f>'سلاسل الإمداد'!B9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الإمداد'!C10</f>
        <v/>
      </c>
      <c r="D113" s="15">
        <f>'سلاسل الإمداد'!J10</f>
        <v/>
      </c>
      <c r="E113" s="13">
        <f>'سلاسل الإمداد'!K10</f>
        <v/>
      </c>
      <c r="F113" s="15">
        <f>'سلاسل الإمداد'!L10</f>
        <v/>
      </c>
      <c r="G113" s="56">
        <f>'سلاسل الإمداد'!N10</f>
        <v/>
      </c>
      <c r="H113" s="15">
        <f>'سلاسل الإمداد'!O10</f>
        <v/>
      </c>
      <c r="I113" s="24">
        <f>'سلاسل الإمداد'!G10</f>
        <v/>
      </c>
      <c r="J113" s="15">
        <f>IF($G113="",0,$G113*$I113)</f>
        <v/>
      </c>
      <c r="K113" s="15">
        <f>IF($G113="",0,$I113)</f>
        <v/>
      </c>
      <c r="L113" s="13">
        <f>'سلاسل الإمداد'!B10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الإمداد'!C12</f>
        <v/>
      </c>
      <c r="D114" s="15">
        <f>'سلاسل الإمداد'!J12</f>
        <v/>
      </c>
      <c r="E114" s="13">
        <f>'سلاسل الإمداد'!K12</f>
        <v/>
      </c>
      <c r="F114" s="15">
        <f>'سلاسل الإمداد'!L12</f>
        <v/>
      </c>
      <c r="G114" s="56">
        <f>'سلاسل الإمداد'!N12</f>
        <v/>
      </c>
      <c r="H114" s="15">
        <f>'سلاسل الإمداد'!O12</f>
        <v/>
      </c>
      <c r="I114" s="24">
        <f>'سلاسل الإمداد'!G12</f>
        <v/>
      </c>
      <c r="J114" s="15">
        <f>IF($G114="",0,$G114*$I114)</f>
        <v/>
      </c>
      <c r="K114" s="15">
        <f>IF($G114="",0,$I114)</f>
        <v/>
      </c>
      <c r="L114" s="13">
        <f>'سلاسل الإمداد'!B12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الإمداد'!C13</f>
        <v/>
      </c>
      <c r="D115" s="15">
        <f>'سلاسل الإمداد'!J13</f>
        <v/>
      </c>
      <c r="E115" s="13">
        <f>'سلاسل الإمداد'!K13</f>
        <v/>
      </c>
      <c r="F115" s="15">
        <f>'سلاسل الإمداد'!L13</f>
        <v/>
      </c>
      <c r="G115" s="56">
        <f>'سلاسل الإمداد'!N13</f>
        <v/>
      </c>
      <c r="H115" s="15">
        <f>'سلاسل الإمداد'!O13</f>
        <v/>
      </c>
      <c r="I115" s="24">
        <f>'سلاسل الإمداد'!G13</f>
        <v/>
      </c>
      <c r="J115" s="15">
        <f>IF($G115="",0,$G115*$I115)</f>
        <v/>
      </c>
      <c r="K115" s="15">
        <f>IF($G115="",0,$I115)</f>
        <v/>
      </c>
      <c r="L115" s="13">
        <f>'سلاسل الإمداد'!B13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الإمداد'!C15</f>
        <v/>
      </c>
      <c r="D116" s="15">
        <f>'سلاسل الإمداد'!J15</f>
        <v/>
      </c>
      <c r="E116" s="13">
        <f>'سلاسل الإمداد'!K15</f>
        <v/>
      </c>
      <c r="F116" s="15">
        <f>'سلاسل الإمداد'!L15</f>
        <v/>
      </c>
      <c r="G116" s="56">
        <f>'سلاسل الإمداد'!N15</f>
        <v/>
      </c>
      <c r="H116" s="15">
        <f>'سلاسل الإمداد'!O15</f>
        <v/>
      </c>
      <c r="I116" s="24">
        <f>'سلاسل الإمداد'!G15</f>
        <v/>
      </c>
      <c r="J116" s="15">
        <f>IF($G116="",0,$G116*$I116)</f>
        <v/>
      </c>
      <c r="K116" s="15">
        <f>IF($G116="",0,$I116)</f>
        <v/>
      </c>
      <c r="L116" s="13">
        <f>'سلاسل الإمداد'!B15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الإمداد'!C16</f>
        <v/>
      </c>
      <c r="D117" s="15">
        <f>'سلاسل الإمداد'!J16</f>
        <v/>
      </c>
      <c r="E117" s="13">
        <f>'سلاسل الإمداد'!K16</f>
        <v/>
      </c>
      <c r="F117" s="15">
        <f>'سلاسل الإمداد'!L16</f>
        <v/>
      </c>
      <c r="G117" s="56">
        <f>'سلاسل الإمداد'!N16</f>
        <v/>
      </c>
      <c r="H117" s="15">
        <f>'سلاسل الإمداد'!O16</f>
        <v/>
      </c>
      <c r="I117" s="24">
        <f>'سلاسل الإمداد'!G16</f>
        <v/>
      </c>
      <c r="J117" s="15">
        <f>IF($G117="",0,$G117*$I117)</f>
        <v/>
      </c>
      <c r="K117" s="15">
        <f>IF($G117="",0,$I117)</f>
        <v/>
      </c>
      <c r="L117" s="13">
        <f>'سلاسل الإمداد'!B16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الإمداد'!C17</f>
        <v/>
      </c>
      <c r="D118" s="15">
        <f>'سلاسل الإمداد'!J17</f>
        <v/>
      </c>
      <c r="E118" s="13">
        <f>'سلاسل الإمداد'!K17</f>
        <v/>
      </c>
      <c r="F118" s="15">
        <f>'سلاسل الإمداد'!L17</f>
        <v/>
      </c>
      <c r="G118" s="56">
        <f>'سلاسل الإمداد'!N17</f>
        <v/>
      </c>
      <c r="H118" s="15">
        <f>'سلاسل الإمداد'!O17</f>
        <v/>
      </c>
      <c r="I118" s="24">
        <f>'سلاسل الإمداد'!G17</f>
        <v/>
      </c>
      <c r="J118" s="15">
        <f>IF($G118="",0,$G118*$I118)</f>
        <v/>
      </c>
      <c r="K118" s="15">
        <f>IF($G118="",0,$I118)</f>
        <v/>
      </c>
      <c r="L118" s="13">
        <f>'سلاسل الإمداد'!B17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الإمداد'!C19</f>
        <v/>
      </c>
      <c r="D119" s="15">
        <f>'سلاسل الإمداد'!J19</f>
        <v/>
      </c>
      <c r="E119" s="13">
        <f>'سلاسل الإمداد'!K19</f>
        <v/>
      </c>
      <c r="F119" s="15">
        <f>'سلاسل الإمداد'!L19</f>
        <v/>
      </c>
      <c r="G119" s="56">
        <f>'سلاسل الإمداد'!N19</f>
        <v/>
      </c>
      <c r="H119" s="15">
        <f>'سلاسل الإمداد'!O19</f>
        <v/>
      </c>
      <c r="I119" s="24">
        <f>'سلاسل الإمداد'!G19</f>
        <v/>
      </c>
      <c r="J119" s="15">
        <f>IF($G119="",0,$G119*$I119)</f>
        <v/>
      </c>
      <c r="K119" s="15">
        <f>IF($G119="",0,$I119)</f>
        <v/>
      </c>
      <c r="L119" s="13">
        <f>'سلاسل الإمداد'!B19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الإمداد'!C20</f>
        <v/>
      </c>
      <c r="D120" s="15">
        <f>'سلاسل الإمداد'!J20</f>
        <v/>
      </c>
      <c r="E120" s="13">
        <f>'سلاسل الإمداد'!K20</f>
        <v/>
      </c>
      <c r="F120" s="15">
        <f>'سلاسل الإمداد'!L20</f>
        <v/>
      </c>
      <c r="G120" s="56">
        <f>'سلاسل الإمداد'!N20</f>
        <v/>
      </c>
      <c r="H120" s="15">
        <f>'سلاسل الإمداد'!O20</f>
        <v/>
      </c>
      <c r="I120" s="24">
        <f>'سلاسل الإمداد'!G20</f>
        <v/>
      </c>
      <c r="J120" s="15">
        <f>IF($G120="",0,$G120*$I120)</f>
        <v/>
      </c>
      <c r="K120" s="15">
        <f>IF($G120="",0,$I120)</f>
        <v/>
      </c>
      <c r="L120" s="13">
        <f>'سلاسل الإمداد'!B20</f>
        <v/>
      </c>
    </row>
    <row r="121">
      <c r="A121" s="15" t="n">
        <v>120</v>
      </c>
      <c r="B121" s="13" t="inlineStr">
        <is>
          <t>الصيانة والأتمتة</t>
        </is>
      </c>
      <c r="C121" s="13">
        <f>'الصيانة والأتمتة'!C5</f>
        <v/>
      </c>
      <c r="D121" s="15">
        <f>'الصيانة والأتمتة'!J5</f>
        <v/>
      </c>
      <c r="E121" s="13">
        <f>'الصيانة والأتمتة'!K5</f>
        <v/>
      </c>
      <c r="F121" s="15">
        <f>'الصيانة والأتمتة'!L5</f>
        <v/>
      </c>
      <c r="G121" s="56">
        <f>'الصيانة والأتمتة'!N5</f>
        <v/>
      </c>
      <c r="H121" s="15">
        <f>'الصيانة والأتمتة'!O5</f>
        <v/>
      </c>
      <c r="I121" s="24">
        <f>'الصيانة والأتمتة'!G5</f>
        <v/>
      </c>
      <c r="J121" s="15">
        <f>IF($G121="",0,$G121*$I121)</f>
        <v/>
      </c>
      <c r="K121" s="15">
        <f>IF($G121="",0,$I121)</f>
        <v/>
      </c>
      <c r="L121" s="13">
        <f>'الصيانة والأتمتة'!B5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والأتمتة'!C6</f>
        <v/>
      </c>
      <c r="D122" s="15">
        <f>'الصيانة والأتمتة'!J6</f>
        <v/>
      </c>
      <c r="E122" s="13">
        <f>'الصيانة والأتمتة'!K6</f>
        <v/>
      </c>
      <c r="F122" s="15">
        <f>'الصيانة والأتمتة'!L6</f>
        <v/>
      </c>
      <c r="G122" s="56">
        <f>'الصيانة والأتمتة'!N6</f>
        <v/>
      </c>
      <c r="H122" s="15">
        <f>'الصيانة والأتمتة'!O6</f>
        <v/>
      </c>
      <c r="I122" s="24">
        <f>'الصيانة والأتمتة'!G6</f>
        <v/>
      </c>
      <c r="J122" s="15">
        <f>IF($G122="",0,$G122*$I122)</f>
        <v/>
      </c>
      <c r="K122" s="15">
        <f>IF($G122="",0,$I122)</f>
        <v/>
      </c>
      <c r="L122" s="13">
        <f>'الصيانة والأتمتة'!B6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والأتمتة'!C8</f>
        <v/>
      </c>
      <c r="D123" s="15">
        <f>'الصيانة والأتمتة'!J8</f>
        <v/>
      </c>
      <c r="E123" s="13">
        <f>'الصيانة والأتمتة'!K8</f>
        <v/>
      </c>
      <c r="F123" s="15">
        <f>'الصيانة والأتمتة'!L8</f>
        <v/>
      </c>
      <c r="G123" s="56">
        <f>'الصيانة والأتمتة'!N8</f>
        <v/>
      </c>
      <c r="H123" s="15">
        <f>'الصيانة والأتمتة'!O8</f>
        <v/>
      </c>
      <c r="I123" s="24">
        <f>'الصيانة والأتمتة'!G8</f>
        <v/>
      </c>
      <c r="J123" s="15">
        <f>IF($G123="",0,$G123*$I123)</f>
        <v/>
      </c>
      <c r="K123" s="15">
        <f>IF($G123="",0,$I123)</f>
        <v/>
      </c>
      <c r="L123" s="13">
        <f>'الصيانة والأتمتة'!B8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والأتمتة'!C9</f>
        <v/>
      </c>
      <c r="D124" s="15">
        <f>'الصيانة والأتمتة'!J9</f>
        <v/>
      </c>
      <c r="E124" s="13">
        <f>'الصيانة والأتمتة'!K9</f>
        <v/>
      </c>
      <c r="F124" s="15">
        <f>'الصيانة والأتمتة'!L9</f>
        <v/>
      </c>
      <c r="G124" s="56">
        <f>'الصيانة والأتمتة'!N9</f>
        <v/>
      </c>
      <c r="H124" s="15">
        <f>'الصيانة والأتمتة'!O9</f>
        <v/>
      </c>
      <c r="I124" s="24">
        <f>'الصيانة والأتمتة'!G9</f>
        <v/>
      </c>
      <c r="J124" s="15">
        <f>IF($G124="",0,$G124*$I124)</f>
        <v/>
      </c>
      <c r="K124" s="15">
        <f>IF($G124="",0,$I124)</f>
        <v/>
      </c>
      <c r="L124" s="13">
        <f>'الصيانة والأتمتة'!B9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والأتمتة'!C10</f>
        <v/>
      </c>
      <c r="D125" s="15">
        <f>'الصيانة والأتمتة'!J10</f>
        <v/>
      </c>
      <c r="E125" s="13">
        <f>'الصيانة والأتمتة'!K10</f>
        <v/>
      </c>
      <c r="F125" s="15">
        <f>'الصيانة والأتمتة'!L10</f>
        <v/>
      </c>
      <c r="G125" s="56">
        <f>'الصيانة والأتمتة'!N10</f>
        <v/>
      </c>
      <c r="H125" s="15">
        <f>'الصيانة والأتمتة'!O10</f>
        <v/>
      </c>
      <c r="I125" s="24">
        <f>'الصيانة والأتمتة'!G10</f>
        <v/>
      </c>
      <c r="J125" s="15">
        <f>IF($G125="",0,$G125*$I125)</f>
        <v/>
      </c>
      <c r="K125" s="15">
        <f>IF($G125="",0,$I125)</f>
        <v/>
      </c>
      <c r="L125" s="13">
        <f>'الصيانة والأتمتة'!B10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والأتمتة'!C11</f>
        <v/>
      </c>
      <c r="D126" s="15">
        <f>'الصيانة والأتمتة'!J11</f>
        <v/>
      </c>
      <c r="E126" s="13">
        <f>'الصيانة والأتمتة'!K11</f>
        <v/>
      </c>
      <c r="F126" s="15">
        <f>'الصيانة والأتمتة'!L11</f>
        <v/>
      </c>
      <c r="G126" s="56">
        <f>'الصيانة والأتمتة'!N11</f>
        <v/>
      </c>
      <c r="H126" s="15">
        <f>'الصيانة والأتمتة'!O11</f>
        <v/>
      </c>
      <c r="I126" s="24">
        <f>'الصيانة والأتمتة'!G11</f>
        <v/>
      </c>
      <c r="J126" s="15">
        <f>IF($G126="",0,$G126*$I126)</f>
        <v/>
      </c>
      <c r="K126" s="15">
        <f>IF($G126="",0,$I126)</f>
        <v/>
      </c>
      <c r="L126" s="13">
        <f>'الصيانة والأتمتة'!B11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والأتمتة'!C12</f>
        <v/>
      </c>
      <c r="D127" s="15">
        <f>'الصيانة والأتمتة'!J12</f>
        <v/>
      </c>
      <c r="E127" s="13">
        <f>'الصيانة والأتمتة'!K12</f>
        <v/>
      </c>
      <c r="F127" s="15">
        <f>'الصيانة والأتمتة'!L12</f>
        <v/>
      </c>
      <c r="G127" s="56">
        <f>'الصيانة والأتمتة'!N12</f>
        <v/>
      </c>
      <c r="H127" s="15">
        <f>'الصيانة والأتمتة'!O12</f>
        <v/>
      </c>
      <c r="I127" s="24">
        <f>'الصيانة والأتمتة'!G12</f>
        <v/>
      </c>
      <c r="J127" s="15">
        <f>IF($G127="",0,$G127*$I127)</f>
        <v/>
      </c>
      <c r="K127" s="15">
        <f>IF($G127="",0,$I127)</f>
        <v/>
      </c>
      <c r="L127" s="13">
        <f>'الصيانة والأتمتة'!B12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والأتمتة'!C14</f>
        <v/>
      </c>
      <c r="D128" s="15">
        <f>'الصيانة والأتمتة'!J14</f>
        <v/>
      </c>
      <c r="E128" s="13">
        <f>'الصيانة والأتمتة'!K14</f>
        <v/>
      </c>
      <c r="F128" s="15">
        <f>'الصيانة والأتمتة'!L14</f>
        <v/>
      </c>
      <c r="G128" s="56">
        <f>'الصيانة والأتمتة'!N14</f>
        <v/>
      </c>
      <c r="H128" s="15">
        <f>'الصيانة والأتمتة'!O14</f>
        <v/>
      </c>
      <c r="I128" s="24">
        <f>'الصيانة والأتمتة'!G14</f>
        <v/>
      </c>
      <c r="J128" s="15">
        <f>IF($G128="",0,$G128*$I128)</f>
        <v/>
      </c>
      <c r="K128" s="15">
        <f>IF($G128="",0,$I128)</f>
        <v/>
      </c>
      <c r="L128" s="13">
        <f>'الصيانة والأتمتة'!B14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والأتمتة'!C15</f>
        <v/>
      </c>
      <c r="D129" s="15">
        <f>'الصيانة والأتمتة'!J15</f>
        <v/>
      </c>
      <c r="E129" s="13">
        <f>'الصيانة والأتمتة'!K15</f>
        <v/>
      </c>
      <c r="F129" s="15">
        <f>'الصيانة والأتمتة'!L15</f>
        <v/>
      </c>
      <c r="G129" s="56">
        <f>'الصيانة والأتمتة'!N15</f>
        <v/>
      </c>
      <c r="H129" s="15">
        <f>'الصيانة والأتمتة'!O15</f>
        <v/>
      </c>
      <c r="I129" s="24">
        <f>'الصيانة والأتمتة'!G15</f>
        <v/>
      </c>
      <c r="J129" s="15">
        <f>IF($G129="",0,$G129*$I129)</f>
        <v/>
      </c>
      <c r="K129" s="15">
        <f>IF($G129="",0,$I129)</f>
        <v/>
      </c>
      <c r="L129" s="13">
        <f>'الصيانة والأتمتة'!B15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والأتمتة'!C16</f>
        <v/>
      </c>
      <c r="D130" s="15">
        <f>'الصيانة والأتمتة'!J16</f>
        <v/>
      </c>
      <c r="E130" s="13">
        <f>'الصيانة والأتمتة'!K16</f>
        <v/>
      </c>
      <c r="F130" s="15">
        <f>'الصيانة والأتمتة'!L16</f>
        <v/>
      </c>
      <c r="G130" s="56">
        <f>'الصيانة والأتمتة'!N16</f>
        <v/>
      </c>
      <c r="H130" s="15">
        <f>'الصيانة والأتمتة'!O16</f>
        <v/>
      </c>
      <c r="I130" s="24">
        <f>'الصيانة والأتمتة'!G16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والأتمتة'!B16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الرقمية'!C5</f>
        <v/>
      </c>
      <c r="D131" s="15">
        <f>'التقنية الرقمية'!J5</f>
        <v/>
      </c>
      <c r="E131" s="13">
        <f>'التقنية الرقمية'!K5</f>
        <v/>
      </c>
      <c r="F131" s="15">
        <f>'التقنية الرقمية'!L5</f>
        <v/>
      </c>
      <c r="G131" s="56">
        <f>'التقنية الرقمية'!N5</f>
        <v/>
      </c>
      <c r="H131" s="15">
        <f>'التقنية الرقمية'!O5</f>
        <v/>
      </c>
      <c r="I131" s="24">
        <f>'التقنية الرقمية'!G5</f>
        <v/>
      </c>
      <c r="J131" s="15">
        <f>IF($G131="",0,$G131*$I131)</f>
        <v/>
      </c>
      <c r="K131" s="15">
        <f>IF($G131="",0,$I131)</f>
        <v/>
      </c>
      <c r="L131" s="13">
        <f>'التقنية الرقمية'!B5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الرقمية'!C6</f>
        <v/>
      </c>
      <c r="D132" s="15">
        <f>'التقنية الرقمية'!J6</f>
        <v/>
      </c>
      <c r="E132" s="13">
        <f>'التقنية الرقمية'!K6</f>
        <v/>
      </c>
      <c r="F132" s="15">
        <f>'التقنية الرقمية'!L6</f>
        <v/>
      </c>
      <c r="G132" s="56">
        <f>'التقنية الرقمية'!N6</f>
        <v/>
      </c>
      <c r="H132" s="15">
        <f>'التقنية الرقمية'!O6</f>
        <v/>
      </c>
      <c r="I132" s="24">
        <f>'التقنية الرقمية'!G6</f>
        <v/>
      </c>
      <c r="J132" s="15">
        <f>IF($G132="",0,$G132*$I132)</f>
        <v/>
      </c>
      <c r="K132" s="15">
        <f>IF($G132="",0,$I132)</f>
        <v/>
      </c>
      <c r="L132" s="13">
        <f>'التقنية الرقمية'!B6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الرقمية'!C7</f>
        <v/>
      </c>
      <c r="D133" s="15">
        <f>'التقنية الرقمية'!J7</f>
        <v/>
      </c>
      <c r="E133" s="13">
        <f>'التقنية الرقمية'!K7</f>
        <v/>
      </c>
      <c r="F133" s="15">
        <f>'التقنية الرقمية'!L7</f>
        <v/>
      </c>
      <c r="G133" s="56">
        <f>'التقنية الرقمية'!N7</f>
        <v/>
      </c>
      <c r="H133" s="15">
        <f>'التقنية الرقمية'!O7</f>
        <v/>
      </c>
      <c r="I133" s="24">
        <f>'التقنية الرقمية'!G7</f>
        <v/>
      </c>
      <c r="J133" s="15">
        <f>IF($G133="",0,$G133*$I133)</f>
        <v/>
      </c>
      <c r="K133" s="15">
        <f>IF($G133="",0,$I133)</f>
        <v/>
      </c>
      <c r="L133" s="13">
        <f>'التقنية الرقمية'!B7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الرقمية'!C9</f>
        <v/>
      </c>
      <c r="D134" s="15">
        <f>'التقنية الرقمية'!J9</f>
        <v/>
      </c>
      <c r="E134" s="13">
        <f>'التقنية الرقمية'!K9</f>
        <v/>
      </c>
      <c r="F134" s="15">
        <f>'التقنية الرقمية'!L9</f>
        <v/>
      </c>
      <c r="G134" s="56">
        <f>'التقنية الرقمية'!N9</f>
        <v/>
      </c>
      <c r="H134" s="15">
        <f>'التقنية الرقمية'!O9</f>
        <v/>
      </c>
      <c r="I134" s="24">
        <f>'التقنية الرقمية'!G9</f>
        <v/>
      </c>
      <c r="J134" s="15">
        <f>IF($G134="",0,$G134*$I134)</f>
        <v/>
      </c>
      <c r="K134" s="15">
        <f>IF($G134="",0,$I134)</f>
        <v/>
      </c>
      <c r="L134" s="13">
        <f>'التقنية الرقمية'!B9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الرقمية'!C10</f>
        <v/>
      </c>
      <c r="D135" s="15">
        <f>'التقنية الرقمية'!J10</f>
        <v/>
      </c>
      <c r="E135" s="13">
        <f>'التقنية الرقمية'!K10</f>
        <v/>
      </c>
      <c r="F135" s="15">
        <f>'التقنية الرقمية'!L10</f>
        <v/>
      </c>
      <c r="G135" s="56">
        <f>'التقنية الرقمية'!N10</f>
        <v/>
      </c>
      <c r="H135" s="15">
        <f>'التقنية الرقمية'!O10</f>
        <v/>
      </c>
      <c r="I135" s="24">
        <f>'التقنية الرقمية'!G10</f>
        <v/>
      </c>
      <c r="J135" s="15">
        <f>IF($G135="",0,$G135*$I135)</f>
        <v/>
      </c>
      <c r="K135" s="15">
        <f>IF($G135="",0,$I135)</f>
        <v/>
      </c>
      <c r="L135" s="13">
        <f>'التقنية الرقمية'!B10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الرقمية'!C12</f>
        <v/>
      </c>
      <c r="D136" s="15">
        <f>'التقنية الرقمية'!J12</f>
        <v/>
      </c>
      <c r="E136" s="13">
        <f>'التقنية الرقمية'!K12</f>
        <v/>
      </c>
      <c r="F136" s="15">
        <f>'التقنية الرقمية'!L12</f>
        <v/>
      </c>
      <c r="G136" s="56">
        <f>'التقنية الرقمية'!N12</f>
        <v/>
      </c>
      <c r="H136" s="15">
        <f>'التقنية الرقمية'!O12</f>
        <v/>
      </c>
      <c r="I136" s="24">
        <f>'التقنية الرقمية'!G12</f>
        <v/>
      </c>
      <c r="J136" s="15">
        <f>IF($G136="",0,$G136*$I136)</f>
        <v/>
      </c>
      <c r="K136" s="15">
        <f>IF($G136="",0,$I136)</f>
        <v/>
      </c>
      <c r="L136" s="13">
        <f>'التقنية الرقمية'!B12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الرقمية'!C13</f>
        <v/>
      </c>
      <c r="D137" s="15">
        <f>'التقنية الرقمية'!J13</f>
        <v/>
      </c>
      <c r="E137" s="13">
        <f>'التقنية الرقمية'!K13</f>
        <v/>
      </c>
      <c r="F137" s="15">
        <f>'التقنية الرقمية'!L13</f>
        <v/>
      </c>
      <c r="G137" s="56">
        <f>'التقنية الرقمية'!N13</f>
        <v/>
      </c>
      <c r="H137" s="15">
        <f>'التقنية الرقمية'!O13</f>
        <v/>
      </c>
      <c r="I137" s="24">
        <f>'التقنية الرقمية'!G13</f>
        <v/>
      </c>
      <c r="J137" s="15">
        <f>IF($G137="",0,$G137*$I137)</f>
        <v/>
      </c>
      <c r="K137" s="15">
        <f>IF($G137="",0,$I137)</f>
        <v/>
      </c>
      <c r="L137" s="13">
        <f>'التقنية الرقمية'!B13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الرقمية'!C14</f>
        <v/>
      </c>
      <c r="D138" s="15">
        <f>'التقنية الرقمية'!J14</f>
        <v/>
      </c>
      <c r="E138" s="13">
        <f>'التقنية الرقمية'!K14</f>
        <v/>
      </c>
      <c r="F138" s="15">
        <f>'التقنية الرقمية'!L14</f>
        <v/>
      </c>
      <c r="G138" s="56">
        <f>'التقنية الرقمية'!N14</f>
        <v/>
      </c>
      <c r="H138" s="15">
        <f>'التقنية الرقمية'!O14</f>
        <v/>
      </c>
      <c r="I138" s="24">
        <f>'التقنية الرقمية'!G14</f>
        <v/>
      </c>
      <c r="J138" s="15">
        <f>IF($G138="",0,$G138*$I138)</f>
        <v/>
      </c>
      <c r="K138" s="15">
        <f>IF($G138="",0,$I138)</f>
        <v/>
      </c>
      <c r="L138" s="13">
        <f>'التقنية الرقمية'!B14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الرقمية'!C16</f>
        <v/>
      </c>
      <c r="D139" s="15">
        <f>'التقنية الرقمية'!J16</f>
        <v/>
      </c>
      <c r="E139" s="13">
        <f>'التقنية الرقمية'!K16</f>
        <v/>
      </c>
      <c r="F139" s="15">
        <f>'التقنية الرقمية'!L16</f>
        <v/>
      </c>
      <c r="G139" s="56">
        <f>'التقنية الرقمية'!N16</f>
        <v/>
      </c>
      <c r="H139" s="15">
        <f>'التقنية الرقمية'!O16</f>
        <v/>
      </c>
      <c r="I139" s="24">
        <f>'التقنية الرقمية'!G16</f>
        <v/>
      </c>
      <c r="J139" s="15">
        <f>IF($G139="",0,$G139*$I139)</f>
        <v/>
      </c>
      <c r="K139" s="15">
        <f>IF($G139="",0,$I139)</f>
        <v/>
      </c>
      <c r="L139" s="13">
        <f>'التقنية الرقمية'!B16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الرقمية'!C17</f>
        <v/>
      </c>
      <c r="D140" s="15">
        <f>'التقنية الرقمية'!J17</f>
        <v/>
      </c>
      <c r="E140" s="13">
        <f>'التقنية الرقمية'!K17</f>
        <v/>
      </c>
      <c r="F140" s="15">
        <f>'التقنية الرقمية'!L17</f>
        <v/>
      </c>
      <c r="G140" s="56">
        <f>'التقنية الرقمية'!N17</f>
        <v/>
      </c>
      <c r="H140" s="15">
        <f>'التقنية الرقمية'!O17</f>
        <v/>
      </c>
      <c r="I140" s="24">
        <f>'التقنية الرقمية'!G17</f>
        <v/>
      </c>
      <c r="J140" s="15">
        <f>IF($G140="",0,$G140*$I140)</f>
        <v/>
      </c>
      <c r="K140" s="15">
        <f>IF($G140="",0,$I140)</f>
        <v/>
      </c>
      <c r="L140" s="13">
        <f>'التقنية الرقمية'!B17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الرقمية'!C19</f>
        <v/>
      </c>
      <c r="D141" s="15">
        <f>'التقنية الرقمية'!J19</f>
        <v/>
      </c>
      <c r="E141" s="13">
        <f>'التقنية الرقمية'!K19</f>
        <v/>
      </c>
      <c r="F141" s="15">
        <f>'التقنية الرقمية'!L19</f>
        <v/>
      </c>
      <c r="G141" s="56">
        <f>'التقنية الرقمية'!N19</f>
        <v/>
      </c>
      <c r="H141" s="15">
        <f>'التقنية الرقمية'!O19</f>
        <v/>
      </c>
      <c r="I141" s="24">
        <f>'التقنية الرقمية'!G19</f>
        <v/>
      </c>
      <c r="J141" s="15">
        <f>IF($G141="",0,$G141*$I141)</f>
        <v/>
      </c>
      <c r="K141" s="15">
        <f>IF($G141="",0,$I141)</f>
        <v/>
      </c>
      <c r="L141" s="13">
        <f>'التقنية الرقمية'!B19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الرقمية'!C20</f>
        <v/>
      </c>
      <c r="D142" s="15">
        <f>'التقنية الرقمية'!J20</f>
        <v/>
      </c>
      <c r="E142" s="13">
        <f>'التقنية الرقمية'!K20</f>
        <v/>
      </c>
      <c r="F142" s="15">
        <f>'التقنية الرقمية'!L20</f>
        <v/>
      </c>
      <c r="G142" s="56">
        <f>'التقنية الرقمية'!N20</f>
        <v/>
      </c>
      <c r="H142" s="15">
        <f>'التقنية الرقمية'!O20</f>
        <v/>
      </c>
      <c r="I142" s="24">
        <f>'التقنية الرقمية'!G20</f>
        <v/>
      </c>
      <c r="J142" s="15">
        <f>IF($G142="",0,$G142*$I142)</f>
        <v/>
      </c>
      <c r="K142" s="15">
        <f>IF($G142="",0,$I142)</f>
        <v/>
      </c>
      <c r="L142" s="13">
        <f>'التقنية الرقمية'!B20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البشرية'!C5</f>
        <v/>
      </c>
      <c r="D143" s="15">
        <f>'الموارد البشرية'!J5</f>
        <v/>
      </c>
      <c r="E143" s="13">
        <f>'الموارد البشرية'!K5</f>
        <v/>
      </c>
      <c r="F143" s="15">
        <f>'الموارد البشرية'!L5</f>
        <v/>
      </c>
      <c r="G143" s="56">
        <f>'الموارد البشرية'!N5</f>
        <v/>
      </c>
      <c r="H143" s="15">
        <f>'الموارد البشرية'!O5</f>
        <v/>
      </c>
      <c r="I143" s="24">
        <f>'الموارد البشرية'!G5</f>
        <v/>
      </c>
      <c r="J143" s="15">
        <f>IF($G143="",0,$G143*$I143)</f>
        <v/>
      </c>
      <c r="K143" s="15">
        <f>IF($G143="",0,$I143)</f>
        <v/>
      </c>
      <c r="L143" s="13">
        <f>'الموارد البشرية'!B5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البشرية'!C6</f>
        <v/>
      </c>
      <c r="D144" s="15">
        <f>'الموارد البشرية'!J6</f>
        <v/>
      </c>
      <c r="E144" s="13">
        <f>'الموارد البشرية'!K6</f>
        <v/>
      </c>
      <c r="F144" s="15">
        <f>'الموارد البشرية'!L6</f>
        <v/>
      </c>
      <c r="G144" s="56">
        <f>'الموارد البشرية'!N6</f>
        <v/>
      </c>
      <c r="H144" s="15">
        <f>'الموارد البشرية'!O6</f>
        <v/>
      </c>
      <c r="I144" s="24">
        <f>'الموارد البشرية'!G6</f>
        <v/>
      </c>
      <c r="J144" s="15">
        <f>IF($G144="",0,$G144*$I144)</f>
        <v/>
      </c>
      <c r="K144" s="15">
        <f>IF($G144="",0,$I144)</f>
        <v/>
      </c>
      <c r="L144" s="13">
        <f>'الموارد البشرية'!B6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البشرية'!C7</f>
        <v/>
      </c>
      <c r="D145" s="15">
        <f>'الموارد البشرية'!J7</f>
        <v/>
      </c>
      <c r="E145" s="13">
        <f>'الموارد البشرية'!K7</f>
        <v/>
      </c>
      <c r="F145" s="15">
        <f>'الموارد البشرية'!L7</f>
        <v/>
      </c>
      <c r="G145" s="56">
        <f>'الموارد البشرية'!N7</f>
        <v/>
      </c>
      <c r="H145" s="15">
        <f>'الموارد البشرية'!O7</f>
        <v/>
      </c>
      <c r="I145" s="24">
        <f>'الموارد البشرية'!G7</f>
        <v/>
      </c>
      <c r="J145" s="15">
        <f>IF($G145="",0,$G145*$I145)</f>
        <v/>
      </c>
      <c r="K145" s="15">
        <f>IF($G145="",0,$I145)</f>
        <v/>
      </c>
      <c r="L145" s="13">
        <f>'الموارد البشرية'!B7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البشرية'!C8</f>
        <v/>
      </c>
      <c r="D146" s="15">
        <f>'الموارد البشرية'!J8</f>
        <v/>
      </c>
      <c r="E146" s="13">
        <f>'الموارد البشرية'!K8</f>
        <v/>
      </c>
      <c r="F146" s="15">
        <f>'الموارد البشرية'!L8</f>
        <v/>
      </c>
      <c r="G146" s="56">
        <f>'الموارد البشرية'!N8</f>
        <v/>
      </c>
      <c r="H146" s="15">
        <f>'الموارد البشرية'!O8</f>
        <v/>
      </c>
      <c r="I146" s="24">
        <f>'الموارد البشرية'!G8</f>
        <v/>
      </c>
      <c r="J146" s="15">
        <f>IF($G146="",0,$G146*$I146)</f>
        <v/>
      </c>
      <c r="K146" s="15">
        <f>IF($G146="",0,$I146)</f>
        <v/>
      </c>
      <c r="L146" s="13">
        <f>'الموارد البشرية'!B8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البشرية'!C9</f>
        <v/>
      </c>
      <c r="D147" s="15">
        <f>'الموارد البشرية'!J9</f>
        <v/>
      </c>
      <c r="E147" s="13">
        <f>'الموارد البشرية'!K9</f>
        <v/>
      </c>
      <c r="F147" s="15">
        <f>'الموارد البشرية'!L9</f>
        <v/>
      </c>
      <c r="G147" s="56">
        <f>'الموارد البشرية'!N9</f>
        <v/>
      </c>
      <c r="H147" s="15">
        <f>'الموارد البشرية'!O9</f>
        <v/>
      </c>
      <c r="I147" s="24">
        <f>'الموارد البشرية'!G9</f>
        <v/>
      </c>
      <c r="J147" s="15">
        <f>IF($G147="",0,$G147*$I147)</f>
        <v/>
      </c>
      <c r="K147" s="15">
        <f>IF($G147="",0,$I147)</f>
        <v/>
      </c>
      <c r="L147" s="13">
        <f>'الموارد البشرية'!B9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56">
        <f>'الموارد البشرية'!N11</f>
        <v/>
      </c>
      <c r="H148" s="15">
        <f>'الموارد البشرية'!O11</f>
        <v/>
      </c>
      <c r="I148" s="24">
        <f>'الموارد البشرية'!G11</f>
        <v/>
      </c>
      <c r="J148" s="15">
        <f>IF($G148="",0,$G148*$I148)</f>
        <v/>
      </c>
      <c r="K148" s="15">
        <f>IF($G148="",0,$I148)</f>
        <v/>
      </c>
      <c r="L148" s="13">
        <f>'الموارد البشرية'!B11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56">
        <f>'الموارد البشرية'!N12</f>
        <v/>
      </c>
      <c r="H149" s="15">
        <f>'الموارد البشرية'!O12</f>
        <v/>
      </c>
      <c r="I149" s="24">
        <f>'الموارد البشرية'!G12</f>
        <v/>
      </c>
      <c r="J149" s="15">
        <f>IF($G149="",0,$G149*$I149)</f>
        <v/>
      </c>
      <c r="K149" s="15">
        <f>IF($G149="",0,$I149)</f>
        <v/>
      </c>
      <c r="L149" s="13">
        <f>'الموارد البشرية'!B12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البشرية'!C14</f>
        <v/>
      </c>
      <c r="D150" s="15">
        <f>'الموارد البشرية'!J14</f>
        <v/>
      </c>
      <c r="E150" s="13">
        <f>'الموارد البشرية'!K14</f>
        <v/>
      </c>
      <c r="F150" s="15">
        <f>'الموارد البشرية'!L14</f>
        <v/>
      </c>
      <c r="G150" s="56">
        <f>'الموارد البشرية'!N14</f>
        <v/>
      </c>
      <c r="H150" s="15">
        <f>'الموارد البشرية'!O14</f>
        <v/>
      </c>
      <c r="I150" s="24">
        <f>'الموارد البشرية'!G14</f>
        <v/>
      </c>
      <c r="J150" s="15">
        <f>IF($G150="",0,$G150*$I150)</f>
        <v/>
      </c>
      <c r="K150" s="15">
        <f>IF($G150="",0,$I150)</f>
        <v/>
      </c>
      <c r="L150" s="13">
        <f>'الموارد البشرية'!B14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البشرية'!C15</f>
        <v/>
      </c>
      <c r="D151" s="15">
        <f>'الموارد البشرية'!J15</f>
        <v/>
      </c>
      <c r="E151" s="13">
        <f>'الموارد البشرية'!K15</f>
        <v/>
      </c>
      <c r="F151" s="15">
        <f>'الموارد البشرية'!L15</f>
        <v/>
      </c>
      <c r="G151" s="56">
        <f>'الموارد البشرية'!N15</f>
        <v/>
      </c>
      <c r="H151" s="15">
        <f>'الموارد البشرية'!O15</f>
        <v/>
      </c>
      <c r="I151" s="24">
        <f>'الموارد البشرية'!G15</f>
        <v/>
      </c>
      <c r="J151" s="15">
        <f>IF($G151="",0,$G151*$I151)</f>
        <v/>
      </c>
      <c r="K151" s="15">
        <f>IF($G151="",0,$I151)</f>
        <v/>
      </c>
      <c r="L151" s="13">
        <f>'الموارد البشرية'!B15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البشرية'!C17</f>
        <v/>
      </c>
      <c r="D152" s="15">
        <f>'الموارد البشرية'!J17</f>
        <v/>
      </c>
      <c r="E152" s="13">
        <f>'الموارد البشرية'!K17</f>
        <v/>
      </c>
      <c r="F152" s="15">
        <f>'الموارد البشرية'!L17</f>
        <v/>
      </c>
      <c r="G152" s="56">
        <f>'الموارد البشرية'!N17</f>
        <v/>
      </c>
      <c r="H152" s="15">
        <f>'الموارد البشرية'!O17</f>
        <v/>
      </c>
      <c r="I152" s="24">
        <f>'الموارد البشرية'!G17</f>
        <v/>
      </c>
      <c r="J152" s="15">
        <f>IF($G152="",0,$G152*$I152)</f>
        <v/>
      </c>
      <c r="K152" s="15">
        <f>IF($G152="",0,$I152)</f>
        <v/>
      </c>
      <c r="L152" s="13">
        <f>'الموارد البشرية'!B17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البشرية'!C18</f>
        <v/>
      </c>
      <c r="D153" s="15">
        <f>'الموارد البشرية'!J18</f>
        <v/>
      </c>
      <c r="E153" s="13">
        <f>'الموارد البشرية'!K18</f>
        <v/>
      </c>
      <c r="F153" s="15">
        <f>'الموارد البشرية'!L18</f>
        <v/>
      </c>
      <c r="G153" s="56">
        <f>'الموارد البشرية'!N18</f>
        <v/>
      </c>
      <c r="H153" s="15">
        <f>'الموارد البشرية'!O18</f>
        <v/>
      </c>
      <c r="I153" s="24">
        <f>'الموارد البشرية'!G18</f>
        <v/>
      </c>
      <c r="J153" s="15">
        <f>IF($G153="",0,$G153*$I153)</f>
        <v/>
      </c>
      <c r="K153" s="15">
        <f>IF($G153="",0,$I153)</f>
        <v/>
      </c>
      <c r="L153" s="13">
        <f>'الموارد البشرية'!B18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البشرية'!C19</f>
        <v/>
      </c>
      <c r="D154" s="15">
        <f>'الموارد البشرية'!J19</f>
        <v/>
      </c>
      <c r="E154" s="13">
        <f>'الموارد البشرية'!K19</f>
        <v/>
      </c>
      <c r="F154" s="15">
        <f>'الموارد البشرية'!L19</f>
        <v/>
      </c>
      <c r="G154" s="56">
        <f>'الموارد البشرية'!N19</f>
        <v/>
      </c>
      <c r="H154" s="15">
        <f>'الموارد البشرية'!O19</f>
        <v/>
      </c>
      <c r="I154" s="24">
        <f>'الموارد البشرية'!G19</f>
        <v/>
      </c>
      <c r="J154" s="15">
        <f>IF($G154="",0,$G154*$I154)</f>
        <v/>
      </c>
      <c r="K154" s="15">
        <f>IF($G154="",0,$I154)</f>
        <v/>
      </c>
      <c r="L154" s="13">
        <f>'الموارد البشرية'!B19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'التسويق'!C5</f>
        <v/>
      </c>
      <c r="D155" s="15">
        <f>'التسويق'!J5</f>
        <v/>
      </c>
      <c r="E155" s="13">
        <f>'التسويق'!K5</f>
        <v/>
      </c>
      <c r="F155" s="15">
        <f>'التسويق'!L5</f>
        <v/>
      </c>
      <c r="G155" s="56">
        <f>'التسويق'!N5</f>
        <v/>
      </c>
      <c r="H155" s="15">
        <f>'التسويق'!O5</f>
        <v/>
      </c>
      <c r="I155" s="24">
        <f>'التسويق'!G5</f>
        <v/>
      </c>
      <c r="J155" s="15">
        <f>IF($G155="",0,$G155*$I155)</f>
        <v/>
      </c>
      <c r="K155" s="15">
        <f>IF($G155="",0,$I155)</f>
        <v/>
      </c>
      <c r="L155" s="13">
        <f>'التسويق'!B5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'التسويق'!C6</f>
        <v/>
      </c>
      <c r="D156" s="15">
        <f>'التسويق'!J6</f>
        <v/>
      </c>
      <c r="E156" s="13">
        <f>'التسويق'!K6</f>
        <v/>
      </c>
      <c r="F156" s="15">
        <f>'التسويق'!L6</f>
        <v/>
      </c>
      <c r="G156" s="56">
        <f>'التسويق'!N6</f>
        <v/>
      </c>
      <c r="H156" s="15">
        <f>'التسويق'!O6</f>
        <v/>
      </c>
      <c r="I156" s="24">
        <f>'التسويق'!G6</f>
        <v/>
      </c>
      <c r="J156" s="15">
        <f>IF($G156="",0,$G156*$I156)</f>
        <v/>
      </c>
      <c r="K156" s="15">
        <f>IF($G156="",0,$I156)</f>
        <v/>
      </c>
      <c r="L156" s="13">
        <f>'التسويق'!B6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'التسويق'!C8</f>
        <v/>
      </c>
      <c r="D157" s="15">
        <f>'التسويق'!J8</f>
        <v/>
      </c>
      <c r="E157" s="13">
        <f>'التسويق'!K8</f>
        <v/>
      </c>
      <c r="F157" s="15">
        <f>'التسويق'!L8</f>
        <v/>
      </c>
      <c r="G157" s="56">
        <f>'التسويق'!N8</f>
        <v/>
      </c>
      <c r="H157" s="15">
        <f>'التسويق'!O8</f>
        <v/>
      </c>
      <c r="I157" s="24">
        <f>'التسويق'!G8</f>
        <v/>
      </c>
      <c r="J157" s="15">
        <f>IF($G157="",0,$G157*$I157)</f>
        <v/>
      </c>
      <c r="K157" s="15">
        <f>IF($G157="",0,$I157)</f>
        <v/>
      </c>
      <c r="L157" s="13">
        <f>'التسويق'!B8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'التسويق'!C9</f>
        <v/>
      </c>
      <c r="D158" s="15">
        <f>'التسويق'!J9</f>
        <v/>
      </c>
      <c r="E158" s="13">
        <f>'التسويق'!K9</f>
        <v/>
      </c>
      <c r="F158" s="15">
        <f>'التسويق'!L9</f>
        <v/>
      </c>
      <c r="G158" s="56">
        <f>'التسويق'!N9</f>
        <v/>
      </c>
      <c r="H158" s="15">
        <f>'التسويق'!O9</f>
        <v/>
      </c>
      <c r="I158" s="24">
        <f>'التسويق'!G9</f>
        <v/>
      </c>
      <c r="J158" s="15">
        <f>IF($G158="",0,$G158*$I158)</f>
        <v/>
      </c>
      <c r="K158" s="15">
        <f>IF($G158="",0,$I158)</f>
        <v/>
      </c>
      <c r="L158" s="13">
        <f>'التسويق'!B9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'التسويق'!C11</f>
        <v/>
      </c>
      <c r="D159" s="15">
        <f>'التسويق'!J11</f>
        <v/>
      </c>
      <c r="E159" s="13">
        <f>'التسويق'!K11</f>
        <v/>
      </c>
      <c r="F159" s="15">
        <f>'التسويق'!L11</f>
        <v/>
      </c>
      <c r="G159" s="56">
        <f>'التسويق'!N11</f>
        <v/>
      </c>
      <c r="H159" s="15">
        <f>'التسويق'!O11</f>
        <v/>
      </c>
      <c r="I159" s="24">
        <f>'التسويق'!G11</f>
        <v/>
      </c>
      <c r="J159" s="15">
        <f>IF($G159="",0,$G159*$I159)</f>
        <v/>
      </c>
      <c r="K159" s="15">
        <f>IF($G159="",0,$I159)</f>
        <v/>
      </c>
      <c r="L159" s="13">
        <f>'التسويق'!B11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'التسويق'!C12</f>
        <v/>
      </c>
      <c r="D160" s="15">
        <f>'التسويق'!J12</f>
        <v/>
      </c>
      <c r="E160" s="13">
        <f>'التسويق'!K12</f>
        <v/>
      </c>
      <c r="F160" s="15">
        <f>'التسويق'!L12</f>
        <v/>
      </c>
      <c r="G160" s="56">
        <f>'التسويق'!N12</f>
        <v/>
      </c>
      <c r="H160" s="15">
        <f>'التسويق'!O12</f>
        <v/>
      </c>
      <c r="I160" s="24">
        <f>'التسويق'!G12</f>
        <v/>
      </c>
      <c r="J160" s="15">
        <f>IF($G160="",0,$G160*$I160)</f>
        <v/>
      </c>
      <c r="K160" s="15">
        <f>IF($G160="",0,$I160)</f>
        <v/>
      </c>
      <c r="L160" s="13">
        <f>'التسويق'!B12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'التسويق'!C13</f>
        <v/>
      </c>
      <c r="D161" s="15">
        <f>'التسويق'!J13</f>
        <v/>
      </c>
      <c r="E161" s="13">
        <f>'التسويق'!K13</f>
        <v/>
      </c>
      <c r="F161" s="15">
        <f>'التسويق'!L13</f>
        <v/>
      </c>
      <c r="G161" s="56">
        <f>'التسويق'!N13</f>
        <v/>
      </c>
      <c r="H161" s="15">
        <f>'التسويق'!O13</f>
        <v/>
      </c>
      <c r="I161" s="24">
        <f>'التسويق'!G13</f>
        <v/>
      </c>
      <c r="J161" s="15">
        <f>IF($G161="",0,$G161*$I161)</f>
        <v/>
      </c>
      <c r="K161" s="15">
        <f>IF($G161="",0,$I161)</f>
        <v/>
      </c>
      <c r="L161" s="13">
        <f>'التسويق'!B13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'التسويق'!C14</f>
        <v/>
      </c>
      <c r="D162" s="15">
        <f>'التسويق'!J14</f>
        <v/>
      </c>
      <c r="E162" s="13">
        <f>'التسويق'!K14</f>
        <v/>
      </c>
      <c r="F162" s="15">
        <f>'التسويق'!L14</f>
        <v/>
      </c>
      <c r="G162" s="56">
        <f>'التسويق'!N14</f>
        <v/>
      </c>
      <c r="H162" s="15">
        <f>'التسويق'!O14</f>
        <v/>
      </c>
      <c r="I162" s="24">
        <f>'التسويق'!G14</f>
        <v/>
      </c>
      <c r="J162" s="15">
        <f>IF($G162="",0,$G162*$I162)</f>
        <v/>
      </c>
      <c r="K162" s="15">
        <f>IF($G162="",0,$I162)</f>
        <v/>
      </c>
      <c r="L162" s="13">
        <f>'التسويق'!B14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'التسويق'!C16</f>
        <v/>
      </c>
      <c r="D163" s="15">
        <f>'التسويق'!J16</f>
        <v/>
      </c>
      <c r="E163" s="13">
        <f>'التسويق'!K16</f>
        <v/>
      </c>
      <c r="F163" s="15">
        <f>'التسويق'!L16</f>
        <v/>
      </c>
      <c r="G163" s="56">
        <f>'التسويق'!N16</f>
        <v/>
      </c>
      <c r="H163" s="15">
        <f>'التسويق'!O16</f>
        <v/>
      </c>
      <c r="I163" s="24">
        <f>'التسويق'!G16</f>
        <v/>
      </c>
      <c r="J163" s="15">
        <f>IF($G163="",0,$G163*$I163)</f>
        <v/>
      </c>
      <c r="K163" s="15">
        <f>IF($G163="",0,$I163)</f>
        <v/>
      </c>
      <c r="L163" s="13">
        <f>'التسويق'!B16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'التسويق'!C17</f>
        <v/>
      </c>
      <c r="D164" s="15">
        <f>'التسويق'!J17</f>
        <v/>
      </c>
      <c r="E164" s="13">
        <f>'التسويق'!K17</f>
        <v/>
      </c>
      <c r="F164" s="15">
        <f>'التسويق'!L17</f>
        <v/>
      </c>
      <c r="G164" s="56">
        <f>'التسويق'!N17</f>
        <v/>
      </c>
      <c r="H164" s="15">
        <f>'التسويق'!O17</f>
        <v/>
      </c>
      <c r="I164" s="24">
        <f>'التسويق'!G17</f>
        <v/>
      </c>
      <c r="J164" s="15">
        <f>IF($G164="",0,$G164*$I164)</f>
        <v/>
      </c>
      <c r="K164" s="15">
        <f>IF($G164="",0,$I164)</f>
        <v/>
      </c>
      <c r="L164" s="13">
        <f>'التسويق'!B17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'التسويق'!C18</f>
        <v/>
      </c>
      <c r="D165" s="15">
        <f>'التسويق'!J18</f>
        <v/>
      </c>
      <c r="E165" s="13">
        <f>'التسويق'!K18</f>
        <v/>
      </c>
      <c r="F165" s="15">
        <f>'التسويق'!L18</f>
        <v/>
      </c>
      <c r="G165" s="56">
        <f>'التسويق'!N18</f>
        <v/>
      </c>
      <c r="H165" s="15">
        <f>'التسويق'!O18</f>
        <v/>
      </c>
      <c r="I165" s="24">
        <f>'التسويق'!G18</f>
        <v/>
      </c>
      <c r="J165" s="15">
        <f>IF($G165="",0,$G165*$I165)</f>
        <v/>
      </c>
      <c r="K165" s="15">
        <f>IF($G165="",0,$I165)</f>
        <v/>
      </c>
      <c r="L165" s="13">
        <f>'التسويق'!B18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'التسويق'!C20</f>
        <v/>
      </c>
      <c r="D166" s="15">
        <f>'التسويق'!J20</f>
        <v/>
      </c>
      <c r="E166" s="13">
        <f>'التسويق'!K20</f>
        <v/>
      </c>
      <c r="F166" s="15">
        <f>'التسويق'!L20</f>
        <v/>
      </c>
      <c r="G166" s="56">
        <f>'التسويق'!N20</f>
        <v/>
      </c>
      <c r="H166" s="15">
        <f>'التسويق'!O20</f>
        <v/>
      </c>
      <c r="I166" s="24">
        <f>'التسويق'!G20</f>
        <v/>
      </c>
      <c r="J166" s="15">
        <f>IF($G166="",0,$G166*$I166)</f>
        <v/>
      </c>
      <c r="K166" s="15">
        <f>IF($G166="",0,$I166)</f>
        <v/>
      </c>
      <c r="L166" s="13">
        <f>'التسويق'!B20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'التسويق'!C21</f>
        <v/>
      </c>
      <c r="D167" s="15">
        <f>'التسويق'!J21</f>
        <v/>
      </c>
      <c r="E167" s="13">
        <f>'التسويق'!K21</f>
        <v/>
      </c>
      <c r="F167" s="15">
        <f>'التسويق'!L21</f>
        <v/>
      </c>
      <c r="G167" s="56">
        <f>'التسويق'!N21</f>
        <v/>
      </c>
      <c r="H167" s="15">
        <f>'التسويق'!O21</f>
        <v/>
      </c>
      <c r="I167" s="24">
        <f>'التسويق'!G21</f>
        <v/>
      </c>
      <c r="J167" s="15">
        <f>IF($G167="",0,$G167*$I167)</f>
        <v/>
      </c>
      <c r="K167" s="15">
        <f>IF($G167="",0,$I167)</f>
        <v/>
      </c>
      <c r="L167" s="13">
        <f>'التسويق'!B21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'التسويق'!C23</f>
        <v/>
      </c>
      <c r="D168" s="15">
        <f>'التسويق'!J23</f>
        <v/>
      </c>
      <c r="E168" s="13">
        <f>'التسويق'!K23</f>
        <v/>
      </c>
      <c r="F168" s="15">
        <f>'التسويق'!L23</f>
        <v/>
      </c>
      <c r="G168" s="56">
        <f>'التسويق'!N23</f>
        <v/>
      </c>
      <c r="H168" s="15">
        <f>'التسويق'!O23</f>
        <v/>
      </c>
      <c r="I168" s="24">
        <f>'التسويق'!G23</f>
        <v/>
      </c>
      <c r="J168" s="15">
        <f>IF($G168="",0,$G168*$I168)</f>
        <v/>
      </c>
      <c r="K168" s="15">
        <f>IF($G168="",0,$I168)</f>
        <v/>
      </c>
      <c r="L168" s="13">
        <f>'التسويق'!B23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'التسويق'!C24</f>
        <v/>
      </c>
      <c r="D169" s="15">
        <f>'التسويق'!J24</f>
        <v/>
      </c>
      <c r="E169" s="13">
        <f>'التسويق'!K24</f>
        <v/>
      </c>
      <c r="F169" s="15">
        <f>'التسويق'!L24</f>
        <v/>
      </c>
      <c r="G169" s="56">
        <f>'التسويق'!N24</f>
        <v/>
      </c>
      <c r="H169" s="15">
        <f>'التسويق'!O24</f>
        <v/>
      </c>
      <c r="I169" s="24">
        <f>'التسويق'!G24</f>
        <v/>
      </c>
      <c r="J169" s="15">
        <f>IF($G169="",0,$G169*$I169)</f>
        <v/>
      </c>
      <c r="K169" s="15">
        <f>IF($G169="",0,$I169)</f>
        <v/>
      </c>
      <c r="L169" s="13">
        <f>'التسويق'!B24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'الجودة'!C5</f>
        <v/>
      </c>
      <c r="D170" s="15">
        <f>'الجودة'!J5</f>
        <v/>
      </c>
      <c r="E170" s="13">
        <f>'الجودة'!K5</f>
        <v/>
      </c>
      <c r="F170" s="15">
        <f>'الجودة'!L5</f>
        <v/>
      </c>
      <c r="G170" s="56">
        <f>'الجودة'!N5</f>
        <v/>
      </c>
      <c r="H170" s="15">
        <f>'الجودة'!O5</f>
        <v/>
      </c>
      <c r="I170" s="24">
        <f>'الجودة'!G5</f>
        <v/>
      </c>
      <c r="J170" s="15">
        <f>IF($G170="",0,$G170*$I170)</f>
        <v/>
      </c>
      <c r="K170" s="15">
        <f>IF($G170="",0,$I170)</f>
        <v/>
      </c>
      <c r="L170" s="13">
        <f>'الجودة'!B5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'الجودة'!C6</f>
        <v/>
      </c>
      <c r="D171" s="15">
        <f>'الجودة'!J6</f>
        <v/>
      </c>
      <c r="E171" s="13">
        <f>'الجودة'!K6</f>
        <v/>
      </c>
      <c r="F171" s="15">
        <f>'الجودة'!L6</f>
        <v/>
      </c>
      <c r="G171" s="56">
        <f>'الجودة'!N6</f>
        <v/>
      </c>
      <c r="H171" s="15">
        <f>'الجودة'!O6</f>
        <v/>
      </c>
      <c r="I171" s="24">
        <f>'الجودة'!G6</f>
        <v/>
      </c>
      <c r="J171" s="15">
        <f>IF($G171="",0,$G171*$I171)</f>
        <v/>
      </c>
      <c r="K171" s="15">
        <f>IF($G171="",0,$I171)</f>
        <v/>
      </c>
      <c r="L171" s="13">
        <f>'الجودة'!B6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'الجودة'!C7</f>
        <v/>
      </c>
      <c r="D172" s="15">
        <f>'الجودة'!J7</f>
        <v/>
      </c>
      <c r="E172" s="13">
        <f>'الجودة'!K7</f>
        <v/>
      </c>
      <c r="F172" s="15">
        <f>'الجودة'!L7</f>
        <v/>
      </c>
      <c r="G172" s="56">
        <f>'الجودة'!N7</f>
        <v/>
      </c>
      <c r="H172" s="15">
        <f>'الجودة'!O7</f>
        <v/>
      </c>
      <c r="I172" s="24">
        <f>'الجودة'!G7</f>
        <v/>
      </c>
      <c r="J172" s="15">
        <f>IF($G172="",0,$G172*$I172)</f>
        <v/>
      </c>
      <c r="K172" s="15">
        <f>IF($G172="",0,$I172)</f>
        <v/>
      </c>
      <c r="L172" s="13">
        <f>'الجودة'!B7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'الجودة'!C8</f>
        <v/>
      </c>
      <c r="D173" s="15">
        <f>'الجودة'!J8</f>
        <v/>
      </c>
      <c r="E173" s="13">
        <f>'الجودة'!K8</f>
        <v/>
      </c>
      <c r="F173" s="15">
        <f>'الجودة'!L8</f>
        <v/>
      </c>
      <c r="G173" s="56">
        <f>'الجودة'!N8</f>
        <v/>
      </c>
      <c r="H173" s="15">
        <f>'الجودة'!O8</f>
        <v/>
      </c>
      <c r="I173" s="24">
        <f>'الجودة'!G8</f>
        <v/>
      </c>
      <c r="J173" s="15">
        <f>IF($G173="",0,$G173*$I173)</f>
        <v/>
      </c>
      <c r="K173" s="15">
        <f>IF($G173="",0,$I173)</f>
        <v/>
      </c>
      <c r="L173" s="13">
        <f>'الجودة'!B8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'الجودة'!C9</f>
        <v/>
      </c>
      <c r="D174" s="15">
        <f>'الجودة'!J9</f>
        <v/>
      </c>
      <c r="E174" s="13">
        <f>'الجودة'!K9</f>
        <v/>
      </c>
      <c r="F174" s="15">
        <f>'الجودة'!L9</f>
        <v/>
      </c>
      <c r="G174" s="56">
        <f>'الجودة'!N9</f>
        <v/>
      </c>
      <c r="H174" s="15">
        <f>'الجودة'!O9</f>
        <v/>
      </c>
      <c r="I174" s="24">
        <f>'الجودة'!G9</f>
        <v/>
      </c>
      <c r="J174" s="15">
        <f>IF($G174="",0,$G174*$I174)</f>
        <v/>
      </c>
      <c r="K174" s="15">
        <f>IF($G174="",0,$I174)</f>
        <v/>
      </c>
      <c r="L174" s="13">
        <f>'الجودة'!B9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'الجودة'!C10</f>
        <v/>
      </c>
      <c r="D175" s="15">
        <f>'الجودة'!J10</f>
        <v/>
      </c>
      <c r="E175" s="13">
        <f>'الجودة'!K10</f>
        <v/>
      </c>
      <c r="F175" s="15">
        <f>'الجودة'!L10</f>
        <v/>
      </c>
      <c r="G175" s="56">
        <f>'الجودة'!N10</f>
        <v/>
      </c>
      <c r="H175" s="15">
        <f>'الجودة'!O10</f>
        <v/>
      </c>
      <c r="I175" s="24">
        <f>'الجودة'!G10</f>
        <v/>
      </c>
      <c r="J175" s="15">
        <f>IF($G175="",0,$G175*$I175)</f>
        <v/>
      </c>
      <c r="K175" s="15">
        <f>IF($G175="",0,$I175)</f>
        <v/>
      </c>
      <c r="L175" s="13">
        <f>'الجودة'!B10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'الجودة'!C11</f>
        <v/>
      </c>
      <c r="D176" s="15">
        <f>'الجودة'!J11</f>
        <v/>
      </c>
      <c r="E176" s="13">
        <f>'الجودة'!K11</f>
        <v/>
      </c>
      <c r="F176" s="15">
        <f>'الجودة'!L11</f>
        <v/>
      </c>
      <c r="G176" s="56">
        <f>'الجودة'!N11</f>
        <v/>
      </c>
      <c r="H176" s="15">
        <f>'الجودة'!O11</f>
        <v/>
      </c>
      <c r="I176" s="24">
        <f>'الجودة'!G11</f>
        <v/>
      </c>
      <c r="J176" s="15">
        <f>IF($G176="",0,$G176*$I176)</f>
        <v/>
      </c>
      <c r="K176" s="15">
        <f>IF($G176="",0,$I176)</f>
        <v/>
      </c>
      <c r="L176" s="13">
        <f>'الجودة'!B11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'الجودة'!C12</f>
        <v/>
      </c>
      <c r="D177" s="15">
        <f>'الجودة'!J12</f>
        <v/>
      </c>
      <c r="E177" s="13">
        <f>'الجودة'!K12</f>
        <v/>
      </c>
      <c r="F177" s="15">
        <f>'الجودة'!L12</f>
        <v/>
      </c>
      <c r="G177" s="56">
        <f>'الجودة'!N12</f>
        <v/>
      </c>
      <c r="H177" s="15">
        <f>'الجودة'!O12</f>
        <v/>
      </c>
      <c r="I177" s="24">
        <f>'الجودة'!G12</f>
        <v/>
      </c>
      <c r="J177" s="15">
        <f>IF($G177="",0,$G177*$I177)</f>
        <v/>
      </c>
      <c r="K177" s="15">
        <f>IF($G177="",0,$I177)</f>
        <v/>
      </c>
      <c r="L177" s="13">
        <f>'الجودة'!B12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'الجودة'!C13</f>
        <v/>
      </c>
      <c r="D178" s="15">
        <f>'الجودة'!J13</f>
        <v/>
      </c>
      <c r="E178" s="13">
        <f>'الجودة'!K13</f>
        <v/>
      </c>
      <c r="F178" s="15">
        <f>'الجودة'!L13</f>
        <v/>
      </c>
      <c r="G178" s="56">
        <f>'الجودة'!N13</f>
        <v/>
      </c>
      <c r="H178" s="15">
        <f>'الجودة'!O13</f>
        <v/>
      </c>
      <c r="I178" s="24">
        <f>'الجودة'!G13</f>
        <v/>
      </c>
      <c r="J178" s="15">
        <f>IF($G178="",0,$G178*$I178)</f>
        <v/>
      </c>
      <c r="K178" s="15">
        <f>IF($G178="",0,$I178)</f>
        <v/>
      </c>
      <c r="L178" s="13">
        <f>'الجودة'!B13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'الجودة'!C14</f>
        <v/>
      </c>
      <c r="D179" s="15">
        <f>'الجودة'!J14</f>
        <v/>
      </c>
      <c r="E179" s="13">
        <f>'الجودة'!K14</f>
        <v/>
      </c>
      <c r="F179" s="15">
        <f>'الجودة'!L14</f>
        <v/>
      </c>
      <c r="G179" s="56">
        <f>'الجودة'!N14</f>
        <v/>
      </c>
      <c r="H179" s="15">
        <f>'الجودة'!O14</f>
        <v/>
      </c>
      <c r="I179" s="24">
        <f>'الجودة'!G14</f>
        <v/>
      </c>
      <c r="J179" s="15">
        <f>IF($G179="",0,$G179*$I179)</f>
        <v/>
      </c>
      <c r="K179" s="15">
        <f>IF($G179="",0,$I179)</f>
        <v/>
      </c>
      <c r="L179" s="13">
        <f>'الجودة'!B14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'الجودة'!C15</f>
        <v/>
      </c>
      <c r="D180" s="15">
        <f>'الجودة'!J15</f>
        <v/>
      </c>
      <c r="E180" s="13">
        <f>'الجودة'!K15</f>
        <v/>
      </c>
      <c r="F180" s="15">
        <f>'الجودة'!L15</f>
        <v/>
      </c>
      <c r="G180" s="56">
        <f>'الجودة'!N15</f>
        <v/>
      </c>
      <c r="H180" s="15">
        <f>'الجودة'!O15</f>
        <v/>
      </c>
      <c r="I180" s="24">
        <f>'الجودة'!G15</f>
        <v/>
      </c>
      <c r="J180" s="15">
        <f>IF($G180="",0,$G180*$I180)</f>
        <v/>
      </c>
      <c r="K180" s="15">
        <f>IF($G180="",0,$I180)</f>
        <v/>
      </c>
      <c r="L180" s="13">
        <f>'الجودة'!B15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'الجودة'!C16</f>
        <v/>
      </c>
      <c r="D181" s="15">
        <f>'الجودة'!J16</f>
        <v/>
      </c>
      <c r="E181" s="13">
        <f>'الجودة'!K16</f>
        <v/>
      </c>
      <c r="F181" s="15">
        <f>'الجودة'!L16</f>
        <v/>
      </c>
      <c r="G181" s="56">
        <f>'الجودة'!N16</f>
        <v/>
      </c>
      <c r="H181" s="15">
        <f>'الجودة'!O16</f>
        <v/>
      </c>
      <c r="I181" s="24">
        <f>'الجودة'!G16</f>
        <v/>
      </c>
      <c r="J181" s="15">
        <f>IF($G181="",0,$G181*$I181)</f>
        <v/>
      </c>
      <c r="K181" s="15">
        <f>IF($G181="",0,$I181)</f>
        <v/>
      </c>
      <c r="L181" s="13">
        <f>'الجودة'!B16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'الجودة'!C17</f>
        <v/>
      </c>
      <c r="D182" s="15">
        <f>'الجودة'!J17</f>
        <v/>
      </c>
      <c r="E182" s="13">
        <f>'الجودة'!K17</f>
        <v/>
      </c>
      <c r="F182" s="15">
        <f>'الجودة'!L17</f>
        <v/>
      </c>
      <c r="G182" s="56">
        <f>'الجودة'!N17</f>
        <v/>
      </c>
      <c r="H182" s="15">
        <f>'الجودة'!O17</f>
        <v/>
      </c>
      <c r="I182" s="24">
        <f>'الجودة'!G17</f>
        <v/>
      </c>
      <c r="J182" s="15">
        <f>IF($G182="",0,$G182*$I182)</f>
        <v/>
      </c>
      <c r="K182" s="15">
        <f>IF($G182="",0,$I182)</f>
        <v/>
      </c>
      <c r="L182" s="13">
        <f>'الجودة'!B17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'الجودة'!C18</f>
        <v/>
      </c>
      <c r="D183" s="15">
        <f>'الجودة'!J18</f>
        <v/>
      </c>
      <c r="E183" s="13">
        <f>'الجودة'!K18</f>
        <v/>
      </c>
      <c r="F183" s="15">
        <f>'الجودة'!L18</f>
        <v/>
      </c>
      <c r="G183" s="56">
        <f>'الجودة'!N18</f>
        <v/>
      </c>
      <c r="H183" s="15">
        <f>'الجودة'!O18</f>
        <v/>
      </c>
      <c r="I183" s="24">
        <f>'الجودة'!G18</f>
        <v/>
      </c>
      <c r="J183" s="15">
        <f>IF($G183="",0,$G183*$I183)</f>
        <v/>
      </c>
      <c r="K183" s="15">
        <f>IF($G183="",0,$I183)</f>
        <v/>
      </c>
      <c r="L183" s="13">
        <f>'الجودة'!B18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القانونية'!C5</f>
        <v/>
      </c>
      <c r="D184" s="15">
        <f>'الإدارة القانونية'!J5</f>
        <v/>
      </c>
      <c r="E184" s="13">
        <f>'الإدارة القانونية'!K5</f>
        <v/>
      </c>
      <c r="F184" s="15">
        <f>'الإدارة القانونية'!L5</f>
        <v/>
      </c>
      <c r="G184" s="56">
        <f>'الإدارة القانونية'!N5</f>
        <v/>
      </c>
      <c r="H184" s="15">
        <f>'الإدارة القانونية'!O5</f>
        <v/>
      </c>
      <c r="I184" s="24">
        <f>'الإدارة القانونية'!G5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القانونية'!B5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القانونية'!C6</f>
        <v/>
      </c>
      <c r="D185" s="15">
        <f>'الإدارة القانونية'!J6</f>
        <v/>
      </c>
      <c r="E185" s="13">
        <f>'الإدارة القانونية'!K6</f>
        <v/>
      </c>
      <c r="F185" s="15">
        <f>'الإدارة القانونية'!L6</f>
        <v/>
      </c>
      <c r="G185" s="56">
        <f>'الإدارة القانونية'!N6</f>
        <v/>
      </c>
      <c r="H185" s="15">
        <f>'الإدارة القانونية'!O6</f>
        <v/>
      </c>
      <c r="I185" s="24">
        <f>'الإدارة القانونية'!G6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القانونية'!B6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القانونية'!C7</f>
        <v/>
      </c>
      <c r="D186" s="15">
        <f>'الإدارة القانونية'!J7</f>
        <v/>
      </c>
      <c r="E186" s="13">
        <f>'الإدارة القانونية'!K7</f>
        <v/>
      </c>
      <c r="F186" s="15">
        <f>'الإدارة القانونية'!L7</f>
        <v/>
      </c>
      <c r="G186" s="56">
        <f>'الإدارة القانونية'!N7</f>
        <v/>
      </c>
      <c r="H186" s="15">
        <f>'الإدارة القانونية'!O7</f>
        <v/>
      </c>
      <c r="I186" s="24">
        <f>'الإدارة القانونية'!G7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القانونية'!C9</f>
        <v/>
      </c>
      <c r="D187" s="15">
        <f>'الإدارة القانونية'!J9</f>
        <v/>
      </c>
      <c r="E187" s="13">
        <f>'الإدارة القانونية'!K9</f>
        <v/>
      </c>
      <c r="F187" s="15">
        <f>'الإدارة القانونية'!L9</f>
        <v/>
      </c>
      <c r="G187" s="56">
        <f>'الإدارة القانونية'!N9</f>
        <v/>
      </c>
      <c r="H187" s="15">
        <f>'الإدارة القانونية'!O9</f>
        <v/>
      </c>
      <c r="I187" s="24">
        <f>'الإدارة القانونية'!G9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القانونية'!B9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القانونية'!C10</f>
        <v/>
      </c>
      <c r="D188" s="15">
        <f>'الإدارة القانونية'!J10</f>
        <v/>
      </c>
      <c r="E188" s="13">
        <f>'الإدارة القانونية'!K10</f>
        <v/>
      </c>
      <c r="F188" s="15">
        <f>'الإدارة القانونية'!L10</f>
        <v/>
      </c>
      <c r="G188" s="56">
        <f>'الإدارة القانونية'!N10</f>
        <v/>
      </c>
      <c r="H188" s="15">
        <f>'الإدارة القانونية'!O10</f>
        <v/>
      </c>
      <c r="I188" s="24">
        <f>'الإدارة القانونية'!G10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القانونية'!B10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القانونية'!C11</f>
        <v/>
      </c>
      <c r="D189" s="15">
        <f>'الإدارة القانونية'!J11</f>
        <v/>
      </c>
      <c r="E189" s="13">
        <f>'الإدارة القانونية'!K11</f>
        <v/>
      </c>
      <c r="F189" s="15">
        <f>'الإدارة القانونية'!L11</f>
        <v/>
      </c>
      <c r="G189" s="56">
        <f>'الإدارة القانونية'!N11</f>
        <v/>
      </c>
      <c r="H189" s="15">
        <f>'الإدارة القانونية'!O11</f>
        <v/>
      </c>
      <c r="I189" s="24">
        <f>'الإدارة القانونية'!G11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القانونية'!B11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القانونية'!C13</f>
        <v/>
      </c>
      <c r="D190" s="15">
        <f>'الإدارة القانونية'!J13</f>
        <v/>
      </c>
      <c r="E190" s="13">
        <f>'الإدارة القانونية'!K13</f>
        <v/>
      </c>
      <c r="F190" s="15">
        <f>'الإدارة القانونية'!L13</f>
        <v/>
      </c>
      <c r="G190" s="56">
        <f>'الإدارة القانونية'!N13</f>
        <v/>
      </c>
      <c r="H190" s="15">
        <f>'الإدارة القانونية'!O13</f>
        <v/>
      </c>
      <c r="I190" s="24">
        <f>'الإدارة القانونية'!G13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القانونية'!B13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القانونية'!C14</f>
        <v/>
      </c>
      <c r="D191" s="15">
        <f>'الإدارة القانونية'!J14</f>
        <v/>
      </c>
      <c r="E191" s="13">
        <f>'الإدارة القانونية'!K14</f>
        <v/>
      </c>
      <c r="F191" s="15">
        <f>'الإدارة القانونية'!L14</f>
        <v/>
      </c>
      <c r="G191" s="56">
        <f>'الإدارة القانونية'!N14</f>
        <v/>
      </c>
      <c r="H191" s="15">
        <f>'الإدارة القانونية'!O14</f>
        <v/>
      </c>
      <c r="I191" s="24">
        <f>'الإدارة القانونية'!G14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القانونية'!B14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القانونية'!C16</f>
        <v/>
      </c>
      <c r="D192" s="15">
        <f>'الإدارة القانونية'!J16</f>
        <v/>
      </c>
      <c r="E192" s="13">
        <f>'الإدارة القانونية'!K16</f>
        <v/>
      </c>
      <c r="F192" s="15">
        <f>'الإدارة القانونية'!L16</f>
        <v/>
      </c>
      <c r="G192" s="56">
        <f>'الإدارة القانونية'!N16</f>
        <v/>
      </c>
      <c r="H192" s="15">
        <f>'الإدارة القانونية'!O16</f>
        <v/>
      </c>
      <c r="I192" s="24">
        <f>'الإدارة القانونية'!G16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القانونية'!B16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القانونية'!C17</f>
        <v/>
      </c>
      <c r="D193" s="15">
        <f>'الإدارة القانونية'!J17</f>
        <v/>
      </c>
      <c r="E193" s="13">
        <f>'الإدارة القانونية'!K17</f>
        <v/>
      </c>
      <c r="F193" s="15">
        <f>'الإدارة القانونية'!L17</f>
        <v/>
      </c>
      <c r="G193" s="56">
        <f>'الإدارة القانونية'!N17</f>
        <v/>
      </c>
      <c r="H193" s="15">
        <f>'الإدارة القانونية'!O17</f>
        <v/>
      </c>
      <c r="I193" s="24">
        <f>'الإدارة القانونية'!G17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القانونية'!B17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القانونية'!C18</f>
        <v/>
      </c>
      <c r="D194" s="15">
        <f>'الإدارة القانونية'!J18</f>
        <v/>
      </c>
      <c r="E194" s="13">
        <f>'الإدارة القانونية'!K18</f>
        <v/>
      </c>
      <c r="F194" s="15">
        <f>'الإدارة القانونية'!L18</f>
        <v/>
      </c>
      <c r="G194" s="56">
        <f>'الإدارة القانونية'!N18</f>
        <v/>
      </c>
      <c r="H194" s="15">
        <f>'الإدارة القانونية'!O18</f>
        <v/>
      </c>
      <c r="I194" s="24">
        <f>'الإدارة القانونية'!G18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القانونية'!B18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القانونية'!C19</f>
        <v/>
      </c>
      <c r="D195" s="15">
        <f>'الإدارة القانونية'!J19</f>
        <v/>
      </c>
      <c r="E195" s="13">
        <f>'الإدارة القانونية'!K19</f>
        <v/>
      </c>
      <c r="F195" s="15">
        <f>'الإدارة القانونية'!L19</f>
        <v/>
      </c>
      <c r="G195" s="56">
        <f>'الإدارة القانونية'!N19</f>
        <v/>
      </c>
      <c r="H195" s="15">
        <f>'الإدارة القانونية'!O19</f>
        <v/>
      </c>
      <c r="I195" s="24">
        <f>'الإدارة القانونية'!G19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القانونية'!B19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القانونية'!C20</f>
        <v/>
      </c>
      <c r="D196" s="15">
        <f>'الإدارة القانونية'!J20</f>
        <v/>
      </c>
      <c r="E196" s="13">
        <f>'الإدارة القانونية'!K20</f>
        <v/>
      </c>
      <c r="F196" s="15">
        <f>'الإدارة القانونية'!L20</f>
        <v/>
      </c>
      <c r="G196" s="56">
        <f>'الإدارة القانونية'!N20</f>
        <v/>
      </c>
      <c r="H196" s="15">
        <f>'الإدارة القانونية'!O20</f>
        <v/>
      </c>
      <c r="I196" s="24">
        <f>'الإدارة القانونية'!G20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القانونية'!B20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المالية'!C5</f>
        <v/>
      </c>
      <c r="D197" s="15">
        <f>'الإدارة المالية'!J5</f>
        <v/>
      </c>
      <c r="E197" s="13">
        <f>'الإدارة المالية'!K5</f>
        <v/>
      </c>
      <c r="F197" s="15">
        <f>'الإدارة المالية'!L5</f>
        <v/>
      </c>
      <c r="G197" s="56">
        <f>'الإدارة المالية'!N5</f>
        <v/>
      </c>
      <c r="H197" s="15">
        <f>'الإدارة المالية'!O5</f>
        <v/>
      </c>
      <c r="I197" s="24">
        <f>'الإدارة المالية'!G5</f>
        <v/>
      </c>
      <c r="J197" s="15">
        <f>IF($G197="",0,$G197*$I197)</f>
        <v/>
      </c>
      <c r="K197" s="15">
        <f>IF($G197="",0,$I197)</f>
        <v/>
      </c>
      <c r="L197" s="13">
        <f>'الإدارة المالية'!B5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المالية'!C6</f>
        <v/>
      </c>
      <c r="D198" s="15">
        <f>'الإدارة المالية'!J6</f>
        <v/>
      </c>
      <c r="E198" s="13">
        <f>'الإدارة المالية'!K6</f>
        <v/>
      </c>
      <c r="F198" s="15">
        <f>'الإدارة المالية'!L6</f>
        <v/>
      </c>
      <c r="G198" s="56">
        <f>'الإدارة المالية'!N6</f>
        <v/>
      </c>
      <c r="H198" s="15">
        <f>'الإدارة المالية'!O6</f>
        <v/>
      </c>
      <c r="I198" s="24">
        <f>'الإدارة المالية'!G6</f>
        <v/>
      </c>
      <c r="J198" s="15">
        <f>IF($G198="",0,$G198*$I198)</f>
        <v/>
      </c>
      <c r="K198" s="15">
        <f>IF($G198="",0,$I198)</f>
        <v/>
      </c>
      <c r="L198" s="13">
        <f>'الإدارة المالية'!B6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المالية'!C7</f>
        <v/>
      </c>
      <c r="D199" s="15">
        <f>'الإدارة المالية'!J7</f>
        <v/>
      </c>
      <c r="E199" s="13">
        <f>'الإدارة المالية'!K7</f>
        <v/>
      </c>
      <c r="F199" s="15">
        <f>'الإدارة المالية'!L7</f>
        <v/>
      </c>
      <c r="G199" s="56">
        <f>'الإدارة المالية'!N7</f>
        <v/>
      </c>
      <c r="H199" s="15">
        <f>'الإدارة المالية'!O7</f>
        <v/>
      </c>
      <c r="I199" s="24">
        <f>'الإدارة المالية'!G7</f>
        <v/>
      </c>
      <c r="J199" s="15">
        <f>IF($G199="",0,$G199*$I199)</f>
        <v/>
      </c>
      <c r="K199" s="15">
        <f>IF($G199="",0,$I199)</f>
        <v/>
      </c>
      <c r="L199" s="13">
        <f>'الإدارة المالية'!B7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المالية'!C8</f>
        <v/>
      </c>
      <c r="D200" s="15">
        <f>'الإدارة المالية'!J8</f>
        <v/>
      </c>
      <c r="E200" s="13">
        <f>'الإدارة المالية'!K8</f>
        <v/>
      </c>
      <c r="F200" s="15">
        <f>'الإدارة المالية'!L8</f>
        <v/>
      </c>
      <c r="G200" s="56">
        <f>'الإدارة المالية'!N8</f>
        <v/>
      </c>
      <c r="H200" s="15">
        <f>'الإدارة المالية'!O8</f>
        <v/>
      </c>
      <c r="I200" s="24">
        <f>'الإدارة المالية'!G8</f>
        <v/>
      </c>
      <c r="J200" s="15">
        <f>IF($G200="",0,$G200*$I200)</f>
        <v/>
      </c>
      <c r="K200" s="15">
        <f>IF($G200="",0,$I200)</f>
        <v/>
      </c>
      <c r="L200" s="13">
        <f>'الإدارة المالية'!B8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المالية'!C9</f>
        <v/>
      </c>
      <c r="D201" s="15">
        <f>'الإدارة المالية'!J9</f>
        <v/>
      </c>
      <c r="E201" s="13">
        <f>'الإدارة المالية'!K9</f>
        <v/>
      </c>
      <c r="F201" s="15">
        <f>'الإدارة المالية'!L9</f>
        <v/>
      </c>
      <c r="G201" s="56">
        <f>'الإدارة المالية'!N9</f>
        <v/>
      </c>
      <c r="H201" s="15">
        <f>'الإدارة المالية'!O9</f>
        <v/>
      </c>
      <c r="I201" s="24">
        <f>'الإدارة المالية'!G9</f>
        <v/>
      </c>
      <c r="J201" s="15">
        <f>IF($G201="",0,$G201*$I201)</f>
        <v/>
      </c>
      <c r="K201" s="15">
        <f>IF($G201="",0,$I201)</f>
        <v/>
      </c>
      <c r="L201" s="13">
        <f>'الإدارة المالية'!B9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56">
        <f>'الإدارة المالية'!N11</f>
        <v/>
      </c>
      <c r="H202" s="15">
        <f>'الإدارة المالية'!O11</f>
        <v/>
      </c>
      <c r="I202" s="24">
        <f>'الإدارة المالية'!G11</f>
        <v/>
      </c>
      <c r="J202" s="15">
        <f>IF($G202="",0,$G202*$I202)</f>
        <v/>
      </c>
      <c r="K202" s="15">
        <f>IF($G202="",0,$I202)</f>
        <v/>
      </c>
      <c r="L202" s="13">
        <f>'الإدارة المالية'!B11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56">
        <f>'الإدارة المالية'!N12</f>
        <v/>
      </c>
      <c r="H203" s="15">
        <f>'الإدارة المالية'!O12</f>
        <v/>
      </c>
      <c r="I203" s="24">
        <f>'الإدارة المالية'!G12</f>
        <v/>
      </c>
      <c r="J203" s="15">
        <f>IF($G203="",0,$G203*$I203)</f>
        <v/>
      </c>
      <c r="K203" s="15">
        <f>IF($G203="",0,$I203)</f>
        <v/>
      </c>
      <c r="L203" s="13">
        <f>'الإدارة المالية'!B12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المالية'!C14</f>
        <v/>
      </c>
      <c r="D204" s="15">
        <f>'الإدارة المالية'!J14</f>
        <v/>
      </c>
      <c r="E204" s="13">
        <f>'الإدارة المالية'!K14</f>
        <v/>
      </c>
      <c r="F204" s="15">
        <f>'الإدارة المالية'!L14</f>
        <v/>
      </c>
      <c r="G204" s="56">
        <f>'الإدارة المالية'!N14</f>
        <v/>
      </c>
      <c r="H204" s="15">
        <f>'الإدارة المالية'!O14</f>
        <v/>
      </c>
      <c r="I204" s="24">
        <f>'الإدارة المالية'!G14</f>
        <v/>
      </c>
      <c r="J204" s="15">
        <f>IF($G204="",0,$G204*$I204)</f>
        <v/>
      </c>
      <c r="K204" s="15">
        <f>IF($G204="",0,$I204)</f>
        <v/>
      </c>
      <c r="L204" s="13">
        <f>'الإدارة المالية'!B14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المالية'!C15</f>
        <v/>
      </c>
      <c r="D205" s="15">
        <f>'الإدارة المالية'!J15</f>
        <v/>
      </c>
      <c r="E205" s="13">
        <f>'الإدارة المالية'!K15</f>
        <v/>
      </c>
      <c r="F205" s="15">
        <f>'الإدارة المالية'!L15</f>
        <v/>
      </c>
      <c r="G205" s="56">
        <f>'الإدارة المالية'!N15</f>
        <v/>
      </c>
      <c r="H205" s="15">
        <f>'الإدارة المالية'!O15</f>
        <v/>
      </c>
      <c r="I205" s="24">
        <f>'الإدارة المالية'!G15</f>
        <v/>
      </c>
      <c r="J205" s="15">
        <f>IF($G205="",0,$G205*$I205)</f>
        <v/>
      </c>
      <c r="K205" s="15">
        <f>IF($G205="",0,$I205)</f>
        <v/>
      </c>
      <c r="L205" s="13">
        <f>'الإدارة المالية'!B15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المالية'!C16</f>
        <v/>
      </c>
      <c r="D206" s="15">
        <f>'الإدارة المالية'!J16</f>
        <v/>
      </c>
      <c r="E206" s="13">
        <f>'الإدارة المالية'!K16</f>
        <v/>
      </c>
      <c r="F206" s="15">
        <f>'الإدارة المالية'!L16</f>
        <v/>
      </c>
      <c r="G206" s="56">
        <f>'الإدارة المالية'!N16</f>
        <v/>
      </c>
      <c r="H206" s="15">
        <f>'الإدارة المالية'!O16</f>
        <v/>
      </c>
      <c r="I206" s="24">
        <f>'الإدارة المالية'!G16</f>
        <v/>
      </c>
      <c r="J206" s="15">
        <f>IF($G206="",0,$G206*$I206)</f>
        <v/>
      </c>
      <c r="K206" s="15">
        <f>IF($G206="",0,$I206)</f>
        <v/>
      </c>
      <c r="L206" s="13">
        <f>'الإدارة المالية'!B16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المالية'!C17</f>
        <v/>
      </c>
      <c r="D207" s="15">
        <f>'الإدارة المالية'!J17</f>
        <v/>
      </c>
      <c r="E207" s="13">
        <f>'الإدارة المالية'!K17</f>
        <v/>
      </c>
      <c r="F207" s="15">
        <f>'الإدارة المالية'!L17</f>
        <v/>
      </c>
      <c r="G207" s="56">
        <f>'الإدارة المالية'!N17</f>
        <v/>
      </c>
      <c r="H207" s="15">
        <f>'الإدارة المالية'!O17</f>
        <v/>
      </c>
      <c r="I207" s="24">
        <f>'الإدارة المالية'!G17</f>
        <v/>
      </c>
      <c r="J207" s="15">
        <f>IF($G207="",0,$G207*$I207)</f>
        <v/>
      </c>
      <c r="K207" s="15">
        <f>IF($G207="",0,$I207)</f>
        <v/>
      </c>
      <c r="L207" s="13">
        <f>'الإدارة المالية'!B17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المالية'!C19</f>
        <v/>
      </c>
      <c r="D208" s="15">
        <f>'الإدارة المالية'!J19</f>
        <v/>
      </c>
      <c r="E208" s="13">
        <f>'الإدارة المالية'!K19</f>
        <v/>
      </c>
      <c r="F208" s="15">
        <f>'الإدارة المالية'!L19</f>
        <v/>
      </c>
      <c r="G208" s="56">
        <f>'الإدارة المالية'!N19</f>
        <v/>
      </c>
      <c r="H208" s="15">
        <f>'الإدارة المالية'!O19</f>
        <v/>
      </c>
      <c r="I208" s="24">
        <f>'الإدارة المالية'!G19</f>
        <v/>
      </c>
      <c r="J208" s="15">
        <f>IF($G208="",0,$G208*$I208)</f>
        <v/>
      </c>
      <c r="K208" s="15">
        <f>IF($G208="",0,$I208)</f>
        <v/>
      </c>
      <c r="L208" s="13">
        <f>'الإدارة المالية'!B19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المالية'!C20</f>
        <v/>
      </c>
      <c r="D209" s="15">
        <f>'الإدارة المالية'!J20</f>
        <v/>
      </c>
      <c r="E209" s="13">
        <f>'الإدارة المالية'!K20</f>
        <v/>
      </c>
      <c r="F209" s="15">
        <f>'الإدارة المالية'!L20</f>
        <v/>
      </c>
      <c r="G209" s="56">
        <f>'الإدارة المالية'!N20</f>
        <v/>
      </c>
      <c r="H209" s="15">
        <f>'الإدارة المالية'!O20</f>
        <v/>
      </c>
      <c r="I209" s="24">
        <f>'الإدارة المالية'!G20</f>
        <v/>
      </c>
      <c r="J209" s="15">
        <f>IF($G209="",0,$G209*$I209)</f>
        <v/>
      </c>
      <c r="K209" s="15">
        <f>IF($G209="",0,$I209)</f>
        <v/>
      </c>
      <c r="L209" s="13">
        <f>'الإدارة المالية'!B20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المالية'!C21</f>
        <v/>
      </c>
      <c r="D210" s="15">
        <f>'الإدارة المالية'!J21</f>
        <v/>
      </c>
      <c r="E210" s="13">
        <f>'الإدارة المالية'!K21</f>
        <v/>
      </c>
      <c r="F210" s="15">
        <f>'الإدارة المالية'!L21</f>
        <v/>
      </c>
      <c r="G210" s="56">
        <f>'الإدارة المالية'!N21</f>
        <v/>
      </c>
      <c r="H210" s="15">
        <f>'الإدارة المالية'!O21</f>
        <v/>
      </c>
      <c r="I210" s="24">
        <f>'الإدارة المالية'!G21</f>
        <v/>
      </c>
      <c r="J210" s="15">
        <f>IF($G210="",0,$G210*$I210)</f>
        <v/>
      </c>
      <c r="K210" s="15">
        <f>IF($G210="",0,$I210)</f>
        <v/>
      </c>
      <c r="L210" s="13">
        <f>'الإدارة المالية'!B21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المالية'!C23</f>
        <v/>
      </c>
      <c r="D211" s="15">
        <f>'الإدارة المالية'!J23</f>
        <v/>
      </c>
      <c r="E211" s="13">
        <f>'الإدارة المالية'!K23</f>
        <v/>
      </c>
      <c r="F211" s="15">
        <f>'الإدارة المالية'!L23</f>
        <v/>
      </c>
      <c r="G211" s="56">
        <f>'الإدارة المالية'!N23</f>
        <v/>
      </c>
      <c r="H211" s="15">
        <f>'الإدارة المالية'!O23</f>
        <v/>
      </c>
      <c r="I211" s="24">
        <f>'الإدارة المالية'!G23</f>
        <v/>
      </c>
      <c r="J211" s="15">
        <f>IF($G211="",0,$G211*$I211)</f>
        <v/>
      </c>
      <c r="K211" s="15">
        <f>IF($G211="",0,$I211)</f>
        <v/>
      </c>
      <c r="L211" s="13">
        <f>'الإدارة المالية'!B23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المالية'!C24</f>
        <v/>
      </c>
      <c r="D212" s="15">
        <f>'الإدارة المالية'!J24</f>
        <v/>
      </c>
      <c r="E212" s="13">
        <f>'الإدارة المالية'!K24</f>
        <v/>
      </c>
      <c r="F212" s="15">
        <f>'الإدارة المالية'!L24</f>
        <v/>
      </c>
      <c r="G212" s="56">
        <f>'الإدارة المالية'!N24</f>
        <v/>
      </c>
      <c r="H212" s="15">
        <f>'الإدارة المالية'!O24</f>
        <v/>
      </c>
      <c r="I212" s="24">
        <f>'الإدارة المالية'!G24</f>
        <v/>
      </c>
      <c r="J212" s="15">
        <f>IF($G212="",0,$G212*$I212)</f>
        <v/>
      </c>
      <c r="K212" s="15">
        <f>IF($G212="",0,$I212)</f>
        <v/>
      </c>
      <c r="L212" s="13">
        <f>'الإدارة المالية'!B24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المالية'!C25</f>
        <v/>
      </c>
      <c r="D213" s="15">
        <f>'الإدارة المالية'!J25</f>
        <v/>
      </c>
      <c r="E213" s="13">
        <f>'الإدارة المالية'!K25</f>
        <v/>
      </c>
      <c r="F213" s="15">
        <f>'الإدارة المالية'!L25</f>
        <v/>
      </c>
      <c r="G213" s="56">
        <f>'الإدارة المالية'!N25</f>
        <v/>
      </c>
      <c r="H213" s="15">
        <f>'الإدارة المالية'!O25</f>
        <v/>
      </c>
      <c r="I213" s="24">
        <f>'الإدارة المالية'!G25</f>
        <v/>
      </c>
      <c r="J213" s="15">
        <f>IF($G213="",0,$G213*$I213)</f>
        <v/>
      </c>
      <c r="K213" s="15">
        <f>IF($G213="",0,$I213)</f>
        <v/>
      </c>
      <c r="L213" s="13">
        <f>'الإدارة المالية'!B25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المالية'!C27</f>
        <v/>
      </c>
      <c r="D214" s="15">
        <f>'الإدارة المالية'!J27</f>
        <v/>
      </c>
      <c r="E214" s="13">
        <f>'الإدارة المالية'!K27</f>
        <v/>
      </c>
      <c r="F214" s="15">
        <f>'الإدارة المالية'!L27</f>
        <v/>
      </c>
      <c r="G214" s="56">
        <f>'الإدارة المالية'!N27</f>
        <v/>
      </c>
      <c r="H214" s="15">
        <f>'الإدارة المالية'!O27</f>
        <v/>
      </c>
      <c r="I214" s="24">
        <f>'الإدارة المالية'!G27</f>
        <v/>
      </c>
      <c r="J214" s="15">
        <f>IF($G214="",0,$G214*$I214)</f>
        <v/>
      </c>
      <c r="K214" s="15">
        <f>IF($G214="",0,$I214)</f>
        <v/>
      </c>
      <c r="L214" s="13">
        <f>'الإدارة المالية'!B27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المالية'!C28</f>
        <v/>
      </c>
      <c r="D215" s="15">
        <f>'الإدارة المالية'!J28</f>
        <v/>
      </c>
      <c r="E215" s="13">
        <f>'الإدارة المالية'!K28</f>
        <v/>
      </c>
      <c r="F215" s="15">
        <f>'الإدارة المالية'!L28</f>
        <v/>
      </c>
      <c r="G215" s="56">
        <f>'الإدارة المالية'!N28</f>
        <v/>
      </c>
      <c r="H215" s="15">
        <f>'الإدارة المالية'!O28</f>
        <v/>
      </c>
      <c r="I215" s="24">
        <f>'الإدارة المالية'!G28</f>
        <v/>
      </c>
      <c r="J215" s="15">
        <f>IF($G215="",0,$G215*$I215)</f>
        <v/>
      </c>
      <c r="K215" s="15">
        <f>IF($G215="",0,$I215)</f>
        <v/>
      </c>
      <c r="L215" s="13">
        <f>'الإدارة المالية'!B28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المالية'!C30</f>
        <v/>
      </c>
      <c r="D216" s="15">
        <f>'الإدارة المالية'!J30</f>
        <v/>
      </c>
      <c r="E216" s="13">
        <f>'الإدارة المالية'!K30</f>
        <v/>
      </c>
      <c r="F216" s="15">
        <f>'الإدارة المالية'!L30</f>
        <v/>
      </c>
      <c r="G216" s="56">
        <f>'الإدارة المالية'!N30</f>
        <v/>
      </c>
      <c r="H216" s="15">
        <f>'الإدارة المالية'!O30</f>
        <v/>
      </c>
      <c r="I216" s="24">
        <f>'الإدارة المالية'!G30</f>
        <v/>
      </c>
      <c r="J216" s="15">
        <f>IF($G216="",0,$G216*$I216)</f>
        <v/>
      </c>
      <c r="K216" s="15">
        <f>IF($G216="",0,$I216)</f>
        <v/>
      </c>
      <c r="L216" s="13">
        <f>'الإدارة المالية'!B30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المالية'!C31</f>
        <v/>
      </c>
      <c r="D217" s="15">
        <f>'الإدارة المالية'!J31</f>
        <v/>
      </c>
      <c r="E217" s="13">
        <f>'الإدارة المالية'!K31</f>
        <v/>
      </c>
      <c r="F217" s="15">
        <f>'الإدارة المالية'!L31</f>
        <v/>
      </c>
      <c r="G217" s="56">
        <f>'الإدارة المالية'!N31</f>
        <v/>
      </c>
      <c r="H217" s="15">
        <f>'الإدارة المالية'!O31</f>
        <v/>
      </c>
      <c r="I217" s="24">
        <f>'الإدارة المالية'!G31</f>
        <v/>
      </c>
      <c r="J217" s="15">
        <f>IF($G217="",0,$G217*$I217)</f>
        <v/>
      </c>
      <c r="K217" s="15">
        <f>IF($G217="",0,$I217)</f>
        <v/>
      </c>
      <c r="L217" s="13">
        <f>'الإدارة المالية'!B31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المالية'!C33</f>
        <v/>
      </c>
      <c r="D218" s="15">
        <f>'الإدارة المالية'!J33</f>
        <v/>
      </c>
      <c r="E218" s="13">
        <f>'الإدارة المالية'!K33</f>
        <v/>
      </c>
      <c r="F218" s="15">
        <f>'الإدارة المالية'!L33</f>
        <v/>
      </c>
      <c r="G218" s="56">
        <f>'الإدارة المالية'!N33</f>
        <v/>
      </c>
      <c r="H218" s="15">
        <f>'الإدارة المالية'!O33</f>
        <v/>
      </c>
      <c r="I218" s="24">
        <f>'الإدارة المالية'!G33</f>
        <v/>
      </c>
      <c r="J218" s="15">
        <f>IF($G218="",0,$G218*$I218)</f>
        <v/>
      </c>
      <c r="K218" s="15">
        <f>IF($G218="",0,$I218)</f>
        <v/>
      </c>
      <c r="L218" s="13">
        <f>'الإدارة المالية'!B33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المالية'!C34</f>
        <v/>
      </c>
      <c r="D219" s="15">
        <f>'الإدارة المالية'!J34</f>
        <v/>
      </c>
      <c r="E219" s="13">
        <f>'الإدارة المالية'!K34</f>
        <v/>
      </c>
      <c r="F219" s="15">
        <f>'الإدارة المالية'!L34</f>
        <v/>
      </c>
      <c r="G219" s="56">
        <f>'الإدارة المالية'!N34</f>
        <v/>
      </c>
      <c r="H219" s="15">
        <f>'الإدارة المالية'!O34</f>
        <v/>
      </c>
      <c r="I219" s="24">
        <f>'الإدارة المالية'!G34</f>
        <v/>
      </c>
      <c r="J219" s="15">
        <f>IF($G219="",0,$G219*$I219)</f>
        <v/>
      </c>
      <c r="K219" s="15">
        <f>IF($G219="",0,$I219)</f>
        <v/>
      </c>
      <c r="L219" s="13">
        <f>'الإدارة المالية'!B34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المالية'!C35</f>
        <v/>
      </c>
      <c r="D220" s="15">
        <f>'الإدارة المالية'!J35</f>
        <v/>
      </c>
      <c r="E220" s="13">
        <f>'الإدارة المالية'!K35</f>
        <v/>
      </c>
      <c r="F220" s="15">
        <f>'الإدارة المالية'!L35</f>
        <v/>
      </c>
      <c r="G220" s="56">
        <f>'الإدارة المالية'!N35</f>
        <v/>
      </c>
      <c r="H220" s="15">
        <f>'الإدارة المالية'!O35</f>
        <v/>
      </c>
      <c r="I220" s="24">
        <f>'الإدارة المالية'!G35</f>
        <v/>
      </c>
      <c r="J220" s="15">
        <f>IF($G220="",0,$G220*$I220)</f>
        <v/>
      </c>
      <c r="K220" s="15">
        <f>IF($G220="",0,$I220)</f>
        <v/>
      </c>
      <c r="L220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2026-07-29T08:46:49Z</dcterms:created>
  <dcterms:modified xmlns:dcterms="http://purl.org/dc/terms/" xmlns:xsi="http://www.w3.org/2001/XMLSchema-instance" xsi:type="dcterms:W3CDTF">2026-07-29T08:46:52Z</dcterms:modified>
</cp:coreProperties>
</file>