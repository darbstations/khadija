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الإدارة التنفيذية" sheetId="11" state="visible" r:id="rId11"/>
    <sheet xmlns:r="http://schemas.openxmlformats.org/officeDocument/2006/relationships" name="الامتياز التجاري" sheetId="12" state="visible" r:id="rId12"/>
    <sheet xmlns:r="http://schemas.openxmlformats.org/officeDocument/2006/relationships" name="التشغيل والمحطات" sheetId="13" state="visible" r:id="rId13"/>
    <sheet xmlns:r="http://schemas.openxmlformats.org/officeDocument/2006/relationships" name="الاستثمار" sheetId="14" state="visible" r:id="rId14"/>
    <sheet xmlns:r="http://schemas.openxmlformats.org/officeDocument/2006/relationships" name="العقار" sheetId="15" state="visible" r:id="rId15"/>
    <sheet xmlns:r="http://schemas.openxmlformats.org/officeDocument/2006/relationships" name="إدارة المشاريع" sheetId="16" state="visible" r:id="rId16"/>
    <sheet xmlns:r="http://schemas.openxmlformats.org/officeDocument/2006/relationships" name="سلاسل الإمداد" sheetId="17" state="visible" r:id="rId17"/>
    <sheet xmlns:r="http://schemas.openxmlformats.org/officeDocument/2006/relationships" name="الصيانة والأتمتة" sheetId="18" state="visible" r:id="rId18"/>
    <sheet xmlns:r="http://schemas.openxmlformats.org/officeDocument/2006/relationships" name="التقنية الرقمية" sheetId="19" state="visible" r:id="rId19"/>
    <sheet xmlns:r="http://schemas.openxmlformats.org/officeDocument/2006/relationships" name="الموارد البشرية" sheetId="20" state="visible" r:id="rId20"/>
    <sheet xmlns:r="http://schemas.openxmlformats.org/officeDocument/2006/relationships" name="التسويق" sheetId="21" state="visible" r:id="rId21"/>
    <sheet xmlns:r="http://schemas.openxmlformats.org/officeDocument/2006/relationships" name="الجودة" sheetId="22" state="visible" r:id="rId22"/>
    <sheet xmlns:r="http://schemas.openxmlformats.org/officeDocument/2006/relationships" name="الإدارة القانونية" sheetId="23" state="visible" r:id="rId23"/>
    <sheet xmlns:r="http://schemas.openxmlformats.org/officeDocument/2006/relationships" name="الإدارة المالية" sheetId="24" state="visible" r:id="rId24"/>
    <sheet xmlns:r="http://schemas.openxmlformats.org/officeDocument/2006/relationships" name="سجل المشاريع" sheetId="25" state="visible" r:id="rId25"/>
    <sheet xmlns:r="http://schemas.openxmlformats.org/officeDocument/2006/relationships" name="قاعدة المؤشرات" sheetId="26" state="hidden" r:id="rId26"/>
  </sheets>
  <definedNames>
    <definedName name="_xlnm._FilterDatabase" localSheetId="4" hidden="1">'تحليل الانحراف'!$A$2:$M$162</definedName>
    <definedName name="_xlnm._FilterDatabase" localSheetId="5" hidden="1">'التتبّع الشهري'!$A$3:$X$226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المؤشرات'!$A$2:$N$225</definedName>
    <definedName name="_xlnm._FilterDatabase" localSheetId="10" hidden="1">'الإدارة التنفيذية'!$A$3:$R$13</definedName>
    <definedName name="_xlnm._FilterDatabase" localSheetId="11" hidden="1">'الامتياز التجاري'!$A$3:$R$33</definedName>
    <definedName name="_xlnm._FilterDatabase" localSheetId="12" hidden="1">'التشغيل والمحطات'!$A$3:$R$19</definedName>
    <definedName name="_xlnm._FilterDatabase" localSheetId="13" hidden="1">'الاستثمار'!$A$3:$R$27</definedName>
    <definedName name="_xlnm._FilterDatabase" localSheetId="14" hidden="1">'العقار'!$A$3:$R$19</definedName>
    <definedName name="_xlnm._FilterDatabase" localSheetId="15" hidden="1">'إدارة المشاريع'!$A$3:$R$18</definedName>
    <definedName name="_xlnm._FilterDatabase" localSheetId="16" hidden="1">'سلاسل الإمداد'!$A$3:$R$15</definedName>
    <definedName name="_xlnm._FilterDatabase" localSheetId="17" hidden="1">'الصيانة والأتمتة'!$A$3:$R$13</definedName>
    <definedName name="_xlnm._FilterDatabase" localSheetId="18" hidden="1">'التقنية الرقمية'!$A$3:$R$15</definedName>
    <definedName name="_xlnm._FilterDatabase" localSheetId="19" hidden="1">'الموارد البشرية'!$A$3:$R$15</definedName>
    <definedName name="_xlnm._FilterDatabase" localSheetId="20" hidden="1">'التسويق'!$A$3:$R$18</definedName>
    <definedName name="_xlnm._FilterDatabase" localSheetId="21" hidden="1">'الجودة'!$A$3:$R$17</definedName>
    <definedName name="_xlnm._FilterDatabase" localSheetId="22" hidden="1">'الإدارة القانونية'!$A$3:$R$16</definedName>
    <definedName name="_xlnm._FilterDatabase" localSheetId="23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المؤشرات'!$G$2:$G$224,'قاعدة المؤشرات'!$D$2:$D$224,"النمو"),"—")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المؤشرات'!$G$2:$G$224,'قاعدة المؤشرات'!$D$2:$D$224,"الابتكار"),"—")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المؤشرات'!$G$2:$G$224,'قاعدة المؤشرات'!$D$2:$D$224,"الاستدامة"),"—")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المؤشرات'!$E$2:$E$224,"التوسع في المواقع")</f>
        <v/>
      </c>
      <c r="E19" s="10">
        <f>IFERROR(AVERAGEIFS('قاعدة المؤشرات'!$G$2:$G$224,'قاعدة المؤشرات'!$E$2:$E$224,"التوسع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المؤشرات'!$E$2:$E$224,"الامتياز التجاري")</f>
        <v/>
      </c>
      <c r="E20" s="10">
        <f>IFERROR(AVERAGEIFS('قاعدة المؤشرات'!$G$2:$G$224,'قاعدة المؤشرات'!$E$2:$E$224,"الامتياز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المؤشرات'!$E$2:$E$224,"زيادة وصول العملاء")</f>
        <v/>
      </c>
      <c r="E21" s="10">
        <f>IFERROR(AVERAGEIFS('قاعدة المؤشرات'!$G$2:$G$224,'قاعدة المؤشرات'!$E$2:$E$224,"زيادة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المؤشرات'!$E$2:$E$224,"إطلاق مشاريع جديدة")</f>
        <v/>
      </c>
      <c r="E22" s="10">
        <f>IFERROR(AVERAGEIFS('قاعدة المؤشرات'!$G$2:$G$224,'قاعدة المؤشرات'!$E$2:$E$224,"إطلاق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المؤشرات'!$E$2:$E$224,"تطوير التصاميم والهوية")</f>
        <v/>
      </c>
      <c r="E23" s="10">
        <f>IFERROR(AVERAGEIFS('قاعدة المؤشرات'!$G$2:$G$224,'قاعدة المؤشرات'!$E$2:$E$224,"تطوير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المؤشرات'!$E$2:$E$224,"التحول التقني")</f>
        <v/>
      </c>
      <c r="E24" s="10">
        <f>IFERROR(AVERAGEIFS('قاعدة المؤشرات'!$G$2:$G$224,'قاعدة المؤشرات'!$E$2:$E$224,"التحول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المؤشرات'!$E$2:$E$224,"ساحات درب")</f>
        <v/>
      </c>
      <c r="E25" s="10">
        <f>IFERROR(AVERAGEIFS('قاعدة المؤشرات'!$G$2:$G$224,'قاعدة المؤشرات'!$E$2:$E$224,"ساحات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المؤشرات'!$E$2:$E$224,"تطبيق «تانكي»")</f>
        <v/>
      </c>
      <c r="E26" s="10">
        <f>IFERROR(AVERAGEIFS('قاعدة المؤشرات'!$G$2:$G$224,'قاعدة المؤشرات'!$E$2:$E$224,"تطبيق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المؤشرات'!$E$2:$E$224,"تعزيز تجربة العملاء")</f>
        <v/>
      </c>
      <c r="E27" s="10">
        <f>IFERROR(AVERAGEIFS('قاعدة المؤشرات'!$G$2:$G$224,'قاعدة المؤشرات'!$E$2:$E$224,"تعزيز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المؤشرات'!$E$2:$E$224,"جودة التشغيل")</f>
        <v/>
      </c>
      <c r="E28" s="10">
        <f>IFERROR(AVERAGEIFS('قاعدة المؤشرات'!$G$2:$G$224,'قاعدة المؤشرات'!$E$2:$E$224,"جودة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المؤشرات'!$E$2:$E$224,"منظومة التأجير")</f>
        <v/>
      </c>
      <c r="E29" s="10">
        <f>IFERROR(AVERAGEIFS('قاعدة المؤشرات'!$G$2:$G$224,'قاعدة المؤشرات'!$E$2:$E$224,"منظومة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المؤشرات'!$E$2:$E$224,"الاستثمار في الموظفين")</f>
        <v/>
      </c>
      <c r="E30" s="10">
        <f>IFERROR(AVERAGEIFS('قاعدة المؤشرات'!$G$2:$G$224,'قاعدة المؤشرات'!$E$2:$E$224,"الاستثمار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المؤشرات'!$G$2:$G$224,'قاعدة المؤشرات'!$F$2:$F$224,"مالي"),"—")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المؤشرات'!$G$2:$G$224,'قاعدة المؤشرات'!$E$2:$E$224,"زيادة وصول العملاء"),"—")</f>
        <v/>
      </c>
      <c r="E10" s="35">
        <f>IFERROR(AVERAGEIFS('قاعدة المؤشرات'!$G$2:$G$224,'قاعدة المؤشرات'!$E$2:$E$224,"تعزيز تجربة العملاء"),"—")</f>
        <v/>
      </c>
      <c r="H10" s="35">
        <f>IFERROR(AVERAGEIFS('قاعدة المؤشرات'!$G$2:$G$224,'قاعدة المؤشرات'!$E$2:$E$224,"تطبيق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المؤشرات'!$G$2:$G$224,'قاعدة المؤشرات'!$E$2:$E$224,"التوسع في المواقع"),"—")</f>
        <v/>
      </c>
      <c r="D14" s="37">
        <f>IFERROR(AVERAGEIFS('قاعدة المؤشرات'!$G$2:$G$224,'قاعدة المؤشرات'!$E$2:$E$224,"الامتياز التجاري"),"—")</f>
        <v/>
      </c>
      <c r="F14" s="37">
        <f>IFERROR(AVERAGEIFS('قاعدة المؤشرات'!$G$2:$G$224,'قاعدة المؤشرات'!$E$2:$E$224,"منظومة التأجير"),"—")</f>
        <v/>
      </c>
      <c r="H14" s="37">
        <f>IFERROR(AVERAGEIFS('قاعدة المؤشرات'!$G$2:$G$224,'قاعدة المؤشرات'!$E$2:$E$224,"ساحات درب"),"—")</f>
        <v/>
      </c>
      <c r="J14" s="37">
        <f>IFERROR(AVERAGEIFS('قاعدة المؤشرات'!$G$2:$G$224,'قاعدة المؤشرات'!$E$2:$E$224,"جودة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المؤشرات'!$G$2:$G$224,'قاعدة المؤشرات'!$E$2:$E$224,"الاستثمار في الموظفين"),"—")</f>
        <v/>
      </c>
      <c r="D18" s="39">
        <f>IFERROR(AVERAGEIFS('قاعدة المؤشرات'!$G$2:$G$224,'قاعدة المؤشرات'!$E$2:$E$224,"التحول التقني"),"—")</f>
        <v/>
      </c>
      <c r="F18" s="39">
        <f>IFERROR(AVERAGEIFS('قاعدة المؤشرات'!$G$2:$G$224,'قاعدة المؤشرات'!$E$2:$E$224,"إطلاق مشاريع جديدة"),"—")</f>
        <v/>
      </c>
      <c r="H18" s="39">
        <f>IFERROR(AVERAGEIFS('قاعدة المؤشرات'!$G$2:$G$224,'قاعدة المؤشرات'!$E$2:$E$224,"تطوير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المؤشرات'!$H$2:$H$224,"✅ محقق",'قاعدة المؤشرات'!$B$2:$B$224,"&lt;&gt;الإدارة التنفيذية")</f>
        <v/>
      </c>
      <c r="D5" s="5">
        <f>COUNTIFS('قاعدة المؤشرات'!$H$2:$H$224,"🟡 قريب",'قاعدة المؤشرات'!$B$2:$B$224,"&lt;&gt;الإدارة التنفيذية")</f>
        <v/>
      </c>
      <c r="E5" s="5">
        <f>COUNTIFS('قاعدة المؤشرات'!$H$2:$H$224,"🔴 تحت الهدف",'قاعدة المؤشرات'!$B$2:$B$224,"&lt;&gt;الإدارة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المؤشرات'!$B$2:$B$224,"الإدارة التنفيذية",'قاعدة المؤشرات'!$J$2:$J$224)/SUMIF('قاعدة المؤشرات'!$B$2:$B$224,"الإدارة التنفيذية",'قاعدة المؤشرات'!$K$2:$K$224),"—")</f>
        <v/>
      </c>
      <c r="D9" s="9" t="inlineStr">
        <is>
          <t>النمو</t>
        </is>
      </c>
      <c r="E9" s="10">
        <f>IFERROR(AVERAGEIFS('قاعدة المؤشرات'!$G$2:$G$224,'قاعدة المؤشرات'!$D$2:$D$224,"النمو"),"—")</f>
        <v/>
      </c>
      <c r="H9" s="15">
        <f>IFERROR(SUMIF('قاعدة المؤشرات'!$B$2:$B$224,"الإدارة التنفيذية",'قاعدة المؤشرات'!$J$2:$J$224)/SUMIF('قاعدة المؤشرات'!$B$2:$B$224,"الإدارة التنفيذية",'قاعدة المؤشرات'!$K$2:$K$224),0)</f>
        <v/>
      </c>
      <c r="I9" s="15" t="n">
        <v>0</v>
      </c>
      <c r="J9" s="15">
        <f>IF(SUMIF('قاعدة المؤشرات'!$B$2:$B$224,"الإدارة التنفيذية",'قاعدة المؤشرات'!$K$2:$K$224)=0,0,1)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المؤشرات'!$B$2:$B$224,"الامتياز التجاري",'قاعدة المؤشرات'!$J$2:$J$224)/SUMIF('قاعدة المؤشرات'!$B$2:$B$224,"الامتياز التجاري",'قاعدة المؤشرات'!$K$2:$K$224),"—")</f>
        <v/>
      </c>
      <c r="D10" s="9" t="inlineStr">
        <is>
          <t>الابتكار</t>
        </is>
      </c>
      <c r="E10" s="10">
        <f>IFERROR(AVERAGEIFS('قاعدة المؤشرات'!$G$2:$G$224,'قاعدة المؤشرات'!$D$2:$D$224,"الابتكار"),"—")</f>
        <v/>
      </c>
      <c r="H10" s="15">
        <f>IFERROR(SUMIF('قاعدة المؤشرات'!$B$2:$B$224,"الامتياز التجاري",'قاعدة المؤشرات'!$J$2:$J$224)/SUMIF('قاعدة المؤشرات'!$B$2:$B$224,"الامتياز التجاري",'قاعدة المؤشرات'!$K$2:$K$224),0)</f>
        <v/>
      </c>
      <c r="I10" s="15" t="n">
        <v>0.14</v>
      </c>
      <c r="J10" s="15">
        <f>IF(SUMIF('قاعدة المؤشرات'!$B$2:$B$224,"الامتياز التجاري",'قاعدة المؤشرات'!$K$2:$K$224)=0,0,1)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المؤشرات'!$B$2:$B$224,"التشغيل والمحطات",'قاعدة المؤشرات'!$J$2:$J$224)/SUMIF('قاعدة المؤشرات'!$B$2:$B$224,"التشغيل والمحطات",'قاعدة المؤشرات'!$K$2:$K$224),"—")</f>
        <v/>
      </c>
      <c r="D11" s="9" t="inlineStr">
        <is>
          <t>الاستدامة</t>
        </is>
      </c>
      <c r="E11" s="10">
        <f>IFERROR(AVERAGEIFS('قاعدة المؤشرات'!$G$2:$G$224,'قاعدة المؤشرات'!$D$2:$D$224,"الاستدامة"),"—")</f>
        <v/>
      </c>
      <c r="H11" s="15">
        <f>IFERROR(SUMIF('قاعدة المؤشرات'!$B$2:$B$224,"التشغيل والمحطات",'قاعدة المؤشرات'!$J$2:$J$224)/SUMIF('قاعدة المؤشرات'!$B$2:$B$224,"التشغيل والمحطات",'قاعدة المؤشرات'!$K$2:$K$224),0)</f>
        <v/>
      </c>
      <c r="I11" s="15" t="n">
        <v>0.12</v>
      </c>
      <c r="J11" s="15">
        <f>IF(SUMIF('قاعدة المؤشرات'!$B$2:$B$224,"التشغيل والمحطات",'قاعدة المؤشرات'!$K$2:$K$224)=0,0,1)</f>
        <v/>
      </c>
    </row>
    <row r="12">
      <c r="B12" s="9" t="inlineStr">
        <is>
          <t>الاستثمار</t>
        </is>
      </c>
      <c r="C12" s="10">
        <f>IFERROR(SUMIF('قاعدة المؤشرات'!$B$2:$B$224,"الاستثمار",'قاعدة المؤشرات'!$J$2:$J$224)/SUMIF('قاعدة المؤشرات'!$B$2:$B$224,"الاستثمار",'قاعدة المؤشرات'!$K$2:$K$224),"—")</f>
        <v/>
      </c>
      <c r="H12" s="15">
        <f>IFERROR(SUMIF('قاعدة المؤشرات'!$B$2:$B$224,"الاستثمار",'قاعدة المؤشرات'!$J$2:$J$224)/SUMIF('قاعدة المؤشرات'!$B$2:$B$224,"الاستثمار",'قاعدة المؤشرات'!$K$2:$K$224),0)</f>
        <v/>
      </c>
      <c r="I12" s="15" t="n">
        <v>0.11</v>
      </c>
      <c r="J12" s="15">
        <f>IF(SUMIF('قاعدة المؤشرات'!$B$2:$B$224,"الاستثمار",'قاعدة المؤشرات'!$K$2:$K$224)=0,0,1)</f>
        <v/>
      </c>
    </row>
    <row r="13">
      <c r="B13" s="9" t="inlineStr">
        <is>
          <t>العقار</t>
        </is>
      </c>
      <c r="C13" s="10">
        <f>IFERROR(SUMIF('قاعدة المؤشرات'!$B$2:$B$224,"العقار",'قاعدة المؤشرات'!$J$2:$J$224)/SUMIF('قاعدة المؤشرات'!$B$2:$B$224,"العقار",'قاعدة المؤشرات'!$K$2:$K$224),"—")</f>
        <v/>
      </c>
      <c r="D13" s="42" t="inlineStr">
        <is>
          <t>حسب منظور BSC</t>
        </is>
      </c>
      <c r="E13" s="7" t="n"/>
      <c r="H13" s="15">
        <f>IFERROR(SUMIF('قاعدة المؤشرات'!$B$2:$B$224,"العقار",'قاعدة المؤشرات'!$J$2:$J$224)/SUMIF('قاعدة المؤشرات'!$B$2:$B$224,"العقار",'قاعدة المؤشرات'!$K$2:$K$224),0)</f>
        <v/>
      </c>
      <c r="I13" s="15" t="n">
        <v>0.09</v>
      </c>
      <c r="J13" s="15">
        <f>IF(SUMIF('قاعدة المؤشرات'!$B$2:$B$224,"العقار",'قاعدة المؤشرات'!$K$2:$K$224)=0,0,1)</f>
        <v/>
      </c>
    </row>
    <row r="14">
      <c r="B14" s="9" t="inlineStr">
        <is>
          <t>إدارة المشاريع</t>
        </is>
      </c>
      <c r="C14" s="10">
        <f>IFERROR(SUMIF('قاعدة المؤشرات'!$B$2:$B$224,"إدارة المشاريع",'قاعدة المؤشرات'!$J$2:$J$224)/SUMIF('قاعدة المؤشرات'!$B$2:$B$224,"إدارة المشاريع",'قاعدة المؤشرات'!$K$2:$K$224),"—")</f>
        <v/>
      </c>
      <c r="D14" s="9" t="inlineStr">
        <is>
          <t>مالي</t>
        </is>
      </c>
      <c r="E14" s="10">
        <f>IFERROR(AVERAGEIFS('قاعدة المؤشرات'!$G$2:$G$224,'قاعدة المؤشرات'!$F$2:$F$224,"مالي"),"—")</f>
        <v/>
      </c>
      <c r="H14" s="15">
        <f>IFERROR(SUMIF('قاعدة المؤشرات'!$B$2:$B$224,"إدارة المشاريع",'قاعدة المؤشرات'!$J$2:$J$224)/SUMIF('قاعدة المؤشرات'!$B$2:$B$224,"إدارة المشاريع",'قاعدة المؤشرات'!$K$2:$K$224),0)</f>
        <v/>
      </c>
      <c r="I14" s="15" t="n">
        <v>0.08</v>
      </c>
      <c r="J14" s="15">
        <f>IF(SUMIF('قاعدة المؤشرات'!$B$2:$B$224,"إدارة المشاريع",'قاعدة المؤشرات'!$K$2:$K$224)=0,0,1)</f>
        <v/>
      </c>
    </row>
    <row r="15">
      <c r="B15" s="9" t="inlineStr">
        <is>
          <t>سلاسل الإمداد</t>
        </is>
      </c>
      <c r="C15" s="10">
        <f>IFERROR(SUMIF('قاعدة المؤشرات'!$B$2:$B$224,"سلاسل الإمداد",'قاعدة المؤشرات'!$J$2:$J$224)/SUMIF('قاعدة المؤشرات'!$B$2:$B$224,"سلاسل الإمداد",'قاعدة المؤشرات'!$K$2:$K$224),"—")</f>
        <v/>
      </c>
      <c r="D15" s="9" t="inlineStr">
        <is>
          <t>العملاء</t>
        </is>
      </c>
      <c r="E15" s="10">
        <f>IFERROR(AVERAGEIFS('قاعدة المؤشرات'!$G$2:$G$224,'قاعدة المؤشرات'!$F$2:$F$224,"العملاء"),"—")</f>
        <v/>
      </c>
      <c r="H15" s="15">
        <f>IFERROR(SUMIF('قاعدة المؤشرات'!$B$2:$B$224,"سلاسل الإمداد",'قاعدة المؤشرات'!$J$2:$J$224)/SUMIF('قاعدة المؤشرات'!$B$2:$B$224,"سلاسل الإمداد",'قاعدة المؤشرات'!$K$2:$K$224),0)</f>
        <v/>
      </c>
      <c r="I15" s="15" t="n">
        <v>0.1</v>
      </c>
      <c r="J15" s="15">
        <f>IF(SUMIF('قاعدة المؤشرات'!$B$2:$B$224,"سلاسل الإمداد",'قاعدة المؤشرات'!$K$2:$K$224)=0,0,1)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المؤشرات'!$B$2:$B$224,"الصيانة والأتمتة",'قاعدة المؤشرات'!$J$2:$J$224)/SUMIF('قاعدة المؤشرات'!$B$2:$B$224,"الصيانة والأتمتة",'قاعدة المؤشرات'!$K$2:$K$224),"—")</f>
        <v/>
      </c>
      <c r="D16" s="9" t="inlineStr">
        <is>
          <t>العمليات الداخلية</t>
        </is>
      </c>
      <c r="E16" s="10">
        <f>IFERROR(AVERAGEIFS('قاعدة المؤشرات'!$G$2:$G$224,'قاعدة المؤشرات'!$F$2:$F$224,"العمليات الداخلية"),"—")</f>
        <v/>
      </c>
      <c r="H16" s="15">
        <f>IFERROR(SUMIF('قاعدة المؤشرات'!$B$2:$B$224,"الصيانة والأتمتة",'قاعدة المؤشرات'!$J$2:$J$224)/SUMIF('قاعدة المؤشرات'!$B$2:$B$224,"الصيانة والأتمتة",'قاعدة المؤشرات'!$K$2:$K$224),0)</f>
        <v/>
      </c>
      <c r="I16" s="15" t="n">
        <v>0.07000000000000001</v>
      </c>
      <c r="J16" s="15">
        <f>IF(SUMIF('قاعدة المؤشرات'!$B$2:$B$224,"الصيانة والأتمتة",'قاعدة المؤشرات'!$K$2:$K$224)=0,0,1)</f>
        <v/>
      </c>
    </row>
    <row r="17">
      <c r="B17" s="9" t="inlineStr">
        <is>
          <t>التقنية الرقمية</t>
        </is>
      </c>
      <c r="C17" s="10">
        <f>IFERROR(SUMIF('قاعدة المؤشرات'!$B$2:$B$224,"التقنية الرقمية",'قاعدة المؤشرات'!$J$2:$J$224)/SUMIF('قاعدة المؤشرات'!$B$2:$B$224,"التقنية الرقمية",'قاعدة المؤشرات'!$K$2:$K$224),"—")</f>
        <v/>
      </c>
      <c r="D17" s="9" t="inlineStr">
        <is>
          <t>التعلّم والنمو</t>
        </is>
      </c>
      <c r="E17" s="10">
        <f>IFERROR(AVERAGEIFS('قاعدة المؤشرات'!$G$2:$G$224,'قاعدة المؤشرات'!$F$2:$F$224,"التعلّم والنمو"),"—")</f>
        <v/>
      </c>
      <c r="H17" s="15">
        <f>IFERROR(SUMIF('قاعدة المؤشرات'!$B$2:$B$224,"التقنية الرقمية",'قاعدة المؤشرات'!$J$2:$J$224)/SUMIF('قاعدة المؤشرات'!$B$2:$B$224,"التقنية الرقمية",'قاعدة المؤشرات'!$K$2:$K$224),0)</f>
        <v/>
      </c>
      <c r="I17" s="15" t="n">
        <v>0.04</v>
      </c>
      <c r="J17" s="15">
        <f>IF(SUMIF('قاعدة المؤشرات'!$B$2:$B$224,"التقنية الرقمية",'قاعدة المؤشرات'!$K$2:$K$224)=0,0,1)</f>
        <v/>
      </c>
    </row>
    <row r="18">
      <c r="B18" s="9" t="inlineStr">
        <is>
          <t>الموارد البشرية</t>
        </is>
      </c>
      <c r="C18" s="10">
        <f>IFERROR(SUMIF('قاعدة المؤشرات'!$B$2:$B$224,"الموارد البشرية",'قاعدة المؤشرات'!$J$2:$J$224)/SUMIF('قاعدة المؤشرات'!$B$2:$B$224,"الموارد البشرية",'قاعدة المؤشرات'!$K$2:$K$224),"—")</f>
        <v/>
      </c>
      <c r="H18" s="15">
        <f>IFERROR(SUMIF('قاعدة المؤشرات'!$B$2:$B$224,"الموارد البشرية",'قاعدة المؤشرات'!$J$2:$J$224)/SUMIF('قاعدة المؤشرات'!$B$2:$B$224,"الموارد البشرية",'قاعدة المؤشرات'!$K$2:$K$224),0)</f>
        <v/>
      </c>
      <c r="I18" s="15" t="n">
        <v>0.04</v>
      </c>
      <c r="J18" s="15">
        <f>IF(SUMIF('قاعدة المؤشرات'!$B$2:$B$224,"الموارد البشرية",'قاعدة المؤشرات'!$K$2:$K$224)=0,0,1)</f>
        <v/>
      </c>
    </row>
    <row r="19">
      <c r="B19" s="9" t="inlineStr">
        <is>
          <t>التسويق</t>
        </is>
      </c>
      <c r="C19" s="10">
        <f>IFERROR(SUMIF('قاعدة المؤشرات'!$B$2:$B$224,"التسويق",'قاعدة المؤشرات'!$J$2:$J$224)/SUMIF('قاعدة المؤشرات'!$B$2:$B$224,"التسويق",'قاعدة المؤشرات'!$K$2:$K$224),"—")</f>
        <v/>
      </c>
      <c r="H19" s="15">
        <f>IFERROR(SUMIF('قاعدة المؤشرات'!$B$2:$B$224,"التسويق",'قاعدة المؤشرات'!$J$2:$J$224)/SUMIF('قاعدة المؤشرات'!$B$2:$B$224,"التسويق",'قاعدة المؤشرات'!$K$2:$K$224),0)</f>
        <v/>
      </c>
      <c r="I19" s="15" t="n">
        <v>0.05</v>
      </c>
      <c r="J19" s="15">
        <f>IF(SUMIF('قاعدة المؤشرات'!$B$2:$B$224,"التسويق",'قاعدة المؤشرات'!$K$2:$K$224)=0,0,1)</f>
        <v/>
      </c>
    </row>
    <row r="20">
      <c r="B20" s="9" t="inlineStr">
        <is>
          <t>الجودة</t>
        </is>
      </c>
      <c r="C20" s="10">
        <f>IFERROR(SUMIF('قاعدة المؤشرات'!$B$2:$B$224,"الجودة",'قاعدة المؤشرات'!$J$2:$J$224)/SUMIF('قاعدة المؤشرات'!$B$2:$B$224,"الجودة",'قاعدة المؤشرات'!$K$2:$K$224),"—")</f>
        <v/>
      </c>
      <c r="H20" s="15">
        <f>IFERROR(SUMIF('قاعدة المؤشرات'!$B$2:$B$224,"الجودة",'قاعدة المؤشرات'!$J$2:$J$224)/SUMIF('قاعدة المؤشرات'!$B$2:$B$224,"الجودة",'قاعدة المؤشرات'!$K$2:$K$224),0)</f>
        <v/>
      </c>
      <c r="I20" s="15" t="n">
        <v>0.05</v>
      </c>
      <c r="J20" s="15">
        <f>IF(SUMIF('قاعدة المؤشرات'!$B$2:$B$224,"الجودة",'قاعدة المؤشرات'!$K$2:$K$224)=0,0,1)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المؤشرات'!$B$2:$B$224,"الإدارة القانونية",'قاعدة المؤشرات'!$J$2:$J$224)/SUMIF('قاعدة المؤشرات'!$B$2:$B$224,"الإدارة القانونية",'قاعدة المؤشرات'!$K$2:$K$224),"—")</f>
        <v/>
      </c>
      <c r="H21" s="15">
        <f>IFERROR(SUMIF('قاعدة المؤشرات'!$B$2:$B$224,"الإدارة القانونية",'قاعدة المؤشرات'!$J$2:$J$224)/SUMIF('قاعدة المؤشرات'!$B$2:$B$224,"الإدارة القانونية",'قاعدة المؤشرات'!$K$2:$K$224),0)</f>
        <v/>
      </c>
      <c r="I21" s="15" t="n">
        <v>0.03</v>
      </c>
      <c r="J21" s="15">
        <f>IF(SUMIF('قاعدة المؤشرات'!$B$2:$B$224,"الإدارة القانونية",'قاعدة المؤشرات'!$K$2:$K$224)=0,0,1)</f>
        <v/>
      </c>
    </row>
    <row r="22">
      <c r="B22" s="9" t="inlineStr">
        <is>
          <t>الإدارة المالية</t>
        </is>
      </c>
      <c r="C22" s="10">
        <f>IFERROR(SUMIF('قاعدة المؤشرات'!$B$2:$B$224,"الإدارة المالية",'قاعدة المؤشرات'!$J$2:$J$224)/SUMIF('قاعدة المؤشرات'!$B$2:$B$224,"الإدارة المالية",'قاعدة المؤشرات'!$K$2:$K$224),"—")</f>
        <v/>
      </c>
      <c r="H22" s="15">
        <f>IFERROR(SUMIF('قاعدة المؤشرات'!$B$2:$B$224,"الإدارة المالية",'قاعدة المؤشرات'!$J$2:$J$224)/SUMIF('قاعدة المؤشرات'!$B$2:$B$224,"الإدارة المالية",'قاعدة المؤشرات'!$K$2:$K$224),0)</f>
        <v/>
      </c>
      <c r="I22" s="15" t="n">
        <v>0.08</v>
      </c>
      <c r="J22" s="15">
        <f>IF(SUMIF('قاعدة المؤشرات'!$B$2:$B$224,"الإدارة المالية",'قاعدة المؤشرات'!$K$2:$K$224)=0,0,1)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التسويق</t>
        </is>
      </c>
      <c r="C7" s="24" t="inlineStr">
        <is>
          <t>الوصول الكلي (Total Reach)</t>
        </is>
      </c>
      <c r="D7" s="46" t="n">
        <v>5000000</v>
      </c>
      <c r="E7" s="46" t="n">
        <v>50000000</v>
      </c>
      <c r="F7" s="47" t="n">
        <v>0.1</v>
      </c>
      <c r="G7" s="12" t="n">
        <v>0.9</v>
      </c>
      <c r="H7" s="46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نسبة التزام الهوية البصرية</t>
        </is>
      </c>
      <c r="D8" s="46" t="n">
        <v>0.1</v>
      </c>
      <c r="E8" s="46" t="n">
        <v>1</v>
      </c>
      <c r="F8" s="47" t="n">
        <v>0.1</v>
      </c>
      <c r="G8" s="12" t="n">
        <v>0.9</v>
      </c>
      <c r="H8" s="46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المبيعات لكل حملة</t>
        </is>
      </c>
      <c r="D9" s="46" t="n">
        <v>0.16</v>
      </c>
      <c r="E9" s="46" t="n">
        <v>1</v>
      </c>
      <c r="F9" s="47" t="n">
        <v>0.16</v>
      </c>
      <c r="G9" s="12" t="n">
        <v>0.84</v>
      </c>
      <c r="H9" s="46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وصول العلاقات العامة (PR)</t>
        </is>
      </c>
      <c r="D10" s="46" t="n">
        <v>1500000</v>
      </c>
      <c r="E10" s="46" t="n">
        <v>7000000</v>
      </c>
      <c r="F10" s="47" t="n">
        <v>0.2142857142857143</v>
      </c>
      <c r="G10" s="12" t="n">
        <v>0.7857142857142857</v>
      </c>
      <c r="H10" s="46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التسويق</t>
        </is>
      </c>
      <c r="C11" s="24" t="inlineStr">
        <is>
          <t>حملات تسويقية منجزة</t>
        </is>
      </c>
      <c r="D11" s="46" t="n">
        <v>11</v>
      </c>
      <c r="E11" s="46" t="n">
        <v>48</v>
      </c>
      <c r="F11" s="47" t="n">
        <v>0.2291666666666667</v>
      </c>
      <c r="G11" s="12" t="n">
        <v>0.7708333333333334</v>
      </c>
      <c r="H11" s="46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إجمالي المتابعين (كل المنصات)</t>
        </is>
      </c>
      <c r="D12" s="46" t="n">
        <v>253000</v>
      </c>
      <c r="E12" s="46" t="n">
        <v>380000</v>
      </c>
      <c r="F12" s="47" t="n">
        <v>0.6657894736842105</v>
      </c>
      <c r="G12" s="12" t="n">
        <v>0.3342105263157895</v>
      </c>
      <c r="H12" s="46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تحويل الفرص إلى عقود</t>
        </is>
      </c>
      <c r="D13" s="46" t="n">
        <v>0.17</v>
      </c>
      <c r="E13" s="46" t="n">
        <v>0.25</v>
      </c>
      <c r="F13" s="47" t="n">
        <v>0.68</v>
      </c>
      <c r="G13" s="12" t="n">
        <v>0.32</v>
      </c>
      <c r="H13" s="46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التسويق</t>
        </is>
      </c>
      <c r="C14" s="24" t="inlineStr">
        <is>
          <t>معدل خفض الشكاوى</t>
        </is>
      </c>
      <c r="D14" s="46" t="n">
        <v>0.21</v>
      </c>
      <c r="E14" s="46" t="n">
        <v>0.3</v>
      </c>
      <c r="F14" s="47" t="n">
        <v>0.7</v>
      </c>
      <c r="G14" s="12" t="n">
        <v>0.3</v>
      </c>
      <c r="H14" s="46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48" t="n"/>
    </row>
    <row r="15">
      <c r="A15" s="15" t="n">
        <v>13</v>
      </c>
      <c r="B15" s="13" t="inlineStr">
        <is>
          <t>الصيانة والأتمتة</t>
        </is>
      </c>
      <c r="C15" s="24" t="inlineStr">
        <is>
          <t>نسبة التشغيل السليم لأنظمة الأتمتة (Uptime)</t>
        </is>
      </c>
      <c r="D15" s="46" t="n">
        <v>0.715</v>
      </c>
      <c r="E15" s="46" t="n">
        <v>0.99</v>
      </c>
      <c r="F15" s="47" t="n">
        <v>0.7222222222222222</v>
      </c>
      <c r="G15" s="12" t="n">
        <v>0.2777777777777778</v>
      </c>
      <c r="H15" s="46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مشاركات تطبيق تانكي</t>
        </is>
      </c>
      <c r="D16" s="46" t="n">
        <v>180.7</v>
      </c>
      <c r="E16" s="46" t="n">
        <v>250</v>
      </c>
      <c r="F16" s="47" t="n">
        <v>0.7228</v>
      </c>
      <c r="G16" s="12" t="n">
        <v>0.2772</v>
      </c>
      <c r="H16" s="46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الإدارة القانونية</t>
        </is>
      </c>
      <c r="C17" s="24" t="inlineStr">
        <is>
          <t>نسبة تنفيذ التوصيات الصادرة عن التحقيقات</t>
        </is>
      </c>
      <c r="D17" s="46" t="n">
        <v>0.651</v>
      </c>
      <c r="E17" s="46" t="n">
        <v>0.9</v>
      </c>
      <c r="F17" s="47" t="n">
        <v>0.7233333333333334</v>
      </c>
      <c r="G17" s="12" t="n">
        <v>0.2766666666666666</v>
      </c>
      <c r="H17" s="46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48" t="n"/>
    </row>
    <row r="18">
      <c r="A18" s="15" t="n">
        <v>16</v>
      </c>
      <c r="B18" s="13" t="inlineStr">
        <is>
          <t>الاستثمار</t>
        </is>
      </c>
      <c r="C18" s="24" t="inlineStr">
        <is>
          <t>عقود تشغيل المحطة الجديدة</t>
        </is>
      </c>
      <c r="D18" s="46" t="n">
        <v>49.4</v>
      </c>
      <c r="E18" s="46" t="n">
        <v>68</v>
      </c>
      <c r="F18" s="47" t="n">
        <v>0.7264705882352941</v>
      </c>
      <c r="G18" s="12" t="n">
        <v>0.2735294117647059</v>
      </c>
      <c r="H18" s="46" t="n">
        <v>98.8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كفاءة تكاليف الصيانة (الالتزام بالميزانية)</t>
        </is>
      </c>
      <c r="D19" s="46" t="n">
        <v>0.6919999999999999</v>
      </c>
      <c r="E19" s="46" t="n">
        <v>0.95</v>
      </c>
      <c r="F19" s="47" t="n">
        <v>0.728421052631579</v>
      </c>
      <c r="G19" s="12" t="n">
        <v>0.271578947368421</v>
      </c>
      <c r="H19" s="46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الإدارة القانونية</t>
        </is>
      </c>
      <c r="C20" s="24" t="inlineStr">
        <is>
          <t>نسبة الاستشارات المُنجزة ضمن المدة المستهدفة (SLA)</t>
        </is>
      </c>
      <c r="D20" s="46" t="n">
        <v>0.659</v>
      </c>
      <c r="E20" s="46" t="n">
        <v>0.9</v>
      </c>
      <c r="F20" s="47" t="n">
        <v>0.7322222222222222</v>
      </c>
      <c r="G20" s="12" t="n">
        <v>0.2677777777777778</v>
      </c>
      <c r="H20" s="46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نسبة إغلاق تقييمات الأداء وخطط الإحلال للوظائف الحرجة</t>
        </is>
      </c>
      <c r="D21" s="46" t="n">
        <v>0.696</v>
      </c>
      <c r="E21" s="46" t="n">
        <v>0.95</v>
      </c>
      <c r="F21" s="47" t="n">
        <v>0.7326315789473684</v>
      </c>
      <c r="G21" s="12" t="n">
        <v>0.2673684210526316</v>
      </c>
      <c r="H21" s="46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الامتياز التجاري</t>
        </is>
      </c>
      <c r="C22" s="24" t="inlineStr">
        <is>
          <t>عدد محطات الامتياز المشغّلة (تراكمي)</t>
        </is>
      </c>
      <c r="D22" s="46" t="n">
        <v>110</v>
      </c>
      <c r="E22" s="46" t="n">
        <v>150</v>
      </c>
      <c r="F22" s="47" t="n">
        <v>0.7333333333333333</v>
      </c>
      <c r="G22" s="12" t="n">
        <v>0.2666666666666667</v>
      </c>
      <c r="H22" s="46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48" t="n"/>
    </row>
    <row r="23">
      <c r="A23" s="15" t="n">
        <v>21</v>
      </c>
      <c r="B23" s="13" t="inlineStr">
        <is>
          <t>الإدارة المالية</t>
        </is>
      </c>
      <c r="C23" s="24" t="inlineStr">
        <is>
          <t>نسبة التحصيل العام (الشركة)</t>
        </is>
      </c>
      <c r="D23" s="46" t="n">
        <v>0.699</v>
      </c>
      <c r="E23" s="46" t="n">
        <v>0.95</v>
      </c>
      <c r="F23" s="47" t="n">
        <v>0.7357894736842105</v>
      </c>
      <c r="G23" s="12" t="n">
        <v>0.2642105263157895</v>
      </c>
      <c r="H23" s="46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48" t="n"/>
    </row>
    <row r="24">
      <c r="A24" s="15" t="n">
        <v>22</v>
      </c>
      <c r="B24" s="13" t="inlineStr">
        <is>
          <t>الاستثمار</t>
        </is>
      </c>
      <c r="C24" s="24" t="inlineStr">
        <is>
          <t>عقود تأجير الأرض الجديدة</t>
        </is>
      </c>
      <c r="D24" s="46" t="n">
        <v>8.1</v>
      </c>
      <c r="E24" s="46" t="n">
        <v>11</v>
      </c>
      <c r="F24" s="47" t="n">
        <v>0.7363636363636363</v>
      </c>
      <c r="G24" s="12" t="n">
        <v>0.2636363636363637</v>
      </c>
      <c r="H24" s="46" t="n">
        <v>16.2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نسبة تخفيض إيجار المواقع عالية التكاليف</t>
        </is>
      </c>
      <c r="D25" s="46" t="n">
        <v>0.221</v>
      </c>
      <c r="E25" s="46" t="n">
        <v>0.3</v>
      </c>
      <c r="F25" s="47" t="n">
        <v>0.7366666666666667</v>
      </c>
      <c r="G25" s="12" t="n">
        <v>0.2633333333333333</v>
      </c>
      <c r="H25" s="46" t="n">
        <v>0.221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الامتياز التجاري</t>
        </is>
      </c>
      <c r="C26" s="24" t="inlineStr">
        <is>
          <t>متوسط تقييم المحطات على خرائط قوقل</t>
        </is>
      </c>
      <c r="D26" s="46" t="n">
        <v>3.474</v>
      </c>
      <c r="E26" s="46" t="n">
        <v>4.7</v>
      </c>
      <c r="F26" s="47" t="n">
        <v>0.7391489361702128</v>
      </c>
      <c r="G26" s="12" t="n">
        <v>0.2608510638297872</v>
      </c>
      <c r="H26" s="46" t="n">
        <v>3.474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48" t="n"/>
    </row>
    <row r="27">
      <c r="A27" s="15" t="n">
        <v>25</v>
      </c>
      <c r="B27" s="13" t="inlineStr">
        <is>
          <t>الإدارة المالية</t>
        </is>
      </c>
      <c r="C27" s="24" t="inlineStr">
        <is>
          <t>العائد على حقوق الملكية (ROE)</t>
        </is>
      </c>
      <c r="D27" s="46" t="n">
        <v>0.074</v>
      </c>
      <c r="E27" s="46" t="n">
        <v>0.1</v>
      </c>
      <c r="F27" s="47" t="n">
        <v>0.7399999999999999</v>
      </c>
      <c r="G27" s="12" t="n">
        <v>0.2600000000000001</v>
      </c>
      <c r="H27" s="46" t="n">
        <v>0.074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48" t="n"/>
    </row>
    <row r="28">
      <c r="A28" s="15" t="n">
        <v>26</v>
      </c>
      <c r="B28" s="13" t="inlineStr">
        <is>
          <t>التشغيل والمحطات</t>
        </is>
      </c>
      <c r="C28" s="24" t="inlineStr">
        <is>
          <t>التشجير داخل المحطة (معيار الوزارة)</t>
        </is>
      </c>
      <c r="D28" s="46" t="n">
        <v>0.747</v>
      </c>
      <c r="E28" s="46" t="n">
        <v>1</v>
      </c>
      <c r="F28" s="47" t="n">
        <v>0.747</v>
      </c>
      <c r="G28" s="12" t="n">
        <v>0.253</v>
      </c>
      <c r="H28" s="46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نسبة أتمتة محطات الامتياز</t>
        </is>
      </c>
      <c r="D29" s="46" t="n">
        <v>0.674</v>
      </c>
      <c r="E29" s="46" t="n">
        <v>0.9</v>
      </c>
      <c r="F29" s="47" t="n">
        <v>0.7488888888888889</v>
      </c>
      <c r="G29" s="12" t="n">
        <v>0.2511111111111111</v>
      </c>
      <c r="H29" s="46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التنفيذية</t>
        </is>
      </c>
      <c r="C30" s="24" t="inlineStr">
        <is>
          <t>الالتزام بمعايير وزارة الطاقة (تغطية 13 منطقة)</t>
        </is>
      </c>
      <c r="D30" s="46" t="n">
        <v>0.749</v>
      </c>
      <c r="E30" s="46" t="n">
        <v>1</v>
      </c>
      <c r="F30" s="47" t="n">
        <v>0.749</v>
      </c>
      <c r="G30" s="12" t="n">
        <v>0.251</v>
      </c>
      <c r="H30" s="46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48" t="n"/>
    </row>
    <row r="31">
      <c r="A31" s="15" t="n">
        <v>29</v>
      </c>
      <c r="B31" s="13" t="inlineStr">
        <is>
          <t>الإدارة التنفيذية</t>
        </is>
      </c>
      <c r="C31" s="24" t="inlineStr">
        <is>
          <t>مؤشر رضا الموظفين العام (eNPS)</t>
        </is>
      </c>
      <c r="D31" s="46" t="n">
        <v>22.5</v>
      </c>
      <c r="E31" s="46" t="n">
        <v>30</v>
      </c>
      <c r="F31" s="47" t="n">
        <v>0.75</v>
      </c>
      <c r="G31" s="12" t="n">
        <v>0.25</v>
      </c>
      <c r="H31" s="46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48" t="n"/>
    </row>
    <row r="32">
      <c r="A32" s="15" t="n">
        <v>30</v>
      </c>
      <c r="B32" s="13" t="inlineStr">
        <is>
          <t>الاستثمار</t>
        </is>
      </c>
      <c r="C32" s="24" t="inlineStr">
        <is>
          <t>نسبة اكتمال المستندات النظامية قبل التوقيع</t>
        </is>
      </c>
      <c r="D32" s="46" t="n">
        <v>0.751</v>
      </c>
      <c r="E32" s="46" t="n">
        <v>1</v>
      </c>
      <c r="F32" s="47" t="n">
        <v>0.751</v>
      </c>
      <c r="G32" s="12" t="n">
        <v>0.249</v>
      </c>
      <c r="H32" s="46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48" t="n"/>
    </row>
    <row r="33">
      <c r="A33" s="15" t="n">
        <v>31</v>
      </c>
      <c r="B33" s="13" t="inlineStr">
        <is>
          <t>التقنية الرقمية</t>
        </is>
      </c>
      <c r="C33" s="24" t="inlineStr">
        <is>
          <t>نسبة الالتزام بإدارة صلاحيات المستخدمين والحسابات</t>
        </is>
      </c>
      <c r="D33" s="46" t="n">
        <v>0.756</v>
      </c>
      <c r="E33" s="46" t="n">
        <v>1</v>
      </c>
      <c r="F33" s="47" t="n">
        <v>0.756</v>
      </c>
      <c r="G33" s="12" t="n">
        <v>0.244</v>
      </c>
      <c r="H33" s="46" t="n">
        <v>0.756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التقنية</t>
        </is>
      </c>
      <c r="M33" s="48" t="n"/>
    </row>
    <row r="34">
      <c r="A34" s="15" t="n">
        <v>32</v>
      </c>
      <c r="B34" s="13" t="inlineStr">
        <is>
          <t>الإدارة القانونية</t>
        </is>
      </c>
      <c r="C34" s="24" t="inlineStr">
        <is>
          <t>نسبة التحقيقات المُغلقة من إجمالي المُحالة</t>
        </is>
      </c>
      <c r="D34" s="46" t="n">
        <v>0.719</v>
      </c>
      <c r="E34" s="46" t="n">
        <v>0.95</v>
      </c>
      <c r="F34" s="47" t="n">
        <v>0.7568421052631579</v>
      </c>
      <c r="G34" s="12" t="n">
        <v>0.2431578947368421</v>
      </c>
      <c r="H34" s="46" t="n">
        <v>0.719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48" t="n"/>
    </row>
    <row r="35">
      <c r="A35" s="15" t="n">
        <v>33</v>
      </c>
      <c r="B35" s="13" t="inlineStr">
        <is>
          <t>الإدارة القانونية</t>
        </is>
      </c>
      <c r="C35" s="24" t="inlineStr">
        <is>
          <t>نسبة التزام التحقيقات بالإجراءات النظامية والعدالة الإجرائية</t>
        </is>
      </c>
      <c r="D35" s="46" t="n">
        <v>0.76</v>
      </c>
      <c r="E35" s="46" t="n">
        <v>1</v>
      </c>
      <c r="F35" s="47" t="n">
        <v>0.76</v>
      </c>
      <c r="G35" s="12" t="n">
        <v>0.24</v>
      </c>
      <c r="H35" s="46" t="n">
        <v>0.76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48" t="n"/>
    </row>
    <row r="36">
      <c r="A36" s="15" t="n">
        <v>34</v>
      </c>
      <c r="B36" s="13" t="inlineStr">
        <is>
          <t>الإدارة المالية</t>
        </is>
      </c>
      <c r="C36" s="24" t="inlineStr">
        <is>
          <t>دقة تسوية أرامكو</t>
        </is>
      </c>
      <c r="D36" s="46" t="n">
        <v>0.76</v>
      </c>
      <c r="E36" s="46" t="n">
        <v>1</v>
      </c>
      <c r="F36" s="47" t="n">
        <v>0.76</v>
      </c>
      <c r="G36" s="12" t="n">
        <v>0.24</v>
      </c>
      <c r="H36" s="46" t="n">
        <v>0.76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المالي</t>
        </is>
      </c>
      <c r="M36" s="48" t="n"/>
    </row>
    <row r="37">
      <c r="A37" s="15" t="n">
        <v>35</v>
      </c>
      <c r="B37" s="13" t="inlineStr">
        <is>
          <t>الجودة</t>
        </is>
      </c>
      <c r="C37" s="24" t="inlineStr">
        <is>
          <t>نسبة فعالية الإجراءات التصحيحية</t>
        </is>
      </c>
      <c r="D37" s="46" t="n">
        <v>0.648</v>
      </c>
      <c r="E37" s="46" t="n">
        <v>0.85</v>
      </c>
      <c r="F37" s="47" t="n">
        <v>0.7623529411764707</v>
      </c>
      <c r="G37" s="12" t="n">
        <v>0.2376470588235293</v>
      </c>
      <c r="H37" s="46" t="n">
        <v>0.648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الجودة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إغلاق الملاحظات في الوقت المحدد</t>
        </is>
      </c>
      <c r="D38" s="46" t="n">
        <v>0.6870000000000001</v>
      </c>
      <c r="E38" s="46" t="n">
        <v>0.9</v>
      </c>
      <c r="F38" s="47" t="n">
        <v>0.7633333333333334</v>
      </c>
      <c r="G38" s="12" t="n">
        <v>0.2366666666666666</v>
      </c>
      <c r="H38" s="46" t="n">
        <v>0.6870000000000001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تنفيذ خطة التفتيش والتدقيق</t>
        </is>
      </c>
      <c r="D39" s="46" t="n">
        <v>0.728</v>
      </c>
      <c r="E39" s="46" t="n">
        <v>0.95</v>
      </c>
      <c r="F39" s="47" t="n">
        <v>0.7663157894736842</v>
      </c>
      <c r="G39" s="12" t="n">
        <v>0.2336842105263158</v>
      </c>
      <c r="H39" s="46" t="n">
        <v>0.728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الموارد البشرية</t>
        </is>
      </c>
      <c r="C40" s="24" t="inlineStr">
        <is>
          <t>نسبة تنفيذ برامج التدريب والتأهيل المعتمدة</t>
        </is>
      </c>
      <c r="D40" s="46" t="n">
        <v>0.6899999999999999</v>
      </c>
      <c r="E40" s="46" t="n">
        <v>0.9</v>
      </c>
      <c r="F40" s="47" t="n">
        <v>0.7666666666666666</v>
      </c>
      <c r="G40" s="12" t="n">
        <v>0.2333333333333334</v>
      </c>
      <c r="H40" s="46" t="n">
        <v>0.6899999999999999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الموارد البشرية</t>
        </is>
      </c>
      <c r="M40" s="48" t="n"/>
    </row>
    <row r="41">
      <c r="A41" s="15" t="n">
        <v>39</v>
      </c>
      <c r="B41" s="13" t="inlineStr">
        <is>
          <t>الإدارة التنفيذية</t>
        </is>
      </c>
      <c r="C41" s="24" t="inlineStr">
        <is>
          <t>نسبة الالتزام بإطار الحوكمة المؤسسية والامتثال التنظيمي</t>
        </is>
      </c>
      <c r="D41" s="46" t="n">
        <v>0.729</v>
      </c>
      <c r="E41" s="46" t="n">
        <v>0.95</v>
      </c>
      <c r="F41" s="47" t="n">
        <v>0.7673684210526316</v>
      </c>
      <c r="G41" s="12" t="n">
        <v>0.2326315789473684</v>
      </c>
      <c r="H41" s="46" t="n">
        <v>0.729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الرئيس التنفيذي</t>
        </is>
      </c>
      <c r="M41" s="48" t="n"/>
    </row>
    <row r="42">
      <c r="A42" s="15" t="n">
        <v>40</v>
      </c>
      <c r="B42" s="13" t="inlineStr">
        <is>
          <t>الإدارة المالية</t>
        </is>
      </c>
      <c r="C42" s="24" t="inlineStr">
        <is>
          <t>سداد الموردين في الموعد</t>
        </is>
      </c>
      <c r="D42" s="46" t="n">
        <v>0.754</v>
      </c>
      <c r="E42" s="46" t="n">
        <v>0.98</v>
      </c>
      <c r="F42" s="47" t="n">
        <v>0.7693877551020408</v>
      </c>
      <c r="G42" s="12" t="n">
        <v>0.2306122448979592</v>
      </c>
      <c r="H42" s="46" t="n">
        <v>0.754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48" t="n"/>
    </row>
    <row r="43">
      <c r="A43" s="15" t="n">
        <v>41</v>
      </c>
      <c r="B43" s="13" t="inlineStr">
        <is>
          <t>الموارد البشرية</t>
        </is>
      </c>
      <c r="C43" s="24" t="inlineStr">
        <is>
          <t>نسبة الالتزام بالتوطين والامتثال الحكومي دون مخالفات</t>
        </is>
      </c>
      <c r="D43" s="46" t="n">
        <v>0.77</v>
      </c>
      <c r="E43" s="46" t="n">
        <v>1</v>
      </c>
      <c r="F43" s="47" t="n">
        <v>0.77</v>
      </c>
      <c r="G43" s="12" t="n">
        <v>0.23</v>
      </c>
      <c r="H43" s="46" t="n">
        <v>0.77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48" t="n"/>
    </row>
    <row r="44">
      <c r="A44" s="15" t="n">
        <v>42</v>
      </c>
      <c r="B44" s="13" t="inlineStr">
        <is>
          <t>إدارة المشاريع</t>
        </is>
      </c>
      <c r="C44" s="24" t="inlineStr">
        <is>
          <t>نسبة المشاريع الخالية من مخالفات الجودة</t>
        </is>
      </c>
      <c r="D44" s="46" t="n">
        <v>0.697</v>
      </c>
      <c r="E44" s="46" t="n">
        <v>0.9</v>
      </c>
      <c r="F44" s="47" t="n">
        <v>0.7744444444444444</v>
      </c>
      <c r="G44" s="12" t="n">
        <v>0.2255555555555556</v>
      </c>
      <c r="H44" s="46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48" t="n"/>
    </row>
    <row r="45">
      <c r="A45" s="15" t="n">
        <v>43</v>
      </c>
      <c r="B45" s="13" t="inlineStr">
        <is>
          <t>الاستثمار</t>
        </is>
      </c>
      <c r="C45" s="24" t="inlineStr">
        <is>
          <t>نسبة العقود المؤرشفة إلكترونياً خلال 48 ساعة</t>
        </is>
      </c>
      <c r="D45" s="46" t="n">
        <v>0.736</v>
      </c>
      <c r="E45" s="46" t="n">
        <v>0.95</v>
      </c>
      <c r="F45" s="47" t="n">
        <v>0.7747368421052632</v>
      </c>
      <c r="G45" s="12" t="n">
        <v>0.2252631578947368</v>
      </c>
      <c r="H45" s="46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هامش EBITDA</t>
        </is>
      </c>
      <c r="D46" s="46" t="n">
        <v>0.062</v>
      </c>
      <c r="E46" s="46" t="n">
        <v>0.08</v>
      </c>
      <c r="F46" s="47" t="n">
        <v>0.775</v>
      </c>
      <c r="G46" s="12" t="n">
        <v>0.225</v>
      </c>
      <c r="H46" s="46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نسبة إغلاق الطلبات خلال 3 أسابيع</t>
        </is>
      </c>
      <c r="D47" s="46" t="n">
        <v>0.698</v>
      </c>
      <c r="E47" s="46" t="n">
        <v>0.9</v>
      </c>
      <c r="F47" s="47" t="n">
        <v>0.7755555555555554</v>
      </c>
      <c r="G47" s="12" t="n">
        <v>0.2244444444444446</v>
      </c>
      <c r="H47" s="46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التقنية الرقمية</t>
        </is>
      </c>
      <c r="C48" s="24" t="inlineStr">
        <is>
          <t>نسبة تسليم المشاريع التقنية ضمن الوقت والميزانية ونطاق العمل المعتمد</t>
        </is>
      </c>
      <c r="D48" s="46" t="n">
        <v>0.701</v>
      </c>
      <c r="E48" s="46" t="n">
        <v>0.9</v>
      </c>
      <c r="F48" s="47" t="n">
        <v>0.7788888888888889</v>
      </c>
      <c r="G48" s="12" t="n">
        <v>0.2211111111111111</v>
      </c>
      <c r="H48" s="46" t="n">
        <v>0.701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التقنية</t>
        </is>
      </c>
      <c r="M48" s="48" t="n"/>
    </row>
    <row r="49">
      <c r="A49" s="15" t="n">
        <v>47</v>
      </c>
      <c r="B49" s="13" t="inlineStr">
        <is>
          <t>التقنية الرقمية</t>
        </is>
      </c>
      <c r="C49" s="24" t="inlineStr">
        <is>
          <t>نسبة معالجة الأعطال وطلبات الدعم الفني ضمن المدة المستهدفة SLA</t>
        </is>
      </c>
      <c r="D49" s="46" t="n">
        <v>0.74</v>
      </c>
      <c r="E49" s="46" t="n">
        <v>0.95</v>
      </c>
      <c r="F49" s="47" t="n">
        <v>0.7789473684210526</v>
      </c>
      <c r="G49" s="12" t="n">
        <v>0.2210526315789474</v>
      </c>
      <c r="H49" s="46" t="n">
        <v>0.74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التقنية</t>
        </is>
      </c>
      <c r="M49" s="48" t="n"/>
    </row>
    <row r="50">
      <c r="A50" s="15" t="n">
        <v>48</v>
      </c>
      <c r="B50" s="13" t="inlineStr">
        <is>
          <t>الإدارة المالية</t>
        </is>
      </c>
      <c r="C50" s="24" t="inlineStr">
        <is>
          <t>دقة مطابقة المخزون</t>
        </is>
      </c>
      <c r="D50" s="46" t="n">
        <v>0.776</v>
      </c>
      <c r="E50" s="46" t="n">
        <v>0.995</v>
      </c>
      <c r="F50" s="47" t="n">
        <v>0.7798994974874373</v>
      </c>
      <c r="G50" s="12" t="n">
        <v>0.2201005025125627</v>
      </c>
      <c r="H50" s="46" t="n">
        <v>0.776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المدير المالي</t>
        </is>
      </c>
      <c r="M50" s="48" t="n"/>
    </row>
    <row r="51">
      <c r="A51" s="15" t="n">
        <v>49</v>
      </c>
      <c r="B51" s="13" t="inlineStr">
        <is>
          <t>الإدارة المالية</t>
        </is>
      </c>
      <c r="C51" s="24" t="inlineStr">
        <is>
          <t>معدل تجديد عقود الإيجار</t>
        </is>
      </c>
      <c r="D51" s="46" t="n">
        <v>0.702</v>
      </c>
      <c r="E51" s="46" t="n">
        <v>0.9</v>
      </c>
      <c r="F51" s="47" t="n">
        <v>0.7799999999999999</v>
      </c>
      <c r="G51" s="12" t="n">
        <v>0.2200000000000001</v>
      </c>
      <c r="H51" s="46" t="n">
        <v>0.702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48" t="n"/>
    </row>
    <row r="52">
      <c r="A52" s="15" t="n">
        <v>50</v>
      </c>
      <c r="B52" s="13" t="inlineStr">
        <is>
          <t>سلاسل الإمداد</t>
        </is>
      </c>
      <c r="C52" s="24" t="inlineStr">
        <is>
          <t>نسبة توفر المواد المخزنية والحرجة</t>
        </is>
      </c>
      <c r="D52" s="46" t="n">
        <v>0.766</v>
      </c>
      <c r="E52" s="46" t="n">
        <v>0.98</v>
      </c>
      <c r="F52" s="47" t="n">
        <v>0.7816326530612245</v>
      </c>
      <c r="G52" s="12" t="n">
        <v>0.2183673469387755</v>
      </c>
      <c r="H52" s="46" t="n">
        <v>0.766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48" t="n"/>
    </row>
    <row r="53">
      <c r="A53" s="15" t="n">
        <v>51</v>
      </c>
      <c r="B53" s="13" t="inlineStr">
        <is>
          <t>العقار</t>
        </is>
      </c>
      <c r="C53" s="24" t="inlineStr">
        <is>
          <t>العملاء المحتملون (LEADS)</t>
        </is>
      </c>
      <c r="D53" s="46" t="n">
        <v>531.8</v>
      </c>
      <c r="E53" s="46" t="n">
        <v>680</v>
      </c>
      <c r="F53" s="47" t="n">
        <v>0.7820588235294117</v>
      </c>
      <c r="G53" s="12" t="n">
        <v>0.2179411764705883</v>
      </c>
      <c r="H53" s="46" t="n">
        <v>531.8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العقار</t>
        </is>
      </c>
      <c r="M53" s="48" t="n"/>
    </row>
    <row r="54">
      <c r="A54" s="15" t="n">
        <v>52</v>
      </c>
      <c r="B54" s="13" t="inlineStr">
        <is>
          <t>الصيانة والأتمتة</t>
        </is>
      </c>
      <c r="C54" s="24" t="inlineStr">
        <is>
          <t>نسبة إغلاق بلاغات الصيانة ضمن اتفاقية الخدمة (SLA)</t>
        </is>
      </c>
      <c r="D54" s="46" t="n">
        <v>0.744</v>
      </c>
      <c r="E54" s="46" t="n">
        <v>0.95</v>
      </c>
      <c r="F54" s="47" t="n">
        <v>0.7831578947368422</v>
      </c>
      <c r="G54" s="12" t="n">
        <v>0.2168421052631578</v>
      </c>
      <c r="H54" s="46" t="n">
        <v>0.744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48" t="n"/>
    </row>
    <row r="55">
      <c r="A55" s="15" t="n">
        <v>53</v>
      </c>
      <c r="B55" s="13" t="inlineStr">
        <is>
          <t>الامتياز التجاري</t>
        </is>
      </c>
      <c r="C55" s="24" t="inlineStr">
        <is>
          <t>نسبة الشركاء الملتزمين بمواعيد السداد</t>
        </is>
      </c>
      <c r="D55" s="46" t="n">
        <v>0.705</v>
      </c>
      <c r="E55" s="46" t="n">
        <v>0.9</v>
      </c>
      <c r="F55" s="47" t="n">
        <v>0.7833333333333332</v>
      </c>
      <c r="G55" s="12" t="n">
        <v>0.2166666666666668</v>
      </c>
      <c r="H55" s="46" t="n">
        <v>0.705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الامتياز</t>
        </is>
      </c>
      <c r="M55" s="48" t="n"/>
    </row>
    <row r="56">
      <c r="A56" s="15" t="n">
        <v>54</v>
      </c>
      <c r="B56" s="13" t="inlineStr">
        <is>
          <t>سلاسل الإمداد</t>
        </is>
      </c>
      <c r="C56" s="24" t="inlineStr">
        <is>
          <t>نسبة الالتزام بزمن التسليم والتوريد للمحطات والإدارات</t>
        </is>
      </c>
      <c r="D56" s="46" t="n">
        <v>0.751</v>
      </c>
      <c r="E56" s="46" t="n">
        <v>0.95</v>
      </c>
      <c r="F56" s="47" t="n">
        <v>0.7905263157894737</v>
      </c>
      <c r="G56" s="12" t="n">
        <v>0.2094736842105263</v>
      </c>
      <c r="H56" s="46" t="n">
        <v>0.751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سلاسل الإمداد</t>
        </is>
      </c>
      <c r="M56" s="48" t="n"/>
    </row>
    <row r="57">
      <c r="A57" s="15" t="n">
        <v>55</v>
      </c>
      <c r="B57" s="13" t="inlineStr">
        <is>
          <t>الصيانة والأتمتة</t>
        </is>
      </c>
      <c r="C57" s="24" t="inlineStr">
        <is>
          <t>نسبة تنفيذ الصيانة الوقائية في موعدها (PM)</t>
        </is>
      </c>
      <c r="D57" s="46" t="n">
        <v>0.751</v>
      </c>
      <c r="E57" s="46" t="n">
        <v>0.95</v>
      </c>
      <c r="F57" s="47" t="n">
        <v>0.7905263157894737</v>
      </c>
      <c r="G57" s="12" t="n">
        <v>0.2094736842105263</v>
      </c>
      <c r="H57" s="46" t="n">
        <v>0.751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48" t="n"/>
    </row>
    <row r="58">
      <c r="A58" s="15" t="n">
        <v>56</v>
      </c>
      <c r="B58" s="13" t="inlineStr">
        <is>
          <t>العقار</t>
        </is>
      </c>
      <c r="C58" s="24" t="inlineStr">
        <is>
          <t>نسبة تجديد العقود</t>
        </is>
      </c>
      <c r="D58" s="46" t="n">
        <v>0.792</v>
      </c>
      <c r="E58" s="46" t="n">
        <v>1</v>
      </c>
      <c r="F58" s="47" t="n">
        <v>0.792</v>
      </c>
      <c r="G58" s="12" t="n">
        <v>0.208</v>
      </c>
      <c r="H58" s="46" t="n">
        <v>0.792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48" t="n"/>
    </row>
    <row r="59">
      <c r="A59" s="15" t="n">
        <v>57</v>
      </c>
      <c r="B59" s="13" t="inlineStr">
        <is>
          <t>الإدارة القانونية</t>
        </is>
      </c>
      <c r="C59" s="24" t="inlineStr">
        <is>
          <t>مستوى رضا الإدارات عن الدعم القانوني</t>
        </is>
      </c>
      <c r="D59" s="46" t="n">
        <v>0.674</v>
      </c>
      <c r="E59" s="46" t="n">
        <v>0.85</v>
      </c>
      <c r="F59" s="47" t="n">
        <v>0.7929411764705883</v>
      </c>
      <c r="G59" s="12" t="n">
        <v>0.2070588235294117</v>
      </c>
      <c r="H59" s="46" t="n">
        <v>0.674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المدير القانوني</t>
        </is>
      </c>
      <c r="M59" s="48" t="n"/>
    </row>
    <row r="60">
      <c r="A60" s="15" t="n">
        <v>58</v>
      </c>
      <c r="B60" s="13" t="inlineStr">
        <is>
          <t>التقنية الرقمية</t>
        </is>
      </c>
      <c r="C60" s="24" t="inlineStr">
        <is>
          <t>نسبة نجاح النسخ الاحتياطي واختبارات استعادة البيانات</t>
        </is>
      </c>
      <c r="D60" s="46" t="n">
        <v>0.794</v>
      </c>
      <c r="E60" s="46" t="n">
        <v>1</v>
      </c>
      <c r="F60" s="47" t="n">
        <v>0.794</v>
      </c>
      <c r="G60" s="12" t="n">
        <v>0.206</v>
      </c>
      <c r="H60" s="46" t="n">
        <v>0.794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48" t="n"/>
    </row>
    <row r="61">
      <c r="A61" s="15" t="n">
        <v>59</v>
      </c>
      <c r="B61" s="13" t="inlineStr">
        <is>
          <t>التقنية الرقمية</t>
        </is>
      </c>
      <c r="C61" s="24" t="inlineStr">
        <is>
          <t>نسبة تنفيذ الصيانة الوقائية للأجهزة والبنية التقنية</t>
        </is>
      </c>
      <c r="D61" s="46" t="n">
        <v>0.756</v>
      </c>
      <c r="E61" s="46" t="n">
        <v>0.95</v>
      </c>
      <c r="F61" s="47" t="n">
        <v>0.7957894736842106</v>
      </c>
      <c r="G61" s="12" t="n">
        <v>0.2042105263157894</v>
      </c>
      <c r="H61" s="46" t="n">
        <v>0.756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التقنية</t>
        </is>
      </c>
      <c r="M61" s="48" t="n"/>
    </row>
    <row r="62">
      <c r="A62" s="15" t="n">
        <v>60</v>
      </c>
      <c r="B62" s="13" t="inlineStr">
        <is>
          <t>الموارد البشرية</t>
        </is>
      </c>
      <c r="C62" s="24" t="inlineStr">
        <is>
          <t>نسبة الالتزام بتجديد الوثائق واكتمال ملفات الموظفين</t>
        </is>
      </c>
      <c r="D62" s="46" t="n">
        <v>0.796</v>
      </c>
      <c r="E62" s="46" t="n">
        <v>1</v>
      </c>
      <c r="F62" s="47" t="n">
        <v>0.796</v>
      </c>
      <c r="G62" s="12" t="n">
        <v>0.204</v>
      </c>
      <c r="H62" s="46" t="n">
        <v>0.796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48" t="n"/>
    </row>
    <row r="63">
      <c r="A63" s="15" t="n">
        <v>61</v>
      </c>
      <c r="B63" s="13" t="inlineStr">
        <is>
          <t>الإدارة القانونية</t>
        </is>
      </c>
      <c r="C63" s="24" t="inlineStr">
        <is>
          <t>نسبة تقديم المذكرات والردود في المواعيد النظامية</t>
        </is>
      </c>
      <c r="D63" s="46" t="n">
        <v>0.797</v>
      </c>
      <c r="E63" s="46" t="n">
        <v>1</v>
      </c>
      <c r="F63" s="47" t="n">
        <v>0.797</v>
      </c>
      <c r="G63" s="12" t="n">
        <v>0.203</v>
      </c>
      <c r="H63" s="46" t="n">
        <v>0.797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القانوني</t>
        </is>
      </c>
      <c r="M63" s="48" t="n"/>
    </row>
    <row r="64">
      <c r="A64" s="15" t="n">
        <v>62</v>
      </c>
      <c r="B64" s="13" t="inlineStr">
        <is>
          <t>التشغيل والمحطات</t>
        </is>
      </c>
      <c r="C64" s="24" t="inlineStr">
        <is>
          <t>نسبة الصيانة الوقائية المنفذة في موعدها</t>
        </is>
      </c>
      <c r="D64" s="46" t="n">
        <v>0.758</v>
      </c>
      <c r="E64" s="46" t="n">
        <v>0.95</v>
      </c>
      <c r="F64" s="47" t="n">
        <v>0.7978947368421053</v>
      </c>
      <c r="G64" s="12" t="n">
        <v>0.2021052631578947</v>
      </c>
      <c r="H64" s="46" t="n">
        <v>0.758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48" t="n"/>
    </row>
    <row r="65">
      <c r="A65" s="15" t="n">
        <v>63</v>
      </c>
      <c r="B65" s="13" t="inlineStr">
        <is>
          <t>التقنية الرقمية</t>
        </is>
      </c>
      <c r="C65" s="24" t="inlineStr">
        <is>
          <t>نسبة توفر الأنظمة والخدمات التقنية المركزية</t>
        </is>
      </c>
      <c r="D65" s="46" t="n">
        <v>0.79</v>
      </c>
      <c r="E65" s="46" t="n">
        <v>0.99</v>
      </c>
      <c r="F65" s="47" t="n">
        <v>0.797979797979798</v>
      </c>
      <c r="G65" s="12" t="n">
        <v>0.202020202020202</v>
      </c>
      <c r="H65" s="46" t="n">
        <v>0.79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التقنية</t>
        </is>
      </c>
      <c r="M65" s="48" t="n"/>
    </row>
    <row r="66">
      <c r="A66" s="15" t="n">
        <v>64</v>
      </c>
      <c r="B66" s="13" t="inlineStr">
        <is>
          <t>إدارة المشاريع</t>
        </is>
      </c>
      <c r="C66" s="24" t="inlineStr">
        <is>
          <t>نسبة الالتزام بالجدول الزمني العام</t>
        </is>
      </c>
      <c r="D66" s="46" t="n">
        <v>0.798</v>
      </c>
      <c r="E66" s="46" t="n">
        <v>1</v>
      </c>
      <c r="F66" s="47" t="n">
        <v>0.798</v>
      </c>
      <c r="G66" s="12" t="n">
        <v>0.202</v>
      </c>
      <c r="H66" s="46" t="n">
        <v>0.798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إدارة المشاريع</t>
        </is>
      </c>
      <c r="M66" s="48" t="n"/>
    </row>
    <row r="67">
      <c r="A67" s="15" t="n">
        <v>65</v>
      </c>
      <c r="B67" s="13" t="inlineStr">
        <is>
          <t>الامتياز التجاري</t>
        </is>
      </c>
      <c r="C67" s="24" t="inlineStr">
        <is>
          <t>نسبة التزام المحطات بالهوية المؤسسية</t>
        </is>
      </c>
      <c r="D67" s="46" t="n">
        <v>0.44</v>
      </c>
      <c r="E67" s="46" t="n">
        <v>0.55</v>
      </c>
      <c r="F67" s="47" t="n">
        <v>0.7999999999999999</v>
      </c>
      <c r="G67" s="12" t="n">
        <v>0.2000000000000001</v>
      </c>
      <c r="H67" s="46" t="n">
        <v>0.44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48" t="n"/>
    </row>
    <row r="68">
      <c r="A68" s="15" t="n">
        <v>66</v>
      </c>
      <c r="B68" s="13" t="inlineStr">
        <is>
          <t>الإدارة المالية</t>
        </is>
      </c>
      <c r="C68" s="24" t="inlineStr">
        <is>
          <t>هامش صافي الربح</t>
        </is>
      </c>
      <c r="D68" s="46" t="n">
        <v>0.008</v>
      </c>
      <c r="E68" s="46" t="n">
        <v>0.01</v>
      </c>
      <c r="F68" s="47" t="n">
        <v>0.8</v>
      </c>
      <c r="G68" s="12" t="n">
        <v>0.2</v>
      </c>
      <c r="H68" s="46" t="n">
        <v>0.008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المدير المالي</t>
        </is>
      </c>
      <c r="M68" s="48" t="n"/>
    </row>
    <row r="69">
      <c r="A69" s="15" t="n">
        <v>67</v>
      </c>
      <c r="B69" s="13" t="inlineStr">
        <is>
          <t>سلاسل الإمداد</t>
        </is>
      </c>
      <c r="C69" s="24" t="inlineStr">
        <is>
          <t>نسبة تلبية طلبات المحطات من الوقود Fill Rate</t>
        </is>
      </c>
      <c r="D69" s="46" t="n">
        <v>0.786</v>
      </c>
      <c r="E69" s="46" t="n">
        <v>0.98</v>
      </c>
      <c r="F69" s="47" t="n">
        <v>0.8020408163265307</v>
      </c>
      <c r="G69" s="12" t="n">
        <v>0.1979591836734693</v>
      </c>
      <c r="H69" s="46" t="n">
        <v>0.786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سلاسل الإمداد</t>
        </is>
      </c>
      <c r="M69" s="48" t="n"/>
    </row>
    <row r="70">
      <c r="A70" s="15" t="n">
        <v>68</v>
      </c>
      <c r="B70" s="13" t="inlineStr">
        <is>
          <t>الامتياز التجاري</t>
        </is>
      </c>
      <c r="C70" s="24" t="inlineStr">
        <is>
          <t>إجمالي مبيعات وقود محطات الامتياز</t>
        </is>
      </c>
      <c r="D70" s="46" t="n">
        <v>576630340</v>
      </c>
      <c r="E70" s="46" t="n">
        <v>718838077</v>
      </c>
      <c r="F70" s="47" t="n">
        <v>0.8021699996840874</v>
      </c>
      <c r="G70" s="12" t="n">
        <v>0.1978300003159126</v>
      </c>
      <c r="H70" s="46" t="n">
        <v>1153260680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48" t="n"/>
    </row>
    <row r="71">
      <c r="A71" s="15" t="n">
        <v>69</v>
      </c>
      <c r="B71" s="13" t="inlineStr">
        <is>
          <t>العقار</t>
        </is>
      </c>
      <c r="C71" s="24" t="inlineStr">
        <is>
          <t>الوحدات المؤجَّرة شهرياً</t>
        </is>
      </c>
      <c r="D71" s="46" t="n">
        <v>54.8</v>
      </c>
      <c r="E71" s="46" t="n">
        <v>68</v>
      </c>
      <c r="F71" s="47" t="n">
        <v>0.8058823529411764</v>
      </c>
      <c r="G71" s="12" t="n">
        <v>0.1941176470588236</v>
      </c>
      <c r="H71" s="46" t="n">
        <v>54.8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العقار</t>
        </is>
      </c>
      <c r="M71" s="48" t="n"/>
    </row>
    <row r="72">
      <c r="A72" s="15" t="n">
        <v>70</v>
      </c>
      <c r="B72" s="13" t="inlineStr">
        <is>
          <t>الجودة</t>
        </is>
      </c>
      <c r="C72" s="24" t="inlineStr">
        <is>
          <t>نسبة مطابقة جودة الوقود</t>
        </is>
      </c>
      <c r="D72" s="46" t="n">
        <v>0.804</v>
      </c>
      <c r="E72" s="46" t="n">
        <v>0.995</v>
      </c>
      <c r="F72" s="47" t="n">
        <v>0.8080402010050252</v>
      </c>
      <c r="G72" s="12" t="n">
        <v>0.1919597989949748</v>
      </c>
      <c r="H72" s="46" t="n">
        <v>0.804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48" t="n"/>
    </row>
    <row r="73">
      <c r="A73" s="15" t="n">
        <v>71</v>
      </c>
      <c r="B73" s="13" t="inlineStr">
        <is>
          <t>التقنية الرقمية</t>
        </is>
      </c>
      <c r="C73" s="24" t="inlineStr">
        <is>
          <t>نسبة استقرار التشغيل التقني للمحطات</t>
        </is>
      </c>
      <c r="D73" s="46" t="n">
        <v>0.8</v>
      </c>
      <c r="E73" s="46" t="n">
        <v>0.99</v>
      </c>
      <c r="F73" s="47" t="n">
        <v>0.8080808080808082</v>
      </c>
      <c r="G73" s="12" t="n">
        <v>0.1919191919191918</v>
      </c>
      <c r="H73" s="46" t="n">
        <v>0.8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التقنية</t>
        </is>
      </c>
      <c r="M73" s="48" t="n"/>
    </row>
    <row r="74">
      <c r="A74" s="15" t="n">
        <v>72</v>
      </c>
      <c r="B74" s="13" t="inlineStr">
        <is>
          <t>الامتياز التجاري</t>
        </is>
      </c>
      <c r="C74" s="24" t="inlineStr">
        <is>
          <t>نسبة زيادة عدد أصحاب الامتياز</t>
        </is>
      </c>
      <c r="D74" s="46" t="n">
        <v>0.8100000000000001</v>
      </c>
      <c r="E74" s="46" t="n">
        <v>1</v>
      </c>
      <c r="F74" s="47" t="n">
        <v>0.8100000000000001</v>
      </c>
      <c r="G74" s="12" t="n">
        <v>0.1899999999999999</v>
      </c>
      <c r="H74" s="46" t="n">
        <v>0.8100000000000001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الامتياز</t>
        </is>
      </c>
      <c r="M74" s="48" t="n"/>
    </row>
    <row r="75">
      <c r="A75" s="15" t="n">
        <v>73</v>
      </c>
      <c r="B75" s="13" t="inlineStr">
        <is>
          <t>الاستثمار</t>
        </is>
      </c>
      <c r="C75" s="24" t="inlineStr">
        <is>
          <t>نسبة المواقع المعتمدة ذات العائد المجدي</t>
        </is>
      </c>
      <c r="D75" s="46" t="n">
        <v>0.649</v>
      </c>
      <c r="E75" s="46" t="n">
        <v>0.8</v>
      </c>
      <c r="F75" s="47" t="n">
        <v>0.81125</v>
      </c>
      <c r="G75" s="12" t="n">
        <v>0.18875</v>
      </c>
      <c r="H75" s="46" t="n">
        <v>0.649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الاستثمار</t>
        </is>
      </c>
      <c r="M75" s="48" t="n"/>
    </row>
    <row r="76">
      <c r="A76" s="15" t="n">
        <v>74</v>
      </c>
      <c r="B76" s="13" t="inlineStr">
        <is>
          <t>الموارد البشرية</t>
        </is>
      </c>
      <c r="C76" s="24" t="inlineStr">
        <is>
          <t>نسبة إنجاز معاملات شؤون الموظفين ضمن المدة المستهدفة SLA</t>
        </is>
      </c>
      <c r="D76" s="46" t="n">
        <v>0.733</v>
      </c>
      <c r="E76" s="46" t="n">
        <v>0.9</v>
      </c>
      <c r="F76" s="47" t="n">
        <v>0.8144444444444444</v>
      </c>
      <c r="G76" s="12" t="n">
        <v>0.1855555555555556</v>
      </c>
      <c r="H76" s="46" t="n">
        <v>0.733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48" t="n"/>
    </row>
    <row r="77">
      <c r="A77" s="15" t="n">
        <v>75</v>
      </c>
      <c r="B77" s="13" t="inlineStr">
        <is>
          <t>الاستثمار</t>
        </is>
      </c>
      <c r="C77" s="24" t="inlineStr">
        <is>
          <t>عقود الاستحواذ الجديدة</t>
        </is>
      </c>
      <c r="D77" s="46" t="n">
        <v>82.2</v>
      </c>
      <c r="E77" s="46" t="n">
        <v>100</v>
      </c>
      <c r="F77" s="47" t="n">
        <v>0.8220000000000001</v>
      </c>
      <c r="G77" s="12" t="n">
        <v>0.1779999999999999</v>
      </c>
      <c r="H77" s="46" t="n">
        <v>164.4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48" t="n"/>
    </row>
    <row r="78">
      <c r="A78" s="15" t="n">
        <v>76</v>
      </c>
      <c r="B78" s="13" t="inlineStr">
        <is>
          <t>العقار</t>
        </is>
      </c>
      <c r="C78" s="24" t="inlineStr">
        <is>
          <t>زيادة عدد العلامات التجارية</t>
        </is>
      </c>
      <c r="D78" s="46" t="n">
        <v>202.6</v>
      </c>
      <c r="E78" s="46" t="n">
        <v>246</v>
      </c>
      <c r="F78" s="47" t="n">
        <v>0.8235772357723578</v>
      </c>
      <c r="G78" s="12" t="n">
        <v>0.1764227642276422</v>
      </c>
      <c r="H78" s="46" t="n">
        <v>202.6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48" t="n"/>
    </row>
    <row r="79">
      <c r="A79" s="15" t="n">
        <v>77</v>
      </c>
      <c r="B79" s="13" t="inlineStr">
        <is>
          <t>الإدارة القانونية</t>
        </is>
      </c>
      <c r="C79" s="24" t="inlineStr">
        <is>
          <t>نسبة القضايا المُغلقة لصالح الشركة</t>
        </is>
      </c>
      <c r="D79" s="46" t="n">
        <v>0.664</v>
      </c>
      <c r="E79" s="46" t="n">
        <v>0.8</v>
      </c>
      <c r="F79" s="47" t="n">
        <v>0.83</v>
      </c>
      <c r="G79" s="12" t="n">
        <v>0.17</v>
      </c>
      <c r="H79" s="46" t="n">
        <v>0.664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48" t="n"/>
    </row>
    <row r="80">
      <c r="A80" s="15" t="n">
        <v>78</v>
      </c>
      <c r="B80" s="13" t="inlineStr">
        <is>
          <t>سلاسل الإمداد</t>
        </is>
      </c>
      <c r="C80" s="24" t="inlineStr">
        <is>
          <t>نسبة الالتزام بجدول النقل واستخدام الأسطول بكفاءة</t>
        </is>
      </c>
      <c r="D80" s="46" t="n">
        <v>0.751</v>
      </c>
      <c r="E80" s="46" t="n">
        <v>0.9</v>
      </c>
      <c r="F80" s="47" t="n">
        <v>0.8344444444444444</v>
      </c>
      <c r="G80" s="12" t="n">
        <v>0.1655555555555556</v>
      </c>
      <c r="H80" s="46" t="n">
        <v>0.751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سلاسل الإمداد</t>
        </is>
      </c>
      <c r="M80" s="48" t="n"/>
    </row>
    <row r="81">
      <c r="A81" s="15" t="n">
        <v>79</v>
      </c>
      <c r="B81" s="13" t="inlineStr">
        <is>
          <t>الإدارة القانونية</t>
        </is>
      </c>
      <c r="C81" s="24" t="inlineStr">
        <is>
          <t>نسبة إنجاز التحقيقات ضمن المدة المحددة</t>
        </is>
      </c>
      <c r="D81" s="46" t="n">
        <v>0.753</v>
      </c>
      <c r="E81" s="46" t="n">
        <v>0.9</v>
      </c>
      <c r="F81" s="47" t="n">
        <v>0.8366666666666667</v>
      </c>
      <c r="G81" s="12" t="n">
        <v>0.1633333333333333</v>
      </c>
      <c r="H81" s="46" t="n">
        <v>0.753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القانوني</t>
        </is>
      </c>
      <c r="M81" s="48" t="n"/>
    </row>
    <row r="82">
      <c r="A82" s="15" t="n">
        <v>80</v>
      </c>
      <c r="B82" s="13" t="inlineStr">
        <is>
          <t>التشغيل والمحطات</t>
        </is>
      </c>
      <c r="C82" s="24" t="inlineStr">
        <is>
          <t>الالتزام بمعايير السلامة داخل المحطة</t>
        </is>
      </c>
      <c r="D82" s="46" t="n">
        <v>0.837</v>
      </c>
      <c r="E82" s="46" t="n">
        <v>1</v>
      </c>
      <c r="F82" s="47" t="n">
        <v>0.837</v>
      </c>
      <c r="G82" s="12" t="n">
        <v>0.163</v>
      </c>
      <c r="H82" s="46" t="n">
        <v>0.837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التشغيل</t>
        </is>
      </c>
      <c r="M82" s="48" t="n"/>
    </row>
    <row r="83">
      <c r="A83" s="15" t="n">
        <v>81</v>
      </c>
      <c r="B83" s="13" t="inlineStr">
        <is>
          <t>الجودة</t>
        </is>
      </c>
      <c r="C83" s="24" t="inlineStr">
        <is>
          <t>نسبة جاهزية نظام إدارة الجودة QMS</t>
        </is>
      </c>
      <c r="D83" s="46" t="n">
        <v>0.754</v>
      </c>
      <c r="E83" s="46" t="n">
        <v>0.9</v>
      </c>
      <c r="F83" s="47" t="n">
        <v>0.8377777777777777</v>
      </c>
      <c r="G83" s="12" t="n">
        <v>0.1622222222222223</v>
      </c>
      <c r="H83" s="46" t="n">
        <v>0.754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48" t="n"/>
    </row>
    <row r="84">
      <c r="A84" s="15" t="n">
        <v>82</v>
      </c>
      <c r="B84" s="13" t="inlineStr">
        <is>
          <t>العقار</t>
        </is>
      </c>
      <c r="C84" s="24" t="inlineStr">
        <is>
          <t>نسبة تأجير ساحة درب</t>
        </is>
      </c>
      <c r="D84" s="46" t="n">
        <v>0.671</v>
      </c>
      <c r="E84" s="46" t="n">
        <v>0.8</v>
      </c>
      <c r="F84" s="47" t="n">
        <v>0.83875</v>
      </c>
      <c r="G84" s="12" t="n">
        <v>0.16125</v>
      </c>
      <c r="H84" s="46" t="n">
        <v>0.671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48" t="n"/>
    </row>
    <row r="85">
      <c r="A85" s="15" t="n">
        <v>83</v>
      </c>
      <c r="B85" s="13" t="inlineStr">
        <is>
          <t>التشغيل والمحطات</t>
        </is>
      </c>
      <c r="C85" s="24" t="inlineStr">
        <is>
          <t>نسبة جاهزية المحطة الشاملة (Uptime)</t>
        </is>
      </c>
      <c r="D85" s="46" t="n">
        <v>0.831</v>
      </c>
      <c r="E85" s="46" t="n">
        <v>0.99</v>
      </c>
      <c r="F85" s="47" t="n">
        <v>0.8393939393939394</v>
      </c>
      <c r="G85" s="12" t="n">
        <v>0.1606060606060606</v>
      </c>
      <c r="H85" s="46" t="n">
        <v>0.831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48" t="n"/>
    </row>
    <row r="86">
      <c r="A86" s="15" t="n">
        <v>84</v>
      </c>
      <c r="B86" s="13" t="inlineStr">
        <is>
          <t>التشغيل والمحطات</t>
        </is>
      </c>
      <c r="C86" s="24" t="inlineStr">
        <is>
          <t>دقة التعبئة بدون أخطاء</t>
        </is>
      </c>
      <c r="D86" s="46" t="n">
        <v>0.831</v>
      </c>
      <c r="E86" s="46" t="n">
        <v>0.99</v>
      </c>
      <c r="F86" s="47" t="n">
        <v>0.8393939393939394</v>
      </c>
      <c r="G86" s="12" t="n">
        <v>0.1606060606060606</v>
      </c>
      <c r="H86" s="46" t="n">
        <v>0.831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48" t="n"/>
    </row>
    <row r="87">
      <c r="A87" s="15" t="n">
        <v>85</v>
      </c>
      <c r="B87" s="13" t="inlineStr">
        <is>
          <t>الجودة</t>
        </is>
      </c>
      <c r="C87" s="24" t="inlineStr">
        <is>
          <t>نسبة انخفاض الشكاوى المتكررة ذات العلاقة بالجودة</t>
        </is>
      </c>
      <c r="D87" s="46" t="n">
        <v>0.126</v>
      </c>
      <c r="E87" s="46" t="n">
        <v>0.15</v>
      </c>
      <c r="F87" s="47" t="n">
        <v>0.8400000000000001</v>
      </c>
      <c r="G87" s="12" t="n">
        <v>0.1599999999999999</v>
      </c>
      <c r="H87" s="46" t="n">
        <v>0.126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48" t="n"/>
    </row>
    <row r="88">
      <c r="A88" s="15" t="n">
        <v>86</v>
      </c>
      <c r="B88" s="13" t="inlineStr">
        <is>
          <t>الإدارة المالية</t>
        </is>
      </c>
      <c r="C88" s="24" t="inlineStr">
        <is>
          <t>نمو الإيرادات السنوي</t>
        </is>
      </c>
      <c r="D88" s="46" t="n">
        <v>0.169</v>
      </c>
      <c r="E88" s="46" t="n">
        <v>0.2</v>
      </c>
      <c r="F88" s="47" t="n">
        <v>0.845</v>
      </c>
      <c r="G88" s="12" t="n">
        <v>0.155</v>
      </c>
      <c r="H88" s="46" t="n">
        <v>0.169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المدير المالي</t>
        </is>
      </c>
      <c r="M88" s="48" t="n"/>
    </row>
    <row r="89">
      <c r="A89" s="15" t="n">
        <v>87</v>
      </c>
      <c r="B89" s="13" t="inlineStr">
        <is>
          <t>العقار</t>
        </is>
      </c>
      <c r="C89" s="24" t="inlineStr">
        <is>
          <t>نسبة تحصيل الإيجارات</t>
        </is>
      </c>
      <c r="D89" s="46" t="n">
        <v>0.805</v>
      </c>
      <c r="E89" s="46" t="n">
        <v>0.95</v>
      </c>
      <c r="F89" s="47" t="n">
        <v>0.8473684210526317</v>
      </c>
      <c r="G89" s="12" t="n">
        <v>0.1526315789473683</v>
      </c>
      <c r="H89" s="46" t="n">
        <v>0.805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العقار</t>
        </is>
      </c>
      <c r="M89" s="48" t="n"/>
    </row>
    <row r="90">
      <c r="A90" s="15" t="n">
        <v>88</v>
      </c>
      <c r="B90" s="13" t="inlineStr">
        <is>
          <t>الاستثمار</t>
        </is>
      </c>
      <c r="C90" s="24" t="inlineStr">
        <is>
          <t>عقود الاستثمار العادي الجديدة</t>
        </is>
      </c>
      <c r="D90" s="46" t="n">
        <v>76.3</v>
      </c>
      <c r="E90" s="46" t="n">
        <v>90</v>
      </c>
      <c r="F90" s="47" t="n">
        <v>0.8477777777777777</v>
      </c>
      <c r="G90" s="12" t="n">
        <v>0.1522222222222223</v>
      </c>
      <c r="H90" s="46" t="n">
        <v>152.6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الاستثمار</t>
        </is>
      </c>
      <c r="M90" s="48" t="n"/>
    </row>
    <row r="91">
      <c r="A91" s="15" t="n">
        <v>89</v>
      </c>
      <c r="B91" s="13" t="inlineStr">
        <is>
          <t>التقنية الرقمية</t>
        </is>
      </c>
      <c r="C91" s="24" t="inlineStr">
        <is>
          <t>نسبة الامتثال لضوابط الأمن السيبراني الأساسية</t>
        </is>
      </c>
      <c r="D91" s="46" t="n">
        <v>0.8070000000000001</v>
      </c>
      <c r="E91" s="46" t="n">
        <v>0.95</v>
      </c>
      <c r="F91" s="47" t="n">
        <v>0.8494736842105264</v>
      </c>
      <c r="G91" s="12" t="n">
        <v>0.1505263157894736</v>
      </c>
      <c r="H91" s="46" t="n">
        <v>0.8070000000000001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التقنية</t>
        </is>
      </c>
      <c r="M91" s="48" t="n"/>
    </row>
    <row r="92">
      <c r="A92" s="15" t="n">
        <v>90</v>
      </c>
      <c r="B92" s="13" t="inlineStr">
        <is>
          <t>الإدارة التنفيذية</t>
        </is>
      </c>
      <c r="C92" s="24" t="inlineStr">
        <is>
          <t>نسبة تحقيق المستهدفات الاستراتيجية العامة</t>
        </is>
      </c>
      <c r="D92" s="46" t="n">
        <v>0.85</v>
      </c>
      <c r="E92" s="46" t="n">
        <v>1</v>
      </c>
      <c r="F92" s="47" t="n">
        <v>0.85</v>
      </c>
      <c r="G92" s="12" t="n">
        <v>0.15</v>
      </c>
      <c r="H92" s="46" t="n">
        <v>0.85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الرئيس التنفيذي</t>
        </is>
      </c>
      <c r="M92" s="48" t="n"/>
    </row>
    <row r="93">
      <c r="A93" s="15" t="n">
        <v>91</v>
      </c>
      <c r="B93" s="13" t="inlineStr">
        <is>
          <t>العقار</t>
        </is>
      </c>
      <c r="C93" s="24" t="inlineStr">
        <is>
          <t>نمو الإيرادات الإيجارية</t>
        </is>
      </c>
      <c r="D93" s="46" t="n">
        <v>0.068</v>
      </c>
      <c r="E93" s="46" t="n">
        <v>0.08</v>
      </c>
      <c r="F93" s="47" t="n">
        <v>0.8500000000000001</v>
      </c>
      <c r="G93" s="12" t="n">
        <v>0.1499999999999999</v>
      </c>
      <c r="H93" s="46" t="n">
        <v>0.068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العقار</t>
        </is>
      </c>
      <c r="M93" s="48" t="n"/>
    </row>
    <row r="94">
      <c r="A94" s="15" t="n">
        <v>92</v>
      </c>
      <c r="B94" s="13" t="inlineStr">
        <is>
          <t>التسويق</t>
        </is>
      </c>
      <c r="C94" s="24" t="inlineStr">
        <is>
          <t>تقييم خرائط قوقل</t>
        </is>
      </c>
      <c r="D94" s="46" t="n">
        <v>4</v>
      </c>
      <c r="E94" s="46" t="n">
        <v>4.7</v>
      </c>
      <c r="F94" s="47" t="n">
        <v>0.851063829787234</v>
      </c>
      <c r="G94" s="12" t="n">
        <v>0.148936170212766</v>
      </c>
      <c r="H94" s="46" t="n">
        <v>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التسويق</t>
        </is>
      </c>
      <c r="M94" s="48" t="n"/>
    </row>
    <row r="95">
      <c r="A95" s="15" t="n">
        <v>93</v>
      </c>
      <c r="B95" s="13" t="inlineStr">
        <is>
          <t>الإدارة المالية</t>
        </is>
      </c>
      <c r="C95" s="24" t="inlineStr">
        <is>
          <t>أيام الإقفال الشهري</t>
        </is>
      </c>
      <c r="D95" s="46" t="n">
        <v>7.044</v>
      </c>
      <c r="E95" s="46" t="n">
        <v>6</v>
      </c>
      <c r="F95" s="47" t="n">
        <v>0.8517887563884157</v>
      </c>
      <c r="G95" s="12" t="n">
        <v>0.1482112436115843</v>
      </c>
      <c r="H95" s="46" t="n">
        <v>7.044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المدير المالي</t>
        </is>
      </c>
      <c r="M95" s="48" t="n"/>
    </row>
    <row r="96">
      <c r="A96" s="15" t="n">
        <v>94</v>
      </c>
      <c r="B96" s="13" t="inlineStr">
        <is>
          <t>الإدارة المالية</t>
        </is>
      </c>
      <c r="C96" s="24" t="inlineStr">
        <is>
          <t>النسبة الجارية (Current Ratio)</t>
        </is>
      </c>
      <c r="D96" s="46" t="n">
        <v>0.852</v>
      </c>
      <c r="E96" s="46" t="n">
        <v>1</v>
      </c>
      <c r="F96" s="47" t="n">
        <v>0.852</v>
      </c>
      <c r="G96" s="12" t="n">
        <v>0.148</v>
      </c>
      <c r="H96" s="46" t="n">
        <v>0.852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المدير المالي</t>
        </is>
      </c>
      <c r="M96" s="48" t="n"/>
    </row>
    <row r="97">
      <c r="A97" s="15" t="n">
        <v>95</v>
      </c>
      <c r="B97" s="13" t="inlineStr">
        <is>
          <t>الجودة</t>
        </is>
      </c>
      <c r="C97" s="24" t="inlineStr">
        <is>
          <t>عدد مبادرات التحسين المؤثرة</t>
        </is>
      </c>
      <c r="D97" s="46" t="n">
        <v>6.827</v>
      </c>
      <c r="E97" s="46" t="n">
        <v>8</v>
      </c>
      <c r="F97" s="47" t="n">
        <v>0.853375</v>
      </c>
      <c r="G97" s="12" t="n">
        <v>0.146625</v>
      </c>
      <c r="H97" s="46" t="n">
        <v>13.654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الجودة</t>
        </is>
      </c>
      <c r="M97" s="48" t="n"/>
    </row>
    <row r="98">
      <c r="A98" s="15" t="n">
        <v>96</v>
      </c>
      <c r="B98" s="13" t="inlineStr">
        <is>
          <t>الامتياز التجاري</t>
        </is>
      </c>
      <c r="C98" s="24" t="inlineStr">
        <is>
          <t>نسبة التحصيل المالي من شركاء الامتياز</t>
        </is>
      </c>
      <c r="D98" s="46" t="n">
        <v>0.8120000000000001</v>
      </c>
      <c r="E98" s="46" t="n">
        <v>0.95</v>
      </c>
      <c r="F98" s="47" t="n">
        <v>0.8547368421052632</v>
      </c>
      <c r="G98" s="12" t="n">
        <v>0.1452631578947368</v>
      </c>
      <c r="H98" s="46" t="n">
        <v>0.8120000000000001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48" t="n"/>
    </row>
    <row r="99">
      <c r="A99" s="15" t="n">
        <v>97</v>
      </c>
      <c r="B99" s="13" t="inlineStr">
        <is>
          <t>الاستثمار</t>
        </is>
      </c>
      <c r="C99" s="24" t="inlineStr">
        <is>
          <t>نسبة العقود خارج المدن الرئيسية</t>
        </is>
      </c>
      <c r="D99" s="46" t="n">
        <v>0.516</v>
      </c>
      <c r="E99" s="46" t="n">
        <v>0.6</v>
      </c>
      <c r="F99" s="47" t="n">
        <v>0.8600000000000001</v>
      </c>
      <c r="G99" s="12" t="n">
        <v>0.1399999999999999</v>
      </c>
      <c r="H99" s="46" t="n">
        <v>0.516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48" t="n"/>
    </row>
    <row r="100">
      <c r="A100" s="15" t="n">
        <v>98</v>
      </c>
      <c r="B100" s="13" t="inlineStr">
        <is>
          <t>إدارة المشاريع</t>
        </is>
      </c>
      <c r="C100" s="24" t="inlineStr">
        <is>
          <t>نسبة إغلاق ملاحظات الجودة على المطوّرين</t>
        </is>
      </c>
      <c r="D100" s="46" t="n">
        <v>0.777</v>
      </c>
      <c r="E100" s="46" t="n">
        <v>0.9</v>
      </c>
      <c r="F100" s="47" t="n">
        <v>0.8633333333333333</v>
      </c>
      <c r="G100" s="12" t="n">
        <v>0.1366666666666667</v>
      </c>
      <c r="H100" s="46" t="n">
        <v>0.777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إدارة المشاريع</t>
        </is>
      </c>
      <c r="M100" s="48" t="n"/>
    </row>
    <row r="101">
      <c r="A101" s="15" t="n">
        <v>99</v>
      </c>
      <c r="B101" s="13" t="inlineStr">
        <is>
          <t>الصيانة والأتمتة</t>
        </is>
      </c>
      <c r="C101" s="24" t="inlineStr">
        <is>
          <t>متوسط زمن الاستجابة للبلاغات الطارئة</t>
        </is>
      </c>
      <c r="D101" s="46" t="n">
        <v>34.7</v>
      </c>
      <c r="E101" s="46" t="n">
        <v>30</v>
      </c>
      <c r="F101" s="47" t="n">
        <v>0.8645533141210374</v>
      </c>
      <c r="G101" s="12" t="n">
        <v>0.1354466858789626</v>
      </c>
      <c r="H101" s="46" t="n">
        <v>34.7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الصيانة والأتمتة</t>
        </is>
      </c>
      <c r="M101" s="48" t="n"/>
    </row>
    <row r="102">
      <c r="A102" s="15" t="n">
        <v>100</v>
      </c>
      <c r="B102" s="13" t="inlineStr">
        <is>
          <t>الصيانة والأتمتة</t>
        </is>
      </c>
      <c r="C102" s="24" t="inlineStr">
        <is>
          <t>نسبة الجاهزية الفنية للأصول والمعدات (Availability)</t>
        </is>
      </c>
      <c r="D102" s="46" t="n">
        <v>0.848</v>
      </c>
      <c r="E102" s="46" t="n">
        <v>0.98</v>
      </c>
      <c r="F102" s="47" t="n">
        <v>0.8653061224489795</v>
      </c>
      <c r="G102" s="12" t="n">
        <v>0.1346938775510205</v>
      </c>
      <c r="H102" s="46" t="n">
        <v>0.848</v>
      </c>
      <c r="I102" s="15" t="inlineStr">
        <is>
          <t>🔴 تحت الهدف</t>
        </is>
      </c>
      <c r="J102" s="11" t="inlineStr">
        <is>
          <t>انحراف جوهري — أولوية عاجلة.</t>
        </is>
      </c>
      <c r="K102" s="11" t="inlineStr">
        <is>
          <t>إجراء تصحيحي خلال 30 يوماً.</t>
        </is>
      </c>
      <c r="L102" s="15" t="inlineStr">
        <is>
          <t>مدير الصيانة والأتمتة</t>
        </is>
      </c>
      <c r="M102" s="48" t="n"/>
    </row>
    <row r="103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46" t="n">
        <v>34.7</v>
      </c>
      <c r="E103" s="46" t="n">
        <v>40</v>
      </c>
      <c r="F103" s="47" t="n">
        <v>0.8675</v>
      </c>
      <c r="G103" s="12" t="n">
        <v>0.1325</v>
      </c>
      <c r="H103" s="46" t="n">
        <v>69.40000000000001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إدارة المشاريع</t>
        </is>
      </c>
      <c r="M103" s="48" t="n"/>
    </row>
    <row r="104">
      <c r="A104" s="15" t="n">
        <v>102</v>
      </c>
      <c r="B104" s="13" t="inlineStr">
        <is>
          <t>العقار</t>
        </is>
      </c>
      <c r="C104" s="24" t="inlineStr">
        <is>
          <t>استدامة المستأجرين (لم يُنهَ مبكراً)</t>
        </is>
      </c>
      <c r="D104" s="46" t="n">
        <v>0.695</v>
      </c>
      <c r="E104" s="46" t="n">
        <v>0.8</v>
      </c>
      <c r="F104" s="47" t="n">
        <v>0.8687499999999999</v>
      </c>
      <c r="G104" s="12" t="n">
        <v>0.1312500000000001</v>
      </c>
      <c r="H104" s="46" t="n">
        <v>0.695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العقار</t>
        </is>
      </c>
      <c r="M104" s="48" t="n"/>
    </row>
    <row r="105">
      <c r="A105" s="15" t="n">
        <v>103</v>
      </c>
      <c r="B105" s="13" t="inlineStr">
        <is>
          <t>الامتياز التجاري</t>
        </is>
      </c>
      <c r="C105" s="24" t="inlineStr">
        <is>
          <t>رفع هامش الربحية للامتياز</t>
        </is>
      </c>
      <c r="D105" s="46" t="n">
        <v>1.564</v>
      </c>
      <c r="E105" s="46" t="n">
        <v>1.8</v>
      </c>
      <c r="F105" s="47" t="n">
        <v>0.8688888888888889</v>
      </c>
      <c r="G105" s="12" t="n">
        <v>0.1311111111111111</v>
      </c>
      <c r="H105" s="46" t="n">
        <v>1.564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الامتياز</t>
        </is>
      </c>
      <c r="M105" s="48" t="n"/>
    </row>
    <row r="106">
      <c r="A106" s="15" t="n">
        <v>104</v>
      </c>
      <c r="B106" s="13" t="inlineStr">
        <is>
          <t>إدارة المشاريع</t>
        </is>
      </c>
      <c r="C106" s="24" t="inlineStr">
        <is>
          <t>نسبة التزام المطوّرين بالجدول الزمني</t>
        </is>
      </c>
      <c r="D106" s="46" t="n">
        <v>0.652</v>
      </c>
      <c r="E106" s="46" t="n">
        <v>0.75</v>
      </c>
      <c r="F106" s="47" t="n">
        <v>0.8693333333333334</v>
      </c>
      <c r="G106" s="12" t="n">
        <v>0.1306666666666666</v>
      </c>
      <c r="H106" s="46" t="n">
        <v>0.652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48" t="n"/>
    </row>
    <row r="107">
      <c r="A107" s="15" t="n">
        <v>105</v>
      </c>
      <c r="B107" s="13" t="inlineStr">
        <is>
          <t>الاستثمار</t>
        </is>
      </c>
      <c r="C107" s="24" t="inlineStr">
        <is>
          <t>إجمالي عقود الاستثمار الجديدة (جميع النماذج)</t>
        </is>
      </c>
      <c r="D107" s="46" t="n">
        <v>165.7</v>
      </c>
      <c r="E107" s="46" t="n">
        <v>190</v>
      </c>
      <c r="F107" s="47" t="n">
        <v>0.8721052631578947</v>
      </c>
      <c r="G107" s="12" t="n">
        <v>0.1278947368421053</v>
      </c>
      <c r="H107" s="46" t="n">
        <v>331.4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الاستثمار</t>
        </is>
      </c>
      <c r="M107" s="48" t="n"/>
    </row>
    <row r="108">
      <c r="A108" s="15" t="n">
        <v>106</v>
      </c>
      <c r="B108" s="13" t="inlineStr">
        <is>
          <t>الامتياز التجاري</t>
        </is>
      </c>
      <c r="C108" s="24" t="inlineStr">
        <is>
          <t>نسبة المحطات التي حققت مستهدف المبيعات</t>
        </is>
      </c>
      <c r="D108" s="46" t="n">
        <v>0.788</v>
      </c>
      <c r="E108" s="46" t="n">
        <v>0.9</v>
      </c>
      <c r="F108" s="47" t="n">
        <v>0.8755555555555555</v>
      </c>
      <c r="G108" s="12" t="n">
        <v>0.1244444444444445</v>
      </c>
      <c r="H108" s="46" t="n">
        <v>0.788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الامتياز</t>
        </is>
      </c>
      <c r="M108" s="48" t="n"/>
    </row>
    <row r="109">
      <c r="A109" s="15" t="n">
        <v>107</v>
      </c>
      <c r="B109" s="13" t="inlineStr">
        <is>
          <t>العقار</t>
        </is>
      </c>
      <c r="C109" s="24" t="inlineStr">
        <is>
          <t>متوسط زمن تسليم الوحدة</t>
        </is>
      </c>
      <c r="D109" s="46" t="n">
        <v>7.983</v>
      </c>
      <c r="E109" s="46" t="n">
        <v>7</v>
      </c>
      <c r="F109" s="47" t="n">
        <v>0.8768633345859953</v>
      </c>
      <c r="G109" s="12" t="n">
        <v>0.1231366654140047</v>
      </c>
      <c r="H109" s="46" t="n">
        <v>7.983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48" t="n"/>
    </row>
    <row r="110">
      <c r="A110" s="15" t="n">
        <v>108</v>
      </c>
      <c r="B110" s="13" t="inlineStr">
        <is>
          <t>الإدارة التنفيذية</t>
        </is>
      </c>
      <c r="C110" s="24" t="inlineStr">
        <is>
          <t>إجمالي المحطات المشغّلة — الشركة (تراكمي)</t>
        </is>
      </c>
      <c r="D110" s="46" t="n">
        <v>206.1</v>
      </c>
      <c r="E110" s="46" t="n">
        <v>235</v>
      </c>
      <c r="F110" s="47" t="n">
        <v>0.8770212765957447</v>
      </c>
      <c r="G110" s="12" t="n">
        <v>0.1229787234042553</v>
      </c>
      <c r="H110" s="46" t="n">
        <v>206.1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الرئيس التنفيذي</t>
        </is>
      </c>
      <c r="M110" s="48" t="n"/>
    </row>
    <row r="111">
      <c r="A111" s="15" t="n">
        <v>109</v>
      </c>
      <c r="B111" s="13" t="inlineStr">
        <is>
          <t>الجودة</t>
        </is>
      </c>
      <c r="C111" s="24" t="inlineStr">
        <is>
          <t>نسبة تكرار الملاحظات</t>
        </is>
      </c>
      <c r="D111" s="46" t="n">
        <v>0.114</v>
      </c>
      <c r="E111" s="46" t="n">
        <v>0.1</v>
      </c>
      <c r="F111" s="47" t="n">
        <v>0.8771929824561404</v>
      </c>
      <c r="G111" s="12" t="n">
        <v>0.1228070175438596</v>
      </c>
      <c r="H111" s="46" t="n">
        <v>0.114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الجودة</t>
        </is>
      </c>
      <c r="M111" s="48" t="n"/>
    </row>
    <row r="112">
      <c r="A112" s="15" t="n">
        <v>110</v>
      </c>
      <c r="B112" s="13" t="inlineStr">
        <is>
          <t>الموارد البشرية</t>
        </is>
      </c>
      <c r="C112" s="24" t="inlineStr">
        <is>
          <t>نسبة دقة الرواتب والمستحقات الشهرية</t>
        </is>
      </c>
      <c r="D112" s="46" t="n">
        <v>0.888</v>
      </c>
      <c r="E112" s="46" t="n">
        <v>0.995</v>
      </c>
      <c r="F112" s="47" t="n">
        <v>0.892462311557789</v>
      </c>
      <c r="G112" s="12" t="n">
        <v>0.107537688442211</v>
      </c>
      <c r="H112" s="46" t="n">
        <v>0.888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48" t="n"/>
    </row>
    <row r="113">
      <c r="A113" s="15" t="n">
        <v>111</v>
      </c>
      <c r="B113" s="13" t="inlineStr">
        <is>
          <t>التشغيل والمحطات</t>
        </is>
      </c>
      <c r="C113" s="24" t="inlineStr">
        <is>
          <t>سرعة تعبئة الوقود</t>
        </is>
      </c>
      <c r="D113" s="46" t="n">
        <v>3.352</v>
      </c>
      <c r="E113" s="46" t="n">
        <v>3</v>
      </c>
      <c r="F113" s="47" t="n">
        <v>0.8949880668257757</v>
      </c>
      <c r="G113" s="12" t="n">
        <v>0.1050119331742243</v>
      </c>
      <c r="H113" s="46" t="n">
        <v>3.352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48" t="n"/>
    </row>
    <row r="114">
      <c r="A114" s="15" t="n">
        <v>112</v>
      </c>
      <c r="B114" s="13" t="inlineStr">
        <is>
          <t>الموارد البشرية</t>
        </is>
      </c>
      <c r="C114" s="24" t="inlineStr">
        <is>
          <t>متوسط مدة إغلاق الشواغر المعتمدة</t>
        </is>
      </c>
      <c r="D114" s="46" t="n">
        <v>33.5</v>
      </c>
      <c r="E114" s="46" t="n">
        <v>30</v>
      </c>
      <c r="F114" s="47" t="n">
        <v>0.8955223880597015</v>
      </c>
      <c r="G114" s="12" t="n">
        <v>0.1044776119402985</v>
      </c>
      <c r="H114" s="46" t="n">
        <v>33.5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الموارد البشرية</t>
        </is>
      </c>
      <c r="M114" s="48" t="n"/>
    </row>
    <row r="115">
      <c r="A115" s="15" t="n">
        <v>113</v>
      </c>
      <c r="B115" s="13" t="inlineStr">
        <is>
          <t>إدارة المشاريع</t>
        </is>
      </c>
      <c r="C115" s="24" t="inlineStr">
        <is>
          <t>نسبة التزام المقاولين بمعايير السلامة</t>
        </is>
      </c>
      <c r="D115" s="46" t="n">
        <v>0.852</v>
      </c>
      <c r="E115" s="46" t="n">
        <v>0.95</v>
      </c>
      <c r="F115" s="47" t="n">
        <v>0.8968421052631579</v>
      </c>
      <c r="G115" s="12" t="n">
        <v>0.1031578947368421</v>
      </c>
      <c r="H115" s="46" t="n">
        <v>0.852</v>
      </c>
      <c r="I115" s="15" t="inlineStr">
        <is>
          <t>🔴 تحت الهدف</t>
        </is>
      </c>
      <c r="J115" s="11" t="inlineStr">
        <is>
          <t>انحراف جوهري — أولوية عاجلة.</t>
        </is>
      </c>
      <c r="K115" s="11" t="inlineStr">
        <is>
          <t>إجراء تصحيحي خلال 30 يوماً.</t>
        </is>
      </c>
      <c r="L115" s="15" t="inlineStr">
        <is>
          <t>مدير إدارة المشاريع</t>
        </is>
      </c>
      <c r="M115" s="48" t="n"/>
    </row>
    <row r="116">
      <c r="A116" s="15" t="n">
        <v>114</v>
      </c>
      <c r="B116" s="13" t="inlineStr">
        <is>
          <t>التشغيل والمحطات</t>
        </is>
      </c>
      <c r="C116" s="24" t="inlineStr">
        <is>
          <t>تقييم Google Maps للمحطات</t>
        </is>
      </c>
      <c r="D116" s="46" t="n">
        <v>4.048</v>
      </c>
      <c r="E116" s="46" t="n">
        <v>4.5</v>
      </c>
      <c r="F116" s="47" t="n">
        <v>0.8995555555555556</v>
      </c>
      <c r="G116" s="12" t="n">
        <v>0.1004444444444444</v>
      </c>
      <c r="H116" s="46" t="n">
        <v>4.048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التشغيل</t>
        </is>
      </c>
      <c r="M116" s="48" t="n"/>
    </row>
    <row r="117">
      <c r="A117" s="15" t="n">
        <v>115</v>
      </c>
      <c r="B117" s="13" t="inlineStr">
        <is>
          <t>الإدارة المالية</t>
        </is>
      </c>
      <c r="C117" s="24" t="inlineStr">
        <is>
          <t>نسبة التدفق النقدي التشغيلي</t>
        </is>
      </c>
      <c r="D117" s="46" t="n">
        <v>0.902</v>
      </c>
      <c r="E117" s="46" t="n">
        <v>1</v>
      </c>
      <c r="F117" s="47" t="n">
        <v>0.902</v>
      </c>
      <c r="G117" s="12" t="n">
        <v>0.09799999999999998</v>
      </c>
      <c r="H117" s="46" t="n">
        <v>0.902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48" t="n"/>
    </row>
    <row r="118">
      <c r="A118" s="15" t="n">
        <v>116</v>
      </c>
      <c r="B118" s="13" t="inlineStr">
        <is>
          <t>الإدارة التنفيذية</t>
        </is>
      </c>
      <c r="C118" s="24" t="inlineStr">
        <is>
          <t>نسبة إنجاز مشاريع الخارطة التنفيذية</t>
        </is>
      </c>
      <c r="D118" s="46" t="n">
        <v>0.906</v>
      </c>
      <c r="E118" s="46" t="n">
        <v>1</v>
      </c>
      <c r="F118" s="47" t="n">
        <v>0.906</v>
      </c>
      <c r="G118" s="12" t="n">
        <v>0.09399999999999997</v>
      </c>
      <c r="H118" s="46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48" t="n"/>
    </row>
    <row r="119">
      <c r="A119" s="15" t="n">
        <v>117</v>
      </c>
      <c r="B119" s="13" t="inlineStr">
        <is>
          <t>إدارة المشاريع</t>
        </is>
      </c>
      <c r="C119" s="24" t="inlineStr">
        <is>
          <t>نسبة المشاريع المنفّذة ضمن الميزانية</t>
        </is>
      </c>
      <c r="D119" s="46" t="n">
        <v>0.774</v>
      </c>
      <c r="E119" s="46" t="n">
        <v>0.85</v>
      </c>
      <c r="F119" s="47" t="n">
        <v>0.9105882352941177</v>
      </c>
      <c r="G119" s="12" t="n">
        <v>0.0894117647058823</v>
      </c>
      <c r="H119" s="46" t="n">
        <v>0.774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إدارة المشاريع</t>
        </is>
      </c>
      <c r="M119" s="48" t="n"/>
    </row>
    <row r="120">
      <c r="A120" s="15" t="n">
        <v>118</v>
      </c>
      <c r="B120" s="13" t="inlineStr">
        <is>
          <t>الامتياز التجاري</t>
        </is>
      </c>
      <c r="C120" s="24" t="inlineStr">
        <is>
          <t>نسبة المحطات المستوفية لمعايير السلامة</t>
        </is>
      </c>
      <c r="D120" s="46" t="n">
        <v>0.911</v>
      </c>
      <c r="E120" s="46" t="n">
        <v>1</v>
      </c>
      <c r="F120" s="47" t="n">
        <v>0.911</v>
      </c>
      <c r="G120" s="12" t="n">
        <v>0.08899999999999997</v>
      </c>
      <c r="H120" s="46" t="n">
        <v>0.911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الامتياز</t>
        </is>
      </c>
      <c r="M120" s="48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متوسط وقت معالجة البلاغات التشغيلية</t>
        </is>
      </c>
      <c r="D121" s="46" t="n">
        <v>26.2</v>
      </c>
      <c r="E121" s="46" t="n">
        <v>24</v>
      </c>
      <c r="F121" s="47" t="n">
        <v>0.916030534351145</v>
      </c>
      <c r="G121" s="12" t="n">
        <v>0.08396946564885499</v>
      </c>
      <c r="H121" s="46" t="n">
        <v>26.2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48" t="n"/>
    </row>
    <row r="122">
      <c r="A122" s="15" t="n">
        <v>120</v>
      </c>
      <c r="B122" s="13" t="inlineStr">
        <is>
          <t>العقار</t>
        </is>
      </c>
      <c r="C122" s="24" t="inlineStr">
        <is>
          <t>الشراكات الاستراتيجية</t>
        </is>
      </c>
      <c r="D122" s="46" t="n">
        <v>4.59</v>
      </c>
      <c r="E122" s="46" t="n">
        <v>5</v>
      </c>
      <c r="F122" s="47" t="n">
        <v>0.9179999999999999</v>
      </c>
      <c r="G122" s="12" t="n">
        <v>0.08200000000000007</v>
      </c>
      <c r="H122" s="46" t="n">
        <v>9.18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48" t="n"/>
    </row>
    <row r="123">
      <c r="A123" s="15" t="n">
        <v>121</v>
      </c>
      <c r="B123" s="13" t="inlineStr">
        <is>
          <t>سلاسل الإمداد</t>
        </is>
      </c>
      <c r="C123" s="24" t="inlineStr">
        <is>
          <t>دقة أوامر الشراء ومستنداتها</t>
        </is>
      </c>
      <c r="D123" s="46" t="n">
        <v>0.905</v>
      </c>
      <c r="E123" s="46" t="n">
        <v>0.98</v>
      </c>
      <c r="F123" s="47" t="n">
        <v>0.9234693877551021</v>
      </c>
      <c r="G123" s="12" t="n">
        <v>0.07653061224489788</v>
      </c>
      <c r="H123" s="46" t="n">
        <v>0.905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سلاسل الإمداد</t>
        </is>
      </c>
      <c r="M123" s="48" t="n"/>
    </row>
    <row r="124">
      <c r="A124" s="15" t="n">
        <v>122</v>
      </c>
      <c r="B124" s="13" t="inlineStr">
        <is>
          <t>التشغيل والمحطات</t>
        </is>
      </c>
      <c r="C124" s="24" t="inlineStr">
        <is>
          <t>عدد المحطات المشغّلة (تراكمي)</t>
        </is>
      </c>
      <c r="D124" s="46" t="n">
        <v>78.5</v>
      </c>
      <c r="E124" s="46" t="n">
        <v>85</v>
      </c>
      <c r="F124" s="47" t="n">
        <v>0.9235294117647059</v>
      </c>
      <c r="G124" s="12" t="n">
        <v>0.07647058823529407</v>
      </c>
      <c r="H124" s="46" t="n">
        <v>78.5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48" t="n"/>
    </row>
    <row r="125">
      <c r="A125" s="15" t="n">
        <v>123</v>
      </c>
      <c r="B125" s="13" t="inlineStr">
        <is>
          <t>الامتياز التجاري</t>
        </is>
      </c>
      <c r="C125" s="24" t="inlineStr">
        <is>
          <t>نسبة إغلاق ملاحظات الجودة الميدانية</t>
        </is>
      </c>
      <c r="D125" s="46" t="n">
        <v>0.879</v>
      </c>
      <c r="E125" s="46" t="n">
        <v>0.95</v>
      </c>
      <c r="F125" s="47" t="n">
        <v>0.9252631578947369</v>
      </c>
      <c r="G125" s="12" t="n">
        <v>0.0747368421052631</v>
      </c>
      <c r="H125" s="46" t="n">
        <v>0.879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48" t="n"/>
    </row>
    <row r="126">
      <c r="A126" s="15" t="n">
        <v>124</v>
      </c>
      <c r="B126" s="13" t="inlineStr">
        <is>
          <t>إدارة المشاريع</t>
        </is>
      </c>
      <c r="C126" s="24" t="inlineStr">
        <is>
          <t>متوسط مدة إغلاق قائمة الملاحظات النهائية</t>
        </is>
      </c>
      <c r="D126" s="46" t="n">
        <v>32.4</v>
      </c>
      <c r="E126" s="46" t="n">
        <v>30</v>
      </c>
      <c r="F126" s="47" t="n">
        <v>0.9259259259259259</v>
      </c>
      <c r="G126" s="12" t="n">
        <v>0.07407407407407407</v>
      </c>
      <c r="H126" s="46" t="n">
        <v>32.4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إدارة المشاريع</t>
        </is>
      </c>
      <c r="M126" s="48" t="n"/>
    </row>
    <row r="127">
      <c r="A127" s="15" t="n">
        <v>125</v>
      </c>
      <c r="B127" s="13" t="inlineStr">
        <is>
          <t>الجودة</t>
        </is>
      </c>
      <c r="C127" s="24" t="inlineStr">
        <is>
          <t>نسبة المحطات الحرجة</t>
        </is>
      </c>
      <c r="D127" s="46" t="n">
        <v>0.054</v>
      </c>
      <c r="E127" s="46" t="n">
        <v>0.05</v>
      </c>
      <c r="F127" s="47" t="n">
        <v>0.925925925925926</v>
      </c>
      <c r="G127" s="12" t="n">
        <v>0.07407407407407396</v>
      </c>
      <c r="H127" s="46" t="n">
        <v>0.054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48" t="n"/>
    </row>
    <row r="128">
      <c r="A128" s="15" t="n">
        <v>126</v>
      </c>
      <c r="B128" s="13" t="inlineStr">
        <is>
          <t>الامتياز التجاري</t>
        </is>
      </c>
      <c r="C128" s="24" t="inlineStr">
        <is>
          <t>متوسط درجة تقييم جودة المحطة (قائمة التحقق)</t>
        </is>
      </c>
      <c r="D128" s="46" t="n">
        <v>78.8</v>
      </c>
      <c r="E128" s="46" t="n">
        <v>85</v>
      </c>
      <c r="F128" s="47" t="n">
        <v>0.9270588235294117</v>
      </c>
      <c r="G128" s="12" t="n">
        <v>0.07294117647058829</v>
      </c>
      <c r="H128" s="46" t="n">
        <v>78.8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48" t="n"/>
    </row>
    <row r="129">
      <c r="A129" s="15" t="n">
        <v>127</v>
      </c>
      <c r="B129" s="13" t="inlineStr">
        <is>
          <t>الإدارة المالية</t>
        </is>
      </c>
      <c r="C129" s="24" t="inlineStr">
        <is>
          <t>نسبة تحصيل الامتياز</t>
        </is>
      </c>
      <c r="D129" s="46" t="n">
        <v>0.91</v>
      </c>
      <c r="E129" s="46" t="n">
        <v>0.98</v>
      </c>
      <c r="F129" s="47" t="n">
        <v>0.9285714285714286</v>
      </c>
      <c r="G129" s="12" t="n">
        <v>0.0714285714285714</v>
      </c>
      <c r="H129" s="46" t="n">
        <v>0.91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المالي</t>
        </is>
      </c>
      <c r="M129" s="48" t="n"/>
    </row>
    <row r="130">
      <c r="A130" s="15" t="n">
        <v>128</v>
      </c>
      <c r="B130" s="13" t="inlineStr">
        <is>
          <t>إدارة المشاريع</t>
        </is>
      </c>
      <c r="C130" s="24" t="inlineStr">
        <is>
          <t>عدد محطات الشركة المُسلَّمة</t>
        </is>
      </c>
      <c r="D130" s="46" t="n">
        <v>18.8</v>
      </c>
      <c r="E130" s="46" t="n">
        <v>20</v>
      </c>
      <c r="F130" s="47" t="n">
        <v>0.9400000000000001</v>
      </c>
      <c r="G130" s="12" t="n">
        <v>0.05999999999999994</v>
      </c>
      <c r="H130" s="46" t="n">
        <v>37.6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إدارة المشاريع</t>
        </is>
      </c>
      <c r="M130" s="48" t="n"/>
    </row>
    <row r="131">
      <c r="A131" s="15" t="n">
        <v>129</v>
      </c>
      <c r="B131" s="13" t="inlineStr">
        <is>
          <t>الإدارة القانونية</t>
        </is>
      </c>
      <c r="C131" s="24" t="inlineStr">
        <is>
          <t>متوسط زمن إغلاق قضية التحقيق</t>
        </is>
      </c>
      <c r="D131" s="46" t="n">
        <v>31.9</v>
      </c>
      <c r="E131" s="46" t="n">
        <v>30</v>
      </c>
      <c r="F131" s="47" t="n">
        <v>0.9404388714733543</v>
      </c>
      <c r="G131" s="12" t="n">
        <v>0.05956112852664575</v>
      </c>
      <c r="H131" s="46" t="n">
        <v>31.9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المدير القانوني</t>
        </is>
      </c>
      <c r="M131" s="48" t="n"/>
    </row>
    <row r="132">
      <c r="A132" s="15" t="n">
        <v>130</v>
      </c>
      <c r="B132" s="13" t="inlineStr">
        <is>
          <t>سلاسل الإمداد</t>
        </is>
      </c>
      <c r="C132" s="24" t="inlineStr">
        <is>
          <t>نسبة تغطية مخزون الوقود بالأيام</t>
        </is>
      </c>
      <c r="D132" s="46" t="n">
        <v>4.706</v>
      </c>
      <c r="E132" s="46" t="n">
        <v>5</v>
      </c>
      <c r="F132" s="47" t="n">
        <v>0.9412</v>
      </c>
      <c r="G132" s="12" t="n">
        <v>0.05879999999999996</v>
      </c>
      <c r="H132" s="46" t="n">
        <v>4.706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سلاسل الإمداد</t>
        </is>
      </c>
      <c r="M132" s="48" t="n"/>
    </row>
    <row r="133">
      <c r="A133" s="15" t="n">
        <v>131</v>
      </c>
      <c r="B133" s="13" t="inlineStr">
        <is>
          <t>الصيانة والأتمتة</t>
        </is>
      </c>
      <c r="C133" s="24" t="inlineStr">
        <is>
          <t>نسبة استمرارية تشغيل المحطات دون توقف فني</t>
        </is>
      </c>
      <c r="D133" s="46" t="n">
        <v>0.9320000000000001</v>
      </c>
      <c r="E133" s="46" t="n">
        <v>0.99</v>
      </c>
      <c r="F133" s="47" t="n">
        <v>0.9414141414141415</v>
      </c>
      <c r="G133" s="12" t="n">
        <v>0.05858585858585852</v>
      </c>
      <c r="H133" s="46" t="n">
        <v>0.9320000000000001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الصيانة والأتمتة</t>
        </is>
      </c>
      <c r="M133" s="48" t="n"/>
    </row>
    <row r="134">
      <c r="A134" s="15" t="n">
        <v>132</v>
      </c>
      <c r="B134" s="13" t="inlineStr">
        <is>
          <t>الاستثمار</t>
        </is>
      </c>
      <c r="C134" s="24" t="inlineStr">
        <is>
          <t>سرعة إنجاز إجراءات التعاقد</t>
        </is>
      </c>
      <c r="D134" s="46" t="n">
        <v>1.061</v>
      </c>
      <c r="E134" s="46" t="n">
        <v>1</v>
      </c>
      <c r="F134" s="47" t="n">
        <v>0.942507068803016</v>
      </c>
      <c r="G134" s="12" t="n">
        <v>0.05749293119698395</v>
      </c>
      <c r="H134" s="46" t="n">
        <v>1.061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الاستثمار</t>
        </is>
      </c>
      <c r="M134" s="48" t="n"/>
    </row>
    <row r="135">
      <c r="A135" s="15" t="n">
        <v>133</v>
      </c>
      <c r="B135" s="13" t="inlineStr">
        <is>
          <t>الاستثمار</t>
        </is>
      </c>
      <c r="C135" s="24" t="inlineStr">
        <is>
          <t>نسبة العقود على الطرق الإقليمية</t>
        </is>
      </c>
      <c r="D135" s="46" t="n">
        <v>0.236</v>
      </c>
      <c r="E135" s="46" t="n">
        <v>0.25</v>
      </c>
      <c r="F135" s="47" t="n">
        <v>0.944</v>
      </c>
      <c r="G135" s="12" t="n">
        <v>0.05600000000000005</v>
      </c>
      <c r="H135" s="46" t="n">
        <v>0.236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الاستثمار</t>
        </is>
      </c>
      <c r="M135" s="48" t="n"/>
    </row>
    <row r="136">
      <c r="A136" s="15" t="n">
        <v>134</v>
      </c>
      <c r="B136" s="13" t="inlineStr">
        <is>
          <t>التسويق</t>
        </is>
      </c>
      <c r="C136" s="24" t="inlineStr">
        <is>
          <t>وصول محتوى تطبيق تانكي</t>
        </is>
      </c>
      <c r="D136" s="46" t="n">
        <v>946380</v>
      </c>
      <c r="E136" s="46" t="n">
        <v>1000000</v>
      </c>
      <c r="F136" s="47" t="n">
        <v>0.94638</v>
      </c>
      <c r="G136" s="12" t="n">
        <v>0.05362</v>
      </c>
      <c r="H136" s="46" t="n">
        <v>946380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48" t="n"/>
    </row>
    <row r="137">
      <c r="A137" s="15" t="n">
        <v>135</v>
      </c>
      <c r="B137" s="13" t="inlineStr">
        <is>
          <t>الامتياز التجاري</t>
        </is>
      </c>
      <c r="C137" s="24" t="inlineStr">
        <is>
          <t>نسبة استدامة أصحاب الامتياز (Retention)</t>
        </is>
      </c>
      <c r="D137" s="46" t="n">
        <v>0.853</v>
      </c>
      <c r="E137" s="46" t="n">
        <v>0.9</v>
      </c>
      <c r="F137" s="47" t="n">
        <v>0.9477777777777777</v>
      </c>
      <c r="G137" s="12" t="n">
        <v>0.05222222222222228</v>
      </c>
      <c r="H137" s="46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48" t="n"/>
    </row>
    <row r="138">
      <c r="A138" s="15" t="n">
        <v>136</v>
      </c>
      <c r="B138" s="13" t="inlineStr">
        <is>
          <t>الإدارة المالية</t>
        </is>
      </c>
      <c r="C138" s="24" t="inlineStr">
        <is>
          <t>أيام تحصيل رسوم الامتياز</t>
        </is>
      </c>
      <c r="D138" s="46" t="n">
        <v>15.8</v>
      </c>
      <c r="E138" s="46" t="n">
        <v>15</v>
      </c>
      <c r="F138" s="47" t="n">
        <v>0.9493670886075949</v>
      </c>
      <c r="G138" s="12" t="n">
        <v>0.05063291139240511</v>
      </c>
      <c r="H138" s="46" t="n">
        <v>15.8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المالي</t>
        </is>
      </c>
      <c r="M138" s="48" t="n"/>
    </row>
    <row r="139">
      <c r="A139" s="15" t="n">
        <v>137</v>
      </c>
      <c r="B139" s="13" t="inlineStr">
        <is>
          <t>الموارد البشرية</t>
        </is>
      </c>
      <c r="C139" s="24" t="inlineStr">
        <is>
          <t>نسبة جاهزية وتغطية عمالة المحطات حسب خطة التشغيل والافتتاحات</t>
        </is>
      </c>
      <c r="D139" s="46" t="n">
        <v>0.903</v>
      </c>
      <c r="E139" s="46" t="n">
        <v>0.95</v>
      </c>
      <c r="F139" s="47" t="n">
        <v>0.9505263157894738</v>
      </c>
      <c r="G139" s="12" t="n">
        <v>0.04947368421052623</v>
      </c>
      <c r="H139" s="46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48" t="n"/>
    </row>
    <row r="140">
      <c r="A140" s="15" t="n">
        <v>138</v>
      </c>
      <c r="B140" s="13" t="inlineStr">
        <is>
          <t>سلاسل الإمداد</t>
        </is>
      </c>
      <c r="C140" s="24" t="inlineStr">
        <is>
          <t>نسبة جاهزية الإمداد للمحطات الجديدة وخطط الافتتاح</t>
        </is>
      </c>
      <c r="D140" s="46" t="n">
        <v>0.952</v>
      </c>
      <c r="E140" s="46" t="n">
        <v>1</v>
      </c>
      <c r="F140" s="47" t="n">
        <v>0.952</v>
      </c>
      <c r="G140" s="12" t="n">
        <v>0.04800000000000004</v>
      </c>
      <c r="H140" s="46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48" t="n"/>
    </row>
    <row r="141">
      <c r="A141" s="15" t="n">
        <v>139</v>
      </c>
      <c r="B141" s="13" t="inlineStr">
        <is>
          <t>الامتياز التجاري</t>
        </is>
      </c>
      <c r="C141" s="24" t="inlineStr">
        <is>
          <t>عدد عقود الامتياز الجديدة الموقّعة</t>
        </is>
      </c>
      <c r="D141" s="46" t="n">
        <v>159.2</v>
      </c>
      <c r="E141" s="46" t="n">
        <v>167</v>
      </c>
      <c r="F141" s="47" t="n">
        <v>0.9532934131736527</v>
      </c>
      <c r="G141" s="12" t="n">
        <v>0.04670658682634732</v>
      </c>
      <c r="H141" s="46" t="n">
        <v>318.4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الامتياز</t>
        </is>
      </c>
      <c r="M141" s="48" t="n"/>
    </row>
    <row r="142">
      <c r="A142" s="15" t="n">
        <v>140</v>
      </c>
      <c r="B142" s="13" t="inlineStr">
        <is>
          <t>إدارة المشاريع</t>
        </is>
      </c>
      <c r="C142" s="24" t="inlineStr">
        <is>
          <t>نسبة الالتزام بالميزانية المعتمدة</t>
        </is>
      </c>
      <c r="D142" s="46" t="n">
        <v>0.96</v>
      </c>
      <c r="E142" s="46" t="n">
        <v>1</v>
      </c>
      <c r="F142" s="47" t="n">
        <v>0.96</v>
      </c>
      <c r="G142" s="12" t="n">
        <v>0.04000000000000004</v>
      </c>
      <c r="H142" s="46" t="n">
        <v>0.96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48" t="n"/>
    </row>
    <row r="143">
      <c r="A143" s="15" t="n">
        <v>141</v>
      </c>
      <c r="B143" s="13" t="inlineStr">
        <is>
          <t>الاستثمار</t>
        </is>
      </c>
      <c r="C143" s="24" t="inlineStr">
        <is>
          <t>نسبة إنجاز التقارير الدورية في موعدها</t>
        </is>
      </c>
      <c r="D143" s="46" t="n">
        <v>0.961</v>
      </c>
      <c r="E143" s="46" t="n">
        <v>1</v>
      </c>
      <c r="F143" s="47" t="n">
        <v>0.961</v>
      </c>
      <c r="G143" s="12" t="n">
        <v>0.03900000000000003</v>
      </c>
      <c r="H143" s="46" t="n">
        <v>0.961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الاستثمار</t>
        </is>
      </c>
      <c r="M143" s="48" t="n"/>
    </row>
    <row r="144">
      <c r="A144" s="15" t="n">
        <v>142</v>
      </c>
      <c r="B144" s="13" t="inlineStr">
        <is>
          <t>العقار</t>
        </is>
      </c>
      <c r="C144" s="24" t="inlineStr">
        <is>
          <t>علامات تجارية جديدة (ساحة درب)</t>
        </is>
      </c>
      <c r="D144" s="46" t="n">
        <v>5.769</v>
      </c>
      <c r="E144" s="46" t="n">
        <v>6</v>
      </c>
      <c r="F144" s="47" t="n">
        <v>0.9615</v>
      </c>
      <c r="G144" s="12" t="n">
        <v>0.03849999999999998</v>
      </c>
      <c r="H144" s="46" t="n">
        <v>11.538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العقار</t>
        </is>
      </c>
      <c r="M144" s="48" t="n"/>
    </row>
    <row r="145">
      <c r="A145" s="15" t="n">
        <v>143</v>
      </c>
      <c r="B145" s="13" t="inlineStr">
        <is>
          <t>إدارة المشاريع</t>
        </is>
      </c>
      <c r="C145" s="24" t="inlineStr">
        <is>
          <t>عدد مخالفات المقاولين (سنوي)</t>
        </is>
      </c>
      <c r="D145" s="46" t="n">
        <v>10.4</v>
      </c>
      <c r="E145" s="46" t="n">
        <v>10</v>
      </c>
      <c r="F145" s="47" t="n">
        <v>0.9615384615384615</v>
      </c>
      <c r="G145" s="12" t="n">
        <v>0.03846153846153855</v>
      </c>
      <c r="H145" s="46" t="n">
        <v>20.8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48" t="n"/>
    </row>
    <row r="146">
      <c r="A146" s="15" t="n">
        <v>144</v>
      </c>
      <c r="B146" s="13" t="inlineStr">
        <is>
          <t>الاستثمار</t>
        </is>
      </c>
      <c r="C146" s="24" t="inlineStr">
        <is>
          <t>نسبة العقود في الـ12 مدينة الرئيسية</t>
        </is>
      </c>
      <c r="D146" s="46" t="n">
        <v>0.415</v>
      </c>
      <c r="E146" s="46" t="n">
        <v>0.4</v>
      </c>
      <c r="F146" s="47" t="n">
        <v>0.9638554216867471</v>
      </c>
      <c r="G146" s="12" t="n">
        <v>0.03614457831325291</v>
      </c>
      <c r="H146" s="46" t="n">
        <v>0.415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الاستثمار</t>
        </is>
      </c>
      <c r="M146" s="48" t="n"/>
    </row>
    <row r="147">
      <c r="A147" s="15" t="n">
        <v>145</v>
      </c>
      <c r="B147" s="13" t="inlineStr">
        <is>
          <t>الموارد البشرية</t>
        </is>
      </c>
      <c r="C147" s="24" t="inlineStr">
        <is>
          <t>نسبة كفاءة تكلفة القوى العاملة</t>
        </is>
      </c>
      <c r="D147" s="46" t="n">
        <v>0.917</v>
      </c>
      <c r="E147" s="46" t="n">
        <v>0.95</v>
      </c>
      <c r="F147" s="47" t="n">
        <v>0.9652631578947369</v>
      </c>
      <c r="G147" s="12" t="n">
        <v>0.03473684210526307</v>
      </c>
      <c r="H147" s="46" t="n">
        <v>0.917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الموارد البشرية</t>
        </is>
      </c>
      <c r="M147" s="48" t="n"/>
    </row>
    <row r="148">
      <c r="A148" s="15" t="n">
        <v>146</v>
      </c>
      <c r="B148" s="13" t="inlineStr">
        <is>
          <t>إدارة المشاريع</t>
        </is>
      </c>
      <c r="C148" s="24" t="inlineStr">
        <is>
          <t>نسبة إنجاز محفظة مشاريع التوسع</t>
        </is>
      </c>
      <c r="D148" s="46" t="n">
        <v>0.676</v>
      </c>
      <c r="E148" s="46" t="n">
        <v>0.7</v>
      </c>
      <c r="F148" s="47" t="n">
        <v>0.9657142857142859</v>
      </c>
      <c r="G148" s="12" t="n">
        <v>0.03428571428571414</v>
      </c>
      <c r="H148" s="46" t="n">
        <v>0.676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إدارة المشاريع</t>
        </is>
      </c>
      <c r="M148" s="48" t="n"/>
    </row>
    <row r="149">
      <c r="A149" s="15" t="n">
        <v>147</v>
      </c>
      <c r="B149" s="13" t="inlineStr">
        <is>
          <t>الامتياز التجاري</t>
        </is>
      </c>
      <c r="C149" s="24" t="inlineStr">
        <is>
          <t>نسبة حل الشكاوى خلال المدة المحددة</t>
        </is>
      </c>
      <c r="D149" s="46" t="n">
        <v>0.922</v>
      </c>
      <c r="E149" s="46" t="n">
        <v>0.95</v>
      </c>
      <c r="F149" s="47" t="n">
        <v>0.9705263157894738</v>
      </c>
      <c r="G149" s="12" t="n">
        <v>0.02947368421052621</v>
      </c>
      <c r="H149" s="46" t="n">
        <v>0.922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الامتياز</t>
        </is>
      </c>
      <c r="M149" s="48" t="n"/>
    </row>
    <row r="150">
      <c r="A150" s="15" t="n">
        <v>148</v>
      </c>
      <c r="B150" s="13" t="inlineStr">
        <is>
          <t>الإدارة التنفيذية</t>
        </is>
      </c>
      <c r="C150" s="24" t="inlineStr">
        <is>
          <t>إجمالي العقود الجديدة — الشركة</t>
        </is>
      </c>
      <c r="D150" s="46" t="n">
        <v>346.6</v>
      </c>
      <c r="E150" s="46" t="n">
        <v>357</v>
      </c>
      <c r="F150" s="47" t="n">
        <v>0.9708683473389357</v>
      </c>
      <c r="G150" s="12" t="n">
        <v>0.02913165266106432</v>
      </c>
      <c r="H150" s="46" t="n">
        <v>693.2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الرئيس التنفيذي</t>
        </is>
      </c>
      <c r="M150" s="48" t="n"/>
    </row>
    <row r="151">
      <c r="A151" s="15" t="n">
        <v>149</v>
      </c>
      <c r="B151" s="13" t="inlineStr">
        <is>
          <t>الاستثمار</t>
        </is>
      </c>
      <c r="C151" s="24" t="inlineStr">
        <is>
          <t>نسبة اكتمال أرشفة ملفات العملاء</t>
        </is>
      </c>
      <c r="D151" s="46" t="n">
        <v>0.972</v>
      </c>
      <c r="E151" s="46" t="n">
        <v>1</v>
      </c>
      <c r="F151" s="47" t="n">
        <v>0.972</v>
      </c>
      <c r="G151" s="12" t="n">
        <v>0.02800000000000002</v>
      </c>
      <c r="H151" s="46" t="n">
        <v>0.972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الاستثمار</t>
        </is>
      </c>
      <c r="M151" s="48" t="n"/>
    </row>
    <row r="152">
      <c r="A152" s="15" t="n">
        <v>150</v>
      </c>
      <c r="B152" s="13" t="inlineStr">
        <is>
          <t>الإدارة القانونية</t>
        </is>
      </c>
      <c r="C152" s="24" t="inlineStr">
        <is>
          <t>نسبة العقود الخالية من الملاحظات والمخاطر القانونية</t>
        </is>
      </c>
      <c r="D152" s="46" t="n">
        <v>0.924</v>
      </c>
      <c r="E152" s="46" t="n">
        <v>0.95</v>
      </c>
      <c r="F152" s="47" t="n">
        <v>0.9726315789473685</v>
      </c>
      <c r="G152" s="12" t="n">
        <v>0.02736842105263149</v>
      </c>
      <c r="H152" s="46" t="n">
        <v>0.924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المدير القانوني</t>
        </is>
      </c>
      <c r="M152" s="48" t="n"/>
    </row>
    <row r="153">
      <c r="A153" s="15" t="n">
        <v>151</v>
      </c>
      <c r="B153" s="13" t="inlineStr">
        <is>
          <t>الإدارة المالية</t>
        </is>
      </c>
      <c r="C153" s="24" t="inlineStr">
        <is>
          <t>اكتمال مطابقة حسابات الموردين</t>
        </is>
      </c>
      <c r="D153" s="46" t="n">
        <v>0.926</v>
      </c>
      <c r="E153" s="46" t="n">
        <v>0.95</v>
      </c>
      <c r="F153" s="47" t="n">
        <v>0.9747368421052632</v>
      </c>
      <c r="G153" s="12" t="n">
        <v>0.02526315789473677</v>
      </c>
      <c r="H153" s="46" t="n">
        <v>0.926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المدير المالي</t>
        </is>
      </c>
      <c r="M153" s="48" t="n"/>
    </row>
    <row r="154">
      <c r="A154" s="15" t="n">
        <v>152</v>
      </c>
      <c r="B154" s="13" t="inlineStr">
        <is>
          <t>سلاسل الإمداد</t>
        </is>
      </c>
      <c r="C154" s="24" t="inlineStr">
        <is>
          <t>كفاءة إدارة الموردين</t>
        </is>
      </c>
      <c r="D154" s="46" t="n">
        <v>0.881</v>
      </c>
      <c r="E154" s="46" t="n">
        <v>0.9</v>
      </c>
      <c r="F154" s="47" t="n">
        <v>0.9788888888888889</v>
      </c>
      <c r="G154" s="12" t="n">
        <v>0.02111111111111108</v>
      </c>
      <c r="H154" s="46" t="n">
        <v>0.881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48" t="n"/>
    </row>
    <row r="155">
      <c r="A155" s="15" t="n">
        <v>153</v>
      </c>
      <c r="B155" s="13" t="inlineStr">
        <is>
          <t>سلاسل الإمداد</t>
        </is>
      </c>
      <c r="C155" s="24" t="inlineStr">
        <is>
          <t>نسبة إنجاز أوامر الشراء خلال المدة المستهدفة</t>
        </is>
      </c>
      <c r="D155" s="46" t="n">
        <v>0.9320000000000001</v>
      </c>
      <c r="E155" s="46" t="n">
        <v>0.95</v>
      </c>
      <c r="F155" s="47" t="n">
        <v>0.9810526315789475</v>
      </c>
      <c r="G155" s="12" t="n">
        <v>0.01894736842105249</v>
      </c>
      <c r="H155" s="46" t="n">
        <v>0.9320000000000001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سلاسل الإمداد</t>
        </is>
      </c>
      <c r="M155" s="48" t="n"/>
    </row>
    <row r="156">
      <c r="A156" s="15" t="n">
        <v>154</v>
      </c>
      <c r="B156" s="13" t="inlineStr">
        <is>
          <t>التشغيل والمحطات</t>
        </is>
      </c>
      <c r="C156" s="24" t="inlineStr">
        <is>
          <t>نسبة المضخات العاملة</t>
        </is>
      </c>
      <c r="D156" s="46" t="n">
        <v>0.953</v>
      </c>
      <c r="E156" s="46" t="n">
        <v>0.97</v>
      </c>
      <c r="F156" s="47" t="n">
        <v>0.9824742268041237</v>
      </c>
      <c r="G156" s="12" t="n">
        <v>0.01752577319587634</v>
      </c>
      <c r="H156" s="46" t="n">
        <v>0.953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التشغيل</t>
        </is>
      </c>
      <c r="M156" s="48" t="n"/>
    </row>
    <row r="157">
      <c r="A157" s="15" t="n">
        <v>155</v>
      </c>
      <c r="B157" s="13" t="inlineStr">
        <is>
          <t>التشغيل والمحطات</t>
        </is>
      </c>
      <c r="C157" s="24" t="inlineStr">
        <is>
          <t>تطبيق المعيار الشامل في المحطات</t>
        </is>
      </c>
      <c r="D157" s="46" t="n">
        <v>0.787</v>
      </c>
      <c r="E157" s="46" t="n">
        <v>0.8</v>
      </c>
      <c r="F157" s="47" t="n">
        <v>0.98375</v>
      </c>
      <c r="G157" s="12" t="n">
        <v>0.01624999999999999</v>
      </c>
      <c r="H157" s="46" t="n">
        <v>0.787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التشغيل</t>
        </is>
      </c>
      <c r="M157" s="48" t="n"/>
    </row>
    <row r="158">
      <c r="A158" s="15" t="n">
        <v>156</v>
      </c>
      <c r="B158" s="13" t="inlineStr">
        <is>
          <t>التقنية الرقمية</t>
        </is>
      </c>
      <c r="C158" s="24" t="inlineStr">
        <is>
          <t>نسبة إنجاز مشاريع التحول الرقمي والمشاريع التقنية حسب الخطة</t>
        </is>
      </c>
      <c r="D158" s="46" t="n">
        <v>0.89</v>
      </c>
      <c r="E158" s="46" t="n">
        <v>0.9</v>
      </c>
      <c r="F158" s="47" t="n">
        <v>0.9888888888888889</v>
      </c>
      <c r="G158" s="12" t="n">
        <v>0.01111111111111107</v>
      </c>
      <c r="H158" s="46" t="n">
        <v>0.89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التقنية</t>
        </is>
      </c>
      <c r="M158" s="48" t="n"/>
    </row>
    <row r="159">
      <c r="A159" s="15" t="n">
        <v>157</v>
      </c>
      <c r="B159" s="13" t="inlineStr">
        <is>
          <t>الإدارة المالية</t>
        </is>
      </c>
      <c r="C159" s="24" t="inlineStr">
        <is>
          <t>انحراف الموازنة</t>
        </is>
      </c>
      <c r="D159" s="46" t="n">
        <v>0.101</v>
      </c>
      <c r="E159" s="46" t="n">
        <v>0.1</v>
      </c>
      <c r="F159" s="47" t="n">
        <v>0.9900990099009901</v>
      </c>
      <c r="G159" s="12" t="n">
        <v>0.00990099009900991</v>
      </c>
      <c r="H159" s="46" t="n">
        <v>0.101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المالي</t>
        </is>
      </c>
      <c r="M159" s="48" t="n"/>
    </row>
    <row r="160">
      <c r="A160" s="15" t="n">
        <v>158</v>
      </c>
      <c r="B160" s="13" t="inlineStr">
        <is>
          <t>الصيانة والأتمتة</t>
        </is>
      </c>
      <c r="C160" s="24" t="inlineStr">
        <is>
          <t>نسبة استعادة أنظمة الأتمتة ضمن الزمن المحدد</t>
        </is>
      </c>
      <c r="D160" s="46" t="n">
        <v>0.9419999999999999</v>
      </c>
      <c r="E160" s="46" t="n">
        <v>0.95</v>
      </c>
      <c r="F160" s="47" t="n">
        <v>0.991578947368421</v>
      </c>
      <c r="G160" s="12" t="n">
        <v>0.008421052631578996</v>
      </c>
      <c r="H160" s="46" t="n">
        <v>0.9419999999999999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الصيانة والأتمتة</t>
        </is>
      </c>
      <c r="M160" s="48" t="n"/>
    </row>
    <row r="161">
      <c r="A161" s="15" t="n">
        <v>159</v>
      </c>
      <c r="B161" s="13" t="inlineStr">
        <is>
          <t>الجودة</t>
        </is>
      </c>
      <c r="C161" s="24" t="inlineStr">
        <is>
          <t>نسبة اكتمال وتحديث الإجراءات المعتمدة</t>
        </is>
      </c>
      <c r="D161" s="46" t="n">
        <v>0.944</v>
      </c>
      <c r="E161" s="46" t="n">
        <v>0.95</v>
      </c>
      <c r="F161" s="47" t="n">
        <v>0.9936842105263158</v>
      </c>
      <c r="G161" s="12" t="n">
        <v>0.006315789473684164</v>
      </c>
      <c r="H161" s="46" t="n">
        <v>0.944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48" t="n"/>
    </row>
    <row r="162">
      <c r="A162" s="15" t="n">
        <v>160</v>
      </c>
      <c r="B162" s="13" t="inlineStr">
        <is>
          <t>الامتياز التجاري</t>
        </is>
      </c>
      <c r="C162" s="24" t="inlineStr">
        <is>
          <t>نسبة تطبيق المعيار الشامل داخل المحطات</t>
        </is>
      </c>
      <c r="D162" s="46" t="n">
        <v>0.299</v>
      </c>
      <c r="E162" s="46" t="n">
        <v>0.3</v>
      </c>
      <c r="F162" s="47" t="n">
        <v>0.9966666666666667</v>
      </c>
      <c r="G162" s="12" t="n">
        <v>0.003333333333333299</v>
      </c>
      <c r="H162" s="46" t="n">
        <v>0.299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الامتياز</t>
        </is>
      </c>
      <c r="M162" s="48" t="n"/>
    </row>
  </sheetData>
  <autoFilter ref="A2:M162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47">
        <f>IF(COUNT($H6:$S6)=0,"",SUM($H6:$S6)/COUNT($H6:$S6))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7">
        <f>IF($G6="","",$G6)</f>
        <v/>
      </c>
      <c r="X6" s="51">
        <f>IF($U6="","—",IF($U6&gt;=0.85,"🟢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6" t="inlineStr">
        <is>
          <t>↑</t>
        </is>
      </c>
      <c r="G7" s="58" t="n">
        <v>1</v>
      </c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47">
        <f>IFERROR(LOOKUP(2,1/($H7:$S7&lt;&gt;""),$H7:$S7),"")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57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58" t="n">
        <v>0.9</v>
      </c>
      <c r="H8" s="56" t="n"/>
      <c r="I8" s="56" t="n"/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57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6" t="inlineStr">
        <is>
          <t>↑</t>
        </is>
      </c>
      <c r="G9" s="58" t="n">
        <v>0.9</v>
      </c>
      <c r="H9" s="56" t="n"/>
      <c r="I9" s="56" t="n"/>
      <c r="J9" s="56" t="n"/>
      <c r="K9" s="56" t="n"/>
      <c r="L9" s="56" t="n"/>
      <c r="M9" s="56" t="n"/>
      <c r="N9" s="56" t="n"/>
      <c r="O9" s="56" t="n"/>
      <c r="P9" s="56" t="n"/>
      <c r="Q9" s="56" t="n"/>
      <c r="R9" s="56" t="n"/>
      <c r="S9" s="56" t="n"/>
      <c r="T9" s="47">
        <f>IF(COUNT($H9:$S9)=0,"",SUM($H9:$S9)/COUNT($H9:$S9))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هدف",IF($U9&gt;=0.9,"✅ محقق",IF($U9&gt;=0.75,"🟡 قريب","🔴 تحت الهدف")))</f>
        <v/>
      </c>
      <c r="W9" s="57">
        <f>IF($G9="","",$G9)</f>
        <v/>
      </c>
      <c r="X9" s="51">
        <f>IF($U9="","—",IF($U9&gt;=0.75,"🟢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59" t="n">
        <v>30</v>
      </c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1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2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6" t="inlineStr">
        <is>
          <t>↑</t>
        </is>
      </c>
      <c r="G11" s="58" t="n">
        <v>1</v>
      </c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47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هدف",IF($U11&gt;=1.0,"✅ محقق",IF($U11&gt;=0.85,"🟡 قريب","🔴 تحت الهدف")))</f>
        <v/>
      </c>
      <c r="W11" s="57">
        <f>IF($G11="","",$G11)</f>
        <v/>
      </c>
      <c r="X11" s="51">
        <f>IF($U11="","—",IF($U11&gt;=0.85,"🟢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58" t="n">
        <v>0.95</v>
      </c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محقق",IF($U12&gt;=0.97,"🟡 قريب","🔴 تحت الهدف")))</f>
        <v/>
      </c>
      <c r="W12" s="57">
        <f>IF($G12="","",$G12)</f>
        <v/>
      </c>
      <c r="X12" s="51">
        <f>IF($U12="","—",IF($U12&gt;=0.97,"🟢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58" t="n">
        <v>1</v>
      </c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57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58" t="n">
        <v>0.9</v>
      </c>
      <c r="H17" s="56" t="n"/>
      <c r="I17" s="56" t="n"/>
      <c r="J17" s="56" t="n"/>
      <c r="K17" s="56" t="n"/>
      <c r="L17" s="56" t="n"/>
      <c r="M17" s="56" t="n"/>
      <c r="N17" s="56" t="n"/>
      <c r="O17" s="56" t="n"/>
      <c r="P17" s="56" t="n"/>
      <c r="Q17" s="56" t="n"/>
      <c r="R17" s="56" t="n"/>
      <c r="S17" s="56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57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58" t="n">
        <v>0.7</v>
      </c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57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4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65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59" t="n">
        <v>1.8</v>
      </c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1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2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58" t="n">
        <v>0.95</v>
      </c>
      <c r="H22" s="56" t="n"/>
      <c r="I22" s="56" t="n"/>
      <c r="J22" s="56" t="n"/>
      <c r="K22" s="56" t="n"/>
      <c r="L22" s="56" t="n"/>
      <c r="M22" s="56" t="n"/>
      <c r="N22" s="56" t="n"/>
      <c r="O22" s="56" t="n"/>
      <c r="P22" s="56" t="n"/>
      <c r="Q22" s="56" t="n"/>
      <c r="R22" s="56" t="n"/>
      <c r="S22" s="56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57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59" t="n">
        <v>30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1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2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65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58" t="n">
        <v>0.9</v>
      </c>
      <c r="H25" s="56" t="n"/>
      <c r="I25" s="56" t="n"/>
      <c r="J25" s="56" t="n"/>
      <c r="K25" s="56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57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59" t="n">
        <v>5</v>
      </c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1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2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58" t="n">
        <v>0.99</v>
      </c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57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58" t="n">
        <v>0.95</v>
      </c>
      <c r="H29" s="56" t="n"/>
      <c r="I29" s="56" t="n"/>
      <c r="J29" s="56" t="n"/>
      <c r="K29" s="56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57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59" t="n">
        <v>85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1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2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58" t="n">
        <v>1</v>
      </c>
      <c r="H31" s="56" t="n"/>
      <c r="I31" s="56" t="n"/>
      <c r="J31" s="56" t="n"/>
      <c r="K31" s="56" t="n"/>
      <c r="L31" s="56" t="n"/>
      <c r="M31" s="56" t="n"/>
      <c r="N31" s="56" t="n"/>
      <c r="O31" s="56" t="n"/>
      <c r="P31" s="56" t="n"/>
      <c r="Q31" s="56" t="n"/>
      <c r="R31" s="56" t="n"/>
      <c r="S31" s="56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57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58" t="n">
        <v>1</v>
      </c>
      <c r="H32" s="56" t="n"/>
      <c r="I32" s="56" t="n"/>
      <c r="J32" s="56" t="n"/>
      <c r="K32" s="56" t="n"/>
      <c r="L32" s="56" t="n"/>
      <c r="M32" s="56" t="n"/>
      <c r="N32" s="56" t="n"/>
      <c r="O32" s="56" t="n"/>
      <c r="P32" s="56" t="n"/>
      <c r="Q32" s="56" t="n"/>
      <c r="R32" s="56" t="n"/>
      <c r="S32" s="56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57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59" t="n">
        <v>24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1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2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58" t="n">
        <v>0.9</v>
      </c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57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58" t="n">
        <v>0.3</v>
      </c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57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58" t="n">
        <v>0.55</v>
      </c>
      <c r="H36" s="56" t="n"/>
      <c r="I36" s="56" t="n"/>
      <c r="J36" s="56" t="n"/>
      <c r="K36" s="56" t="n"/>
      <c r="L36" s="56" t="n"/>
      <c r="M36" s="56" t="n"/>
      <c r="N36" s="56" t="n"/>
      <c r="O36" s="56" t="n"/>
      <c r="P36" s="56" t="n"/>
      <c r="Q36" s="56" t="n"/>
      <c r="R36" s="56" t="n"/>
      <c r="S36" s="56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57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59" t="n">
        <v>4.7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1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2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58" t="n">
        <v>0.9</v>
      </c>
      <c r="H38" s="56" t="n"/>
      <c r="I38" s="56" t="n"/>
      <c r="J38" s="56" t="n"/>
      <c r="K38" s="56" t="n"/>
      <c r="L38" s="56" t="n"/>
      <c r="M38" s="56" t="n"/>
      <c r="N38" s="56" t="n"/>
      <c r="O38" s="56" t="n"/>
      <c r="P38" s="56" t="n"/>
      <c r="Q38" s="56" t="n"/>
      <c r="R38" s="56" t="n"/>
      <c r="S38" s="56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57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58" t="n">
        <v>0.95</v>
      </c>
      <c r="H39" s="56" t="n"/>
      <c r="I39" s="56" t="n"/>
      <c r="J39" s="56" t="n"/>
      <c r="K39" s="56" t="n"/>
      <c r="L39" s="56" t="n"/>
      <c r="M39" s="56" t="n"/>
      <c r="N39" s="56" t="n"/>
      <c r="O39" s="56" t="n"/>
      <c r="P39" s="56" t="n"/>
      <c r="Q39" s="56" t="n"/>
      <c r="R39" s="56" t="n"/>
      <c r="S39" s="56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57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6" t="n"/>
      <c r="I40" s="56" t="n"/>
      <c r="J40" s="56" t="n"/>
      <c r="K40" s="56" t="n"/>
      <c r="L40" s="56" t="n"/>
      <c r="M40" s="56" t="n"/>
      <c r="N40" s="56" t="n"/>
      <c r="O40" s="56" t="n"/>
      <c r="P40" s="56" t="n"/>
      <c r="Q40" s="56" t="n"/>
      <c r="R40" s="56" t="n"/>
      <c r="S40" s="56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57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58" t="n">
        <v>0.9</v>
      </c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57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58" t="n">
        <v>1</v>
      </c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57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59" t="n">
        <v>1</v>
      </c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1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2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6" t="n"/>
      <c r="I45" s="56" t="n"/>
      <c r="J45" s="56" t="n"/>
      <c r="K45" s="56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57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6" t="n"/>
      <c r="I46" s="56" t="n"/>
      <c r="J46" s="56" t="n"/>
      <c r="K46" s="56" t="n"/>
      <c r="L46" s="56" t="n"/>
      <c r="M46" s="56" t="n"/>
      <c r="N46" s="56" t="n"/>
      <c r="O46" s="56" t="n"/>
      <c r="P46" s="56" t="n"/>
      <c r="Q46" s="56" t="n"/>
      <c r="R46" s="56" t="n"/>
      <c r="S46" s="56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57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57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57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58" t="n">
        <v>0.99</v>
      </c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57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58" t="n">
        <v>0.97</v>
      </c>
      <c r="H50" s="56" t="n"/>
      <c r="I50" s="56" t="n"/>
      <c r="J50" s="56" t="n"/>
      <c r="K50" s="56" t="n"/>
      <c r="L50" s="56" t="n"/>
      <c r="M50" s="56" t="n"/>
      <c r="N50" s="56" t="n"/>
      <c r="O50" s="56" t="n"/>
      <c r="P50" s="56" t="n"/>
      <c r="Q50" s="56" t="n"/>
      <c r="R50" s="56" t="n"/>
      <c r="S50" s="56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57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1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2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58" t="n">
        <v>0.95</v>
      </c>
      <c r="H52" s="56" t="n"/>
      <c r="I52" s="56" t="n"/>
      <c r="J52" s="56" t="n"/>
      <c r="K52" s="56" t="n"/>
      <c r="L52" s="56" t="n"/>
      <c r="M52" s="56" t="n"/>
      <c r="N52" s="56" t="n"/>
      <c r="O52" s="56" t="n"/>
      <c r="P52" s="56" t="n"/>
      <c r="Q52" s="56" t="n"/>
      <c r="R52" s="56" t="n"/>
      <c r="S52" s="56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57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57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59" t="n">
        <v>4.5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1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2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59" t="n">
        <v>3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1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2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58" t="n">
        <v>0.99</v>
      </c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57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58" t="n">
        <v>0.8</v>
      </c>
      <c r="H57" s="56" t="n"/>
      <c r="I57" s="56" t="n"/>
      <c r="J57" s="56" t="n"/>
      <c r="K57" s="56" t="n"/>
      <c r="L57" s="56" t="n"/>
      <c r="M57" s="56" t="n"/>
      <c r="N57" s="56" t="n"/>
      <c r="O57" s="56" t="n"/>
      <c r="P57" s="56" t="n"/>
      <c r="Q57" s="56" t="n"/>
      <c r="R57" s="56" t="n"/>
      <c r="S57" s="56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57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58" t="n">
        <v>1</v>
      </c>
      <c r="H58" s="56" t="n"/>
      <c r="I58" s="56" t="n"/>
      <c r="J58" s="56" t="n"/>
      <c r="K58" s="56" t="n"/>
      <c r="L58" s="56" t="n"/>
      <c r="M58" s="56" t="n"/>
      <c r="N58" s="56" t="n"/>
      <c r="O58" s="56" t="n"/>
      <c r="P58" s="56" t="n"/>
      <c r="Q58" s="56" t="n"/>
      <c r="R58" s="56" t="n"/>
      <c r="S58" s="56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57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58" t="n">
        <v>1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57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58" t="n">
        <v>0.8</v>
      </c>
      <c r="H67" s="56" t="n"/>
      <c r="I67" s="56" t="n"/>
      <c r="J67" s="56" t="n"/>
      <c r="K67" s="56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57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59" t="n">
        <v>5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1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2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4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65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58" t="n">
        <v>1</v>
      </c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57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58" t="n">
        <v>0.6</v>
      </c>
      <c r="H71" s="56" t="n"/>
      <c r="I71" s="56" t="n"/>
      <c r="J71" s="56" t="n"/>
      <c r="K71" s="56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57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58" t="n">
        <v>0.4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57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58" t="n">
        <v>0.25</v>
      </c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57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59" t="n">
        <v>1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1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2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58" t="n">
        <v>0.3</v>
      </c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57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58" t="n">
        <v>0.3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57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58" t="n">
        <v>1</v>
      </c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57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58" t="n">
        <v>0.95</v>
      </c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57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58" t="n">
        <v>0.98</v>
      </c>
      <c r="H79" s="56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57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59" t="n">
        <v>1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61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2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58" t="n">
        <v>0.8</v>
      </c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57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58" t="n">
        <v>1</v>
      </c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57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58" t="n">
        <v>1</v>
      </c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57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58" t="n">
        <v>0.08</v>
      </c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57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58" t="n">
        <v>1</v>
      </c>
      <c r="H85" s="56" t="n"/>
      <c r="I85" s="56" t="n"/>
      <c r="J85" s="56" t="n"/>
      <c r="K85" s="56" t="n"/>
      <c r="L85" s="56" t="n"/>
      <c r="M85" s="56" t="n"/>
      <c r="N85" s="56" t="n"/>
      <c r="O85" s="56" t="n"/>
      <c r="P85" s="56" t="n"/>
      <c r="Q85" s="56" t="n"/>
      <c r="R85" s="56" t="n"/>
      <c r="S85" s="56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57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58" t="n">
        <v>0.95</v>
      </c>
      <c r="H86" s="56" t="n"/>
      <c r="I86" s="56" t="n"/>
      <c r="J86" s="56" t="n"/>
      <c r="K86" s="56" t="n"/>
      <c r="L86" s="56" t="n"/>
      <c r="M86" s="56" t="n"/>
      <c r="N86" s="56" t="n"/>
      <c r="O86" s="56" t="n"/>
      <c r="P86" s="56" t="n"/>
      <c r="Q86" s="56" t="n"/>
      <c r="R86" s="56" t="n"/>
      <c r="S86" s="56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57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58" t="n">
        <v>0.6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57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58" t="n">
        <v>0.2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57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58" t="n">
        <v>0.8</v>
      </c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57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58" t="n">
        <v>1</v>
      </c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57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59" t="n">
        <v>7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1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2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58" t="n">
        <v>0.9</v>
      </c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57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58" t="n">
        <v>0.8</v>
      </c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57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58" t="n">
        <v>0.9</v>
      </c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57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58" t="n">
        <v>0.7</v>
      </c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57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58" t="n">
        <v>0.8</v>
      </c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57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58" t="n">
        <v>0.85</v>
      </c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57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58" t="n">
        <v>0.9</v>
      </c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57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58" t="n">
        <v>0.75</v>
      </c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57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58" t="n">
        <v>0.9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57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58" t="n">
        <v>0.9</v>
      </c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57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58" t="n">
        <v>0.95</v>
      </c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57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58" t="n">
        <v>1</v>
      </c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57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58" t="n">
        <v>1</v>
      </c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57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59" t="n">
        <v>30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1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2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نسبة تلبية طلبات المحطات من الوقود Fill Rate</t>
        </is>
      </c>
      <c r="D115" s="15" t="inlineStr">
        <is>
          <t>شهري</t>
        </is>
      </c>
      <c r="E115" s="15" t="inlineStr">
        <is>
          <t>معدل</t>
        </is>
      </c>
      <c r="F115" s="46" t="inlineStr">
        <is>
          <t>↑</t>
        </is>
      </c>
      <c r="G115" s="58" t="n">
        <v>0.98</v>
      </c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47">
        <f>IF(COUNT($H115:$S115)=0,"",SUM($H115:$S115)/COUNT($H115:$S115))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7">
        <f>IF($G115="","",$G115)</f>
        <v/>
      </c>
      <c r="X115" s="51">
        <f>IF($U115="","—",IF($U115&gt;=0.85,"🟢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عدد انقطاعات التوريد المؤثرة شهريًا</t>
        </is>
      </c>
      <c r="D116" s="15" t="inlineStr">
        <is>
          <t>شهري</t>
        </is>
      </c>
      <c r="E116" s="15" t="inlineStr">
        <is>
          <t>تراكمي</t>
        </is>
      </c>
      <c r="F116" s="46" t="inlineStr">
        <is>
          <t>↓</t>
        </is>
      </c>
      <c r="G116" s="52" t="n">
        <v>0</v>
      </c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4">
        <f>IF(COUNT($H116:$S116)=0,"",SUM($H116:$S116))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55">
        <f>IF($G116="","",$G116*COUNT($H116:$S116)/12)</f>
        <v/>
      </c>
      <c r="X116" s="51">
        <f>IF($U116="","—",IF($U116&gt;=COUNT($H116:$S116)/12,"🟢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تغطية مخزون الوقود بالأيام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59" t="n">
        <v>5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1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2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توفر المواد المخزنية والحرجة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58" t="n">
        <v>0.98</v>
      </c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57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نسبة المواد الراكدة من المخزون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8" t="n">
        <v>0.05</v>
      </c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47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7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دقة أوامر الشراء ومستنداتها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↑</t>
        </is>
      </c>
      <c r="G120" s="58" t="n">
        <v>0.98</v>
      </c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57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نسبة إنجاز أوامر الشراء خلال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↑</t>
        </is>
      </c>
      <c r="G121" s="58" t="n">
        <v>0.95</v>
      </c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47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57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الالتزام بزمن التسليم والتوريد للمحطات والإدارات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58" t="n">
        <v>0.95</v>
      </c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57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جاهزية الإمداد للمحطات الجديدة وخطط الافتتاح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58" t="n">
        <v>1</v>
      </c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محقق",IF($U123&gt;=0.97,"🟡 قريب","🔴 تحت الهدف")))</f>
        <v/>
      </c>
      <c r="W123" s="57">
        <f>IF($G123="","",$G123)</f>
        <v/>
      </c>
      <c r="X123" s="51">
        <f>IF($U123="","—",IF($U123&gt;=0.97,"🟢 على المسار","🟠 متأخّر"))</f>
        <v/>
      </c>
    </row>
    <row r="124" ht="22" customHeight="1">
      <c r="A124" s="51" t="n">
        <v>121</v>
      </c>
      <c r="B124" s="13" t="inlineStr">
        <is>
          <t>سلاسل الإمداد</t>
        </is>
      </c>
      <c r="C124" s="11" t="inlineStr">
        <is>
          <t>نسبة الالتزام بجدول النقل واستخدام الأسطول بكفاءة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58" t="n">
        <v>0.9</v>
      </c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57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سلاسل الإمداد</t>
        </is>
      </c>
      <c r="C125" s="11" t="inlineStr">
        <is>
          <t>كفاءة إدارة الموردين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58" t="n">
        <v>0.9</v>
      </c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57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سلاسل الإمداد</t>
        </is>
      </c>
      <c r="C126" s="11" t="inlineStr">
        <is>
          <t>مستوى رضا الإدارات عن خدمات سلاسل الإمداد</t>
        </is>
      </c>
      <c r="D126" s="15" t="inlineStr">
        <is>
          <t>ربعي</t>
        </is>
      </c>
      <c r="E126" s="15" t="inlineStr">
        <is>
          <t>معدل</t>
        </is>
      </c>
      <c r="F126" s="46" t="inlineStr">
        <is>
          <t>↑</t>
        </is>
      </c>
      <c r="G126" s="58" t="n">
        <v>0.85</v>
      </c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هدف",IF($U126&gt;=0.9,"✅ محقق",IF($U126&gt;=0.75,"🟡 قريب","🔴 تحت الهدف")))</f>
        <v/>
      </c>
      <c r="W126" s="57">
        <f>IF($G126="","",$G126)</f>
        <v/>
      </c>
      <c r="X126" s="51">
        <f>IF($U126="","—",IF($U126&gt;=0.75,"🟢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نسبة الجاهزية الفنية للأصول والمعدات (Availability)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↑</t>
        </is>
      </c>
      <c r="G127" s="58" t="n">
        <v>0.98</v>
      </c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47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محقق",IF($U127&gt;=0.97,"🟡 قريب","🔴 تحت الهدف")))</f>
        <v/>
      </c>
      <c r="W127" s="57">
        <f>IF($G127="","",$G127)</f>
        <v/>
      </c>
      <c r="X127" s="51">
        <f>IF($U127="","—",IF($U127&gt;=0.97,"🟢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نسبة تنفيذ الصيانة الوقائية في موعدها (PM)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↑</t>
        </is>
      </c>
      <c r="G128" s="58" t="n">
        <v>0.95</v>
      </c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47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57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نسبة إغلاق بلاغات الصيانة ضمن اتفاقية الخدمة (SLA)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58" t="n">
        <v>0.95</v>
      </c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57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متوسط زمن الاستجابة للبلاغات الطارئة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↓</t>
        </is>
      </c>
      <c r="G130" s="59" t="n">
        <v>30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1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2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متوسط زمن إصلاح الأعطال (MTTR)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↓</t>
        </is>
      </c>
      <c r="G131" s="59" t="n">
        <v>4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1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2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معدل تكرار الأعطال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↓</t>
        </is>
      </c>
      <c r="G132" s="58" t="n">
        <v>0.05</v>
      </c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57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نسبة استمرارية تشغيل المحطات دون توقف فني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58" t="n">
        <v>0.99</v>
      </c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57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الصيانة والأتمتة</t>
        </is>
      </c>
      <c r="C134" s="11" t="inlineStr">
        <is>
          <t>نسبة التشغيل السليم لأنظمة الأتمتة (Uptime)</t>
        </is>
      </c>
      <c r="D134" s="15" t="inlineStr">
        <is>
          <t>شهري</t>
        </is>
      </c>
      <c r="E134" s="15" t="inlineStr">
        <is>
          <t>معدل</t>
        </is>
      </c>
      <c r="F134" s="46" t="inlineStr">
        <is>
          <t>↑</t>
        </is>
      </c>
      <c r="G134" s="58" t="n">
        <v>0.99</v>
      </c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47">
        <f>IF(COUNT($H134:$S134)=0,"",SUM($H134:$S134)/COUNT($H134:$S134))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محقق",IF($U134&gt;=0.97,"🟡 قريب","🔴 تحت الهدف")))</f>
        <v/>
      </c>
      <c r="W134" s="57">
        <f>IF($G134="","",$G134)</f>
        <v/>
      </c>
      <c r="X134" s="51">
        <f>IF($U134="","—",IF($U134&gt;=0.97,"🟢 على المسار","🟠 متأخّر"))</f>
        <v/>
      </c>
    </row>
    <row r="135" ht="22" customHeight="1">
      <c r="A135" s="51" t="n">
        <v>132</v>
      </c>
      <c r="B135" s="13" t="inlineStr">
        <is>
          <t>الصيانة والأتمتة</t>
        </is>
      </c>
      <c r="C135" s="11" t="inlineStr">
        <is>
          <t>نسبة استعادة أنظمة الأتمتة ضمن الزمن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58" t="n">
        <v>0.95</v>
      </c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57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الصيانة والأتمتة</t>
        </is>
      </c>
      <c r="C136" s="11" t="inlineStr">
        <is>
          <t>كفاءة تكاليف الصيانة (الالتزام بالميزانية)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58" t="n">
        <v>0.95</v>
      </c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57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توفر الأنظمة والخدمات التقنية المركزية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↑</t>
        </is>
      </c>
      <c r="G137" s="58" t="n">
        <v>0.99</v>
      </c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47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57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معالجة الأعطال وطلبات الدعم الفني ضمن المدة المستهدفة SLA</t>
        </is>
      </c>
      <c r="D138" s="15" t="inlineStr">
        <is>
          <t>شهري</t>
        </is>
      </c>
      <c r="E138" s="15" t="inlineStr">
        <is>
          <t>معدل</t>
        </is>
      </c>
      <c r="F138" s="46" t="inlineStr">
        <is>
          <t>↑</t>
        </is>
      </c>
      <c r="G138" s="58" t="n">
        <v>0.95</v>
      </c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47">
        <f>IF(COUNT($H138:$S138)=0,"",SUM($H138:$S138)/COUNT($H138:$S138))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57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نسبة استقرار التشغيل التقني للمحطات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58" t="n">
        <v>0.99</v>
      </c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57">
        <f>IF($G139="","",$G139)</f>
        <v/>
      </c>
      <c r="X139" s="51">
        <f>IF($U139="","—",IF($U139&gt;=0.85,"🟢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إنجاز مشاريع التحول الرقمي والمشاريع التقنية حسب الخطة</t>
        </is>
      </c>
      <c r="D140" s="15" t="inlineStr">
        <is>
          <t>شهري</t>
        </is>
      </c>
      <c r="E140" s="15" t="inlineStr">
        <is>
          <t>معدل</t>
        </is>
      </c>
      <c r="F140" s="46" t="inlineStr">
        <is>
          <t>↑</t>
        </is>
      </c>
      <c r="G140" s="58" t="n">
        <v>0.9</v>
      </c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47">
        <f>IF(COUNT($H140:$S140)=0,"",SUM($H140:$S140)/COUNT($H140:$S140))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57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نسبة تسليم المشاريع التقنية ضمن الوقت والميزانية ونطاق العمل المعتمد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↑</t>
        </is>
      </c>
      <c r="G141" s="58" t="n">
        <v>0.9</v>
      </c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47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57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الالتزام بإدارة صلاحيات المستخدمين والحسابات</t>
        </is>
      </c>
      <c r="D142" s="15" t="inlineStr">
        <is>
          <t>شهري</t>
        </is>
      </c>
      <c r="E142" s="15" t="inlineStr">
        <is>
          <t>معدل</t>
        </is>
      </c>
      <c r="F142" s="46" t="inlineStr">
        <is>
          <t>↑</t>
        </is>
      </c>
      <c r="G142" s="58" t="n">
        <v>1</v>
      </c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57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التقنية الرقمية</t>
        </is>
      </c>
      <c r="C143" s="11" t="inlineStr">
        <is>
          <t>نسبة نجاح النسخ الاحتياطي واختبارات استعادة البيانات</t>
        </is>
      </c>
      <c r="D143" s="15" t="inlineStr">
        <is>
          <t>شهري</t>
        </is>
      </c>
      <c r="E143" s="15" t="inlineStr">
        <is>
          <t>معدل</t>
        </is>
      </c>
      <c r="F143" s="46" t="inlineStr">
        <is>
          <t>↑</t>
        </is>
      </c>
      <c r="G143" s="58" t="n">
        <v>1</v>
      </c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47">
        <f>IF(COUNT($H143:$S143)=0,"",SUM($H143:$S143)/COUNT($H143:$S143))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57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التقنية الرقمية</t>
        </is>
      </c>
      <c r="C144" s="11" t="inlineStr">
        <is>
          <t>نسبة الامتثال لضوابط الأمن السيبراني الأساسية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58" t="n">
        <v>0.95</v>
      </c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محقق",IF($U144&gt;=0.97,"🟡 قريب","🔴 تحت الهدف")))</f>
        <v/>
      </c>
      <c r="W144" s="57">
        <f>IF($G144="","",$G144)</f>
        <v/>
      </c>
      <c r="X144" s="51">
        <f>IF($U144="","—",IF($U144&gt;=0.97,"🟢 على المسار","🟠 متأخّر"))</f>
        <v/>
      </c>
    </row>
    <row r="145" ht="22" customHeight="1">
      <c r="A145" s="51" t="n">
        <v>142</v>
      </c>
      <c r="B145" s="13" t="inlineStr">
        <is>
          <t>التقنية الرقمية</t>
        </is>
      </c>
      <c r="C145" s="11" t="inlineStr">
        <is>
          <t>نسبة دقة وتكامل البيانات بين الأنظمة الرقمية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58" t="n">
        <v>0.98</v>
      </c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57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التقنية الرقمية</t>
        </is>
      </c>
      <c r="C146" s="11" t="inlineStr">
        <is>
          <t>نسبة الالتزام بتحديث وتوثيق أصول تقنية المعلومات والتراخيص</t>
        </is>
      </c>
      <c r="D146" s="15" t="inlineStr">
        <is>
          <t>شهري</t>
        </is>
      </c>
      <c r="E146" s="15" t="inlineStr">
        <is>
          <t>معدل</t>
        </is>
      </c>
      <c r="F146" s="46" t="inlineStr">
        <is>
          <t>↑</t>
        </is>
      </c>
      <c r="G146" s="58" t="n">
        <v>0.95</v>
      </c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47">
        <f>IF(COUNT($H146:$S146)=0,"",SUM($H146:$S146)/COUNT($H146:$S146))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57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التقنية الرقمية</t>
        </is>
      </c>
      <c r="C147" s="11" t="inlineStr">
        <is>
          <t>نسبة تنفيذ الصيانة الوقائية للأجهزة والبنية التقنية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↑</t>
        </is>
      </c>
      <c r="G147" s="58" t="n">
        <v>0.95</v>
      </c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57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التقنية الرقمية</t>
        </is>
      </c>
      <c r="C148" s="11" t="inlineStr">
        <is>
          <t>مستوى رضا الإدارات والمستخدمين عن خدمات تقنية المعلومات</t>
        </is>
      </c>
      <c r="D148" s="15" t="inlineStr">
        <is>
          <t>ربعي</t>
        </is>
      </c>
      <c r="E148" s="15" t="inlineStr">
        <is>
          <t>معدل</t>
        </is>
      </c>
      <c r="F148" s="46" t="inlineStr">
        <is>
          <t>↑</t>
        </is>
      </c>
      <c r="G148" s="58" t="n">
        <v>0.85</v>
      </c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47">
        <f>IF(COUNT($H148:$S148)=0,"",SUM($H148:$S148)/COUNT($H148:$S148))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هدف",IF($U148&gt;=0.9,"✅ محقق",IF($U148&gt;=0.75,"🟡 قريب","🔴 تحت الهدف")))</f>
        <v/>
      </c>
      <c r="W148" s="57">
        <f>IF($G148="","",$G148)</f>
        <v/>
      </c>
      <c r="X148" s="51">
        <f>IF($U148="","—",IF($U148&gt;=0.75,"🟢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الالتزام بالتوطين والامتثال الحكومي دون مخالفات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58" t="n">
        <v>1</v>
      </c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محقق",IF($U149&gt;=0.97,"🟡 قريب","🔴 تحت الهدف")))</f>
        <v/>
      </c>
      <c r="W149" s="57">
        <f>IF($G149="","",$G149)</f>
        <v/>
      </c>
      <c r="X149" s="51">
        <f>IF($U149="","—",IF($U149&gt;=0.97,"🟢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الالتزام بنظام العمل واللوائح وخطة القوى العاملة المعتمدة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58" t="n">
        <v>1</v>
      </c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57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نسبة إنجاز معاملات شؤون الموظفين ضمن المدة المستهدفة SLA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58" t="n">
        <v>0.9</v>
      </c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57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نسبة الالتزام بتجديد الوثائق واكتمال ملفات الموظفين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58" t="n">
        <v>1</v>
      </c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57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نسبة جاهزية وتغطية عمالة المحطات حسب خطة التشغيل والافتتاحات</t>
        </is>
      </c>
      <c r="D153" s="15" t="inlineStr">
        <is>
          <t>شهري</t>
        </is>
      </c>
      <c r="E153" s="15" t="inlineStr">
        <is>
          <t>معدل</t>
        </is>
      </c>
      <c r="F153" s="46" t="inlineStr">
        <is>
          <t>↑</t>
        </is>
      </c>
      <c r="G153" s="58" t="n">
        <v>0.95</v>
      </c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47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محقق",IF($U153&gt;=0.97,"🟡 قريب","🔴 تحت الهدف")))</f>
        <v/>
      </c>
      <c r="W153" s="57">
        <f>IF($G153="","",$G153)</f>
        <v/>
      </c>
      <c r="X153" s="51">
        <f>IF($U153="","—",IF($U153&gt;=0.97,"🟢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متوسط مدة إغلاق الشواغر المعتمدة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↓</t>
        </is>
      </c>
      <c r="G154" s="59" t="n">
        <v>30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1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2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نجاح التعيينات الجديدة خلال فترة التجربة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58" t="n">
        <v>0.9</v>
      </c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57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نسبة كفاءة تكلفة القوى العاملة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58" t="n">
        <v>0.95</v>
      </c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57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نسبة دقة الرواتب والمستحقات الشهرية</t>
        </is>
      </c>
      <c r="D157" s="15" t="inlineStr">
        <is>
          <t>شهري</t>
        </is>
      </c>
      <c r="E157" s="15" t="inlineStr">
        <is>
          <t>معدل</t>
        </is>
      </c>
      <c r="F157" s="46" t="inlineStr">
        <is>
          <t>↑</t>
        </is>
      </c>
      <c r="G157" s="58" t="n">
        <v>0.995</v>
      </c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47">
        <f>IF(COUNT($H157:$S157)=0,"",SUM($H157:$S157)/COUNT($H157:$S157))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57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معدل دوران الموظفين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↓</t>
        </is>
      </c>
      <c r="G158" s="58" t="n">
        <v>0.1</v>
      </c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57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تنفيذ برامج التدريب والتأهيل المعتمدة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58" t="n">
        <v>0.9</v>
      </c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57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الموارد البشرية</t>
        </is>
      </c>
      <c r="C160" s="11" t="inlineStr">
        <is>
          <t>نسبة إغلاق تقييمات الأداء وخطط الإحلال للوظائف الحرجة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↑</t>
        </is>
      </c>
      <c r="G160" s="58" t="n">
        <v>0.95</v>
      </c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47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57">
        <f>IF($G160="","",$G160)</f>
        <v/>
      </c>
      <c r="X160" s="51">
        <f>IF($U160="","—",IF($U160&gt;=0.85,"🟢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الوصول الكلي (Total Reach)</t>
        </is>
      </c>
      <c r="D161" s="15" t="inlineStr">
        <is>
          <t>شهري</t>
        </is>
      </c>
      <c r="E161" s="15" t="inlineStr">
        <is>
          <t>لقطة</t>
        </is>
      </c>
      <c r="F161" s="46" t="inlineStr">
        <is>
          <t>↑</t>
        </is>
      </c>
      <c r="G161" s="52" t="n">
        <v>50000000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IFERROR(LOOKUP(2,1/($H161:$S161&lt;&gt;""),$H161:$S161),"")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هدف",IF($U161&gt;=0.9,"✅ محقق",IF($U161&gt;=0.75,"🟡 قريب","🔴 تحت الهدف")))</f>
        <v/>
      </c>
      <c r="W161" s="55">
        <f>IF($G161="","",$G161)</f>
        <v/>
      </c>
      <c r="X161" s="51">
        <f>IF($U161="","—",IF($U161&gt;=0.75,"🟢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عملاء تجاريون جدد</t>
        </is>
      </c>
      <c r="D162" s="15" t="inlineStr">
        <is>
          <t>شهري</t>
        </is>
      </c>
      <c r="E162" s="15" t="inlineStr">
        <is>
          <t>تراكمي</t>
        </is>
      </c>
      <c r="F162" s="46" t="inlineStr">
        <is>
          <t>↑</t>
        </is>
      </c>
      <c r="G162" s="52" t="n">
        <v>200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IF(COUNT($H162:$S162)=0,"",SUM($H162:$S162))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55">
        <f>IF($G162="","",$G162*COUNT($H162:$S162)/12)</f>
        <v/>
      </c>
      <c r="X162" s="51">
        <f>IF($U162="","—",IF($U162&gt;=COUNT($H162:$S162)/12,"🟢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إجمالي المتابعين (كل المنصات)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380000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55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معدل التفاعل (Engagement)</t>
        </is>
      </c>
      <c r="D164" s="15" t="inlineStr">
        <is>
          <t>شهري</t>
        </is>
      </c>
      <c r="E164" s="15" t="inlineStr">
        <is>
          <t>معدل</t>
        </is>
      </c>
      <c r="F164" s="46" t="inlineStr">
        <is>
          <t>↑</t>
        </is>
      </c>
      <c r="G164" s="58" t="n">
        <v>0.5</v>
      </c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47">
        <f>IF(COUNT($H164:$S164)=0,"",SUM($H164:$S164)/COUNT($H164:$S164))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هدف",IF($U164&gt;=0.9,"✅ محقق",IF($U164&gt;=0.75,"🟡 قريب","🔴 تحت الهدف")))</f>
        <v/>
      </c>
      <c r="W164" s="57">
        <f>IF($G164="","",$G164)</f>
        <v/>
      </c>
      <c r="X164" s="51">
        <f>IF($U164="","—",IF($U164&gt;=0.75,"🟢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حملات تسويقية منجزة</t>
        </is>
      </c>
      <c r="D165" s="15" t="inlineStr">
        <is>
          <t>شهري</t>
        </is>
      </c>
      <c r="E165" s="15" t="inlineStr">
        <is>
          <t>تراكمي</t>
        </is>
      </c>
      <c r="F165" s="46" t="inlineStr">
        <is>
          <t>↑</t>
        </is>
      </c>
      <c r="G165" s="52" t="n">
        <v>48</v>
      </c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4">
        <f>IF(COUNT($H165:$S165)=0,"",SUM($H165:$S165))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55">
        <f>IF($G165="","",$G165*COUNT($H165:$S165)/12)</f>
        <v/>
      </c>
      <c r="X165" s="51">
        <f>IF($U165="","—",IF($U165&gt;=COUNT($H165:$S165)/12,"🟢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تحويل الفرص إلى عقود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58" t="n">
        <v>0.25</v>
      </c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57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المبيعات لكل حملة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58" t="n">
        <v>1</v>
      </c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57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نسبة التزام الهوية البصرية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8" t="n">
        <v>1</v>
      </c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47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7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وصول العلاقات العامة (PR)</t>
        </is>
      </c>
      <c r="D169" s="15" t="inlineStr">
        <is>
          <t>شهري</t>
        </is>
      </c>
      <c r="E169" s="15" t="inlineStr">
        <is>
          <t>لقطة</t>
        </is>
      </c>
      <c r="F169" s="46" t="inlineStr">
        <is>
          <t>↑</t>
        </is>
      </c>
      <c r="G169" s="52" t="n">
        <v>7000000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IFERROR(LOOKUP(2,1/($H169:$S169&lt;&gt;""),$H169:$S169),"")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عدد المعارض بالسنة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اتفاقيات استراتيجية</t>
        </is>
      </c>
      <c r="D171" s="15" t="inlineStr">
        <is>
          <t>شهري</t>
        </is>
      </c>
      <c r="E171" s="15" t="inlineStr">
        <is>
          <t>تراكمي</t>
        </is>
      </c>
      <c r="F171" s="46" t="inlineStr">
        <is>
          <t>↑</t>
        </is>
      </c>
      <c r="G171" s="52" t="n">
        <v>3</v>
      </c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4">
        <f>IF(COUNT($H171:$S171)=0,"",SUM($H171:$S171))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55">
        <f>IF($G171="","",$G171*COUNT($H171:$S171)/12)</f>
        <v/>
      </c>
      <c r="X171" s="51">
        <f>IF($U171="","—",IF($U171&gt;=COUNT($H171:$S171)/12,"🟢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تقييم خرائط قوقل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59" t="n">
        <v>4.7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1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2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معدل خفض الشكاوى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58" t="n">
        <v>0.3</v>
      </c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7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وصول محتوى تطبيق تانكي</t>
        </is>
      </c>
      <c r="D174" s="15" t="inlineStr">
        <is>
          <t>شهري</t>
        </is>
      </c>
      <c r="E174" s="15" t="inlineStr">
        <is>
          <t>لقطة</t>
        </is>
      </c>
      <c r="F174" s="46" t="inlineStr">
        <is>
          <t>↑</t>
        </is>
      </c>
      <c r="G174" s="52" t="n">
        <v>1000000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IFERROR(LOOKUP(2,1/($H174:$S174&lt;&gt;""),$H174:$S174),"")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التسويق</t>
        </is>
      </c>
      <c r="C175" s="11" t="inlineStr">
        <is>
          <t>مشاركات تطبيق تانكي</t>
        </is>
      </c>
      <c r="D175" s="15" t="inlineStr">
        <is>
          <t>شهري</t>
        </is>
      </c>
      <c r="E175" s="15" t="inlineStr">
        <is>
          <t>تراكمي</t>
        </is>
      </c>
      <c r="F175" s="46" t="inlineStr">
        <is>
          <t>↑</t>
        </is>
      </c>
      <c r="G175" s="52" t="n">
        <v>250</v>
      </c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4">
        <f>IF(COUNT($H175:$S175)=0,"",SUM($H175:$S175))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55">
        <f>IF($G175="","",$G175*COUNT($H175:$S175)/12)</f>
        <v/>
      </c>
      <c r="X175" s="51">
        <f>IF($U175="","—",IF($U175&gt;=COUNT($H175:$S175)/12,"🟢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المحطات الحرجة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↓</t>
        </is>
      </c>
      <c r="G176" s="58" t="n">
        <v>0.05</v>
      </c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57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مطابقة جودة الوقود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58" t="n">
        <v>0.995</v>
      </c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محقق",IF($U177&gt;=0.97,"🟡 قريب","🔴 تحت الهدف")))</f>
        <v/>
      </c>
      <c r="W177" s="57">
        <f>IF($G177="","",$G177)</f>
        <v/>
      </c>
      <c r="X177" s="51">
        <f>IF($U177="","—",IF($U177&gt;=0.97,"🟢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إغلاق الملاحظات في الوقت المحدد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58" t="n">
        <v>0.9</v>
      </c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57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فعالية الإجراءات التصحيحية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58" t="n">
        <v>0.85</v>
      </c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57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تكرار الملاحظات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↓</t>
        </is>
      </c>
      <c r="G180" s="58" t="n">
        <v>0.1</v>
      </c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57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تنفيذ خطة التفتيش والتدقيق</t>
        </is>
      </c>
      <c r="D181" s="15" t="inlineStr">
        <is>
          <t>ربعي</t>
        </is>
      </c>
      <c r="E181" s="15" t="inlineStr">
        <is>
          <t>معدل</t>
        </is>
      </c>
      <c r="F181" s="46" t="inlineStr">
        <is>
          <t>↑</t>
        </is>
      </c>
      <c r="G181" s="58" t="n">
        <v>0.95</v>
      </c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57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جاهزية نظام إدارة الجودة QMS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↑</t>
        </is>
      </c>
      <c r="G182" s="58" t="n">
        <v>0.9</v>
      </c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47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محقق",IF($U182&gt;=0.97,"🟡 قريب","🔴 تحت الهدف")))</f>
        <v/>
      </c>
      <c r="W182" s="57">
        <f>IF($G182="","",$G182)</f>
        <v/>
      </c>
      <c r="X182" s="51">
        <f>IF($U182="","—",IF($U182&gt;=0.97,"🟢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عدد مخاطر الجودة الحرجة المفتوحة</t>
        </is>
      </c>
      <c r="D183" s="15" t="inlineStr">
        <is>
          <t>شهري</t>
        </is>
      </c>
      <c r="E183" s="15" t="inlineStr">
        <is>
          <t>لقطة</t>
        </is>
      </c>
      <c r="F183" s="46" t="inlineStr">
        <is>
          <t>↓</t>
        </is>
      </c>
      <c r="G183" s="52" t="n">
        <v>0</v>
      </c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4">
        <f>IFERROR(LOOKUP(2,1/($H183:$S183&lt;&gt;""),$H183:$S183),"")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55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إغلاق مخاطر الجودة في الوقت المحدد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58" t="n">
        <v>0.9</v>
      </c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57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انخفاض الشكاوى المتكررة ذات العلاقة بالجودة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58" t="n">
        <v>0.15</v>
      </c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57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وتحديث الإجراءات المعتمدة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58" t="n">
        <v>0.95</v>
      </c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57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اكتمال سجلات الجودة</t>
        </is>
      </c>
      <c r="D187" s="15" t="inlineStr">
        <is>
          <t>شهري</t>
        </is>
      </c>
      <c r="E187" s="15" t="inlineStr">
        <is>
          <t>معدل</t>
        </is>
      </c>
      <c r="F187" s="46" t="inlineStr">
        <is>
          <t>↑</t>
        </is>
      </c>
      <c r="G187" s="58" t="n">
        <v>0.95</v>
      </c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57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نسبة رقمنة عمليات الجودة</t>
        </is>
      </c>
      <c r="D188" s="15" t="inlineStr">
        <is>
          <t>شهري</t>
        </is>
      </c>
      <c r="E188" s="15" t="inlineStr">
        <is>
          <t>لقطة</t>
        </is>
      </c>
      <c r="F188" s="46" t="inlineStr">
        <is>
          <t>↑</t>
        </is>
      </c>
      <c r="G188" s="58" t="n">
        <v>0.8</v>
      </c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47">
        <f>IFERROR(LOOKUP(2,1/($H188:$S188&lt;&gt;""),$H188:$S188),"")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57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الجودة</t>
        </is>
      </c>
      <c r="C189" s="11" t="inlineStr">
        <is>
          <t>عدد مبادرات التحسين المؤثرة</t>
        </is>
      </c>
      <c r="D189" s="15" t="inlineStr">
        <is>
          <t>ربعي</t>
        </is>
      </c>
      <c r="E189" s="15" t="inlineStr">
        <is>
          <t>تراكمي</t>
        </is>
      </c>
      <c r="F189" s="46" t="inlineStr">
        <is>
          <t>↑</t>
        </is>
      </c>
      <c r="G189" s="52" t="n">
        <v>8</v>
      </c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4">
        <f>IF(COUNT($H189:$S189)=0,"",SUM($H189:$S189))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55">
        <f>IF($G189="","",$G189*COUNT($H189:$S189)/12)</f>
        <v/>
      </c>
      <c r="X189" s="51">
        <f>IF($U189="","—",IF($U189&gt;=COUNT($H189:$S189)/12,"🟢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العقود المُراجَعة قانونياً قبل التوقيع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58" t="n">
        <v>1</v>
      </c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57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متوسط زمن صياغة ومراجعة العقد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↓</t>
        </is>
      </c>
      <c r="G191" s="59" t="n">
        <v>3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1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2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العقود الخالية من الملاحظات والمخاطر القانونية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58" t="n">
        <v>0.95</v>
      </c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57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القضايا المُغلقة لصالح الشركة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58" t="n">
        <v>0.8</v>
      </c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57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نسبة تقديم المذكرات والردود في المواعيد النظامية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58" t="n">
        <v>1</v>
      </c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57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متوسط زمن إعداد المذكرة القانونية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↓</t>
        </is>
      </c>
      <c r="G195" s="59" t="n">
        <v>5</v>
      </c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1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2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نسبة الاستشارات المُنجزة ضمن المدة المستهدفة (SLA)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↑</t>
        </is>
      </c>
      <c r="G196" s="58" t="n">
        <v>0.9</v>
      </c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57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مستوى رضا الإدارات عن الدعم القانوني</t>
        </is>
      </c>
      <c r="D197" s="15" t="inlineStr">
        <is>
          <t>ربعي</t>
        </is>
      </c>
      <c r="E197" s="15" t="inlineStr">
        <is>
          <t>معدل</t>
        </is>
      </c>
      <c r="F197" s="46" t="inlineStr">
        <is>
          <t>↑</t>
        </is>
      </c>
      <c r="G197" s="58" t="n">
        <v>0.85</v>
      </c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هدف",IF($U197&gt;=0.9,"✅ محقق",IF($U197&gt;=0.75,"🟡 قريب","🔴 تحت الهدف")))</f>
        <v/>
      </c>
      <c r="W197" s="57">
        <f>IF($G197="","",$G197)</f>
        <v/>
      </c>
      <c r="X197" s="51">
        <f>IF($U197="","—",IF($U197&gt;=0.75,"🟢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نسبة إنجاز التحقيقات ضمن المدة المحددة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58" t="n">
        <v>0.9</v>
      </c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57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القانونية</t>
        </is>
      </c>
      <c r="C199" s="11" t="inlineStr">
        <is>
          <t>نسبة التحقيقات المُغلقة من إجمالي المُحالة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58" t="n">
        <v>0.95</v>
      </c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57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القانونية</t>
        </is>
      </c>
      <c r="C200" s="11" t="inlineStr">
        <is>
          <t>متوسط زمن إغلاق قضية التحقيق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↓</t>
        </is>
      </c>
      <c r="G200" s="59" t="n">
        <v>30</v>
      </c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1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2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القانونية</t>
        </is>
      </c>
      <c r="C201" s="11" t="inlineStr">
        <is>
          <t>نسبة تنفيذ التوصيات الصادرة عن التحقيقات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58" t="n">
        <v>0.9</v>
      </c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57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القانونية</t>
        </is>
      </c>
      <c r="C202" s="11" t="inlineStr">
        <is>
          <t>نسبة التزام التحقيقات بالإجراءات النظامية والعدالة الإجرائية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58" t="n">
        <v>1</v>
      </c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57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نمو الإيرادات السنوي</t>
        </is>
      </c>
      <c r="D203" s="15" t="inlineStr">
        <is>
          <t>ربعي</t>
        </is>
      </c>
      <c r="E203" s="15" t="inlineStr">
        <is>
          <t>معدل</t>
        </is>
      </c>
      <c r="F203" s="46" t="inlineStr">
        <is>
          <t>↑</t>
        </is>
      </c>
      <c r="G203" s="58" t="n">
        <v>0.2</v>
      </c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57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هامش EBITDA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58" t="n">
        <v>0.08</v>
      </c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57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هامش صافي الربح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58" t="n">
        <v>0.01</v>
      </c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57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العائد على حقوق الملكية (ROE)</t>
        </is>
      </c>
      <c r="D206" s="15" t="inlineStr">
        <is>
          <t>ربعي</t>
        </is>
      </c>
      <c r="E206" s="15" t="inlineStr">
        <is>
          <t>معدل</t>
        </is>
      </c>
      <c r="F206" s="46" t="inlineStr">
        <is>
          <t>↑</t>
        </is>
      </c>
      <c r="G206" s="58" t="n">
        <v>0.1</v>
      </c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57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التدفق النقدي التشغيلي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59" t="n">
        <v>1</v>
      </c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1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2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النسبة الجارية (Current Ratio)</t>
        </is>
      </c>
      <c r="D208" s="15" t="inlineStr">
        <is>
          <t>شهري</t>
        </is>
      </c>
      <c r="E208" s="15" t="inlineStr">
        <is>
          <t>لقطة</t>
        </is>
      </c>
      <c r="F208" s="46" t="inlineStr">
        <is>
          <t>↑</t>
        </is>
      </c>
      <c r="G208" s="59" t="n">
        <v>1</v>
      </c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1">
        <f>IFERROR(LOOKUP(2,1/($H208:$S208&lt;&gt;""),$H208:$S208),"")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2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دورة التحويل النقدي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59" t="n">
        <v>20</v>
      </c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1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2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متوسط أيام التحصيل العام (DSO)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↓</t>
        </is>
      </c>
      <c r="G210" s="59" t="n">
        <v>30</v>
      </c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1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2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التحصيل العام (الشركة)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↑</t>
        </is>
      </c>
      <c r="G211" s="58" t="n">
        <v>0.95</v>
      </c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57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نسبة الذمم المتأخرة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↓</t>
        </is>
      </c>
      <c r="G212" s="58" t="n">
        <v>0.1</v>
      </c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57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نسبة الديون المعدومة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↓</t>
        </is>
      </c>
      <c r="G213" s="58" t="n">
        <v>0.01</v>
      </c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57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سداد الموردين في الموعد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58" t="n">
        <v>0.98</v>
      </c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57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اكتمال مطابقة حسابات الموردين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↑</t>
        </is>
      </c>
      <c r="G215" s="58" t="n">
        <v>0.95</v>
      </c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محقق",IF($U215&gt;=0.97,"🟡 قريب","🔴 تحت الهدف")))</f>
        <v/>
      </c>
      <c r="W215" s="57">
        <f>IF($G215="","",$G215)</f>
        <v/>
      </c>
      <c r="X215" s="51">
        <f>IF($U215="","—",IF($U215&gt;=0.97,"🟢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دقة التنبؤ النقدي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58" t="n">
        <v>0.9</v>
      </c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57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تباين مخزون الوقود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↓</t>
        </is>
      </c>
      <c r="G217" s="58" t="n">
        <v>0.001</v>
      </c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57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دقة مطابقة المخزون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58" t="n">
        <v>0.995</v>
      </c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محقق",IF($U218&gt;=0.97,"🟡 قريب","🔴 تحت الهدف")))</f>
        <v/>
      </c>
      <c r="W218" s="57">
        <f>IF($G218="","",$G218)</f>
        <v/>
      </c>
      <c r="X218" s="51">
        <f>IF($U218="","—",IF($U218&gt;=0.97,"🟢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دقة تسوية أرامكو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↑</t>
        </is>
      </c>
      <c r="G219" s="58" t="n">
        <v>1</v>
      </c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47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محقق",IF($U219&gt;=0.97,"🟡 قريب","🔴 تحت الهدف")))</f>
        <v/>
      </c>
      <c r="W219" s="57">
        <f>IF($G219="","",$G219)</f>
        <v/>
      </c>
      <c r="X219" s="51">
        <f>IF($U219="","—",IF($U219&gt;=0.97,"🟢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تحصيل الامتياز</t>
        </is>
      </c>
      <c r="D220" s="15" t="inlineStr">
        <is>
          <t>شهري</t>
        </is>
      </c>
      <c r="E220" s="15" t="inlineStr">
        <is>
          <t>معدل</t>
        </is>
      </c>
      <c r="F220" s="46" t="inlineStr">
        <is>
          <t>↑</t>
        </is>
      </c>
      <c r="G220" s="58" t="n">
        <v>0.98</v>
      </c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57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أيام تحصيل رسوم الامتياز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↓</t>
        </is>
      </c>
      <c r="G221" s="59" t="n">
        <v>15</v>
      </c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1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2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نسبة تحصيل الإيجار</t>
        </is>
      </c>
      <c r="D222" s="15" t="inlineStr">
        <is>
          <t>شهري</t>
        </is>
      </c>
      <c r="E222" s="15" t="inlineStr">
        <is>
          <t>معدل</t>
        </is>
      </c>
      <c r="F222" s="46" t="inlineStr">
        <is>
          <t>↑</t>
        </is>
      </c>
      <c r="G222" s="58" t="n">
        <v>0.98</v>
      </c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57">
        <f>IF($G222="","",$G222)</f>
        <v/>
      </c>
      <c r="X222" s="51">
        <f>IF($U222="","—",IF($U222&gt;=0.85,"🟢 على المسار","🟠 متأخّر"))</f>
        <v/>
      </c>
    </row>
    <row r="223" ht="22" customHeight="1">
      <c r="A223" s="51" t="n">
        <v>220</v>
      </c>
      <c r="B223" s="13" t="inlineStr">
        <is>
          <t>الإدارة المالية</t>
        </is>
      </c>
      <c r="C223" s="11" t="inlineStr">
        <is>
          <t>معدل تجديد عقود الإيجار</t>
        </is>
      </c>
      <c r="D223" s="15" t="inlineStr">
        <is>
          <t>شهري</t>
        </is>
      </c>
      <c r="E223" s="15" t="inlineStr">
        <is>
          <t>معدل</t>
        </is>
      </c>
      <c r="F223" s="46" t="inlineStr">
        <is>
          <t>↑</t>
        </is>
      </c>
      <c r="G223" s="58" t="n">
        <v>0.9</v>
      </c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47">
        <f>IF(COUNT($H223:$S223)=0,"",SUM($H223:$S223)/COUNT($H223:$S223))</f>
        <v/>
      </c>
      <c r="U223" s="47">
        <f>IF($G223="","",IF($T223="","",MIN(1,IF($G223=0,IF($T223&lt;=0,1,0),IF($F223="↓",IFERROR($G223/$T223,0),IFERROR($T223/$G223,0))))))</f>
        <v/>
      </c>
      <c r="V223" s="51">
        <f>IF($U223="","⏳ بانتظار هدف",IF($U223&gt;=1.0,"✅ محقق",IF($U223&gt;=0.85,"🟡 قريب","🔴 تحت الهدف")))</f>
        <v/>
      </c>
      <c r="W223" s="57">
        <f>IF($G223="","",$G223)</f>
        <v/>
      </c>
      <c r="X223" s="51">
        <f>IF($U223="","—",IF($U223&gt;=0.85,"🟢 على المسار","🟠 متأخّر"))</f>
        <v/>
      </c>
    </row>
    <row r="224" ht="22" customHeight="1">
      <c r="A224" s="51" t="n">
        <v>221</v>
      </c>
      <c r="B224" s="13" t="inlineStr">
        <is>
          <t>الإدارة المالية</t>
        </is>
      </c>
      <c r="C224" s="11" t="inlineStr">
        <is>
          <t>انحراف الموازنة</t>
        </is>
      </c>
      <c r="D224" s="15" t="inlineStr">
        <is>
          <t>ربعي</t>
        </is>
      </c>
      <c r="E224" s="15" t="inlineStr">
        <is>
          <t>معدل</t>
        </is>
      </c>
      <c r="F224" s="46" t="inlineStr">
        <is>
          <t>↓</t>
        </is>
      </c>
      <c r="G224" s="58" t="n">
        <v>0.1</v>
      </c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47">
        <f>IF(COUNT($H224:$S224)=0,"",SUM($H224:$S224)/COUNT($H224:$S224))</f>
        <v/>
      </c>
      <c r="U224" s="47">
        <f>IF($G224="","",IF($T224="","",MIN(1,IF($G224=0,IF($T224&lt;=0,1,0),IF($F224="↓",IFERROR($G224/$T224,0),IFERROR($T224/$G224,0))))))</f>
        <v/>
      </c>
      <c r="V224" s="51">
        <f>IF($U224="","⏳ بانتظار هدف",IF($U224&gt;=1.0,"✅ محقق",IF($U224&gt;=0.85,"🟡 قريب","🔴 تحت الهدف")))</f>
        <v/>
      </c>
      <c r="W224" s="57">
        <f>IF($G224="","",$G224)</f>
        <v/>
      </c>
      <c r="X224" s="51">
        <f>IF($U224="","—",IF($U224&gt;=0.85,"🟢 على المسار","🟠 متأخّر"))</f>
        <v/>
      </c>
    </row>
    <row r="225" ht="22" customHeight="1">
      <c r="A225" s="51" t="n">
        <v>222</v>
      </c>
      <c r="B225" s="13" t="inlineStr">
        <is>
          <t>الإدارة المالية</t>
        </is>
      </c>
      <c r="C225" s="11" t="inlineStr">
        <is>
          <t>أيام الإقفال الشهري</t>
        </is>
      </c>
      <c r="D225" s="15" t="inlineStr">
        <is>
          <t>شهري</t>
        </is>
      </c>
      <c r="E225" s="15" t="inlineStr">
        <is>
          <t>معدل</t>
        </is>
      </c>
      <c r="F225" s="46" t="inlineStr">
        <is>
          <t>↓</t>
        </is>
      </c>
      <c r="G225" s="59" t="n">
        <v>6</v>
      </c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1">
        <f>IF(COUNT($H225:$S225)=0,"",SUM($H225:$S225)/COUNT($H225:$S225))</f>
        <v/>
      </c>
      <c r="U225" s="47">
        <f>IF($G225="","",IF($T225="","",MIN(1,IF($G225=0,IF($T225&lt;=0,1,0),IF($F225="↓",IFERROR($G225/$T225,0),IFERROR($T225/$G225,0))))))</f>
        <v/>
      </c>
      <c r="V225" s="51">
        <f>IF($U225="","⏳ بانتظار هدف",IF($U225&gt;=1.0,"✅ محقق",IF($U225&gt;=0.85,"🟡 قريب","🔴 تحت الهدف")))</f>
        <v/>
      </c>
      <c r="W225" s="62">
        <f>IF($G225="","",$G225)</f>
        <v/>
      </c>
      <c r="X225" s="51">
        <f>IF($U225="","—",IF($U225&gt;=0.85,"🟢 على المسار","🟠 متأخّر"))</f>
        <v/>
      </c>
    </row>
    <row r="226" ht="22" customHeight="1">
      <c r="A226" s="51" t="n">
        <v>223</v>
      </c>
      <c r="B226" s="13" t="inlineStr">
        <is>
          <t>الإدارة المالية</t>
        </is>
      </c>
      <c r="C226" s="11" t="inlineStr">
        <is>
          <t>نسبة تسويات التدقيق</t>
        </is>
      </c>
      <c r="D226" s="15" t="inlineStr">
        <is>
          <t>ربعي</t>
        </is>
      </c>
      <c r="E226" s="15" t="inlineStr">
        <is>
          <t>معدل</t>
        </is>
      </c>
      <c r="F226" s="46" t="inlineStr">
        <is>
          <t>↓</t>
        </is>
      </c>
      <c r="G226" s="58" t="n">
        <v>0.02</v>
      </c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47">
        <f>IF(COUNT($H226:$S226)=0,"",SUM($H226:$S226)/COUNT($H226:$S226))</f>
        <v/>
      </c>
      <c r="U226" s="47">
        <f>IF($G226="","",IF($T226="","",MIN(1,IF($G226=0,IF($T226&lt;=0,1,0),IF($F226="↓",IFERROR($G226/$T226,0),IFERROR($T226/$G226,0))))))</f>
        <v/>
      </c>
      <c r="V226" s="51">
        <f>IF($U226="","⏳ بانتظار هدف",IF($U226&gt;=1.0,"✅ محقق",IF($U226&gt;=0.85,"🟡 قريب","🔴 تحت الهدف")))</f>
        <v/>
      </c>
      <c r="W226" s="57">
        <f>IF($G226="","",$G226)</f>
        <v/>
      </c>
      <c r="X226" s="51">
        <f>IF($U226="","—",IF($U226&gt;=0.85,"🟢 على المسار","🟠 متأخّر"))</f>
        <v/>
      </c>
    </row>
  </sheetData>
  <autoFilter ref="A3:X226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67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67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67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34</v>
      </c>
      <c r="D22" s="68" t="n">
        <v>0.152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68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68" t="n">
        <v>0.632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68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23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8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8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نسبة نمو إيرادات الشركة (سنوي)</t>
        </is>
      </c>
      <c r="D5" s="69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8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إنجاز مشاريع الخارطة التنفيذية</t>
        </is>
      </c>
      <c r="D6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8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التحول الرقمي على مستوى الشركة</t>
        </is>
      </c>
      <c r="D7" s="69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8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مؤشر رضا العملاء العام (الشركة)</t>
        </is>
      </c>
      <c r="D8" s="69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8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الموظفين العام (eNPS)</t>
        </is>
      </c>
      <c r="D9" s="69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8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نسبة تحقيق المستهدفات الاستراتيجية العامة</t>
        </is>
      </c>
      <c r="D10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8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الالتزام بإطار الحوكمة المؤسسية والامتثال التنظيمي</t>
        </is>
      </c>
      <c r="D11" s="69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8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8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8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8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8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58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58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58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58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58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8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8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8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58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58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8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8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8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8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8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58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58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58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58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58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8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8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58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58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58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58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58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58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8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8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8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58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8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58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58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8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8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8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58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8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58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8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8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8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8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8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8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8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8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8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8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58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58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8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8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8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8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8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58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8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8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8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8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58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58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8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8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58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58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58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8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58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8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58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58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8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58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58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58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8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8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8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58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58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58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58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8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58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58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58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58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58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8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8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8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8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8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8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نسبة تلبية طلبات المحطات من الوقود Fill Rate</t>
        </is>
      </c>
      <c r="D114" s="69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النمو · زيادة وصول العملاء</t>
        </is>
      </c>
      <c r="H114" s="15" t="inlineStr">
        <is>
          <t>العمليات الداخلية</t>
        </is>
      </c>
      <c r="I114" s="58" t="n">
        <v>0.13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عدد انقطاعات التوريد المؤثرة شهريًا</t>
        </is>
      </c>
      <c r="D115" s="69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5" s="11" t="inlineStr">
        <is>
          <t>إجمالي العدد خلال الفترة</t>
        </is>
      </c>
      <c r="F115" s="15" t="inlineStr">
        <is>
          <t>⚙️ نشاط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8" t="n">
        <v>0.1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تغطية مخزون الوقود بالأيام</t>
        </is>
      </c>
      <c r="D116" s="69" t="inlineStr">
        <is>
          <t>يقيس نسبة تغطية مخزون الوقود بالأيام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8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توفر المواد المخزنية والحرجة</t>
        </is>
      </c>
      <c r="D117" s="69" t="inlineStr">
        <is>
          <t>يقيس نسبة توفر المواد المخزنية والحرجة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8" t="n">
        <v>0.09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نسبة المواد الراكدة من المخزون</t>
        </is>
      </c>
      <c r="D118" s="69" t="inlineStr">
        <is>
          <t>يقيس نسبة المواد الراكدة من المخزون ضمن محور «المخزون»،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8" t="n">
        <v>0.06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دقة أوامر الشراء ومستنداتها</t>
        </is>
      </c>
      <c r="D119" s="69" t="inlineStr">
        <is>
          <t>يقيس دقة أوامر الشراء ومستنداتها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8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نسبة إنجاز أوامر الشراء خلال المدة المستهدفة</t>
        </is>
      </c>
      <c r="D120" s="69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8" t="n">
        <v>0.08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الالتزام بزمن التسليم والتوريد للمحطات والإدارات</t>
        </is>
      </c>
      <c r="D121" s="69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58" t="n">
        <v>0.1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جاهزية الإمداد للمحطات الجديدة وخطط الافتتاح</t>
        </is>
      </c>
      <c r="D122" s="69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النمو · التوسع في المواقع</t>
        </is>
      </c>
      <c r="H122" s="15" t="inlineStr">
        <is>
          <t>العمليات الداخلية</t>
        </is>
      </c>
      <c r="I122" s="58" t="n">
        <v>0.08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سلاسل الإمداد</t>
        </is>
      </c>
      <c r="C123" s="24" t="inlineStr">
        <is>
          <t>نسبة الالتزام بجدول النقل واستخدام الأسطول بكفاءة</t>
        </is>
      </c>
      <c r="D123" s="69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8" t="n">
        <v>0.07000000000000001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48" t="n"/>
    </row>
    <row r="124" ht="30" customHeight="1">
      <c r="A124" s="15" t="n">
        <v>122</v>
      </c>
      <c r="B124" s="13" t="inlineStr">
        <is>
          <t>سلاسل الإمداد</t>
        </is>
      </c>
      <c r="C124" s="24" t="inlineStr">
        <is>
          <t>كفاءة إدارة الموردين</t>
        </is>
      </c>
      <c r="D124" s="69" t="inlineStr">
        <is>
          <t>يقيس كفاءة إدارة الموردين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8" t="n">
        <v>0.06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شهري</t>
        </is>
      </c>
      <c r="M124" s="15" t="inlineStr">
        <is>
          <t>مدير سلاسل الإمداد</t>
        </is>
      </c>
      <c r="N124" s="48" t="n"/>
    </row>
    <row r="125" ht="30" customHeight="1">
      <c r="A125" s="15" t="n">
        <v>123</v>
      </c>
      <c r="B125" s="13" t="inlineStr">
        <is>
          <t>سلاسل الإمداد</t>
        </is>
      </c>
      <c r="C125" s="24" t="inlineStr">
        <is>
          <t>مستوى رضا الإدارات عن خدمات سلاسل الإمداد</t>
        </is>
      </c>
      <c r="D125" s="69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العملاء</t>
        </is>
      </c>
      <c r="I125" s="58" t="n">
        <v>0.04</v>
      </c>
      <c r="J125" s="15" t="inlineStr">
        <is>
          <t>مدير سلاسل الإمداد</t>
        </is>
      </c>
      <c r="K125" s="11" t="inlineStr">
        <is>
          <t>نظام سلاسل الإمداد والمخزون (WMS/ERP)</t>
        </is>
      </c>
      <c r="L125" s="15" t="inlineStr">
        <is>
          <t>ربعي</t>
        </is>
      </c>
      <c r="M125" s="15" t="inlineStr">
        <is>
          <t>مدير سلاسل الإمداد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نسبة الجاهزية الفنية للأصول والمعدات (Availability)</t>
        </is>
      </c>
      <c r="D126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8" t="n">
        <v>0.15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نسبة تنفيذ الصيانة الوقائية في موعدها (PM)</t>
        </is>
      </c>
      <c r="D127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8" t="n">
        <v>0.12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نسبة إغلاق بلاغات الصيانة ضمن اتفاقية الخدمة (SLA)</t>
        </is>
      </c>
      <c r="D128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8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متوسط زمن الاستجابة للبلاغات الطارئة</t>
        </is>
      </c>
      <c r="D129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9" s="11" t="inlineStr">
        <is>
          <t>متوسط دقيقة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8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متوسط زمن إصلاح الأعطال (MTTR)</t>
        </is>
      </c>
      <c r="D130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8" t="n">
        <v>0.08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معدل تكرار الأعطال</t>
        </is>
      </c>
      <c r="D131" s="69" t="inlineStr">
        <is>
          <t>يقيس معدل تكرار الأعطال ضمن محور «الاستجابة والإصلاح»،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8" t="n">
        <v>0.1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نسبة استمرارية تشغيل المحطات دون توقف فني</t>
        </is>
      </c>
      <c r="D132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58" t="n">
        <v>0.15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الصيانة والأتمتة</t>
        </is>
      </c>
      <c r="C133" s="24" t="inlineStr">
        <is>
          <t>نسبة التشغيل السليم لأنظمة الأتمتة (Uptime)</t>
        </is>
      </c>
      <c r="D133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58" t="n">
        <v>0.1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48" t="n"/>
    </row>
    <row r="134" ht="30" customHeight="1">
      <c r="A134" s="15" t="n">
        <v>132</v>
      </c>
      <c r="B134" s="13" t="inlineStr">
        <is>
          <t>الصيانة والأتمتة</t>
        </is>
      </c>
      <c r="C134" s="24" t="inlineStr">
        <is>
          <t>نسبة استعادة أنظمة الأتمتة ضمن الزمن المحدد</t>
        </is>
      </c>
      <c r="D134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58" t="n">
        <v>0.08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48" t="n"/>
    </row>
    <row r="135" ht="30" customHeight="1">
      <c r="A135" s="15" t="n">
        <v>133</v>
      </c>
      <c r="B135" s="13" t="inlineStr">
        <is>
          <t>الصيانة والأتمتة</t>
        </is>
      </c>
      <c r="C135" s="24" t="inlineStr">
        <is>
          <t>كفاءة تكاليف الصيانة (الالتزام بالميزانية)</t>
        </is>
      </c>
      <c r="D135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8" t="n">
        <v>0.04</v>
      </c>
      <c r="J135" s="15" t="inlineStr">
        <is>
          <t>مدير الصيانة والأتمتة</t>
        </is>
      </c>
      <c r="K135" s="11" t="inlineStr">
        <is>
          <t>نظام إدارة الصيانة (CMMS) وأنظمة الأتمتة (SCADA)</t>
        </is>
      </c>
      <c r="L135" s="15" t="inlineStr">
        <is>
          <t>شهري</t>
        </is>
      </c>
      <c r="M135" s="15" t="inlineStr">
        <is>
          <t>مدير الصيانة والأتمتة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توفر الأنظمة والخدمات التقنية المركزية</t>
        </is>
      </c>
      <c r="D136" s="69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الابتكار · التحول التقني</t>
        </is>
      </c>
      <c r="H136" s="15" t="inlineStr">
        <is>
          <t>التعلّم والنمو</t>
        </is>
      </c>
      <c r="I136" s="58" t="n">
        <v>0.13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معالجة الأعطال وطلبات الدعم الفني ضمن المدة المستهدفة SLA</t>
        </is>
      </c>
      <c r="D137" s="69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58" t="n">
        <v>0.12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نسبة استقرار التشغيل التقني للمحطات</t>
        </is>
      </c>
      <c r="D138" s="69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العمليات الداخلية</t>
        </is>
      </c>
      <c r="I138" s="58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إنجاز مشاريع التحول الرقمي والمشاريع التقنية حسب الخطة</t>
        </is>
      </c>
      <c r="D139" s="69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58" t="n">
        <v>0.1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نسبة تسليم المشاريع التقنية ضمن الوقت والميزانية ونطاق العمل المعتمد</t>
        </is>
      </c>
      <c r="D140" s="69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الابتكار · التحول التقني</t>
        </is>
      </c>
      <c r="H140" s="15" t="inlineStr">
        <is>
          <t>العمليات الداخلية</t>
        </is>
      </c>
      <c r="I140" s="58" t="n">
        <v>0.09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الالتزام بإدارة صلاحيات المستخدمين والحسابات</t>
        </is>
      </c>
      <c r="D141" s="69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الابتكار · التحول التقني</t>
        </is>
      </c>
      <c r="H141" s="15" t="inlineStr">
        <is>
          <t>التعلّم والنمو</t>
        </is>
      </c>
      <c r="I141" s="58" t="n">
        <v>0.1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التقنية الرقمية</t>
        </is>
      </c>
      <c r="C142" s="24" t="inlineStr">
        <is>
          <t>نسبة نجاح النسخ الاحتياطي واختبارات استعادة البيانات</t>
        </is>
      </c>
      <c r="D142" s="69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الابتكار · التحول التقني</t>
        </is>
      </c>
      <c r="H142" s="15" t="inlineStr">
        <is>
          <t>العمليات الداخلية</t>
        </is>
      </c>
      <c r="I142" s="58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48" t="n"/>
    </row>
    <row r="143" ht="30" customHeight="1">
      <c r="A143" s="15" t="n">
        <v>141</v>
      </c>
      <c r="B143" s="13" t="inlineStr">
        <is>
          <t>التقنية الرقمية</t>
        </is>
      </c>
      <c r="C143" s="24" t="inlineStr">
        <is>
          <t>نسبة الامتثال لضوابط الأمن السيبراني الأساسية</t>
        </is>
      </c>
      <c r="D143" s="69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8" t="n">
        <v>0.08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48" t="n"/>
    </row>
    <row r="144" ht="30" customHeight="1">
      <c r="A144" s="15" t="n">
        <v>142</v>
      </c>
      <c r="B144" s="13" t="inlineStr">
        <is>
          <t>التقنية الرقمية</t>
        </is>
      </c>
      <c r="C144" s="24" t="inlineStr">
        <is>
          <t>نسبة دقة وتكامل البيانات بين الأنظمة الرقمية</t>
        </is>
      </c>
      <c r="D144" s="69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التعلّم والنمو</t>
        </is>
      </c>
      <c r="I144" s="58" t="n">
        <v>0.06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48" t="n"/>
    </row>
    <row r="145" ht="30" customHeight="1">
      <c r="A145" s="15" t="n">
        <v>143</v>
      </c>
      <c r="B145" s="13" t="inlineStr">
        <is>
          <t>التقنية الرقمية</t>
        </is>
      </c>
      <c r="C145" s="24" t="inlineStr">
        <is>
          <t>نسبة الالتزام بتحديث وتوثيق أصول تقنية المعلومات والتراخيص</t>
        </is>
      </c>
      <c r="D145" s="69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58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48" t="n"/>
    </row>
    <row r="146" ht="30" customHeight="1">
      <c r="A146" s="15" t="n">
        <v>144</v>
      </c>
      <c r="B146" s="13" t="inlineStr">
        <is>
          <t>التقنية الرقمية</t>
        </is>
      </c>
      <c r="C146" s="24" t="inlineStr">
        <is>
          <t>نسبة تنفيذ الصيانة الوقائية للأجهزة والبنية التقنية</t>
        </is>
      </c>
      <c r="D146" s="69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الابتكار · التحول التقني</t>
        </is>
      </c>
      <c r="H146" s="15" t="inlineStr">
        <is>
          <t>العمليات الداخلية</t>
        </is>
      </c>
      <c r="I146" s="58" t="n">
        <v>0.05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شهري</t>
        </is>
      </c>
      <c r="M146" s="15" t="inlineStr">
        <is>
          <t>مدير التقنية</t>
        </is>
      </c>
      <c r="N146" s="48" t="n"/>
    </row>
    <row r="147" ht="30" customHeight="1">
      <c r="A147" s="15" t="n">
        <v>145</v>
      </c>
      <c r="B147" s="13" t="inlineStr">
        <is>
          <t>التقنية الرقمية</t>
        </is>
      </c>
      <c r="C147" s="24" t="inlineStr">
        <is>
          <t>مستوى رضا الإدارات والمستخدمين عن خدمات تقنية المعلومات</t>
        </is>
      </c>
      <c r="D147" s="69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التحول التقني</t>
        </is>
      </c>
      <c r="H147" s="15" t="inlineStr">
        <is>
          <t>التعلّم والنمو</t>
        </is>
      </c>
      <c r="I147" s="58" t="n">
        <v>0.04</v>
      </c>
      <c r="J147" s="15" t="inlineStr">
        <is>
          <t>مدير التقنية</t>
        </is>
      </c>
      <c r="K147" s="11" t="inlineStr">
        <is>
          <t>أنظمة تقنية المعلومات (ERP/ITSM/SIEM)</t>
        </is>
      </c>
      <c r="L147" s="15" t="inlineStr">
        <is>
          <t>ربعي</t>
        </is>
      </c>
      <c r="M147" s="15" t="inlineStr">
        <is>
          <t>مدير التقنية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الالتزام بالتوطين والامتثال الحكومي دون مخالفات</t>
        </is>
      </c>
      <c r="D148" s="69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58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الالتزام بنظام العمل واللوائح وخطة القوى العاملة المعتمدة</t>
        </is>
      </c>
      <c r="D149" s="69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الاستثمار في الموظفين</t>
        </is>
      </c>
      <c r="H149" s="15" t="inlineStr">
        <is>
          <t>العمليات الداخلية</t>
        </is>
      </c>
      <c r="I149" s="58" t="n">
        <v>0.11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نسبة إنجاز معاملات شؤون الموظفين ضمن المدة المستهدفة SLA</t>
        </is>
      </c>
      <c r="D150" s="69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58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نسبة الالتزام بتجديد الوثائق واكتمال ملفات الموظفين</t>
        </is>
      </c>
      <c r="D151" s="69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التعلّم والنمو</t>
        </is>
      </c>
      <c r="I151" s="58" t="n">
        <v>0.09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نسبة جاهزية وتغطية عمالة المحطات حسب خطة التشغيل والافتتاحات</t>
        </is>
      </c>
      <c r="D152" s="69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58" t="n">
        <v>0.11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متوسط مدة إغلاق الشواغر المعتمدة</t>
        </is>
      </c>
      <c r="D153" s="69" t="inlineStr">
        <is>
          <t>يقيس متوسط مدة إغلاق الشواغر المعتمدة ضمن محور «الاستقطاب»، ويعكس مساهمة الإدارة في ركيزة الاستدامة.</t>
        </is>
      </c>
      <c r="E153" s="11" t="inlineStr">
        <is>
          <t>متوسط يوم خلال الفترة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58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نجاح التعيينات الجديدة خلال فترة التجربة</t>
        </is>
      </c>
      <c r="D154" s="69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العملاء</t>
        </is>
      </c>
      <c r="I154" s="58" t="n">
        <v>0.08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نسبة كفاءة تكلفة القوى العاملة</t>
        </is>
      </c>
      <c r="D155" s="69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58" t="n">
        <v>0.09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نسبة دقة الرواتب والمستحقات الشهرية</t>
        </is>
      </c>
      <c r="D156" s="69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الاستثمار في الموظفين</t>
        </is>
      </c>
      <c r="H156" s="15" t="inlineStr">
        <is>
          <t>مالي</t>
        </is>
      </c>
      <c r="I156" s="58" t="n">
        <v>0.08</v>
      </c>
      <c r="J156" s="15" t="inlineStr">
        <is>
          <t>مدير الموارد البشرية</t>
        </is>
      </c>
      <c r="K156" s="11" t="inlineStr">
        <is>
          <t>نظام الرواتب (Payroll) / حماية الأجور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معدل دوران الموظفين</t>
        </is>
      </c>
      <c r="D157" s="69" t="inlineStr">
        <is>
          <t>يقيس معدل دوران الموظفين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58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تنفيذ برامج التدريب والتأهيل المعتمدة</t>
        </is>
      </c>
      <c r="D158" s="69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الاستثمار في الموظفين</t>
        </is>
      </c>
      <c r="H158" s="15" t="inlineStr">
        <is>
          <t>التعلّم والنمو</t>
        </is>
      </c>
      <c r="I158" s="58" t="n">
        <v>0.06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الموارد البشرية</t>
        </is>
      </c>
      <c r="C159" s="24" t="inlineStr">
        <is>
          <t>نسبة إغلاق تقييمات الأداء وخطط الإحلال للوظائف الحرجة</t>
        </is>
      </c>
      <c r="D159" s="69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الاستثمار في الموظفين</t>
        </is>
      </c>
      <c r="H159" s="15" t="inlineStr">
        <is>
          <t>العمليات الداخلية</t>
        </is>
      </c>
      <c r="I159" s="58" t="n">
        <v>0.04</v>
      </c>
      <c r="J159" s="15" t="inlineStr">
        <is>
          <t>مدير الموارد البشرية</t>
        </is>
      </c>
      <c r="K159" s="11" t="inlineStr">
        <is>
          <t>نظام الموارد البشرية (HRMS)</t>
        </is>
      </c>
      <c r="L159" s="15" t="inlineStr">
        <is>
          <t>شهري</t>
        </is>
      </c>
      <c r="M159" s="15" t="inlineStr">
        <is>
          <t>مدير الموارد البشرية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الوصول الكلي (Total Reach)</t>
        </is>
      </c>
      <c r="D160" s="69" t="inlineStr">
        <is>
          <t>يقيس الوصول الكلي (Total Reach)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🎯 نتيجة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58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عملاء تجاريون جدد</t>
        </is>
      </c>
      <c r="D161" s="69" t="inlineStr">
        <is>
          <t>يقيس عملاء تجاريون جدد ضمن محور «الإدارة العامة»،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58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إجمالي المتابعين (كل المنصات)</t>
        </is>
      </c>
      <c r="D162" s="69" t="inlineStr">
        <is>
          <t>يقيس إجمالي المتابعين (كل المنصات) ضمن محور «الفريق الإبداعي»،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58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معدل التفاعل (Engagement)</t>
        </is>
      </c>
      <c r="D163" s="69" t="inlineStr">
        <is>
          <t>يقيس معدل التفاعل (Engagement) ضمن محور «الفريق الإبداعي»،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العملاء</t>
        </is>
      </c>
      <c r="I163" s="58" t="n">
        <v>0.08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حملات تسويقية منجزة</t>
        </is>
      </c>
      <c r="D164" s="69" t="inlineStr">
        <is>
          <t>يقيس حملات تسويقية منجزة ضمن محور «الحملات التسويقية»،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58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تحويل الفرص إلى عقود</t>
        </is>
      </c>
      <c r="D165" s="69" t="inlineStr">
        <is>
          <t>يقيس تحويل الفرص إلى عقود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النمو · زيادة وصول العملاء</t>
        </is>
      </c>
      <c r="H165" s="15" t="inlineStr">
        <is>
          <t>العمليات الداخلية</t>
        </is>
      </c>
      <c r="I165" s="58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المبيعات لكل حملة</t>
        </is>
      </c>
      <c r="D166" s="69" t="inlineStr">
        <is>
          <t>يقيس نسبة المبيعات لكل حملة ضمن محور «الحملات التسويقية»، ويعكس مساهمة الإدارة في ركيزة النمو.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النمو · زيادة وصول العملاء</t>
        </is>
      </c>
      <c r="H166" s="15" t="inlineStr">
        <is>
          <t>مالي</t>
        </is>
      </c>
      <c r="I166" s="58" t="n">
        <v>0.08</v>
      </c>
      <c r="J166" s="15" t="inlineStr">
        <is>
          <t>مدير التسويق</t>
        </is>
      </c>
      <c r="K166" s="11" t="inlineStr">
        <is>
          <t>أنظمة التسويق الرقمي / تانكي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نسبة التزام الهوية البصرية</t>
        </is>
      </c>
      <c r="D167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الابتكار · تطوير التصاميم والهوية</t>
        </is>
      </c>
      <c r="H167" s="15" t="inlineStr">
        <is>
          <t>التعلّم والنمو</t>
        </is>
      </c>
      <c r="I167" s="58" t="n">
        <v>0.08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وصول العلاقات العامة (PR)</t>
        </is>
      </c>
      <c r="D168" s="69" t="inlineStr">
        <is>
          <t>يقيس وصول العلاقات العامة (PR) ضمن محور «العلاقات والشراكات»، ويعكس مساهمة الإدارة في ركيزة النمو.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النمو · زيادة وصول العملاء</t>
        </is>
      </c>
      <c r="H168" s="15" t="inlineStr">
        <is>
          <t>العملاء</t>
        </is>
      </c>
      <c r="I168" s="58" t="n">
        <v>0.06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عدد المعارض بالسنة</t>
        </is>
      </c>
      <c r="D169" s="69" t="inlineStr">
        <is>
          <t>يقيس عدد المعارض بالسنة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58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اتفاقيات استراتيجية</t>
        </is>
      </c>
      <c r="D170" s="69" t="inlineStr">
        <is>
          <t>يقيس اتفاقيات استراتيجية ضمن محور «العلاقات والشراكات»،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إطلاق مشاريع جديدة</t>
        </is>
      </c>
      <c r="H170" s="15" t="inlineStr">
        <is>
          <t>العمليات الداخلية</t>
        </is>
      </c>
      <c r="I170" s="58" t="n">
        <v>0.06</v>
      </c>
      <c r="J170" s="15" t="inlineStr">
        <is>
          <t>مدير التسويق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تقييم خرائط قوقل</t>
        </is>
      </c>
      <c r="D171" s="69" t="inlineStr">
        <is>
          <t>يقيس تقييم خرائط قوقل ضمن محور «خدمة العملاء والدعم»، ويعكس مساهمة الإدارة في ركيزة الاستدامة.</t>
        </is>
      </c>
      <c r="E171" s="11" t="inlineStr">
        <is>
          <t>متوسط التقييم (من 5)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8" t="n">
        <v>0.06</v>
      </c>
      <c r="J171" s="15" t="inlineStr">
        <is>
          <t>مدير التسويق</t>
        </is>
      </c>
      <c r="K171" s="11" t="inlineStr">
        <is>
          <t>تقييمات خرائط قوقل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معدل خفض الشكاوى</t>
        </is>
      </c>
      <c r="D172" s="69" t="inlineStr">
        <is>
          <t>يقيس معدل خفض الشكاوى ضمن محور «خدمة العملاء والدعم»،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تعزيز تجربة العملاء</t>
        </is>
      </c>
      <c r="H172" s="15" t="inlineStr">
        <is>
          <t>العملاء</t>
        </is>
      </c>
      <c r="I172" s="58" t="n">
        <v>0.06</v>
      </c>
      <c r="J172" s="15" t="inlineStr">
        <is>
          <t>مدير التسويق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وصول محتوى تطبيق تانكي</t>
        </is>
      </c>
      <c r="D173" s="69" t="inlineStr">
        <is>
          <t>يقيس وصول محتوى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العملاء</t>
        </is>
      </c>
      <c r="I173" s="58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التسويق</t>
        </is>
      </c>
      <c r="C174" s="24" t="inlineStr">
        <is>
          <t>مشاركات تطبيق تانكي</t>
        </is>
      </c>
      <c r="D174" s="69" t="inlineStr">
        <is>
          <t>يقيس مشاركات تطبيق تانكي ضمن محور «تطبيق تانكي»، ويعكس مساهمة الإدارة في ركيزة الابتكار.</t>
        </is>
      </c>
      <c r="E174" s="11" t="inlineStr">
        <is>
          <t>إجمالي العدد خلال الفترة</t>
        </is>
      </c>
      <c r="F174" s="15" t="inlineStr">
        <is>
          <t>🔧 تشغيلي</t>
        </is>
      </c>
      <c r="G174" s="11" t="inlineStr">
        <is>
          <t>الابتكار · تطبيق «تانكي»</t>
        </is>
      </c>
      <c r="H174" s="15" t="inlineStr">
        <is>
          <t>العمليات الداخلية</t>
        </is>
      </c>
      <c r="I174" s="58" t="n">
        <v>0.05</v>
      </c>
      <c r="J174" s="15" t="inlineStr">
        <is>
          <t>مدير التسويق</t>
        </is>
      </c>
      <c r="K174" s="11" t="inlineStr">
        <is>
          <t>أنظمة التسويق الرقمي / تانكي</t>
        </is>
      </c>
      <c r="L174" s="15" t="inlineStr">
        <is>
          <t>شهري</t>
        </is>
      </c>
      <c r="M174" s="15" t="inlineStr">
        <is>
          <t>مدير التسويق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المحطات الحرجة</t>
        </is>
      </c>
      <c r="D175" s="69" t="inlineStr">
        <is>
          <t>يقيس نسبة المحطات الحرجة ضمن محور «مخاطر الجودة»،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8" t="n">
        <v>0.1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مطابقة جودة الوقود</t>
        </is>
      </c>
      <c r="D176" s="69" t="inlineStr">
        <is>
          <t>يقيس نسبة مطابقة جودة الوقود ضمن محور «جودة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8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إغلاق الملاحظات في الوقت المحدد</t>
        </is>
      </c>
      <c r="D177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8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فعالية الإجراءات التصحيحية</t>
        </is>
      </c>
      <c r="D178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8" t="n">
        <v>0.07000000000000001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تكرار الملاحظات</t>
        </is>
      </c>
      <c r="D179" s="69" t="inlineStr">
        <is>
          <t>يقيس نسبة تكرار الملاحظات ضمن محور «منع التكرار»،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8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تنفيذ خطة التفتيش والتدقيق</t>
        </is>
      </c>
      <c r="D180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8" t="n">
        <v>0.07000000000000001</v>
      </c>
      <c r="J180" s="15" t="inlineStr">
        <is>
          <t>مدير الجودة</t>
        </is>
      </c>
      <c r="K180" s="11" t="inlineStr">
        <is>
          <t>نظام المحاسبة / ERP (D365)</t>
        </is>
      </c>
      <c r="L180" s="15" t="inlineStr">
        <is>
          <t>ربعي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جاهزية نظام إدارة الجودة QMS</t>
        </is>
      </c>
      <c r="D181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8" t="n">
        <v>0.1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عدد مخاطر الجودة الحرجة المفتوحة</t>
        </is>
      </c>
      <c r="D182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8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إغلاق مخاطر الجودة في الوقت المحدد</t>
        </is>
      </c>
      <c r="D183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8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انخفاض الشكاوى المتكررة ذات العلاقة بالجودة</t>
        </is>
      </c>
      <c r="D184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تعزيز تجربة العملاء</t>
        </is>
      </c>
      <c r="H184" s="15" t="inlineStr">
        <is>
          <t>العملاء</t>
        </is>
      </c>
      <c r="I184" s="58" t="n">
        <v>0.07000000000000001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وتحديث الإجراءات المعتمدة</t>
        </is>
      </c>
      <c r="D185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8" t="n">
        <v>0.03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اكتمال سجلات الجودة</t>
        </is>
      </c>
      <c r="D186" s="69" t="inlineStr">
        <is>
          <t>يقيس نسبة اكتمال سجلات الجودة ضمن محور «توثيق وحوكمة»،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58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نسبة رقمنة عمليات الجودة</t>
        </is>
      </c>
      <c r="D187" s="69" t="inlineStr">
        <is>
          <t>يقيس نسبة رقمنة عمليات الجودة ضمن محور «الابتكار والرقمنة»، ويعكس مساهمة الإدارة في ركيزة الابتكار.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الابتكار · التحول التقني</t>
        </is>
      </c>
      <c r="H187" s="15" t="inlineStr">
        <is>
          <t>التعلّم والنمو</t>
        </is>
      </c>
      <c r="I187" s="58" t="n">
        <v>0.07000000000000001</v>
      </c>
      <c r="J187" s="15" t="inlineStr">
        <is>
          <t>مدير الجودة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الجودة</t>
        </is>
      </c>
      <c r="C188" s="24" t="inlineStr">
        <is>
          <t>عدد مبادرات التحسين المؤثرة</t>
        </is>
      </c>
      <c r="D188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8" s="11" t="inlineStr">
        <is>
          <t>إجمالي العدد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التعلّم والنمو</t>
        </is>
      </c>
      <c r="I188" s="58" t="n">
        <v>0.07000000000000001</v>
      </c>
      <c r="J188" s="15" t="inlineStr">
        <is>
          <t>مدير الجودة</t>
        </is>
      </c>
      <c r="K188" s="11" t="inlineStr">
        <is>
          <t>سجلات الإدارة</t>
        </is>
      </c>
      <c r="L188" s="15" t="inlineStr">
        <is>
          <t>ربعي</t>
        </is>
      </c>
      <c r="M188" s="15" t="inlineStr">
        <is>
          <t>مدير الجودة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العقود المُراجَعة قانونياً قبل التوقيع</t>
        </is>
      </c>
      <c r="D189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58" t="n">
        <v>0.1</v>
      </c>
      <c r="J189" s="15" t="inlineStr">
        <is>
          <t>المدير القانوني</t>
        </is>
      </c>
      <c r="K189" s="11" t="inlineStr">
        <is>
          <t>نظام إدارة العقود (CRM)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متوسط زمن صياغة ومراجعة العقد</t>
        </is>
      </c>
      <c r="D190" s="69" t="inlineStr">
        <is>
          <t>يقيس متوسط زمن صياغة ومراجعة العقد ضمن محور «أعمال العقود»،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58" t="n">
        <v>0.1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العقود الخالية من الملاحظات والمخاطر القانونية</t>
        </is>
      </c>
      <c r="D191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8" t="n">
        <v>0.1</v>
      </c>
      <c r="J191" s="15" t="inlineStr">
        <is>
          <t>المدير القانوني</t>
        </is>
      </c>
      <c r="K191" s="11" t="inlineStr">
        <is>
          <t>نظام إدارة الجودة (QMS)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القضايا المُغلقة لصالح الشركة</t>
        </is>
      </c>
      <c r="D192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8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نسبة تقديم المذكرات والردود في المواعيد النظامية</t>
        </is>
      </c>
      <c r="D193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8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متوسط زمن إعداد المذكرة القانونية</t>
        </is>
      </c>
      <c r="D194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8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نسبة الاستشارات المُنجزة ضمن المدة المستهدفة (SLA)</t>
        </is>
      </c>
      <c r="D195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58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مستوى رضا الإدارات عن الدعم القانوني</t>
        </is>
      </c>
      <c r="D196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العملاء</t>
        </is>
      </c>
      <c r="I196" s="58" t="n">
        <v>0.1</v>
      </c>
      <c r="J196" s="15" t="inlineStr">
        <is>
          <t>المدير القانوني</t>
        </is>
      </c>
      <c r="K196" s="11" t="inlineStr">
        <is>
          <t>استبيان دوري</t>
        </is>
      </c>
      <c r="L196" s="15" t="inlineStr">
        <is>
          <t>ربعي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نسبة إنجاز التحقيقات ضمن المدة المحددة</t>
        </is>
      </c>
      <c r="D197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58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القانونية</t>
        </is>
      </c>
      <c r="C198" s="24" t="inlineStr">
        <is>
          <t>نسبة التحقيقات المُغلقة من إجمالي المُحالة</t>
        </is>
      </c>
      <c r="D198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8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48" t="n"/>
    </row>
    <row r="199" ht="30" customHeight="1">
      <c r="A199" s="15" t="n">
        <v>197</v>
      </c>
      <c r="B199" s="13" t="inlineStr">
        <is>
          <t>الإدارة القانونية</t>
        </is>
      </c>
      <c r="C199" s="24" t="inlineStr">
        <is>
          <t>متوسط زمن إغلاق قضية التحقيق</t>
        </is>
      </c>
      <c r="D199" s="69" t="inlineStr">
        <is>
          <t>يقيس متوسط زمن إغلاق قضية التحقيق ضمن محور «التحقيق»، ويعكس مساهمة الإدارة في ركيزة الاستدامة.</t>
        </is>
      </c>
      <c r="E199" s="11" t="inlineStr">
        <is>
          <t>متوسط يوم خلال الفترة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8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48" t="n"/>
    </row>
    <row r="200" ht="30" customHeight="1">
      <c r="A200" s="15" t="n">
        <v>198</v>
      </c>
      <c r="B200" s="13" t="inlineStr">
        <is>
          <t>الإدارة القانونية</t>
        </is>
      </c>
      <c r="C200" s="24" t="inlineStr">
        <is>
          <t>نسبة تنفيذ التوصيات الصادرة عن التحقيقات</t>
        </is>
      </c>
      <c r="D200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⚙️ نشاط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58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48" t="n"/>
    </row>
    <row r="201" ht="30" customHeight="1">
      <c r="A201" s="15" t="n">
        <v>199</v>
      </c>
      <c r="B201" s="13" t="inlineStr">
        <is>
          <t>الإدارة القانونية</t>
        </is>
      </c>
      <c r="C201" s="24" t="inlineStr">
        <is>
          <t>نسبة التزام التحقيقات بالإجراءات النظامية والعدالة الإجرائية</t>
        </is>
      </c>
      <c r="D201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58" t="n">
        <v>0.06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نمو الإيرادات السنوي</t>
        </is>
      </c>
      <c r="D202" s="69" t="inlineStr">
        <is>
          <t>يقيس نمو الإيرادات السنوي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58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هامش EBITDA</t>
        </is>
      </c>
      <c r="D203" s="69" t="inlineStr">
        <is>
          <t>يقيس هامش EBITDA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58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هامش صافي الربح</t>
        </is>
      </c>
      <c r="D204" s="69" t="inlineStr">
        <is>
          <t>يقيس هامش صافي الربح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58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العائد على حقوق الملكية (ROE)</t>
        </is>
      </c>
      <c r="D205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النمو · زيادة وصول العملاء</t>
        </is>
      </c>
      <c r="H205" s="15" t="inlineStr">
        <is>
          <t>مالي</t>
        </is>
      </c>
      <c r="I205" s="58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ربعي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التدفق النقدي التشغيلي</t>
        </is>
      </c>
      <c r="D206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58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النسبة الجارية (Current Ratio)</t>
        </is>
      </c>
      <c r="D207" s="69" t="inlineStr">
        <is>
          <t>يقيس النسبة الجارية (Current Ratio) ضمن محور «السيولة ورأس المال»،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58" t="n">
        <v>0.04</v>
      </c>
      <c r="J207" s="15" t="inlineStr">
        <is>
          <t>المدير المالي</t>
        </is>
      </c>
      <c r="K207" s="11" t="inlineStr">
        <is>
          <t>سجلات الإدارة</t>
        </is>
      </c>
      <c r="L207" s="15" t="inlineStr">
        <is>
          <t>شهري</t>
        </is>
      </c>
      <c r="M207" s="15" t="inlineStr">
        <is>
          <t>المدير المالي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دورة التحويل النقدي</t>
        </is>
      </c>
      <c r="D208" s="69" t="inlineStr">
        <is>
          <t>يقيس دورة التحويل النقدي ضمن محور «السيولة ورأس المال»،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58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متوسط أيام التحصيل العام (DSO)</t>
        </is>
      </c>
      <c r="D209" s="69" t="inlineStr">
        <is>
          <t>يقيس متوسط أيام التحصيل العام (DSO) ضمن محور «الذمم المدينة»، ويعكس مساهمة الإدارة في ركيزة الاستدامة.</t>
        </is>
      </c>
      <c r="E209" s="11" t="inlineStr">
        <is>
          <t>متوسط يوم خلال الفترة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58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التحصيل العام (الشركة)</t>
        </is>
      </c>
      <c r="D210" s="69" t="inlineStr">
        <is>
          <t>يقيس نسبة التحصيل العام (الشركة)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مالي</t>
        </is>
      </c>
      <c r="I210" s="58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نسبة الذمم المتأخرة</t>
        </is>
      </c>
      <c r="D211" s="69" t="inlineStr">
        <is>
          <t>يقيس نسبة الذمم المتأخرة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8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نسبة الديون المعدومة</t>
        </is>
      </c>
      <c r="D212" s="69" t="inlineStr">
        <is>
          <t>يقيس نسبة الديون المعدومة ضمن محور «الذمم المدينة»،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58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سداد الموردين في الموعد</t>
        </is>
      </c>
      <c r="D213" s="69" t="inlineStr">
        <is>
          <t>يقيس سداد الموردين في الموعد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مالي</t>
        </is>
      </c>
      <c r="I213" s="58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اكتمال مطابقة حسابات الموردين</t>
        </is>
      </c>
      <c r="D214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58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دقة التنبؤ النقدي</t>
        </is>
      </c>
      <c r="D215" s="69" t="inlineStr">
        <is>
          <t>يقيس دقة التنبؤ النقدي ضمن محور «الخزينة»،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58" t="n">
        <v>0.04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تباين مخزون الوقود</t>
        </is>
      </c>
      <c r="D216" s="69" t="inlineStr">
        <is>
          <t>يقيس تباين مخزون الوقود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🔧 تشغيلي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58" t="n">
        <v>0.04</v>
      </c>
      <c r="J216" s="15" t="inlineStr">
        <is>
          <t>المدير المالي</t>
        </is>
      </c>
      <c r="K216" s="11" t="inlineStr">
        <is>
          <t>نظام تشغيل المحطات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دقة مطابقة المخزون</t>
        </is>
      </c>
      <c r="D217" s="69" t="inlineStr">
        <is>
          <t>يقيس دقة مطابقة المخزون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58" t="n">
        <v>0.03</v>
      </c>
      <c r="J217" s="15" t="inlineStr">
        <is>
          <t>المدير المالي</t>
        </is>
      </c>
      <c r="K217" s="11" t="inlineStr">
        <is>
          <t>نظام إدارة الجودة (QMS)</t>
        </is>
      </c>
      <c r="L217" s="15" t="inlineStr">
        <is>
          <t>شهري</t>
        </is>
      </c>
      <c r="M217" s="15" t="inlineStr">
        <is>
          <t>المدير المالي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دقة تسوية أرامكو</t>
        </is>
      </c>
      <c r="D218" s="69" t="inlineStr">
        <is>
          <t>يقيس دقة تسوية أرامكو ضمن محور «صناعة الوقود»،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58" t="n">
        <v>0.03</v>
      </c>
      <c r="J218" s="15" t="inlineStr">
        <is>
          <t>المدير المالي</t>
        </is>
      </c>
      <c r="K218" s="11" t="inlineStr">
        <is>
          <t>نظام تشغيل المحطات</t>
        </is>
      </c>
      <c r="L218" s="15" t="inlineStr">
        <is>
          <t>شهري</t>
        </is>
      </c>
      <c r="M218" s="15" t="inlineStr">
        <is>
          <t>المدير المالي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تحصيل الامتياز</t>
        </is>
      </c>
      <c r="D219" s="69" t="inlineStr">
        <is>
          <t>يقيس نسبة تحصيل الامتياز ضمن محور «تمويل الامتياز»، ويعكس مساهمة الإدارة في ركيزة النمو.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58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أيام تحصيل رسوم الامتياز</t>
        </is>
      </c>
      <c r="D220" s="69" t="inlineStr">
        <is>
          <t>يقيس أيام تحصيل رسوم الامتياز ضمن محور «تمويل الامتياز»، ويعكس مساهمة الإدارة في ركيزة النمو.</t>
        </is>
      </c>
      <c r="E220" s="11" t="inlineStr">
        <is>
          <t>متوسط يوم خلال الفترة</t>
        </is>
      </c>
      <c r="F220" s="15" t="inlineStr">
        <is>
          <t>🎯 نتيجة</t>
        </is>
      </c>
      <c r="G220" s="11" t="inlineStr">
        <is>
          <t>النمو · الامتياز التجاري</t>
        </is>
      </c>
      <c r="H220" s="15" t="inlineStr">
        <is>
          <t>مالي</t>
        </is>
      </c>
      <c r="I220" s="58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نسبة تحصيل الإيجار</t>
        </is>
      </c>
      <c r="D221" s="69" t="inlineStr">
        <is>
          <t>يقيس نسبة تحصيل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مالي</t>
        </is>
      </c>
      <c r="I221" s="58" t="n">
        <v>0.05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48" t="n"/>
    </row>
    <row r="222" ht="30" customHeight="1">
      <c r="A222" s="15" t="n">
        <v>220</v>
      </c>
      <c r="B222" s="13" t="inlineStr">
        <is>
          <t>الإدارة المالية</t>
        </is>
      </c>
      <c r="C222" s="24" t="inlineStr">
        <is>
          <t>معدل تجديد عقود الإيجار</t>
        </is>
      </c>
      <c r="D222" s="69" t="inlineStr">
        <is>
          <t>يقيس معدل تجديد عقود الإيجار ضمن محور «العقار والإيجار»،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🎯 نتيجة</t>
        </is>
      </c>
      <c r="G222" s="11" t="inlineStr">
        <is>
          <t>الاستدامة · منظومة التأجير</t>
        </is>
      </c>
      <c r="H222" s="15" t="inlineStr">
        <is>
          <t>العمليات الداخلية</t>
        </is>
      </c>
      <c r="I222" s="58" t="n">
        <v>0.05</v>
      </c>
      <c r="J222" s="15" t="inlineStr">
        <is>
          <t>المدير المالي</t>
        </is>
      </c>
      <c r="K222" s="11" t="inlineStr">
        <is>
          <t>نظام إدارة العقود (CRM)</t>
        </is>
      </c>
      <c r="L222" s="15" t="inlineStr">
        <is>
          <t>شهري</t>
        </is>
      </c>
      <c r="M222" s="15" t="inlineStr">
        <is>
          <t>المدير المالي</t>
        </is>
      </c>
      <c r="N222" s="48" t="n"/>
    </row>
    <row r="223" ht="30" customHeight="1">
      <c r="A223" s="15" t="n">
        <v>221</v>
      </c>
      <c r="B223" s="13" t="inlineStr">
        <is>
          <t>الإدارة المالية</t>
        </is>
      </c>
      <c r="C223" s="24" t="inlineStr">
        <is>
          <t>انحراف الموازنة</t>
        </is>
      </c>
      <c r="D223" s="69" t="inlineStr">
        <is>
          <t>يقيس انحراف الموازنة ضمن محور «الموازنة والتقارير»،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58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ربعي</t>
        </is>
      </c>
      <c r="M223" s="15" t="inlineStr">
        <is>
          <t>الإدارة المالية</t>
        </is>
      </c>
      <c r="N223" s="48" t="n"/>
    </row>
    <row r="224" ht="30" customHeight="1">
      <c r="A224" s="15" t="n">
        <v>222</v>
      </c>
      <c r="B224" s="13" t="inlineStr">
        <is>
          <t>الإدارة المالية</t>
        </is>
      </c>
      <c r="C224" s="24" t="inlineStr">
        <is>
          <t>أيام الإقفال الشهري</t>
        </is>
      </c>
      <c r="D224" s="69" t="inlineStr">
        <is>
          <t>يقيس أيام الإقفال الشهري ضمن محور «الموازنة والتقارير»، ويعكس مساهمة الإدارة في ركيزة الاستدامة.</t>
        </is>
      </c>
      <c r="E224" s="11" t="inlineStr">
        <is>
          <t>متوسط يوم خلال الفترة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58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شهري</t>
        </is>
      </c>
      <c r="M224" s="15" t="inlineStr">
        <is>
          <t>الإدارة المالية</t>
        </is>
      </c>
      <c r="N224" s="48" t="n"/>
    </row>
    <row r="225" ht="30" customHeight="1">
      <c r="A225" s="15" t="n">
        <v>223</v>
      </c>
      <c r="B225" s="13" t="inlineStr">
        <is>
          <t>الإدارة المالية</t>
        </is>
      </c>
      <c r="C225" s="24" t="inlineStr">
        <is>
          <t>نسبة تسويات التدقيق</t>
        </is>
      </c>
      <c r="D225" s="69" t="inlineStr">
        <is>
          <t>يقيس نسبة تسويات التدقيق ضمن محور «الموازنة والتقارير»، ويعكس مساهمة الإدارة في ركيزة الاستدامة.</t>
        </is>
      </c>
      <c r="E225" s="11" t="inlineStr">
        <is>
          <t>(المتحقّق ÷ الإجمالي) × 100٪</t>
        </is>
      </c>
      <c r="F225" s="15" t="inlineStr">
        <is>
          <t>🔧 تشغيلي</t>
        </is>
      </c>
      <c r="G225" s="11" t="inlineStr">
        <is>
          <t>الاستدامة · جودة التشغيل</t>
        </is>
      </c>
      <c r="H225" s="15" t="inlineStr">
        <is>
          <t>العمليات الداخلية</t>
        </is>
      </c>
      <c r="I225" s="58" t="n">
        <v>0.03</v>
      </c>
      <c r="J225" s="15" t="inlineStr">
        <is>
          <t>المدير المالي</t>
        </is>
      </c>
      <c r="K225" s="11" t="inlineStr">
        <is>
          <t>نظام المحاسبة / ERP (D365)</t>
        </is>
      </c>
      <c r="L225" s="15" t="inlineStr">
        <is>
          <t>ربعي</t>
        </is>
      </c>
      <c r="M225" s="15" t="inlineStr">
        <is>
          <t>الإدارة المالية</t>
        </is>
      </c>
      <c r="N225" s="48" t="n"/>
    </row>
  </sheetData>
  <autoFilter ref="A2:N225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8" t="n">
        <v>0.12</v>
      </c>
      <c r="H4" s="52" t="n">
        <v>235</v>
      </c>
      <c r="I4" s="71" t="inlineStr">
        <is>
          <t>≥ 235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مجموع «المحطات المشغّلة — الشركة» خلال الفترة</t>
        </is>
      </c>
      <c r="Q4" s="73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8" t="n">
        <v>0.12</v>
      </c>
      <c r="H5" s="52" t="n">
        <v>357</v>
      </c>
      <c r="I5" s="71" t="inlineStr">
        <is>
          <t>357 عقد</t>
        </is>
      </c>
      <c r="J5" s="72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مجموع «العقود الجديدة — الشركة»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نسبة نمو إيرادات الشركة (سنوي)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0.12</v>
      </c>
      <c r="H6" s="46" t="inlineStr"/>
      <c r="I6" s="71" t="inlineStr">
        <is>
          <t>مستهدف تنفيذي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«نمو إيرادات الشركة» ÷ الإجمالي المستهدف لنفس البند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الابتكار</t>
        </is>
      </c>
      <c r="C7" s="24" t="inlineStr">
        <is>
          <t>نسبة إنجاز مشاريع الخارطة التنفيذية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0.08</v>
      </c>
      <c r="H7" s="58" t="n">
        <v>1</v>
      </c>
      <c r="I7" s="71" t="inlineStr">
        <is>
          <t>100%</t>
        </is>
      </c>
      <c r="J7" s="72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56" t="n">
        <v>0.906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«إنجاز مشاريع الخارطة التنفيذية» ÷ الإجمالي المستهدف لنفس البند × 100٪</t>
        </is>
      </c>
      <c r="Q7" s="73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التحول الرقمي على مستوى الشركة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8" t="n">
        <v>0.08</v>
      </c>
      <c r="H8" s="58" t="n">
        <v>0.9</v>
      </c>
      <c r="I8" s="71" t="inlineStr">
        <is>
          <t>≥ 90%</t>
        </is>
      </c>
      <c r="J8" s="72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56" t="n">
        <v>0.9389999999999999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«التحول الرقمي على مستوى الشركة» ÷ الإجمالي المستهدف لنفس البند × 100٪</t>
        </is>
      </c>
      <c r="Q8" s="73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الاستدامة</t>
        </is>
      </c>
      <c r="C9" s="24" t="inlineStr">
        <is>
          <t>مؤشر رضا العملاء العام (الشركة)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8" t="n">
        <v>0.12</v>
      </c>
      <c r="H9" s="58" t="n">
        <v>0.9</v>
      </c>
      <c r="I9" s="71" t="inlineStr">
        <is>
          <t>≥ 90%</t>
        </is>
      </c>
      <c r="J9" s="72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56" t="n">
        <v>0.922</v>
      </c>
      <c r="N9" s="10">
        <f>IF($H9="","",IF($M9="","",MIN(1,IF($H9=0,IF($M9&lt;=0,1,0),IF($E9="↓",IFERROR($H9/$M9,0),IFERROR($M9/$H9,0))))))</f>
        <v/>
      </c>
      <c r="O9" s="28">
        <f>IF($N9="","⏳ بانتظار هدف",IF($N9&gt;=0.9,"✅ محقق",IF($N9&gt;=0.75,"🟡 قريب","🔴 تحت الهدف")))</f>
        <v/>
      </c>
      <c r="P9" s="73" t="inlineStr">
        <is>
          <t>القيمة المتحقّقة من «مؤشر رضا العملاء العام» ÷ المستهدف × 100٪</t>
        </is>
      </c>
      <c r="Q9" s="73" t="inlineStr">
        <is>
          <t>استبيان دوري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الموظفين العام (eNPS)</t>
        </is>
      </c>
      <c r="D10" s="46" t="inlineStr">
        <is>
          <t>نقطة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0.12</v>
      </c>
      <c r="H10" s="59" t="n">
        <v>30</v>
      </c>
      <c r="I10" s="71" t="inlineStr">
        <is>
          <t>≥ 30</t>
        </is>
      </c>
      <c r="J10" s="72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0" t="n">
        <v>22.5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73" t="inlineStr">
        <is>
          <t>٪ الموظفين المروّجين − ٪ المنتقدين (مقياس eNPS)</t>
        </is>
      </c>
      <c r="Q10" s="73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نسبة تحقيق المستهدفات الاستراتيجية العامة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8" t="n">
        <v>0.08</v>
      </c>
      <c r="H11" s="58" t="n">
        <v>1</v>
      </c>
      <c r="I11" s="71" t="inlineStr">
        <is>
          <t>100%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>
        <v>0.85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«تحقيق المستهدفات الاستراتيجية العامة» ÷ الإجمالي المستهدف لنفس البند × 100٪</t>
        </is>
      </c>
      <c r="Q11" s="73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الحوكمة</t>
        </is>
      </c>
      <c r="C12" s="24" t="inlineStr">
        <is>
          <t>نسبة الالتزام بإطار الحوكمة المؤسسية والامتثال التنظيمي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0.08</v>
      </c>
      <c r="H12" s="58" t="n">
        <v>0.95</v>
      </c>
      <c r="I12" s="71" t="inlineStr">
        <is>
          <t>≥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6" t="n">
        <v>0.729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محقق",IF($N12&gt;=0.97,"🟡 قريب","🔴 تحت الهدف")))</f>
        <v/>
      </c>
      <c r="P12" s="7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3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0.08</v>
      </c>
      <c r="H13" s="58" t="n">
        <v>1</v>
      </c>
      <c r="I13" s="71" t="inlineStr">
        <is>
          <t>100%</t>
        </is>
      </c>
      <c r="J13" s="7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6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القيمة المتحقّقة من «الالتزام بمعايير وزارة الطاقة» ÷ المستهدف × 100٪</t>
        </is>
      </c>
      <c r="Q13" s="73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0.04</v>
      </c>
      <c r="H4" s="52" t="n">
        <v>150</v>
      </c>
      <c r="I4" s="71" t="inlineStr">
        <is>
          <t>150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«محطات الامتياز المشغّلة» تراكمياً حتى نهاية الفترة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8" t="n">
        <v>0.04</v>
      </c>
      <c r="H5" s="52" t="n">
        <v>167</v>
      </c>
      <c r="I5" s="71" t="inlineStr">
        <is>
          <t>167 عقد</t>
        </is>
      </c>
      <c r="J5" s="72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«عقود الامتياز الجديدة الموقّعة» المُسجّلة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0.04</v>
      </c>
      <c r="H6" s="52" t="n">
        <v>718838077</v>
      </c>
      <c r="I6" s="71" t="inlineStr">
        <is>
          <t>718.8M لتر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مجموع لترات «مبيعات وقود محطات الامتياز» خلال الفترة</t>
        </is>
      </c>
      <c r="Q6" s="73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0.04</v>
      </c>
      <c r="H7" s="58" t="n">
        <v>0.9</v>
      </c>
      <c r="I7" s="71" t="inlineStr">
        <is>
          <t>90%+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6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«المحطات التي حققت مستهدف المبيعات» ÷ الإجمالي المستهدف لنفس البند × 100٪</t>
        </is>
      </c>
      <c r="Q7" s="73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58" t="n">
        <v>0.04</v>
      </c>
      <c r="H8" s="46" t="inlineStr"/>
      <c r="I8" s="71" t="inlineStr">
        <is>
          <t>+10% نمو شهري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مجموع قيم «مبيعات المحطة الواحدة شهرياً» ÷ عدد المفردات المقيسة</t>
        </is>
      </c>
      <c r="Q8" s="73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8" t="n">
        <v>0.03</v>
      </c>
      <c r="H9" s="58" t="n">
        <v>0.7</v>
      </c>
      <c r="I9" s="71" t="inlineStr">
        <is>
          <t>70%</t>
        </is>
      </c>
      <c r="J9" s="7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6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«تأجير وحدات الامتياز» ÷ الإجمالي المستهدف لنفس البند × 100٪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0.04</v>
      </c>
      <c r="H10" s="46" t="inlineStr"/>
      <c r="I10" s="71" t="inlineStr">
        <is>
          <t>تصاعدي مستمر</t>
        </is>
      </c>
      <c r="J10" s="72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63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مجموع قيمة «إيرادات إدارة الامتياز» بالريال خلال الفترة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58" t="n">
        <v>0.03</v>
      </c>
      <c r="H11" s="59" t="n">
        <v>1.8</v>
      </c>
      <c r="I11" s="71" t="inlineStr">
        <is>
          <t>+1.8 هللة/لتر</t>
        </is>
      </c>
      <c r="J11" s="7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0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لترات «رفع هامش الربحية للامتياز» خلال الفترة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8" t="n">
        <v>0.04</v>
      </c>
      <c r="H12" s="58" t="n">
        <v>0.95</v>
      </c>
      <c r="I12" s="71" t="inlineStr">
        <is>
          <t>95%+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6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«التحصيل المالي من شركاء الامتياز» ÷ الإجمالي المستهدف لنفس البند × 100٪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58" t="n">
        <v>0.04</v>
      </c>
      <c r="H13" s="59" t="n">
        <v>30</v>
      </c>
      <c r="I13" s="71" t="inlineStr">
        <is>
          <t>≤ 30 يوم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مجموع أيام «أيام تحصيل شركاء الامتياز» ÷ عدد الحالات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58" t="n">
        <v>0.03</v>
      </c>
      <c r="H14" s="46" t="inlineStr"/>
      <c r="I14" s="71" t="inlineStr">
        <is>
          <t>تراجع مستمر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مجموع قيمة «المستحقات المتأخرة» بالريال خلال الفترة</t>
        </is>
      </c>
      <c r="Q14" s="73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8" t="n">
        <v>0.03</v>
      </c>
      <c r="H15" s="58" t="n">
        <v>0.9</v>
      </c>
      <c r="I15" s="71" t="inlineStr">
        <is>
          <t>90%+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6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«الشركاء الملتزمين بمواعيد السداد» ÷ الإجمالي المستهدف لنفس البند × 100٪</t>
        </is>
      </c>
      <c r="Q15" s="73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8" t="n">
        <v>0.03</v>
      </c>
      <c r="H16" s="59" t="n">
        <v>5</v>
      </c>
      <c r="I16" s="71" t="inlineStr">
        <is>
          <t>≤ 5 أيام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0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عدد حالات «دوران رأس المال» خلال الفترة ÷ إجمالي الحالات القابلة للقياس × 100٪</t>
        </is>
      </c>
      <c r="Q16" s="73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8" t="n">
        <v>0.04</v>
      </c>
      <c r="H17" s="58" t="n">
        <v>0.99</v>
      </c>
      <c r="I17" s="71" t="inlineStr">
        <is>
          <t>99%+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6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73" t="inlineStr">
        <is>
          <t>قيمة/عدد المتحقّق من «جاهزية محطات الامتياز» ÷ الإجمالي المستهدف لنفس البند × 100٪</t>
        </is>
      </c>
      <c r="Q17" s="73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58" t="n">
        <v>0.04</v>
      </c>
      <c r="H18" s="52" t="n">
        <v>0</v>
      </c>
      <c r="I18" s="71" t="inlineStr">
        <is>
          <t>0 حالة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إجمالي عدد «حالات انقطاع الوقود الموثّقة» المُسجّلة خلال الفترة</t>
        </is>
      </c>
      <c r="Q18" s="7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8" t="n">
        <v>0.03</v>
      </c>
      <c r="H19" s="58" t="n">
        <v>0.95</v>
      </c>
      <c r="I19" s="71" t="inlineStr">
        <is>
          <t>95%+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6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قيمة/عدد المتحقّق من «إغلاق ملاحظات الجودة الميدانية» ÷ الإجمالي المستهدف لنفس البند × 100٪</t>
        </is>
      </c>
      <c r="Q19" s="73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58" t="n">
        <v>0.04</v>
      </c>
      <c r="H20" s="59" t="n">
        <v>85</v>
      </c>
      <c r="I20" s="71" t="inlineStr">
        <is>
          <t>85+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73" t="inlineStr">
        <is>
          <t>مجموع قيم «درجة تقييم جودة المحطة» ÷ عدد المفردات المقيسة</t>
        </is>
      </c>
      <c r="Q20" s="73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58" t="n">
        <v>0.03</v>
      </c>
      <c r="H21" s="58" t="n">
        <v>1</v>
      </c>
      <c r="I21" s="71" t="inlineStr">
        <is>
          <t>100%</t>
        </is>
      </c>
      <c r="J21" s="7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6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«تنفيذ الزيارات الميدانية المجدولة» ÷ الإجمالي المستهدف لنفس البند × 100٪</t>
        </is>
      </c>
      <c r="Q21" s="73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8" t="n">
        <v>0.04</v>
      </c>
      <c r="H22" s="58" t="n">
        <v>1</v>
      </c>
      <c r="I22" s="71" t="inlineStr">
        <is>
          <t>100%</t>
        </is>
      </c>
      <c r="J22" s="7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6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73" t="inlineStr">
        <is>
          <t>قيمة/عدد المتحقّق من «المحطات المستوفية لمعايير السلامة» ÷ الإجمالي المستهدف لنفس البند × 100٪</t>
        </is>
      </c>
      <c r="Q22" s="73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58" t="n">
        <v>0.02</v>
      </c>
      <c r="H23" s="59" t="n">
        <v>24</v>
      </c>
      <c r="I23" s="71" t="inlineStr">
        <is>
          <t>≤ 24 ساعة</t>
        </is>
      </c>
      <c r="J23" s="7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0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مجموع ساعات «وقت معالجة البلاغات التشغيلية» ÷ عدد الحالات المغلقة</t>
        </is>
      </c>
      <c r="Q23" s="73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8" t="n">
        <v>0.04</v>
      </c>
      <c r="H24" s="58" t="n">
        <v>0.9</v>
      </c>
      <c r="I24" s="71" t="inlineStr">
        <is>
          <t>90%</t>
        </is>
      </c>
      <c r="J24" s="7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6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قيمة/عدد المتحقّق من «أتمتة محطات الامتياز» ÷ الإجمالي المستهدف لنفس البند × 100٪</t>
        </is>
      </c>
      <c r="Q24" s="73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58" t="n">
        <v>0.01</v>
      </c>
      <c r="H25" s="58" t="n">
        <v>0.3</v>
      </c>
      <c r="I25" s="71" t="inlineStr">
        <is>
          <t>30%</t>
        </is>
      </c>
      <c r="J25" s="7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6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73" t="inlineStr">
        <is>
          <t>قيمة/عدد المتحقّق من «تطبيق المعيار الشامل داخل المحطات» ÷ الإجمالي المستهدف لنفس البند × 100٪</t>
        </is>
      </c>
      <c r="Q25" s="7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58" t="n">
        <v>0.04</v>
      </c>
      <c r="H26" s="58" t="n">
        <v>0.55</v>
      </c>
      <c r="I26" s="71" t="inlineStr">
        <is>
          <t>55%</t>
        </is>
      </c>
      <c r="J26" s="7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6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قيمة/عدد المتحقّق من «التزام المحطات بالهوية المؤسسية» ÷ الإجمالي المستهدف لنفس البند × 100٪</t>
        </is>
      </c>
      <c r="Q26" s="73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58" t="n">
        <v>0.04</v>
      </c>
      <c r="H27" s="59" t="n">
        <v>4.7</v>
      </c>
      <c r="I27" s="71" t="inlineStr">
        <is>
          <t>≥ 4.7 نجمة</t>
        </is>
      </c>
      <c r="J27" s="72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مجموع قيم «تقييم المحطات على خرائط قوقل» ÷ عدد المفردات المقيسة</t>
        </is>
      </c>
      <c r="Q27" s="73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58" t="n">
        <v>0.04</v>
      </c>
      <c r="H28" s="58" t="n">
        <v>0.9</v>
      </c>
      <c r="I28" s="71" t="inlineStr">
        <is>
          <t>90%+</t>
        </is>
      </c>
      <c r="J28" s="7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6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73" t="inlineStr">
        <is>
          <t>عدد حالات «رضا شركاء الامتياز» خلال الفترة ÷ إجمالي الحالات القابلة للقياس × 100٪</t>
        </is>
      </c>
      <c r="Q28" s="73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58" t="n">
        <v>0.02</v>
      </c>
      <c r="H29" s="58" t="n">
        <v>0.95</v>
      </c>
      <c r="I29" s="71" t="inlineStr">
        <is>
          <t>95%+</t>
        </is>
      </c>
      <c r="J29" s="7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6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73" t="inlineStr">
        <is>
          <t>قيمة/عدد المتحقّق من «حل الشكاوى خلال المدة المحددة» ÷ الإجمالي المستهدف لنفس البند × 100٪</t>
        </is>
      </c>
      <c r="Q29" s="73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58" t="n">
        <v>0.02</v>
      </c>
      <c r="H30" s="46" t="inlineStr"/>
      <c r="I30" s="71" t="inlineStr">
        <is>
          <t>-30%</t>
        </is>
      </c>
      <c r="J30" s="7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6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73" t="inlineStr">
        <is>
          <t>قيمة/عدد المتحقّق من «انخفاض الشكاوى التشغيلية والإدارية» ÷ الإجمالي المستهدف لنفس البند × 100٪</t>
        </is>
      </c>
      <c r="Q30" s="73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58" t="n">
        <v>0.02</v>
      </c>
      <c r="H31" s="58" t="n">
        <v>0.9</v>
      </c>
      <c r="I31" s="71" t="inlineStr">
        <is>
          <t>90%</t>
        </is>
      </c>
      <c r="J31" s="7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6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73" t="inlineStr">
        <is>
          <t>قيمة/عدد المتحقّق من «استدامة أصحاب الامتياز» ÷ الإجمالي المستهدف لنفس البند × 100٪</t>
        </is>
      </c>
      <c r="Q31" s="73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58" t="n">
        <v>0.02</v>
      </c>
      <c r="H32" s="58" t="n">
        <v>1</v>
      </c>
      <c r="I32" s="71" t="inlineStr">
        <is>
          <t>100% نمو</t>
        </is>
      </c>
      <c r="J32" s="72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6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73" t="inlineStr">
        <is>
          <t>قيمة/عدد المتحقّق من «زيادة عدد أصحاب الامتياز» ÷ الإجمالي المستهدف لنفس البند × 100٪</t>
        </is>
      </c>
      <c r="Q32" s="73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58" t="n">
        <v>0.04</v>
      </c>
      <c r="H33" s="59" t="n">
        <v>1</v>
      </c>
      <c r="I33" s="71" t="inlineStr">
        <is>
          <t>≤ أسبوع</t>
        </is>
      </c>
      <c r="J33" s="72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0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73" t="inlineStr">
        <is>
          <t>مجموع قيم «مدة إغلاق عقد الامتياز» ÷ عدد المفردات المقيسة</t>
        </is>
      </c>
      <c r="Q33" s="73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0.08</v>
      </c>
      <c r="H4" s="52" t="n">
        <v>85</v>
      </c>
      <c r="I4" s="71" t="inlineStr">
        <is>
          <t>85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«المحطات المشغّلة» تراكمياً حتى نهاية الفترة</t>
        </is>
      </c>
      <c r="Q4" s="73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8" t="n">
        <v>0.08</v>
      </c>
      <c r="H5" s="46" t="inlineStr"/>
      <c r="I5" s="71" t="inlineStr">
        <is>
          <t>يُحدد لاحقاً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6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القيمة المتحقّقة من «نمو مبيعات بنزين 91 مقارنة بالعام السابق» ÷ المستهدف × 100٪</t>
        </is>
      </c>
      <c r="Q5" s="73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0.08</v>
      </c>
      <c r="H6" s="46" t="inlineStr"/>
      <c r="I6" s="71" t="inlineStr">
        <is>
          <t>يُحدد لاحقاً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القيمة المتحقّقة من «نمو مبيعات بنزين 95 مقارنة بالعام السابق» ÷ المستهدف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0.08</v>
      </c>
      <c r="H7" s="46" t="inlineStr"/>
      <c r="I7" s="71" t="inlineStr">
        <is>
          <t>يُحدد لاحقاً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6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القيمة المتحقّقة من «نمو مبيعات بنزين 98 مقارنة بالعام السابق» ÷ المستهدف × 100٪</t>
        </is>
      </c>
      <c r="Q7" s="73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8" t="n">
        <v>0.08</v>
      </c>
      <c r="H8" s="46" t="inlineStr"/>
      <c r="I8" s="71" t="inlineStr">
        <is>
          <t>يُحدد لاحقاً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6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القيمة المتحقّقة من «نمو مبيعات الديزل مقارنة بالعام السابق» ÷ المستهدف × 100٪</t>
        </is>
      </c>
      <c r="Q8" s="73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8" t="n">
        <v>0.07000000000000001</v>
      </c>
      <c r="H9" s="58" t="n">
        <v>0.99</v>
      </c>
      <c r="I9" s="71" t="inlineStr">
        <is>
          <t>99%+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6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73" t="inlineStr">
        <is>
          <t>قيمة/عدد المتحقّق من «جاهزية المحطة الشاملة» ÷ الإجمالي المستهدف لنفس البند × 100٪</t>
        </is>
      </c>
      <c r="Q9" s="73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0.05</v>
      </c>
      <c r="H10" s="58" t="n">
        <v>0.97</v>
      </c>
      <c r="I10" s="71" t="inlineStr">
        <is>
          <t>≥ 97%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6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«المضخات العاملة» ÷ الإجمالي المستهدف لنفس البند × 100٪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58" t="n">
        <v>0.05</v>
      </c>
      <c r="H11" s="46" t="inlineStr"/>
      <c r="I11" s="71" t="inlineStr">
        <is>
          <t>خفض ≥5% سنوياً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لترات «تكلفة التشغيل لكل لتر مباع» خلال الفترة</t>
        </is>
      </c>
      <c r="Q11" s="73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0.05</v>
      </c>
      <c r="H12" s="58" t="n">
        <v>0.95</v>
      </c>
      <c r="I12" s="71" t="inlineStr">
        <is>
          <t>≥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6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«الصيانة الوقائية المنفذة في موعدها» ÷ الإجمالي المستهدف لنفس البند × 100٪</t>
        </is>
      </c>
      <c r="Q12" s="73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0.05</v>
      </c>
      <c r="H13" s="46" t="inlineStr"/>
      <c r="I13" s="71" t="inlineStr">
        <is>
          <t>−30%</t>
        </is>
      </c>
      <c r="J13" s="7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«انخفاض الشكاوى مقارنة بالشهر السابق» ÷ الإجمالي المستهدف لنفس البند × 100٪</t>
        </is>
      </c>
      <c r="Q13" s="73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58" t="n">
        <v>0.07000000000000001</v>
      </c>
      <c r="H14" s="59" t="n">
        <v>4.5</v>
      </c>
      <c r="I14" s="71" t="inlineStr">
        <is>
          <t>≥ 4.5</t>
        </is>
      </c>
      <c r="J14" s="7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0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متوسط تقييم «تقييم Google Maps للمحطات» على مقياسه المعتمد</t>
        </is>
      </c>
      <c r="Q14" s="73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58" t="n">
        <v>0.05</v>
      </c>
      <c r="H15" s="59" t="n">
        <v>3</v>
      </c>
      <c r="I15" s="71" t="inlineStr">
        <is>
          <t>≤ 3 دقائق</t>
        </is>
      </c>
      <c r="J15" s="7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0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قياس «سرعة تعبئة الوقود» مقابل مستهدفه المعتمد خلال الفترة</t>
        </is>
      </c>
      <c r="Q15" s="73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0.05</v>
      </c>
      <c r="H16" s="58" t="n">
        <v>0.99</v>
      </c>
      <c r="I16" s="71" t="inlineStr">
        <is>
          <t>≥ 99%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73" t="inlineStr">
        <is>
          <t>القيمة المتحقّقة من «دقة التعبئة بدون أخطاء» ÷ المستهدف × 100٪</t>
        </is>
      </c>
      <c r="Q16" s="73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58" t="n">
        <v>0.02</v>
      </c>
      <c r="H17" s="58" t="n">
        <v>0.8</v>
      </c>
      <c r="I17" s="71" t="inlineStr">
        <is>
          <t>≥ 80%</t>
        </is>
      </c>
      <c r="J17" s="7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6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القيمة المتحقّقة من «تطبيق المعيار الشامل في المحطات» ÷ المستهدف × 100٪</t>
        </is>
      </c>
      <c r="Q17" s="73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58" t="n">
        <v>0.07000000000000001</v>
      </c>
      <c r="H18" s="58" t="n">
        <v>1</v>
      </c>
      <c r="I18" s="71" t="inlineStr">
        <is>
          <t>100%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6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73" t="inlineStr">
        <is>
          <t>القيمة المتحقّقة من «الالتزام بمعايير السلامة داخل المحطة» ÷ المستهدف × 100٪</t>
        </is>
      </c>
      <c r="Q18" s="7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8" t="n">
        <v>0.07000000000000001</v>
      </c>
      <c r="H19" s="58" t="n">
        <v>1</v>
      </c>
      <c r="I19" s="71" t="inlineStr">
        <is>
          <t>100%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6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القيمة المتحقّقة من «التشجير داخل المحطة» ÷ المستهدف × 100٪</t>
        </is>
      </c>
      <c r="Q19" s="73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0.05</v>
      </c>
      <c r="H4" s="52" t="n">
        <v>190</v>
      </c>
      <c r="I4" s="71" t="inlineStr">
        <is>
          <t>190 عقد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مجموع «عقود الاستثمار الجديدة» خلال الفترة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8" t="n">
        <v>0.05</v>
      </c>
      <c r="H5" s="52" t="n">
        <v>90</v>
      </c>
      <c r="I5" s="71" t="inlineStr">
        <is>
          <t>90 عقد</t>
        </is>
      </c>
      <c r="J5" s="7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«عقود الاستثمار العادي الجديدة» المُسجّل خلال الفترة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0.05</v>
      </c>
      <c r="H6" s="52" t="n">
        <v>100</v>
      </c>
      <c r="I6" s="71" t="inlineStr">
        <is>
          <t>100 عقد</t>
        </is>
      </c>
      <c r="J6" s="7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إجمالي عدد «عقود الاستحواذ الجديدة» المُسجّل خلال الفترة</t>
        </is>
      </c>
      <c r="Q6" s="73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0.05</v>
      </c>
      <c r="H7" s="52" t="n">
        <v>120</v>
      </c>
      <c r="I7" s="71" t="inlineStr">
        <is>
          <t>120 محطة</t>
        </is>
      </c>
      <c r="J7" s="7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إجمالي عدد «المحطات المستحوَذ عليها المشغّلة» المُسجّل خلال الفترة</t>
        </is>
      </c>
      <c r="Q7" s="73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58" t="n">
        <v>0.05</v>
      </c>
      <c r="H8" s="52" t="n">
        <v>11</v>
      </c>
      <c r="I8" s="71" t="inlineStr">
        <is>
          <t>11 عقد</t>
        </is>
      </c>
      <c r="J8" s="7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«عقود تأجير الأرض الجديدة» المُسجّل خلال الفترة</t>
        </is>
      </c>
      <c r="Q8" s="73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58" t="n">
        <v>0.05</v>
      </c>
      <c r="H9" s="52" t="n">
        <v>12</v>
      </c>
      <c r="I9" s="71" t="inlineStr">
        <is>
          <t>12 عقد</t>
        </is>
      </c>
      <c r="J9" s="7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إجمالي عدد «عقود إيجار المحطة الجديدة» المُسجّل خلال الفترة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0.05</v>
      </c>
      <c r="H10" s="52" t="n">
        <v>68</v>
      </c>
      <c r="I10" s="71" t="inlineStr">
        <is>
          <t>68 عقد</t>
        </is>
      </c>
      <c r="J10" s="72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إجمالي عدد «عقود تشغيل المحطة الجديدة» المُسجّل خلال الفترة</t>
        </is>
      </c>
      <c r="Q10" s="73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8" t="n">
        <v>0.05</v>
      </c>
      <c r="H11" s="58" t="n">
        <v>0.8</v>
      </c>
      <c r="I11" s="71" t="inlineStr">
        <is>
          <t>80%+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6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«المواقع المعتمدة ذات العائد المجدي» ÷ الإجمالي المستهدف لنفس البند × 100٪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58" t="n">
        <v>0.03</v>
      </c>
      <c r="H12" s="59" t="n">
        <v>5</v>
      </c>
      <c r="I12" s="71" t="inlineStr">
        <is>
          <t>≤ 5 سنوات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مجموع قيم «فترة استرداد رأس المال» ÷ عدد المفردات المقيسة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58" t="n">
        <v>0.05</v>
      </c>
      <c r="H13" s="46" t="inlineStr"/>
      <c r="I13" s="71" t="inlineStr">
        <is>
          <t>يُحدد لاحقاً</t>
        </is>
      </c>
      <c r="J13" s="72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3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مجموع قيم «قيمة عقد الإيجار السنوي» ÷ عدد المفردات المقيسة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58" t="n">
        <v>0.05</v>
      </c>
      <c r="H14" s="58" t="n">
        <v>1</v>
      </c>
      <c r="I14" s="71" t="inlineStr">
        <is>
          <t>100%</t>
        </is>
      </c>
      <c r="J14" s="7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6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«العقود التي تغطي المناطق الـ13» ÷ الإجمالي المستهدف لنفس البند × 100٪</t>
        </is>
      </c>
      <c r="Q14" s="73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8" t="n">
        <v>0.05</v>
      </c>
      <c r="H15" s="58" t="n">
        <v>0.6</v>
      </c>
      <c r="I15" s="71" t="inlineStr">
        <is>
          <t>&gt; 60%</t>
        </is>
      </c>
      <c r="J15" s="7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6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«العقود خارج المدن الرئيسية» ÷ الإجمالي المستهدف لنفس البند × 100٪</t>
        </is>
      </c>
      <c r="Q15" s="73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58" t="n">
        <v>0.05</v>
      </c>
      <c r="H16" s="58" t="n">
        <v>0.4</v>
      </c>
      <c r="I16" s="71" t="inlineStr">
        <is>
          <t>&lt; 40%</t>
        </is>
      </c>
      <c r="J16" s="7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6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«العقود في الـ12 مدينة الرئيسية» ÷ الإجمالي المستهدف لنفس البند × 100٪</t>
        </is>
      </c>
      <c r="Q16" s="73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8" t="n">
        <v>0.05</v>
      </c>
      <c r="H17" s="58" t="n">
        <v>0.25</v>
      </c>
      <c r="I17" s="71" t="inlineStr">
        <is>
          <t>&gt; 25%</t>
        </is>
      </c>
      <c r="J17" s="72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6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«العقود على الطرق الإقليمية» ÷ الإجمالي المستهدف لنفس البند × 100٪</t>
        </is>
      </c>
      <c r="Q17" s="73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58" t="n">
        <v>0.05</v>
      </c>
      <c r="H18" s="59" t="n">
        <v>1</v>
      </c>
      <c r="I18" s="71" t="inlineStr">
        <is>
          <t>≤ أسبوع</t>
        </is>
      </c>
      <c r="J18" s="72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0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مجموع قيم «مدة إغلاق عقد الاستثمار» ÷ عدد المفردات المقيسة</t>
        </is>
      </c>
      <c r="Q18" s="73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8" t="n">
        <v>0.05</v>
      </c>
      <c r="H19" s="58" t="n">
        <v>0.3</v>
      </c>
      <c r="I19" s="71" t="inlineStr">
        <is>
          <t>≥ 30%</t>
        </is>
      </c>
      <c r="J19" s="72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6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73" t="inlineStr">
        <is>
          <t>قيمة/عدد المتحقّق من «العقود المتحوّلة لمحطات مشغّلة» ÷ الإجمالي المستهدف لنفس البند × 100٪</t>
        </is>
      </c>
      <c r="Q19" s="73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8" t="n">
        <v>0.03</v>
      </c>
      <c r="H20" s="58" t="n">
        <v>0.3</v>
      </c>
      <c r="I20" s="71" t="inlineStr">
        <is>
          <t>≥ 30%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6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73" t="inlineStr">
        <is>
          <t>قيمة/عدد المتحقّق من «تخفيض إيجار المواقع عالية التكاليف» ÷ الإجمالي المستهدف لنفس البند × 100٪</t>
        </is>
      </c>
      <c r="Q20" s="73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58" t="n">
        <v>0.01</v>
      </c>
      <c r="H21" s="58" t="n">
        <v>1</v>
      </c>
      <c r="I21" s="71" t="inlineStr">
        <is>
          <t>100%</t>
        </is>
      </c>
      <c r="J21" s="7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6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«اكتمال المستندات النظامية قبل التوقيع» ÷ الإجمالي المستهدف لنفس البند × 100٪</t>
        </is>
      </c>
      <c r="Q21" s="73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8" t="n">
        <v>0.05</v>
      </c>
      <c r="H22" s="58" t="n">
        <v>0.95</v>
      </c>
      <c r="I22" s="71" t="inlineStr">
        <is>
          <t>95%+</t>
        </is>
      </c>
      <c r="J22" s="7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6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73" t="inlineStr">
        <is>
          <t>قيمة/عدد المتحقّق من «العقود المؤرشفة إلكترونياً خلال 48 ساعة» ÷ الإجمالي المستهدف لنفس البند × 100٪</t>
        </is>
      </c>
      <c r="Q22" s="73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58" t="n">
        <v>0.03</v>
      </c>
      <c r="H23" s="58" t="n">
        <v>0.98</v>
      </c>
      <c r="I23" s="71" t="inlineStr">
        <is>
          <t>98%</t>
        </is>
      </c>
      <c r="J23" s="72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6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القيمة المتحقّقة من «جودة التفاوض مع المستثمرين» ÷ المستهدف × 100٪</t>
        </is>
      </c>
      <c r="Q23" s="73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58" t="n">
        <v>0.03</v>
      </c>
      <c r="H24" s="59" t="n">
        <v>1</v>
      </c>
      <c r="I24" s="71" t="inlineStr">
        <is>
          <t>≤ أسبوع</t>
        </is>
      </c>
      <c r="J24" s="72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0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قياس «سرعة إنجاز إجراءات التعاقد» مقابل مستهدفه المعتمد خلال الفترة</t>
        </is>
      </c>
      <c r="Q24" s="73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58" t="n">
        <v>0.05</v>
      </c>
      <c r="H25" s="58" t="n">
        <v>0.8</v>
      </c>
      <c r="I25" s="71" t="inlineStr">
        <is>
          <t>80%+</t>
        </is>
      </c>
      <c r="J25" s="72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6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73" t="inlineStr">
        <is>
          <t>القيمة المتحقّقة من «مدى رضا المستثمرين وشركاء الاستثمار» ÷ المستهدف × 100٪</t>
        </is>
      </c>
      <c r="Q25" s="73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58" t="n">
        <v>0.01</v>
      </c>
      <c r="H26" s="58" t="n">
        <v>1</v>
      </c>
      <c r="I26" s="71" t="inlineStr">
        <is>
          <t>100%</t>
        </is>
      </c>
      <c r="J26" s="7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6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قيمة/عدد المتحقّق من «اكتمال أرشفة ملفات العملاء» ÷ الإجمالي المستهدف لنفس البند × 100٪</t>
        </is>
      </c>
      <c r="Q26" s="73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58" t="n">
        <v>0.01</v>
      </c>
      <c r="H27" s="58" t="n">
        <v>1</v>
      </c>
      <c r="I27" s="71" t="inlineStr">
        <is>
          <t>100%</t>
        </is>
      </c>
      <c r="J27" s="7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6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قيمة/عدد المتحقّق من «إنجاز التقارير الدورية في موعدها» ÷ الإجمالي المستهدف لنفس البند × 100٪</t>
        </is>
      </c>
      <c r="Q27" s="73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0.08</v>
      </c>
      <c r="H4" s="58" t="n">
        <v>0.08</v>
      </c>
      <c r="I4" s="71" t="inlineStr">
        <is>
          <t>&gt; 8% سنوياً</t>
        </is>
      </c>
      <c r="J4" s="72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6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القيمة المتحقّقة من «نمو الإيرادات الإيجارية» ÷ المستهدف × 100٪</t>
        </is>
      </c>
      <c r="Q4" s="73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8" t="n">
        <v>0.08</v>
      </c>
      <c r="H5" s="58" t="n">
        <v>1</v>
      </c>
      <c r="I5" s="71" t="inlineStr">
        <is>
          <t>100%</t>
        </is>
      </c>
      <c r="J5" s="7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قيمة/عدد المتحقّق من «الالتزام بالعقود» ÷ الإجمالي المستهدف لنفس البند × 100٪</t>
        </is>
      </c>
      <c r="Q5" s="73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0.08</v>
      </c>
      <c r="H6" s="58" t="n">
        <v>0.95</v>
      </c>
      <c r="I6" s="71" t="inlineStr">
        <is>
          <t>&gt; 95%</t>
        </is>
      </c>
      <c r="J6" s="72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6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«تحصيل الإيجارات» ÷ الإجمالي المستهدف لنفس البند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0.08</v>
      </c>
      <c r="H7" s="58" t="n">
        <v>0.6</v>
      </c>
      <c r="I7" s="71" t="inlineStr">
        <is>
          <t>≥ 60%</t>
        </is>
      </c>
      <c r="J7" s="72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6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«الإشغال» ÷ الإجمالي المستهدف لنفس البند × 100٪</t>
        </is>
      </c>
      <c r="Q7" s="73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58" t="n">
        <v>0.05</v>
      </c>
      <c r="H8" s="52" t="n">
        <v>68</v>
      </c>
      <c r="I8" s="71" t="inlineStr">
        <is>
          <t>68 شهرياً</t>
        </is>
      </c>
      <c r="J8" s="72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«الوحدات المؤجَّرة شهرياً» المُسجّل خلال الفترة</t>
        </is>
      </c>
      <c r="Q8" s="73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58" t="n">
        <v>0.05</v>
      </c>
      <c r="H9" s="52" t="n">
        <v>680</v>
      </c>
      <c r="I9" s="71" t="inlineStr">
        <is>
          <t>544–680</t>
        </is>
      </c>
      <c r="J9" s="7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إجمالي عدد «العملاء المحتملون» المُسجّل خلال الفترة</t>
        </is>
      </c>
      <c r="Q9" s="73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0.08</v>
      </c>
      <c r="H10" s="58" t="n">
        <v>0.2</v>
      </c>
      <c r="I10" s="71" t="inlineStr">
        <is>
          <t>15–25%</t>
        </is>
      </c>
      <c r="J10" s="7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6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عدد حالات «التحويل» خلال الفترة ÷ إجمالي الحالات القابلة للقياس × 100٪</t>
        </is>
      </c>
      <c r="Q10" s="73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58" t="n">
        <v>0.05</v>
      </c>
      <c r="H11" s="52" t="n">
        <v>246</v>
      </c>
      <c r="I11" s="71" t="inlineStr">
        <is>
          <t>246 علامة</t>
        </is>
      </c>
      <c r="J11" s="7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إجمالي عدد «زيادة عدد العلامات التجارية» المُسجّل خلال الفترة</t>
        </is>
      </c>
      <c r="Q11" s="73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0.05</v>
      </c>
      <c r="H12" s="58" t="n">
        <v>0.8</v>
      </c>
      <c r="I12" s="71" t="inlineStr">
        <is>
          <t>≥ 80%</t>
        </is>
      </c>
      <c r="J12" s="72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6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«تأجير ساحة درب» ÷ الإجمالي المستهدف لنفس البند × 100٪</t>
        </is>
      </c>
      <c r="Q12" s="73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58" t="n">
        <v>0.05</v>
      </c>
      <c r="H13" s="52" t="n">
        <v>6</v>
      </c>
      <c r="I13" s="71" t="inlineStr">
        <is>
          <t>6 علامات</t>
        </is>
      </c>
      <c r="J13" s="72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إجمالي عدد «علامات تجارية جديدة» المُسجّل خلال الفترة</t>
        </is>
      </c>
      <c r="Q13" s="73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58" t="n">
        <v>0.05</v>
      </c>
      <c r="H14" s="52" t="n">
        <v>5</v>
      </c>
      <c r="I14" s="71" t="inlineStr">
        <is>
          <t>5 شراكات</t>
        </is>
      </c>
      <c r="J14" s="72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«الشراكات الاستراتيجية» المُسجّل خلال الفترة</t>
        </is>
      </c>
      <c r="Q14" s="73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8" t="n">
        <v>0.08</v>
      </c>
      <c r="H15" s="58" t="n">
        <v>1</v>
      </c>
      <c r="I15" s="71" t="inlineStr">
        <is>
          <t>100%</t>
        </is>
      </c>
      <c r="J15" s="72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6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«تجديد العقود» ÷ الإجمالي المستهدف لنفس البند × 100٪</t>
        </is>
      </c>
      <c r="Q15" s="73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8" t="n">
        <v>0.05</v>
      </c>
      <c r="H16" s="59" t="n">
        <v>7</v>
      </c>
      <c r="I16" s="71" t="inlineStr">
        <is>
          <t>≤ 7 أيام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مجموع أيام «زمن تسليم الوحدة» ÷ عدد الحالات</t>
        </is>
      </c>
      <c r="Q16" s="73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8" t="n">
        <v>0.05</v>
      </c>
      <c r="H17" s="58" t="n">
        <v>0.9</v>
      </c>
      <c r="I17" s="71" t="inlineStr">
        <is>
          <t>&gt; 90%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6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«إغلاق الطلبات خلال 3 أسابيع» ÷ الإجمالي المستهدف لنفس البند × 100٪</t>
        </is>
      </c>
      <c r="Q17" s="73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58" t="n">
        <v>0.05</v>
      </c>
      <c r="H18" s="58" t="n">
        <v>0.8</v>
      </c>
      <c r="I18" s="71" t="inlineStr">
        <is>
          <t>≥ 80%</t>
        </is>
      </c>
      <c r="J18" s="7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6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القيمة المتحقّقة من «استدامة المستأجرين» ÷ المستهدف × 100٪</t>
        </is>
      </c>
      <c r="Q18" s="7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8" t="n">
        <v>0.07000000000000001</v>
      </c>
      <c r="H19" s="58" t="n">
        <v>0.9</v>
      </c>
      <c r="I19" s="71" t="inlineStr">
        <is>
          <t>≥ 90%</t>
        </is>
      </c>
      <c r="J19" s="7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6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73" t="inlineStr">
        <is>
          <t>عدد حالات «رضا المستأجرين» خلال الفترة ÷ إجمالي الحالات القابلة للقياس × 100٪</t>
        </is>
      </c>
      <c r="Q19" s="7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0.08</v>
      </c>
      <c r="H4" s="52" t="n">
        <v>20</v>
      </c>
      <c r="I4" s="71" t="inlineStr">
        <is>
          <t>≥ 20 محطة</t>
        </is>
      </c>
      <c r="J4" s="7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إجمالي عدد «محطات الشركة المُسلَّمة» المُسجّلة خلال الفترة</t>
        </is>
      </c>
      <c r="Q4" s="73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8" t="n">
        <v>0.08</v>
      </c>
      <c r="H5" s="58" t="n">
        <v>0.7</v>
      </c>
      <c r="I5" s="71" t="inlineStr">
        <is>
          <t>≥ 70%</t>
        </is>
      </c>
      <c r="J5" s="7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قيمة/عدد المتحقّق من «إنجاز محفظة مشاريع التوسع» ÷ الإجمالي المستهدف لنفس البند × 100٪</t>
        </is>
      </c>
      <c r="Q5" s="73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0.08</v>
      </c>
      <c r="H6" s="58" t="n">
        <v>0.8</v>
      </c>
      <c r="I6" s="71" t="inlineStr">
        <is>
          <t>≥ 80%</t>
        </is>
      </c>
      <c r="J6" s="7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6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«تسليم المحطات في الموعد المخطط» ÷ الإجمالي المستهدف لنفس البند × 100٪</t>
        </is>
      </c>
      <c r="Q6" s="73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0.06</v>
      </c>
      <c r="H7" s="58" t="n">
        <v>0.85</v>
      </c>
      <c r="I7" s="71" t="inlineStr">
        <is>
          <t>≥ 85%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«المشاريع المنفّذة ضمن الميزانية» ÷ الإجمالي المستهدف لنفس البند × 100٪</t>
        </is>
      </c>
      <c r="Q7" s="73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58" t="n">
        <v>0.08</v>
      </c>
      <c r="H8" s="52" t="n">
        <v>40</v>
      </c>
      <c r="I8" s="71" t="inlineStr">
        <is>
          <t>≥ 40 محطة</t>
        </is>
      </c>
      <c r="J8" s="72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«محطات الامتياز المُسلَّمة بالهوية» المُسجّلة خلال الفترة</t>
        </is>
      </c>
      <c r="Q8" s="73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8" t="n">
        <v>0.06</v>
      </c>
      <c r="H9" s="58" t="n">
        <v>0.9</v>
      </c>
      <c r="I9" s="71" t="inlineStr">
        <is>
          <t>≥ 90%</t>
        </is>
      </c>
      <c r="J9" s="72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6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«تنفيذ زيارات الإشراف المجدولة» ÷ الإجمالي المستهدف لنفس البند × 100٪</t>
        </is>
      </c>
      <c r="Q9" s="73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0.06</v>
      </c>
      <c r="H10" s="58" t="n">
        <v>0.75</v>
      </c>
      <c r="I10" s="71" t="inlineStr">
        <is>
          <t>≥ 75%</t>
        </is>
      </c>
      <c r="J10" s="72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6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«التزام المطوّرين بالجدول الزمني» ÷ الإجمالي المستهدف لنفس البند × 100٪</t>
        </is>
      </c>
      <c r="Q10" s="73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8" t="n">
        <v>0.06</v>
      </c>
      <c r="H11" s="58" t="n">
        <v>0.9</v>
      </c>
      <c r="I11" s="71" t="inlineStr">
        <is>
          <t>≥ 90%</t>
        </is>
      </c>
      <c r="J11" s="7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6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«إغلاق ملاحظات الجودة على المطوّرين» ÷ الإجمالي المستهدف لنفس البند × 100٪</t>
        </is>
      </c>
      <c r="Q11" s="73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58" t="n">
        <v>0.08</v>
      </c>
      <c r="H12" s="52" t="n">
        <v>60</v>
      </c>
      <c r="I12" s="71" t="inlineStr">
        <is>
          <t>≥ 60 محطة</t>
        </is>
      </c>
      <c r="J12" s="72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مجموع «المحطات المُسلَّمة بالهوية» خلال الفترة</t>
        </is>
      </c>
      <c r="Q12" s="73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0.06</v>
      </c>
      <c r="H13" s="58" t="n">
        <v>0.9</v>
      </c>
      <c r="I13" s="71" t="inlineStr">
        <is>
          <t>≥ 90%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6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«المشاريع الخالية من مخالفات الجودة» ÷ الإجمالي المستهدف لنفس البند × 100٪</t>
        </is>
      </c>
      <c r="Q13" s="73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58" t="n">
        <v>0.06</v>
      </c>
      <c r="H14" s="52" t="n">
        <v>10</v>
      </c>
      <c r="I14" s="71" t="inlineStr">
        <is>
          <t>≤ 10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«مخالفات المقاولين» المُسجّلة خلال الفترة</t>
        </is>
      </c>
      <c r="Q14" s="73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8" t="n">
        <v>0.08</v>
      </c>
      <c r="H15" s="58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6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73" t="inlineStr">
        <is>
          <t>قيمة/عدد المتحقّق من «التزام المقاولين بمعايير السلامة» ÷ الإجمالي المستهدف لنفس البند × 100٪</t>
        </is>
      </c>
      <c r="Q15" s="73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0.06</v>
      </c>
      <c r="H16" s="58" t="n">
        <v>1</v>
      </c>
      <c r="I16" s="71" t="inlineStr">
        <is>
          <t>100%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«الالتزام بالميزانية المعتمدة» ÷ الإجمالي المستهدف لنفس البند × 100٪</t>
        </is>
      </c>
      <c r="Q16" s="73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8" t="n">
        <v>0.05</v>
      </c>
      <c r="H17" s="58" t="n">
        <v>1</v>
      </c>
      <c r="I17" s="71" t="inlineStr">
        <is>
          <t>100%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6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قيمة/عدد المتحقّق من «الالتزام بالجدول الزمني العام» ÷ الإجمالي المستهدف لنفس البند × 100٪</t>
        </is>
      </c>
      <c r="Q17" s="73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58" t="n">
        <v>0.05</v>
      </c>
      <c r="H18" s="59" t="n">
        <v>30</v>
      </c>
      <c r="I18" s="71" t="inlineStr">
        <is>
          <t>≤ 30 يوم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مجموع أيام «مدة إغلاق قائمة الملاحظات النهائية» ÷ عدد الحالات</t>
        </is>
      </c>
      <c r="Q18" s="73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 والتوفّر</t>
        </is>
      </c>
      <c r="C4" s="24" t="inlineStr">
        <is>
          <t>نسبة تلبية طلبات المحطات من الوقود Fill Rate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8" t="n">
        <v>0.13</v>
      </c>
      <c r="H4" s="58" t="n">
        <v>0.98</v>
      </c>
      <c r="I4" s="71" t="inlineStr">
        <is>
          <t>≥ 98%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56" t="n">
        <v>0.786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3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 والتوفّر</t>
        </is>
      </c>
      <c r="C5" s="24" t="inlineStr">
        <is>
          <t>عدد انقطاعات التوريد المؤثرة شهريًا</t>
        </is>
      </c>
      <c r="D5" s="46" t="inlineStr">
        <is>
          <t>عدد</t>
        </is>
      </c>
      <c r="E5" s="46" t="inlineStr">
        <is>
          <t>↓</t>
        </is>
      </c>
      <c r="F5" s="15" t="inlineStr">
        <is>
          <t>🔴 رئيسي</t>
        </is>
      </c>
      <c r="G5" s="58" t="n">
        <v>0.1</v>
      </c>
      <c r="H5" s="52" t="n">
        <v>0</v>
      </c>
      <c r="I5" s="71" t="inlineStr">
        <is>
          <t>صفر انقطاع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3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3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المخزون</t>
        </is>
      </c>
      <c r="C6" s="24" t="inlineStr">
        <is>
          <t>نسبة تغطية مخزون الوقود بالأيام</t>
        </is>
      </c>
      <c r="D6" s="46" t="inlineStr">
        <is>
          <t>يوم</t>
        </is>
      </c>
      <c r="E6" s="46" t="inlineStr">
        <is>
          <t>↑</t>
        </is>
      </c>
      <c r="F6" s="15" t="inlineStr">
        <is>
          <t>🟠 مهم</t>
        </is>
      </c>
      <c r="G6" s="58" t="n">
        <v>0.09</v>
      </c>
      <c r="H6" s="59" t="n">
        <v>5</v>
      </c>
      <c r="I6" s="71" t="inlineStr">
        <is>
          <t>≥ 5 أيام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4.706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3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المخزون</t>
        </is>
      </c>
      <c r="C7" s="24" t="inlineStr">
        <is>
          <t>نسبة توفر المواد المخزنية والحرجة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0.09</v>
      </c>
      <c r="H7" s="58" t="n">
        <v>0.98</v>
      </c>
      <c r="I7" s="71" t="inlineStr">
        <is>
          <t>≥ 98%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0.766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3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المخزون</t>
        </is>
      </c>
      <c r="C8" s="24" t="inlineStr">
        <is>
          <t>نسبة المواد الراكدة من المخزون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8" t="n">
        <v>0.06</v>
      </c>
      <c r="H8" s="58" t="n">
        <v>0.05</v>
      </c>
      <c r="I8" s="71" t="inlineStr">
        <is>
          <t>≤ 5%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6" t="n">
        <v>0.048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3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المشتريات</t>
        </is>
      </c>
      <c r="C9" s="24" t="inlineStr">
        <is>
          <t>دقة أوامر الشراء ومستنداتها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🟡 متابعة</t>
        </is>
      </c>
      <c r="G9" s="58" t="n">
        <v>0.1</v>
      </c>
      <c r="H9" s="58" t="n">
        <v>0.98</v>
      </c>
      <c r="I9" s="71" t="inlineStr">
        <is>
          <t>≥ 98%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6" t="n">
        <v>0.905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3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المشتريات</t>
        </is>
      </c>
      <c r="C10" s="24" t="inlineStr">
        <is>
          <t>نسبة إنجاز أوامر الشراء خلال المدة المستهدفة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0.08</v>
      </c>
      <c r="H10" s="58" t="n">
        <v>0.95</v>
      </c>
      <c r="I10" s="71" t="inlineStr">
        <is>
          <t>≥ 95%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6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3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التوريد والتسليم</t>
        </is>
      </c>
      <c r="C11" s="24" t="inlineStr">
        <is>
          <t>نسبة الالتزام بزمن التسليم والتوريد للمحطات والإدارات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8" t="n">
        <v>0.1</v>
      </c>
      <c r="H11" s="58" t="n">
        <v>0.95</v>
      </c>
      <c r="I11" s="71" t="inlineStr">
        <is>
          <t>≥ 95%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>
        <v>0.751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3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التوريد والتسليم</t>
        </is>
      </c>
      <c r="C12" s="24" t="inlineStr">
        <is>
          <t>نسبة جاهزية الإمداد للمحطات الجديدة وخطط الافتتاح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8" t="n">
        <v>0.08</v>
      </c>
      <c r="H12" s="58" t="n">
        <v>1</v>
      </c>
      <c r="I12" s="71" t="inlineStr">
        <is>
          <t>100%</t>
        </is>
      </c>
      <c r="J12" s="72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56" t="n">
        <v>0.952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محقق",IF($N12&gt;=0.97,"🟡 قريب","🔴 تحت الهدف")))</f>
        <v/>
      </c>
      <c r="P12" s="7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3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النقل والأسطول</t>
        </is>
      </c>
      <c r="C13" s="24" t="inlineStr">
        <is>
          <t>نسبة الالتزام بجدول النقل واستخدام الأسطول بكفاءة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0.07000000000000001</v>
      </c>
      <c r="H13" s="58" t="n">
        <v>0.9</v>
      </c>
      <c r="I13" s="71" t="inlineStr">
        <is>
          <t>≥ 90%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6" t="n">
        <v>0.751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3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الموردون والرضا</t>
        </is>
      </c>
      <c r="C14" s="24" t="inlineStr">
        <is>
          <t>كفاءة إدارة الموردين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8" t="n">
        <v>0.06</v>
      </c>
      <c r="H14" s="58" t="n">
        <v>0.9</v>
      </c>
      <c r="I14" s="71" t="inlineStr">
        <is>
          <t>≥ 90%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0.881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3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الموردون والرضا</t>
        </is>
      </c>
      <c r="C15" s="24" t="inlineStr">
        <is>
          <t>مستوى رضا الإدارات عن خدمات سلاسل الإمداد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8" t="n">
        <v>0.04</v>
      </c>
      <c r="H15" s="58" t="n">
        <v>0.85</v>
      </c>
      <c r="I15" s="71" t="inlineStr">
        <is>
          <t>≥ 85%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56" t="n">
        <v>0.802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7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3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8" t="n">
        <v>0.15</v>
      </c>
      <c r="H4" s="58" t="n">
        <v>0.98</v>
      </c>
      <c r="I4" s="71" t="inlineStr">
        <is>
          <t>≥ 98%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73" t="inlineStr">
        <is>
          <t>إجمالي ساعات جاهزية الأصول والمعدات الحرجة ÷ إجمالي ساعات التشغيل المخططة لها × 100</t>
        </is>
      </c>
      <c r="Q4" s="73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8" t="n">
        <v>0.12</v>
      </c>
      <c r="H5" s="58" t="n">
        <v>0.95</v>
      </c>
      <c r="I5" s="71" t="inlineStr">
        <is>
          <t>≥ 95%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عدد أوامر الصيانة الوقائية المنفذة ضمن الموعد المحدد ÷ إجمالي أوامر الصيانة الوقائية المستحقة × 100</t>
        </is>
      </c>
      <c r="Q5" s="73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8" t="n">
        <v>0.1</v>
      </c>
      <c r="H6" s="58" t="n">
        <v>0.95</v>
      </c>
      <c r="I6" s="71" t="inlineStr">
        <is>
          <t>≥ 95%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6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عدد بلاغات الصيانة المغلقة ضمن الزمن المحدد حسب الأولوية ÷ إجمالي البلاغات المغلقة × 100</t>
        </is>
      </c>
      <c r="Q6" s="7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58" t="n">
        <v>0.08</v>
      </c>
      <c r="H7" s="59" t="n">
        <v>30</v>
      </c>
      <c r="I7" s="71" t="inlineStr">
        <is>
          <t>≤ 30 دقيقة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مجموع الدقائق من تسجيل البلاغ الطارئ حتى بدء المعالجة الفعلية ÷ إجمالي البلاغات الطارئة</t>
        </is>
      </c>
      <c r="Q7" s="73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58" t="n">
        <v>0.08</v>
      </c>
      <c r="H8" s="59" t="n">
        <v>4</v>
      </c>
      <c r="I8" s="71" t="inlineStr">
        <is>
          <t>≤ 4 ساعات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ساعات الإصلاح الفعلية للأعطال المغلقة ÷ إجمالي عدد الأعطال المغلقة</t>
        </is>
      </c>
      <c r="Q8" s="73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58" t="n">
        <v>0.1</v>
      </c>
      <c r="H9" s="58" t="n">
        <v>0.05</v>
      </c>
      <c r="I9" s="71" t="inlineStr">
        <is>
          <t>≤ 5%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6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عدد الأعطال المتكررة لنفس الأصل وبنفس السبب ÷ إجمالي عدد الأعطال × 100</t>
        </is>
      </c>
      <c r="Q9" s="7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0.15</v>
      </c>
      <c r="H10" s="58" t="n">
        <v>0.99</v>
      </c>
      <c r="I10" s="71" t="inlineStr">
        <is>
          <t>≥ 99%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6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عدد المحطات دون توقف كلي بسبب عطل فني ضمن مسؤولية الصيانة ÷ إجمالي المحطات العاملة × 100</t>
        </is>
      </c>
      <c r="Q10" s="7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8" t="n">
        <v>0.1</v>
      </c>
      <c r="H11" s="58" t="n">
        <v>0.99</v>
      </c>
      <c r="I11" s="71" t="inlineStr">
        <is>
          <t>≥ 99%</t>
        </is>
      </c>
      <c r="J11" s="7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6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73" t="inlineStr">
        <is>
          <t>عدد حالات الأتمتة العاملة والمتصلة بقراءات صحيحة ومحدثة ÷ إجمالي حالات الأتمتة المطلوبة × 100</t>
        </is>
      </c>
      <c r="Q11" s="7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0.08</v>
      </c>
      <c r="H12" s="58" t="n">
        <v>0.95</v>
      </c>
      <c r="I12" s="71" t="inlineStr">
        <is>
          <t>≥ 95%</t>
        </is>
      </c>
      <c r="J12" s="7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6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عدد أعطال الأتمتة المستعادة ضمن الزمن المعتمد حسب الأولوية ÷ إجمالي أعطال الأتمتة المغلقة × 100</t>
        </is>
      </c>
      <c r="Q12" s="7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0.04</v>
      </c>
      <c r="H13" s="58" t="n">
        <v>0.95</v>
      </c>
      <c r="I13" s="71" t="inlineStr">
        <is>
          <t>≥ 95%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6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(1 − |الفرق بين المصروف الفعلي والميزانية| ÷ الميزانية المعتمدة) × 100</t>
        </is>
      </c>
      <c r="Q13" s="73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توفّر واستقرار الأنظمة</t>
        </is>
      </c>
      <c r="C4" s="24" t="inlineStr">
        <is>
          <t>نسبة توفر الأنظمة والخدمات التقنية المركزية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8" t="n">
        <v>0.13</v>
      </c>
      <c r="H4" s="58" t="n">
        <v>0.99</v>
      </c>
      <c r="I4" s="71" t="inlineStr">
        <is>
          <t>≥ 99%</t>
        </is>
      </c>
      <c r="J4" s="72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6" t="n">
        <v>0.79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3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توفّر واستقرار الأنظمة</t>
        </is>
      </c>
      <c r="C5" s="24" t="inlineStr">
        <is>
          <t>نسبة معالجة الأعطال وطلبات الدعم الفني ضمن المدة المستهدفة SLA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8" t="n">
        <v>0.12</v>
      </c>
      <c r="H5" s="58" t="n">
        <v>0.95</v>
      </c>
      <c r="I5" s="71" t="inlineStr">
        <is>
          <t>≥ 95%</t>
        </is>
      </c>
      <c r="J5" s="72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6" t="n">
        <v>0.74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3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توفّر واستقرار الأنظمة</t>
        </is>
      </c>
      <c r="C6" s="24" t="inlineStr">
        <is>
          <t>نسبة استقرار التشغيل التقني للمحطات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0.1</v>
      </c>
      <c r="H6" s="58" t="n">
        <v>0.99</v>
      </c>
      <c r="I6" s="71" t="inlineStr">
        <is>
          <t>≥ 99%</t>
        </is>
      </c>
      <c r="J6" s="7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6" t="n">
        <v>0.8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3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المشاريع التقنية</t>
        </is>
      </c>
      <c r="C7" s="24" t="inlineStr">
        <is>
          <t>نسبة إنجاز مشاريع التحول الرقمي والمشاريع التقنية حسب الخطة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0.1</v>
      </c>
      <c r="H7" s="58" t="n">
        <v>0.9</v>
      </c>
      <c r="I7" s="71" t="inlineStr">
        <is>
          <t>≥ 90%</t>
        </is>
      </c>
      <c r="J7" s="72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56" t="n">
        <v>0.89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مدى إنجاز محفظة مشاريع التحول الرقمي والمشاريع التقنية وفق الخطة الزمنية والأولويات المعتمدة.</t>
        </is>
      </c>
      <c r="Q7" s="73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المشاريع التقنية</t>
        </is>
      </c>
      <c r="C8" s="24" t="inlineStr">
        <is>
          <t>نسبة تسليم المشاريع التقنية ضمن الوقت والميزانية ونطاق العمل المعتمد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8" t="n">
        <v>0.09</v>
      </c>
      <c r="H8" s="58" t="n">
        <v>0.9</v>
      </c>
      <c r="I8" s="71" t="inlineStr">
        <is>
          <t>≥ 90%</t>
        </is>
      </c>
      <c r="J8" s="72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56" t="n">
        <v>0.701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3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الأمن والصلاحيات</t>
        </is>
      </c>
      <c r="C9" s="24" t="inlineStr">
        <is>
          <t>نسبة الالتزام بإدارة صلاحيات المستخدمين والحسابات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8" t="n">
        <v>0.1</v>
      </c>
      <c r="H9" s="58" t="n">
        <v>1</v>
      </c>
      <c r="I9" s="71" t="inlineStr">
        <is>
          <t>100%</t>
        </is>
      </c>
      <c r="J9" s="7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6" t="n">
        <v>0.756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3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الأمن والصلاحيات</t>
        </is>
      </c>
      <c r="C10" s="24" t="inlineStr">
        <is>
          <t>نسبة نجاح النسخ الاحتياطي واختبارات استعادة البيانات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0.08</v>
      </c>
      <c r="H10" s="58" t="n">
        <v>1</v>
      </c>
      <c r="I10" s="71" t="inlineStr">
        <is>
          <t>100%</t>
        </is>
      </c>
      <c r="J10" s="7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56" t="n">
        <v>0.794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3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الأمن والصلاحيات</t>
        </is>
      </c>
      <c r="C11" s="24" t="inlineStr">
        <is>
          <t>نسبة الامتثال لضوابط الأمن السيبراني الأساسية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8" t="n">
        <v>0.08</v>
      </c>
      <c r="H11" s="58" t="n">
        <v>0.95</v>
      </c>
      <c r="I11" s="71" t="inlineStr">
        <is>
          <t>≥ 95%</t>
        </is>
      </c>
      <c r="J11" s="7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6" t="n">
        <v>0.8070000000000001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7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3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الحوكمة والبيانات</t>
        </is>
      </c>
      <c r="C12" s="24" t="inlineStr">
        <is>
          <t>نسبة دقة وتكامل البيانات بين الأنظمة الرقمية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0.06</v>
      </c>
      <c r="H12" s="58" t="n">
        <v>0.98</v>
      </c>
      <c r="I12" s="71" t="inlineStr">
        <is>
          <t>≥ 98%</t>
        </is>
      </c>
      <c r="J12" s="7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6" t="n">
        <v>1.012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3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الحوكمة والبيانات</t>
        </is>
      </c>
      <c r="C13" s="24" t="inlineStr">
        <is>
          <t>نسبة الالتزام بتحديث وتوثيق أصول تقنية المعلومات والتراخيص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🟡 متابعة</t>
        </is>
      </c>
      <c r="G13" s="58" t="n">
        <v>0.05</v>
      </c>
      <c r="H13" s="58" t="n">
        <v>0.95</v>
      </c>
      <c r="I13" s="71" t="inlineStr">
        <is>
          <t>≥ 95%</t>
        </is>
      </c>
      <c r="J13" s="7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56" t="n">
        <v>0.958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3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الصيانة والرضا</t>
        </is>
      </c>
      <c r="C14" s="24" t="inlineStr">
        <is>
          <t>نسبة تنفيذ الصيانة الوقائية للأجهزة والبنية التقنية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8" t="n">
        <v>0.05</v>
      </c>
      <c r="H14" s="58" t="n">
        <v>0.95</v>
      </c>
      <c r="I14" s="71" t="inlineStr">
        <is>
          <t>≥ 95%</t>
        </is>
      </c>
      <c r="J14" s="7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56" t="n">
        <v>0.756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3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الصيانة والرضا</t>
        </is>
      </c>
      <c r="C15" s="24" t="inlineStr">
        <is>
          <t>مستوى رضا الإدارات والمستخدمين عن خدمات تقنية المعلومات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8" t="n">
        <v>0.04</v>
      </c>
      <c r="H15" s="58" t="n">
        <v>0.85</v>
      </c>
      <c r="I15" s="71" t="inlineStr">
        <is>
          <t>≥ 85%</t>
        </is>
      </c>
      <c r="J15" s="7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6" t="n">
        <v>0.775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7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3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الامتثال والالتزام</t>
        </is>
      </c>
      <c r="C4" s="24" t="inlineStr">
        <is>
          <t>نسبة الالتزام بالتوطين والامتثال الحكومي دون مخالفات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8" t="n">
        <v>0.11</v>
      </c>
      <c r="H4" s="58" t="n">
        <v>1</v>
      </c>
      <c r="I4" s="71" t="inlineStr">
        <is>
          <t>100%</t>
        </is>
      </c>
      <c r="J4" s="72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56" t="n">
        <v>0.77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7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3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الامتثال والالتزام</t>
        </is>
      </c>
      <c r="C5" s="24" t="inlineStr">
        <is>
          <t>نسبة الالتزام بنظام العمل واللوائح وخطة القوى العاملة المعتمدة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8" t="n">
        <v>0.11</v>
      </c>
      <c r="H5" s="58" t="n">
        <v>1</v>
      </c>
      <c r="I5" s="71" t="inlineStr">
        <is>
          <t>100%</t>
        </is>
      </c>
      <c r="J5" s="7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6" t="n">
        <v>1.016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3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خدمات الموظفين</t>
        </is>
      </c>
      <c r="C6" s="24" t="inlineStr">
        <is>
          <t>نسبة إنجاز معاملات شؤون الموظفين ضمن المدة المستهدفة SLA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8" t="n">
        <v>0.09</v>
      </c>
      <c r="H6" s="58" t="n">
        <v>0.9</v>
      </c>
      <c r="I6" s="71" t="inlineStr">
        <is>
          <t>≥ 90%</t>
        </is>
      </c>
      <c r="J6" s="7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6" t="n">
        <v>0.733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3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الامتثال والالتزام</t>
        </is>
      </c>
      <c r="C7" s="24" t="inlineStr">
        <is>
          <t>نسبة الالتزام بتجديد الوثائق واكتمال ملفات الموظفين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0.09</v>
      </c>
      <c r="H7" s="58" t="n">
        <v>1</v>
      </c>
      <c r="I7" s="71" t="inlineStr">
        <is>
          <t>100%</t>
        </is>
      </c>
      <c r="J7" s="7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6" t="n">
        <v>0.796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التشغيل والتغطية</t>
        </is>
      </c>
      <c r="C8" s="24" t="inlineStr">
        <is>
          <t>نسبة جاهزية وتغطية عمالة المحطات حسب خطة التشغيل والافتتاحات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8" t="n">
        <v>0.11</v>
      </c>
      <c r="H8" s="58" t="n">
        <v>0.95</v>
      </c>
      <c r="I8" s="71" t="inlineStr">
        <is>
          <t>≥ 95%</t>
        </is>
      </c>
      <c r="J8" s="7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56" t="n">
        <v>0.903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محقق",IF($N8&gt;=0.97,"🟡 قريب","🔴 تحت الهدف")))</f>
        <v/>
      </c>
      <c r="P8" s="7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الاستقطاب</t>
        </is>
      </c>
      <c r="C9" s="24" t="inlineStr">
        <is>
          <t>متوسط مدة إغلاق الشواغر المعتمدة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8" t="n">
        <v>0.08</v>
      </c>
      <c r="H9" s="59" t="n">
        <v>30</v>
      </c>
      <c r="I9" s="71" t="inlineStr">
        <is>
          <t>≤ 30 يوم</t>
        </is>
      </c>
      <c r="J9" s="7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0" t="n">
        <v>33.5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3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الاستقطاب</t>
        </is>
      </c>
      <c r="C10" s="24" t="inlineStr">
        <is>
          <t>نسبة نجاح التعيينات الجديدة خلال فترة التجربة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0.08</v>
      </c>
      <c r="H10" s="58" t="n">
        <v>0.9</v>
      </c>
      <c r="I10" s="71" t="inlineStr">
        <is>
          <t>≥ 90%</t>
        </is>
      </c>
      <c r="J10" s="72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56" t="n">
        <v>0.929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3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التكلفة والرواتب</t>
        </is>
      </c>
      <c r="C11" s="24" t="inlineStr">
        <is>
          <t>نسبة كفاءة تكلفة القوى العاملة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8" t="n">
        <v>0.09</v>
      </c>
      <c r="H11" s="58" t="n">
        <v>0.95</v>
      </c>
      <c r="I11" s="71" t="inlineStr">
        <is>
          <t>≥ 95%</t>
        </is>
      </c>
      <c r="J11" s="7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56" t="n">
        <v>0.917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3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التكلفة والرواتب</t>
        </is>
      </c>
      <c r="C12" s="24" t="inlineStr">
        <is>
          <t>نسبة دقة الرواتب والمستحقات الشهرية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8" t="n">
        <v>0.08</v>
      </c>
      <c r="H12" s="58" t="n">
        <v>0.995</v>
      </c>
      <c r="I12" s="71" t="inlineStr">
        <is>
          <t>≥ 99.5%</t>
        </is>
      </c>
      <c r="J12" s="7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56" t="n">
        <v>0.888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3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الاستقرار والتطوير</t>
        </is>
      </c>
      <c r="C13" s="24" t="inlineStr">
        <is>
          <t>معدل دوران الموظفين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8" t="n">
        <v>0.06</v>
      </c>
      <c r="H13" s="58" t="n">
        <v>0.1</v>
      </c>
      <c r="I13" s="71" t="inlineStr">
        <is>
          <t>≤ 10%</t>
        </is>
      </c>
      <c r="J13" s="72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56" t="n">
        <v>0.097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3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الاستقرار والتطوير</t>
        </is>
      </c>
      <c r="C14" s="24" t="inlineStr">
        <is>
          <t>نسبة تنفيذ برامج التدريب والتأهيل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58" t="n">
        <v>0.06</v>
      </c>
      <c r="H14" s="58" t="n">
        <v>0.9</v>
      </c>
      <c r="I14" s="71" t="inlineStr">
        <is>
          <t>≥ 90%</t>
        </is>
      </c>
      <c r="J14" s="7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56" t="n">
        <v>0.6899999999999999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3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الاستقرار والتطوير</t>
        </is>
      </c>
      <c r="C15" s="24" t="inlineStr">
        <is>
          <t>نسبة إغلاق تقييمات الأداء وخطط الإحلال للوظائف الحرجة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8" t="n">
        <v>0.04</v>
      </c>
      <c r="H15" s="58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56" t="n">
        <v>0.696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3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0.08</v>
      </c>
      <c r="H4" s="52" t="n">
        <v>50000000</v>
      </c>
      <c r="I4" s="71" t="inlineStr">
        <is>
          <t>50م وصول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73" t="inlineStr">
        <is>
          <t>إجمالي عدد «الوصول الكلي» المُسجّل خلال الفترة</t>
        </is>
      </c>
      <c r="Q4" s="73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58" t="n">
        <v>0.06</v>
      </c>
      <c r="H5" s="52" t="n">
        <v>200</v>
      </c>
      <c r="I5" s="71" t="inlineStr">
        <is>
          <t>200 عميل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إجمالي عدد «عملاء تجاريون جدد» المُسجّل خلال الفترة</t>
        </is>
      </c>
      <c r="Q5" s="73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58" t="n">
        <v>0.08</v>
      </c>
      <c r="H6" s="52" t="n">
        <v>380000</v>
      </c>
      <c r="I6" s="71" t="inlineStr">
        <is>
          <t>380ك متابع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73" t="inlineStr">
        <is>
          <t>مجموع «المتابعين» خلال الفترة</t>
        </is>
      </c>
      <c r="Q6" s="73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0.08</v>
      </c>
      <c r="H7" s="58" t="n">
        <v>0.5</v>
      </c>
      <c r="I7" s="71" t="inlineStr">
        <is>
          <t>50%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6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73" t="inlineStr">
        <is>
          <t>عدد حالات «التفاعل» خلال الفترة ÷ إجمالي الحالات القابلة للقياس × 100٪</t>
        </is>
      </c>
      <c r="Q7" s="73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58" t="n">
        <v>0.06</v>
      </c>
      <c r="H8" s="52" t="n">
        <v>48</v>
      </c>
      <c r="I8" s="71" t="inlineStr">
        <is>
          <t>48 حملة</t>
        </is>
      </c>
      <c r="J8" s="7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إجمالي عدد «حملات تسويقية منجزة» المُسجّل خلال الفترة</t>
        </is>
      </c>
      <c r="Q8" s="73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8" t="n">
        <v>0.08</v>
      </c>
      <c r="H9" s="58" t="n">
        <v>0.25</v>
      </c>
      <c r="I9" s="71" t="inlineStr">
        <is>
          <t>25%</t>
        </is>
      </c>
      <c r="J9" s="7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6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القيمة المتحقّقة من «تحويل الفرص إلى عقود» ÷ المستهدف × 100٪</t>
        </is>
      </c>
      <c r="Q9" s="73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0.08</v>
      </c>
      <c r="H10" s="58" t="n">
        <v>1</v>
      </c>
      <c r="I10" s="71" t="inlineStr">
        <is>
          <t>100%</t>
        </is>
      </c>
      <c r="J10" s="72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6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«المبيعات لكل حملة» ÷ الإجمالي المستهدف لنفس البند × 100٪</t>
        </is>
      </c>
      <c r="Q10" s="73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8" t="n">
        <v>0.08</v>
      </c>
      <c r="H11" s="58" t="n">
        <v>1</v>
      </c>
      <c r="I11" s="71" t="inlineStr">
        <is>
          <t>100%</t>
        </is>
      </c>
      <c r="J11" s="72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6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قيمة/عدد المتحقّق من «التزام الهوية البصرية» ÷ الإجمالي المستهدف لنفس البند × 100٪</t>
        </is>
      </c>
      <c r="Q11" s="73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58" t="n">
        <v>0.06</v>
      </c>
      <c r="H12" s="52" t="n">
        <v>7000000</v>
      </c>
      <c r="I12" s="71" t="inlineStr">
        <is>
          <t>7م وصول</t>
        </is>
      </c>
      <c r="J12" s="7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إجمالي عدد «وصول العلاقات العامة» المُسجّل خلال الفترة</t>
        </is>
      </c>
      <c r="Q12" s="73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58" t="n">
        <v>0.06</v>
      </c>
      <c r="H13" s="52" t="n">
        <v>3</v>
      </c>
      <c r="I13" s="71" t="inlineStr">
        <is>
          <t>3 معارض</t>
        </is>
      </c>
      <c r="J13" s="72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إجمالي عدد «المعارض بالسنة» المُسجّلة خلال الفترة</t>
        </is>
      </c>
      <c r="Q13" s="73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58" t="n">
        <v>0.06</v>
      </c>
      <c r="H14" s="52" t="n">
        <v>3</v>
      </c>
      <c r="I14" s="71" t="inlineStr">
        <is>
          <t>3 اتفاقيات</t>
        </is>
      </c>
      <c r="J14" s="72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إجمالي عدد «اتفاقيات استراتيجية» المُسجّل خلال الفترة</t>
        </is>
      </c>
      <c r="Q14" s="73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58" t="n">
        <v>0.06</v>
      </c>
      <c r="H15" s="59" t="n">
        <v>4.7</v>
      </c>
      <c r="I15" s="71" t="inlineStr">
        <is>
          <t>4.7 ⭐</t>
        </is>
      </c>
      <c r="J15" s="7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0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متوسط تقييم «تقييم خرائط قوقل» على مقياسه المعتمد</t>
        </is>
      </c>
      <c r="Q15" s="73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0.06</v>
      </c>
      <c r="H16" s="58" t="n">
        <v>0.3</v>
      </c>
      <c r="I16" s="71" t="inlineStr">
        <is>
          <t>30%</t>
        </is>
      </c>
      <c r="J16" s="7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6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عدد حالات «خفض الشكاوى» خلال الفترة ÷ إجمالي الحالات القابلة للقياس × 100٪</t>
        </is>
      </c>
      <c r="Q16" s="73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58" t="n">
        <v>0.05</v>
      </c>
      <c r="H17" s="52" t="n">
        <v>1000000</v>
      </c>
      <c r="I17" s="71" t="inlineStr">
        <is>
          <t>1م وصول</t>
        </is>
      </c>
      <c r="J17" s="72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إجمالي عدد «وصول محتوى تطبيق تانكي» المُسجّل خلال الفترة</t>
        </is>
      </c>
      <c r="Q17" s="73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58" t="n">
        <v>0.05</v>
      </c>
      <c r="H18" s="52" t="n">
        <v>250</v>
      </c>
      <c r="I18" s="71" t="inlineStr">
        <is>
          <t>250 مشاركة</t>
        </is>
      </c>
      <c r="J18" s="72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إجمالي عدد «مشاركات تطبيق تانكي» المُسجّل خلال الفترة</t>
        </is>
      </c>
      <c r="Q18" s="73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58" t="n">
        <v>0.1</v>
      </c>
      <c r="H4" s="58" t="n">
        <v>0.05</v>
      </c>
      <c r="I4" s="71" t="inlineStr">
        <is>
          <t>&lt; 5%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قيمة/عدد المتحقّق من «المحطات الحرجة» ÷ الإجمالي المستهدف لنفس البند × 100٪</t>
        </is>
      </c>
      <c r="Q4" s="73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8" t="n">
        <v>0.07000000000000001</v>
      </c>
      <c r="H5" s="58" t="n">
        <v>0.995</v>
      </c>
      <c r="I5" s="71" t="inlineStr">
        <is>
          <t>99.5%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73" t="inlineStr">
        <is>
          <t>قيمة/عدد المتحقّق من «مطابقة جودة الوقود» ÷ الإجمالي المستهدف لنفس البند × 100٪</t>
        </is>
      </c>
      <c r="Q5" s="73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8" t="n">
        <v>0.07000000000000001</v>
      </c>
      <c r="H6" s="58" t="n">
        <v>0.9</v>
      </c>
      <c r="I6" s="71" t="inlineStr">
        <is>
          <t>≥ 90%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6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«إغلاق الملاحظات في الوقت المحدد» ÷ الإجمالي المستهدف لنفس البند × 100٪</t>
        </is>
      </c>
      <c r="Q6" s="7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0.07000000000000001</v>
      </c>
      <c r="H7" s="58" t="n">
        <v>0.85</v>
      </c>
      <c r="I7" s="71" t="inlineStr">
        <is>
          <t>≥ 85%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«فعالية الإجراءات التصحيحية» ÷ الإجمالي المستهدف لنفس البند × 100٪</t>
        </is>
      </c>
      <c r="Q7" s="73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8" t="n">
        <v>0.07000000000000001</v>
      </c>
      <c r="H8" s="58" t="n">
        <v>0.1</v>
      </c>
      <c r="I8" s="71" t="inlineStr">
        <is>
          <t>&lt; 10%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6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«تكرار الملاحظات» ÷ الإجمالي المستهدف لنفس البند × 100٪</t>
        </is>
      </c>
      <c r="Q8" s="73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8" t="n">
        <v>0.07000000000000001</v>
      </c>
      <c r="H9" s="58" t="n">
        <v>0.95</v>
      </c>
      <c r="I9" s="71" t="inlineStr">
        <is>
          <t>≥ 95%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6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قيمة/عدد المتحقّق من «تنفيذ خطة التفتيش والتدقيق» ÷ الإجمالي المستهدف لنفس البند × 100٪</t>
        </is>
      </c>
      <c r="Q9" s="73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8" t="n">
        <v>0.1</v>
      </c>
      <c r="H10" s="58" t="n">
        <v>0.9</v>
      </c>
      <c r="I10" s="71" t="inlineStr">
        <is>
          <t>80% ← 90%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6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73" t="inlineStr">
        <is>
          <t>قيمة/عدد المتحقّق من «جاهزية نظام إدارة الجودة QMS» ÷ الإجمالي المستهدف لنفس البند × 100٪</t>
        </is>
      </c>
      <c r="Q10" s="73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58" t="n">
        <v>0.07000000000000001</v>
      </c>
      <c r="H11" s="52" t="n">
        <v>0</v>
      </c>
      <c r="I11" s="71" t="inlineStr">
        <is>
          <t>صفر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إجمالي عدد «مخاطر الجودة الحرجة المفتوحة» تراكمياً حتى نهاية الفترة</t>
        </is>
      </c>
      <c r="Q11" s="73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0.07000000000000001</v>
      </c>
      <c r="H12" s="58" t="n">
        <v>0.9</v>
      </c>
      <c r="I12" s="71" t="inlineStr">
        <is>
          <t>≥ 90%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6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«إغلاق مخاطر الجودة في الوقت المحدد» ÷ الإجمالي المستهدف لنفس البند × 100٪</t>
        </is>
      </c>
      <c r="Q12" s="73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0.07000000000000001</v>
      </c>
      <c r="H13" s="58" t="n">
        <v>0.15</v>
      </c>
      <c r="I13" s="71" t="inlineStr">
        <is>
          <t>انخفاض 15% ربعياً</t>
        </is>
      </c>
      <c r="J13" s="7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6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3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58" t="n">
        <v>0.03</v>
      </c>
      <c r="H14" s="58" t="n">
        <v>0.95</v>
      </c>
      <c r="I14" s="71" t="inlineStr">
        <is>
          <t>≥ 95%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«اكتمال وتحديث الإجراءات المعتمدة» ÷ الإجمالي المستهدف لنفس البند × 100٪</t>
        </is>
      </c>
      <c r="Q14" s="73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8" t="n">
        <v>0.07000000000000001</v>
      </c>
      <c r="H15" s="58" t="n">
        <v>0.95</v>
      </c>
      <c r="I15" s="71" t="inlineStr">
        <is>
          <t>≥ 95%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6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«اكتمال سجلات الجودة» ÷ الإجمالي المستهدف لنفس البند × 100٪</t>
        </is>
      </c>
      <c r="Q15" s="73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0.07000000000000001</v>
      </c>
      <c r="H16" s="58" t="n">
        <v>0.8</v>
      </c>
      <c r="I16" s="71" t="inlineStr">
        <is>
          <t>≥ 80%</t>
        </is>
      </c>
      <c r="J16" s="7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6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«رقمنة عمليات الجودة» ÷ الإجمالي المستهدف لنفس البند × 100٪</t>
        </is>
      </c>
      <c r="Q16" s="73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58" t="n">
        <v>0.07000000000000001</v>
      </c>
      <c r="H17" s="52" t="n">
        <v>8</v>
      </c>
      <c r="I17" s="71" t="inlineStr">
        <is>
          <t>≥ 8 سنوياً (2 ربعياً)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إجمالي عدد «مبادرات التحسين المؤثرة» المُسجّلة خلال الفترة</t>
        </is>
      </c>
      <c r="Q17" s="73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8" t="n">
        <v>0.1</v>
      </c>
      <c r="H4" s="58" t="n">
        <v>1</v>
      </c>
      <c r="I4" s="71" t="inlineStr">
        <is>
          <t>100%</t>
        </is>
      </c>
      <c r="J4" s="72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قيمة/عدد المتحقّق من «العقود المُراجَعة قانونياً قبل التوقيع» ÷ الإجمالي المستهدف لنفس البند × 100٪</t>
        </is>
      </c>
      <c r="Q4" s="73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58" t="n">
        <v>0.1</v>
      </c>
      <c r="H5" s="59" t="n">
        <v>3</v>
      </c>
      <c r="I5" s="71" t="inlineStr">
        <is>
          <t>≤ 3 أيام</t>
        </is>
      </c>
      <c r="J5" s="7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مجموع أيام «زمن صياغة ومراجعة العقد» ÷ عدد الحالات</t>
        </is>
      </c>
      <c r="Q5" s="73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8" t="n">
        <v>0.1</v>
      </c>
      <c r="H6" s="58" t="n">
        <v>0.95</v>
      </c>
      <c r="I6" s="71" t="inlineStr">
        <is>
          <t>≥ 95%</t>
        </is>
      </c>
      <c r="J6" s="7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6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8" t="n">
        <v>0.07000000000000001</v>
      </c>
      <c r="H7" s="58" t="n">
        <v>0.8</v>
      </c>
      <c r="I7" s="71" t="inlineStr">
        <is>
          <t>≥ 80%</t>
        </is>
      </c>
      <c r="J7" s="7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قيمة/عدد المتحقّق من «القضايا المُغلقة لصالح الشركة» ÷ الإجمالي المستهدف لنفس البند × 100٪</t>
        </is>
      </c>
      <c r="Q7" s="73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8" t="n">
        <v>0.07000000000000001</v>
      </c>
      <c r="H8" s="58" t="n">
        <v>1</v>
      </c>
      <c r="I8" s="71" t="inlineStr">
        <is>
          <t>100%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6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3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8" t="n">
        <v>0.07000000000000001</v>
      </c>
      <c r="H9" s="59" t="n">
        <v>5</v>
      </c>
      <c r="I9" s="71" t="inlineStr">
        <is>
          <t>≤ 5 أيام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مجموع أيام «زمن إعداد المذكرة القانونية» ÷ عدد الحالات</t>
        </is>
      </c>
      <c r="Q9" s="73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8" t="n">
        <v>0.07000000000000001</v>
      </c>
      <c r="H10" s="58" t="n">
        <v>0.9</v>
      </c>
      <c r="I10" s="71" t="inlineStr">
        <is>
          <t>≥ 90%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6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قيمة/عدد المتحقّق من «الاستشارات المُنجزة ضمن المدة المستهدفة» ÷ الإجمالي المستهدف لنفس البند × 100٪</t>
        </is>
      </c>
      <c r="Q10" s="73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8" t="n">
        <v>0.1</v>
      </c>
      <c r="H11" s="58" t="n">
        <v>0.85</v>
      </c>
      <c r="I11" s="71" t="inlineStr">
        <is>
          <t>≥ 85%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6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73" t="inlineStr">
        <is>
          <t>القيمة المتحقّقة من «مستوى رضا الإدارات عن الدعم القانوني» ÷ المستهدف × 100٪</t>
        </is>
      </c>
      <c r="Q11" s="73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8" t="n">
        <v>0.07000000000000001</v>
      </c>
      <c r="H12" s="58" t="n">
        <v>0.9</v>
      </c>
      <c r="I12" s="71" t="inlineStr">
        <is>
          <t>≥ 90%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6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«إنجاز التحقيقات ضمن المدة المحددة» ÷ الإجمالي المستهدف لنفس البند × 100٪</t>
        </is>
      </c>
      <c r="Q12" s="73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8" t="n">
        <v>0.07000000000000001</v>
      </c>
      <c r="H13" s="58" t="n">
        <v>0.95</v>
      </c>
      <c r="I13" s="71" t="inlineStr">
        <is>
          <t>≥ 95%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6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«التحقيقات المُغلقة من إجمالي المُحالة» ÷ الإجمالي المستهدف لنفس البند × 100٪</t>
        </is>
      </c>
      <c r="Q13" s="73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58" t="n">
        <v>0.06</v>
      </c>
      <c r="H14" s="59" t="n">
        <v>30</v>
      </c>
      <c r="I14" s="71" t="inlineStr">
        <is>
          <t>≤ 30 يوم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مجموع أيام «زمن إغلاق قضية التحقيق» ÷ عدد الحالات</t>
        </is>
      </c>
      <c r="Q14" s="73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8" t="n">
        <v>0.06</v>
      </c>
      <c r="H15" s="58" t="n">
        <v>0.9</v>
      </c>
      <c r="I15" s="71" t="inlineStr">
        <is>
          <t>≥ 90%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6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قيمة/عدد المتحقّق من «تنفيذ التوصيات الصادرة عن التحقيقات» ÷ الإجمالي المستهدف لنفس البند × 100٪</t>
        </is>
      </c>
      <c r="Q15" s="7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0.06</v>
      </c>
      <c r="H16" s="58" t="n">
        <v>1</v>
      </c>
      <c r="I16" s="71" t="inlineStr">
        <is>
          <t>100%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7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3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0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8" t="n">
        <v>0.05</v>
      </c>
      <c r="H4" s="58" t="n">
        <v>0.2</v>
      </c>
      <c r="I4" s="71" t="inlineStr">
        <is>
          <t>&gt; 20%</t>
        </is>
      </c>
      <c r="J4" s="72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6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73" t="inlineStr">
        <is>
          <t>القيمة المتحقّقة من «نمو الإيرادات السنوي» ÷ المستهدف × 100٪</t>
        </is>
      </c>
      <c r="Q4" s="73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8" t="n">
        <v>0.04</v>
      </c>
      <c r="H5" s="58" t="n">
        <v>0.08</v>
      </c>
      <c r="I5" s="71" t="inlineStr">
        <is>
          <t>&gt; 8%</t>
        </is>
      </c>
      <c r="J5" s="7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6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73" t="inlineStr">
        <is>
          <t>القيمة المتحقّقة من «هامش EBITDA» ÷ المستهدف × 100٪</t>
        </is>
      </c>
      <c r="Q5" s="73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8" t="n">
        <v>0.04</v>
      </c>
      <c r="H6" s="58" t="n">
        <v>0.01</v>
      </c>
      <c r="I6" s="71" t="inlineStr">
        <is>
          <t>&gt; 1%</t>
        </is>
      </c>
      <c r="J6" s="7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73" t="inlineStr">
        <is>
          <t>القيمة المتحقّقة من «هامش صافي الربح» ÷ المستهدف × 100٪</t>
        </is>
      </c>
      <c r="Q6" s="73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8" t="n">
        <v>0.05</v>
      </c>
      <c r="H7" s="58" t="n">
        <v>0.1</v>
      </c>
      <c r="I7" s="71" t="inlineStr">
        <is>
          <t>&gt; 10%</t>
        </is>
      </c>
      <c r="J7" s="7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6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73" t="inlineStr">
        <is>
          <t>القيمة المتحقّقة من «العائد على حقوق الملكية» ÷ المستهدف × 100٪</t>
        </is>
      </c>
      <c r="Q7" s="73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58" t="n">
        <v>0.04</v>
      </c>
      <c r="H8" s="59" t="n">
        <v>1</v>
      </c>
      <c r="I8" s="71" t="inlineStr">
        <is>
          <t>&gt; 1</t>
        </is>
      </c>
      <c r="J8" s="7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73" t="inlineStr">
        <is>
          <t>قيمة/عدد المتحقّق من «التدفق النقدي التشغيلي» ÷ الإجمالي المستهدف لنفس البند × 100٪</t>
        </is>
      </c>
      <c r="Q8" s="73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58" t="n">
        <v>0.04</v>
      </c>
      <c r="H9" s="59" t="n">
        <v>1</v>
      </c>
      <c r="I9" s="71" t="inlineStr">
        <is>
          <t>0.8 – 1</t>
        </is>
      </c>
      <c r="J9" s="7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73" t="inlineStr">
        <is>
          <t>قياس «النسبة الجارية» مقابل مستهدفه المعتمد خلال الفترة</t>
        </is>
      </c>
      <c r="Q9" s="73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58" t="n">
        <v>0.05</v>
      </c>
      <c r="H10" s="59" t="n">
        <v>20</v>
      </c>
      <c r="I10" s="71" t="inlineStr">
        <is>
          <t>&lt; 20 يوم</t>
        </is>
      </c>
      <c r="J10" s="7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73" t="inlineStr">
        <is>
          <t>متوسط عدد أيام «دورة التحويل النقدي» خلال الفترة</t>
        </is>
      </c>
      <c r="Q10" s="7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58" t="n">
        <v>0.05</v>
      </c>
      <c r="H11" s="59" t="n">
        <v>30</v>
      </c>
      <c r="I11" s="71" t="inlineStr">
        <is>
          <t>&lt; 30 يوم</t>
        </is>
      </c>
      <c r="J11" s="7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73" t="inlineStr">
        <is>
          <t>مجموع أيام «أيام التحصيل العام» ÷ عدد الحالات</t>
        </is>
      </c>
      <c r="Q11" s="7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8" t="n">
        <v>0.05</v>
      </c>
      <c r="H12" s="58" t="n">
        <v>0.95</v>
      </c>
      <c r="I12" s="71" t="inlineStr">
        <is>
          <t>&gt; 95%</t>
        </is>
      </c>
      <c r="J12" s="7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6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73" t="inlineStr">
        <is>
          <t>قيمة/عدد المتحقّق من «التحصيل العام» ÷ الإجمالي المستهدف لنفس البند × 100٪</t>
        </is>
      </c>
      <c r="Q12" s="73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8" t="n">
        <v>0.04</v>
      </c>
      <c r="H13" s="58" t="n">
        <v>0.1</v>
      </c>
      <c r="I13" s="71" t="inlineStr">
        <is>
          <t>&lt; 10%</t>
        </is>
      </c>
      <c r="J13" s="7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6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73" t="inlineStr">
        <is>
          <t>قيمة/عدد المتحقّق من «الذمم المتأخرة» ÷ الإجمالي المستهدف لنفس البند × 100٪</t>
        </is>
      </c>
      <c r="Q13" s="73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58" t="n">
        <v>0.04</v>
      </c>
      <c r="H14" s="58" t="n">
        <v>0.01</v>
      </c>
      <c r="I14" s="71" t="inlineStr">
        <is>
          <t>&lt; 1%</t>
        </is>
      </c>
      <c r="J14" s="7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73" t="inlineStr">
        <is>
          <t>قيمة/عدد المتحقّق من «الديون المعدومة» ÷ الإجمالي المستهدف لنفس البند × 100٪</t>
        </is>
      </c>
      <c r="Q14" s="73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8" t="n">
        <v>0.04</v>
      </c>
      <c r="H15" s="58" t="n">
        <v>0.98</v>
      </c>
      <c r="I15" s="71" t="inlineStr">
        <is>
          <t>&gt; 98%</t>
        </is>
      </c>
      <c r="J15" s="7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6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73" t="inlineStr">
        <is>
          <t>القيمة المتحقّقة من «سداد الموردين في الموعد» ÷ المستهدف × 100٪</t>
        </is>
      </c>
      <c r="Q15" s="73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8" t="n">
        <v>0.04</v>
      </c>
      <c r="H16" s="58" t="n">
        <v>0.95</v>
      </c>
      <c r="I16" s="71" t="inlineStr">
        <is>
          <t>≥ 95%</t>
        </is>
      </c>
      <c r="J16" s="7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73" t="inlineStr">
        <is>
          <t>القيمة المتحقّقة من «اكتمال مطابقة حسابات الموردين» ÷ المستهدف × 100٪</t>
        </is>
      </c>
      <c r="Q16" s="73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8" t="n">
        <v>0.04</v>
      </c>
      <c r="H17" s="58" t="n">
        <v>0.9</v>
      </c>
      <c r="I17" s="71" t="inlineStr">
        <is>
          <t>±10%</t>
        </is>
      </c>
      <c r="J17" s="7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6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73" t="inlineStr">
        <is>
          <t>القيمة المتحقّقة من «دقة التنبؤ النقدي» ÷ المستهدف × 100٪</t>
        </is>
      </c>
      <c r="Q17" s="73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58" t="n">
        <v>0.04</v>
      </c>
      <c r="H18" s="58" t="n">
        <v>0.001</v>
      </c>
      <c r="I18" s="71" t="inlineStr">
        <is>
          <t>&lt; 0.1%</t>
        </is>
      </c>
      <c r="J18" s="7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6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73" t="inlineStr">
        <is>
          <t>القيمة المتحقّقة من «تباين مخزون الوقود» ÷ المستهدف × 100٪</t>
        </is>
      </c>
      <c r="Q18" s="7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8" t="n">
        <v>0.03</v>
      </c>
      <c r="H19" s="58" t="n">
        <v>0.995</v>
      </c>
      <c r="I19" s="71" t="inlineStr">
        <is>
          <t>&gt; 99.5%</t>
        </is>
      </c>
      <c r="J19" s="7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6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73" t="inlineStr">
        <is>
          <t>القيمة المتحقّقة من «دقة مطابقة المخزون» ÷ المستهدف × 100٪</t>
        </is>
      </c>
      <c r="Q19" s="73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8" t="n">
        <v>0.03</v>
      </c>
      <c r="H20" s="58" t="n">
        <v>1</v>
      </c>
      <c r="I20" s="71" t="inlineStr">
        <is>
          <t>100%</t>
        </is>
      </c>
      <c r="J20" s="7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6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73" t="inlineStr">
        <is>
          <t>القيمة المتحقّقة من «دقة تسوية أرامكو» ÷ المستهدف × 100٪</t>
        </is>
      </c>
      <c r="Q20" s="73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58" t="n">
        <v>0.05</v>
      </c>
      <c r="H21" s="58" t="n">
        <v>0.98</v>
      </c>
      <c r="I21" s="71" t="inlineStr">
        <is>
          <t>&gt; 98%</t>
        </is>
      </c>
      <c r="J21" s="72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6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73" t="inlineStr">
        <is>
          <t>قيمة/عدد المتحقّق من «تحصيل الامتياز» ÷ الإجمالي المستهدف لنفس البند × 100٪</t>
        </is>
      </c>
      <c r="Q21" s="73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58" t="n">
        <v>0.05</v>
      </c>
      <c r="H22" s="59" t="n">
        <v>15</v>
      </c>
      <c r="I22" s="71" t="inlineStr">
        <is>
          <t>&lt; 15 يوم</t>
        </is>
      </c>
      <c r="J22" s="72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0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73" t="inlineStr">
        <is>
          <t>متوسط عدد أيام «أيام تحصيل رسوم الامتياز» خلال الفترة</t>
        </is>
      </c>
      <c r="Q22" s="73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58" t="n">
        <v>0.05</v>
      </c>
      <c r="H23" s="58" t="n">
        <v>0.98</v>
      </c>
      <c r="I23" s="71" t="inlineStr">
        <is>
          <t>&gt; 98%</t>
        </is>
      </c>
      <c r="J23" s="72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6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73" t="inlineStr">
        <is>
          <t>قيمة/عدد المتحقّق من «تحصيل الإيجار» ÷ الإجمالي المستهدف لنفس البند × 100٪</t>
        </is>
      </c>
      <c r="Q23" s="73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8" t="n">
        <v>0.05</v>
      </c>
      <c r="H24" s="58" t="n">
        <v>0.9</v>
      </c>
      <c r="I24" s="71" t="inlineStr">
        <is>
          <t>&gt; 90%</t>
        </is>
      </c>
      <c r="J24" s="72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6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73" t="inlineStr">
        <is>
          <t>عدد حالات «تجديد عقود الإيجار» خلال الفترة ÷ إجمالي الحالات القابلة للقياس × 100٪</t>
        </is>
      </c>
      <c r="Q24" s="73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58" t="n">
        <v>0.03</v>
      </c>
      <c r="H25" s="58" t="n">
        <v>0.1</v>
      </c>
      <c r="I25" s="71" t="inlineStr">
        <is>
          <t>≤ ±10%</t>
        </is>
      </c>
      <c r="J25" s="7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6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73" t="inlineStr">
        <is>
          <t>القيمة المتحقّقة من «انحراف الموازنة» ÷ المستهدف × 100٪</t>
        </is>
      </c>
      <c r="Q25" s="73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58" t="n">
        <v>0.03</v>
      </c>
      <c r="H26" s="59" t="n">
        <v>6</v>
      </c>
      <c r="I26" s="71" t="inlineStr">
        <is>
          <t>≤ 6 أيام</t>
        </is>
      </c>
      <c r="J26" s="7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0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73" t="inlineStr">
        <is>
          <t>متوسط عدد أيام «أيام الإقفال الشهري» خلال الفترة</t>
        </is>
      </c>
      <c r="Q26" s="73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58" t="n">
        <v>0.03</v>
      </c>
      <c r="H27" s="58" t="n">
        <v>0.02</v>
      </c>
      <c r="I27" s="71" t="inlineStr">
        <is>
          <t>&lt; 2%</t>
        </is>
      </c>
      <c r="J27" s="7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6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73" t="inlineStr">
        <is>
          <t>قيمة/عدد المتحقّق من «تسويات التدقيق» ÷ الإجمالي المستهدف لنفس البند × 100٪</t>
        </is>
      </c>
      <c r="Q27" s="7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74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22" t="n"/>
    </row>
    <row r="18">
      <c r="A18" s="76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22" t="n"/>
    </row>
    <row r="22">
      <c r="A22" s="76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22" t="n"/>
    </row>
    <row r="26">
      <c r="A26" s="76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22" t="n"/>
    </row>
    <row r="30">
      <c r="A30" s="76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22" t="n"/>
    </row>
    <row r="34">
      <c r="A34" s="76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22" t="n"/>
    </row>
    <row r="38">
      <c r="A38" s="76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22" t="n"/>
    </row>
    <row r="42">
      <c r="A42" s="76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22" t="n"/>
    </row>
    <row r="46">
      <c r="A46" s="76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22" t="n"/>
    </row>
    <row r="50">
      <c r="A50" s="76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22" t="n"/>
    </row>
    <row r="54">
      <c r="A54" s="76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22" t="n"/>
    </row>
    <row r="58">
      <c r="A58" s="76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22" t="n"/>
    </row>
    <row r="62">
      <c r="A62" s="76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الإمداد'!C13</f>
        <v/>
      </c>
      <c r="D122" s="15">
        <f>'سلاسل الإمداد'!J13</f>
        <v/>
      </c>
      <c r="E122" s="13">
        <f>'سلاسل الإمداد'!K13</f>
        <v/>
      </c>
      <c r="F122" s="15">
        <f>'سلاسل الإمداد'!L13</f>
        <v/>
      </c>
      <c r="G122" s="47">
        <f>'سلاسل الإمداد'!N13</f>
        <v/>
      </c>
      <c r="H122" s="15">
        <f>'سلاسل الإمداد'!O13</f>
        <v/>
      </c>
      <c r="I122" s="68">
        <f>'سلاسل الإمداد'!G13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الإمداد'!C14</f>
        <v/>
      </c>
      <c r="D123" s="15">
        <f>'سلاسل الإمداد'!J14</f>
        <v/>
      </c>
      <c r="E123" s="13">
        <f>'سلاسل الإمداد'!K14</f>
        <v/>
      </c>
      <c r="F123" s="15">
        <f>'سلاسل الإمداد'!L14</f>
        <v/>
      </c>
      <c r="G123" s="47">
        <f>'سلاسل الإمداد'!N14</f>
        <v/>
      </c>
      <c r="H123" s="15">
        <f>'سلاسل الإمداد'!O14</f>
        <v/>
      </c>
      <c r="I123" s="68">
        <f>'سلاسل الإمداد'!G14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سلاسل الإمداد</t>
        </is>
      </c>
      <c r="C124" s="13">
        <f>'سلاسل الإمداد'!C15</f>
        <v/>
      </c>
      <c r="D124" s="15">
        <f>'سلاسل الإمداد'!J15</f>
        <v/>
      </c>
      <c r="E124" s="13">
        <f>'سلاسل الإمداد'!K15</f>
        <v/>
      </c>
      <c r="F124" s="15">
        <f>'سلاسل الإمداد'!L15</f>
        <v/>
      </c>
      <c r="G124" s="47">
        <f>'سلاسل الإمداد'!N15</f>
        <v/>
      </c>
      <c r="H124" s="15">
        <f>'سلاسل الإمداد'!O15</f>
        <v/>
      </c>
      <c r="I124" s="68">
        <f>'سلاسل الإمداد'!G15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والأتمتة'!C4</f>
        <v/>
      </c>
      <c r="D125" s="15">
        <f>'الصيانة والأتمتة'!J4</f>
        <v/>
      </c>
      <c r="E125" s="13">
        <f>'الصيانة والأتمتة'!K4</f>
        <v/>
      </c>
      <c r="F125" s="15">
        <f>'الصيانة والأتمتة'!L4</f>
        <v/>
      </c>
      <c r="G125" s="47">
        <f>'الصيانة والأتمتة'!N4</f>
        <v/>
      </c>
      <c r="H125" s="15">
        <f>'الصيانة والأتمتة'!O4</f>
        <v/>
      </c>
      <c r="I125" s="68">
        <f>'الصيانة والأتمتة'!G4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والأتمتة'!C5</f>
        <v/>
      </c>
      <c r="D126" s="15">
        <f>'الصيانة والأتمتة'!J5</f>
        <v/>
      </c>
      <c r="E126" s="13">
        <f>'الصيانة والأتمتة'!K5</f>
        <v/>
      </c>
      <c r="F126" s="15">
        <f>'الصيانة والأتمتة'!L5</f>
        <v/>
      </c>
      <c r="G126" s="47">
        <f>'الصيانة والأتمتة'!N5</f>
        <v/>
      </c>
      <c r="H126" s="15">
        <f>'الصيانة والأتمتة'!O5</f>
        <v/>
      </c>
      <c r="I126" s="68">
        <f>'الصيانة والأتمتة'!G5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والأتمتة'!C6</f>
        <v/>
      </c>
      <c r="D127" s="15">
        <f>'الصيانة والأتمتة'!J6</f>
        <v/>
      </c>
      <c r="E127" s="13">
        <f>'الصيانة والأتمتة'!K6</f>
        <v/>
      </c>
      <c r="F127" s="15">
        <f>'الصيانة والأتمتة'!L6</f>
        <v/>
      </c>
      <c r="G127" s="47">
        <f>'الصيانة والأتمتة'!N6</f>
        <v/>
      </c>
      <c r="H127" s="15">
        <f>'الصيانة والأتمتة'!O6</f>
        <v/>
      </c>
      <c r="I127" s="68">
        <f>'الصيانة والأتمتة'!G6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والأتمتة'!C7</f>
        <v/>
      </c>
      <c r="D128" s="15">
        <f>'الصيانة والأتمتة'!J7</f>
        <v/>
      </c>
      <c r="E128" s="13">
        <f>'الصيانة والأتمتة'!K7</f>
        <v/>
      </c>
      <c r="F128" s="15">
        <f>'الصيانة والأتمتة'!L7</f>
        <v/>
      </c>
      <c r="G128" s="47">
        <f>'الصيانة والأتمتة'!N7</f>
        <v/>
      </c>
      <c r="H128" s="15">
        <f>'الصيانة والأتمتة'!O7</f>
        <v/>
      </c>
      <c r="I128" s="68">
        <f>'الصيانة والأتمتة'!G7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والأتمتة'!C8</f>
        <v/>
      </c>
      <c r="D129" s="15">
        <f>'الصيانة والأتمتة'!J8</f>
        <v/>
      </c>
      <c r="E129" s="13">
        <f>'الصيانة والأتمتة'!K8</f>
        <v/>
      </c>
      <c r="F129" s="15">
        <f>'الصيانة والأتمتة'!L8</f>
        <v/>
      </c>
      <c r="G129" s="47">
        <f>'الصيانة والأتمتة'!N8</f>
        <v/>
      </c>
      <c r="H129" s="15">
        <f>'الصيانة والأتمتة'!O8</f>
        <v/>
      </c>
      <c r="I129" s="68">
        <f>'الصيانة والأتمتة'!G8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والأتمتة'!C9</f>
        <v/>
      </c>
      <c r="D130" s="15">
        <f>'الصيانة والأتمتة'!J9</f>
        <v/>
      </c>
      <c r="E130" s="13">
        <f>'الصيانة والأتمتة'!K9</f>
        <v/>
      </c>
      <c r="F130" s="15">
        <f>'الصيانة والأتمتة'!L9</f>
        <v/>
      </c>
      <c r="G130" s="47">
        <f>'الصيانة والأتمتة'!N9</f>
        <v/>
      </c>
      <c r="H130" s="15">
        <f>'الصيانة والأتمتة'!O9</f>
        <v/>
      </c>
      <c r="I130" s="68">
        <f>'الصيانة والأتمتة'!G9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والأتمتة'!C10</f>
        <v/>
      </c>
      <c r="D131" s="15">
        <f>'الصيانة والأتمتة'!J10</f>
        <v/>
      </c>
      <c r="E131" s="13">
        <f>'الصيانة والأتمتة'!K10</f>
        <v/>
      </c>
      <c r="F131" s="15">
        <f>'الصيانة والأتمتة'!L10</f>
        <v/>
      </c>
      <c r="G131" s="47">
        <f>'الصيانة والأتمتة'!N10</f>
        <v/>
      </c>
      <c r="H131" s="15">
        <f>'الصيانة والأتمتة'!O10</f>
        <v/>
      </c>
      <c r="I131" s="68">
        <f>'الصيانة والأتمتة'!G10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والأتمتة'!C11</f>
        <v/>
      </c>
      <c r="D132" s="15">
        <f>'الصيانة والأتمتة'!J11</f>
        <v/>
      </c>
      <c r="E132" s="13">
        <f>'الصيانة والأتمتة'!K11</f>
        <v/>
      </c>
      <c r="F132" s="15">
        <f>'الصيانة والأتمتة'!L11</f>
        <v/>
      </c>
      <c r="G132" s="47">
        <f>'الصيانة والأتمتة'!N11</f>
        <v/>
      </c>
      <c r="H132" s="15">
        <f>'الصيانة والأتمتة'!O11</f>
        <v/>
      </c>
      <c r="I132" s="68">
        <f>'الصيانة والأتمتة'!G11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والأتمتة'!C12</f>
        <v/>
      </c>
      <c r="D133" s="15">
        <f>'الصيانة والأتمتة'!J12</f>
        <v/>
      </c>
      <c r="E133" s="13">
        <f>'الصيانة والأتمتة'!K12</f>
        <v/>
      </c>
      <c r="F133" s="15">
        <f>'الصيانة والأتمتة'!L12</f>
        <v/>
      </c>
      <c r="G133" s="47">
        <f>'الصيانة والأتمتة'!N12</f>
        <v/>
      </c>
      <c r="H133" s="15">
        <f>'الصيانة والأتمتة'!O12</f>
        <v/>
      </c>
      <c r="I133" s="68">
        <f>'الصيانة والأتمتة'!G12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الصيانة والأتمتة</t>
        </is>
      </c>
      <c r="C134" s="13">
        <f>'الصيانة والأتمتة'!C13</f>
        <v/>
      </c>
      <c r="D134" s="15">
        <f>'الصيانة والأتمتة'!J13</f>
        <v/>
      </c>
      <c r="E134" s="13">
        <f>'الصيانة والأتمتة'!K13</f>
        <v/>
      </c>
      <c r="F134" s="15">
        <f>'الصيانة والأتمتة'!L13</f>
        <v/>
      </c>
      <c r="G134" s="47">
        <f>'الصيانة والأتمتة'!N13</f>
        <v/>
      </c>
      <c r="H134" s="15">
        <f>'الصيانة والأتمتة'!O13</f>
        <v/>
      </c>
      <c r="I134" s="68">
        <f>'الصيانة والأتمتة'!G13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الرقمية'!C4</f>
        <v/>
      </c>
      <c r="D135" s="15">
        <f>'التقنية الرقمية'!J4</f>
        <v/>
      </c>
      <c r="E135" s="13">
        <f>'التقنية الرقمية'!K4</f>
        <v/>
      </c>
      <c r="F135" s="15">
        <f>'التقنية الرقمية'!L4</f>
        <v/>
      </c>
      <c r="G135" s="47">
        <f>'التقنية الرقمية'!N4</f>
        <v/>
      </c>
      <c r="H135" s="15">
        <f>'التقنية الرقمية'!O4</f>
        <v/>
      </c>
      <c r="I135" s="68">
        <f>'التقنية الرقمية'!G4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الرقمية'!C5</f>
        <v/>
      </c>
      <c r="D136" s="15">
        <f>'التقنية الرقمية'!J5</f>
        <v/>
      </c>
      <c r="E136" s="13">
        <f>'التقنية الرقمية'!K5</f>
        <v/>
      </c>
      <c r="F136" s="15">
        <f>'التقنية الرقمية'!L5</f>
        <v/>
      </c>
      <c r="G136" s="47">
        <f>'التقنية الرقمية'!N5</f>
        <v/>
      </c>
      <c r="H136" s="15">
        <f>'التقنية الرقمية'!O5</f>
        <v/>
      </c>
      <c r="I136" s="68">
        <f>'التقنية الرقمية'!G5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الرقمية'!C6</f>
        <v/>
      </c>
      <c r="D137" s="15">
        <f>'التقنية الرقمية'!J6</f>
        <v/>
      </c>
      <c r="E137" s="13">
        <f>'التقنية الرقمية'!K6</f>
        <v/>
      </c>
      <c r="F137" s="15">
        <f>'التقنية الرقمية'!L6</f>
        <v/>
      </c>
      <c r="G137" s="47">
        <f>'التقنية الرقمية'!N6</f>
        <v/>
      </c>
      <c r="H137" s="15">
        <f>'التقنية الرقمية'!O6</f>
        <v/>
      </c>
      <c r="I137" s="68">
        <f>'التقنية الرقمية'!G6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الرقمية'!C7</f>
        <v/>
      </c>
      <c r="D138" s="15">
        <f>'التقنية الرقمية'!J7</f>
        <v/>
      </c>
      <c r="E138" s="13">
        <f>'التقنية الرقمية'!K7</f>
        <v/>
      </c>
      <c r="F138" s="15">
        <f>'التقنية الرقمية'!L7</f>
        <v/>
      </c>
      <c r="G138" s="47">
        <f>'التقنية الرقمية'!N7</f>
        <v/>
      </c>
      <c r="H138" s="15">
        <f>'التقنية الرقمية'!O7</f>
        <v/>
      </c>
      <c r="I138" s="68">
        <f>'التقنية الرقمية'!G7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الرقمية'!C8</f>
        <v/>
      </c>
      <c r="D139" s="15">
        <f>'التقنية الرقمية'!J8</f>
        <v/>
      </c>
      <c r="E139" s="13">
        <f>'التقنية الرقمية'!K8</f>
        <v/>
      </c>
      <c r="F139" s="15">
        <f>'التقنية الرقمية'!L8</f>
        <v/>
      </c>
      <c r="G139" s="47">
        <f>'التقنية الرقمية'!N8</f>
        <v/>
      </c>
      <c r="H139" s="15">
        <f>'التقنية الرقمية'!O8</f>
        <v/>
      </c>
      <c r="I139" s="68">
        <f>'التقنية الرقمية'!G8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الرقمية'!C9</f>
        <v/>
      </c>
      <c r="D140" s="15">
        <f>'التقنية الرقمية'!J9</f>
        <v/>
      </c>
      <c r="E140" s="13">
        <f>'التقنية الرقمية'!K9</f>
        <v/>
      </c>
      <c r="F140" s="15">
        <f>'التقنية الرقمية'!L9</f>
        <v/>
      </c>
      <c r="G140" s="47">
        <f>'التقنية الرقمية'!N9</f>
        <v/>
      </c>
      <c r="H140" s="15">
        <f>'التقنية الرقمية'!O9</f>
        <v/>
      </c>
      <c r="I140" s="68">
        <f>'التقنية الرقمية'!G9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الرقمية'!C10</f>
        <v/>
      </c>
      <c r="D141" s="15">
        <f>'التقنية الرقمية'!J10</f>
        <v/>
      </c>
      <c r="E141" s="13">
        <f>'التقنية الرقمية'!K10</f>
        <v/>
      </c>
      <c r="F141" s="15">
        <f>'التقنية الرقمية'!L10</f>
        <v/>
      </c>
      <c r="G141" s="47">
        <f>'التقنية الرقمية'!N10</f>
        <v/>
      </c>
      <c r="H141" s="15">
        <f>'التقنية الرقمية'!O10</f>
        <v/>
      </c>
      <c r="I141" s="68">
        <f>'التقنية الرقمية'!G10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الرقمية'!C11</f>
        <v/>
      </c>
      <c r="D142" s="15">
        <f>'التقنية الرقمية'!J11</f>
        <v/>
      </c>
      <c r="E142" s="13">
        <f>'التقنية الرقمية'!K11</f>
        <v/>
      </c>
      <c r="F142" s="15">
        <f>'التقنية الرقمية'!L11</f>
        <v/>
      </c>
      <c r="G142" s="47">
        <f>'التقنية الرقمية'!N11</f>
        <v/>
      </c>
      <c r="H142" s="15">
        <f>'التقنية الرقمية'!O11</f>
        <v/>
      </c>
      <c r="I142" s="68">
        <f>'التقنية الرقمية'!G11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الرقمية'!C12</f>
        <v/>
      </c>
      <c r="D143" s="15">
        <f>'التقنية الرقمية'!J12</f>
        <v/>
      </c>
      <c r="E143" s="13">
        <f>'التقنية الرقمية'!K12</f>
        <v/>
      </c>
      <c r="F143" s="15">
        <f>'التقنية الرقمية'!L12</f>
        <v/>
      </c>
      <c r="G143" s="47">
        <f>'التقنية الرقمية'!N12</f>
        <v/>
      </c>
      <c r="H143" s="15">
        <f>'التقنية الرقمية'!O12</f>
        <v/>
      </c>
      <c r="I143" s="68">
        <f>'التقنية الرقمية'!G12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الرقمية'!C13</f>
        <v/>
      </c>
      <c r="D144" s="15">
        <f>'التقنية الرقمية'!J13</f>
        <v/>
      </c>
      <c r="E144" s="13">
        <f>'التقنية الرقمية'!K13</f>
        <v/>
      </c>
      <c r="F144" s="15">
        <f>'التقنية الرقمية'!L13</f>
        <v/>
      </c>
      <c r="G144" s="47">
        <f>'التقنية الرقمية'!N13</f>
        <v/>
      </c>
      <c r="H144" s="15">
        <f>'التقنية الرقمية'!O13</f>
        <v/>
      </c>
      <c r="I144" s="68">
        <f>'التقنية الرقمية'!G13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الرقمية'!C14</f>
        <v/>
      </c>
      <c r="D145" s="15">
        <f>'التقنية الرقمية'!J14</f>
        <v/>
      </c>
      <c r="E145" s="13">
        <f>'التقنية الرقمية'!K14</f>
        <v/>
      </c>
      <c r="F145" s="15">
        <f>'التقنية الرقمية'!L14</f>
        <v/>
      </c>
      <c r="G145" s="47">
        <f>'التقنية الرقمية'!N14</f>
        <v/>
      </c>
      <c r="H145" s="15">
        <f>'التقنية الرقمية'!O14</f>
        <v/>
      </c>
      <c r="I145" s="68">
        <f>'التقنية الرقمية'!G14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التقنية الرقمية</t>
        </is>
      </c>
      <c r="C146" s="13">
        <f>'التقنية الرقمية'!C15</f>
        <v/>
      </c>
      <c r="D146" s="15">
        <f>'التقنية الرقمية'!J15</f>
        <v/>
      </c>
      <c r="E146" s="13">
        <f>'التقنية الرقمية'!K15</f>
        <v/>
      </c>
      <c r="F146" s="15">
        <f>'التقنية الرقمية'!L15</f>
        <v/>
      </c>
      <c r="G146" s="47">
        <f>'التقنية الرقمية'!N15</f>
        <v/>
      </c>
      <c r="H146" s="15">
        <f>'التقنية الرقمية'!O15</f>
        <v/>
      </c>
      <c r="I146" s="68">
        <f>'التقنية الرقمية'!G15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البشرية'!C4</f>
        <v/>
      </c>
      <c r="D147" s="15">
        <f>'الموارد البشرية'!J4</f>
        <v/>
      </c>
      <c r="E147" s="13">
        <f>'الموارد البشرية'!K4</f>
        <v/>
      </c>
      <c r="F147" s="15">
        <f>'الموارد البشرية'!L4</f>
        <v/>
      </c>
      <c r="G147" s="47">
        <f>'الموارد البشرية'!N4</f>
        <v/>
      </c>
      <c r="H147" s="15">
        <f>'الموارد البشرية'!O4</f>
        <v/>
      </c>
      <c r="I147" s="68">
        <f>'الموارد البشرية'!G4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البشرية'!C5</f>
        <v/>
      </c>
      <c r="D148" s="15">
        <f>'الموارد البشرية'!J5</f>
        <v/>
      </c>
      <c r="E148" s="13">
        <f>'الموارد البشرية'!K5</f>
        <v/>
      </c>
      <c r="F148" s="15">
        <f>'الموارد البشرية'!L5</f>
        <v/>
      </c>
      <c r="G148" s="47">
        <f>'الموارد البشرية'!N5</f>
        <v/>
      </c>
      <c r="H148" s="15">
        <f>'الموارد البشرية'!O5</f>
        <v/>
      </c>
      <c r="I148" s="68">
        <f>'الموارد البشرية'!G5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البشرية'!C6</f>
        <v/>
      </c>
      <c r="D149" s="15">
        <f>'الموارد البشرية'!J6</f>
        <v/>
      </c>
      <c r="E149" s="13">
        <f>'الموارد البشرية'!K6</f>
        <v/>
      </c>
      <c r="F149" s="15">
        <f>'الموارد البشرية'!L6</f>
        <v/>
      </c>
      <c r="G149" s="47">
        <f>'الموارد البشرية'!N6</f>
        <v/>
      </c>
      <c r="H149" s="15">
        <f>'الموارد البشرية'!O6</f>
        <v/>
      </c>
      <c r="I149" s="68">
        <f>'الموارد البشرية'!G6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البشرية'!C7</f>
        <v/>
      </c>
      <c r="D150" s="15">
        <f>'الموارد البشرية'!J7</f>
        <v/>
      </c>
      <c r="E150" s="13">
        <f>'الموارد البشرية'!K7</f>
        <v/>
      </c>
      <c r="F150" s="15">
        <f>'الموارد البشرية'!L7</f>
        <v/>
      </c>
      <c r="G150" s="47">
        <f>'الموارد البشرية'!N7</f>
        <v/>
      </c>
      <c r="H150" s="15">
        <f>'الموارد البشرية'!O7</f>
        <v/>
      </c>
      <c r="I150" s="68">
        <f>'الموارد البشرية'!G7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البشرية'!C8</f>
        <v/>
      </c>
      <c r="D151" s="15">
        <f>'الموارد البشرية'!J8</f>
        <v/>
      </c>
      <c r="E151" s="13">
        <f>'الموارد البشرية'!K8</f>
        <v/>
      </c>
      <c r="F151" s="15">
        <f>'الموارد البشرية'!L8</f>
        <v/>
      </c>
      <c r="G151" s="47">
        <f>'الموارد البشرية'!N8</f>
        <v/>
      </c>
      <c r="H151" s="15">
        <f>'الموارد البشرية'!O8</f>
        <v/>
      </c>
      <c r="I151" s="68">
        <f>'الموارد البشرية'!G8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البشرية'!C9</f>
        <v/>
      </c>
      <c r="D152" s="15">
        <f>'الموارد البشرية'!J9</f>
        <v/>
      </c>
      <c r="E152" s="13">
        <f>'الموارد البشرية'!K9</f>
        <v/>
      </c>
      <c r="F152" s="15">
        <f>'الموارد البشرية'!L9</f>
        <v/>
      </c>
      <c r="G152" s="47">
        <f>'الموارد البشرية'!N9</f>
        <v/>
      </c>
      <c r="H152" s="15">
        <f>'الموارد البشرية'!O9</f>
        <v/>
      </c>
      <c r="I152" s="68">
        <f>'الموارد البشرية'!G9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البشرية'!C10</f>
        <v/>
      </c>
      <c r="D153" s="15">
        <f>'الموارد البشرية'!J10</f>
        <v/>
      </c>
      <c r="E153" s="13">
        <f>'الموارد البشرية'!K10</f>
        <v/>
      </c>
      <c r="F153" s="15">
        <f>'الموارد البشرية'!L10</f>
        <v/>
      </c>
      <c r="G153" s="47">
        <f>'الموارد البشرية'!N10</f>
        <v/>
      </c>
      <c r="H153" s="15">
        <f>'الموارد البشرية'!O10</f>
        <v/>
      </c>
      <c r="I153" s="68">
        <f>'الموارد البشرية'!G10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البشرية'!C11</f>
        <v/>
      </c>
      <c r="D154" s="15">
        <f>'الموارد البشرية'!J11</f>
        <v/>
      </c>
      <c r="E154" s="13">
        <f>'الموارد البشرية'!K11</f>
        <v/>
      </c>
      <c r="F154" s="15">
        <f>'الموارد البشرية'!L11</f>
        <v/>
      </c>
      <c r="G154" s="47">
        <f>'الموارد البشرية'!N11</f>
        <v/>
      </c>
      <c r="H154" s="15">
        <f>'الموارد البشرية'!O11</f>
        <v/>
      </c>
      <c r="I154" s="68">
        <f>'الموارد البشرية'!G11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البشرية'!C12</f>
        <v/>
      </c>
      <c r="D155" s="15">
        <f>'الموارد البشرية'!J12</f>
        <v/>
      </c>
      <c r="E155" s="13">
        <f>'الموارد البشرية'!K12</f>
        <v/>
      </c>
      <c r="F155" s="15">
        <f>'الموارد البشرية'!L12</f>
        <v/>
      </c>
      <c r="G155" s="47">
        <f>'الموارد البشرية'!N12</f>
        <v/>
      </c>
      <c r="H155" s="15">
        <f>'الموارد البشرية'!O12</f>
        <v/>
      </c>
      <c r="I155" s="68">
        <f>'الموارد البشرية'!G12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البشرية'!C13</f>
        <v/>
      </c>
      <c r="D156" s="15">
        <f>'الموارد البشرية'!J13</f>
        <v/>
      </c>
      <c r="E156" s="13">
        <f>'الموارد البشرية'!K13</f>
        <v/>
      </c>
      <c r="F156" s="15">
        <f>'الموارد البشرية'!L13</f>
        <v/>
      </c>
      <c r="G156" s="47">
        <f>'الموارد البشرية'!N13</f>
        <v/>
      </c>
      <c r="H156" s="15">
        <f>'الموارد البشرية'!O13</f>
        <v/>
      </c>
      <c r="I156" s="68">
        <f>'الموارد البشرية'!G13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البشرية'!C14</f>
        <v/>
      </c>
      <c r="D157" s="15">
        <f>'الموارد البشرية'!J14</f>
        <v/>
      </c>
      <c r="E157" s="13">
        <f>'الموارد البشرية'!K14</f>
        <v/>
      </c>
      <c r="F157" s="15">
        <f>'الموارد البشرية'!L14</f>
        <v/>
      </c>
      <c r="G157" s="47">
        <f>'الموارد البشرية'!N14</f>
        <v/>
      </c>
      <c r="H157" s="15">
        <f>'الموارد البشرية'!O14</f>
        <v/>
      </c>
      <c r="I157" s="68">
        <f>'الموارد البشرية'!G14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الموارد البشرية</t>
        </is>
      </c>
      <c r="C158" s="13">
        <f>'الموارد البشرية'!C15</f>
        <v/>
      </c>
      <c r="D158" s="15">
        <f>'الموارد البشرية'!J15</f>
        <v/>
      </c>
      <c r="E158" s="13">
        <f>'الموارد البشرية'!K15</f>
        <v/>
      </c>
      <c r="F158" s="15">
        <f>'الموارد البشرية'!L15</f>
        <v/>
      </c>
      <c r="G158" s="47">
        <f>'الموارد البشرية'!N15</f>
        <v/>
      </c>
      <c r="H158" s="15">
        <f>'الموارد البشرية'!O15</f>
        <v/>
      </c>
      <c r="I158" s="68">
        <f>'الموارد البشرية'!G15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'التسويق'!C4</f>
        <v/>
      </c>
      <c r="D159" s="15">
        <f>'التسويق'!J4</f>
        <v/>
      </c>
      <c r="E159" s="13">
        <f>'التسويق'!K4</f>
        <v/>
      </c>
      <c r="F159" s="15">
        <f>'التسويق'!L4</f>
        <v/>
      </c>
      <c r="G159" s="47">
        <f>'التسويق'!N4</f>
        <v/>
      </c>
      <c r="H159" s="15">
        <f>'التسويق'!O4</f>
        <v/>
      </c>
      <c r="I159" s="68">
        <f>'التسويق'!G4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'التسويق'!C5</f>
        <v/>
      </c>
      <c r="D160" s="15">
        <f>'التسويق'!J5</f>
        <v/>
      </c>
      <c r="E160" s="13">
        <f>'التسويق'!K5</f>
        <v/>
      </c>
      <c r="F160" s="15">
        <f>'التسويق'!L5</f>
        <v/>
      </c>
      <c r="G160" s="47">
        <f>'التسويق'!N5</f>
        <v/>
      </c>
      <c r="H160" s="15">
        <f>'التسويق'!O5</f>
        <v/>
      </c>
      <c r="I160" s="68">
        <f>'التسويق'!G5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'التسويق'!C6</f>
        <v/>
      </c>
      <c r="D161" s="15">
        <f>'التسويق'!J6</f>
        <v/>
      </c>
      <c r="E161" s="13">
        <f>'التسويق'!K6</f>
        <v/>
      </c>
      <c r="F161" s="15">
        <f>'التسويق'!L6</f>
        <v/>
      </c>
      <c r="G161" s="47">
        <f>'التسويق'!N6</f>
        <v/>
      </c>
      <c r="H161" s="15">
        <f>'التسويق'!O6</f>
        <v/>
      </c>
      <c r="I161" s="68">
        <f>'التسويق'!G6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'التسويق'!C7</f>
        <v/>
      </c>
      <c r="D162" s="15">
        <f>'التسويق'!J7</f>
        <v/>
      </c>
      <c r="E162" s="13">
        <f>'التسويق'!K7</f>
        <v/>
      </c>
      <c r="F162" s="15">
        <f>'التسويق'!L7</f>
        <v/>
      </c>
      <c r="G162" s="47">
        <f>'التسويق'!N7</f>
        <v/>
      </c>
      <c r="H162" s="15">
        <f>'التسويق'!O7</f>
        <v/>
      </c>
      <c r="I162" s="68">
        <f>'التسويق'!G7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'التسويق'!C8</f>
        <v/>
      </c>
      <c r="D163" s="15">
        <f>'التسويق'!J8</f>
        <v/>
      </c>
      <c r="E163" s="13">
        <f>'التسويق'!K8</f>
        <v/>
      </c>
      <c r="F163" s="15">
        <f>'التسويق'!L8</f>
        <v/>
      </c>
      <c r="G163" s="47">
        <f>'التسويق'!N8</f>
        <v/>
      </c>
      <c r="H163" s="15">
        <f>'التسويق'!O8</f>
        <v/>
      </c>
      <c r="I163" s="68">
        <f>'التسويق'!G8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'التسويق'!C9</f>
        <v/>
      </c>
      <c r="D164" s="15">
        <f>'التسويق'!J9</f>
        <v/>
      </c>
      <c r="E164" s="13">
        <f>'التسويق'!K9</f>
        <v/>
      </c>
      <c r="F164" s="15">
        <f>'التسويق'!L9</f>
        <v/>
      </c>
      <c r="G164" s="47">
        <f>'التسويق'!N9</f>
        <v/>
      </c>
      <c r="H164" s="15">
        <f>'التسويق'!O9</f>
        <v/>
      </c>
      <c r="I164" s="68">
        <f>'التسويق'!G9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'التسويق'!C10</f>
        <v/>
      </c>
      <c r="D165" s="15">
        <f>'التسويق'!J10</f>
        <v/>
      </c>
      <c r="E165" s="13">
        <f>'التسويق'!K10</f>
        <v/>
      </c>
      <c r="F165" s="15">
        <f>'التسويق'!L10</f>
        <v/>
      </c>
      <c r="G165" s="47">
        <f>'التسويق'!N10</f>
        <v/>
      </c>
      <c r="H165" s="15">
        <f>'التسويق'!O10</f>
        <v/>
      </c>
      <c r="I165" s="68">
        <f>'التسويق'!G10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'التسويق'!C11</f>
        <v/>
      </c>
      <c r="D166" s="15">
        <f>'التسويق'!J11</f>
        <v/>
      </c>
      <c r="E166" s="13">
        <f>'التسويق'!K11</f>
        <v/>
      </c>
      <c r="F166" s="15">
        <f>'التسويق'!L11</f>
        <v/>
      </c>
      <c r="G166" s="47">
        <f>'التسويق'!N11</f>
        <v/>
      </c>
      <c r="H166" s="15">
        <f>'التسويق'!O11</f>
        <v/>
      </c>
      <c r="I166" s="68">
        <f>'التسويق'!G11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'التسويق'!C12</f>
        <v/>
      </c>
      <c r="D167" s="15">
        <f>'التسويق'!J12</f>
        <v/>
      </c>
      <c r="E167" s="13">
        <f>'التسويق'!K12</f>
        <v/>
      </c>
      <c r="F167" s="15">
        <f>'التسويق'!L12</f>
        <v/>
      </c>
      <c r="G167" s="47">
        <f>'التسويق'!N12</f>
        <v/>
      </c>
      <c r="H167" s="15">
        <f>'التسويق'!O12</f>
        <v/>
      </c>
      <c r="I167" s="68">
        <f>'التسويق'!G12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'التسويق'!C13</f>
        <v/>
      </c>
      <c r="D168" s="15">
        <f>'التسويق'!J13</f>
        <v/>
      </c>
      <c r="E168" s="13">
        <f>'التسويق'!K13</f>
        <v/>
      </c>
      <c r="F168" s="15">
        <f>'التسويق'!L13</f>
        <v/>
      </c>
      <c r="G168" s="47">
        <f>'التسويق'!N13</f>
        <v/>
      </c>
      <c r="H168" s="15">
        <f>'التسويق'!O13</f>
        <v/>
      </c>
      <c r="I168" s="68">
        <f>'التسويق'!G13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'التسويق'!C14</f>
        <v/>
      </c>
      <c r="D169" s="15">
        <f>'التسويق'!J14</f>
        <v/>
      </c>
      <c r="E169" s="13">
        <f>'التسويق'!K14</f>
        <v/>
      </c>
      <c r="F169" s="15">
        <f>'التسويق'!L14</f>
        <v/>
      </c>
      <c r="G169" s="47">
        <f>'التسويق'!N14</f>
        <v/>
      </c>
      <c r="H169" s="15">
        <f>'التسويق'!O14</f>
        <v/>
      </c>
      <c r="I169" s="68">
        <f>'التسويق'!G14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'التسويق'!C15</f>
        <v/>
      </c>
      <c r="D170" s="15">
        <f>'التسويق'!J15</f>
        <v/>
      </c>
      <c r="E170" s="13">
        <f>'التسويق'!K15</f>
        <v/>
      </c>
      <c r="F170" s="15">
        <f>'التسويق'!L15</f>
        <v/>
      </c>
      <c r="G170" s="47">
        <f>'التسويق'!N15</f>
        <v/>
      </c>
      <c r="H170" s="15">
        <f>'التسويق'!O15</f>
        <v/>
      </c>
      <c r="I170" s="68">
        <f>'التسويق'!G15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'التسويق'!C16</f>
        <v/>
      </c>
      <c r="D171" s="15">
        <f>'التسويق'!J16</f>
        <v/>
      </c>
      <c r="E171" s="13">
        <f>'التسويق'!K16</f>
        <v/>
      </c>
      <c r="F171" s="15">
        <f>'التسويق'!L16</f>
        <v/>
      </c>
      <c r="G171" s="47">
        <f>'التسويق'!N16</f>
        <v/>
      </c>
      <c r="H171" s="15">
        <f>'التسويق'!O16</f>
        <v/>
      </c>
      <c r="I171" s="68">
        <f>'التسويق'!G16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'التسويق'!C17</f>
        <v/>
      </c>
      <c r="D172" s="15">
        <f>'التسويق'!J17</f>
        <v/>
      </c>
      <c r="E172" s="13">
        <f>'التسويق'!K17</f>
        <v/>
      </c>
      <c r="F172" s="15">
        <f>'التسويق'!L17</f>
        <v/>
      </c>
      <c r="G172" s="47">
        <f>'التسويق'!N17</f>
        <v/>
      </c>
      <c r="H172" s="15">
        <f>'التسويق'!O17</f>
        <v/>
      </c>
      <c r="I172" s="68">
        <f>'التسويق'!G17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التسويق</t>
        </is>
      </c>
      <c r="C173" s="13">
        <f>'التسويق'!C18</f>
        <v/>
      </c>
      <c r="D173" s="15">
        <f>'التسويق'!J18</f>
        <v/>
      </c>
      <c r="E173" s="13">
        <f>'التسويق'!K18</f>
        <v/>
      </c>
      <c r="F173" s="15">
        <f>'التسويق'!L18</f>
        <v/>
      </c>
      <c r="G173" s="47">
        <f>'التسويق'!N18</f>
        <v/>
      </c>
      <c r="H173" s="15">
        <f>'التسويق'!O18</f>
        <v/>
      </c>
      <c r="I173" s="68">
        <f>'التسويق'!G18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'الجودة'!C4</f>
        <v/>
      </c>
      <c r="D174" s="15">
        <f>'الجودة'!J4</f>
        <v/>
      </c>
      <c r="E174" s="13">
        <f>'الجودة'!K4</f>
        <v/>
      </c>
      <c r="F174" s="15">
        <f>'الجودة'!L4</f>
        <v/>
      </c>
      <c r="G174" s="47">
        <f>'الجودة'!N4</f>
        <v/>
      </c>
      <c r="H174" s="15">
        <f>'الجودة'!O4</f>
        <v/>
      </c>
      <c r="I174" s="68">
        <f>'الجودة'!G4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'الجودة'!C5</f>
        <v/>
      </c>
      <c r="D175" s="15">
        <f>'الجودة'!J5</f>
        <v/>
      </c>
      <c r="E175" s="13">
        <f>'الجودة'!K5</f>
        <v/>
      </c>
      <c r="F175" s="15">
        <f>'الجودة'!L5</f>
        <v/>
      </c>
      <c r="G175" s="47">
        <f>'الجودة'!N5</f>
        <v/>
      </c>
      <c r="H175" s="15">
        <f>'الجودة'!O5</f>
        <v/>
      </c>
      <c r="I175" s="68">
        <f>'الجودة'!G5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'الجودة'!C6</f>
        <v/>
      </c>
      <c r="D176" s="15">
        <f>'الجودة'!J6</f>
        <v/>
      </c>
      <c r="E176" s="13">
        <f>'الجودة'!K6</f>
        <v/>
      </c>
      <c r="F176" s="15">
        <f>'الجودة'!L6</f>
        <v/>
      </c>
      <c r="G176" s="47">
        <f>'الجودة'!N6</f>
        <v/>
      </c>
      <c r="H176" s="15">
        <f>'الجودة'!O6</f>
        <v/>
      </c>
      <c r="I176" s="68">
        <f>'الجودة'!G6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'الجودة'!C7</f>
        <v/>
      </c>
      <c r="D177" s="15">
        <f>'الجودة'!J7</f>
        <v/>
      </c>
      <c r="E177" s="13">
        <f>'الجودة'!K7</f>
        <v/>
      </c>
      <c r="F177" s="15">
        <f>'الجودة'!L7</f>
        <v/>
      </c>
      <c r="G177" s="47">
        <f>'الجودة'!N7</f>
        <v/>
      </c>
      <c r="H177" s="15">
        <f>'الجودة'!O7</f>
        <v/>
      </c>
      <c r="I177" s="68">
        <f>'الجودة'!G7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'الجودة'!C8</f>
        <v/>
      </c>
      <c r="D178" s="15">
        <f>'الجودة'!J8</f>
        <v/>
      </c>
      <c r="E178" s="13">
        <f>'الجودة'!K8</f>
        <v/>
      </c>
      <c r="F178" s="15">
        <f>'الجودة'!L8</f>
        <v/>
      </c>
      <c r="G178" s="47">
        <f>'الجودة'!N8</f>
        <v/>
      </c>
      <c r="H178" s="15">
        <f>'الجودة'!O8</f>
        <v/>
      </c>
      <c r="I178" s="68">
        <f>'الجودة'!G8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'الجودة'!C9</f>
        <v/>
      </c>
      <c r="D179" s="15">
        <f>'الجودة'!J9</f>
        <v/>
      </c>
      <c r="E179" s="13">
        <f>'الجودة'!K9</f>
        <v/>
      </c>
      <c r="F179" s="15">
        <f>'الجودة'!L9</f>
        <v/>
      </c>
      <c r="G179" s="47">
        <f>'الجودة'!N9</f>
        <v/>
      </c>
      <c r="H179" s="15">
        <f>'الجودة'!O9</f>
        <v/>
      </c>
      <c r="I179" s="68">
        <f>'الجودة'!G9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'الجودة'!C10</f>
        <v/>
      </c>
      <c r="D180" s="15">
        <f>'الجودة'!J10</f>
        <v/>
      </c>
      <c r="E180" s="13">
        <f>'الجودة'!K10</f>
        <v/>
      </c>
      <c r="F180" s="15">
        <f>'الجودة'!L10</f>
        <v/>
      </c>
      <c r="G180" s="47">
        <f>'الجودة'!N10</f>
        <v/>
      </c>
      <c r="H180" s="15">
        <f>'الجودة'!O10</f>
        <v/>
      </c>
      <c r="I180" s="68">
        <f>'الجودة'!G10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'الجودة'!C11</f>
        <v/>
      </c>
      <c r="D181" s="15">
        <f>'الجودة'!J11</f>
        <v/>
      </c>
      <c r="E181" s="13">
        <f>'الجودة'!K11</f>
        <v/>
      </c>
      <c r="F181" s="15">
        <f>'الجودة'!L11</f>
        <v/>
      </c>
      <c r="G181" s="47">
        <f>'الجودة'!N11</f>
        <v/>
      </c>
      <c r="H181" s="15">
        <f>'الجودة'!O11</f>
        <v/>
      </c>
      <c r="I181" s="68">
        <f>'الجودة'!G11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'الجودة'!C12</f>
        <v/>
      </c>
      <c r="D182" s="15">
        <f>'الجودة'!J12</f>
        <v/>
      </c>
      <c r="E182" s="13">
        <f>'الجودة'!K12</f>
        <v/>
      </c>
      <c r="F182" s="15">
        <f>'الجودة'!L12</f>
        <v/>
      </c>
      <c r="G182" s="47">
        <f>'الجودة'!N12</f>
        <v/>
      </c>
      <c r="H182" s="15">
        <f>'الجودة'!O12</f>
        <v/>
      </c>
      <c r="I182" s="68">
        <f>'الجودة'!G12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'الجودة'!C13</f>
        <v/>
      </c>
      <c r="D183" s="15">
        <f>'الجودة'!J13</f>
        <v/>
      </c>
      <c r="E183" s="13">
        <f>'الجودة'!K13</f>
        <v/>
      </c>
      <c r="F183" s="15">
        <f>'الجودة'!L13</f>
        <v/>
      </c>
      <c r="G183" s="47">
        <f>'الجودة'!N13</f>
        <v/>
      </c>
      <c r="H183" s="15">
        <f>'الجودة'!O13</f>
        <v/>
      </c>
      <c r="I183" s="68">
        <f>'الجودة'!G13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'الجودة'!C14</f>
        <v/>
      </c>
      <c r="D184" s="15">
        <f>'الجودة'!J14</f>
        <v/>
      </c>
      <c r="E184" s="13">
        <f>'الجودة'!K14</f>
        <v/>
      </c>
      <c r="F184" s="15">
        <f>'الجودة'!L14</f>
        <v/>
      </c>
      <c r="G184" s="47">
        <f>'الجودة'!N14</f>
        <v/>
      </c>
      <c r="H184" s="15">
        <f>'الجودة'!O14</f>
        <v/>
      </c>
      <c r="I184" s="68">
        <f>'الجودة'!G14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'الجودة'!C15</f>
        <v/>
      </c>
      <c r="D185" s="15">
        <f>'الجودة'!J15</f>
        <v/>
      </c>
      <c r="E185" s="13">
        <f>'الجودة'!K15</f>
        <v/>
      </c>
      <c r="F185" s="15">
        <f>'الجودة'!L15</f>
        <v/>
      </c>
      <c r="G185" s="47">
        <f>'الجودة'!N15</f>
        <v/>
      </c>
      <c r="H185" s="15">
        <f>'الجودة'!O15</f>
        <v/>
      </c>
      <c r="I185" s="68">
        <f>'الجودة'!G15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'الجودة'!C16</f>
        <v/>
      </c>
      <c r="D186" s="15">
        <f>'الجودة'!J16</f>
        <v/>
      </c>
      <c r="E186" s="13">
        <f>'الجودة'!K16</f>
        <v/>
      </c>
      <c r="F186" s="15">
        <f>'الجودة'!L16</f>
        <v/>
      </c>
      <c r="G186" s="47">
        <f>'الجودة'!N16</f>
        <v/>
      </c>
      <c r="H186" s="15">
        <f>'الجودة'!O16</f>
        <v/>
      </c>
      <c r="I186" s="68">
        <f>'الجودة'!G16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'الجودة'!C17</f>
        <v/>
      </c>
      <c r="D187" s="15">
        <f>'الجودة'!J17</f>
        <v/>
      </c>
      <c r="E187" s="13">
        <f>'الجودة'!K17</f>
        <v/>
      </c>
      <c r="F187" s="15">
        <f>'الجودة'!L17</f>
        <v/>
      </c>
      <c r="G187" s="47">
        <f>'الجودة'!N17</f>
        <v/>
      </c>
      <c r="H187" s="15">
        <f>'الجودة'!O17</f>
        <v/>
      </c>
      <c r="I187" s="68">
        <f>'الجودة'!G17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القانونية'!C4</f>
        <v/>
      </c>
      <c r="D188" s="15">
        <f>'الإدارة القانونية'!J4</f>
        <v/>
      </c>
      <c r="E188" s="13">
        <f>'الإدارة القانونية'!K4</f>
        <v/>
      </c>
      <c r="F188" s="15">
        <f>'الإدارة القانونية'!L4</f>
        <v/>
      </c>
      <c r="G188" s="47">
        <f>'الإدارة القانونية'!N4</f>
        <v/>
      </c>
      <c r="H188" s="15">
        <f>'الإدارة القانونية'!O4</f>
        <v/>
      </c>
      <c r="I188" s="68">
        <f>'الإدارة القانونية'!G4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القانونية'!C5</f>
        <v/>
      </c>
      <c r="D189" s="15">
        <f>'الإدارة القانونية'!J5</f>
        <v/>
      </c>
      <c r="E189" s="13">
        <f>'الإدارة القانونية'!K5</f>
        <v/>
      </c>
      <c r="F189" s="15">
        <f>'الإدارة القانونية'!L5</f>
        <v/>
      </c>
      <c r="G189" s="47">
        <f>'الإدارة القانونية'!N5</f>
        <v/>
      </c>
      <c r="H189" s="15">
        <f>'الإدارة القانونية'!O5</f>
        <v/>
      </c>
      <c r="I189" s="68">
        <f>'الإدارة القانونية'!G5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القانونية'!C6</f>
        <v/>
      </c>
      <c r="D190" s="15">
        <f>'الإدارة القانونية'!J6</f>
        <v/>
      </c>
      <c r="E190" s="13">
        <f>'الإدارة القانونية'!K6</f>
        <v/>
      </c>
      <c r="F190" s="15">
        <f>'الإدارة القانونية'!L6</f>
        <v/>
      </c>
      <c r="G190" s="47">
        <f>'الإدارة القانونية'!N6</f>
        <v/>
      </c>
      <c r="H190" s="15">
        <f>'الإدارة القانونية'!O6</f>
        <v/>
      </c>
      <c r="I190" s="68">
        <f>'الإدارة القانونية'!G6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القانونية'!C7</f>
        <v/>
      </c>
      <c r="D191" s="15">
        <f>'الإدارة القانونية'!J7</f>
        <v/>
      </c>
      <c r="E191" s="13">
        <f>'الإدارة القانونية'!K7</f>
        <v/>
      </c>
      <c r="F191" s="15">
        <f>'الإدارة القانونية'!L7</f>
        <v/>
      </c>
      <c r="G191" s="47">
        <f>'الإدارة القانونية'!N7</f>
        <v/>
      </c>
      <c r="H191" s="15">
        <f>'الإدارة القانونية'!O7</f>
        <v/>
      </c>
      <c r="I191" s="68">
        <f>'الإدارة القانونية'!G7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القانونية'!C8</f>
        <v/>
      </c>
      <c r="D192" s="15">
        <f>'الإدارة القانونية'!J8</f>
        <v/>
      </c>
      <c r="E192" s="13">
        <f>'الإدارة القانونية'!K8</f>
        <v/>
      </c>
      <c r="F192" s="15">
        <f>'الإدارة القانونية'!L8</f>
        <v/>
      </c>
      <c r="G192" s="47">
        <f>'الإدارة القانونية'!N8</f>
        <v/>
      </c>
      <c r="H192" s="15">
        <f>'الإدارة القانونية'!O8</f>
        <v/>
      </c>
      <c r="I192" s="68">
        <f>'الإدارة القانونية'!G8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القانونية'!C9</f>
        <v/>
      </c>
      <c r="D193" s="15">
        <f>'الإدارة القانونية'!J9</f>
        <v/>
      </c>
      <c r="E193" s="13">
        <f>'الإدارة القانونية'!K9</f>
        <v/>
      </c>
      <c r="F193" s="15">
        <f>'الإدارة القانونية'!L9</f>
        <v/>
      </c>
      <c r="G193" s="47">
        <f>'الإدارة القانونية'!N9</f>
        <v/>
      </c>
      <c r="H193" s="15">
        <f>'الإدارة القانونية'!O9</f>
        <v/>
      </c>
      <c r="I193" s="68">
        <f>'الإدارة القانونية'!G9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القانونية'!C10</f>
        <v/>
      </c>
      <c r="D194" s="15">
        <f>'الإدارة القانونية'!J10</f>
        <v/>
      </c>
      <c r="E194" s="13">
        <f>'الإدارة القانونية'!K10</f>
        <v/>
      </c>
      <c r="F194" s="15">
        <f>'الإدارة القانونية'!L10</f>
        <v/>
      </c>
      <c r="G194" s="47">
        <f>'الإدارة القانونية'!N10</f>
        <v/>
      </c>
      <c r="H194" s="15">
        <f>'الإدارة القانونية'!O10</f>
        <v/>
      </c>
      <c r="I194" s="68">
        <f>'الإدارة القانونية'!G10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القانونية'!C11</f>
        <v/>
      </c>
      <c r="D195" s="15">
        <f>'الإدارة القانونية'!J11</f>
        <v/>
      </c>
      <c r="E195" s="13">
        <f>'الإدارة القانونية'!K11</f>
        <v/>
      </c>
      <c r="F195" s="15">
        <f>'الإدارة القانونية'!L11</f>
        <v/>
      </c>
      <c r="G195" s="47">
        <f>'الإدارة القانونية'!N11</f>
        <v/>
      </c>
      <c r="H195" s="15">
        <f>'الإدارة القانونية'!O11</f>
        <v/>
      </c>
      <c r="I195" s="68">
        <f>'الإدارة القانونية'!G11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القانونية'!C12</f>
        <v/>
      </c>
      <c r="D196" s="15">
        <f>'الإدارة القانونية'!J12</f>
        <v/>
      </c>
      <c r="E196" s="13">
        <f>'الإدارة القانونية'!K12</f>
        <v/>
      </c>
      <c r="F196" s="15">
        <f>'الإدارة القانونية'!L12</f>
        <v/>
      </c>
      <c r="G196" s="47">
        <f>'الإدارة القانونية'!N12</f>
        <v/>
      </c>
      <c r="H196" s="15">
        <f>'الإدارة القانونية'!O12</f>
        <v/>
      </c>
      <c r="I196" s="68">
        <f>'الإدارة القانونية'!G12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القانونية'!C13</f>
        <v/>
      </c>
      <c r="D197" s="15">
        <f>'الإدارة القانونية'!J13</f>
        <v/>
      </c>
      <c r="E197" s="13">
        <f>'الإدارة القانونية'!K13</f>
        <v/>
      </c>
      <c r="F197" s="15">
        <f>'الإدارة القانونية'!L13</f>
        <v/>
      </c>
      <c r="G197" s="47">
        <f>'الإدارة القانونية'!N13</f>
        <v/>
      </c>
      <c r="H197" s="15">
        <f>'الإدارة القانونية'!O13</f>
        <v/>
      </c>
      <c r="I197" s="68">
        <f>'الإدارة القانونية'!G13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القانونية'!C14</f>
        <v/>
      </c>
      <c r="D198" s="15">
        <f>'الإدارة القانونية'!J14</f>
        <v/>
      </c>
      <c r="E198" s="13">
        <f>'الإدارة القانونية'!K14</f>
        <v/>
      </c>
      <c r="F198" s="15">
        <f>'الإدارة القانونية'!L14</f>
        <v/>
      </c>
      <c r="G198" s="47">
        <f>'الإدارة القانونية'!N14</f>
        <v/>
      </c>
      <c r="H198" s="15">
        <f>'الإدارة القانونية'!O14</f>
        <v/>
      </c>
      <c r="I198" s="68">
        <f>'الإدارة القانونية'!G14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القانونية'!C15</f>
        <v/>
      </c>
      <c r="D199" s="15">
        <f>'الإدارة القانونية'!J15</f>
        <v/>
      </c>
      <c r="E199" s="13">
        <f>'الإدارة القانونية'!K15</f>
        <v/>
      </c>
      <c r="F199" s="15">
        <f>'الإدارة القانونية'!L15</f>
        <v/>
      </c>
      <c r="G199" s="47">
        <f>'الإدارة القانونية'!N15</f>
        <v/>
      </c>
      <c r="H199" s="15">
        <f>'الإدارة القانونية'!O15</f>
        <v/>
      </c>
      <c r="I199" s="68">
        <f>'الإدارة القانونية'!G15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القانونية'!C16</f>
        <v/>
      </c>
      <c r="D200" s="15">
        <f>'الإدارة القانونية'!J16</f>
        <v/>
      </c>
      <c r="E200" s="13">
        <f>'الإدارة القانونية'!K16</f>
        <v/>
      </c>
      <c r="F200" s="15">
        <f>'الإدارة القانونية'!L16</f>
        <v/>
      </c>
      <c r="G200" s="47">
        <f>'الإدارة القانونية'!N16</f>
        <v/>
      </c>
      <c r="H200" s="15">
        <f>'الإدارة القانونية'!O16</f>
        <v/>
      </c>
      <c r="I200" s="68">
        <f>'الإدارة القانونية'!G16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المالية'!C4</f>
        <v/>
      </c>
      <c r="D201" s="15">
        <f>'الإدارة المالية'!J4</f>
        <v/>
      </c>
      <c r="E201" s="13">
        <f>'الإدارة المالية'!K4</f>
        <v/>
      </c>
      <c r="F201" s="15">
        <f>'الإدارة المالية'!L4</f>
        <v/>
      </c>
      <c r="G201" s="47">
        <f>'الإدارة المالية'!N4</f>
        <v/>
      </c>
      <c r="H201" s="15">
        <f>'الإدارة المالية'!O4</f>
        <v/>
      </c>
      <c r="I201" s="68">
        <f>'الإدارة المالية'!G4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المالية'!C5</f>
        <v/>
      </c>
      <c r="D202" s="15">
        <f>'الإدارة المالية'!J5</f>
        <v/>
      </c>
      <c r="E202" s="13">
        <f>'الإدارة المالية'!K5</f>
        <v/>
      </c>
      <c r="F202" s="15">
        <f>'الإدارة المالية'!L5</f>
        <v/>
      </c>
      <c r="G202" s="47">
        <f>'الإدارة المالية'!N5</f>
        <v/>
      </c>
      <c r="H202" s="15">
        <f>'الإدارة المالية'!O5</f>
        <v/>
      </c>
      <c r="I202" s="68">
        <f>'الإدارة المالية'!G5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المالية'!C6</f>
        <v/>
      </c>
      <c r="D203" s="15">
        <f>'الإدارة المالية'!J6</f>
        <v/>
      </c>
      <c r="E203" s="13">
        <f>'الإدارة المالية'!K6</f>
        <v/>
      </c>
      <c r="F203" s="15">
        <f>'الإدارة المالية'!L6</f>
        <v/>
      </c>
      <c r="G203" s="47">
        <f>'الإدارة المالية'!N6</f>
        <v/>
      </c>
      <c r="H203" s="15">
        <f>'الإدارة المالية'!O6</f>
        <v/>
      </c>
      <c r="I203" s="68">
        <f>'الإدارة المالية'!G6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المالية'!C7</f>
        <v/>
      </c>
      <c r="D204" s="15">
        <f>'الإدارة المالية'!J7</f>
        <v/>
      </c>
      <c r="E204" s="13">
        <f>'الإدارة المالية'!K7</f>
        <v/>
      </c>
      <c r="F204" s="15">
        <f>'الإدارة المالية'!L7</f>
        <v/>
      </c>
      <c r="G204" s="47">
        <f>'الإدارة المالية'!N7</f>
        <v/>
      </c>
      <c r="H204" s="15">
        <f>'الإدارة المالية'!O7</f>
        <v/>
      </c>
      <c r="I204" s="68">
        <f>'الإدارة المالية'!G7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المالية'!C8</f>
        <v/>
      </c>
      <c r="D205" s="15">
        <f>'الإدارة المالية'!J8</f>
        <v/>
      </c>
      <c r="E205" s="13">
        <f>'الإدارة المالية'!K8</f>
        <v/>
      </c>
      <c r="F205" s="15">
        <f>'الإدارة المالية'!L8</f>
        <v/>
      </c>
      <c r="G205" s="47">
        <f>'الإدارة المالية'!N8</f>
        <v/>
      </c>
      <c r="H205" s="15">
        <f>'الإدارة المالية'!O8</f>
        <v/>
      </c>
      <c r="I205" s="68">
        <f>'الإدارة المالية'!G8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المالية'!C9</f>
        <v/>
      </c>
      <c r="D206" s="15">
        <f>'الإدارة المالية'!J9</f>
        <v/>
      </c>
      <c r="E206" s="13">
        <f>'الإدارة المالية'!K9</f>
        <v/>
      </c>
      <c r="F206" s="15">
        <f>'الإدارة المالية'!L9</f>
        <v/>
      </c>
      <c r="G206" s="47">
        <f>'الإدارة المالية'!N9</f>
        <v/>
      </c>
      <c r="H206" s="15">
        <f>'الإدارة المالية'!O9</f>
        <v/>
      </c>
      <c r="I206" s="68">
        <f>'الإدارة المالية'!G9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المالية'!C10</f>
        <v/>
      </c>
      <c r="D207" s="15">
        <f>'الإدارة المالية'!J10</f>
        <v/>
      </c>
      <c r="E207" s="13">
        <f>'الإدارة المالية'!K10</f>
        <v/>
      </c>
      <c r="F207" s="15">
        <f>'الإدارة المالية'!L10</f>
        <v/>
      </c>
      <c r="G207" s="47">
        <f>'الإدارة المالية'!N10</f>
        <v/>
      </c>
      <c r="H207" s="15">
        <f>'الإدارة المالية'!O10</f>
        <v/>
      </c>
      <c r="I207" s="68">
        <f>'الإدارة المالية'!G10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المالية'!C11</f>
        <v/>
      </c>
      <c r="D208" s="15">
        <f>'الإدارة المالية'!J11</f>
        <v/>
      </c>
      <c r="E208" s="13">
        <f>'الإدارة المالية'!K11</f>
        <v/>
      </c>
      <c r="F208" s="15">
        <f>'الإدارة المالية'!L11</f>
        <v/>
      </c>
      <c r="G208" s="47">
        <f>'الإدارة المالية'!N11</f>
        <v/>
      </c>
      <c r="H208" s="15">
        <f>'الإدارة المالية'!O11</f>
        <v/>
      </c>
      <c r="I208" s="68">
        <f>'الإدارة المالية'!G11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المالية'!C12</f>
        <v/>
      </c>
      <c r="D209" s="15">
        <f>'الإدارة المالية'!J12</f>
        <v/>
      </c>
      <c r="E209" s="13">
        <f>'الإدارة المالية'!K12</f>
        <v/>
      </c>
      <c r="F209" s="15">
        <f>'الإدارة المالية'!L12</f>
        <v/>
      </c>
      <c r="G209" s="47">
        <f>'الإدارة المالية'!N12</f>
        <v/>
      </c>
      <c r="H209" s="15">
        <f>'الإدارة المالية'!O12</f>
        <v/>
      </c>
      <c r="I209" s="68">
        <f>'الإدارة المالية'!G12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المالية'!C13</f>
        <v/>
      </c>
      <c r="D210" s="15">
        <f>'الإدارة المالية'!J13</f>
        <v/>
      </c>
      <c r="E210" s="13">
        <f>'الإدارة المالية'!K13</f>
        <v/>
      </c>
      <c r="F210" s="15">
        <f>'الإدارة المالية'!L13</f>
        <v/>
      </c>
      <c r="G210" s="47">
        <f>'الإدارة المالية'!N13</f>
        <v/>
      </c>
      <c r="H210" s="15">
        <f>'الإدارة المالية'!O13</f>
        <v/>
      </c>
      <c r="I210" s="68">
        <f>'الإدارة المالية'!G13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المالية'!C14</f>
        <v/>
      </c>
      <c r="D211" s="15">
        <f>'الإدارة المالية'!J14</f>
        <v/>
      </c>
      <c r="E211" s="13">
        <f>'الإدارة المالية'!K14</f>
        <v/>
      </c>
      <c r="F211" s="15">
        <f>'الإدارة المالية'!L14</f>
        <v/>
      </c>
      <c r="G211" s="47">
        <f>'الإدارة المالية'!N14</f>
        <v/>
      </c>
      <c r="H211" s="15">
        <f>'الإدارة المالية'!O14</f>
        <v/>
      </c>
      <c r="I211" s="68">
        <f>'الإدارة المالية'!G14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المالية'!C15</f>
        <v/>
      </c>
      <c r="D212" s="15">
        <f>'الإدارة المالية'!J15</f>
        <v/>
      </c>
      <c r="E212" s="13">
        <f>'الإدارة المالية'!K15</f>
        <v/>
      </c>
      <c r="F212" s="15">
        <f>'الإدارة المالية'!L15</f>
        <v/>
      </c>
      <c r="G212" s="47">
        <f>'الإدارة المالية'!N15</f>
        <v/>
      </c>
      <c r="H212" s="15">
        <f>'الإدارة المالية'!O15</f>
        <v/>
      </c>
      <c r="I212" s="68">
        <f>'الإدارة المالية'!G15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المالية'!C16</f>
        <v/>
      </c>
      <c r="D213" s="15">
        <f>'الإدارة المالية'!J16</f>
        <v/>
      </c>
      <c r="E213" s="13">
        <f>'الإدارة المالية'!K16</f>
        <v/>
      </c>
      <c r="F213" s="15">
        <f>'الإدارة المالية'!L16</f>
        <v/>
      </c>
      <c r="G213" s="47">
        <f>'الإدارة المالية'!N16</f>
        <v/>
      </c>
      <c r="H213" s="15">
        <f>'الإدارة المالية'!O16</f>
        <v/>
      </c>
      <c r="I213" s="68">
        <f>'الإدارة المالية'!G16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المالية'!C17</f>
        <v/>
      </c>
      <c r="D214" s="15">
        <f>'الإدارة المالية'!J17</f>
        <v/>
      </c>
      <c r="E214" s="13">
        <f>'الإدارة المالية'!K17</f>
        <v/>
      </c>
      <c r="F214" s="15">
        <f>'الإدارة المالية'!L17</f>
        <v/>
      </c>
      <c r="G214" s="47">
        <f>'الإدارة المالية'!N17</f>
        <v/>
      </c>
      <c r="H214" s="15">
        <f>'الإدارة المالية'!O17</f>
        <v/>
      </c>
      <c r="I214" s="68">
        <f>'الإدارة المالية'!G17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المالية'!C18</f>
        <v/>
      </c>
      <c r="D215" s="15">
        <f>'الإدارة المالية'!J18</f>
        <v/>
      </c>
      <c r="E215" s="13">
        <f>'الإدارة المالية'!K18</f>
        <v/>
      </c>
      <c r="F215" s="15">
        <f>'الإدارة المالية'!L18</f>
        <v/>
      </c>
      <c r="G215" s="47">
        <f>'الإدارة المالية'!N18</f>
        <v/>
      </c>
      <c r="H215" s="15">
        <f>'الإدارة المالية'!O18</f>
        <v/>
      </c>
      <c r="I215" s="68">
        <f>'الإدارة المالية'!G18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المالية'!C19</f>
        <v/>
      </c>
      <c r="D216" s="15">
        <f>'الإدارة المالية'!J19</f>
        <v/>
      </c>
      <c r="E216" s="13">
        <f>'الإدارة المالية'!K19</f>
        <v/>
      </c>
      <c r="F216" s="15">
        <f>'الإدارة المالية'!L19</f>
        <v/>
      </c>
      <c r="G216" s="47">
        <f>'الإدارة المالية'!N19</f>
        <v/>
      </c>
      <c r="H216" s="15">
        <f>'الإدارة المالية'!O19</f>
        <v/>
      </c>
      <c r="I216" s="68">
        <f>'الإدارة المالية'!G19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المالية'!C20</f>
        <v/>
      </c>
      <c r="D217" s="15">
        <f>'الإدارة المالية'!J20</f>
        <v/>
      </c>
      <c r="E217" s="13">
        <f>'الإدارة المالية'!K20</f>
        <v/>
      </c>
      <c r="F217" s="15">
        <f>'الإدارة المالية'!L20</f>
        <v/>
      </c>
      <c r="G217" s="47">
        <f>'الإدارة المالية'!N20</f>
        <v/>
      </c>
      <c r="H217" s="15">
        <f>'الإدارة المالية'!O20</f>
        <v/>
      </c>
      <c r="I217" s="68">
        <f>'الإدارة المالية'!G20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المالية'!C21</f>
        <v/>
      </c>
      <c r="D218" s="15">
        <f>'الإدارة المالية'!J21</f>
        <v/>
      </c>
      <c r="E218" s="13">
        <f>'الإدارة المالية'!K21</f>
        <v/>
      </c>
      <c r="F218" s="15">
        <f>'الإدارة المالية'!L21</f>
        <v/>
      </c>
      <c r="G218" s="47">
        <f>'الإدارة المالية'!N21</f>
        <v/>
      </c>
      <c r="H218" s="15">
        <f>'الإدارة المالية'!O21</f>
        <v/>
      </c>
      <c r="I218" s="68">
        <f>'الإدارة المالية'!G21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المالية'!C22</f>
        <v/>
      </c>
      <c r="D219" s="15">
        <f>'الإدارة المالية'!J22</f>
        <v/>
      </c>
      <c r="E219" s="13">
        <f>'الإدارة المالية'!K22</f>
        <v/>
      </c>
      <c r="F219" s="15">
        <f>'الإدارة المالية'!L22</f>
        <v/>
      </c>
      <c r="G219" s="47">
        <f>'الإدارة المالية'!N22</f>
        <v/>
      </c>
      <c r="H219" s="15">
        <f>'الإدارة المالية'!O22</f>
        <v/>
      </c>
      <c r="I219" s="68">
        <f>'الإدارة المالية'!G22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المالية'!C23</f>
        <v/>
      </c>
      <c r="D220" s="15">
        <f>'الإدارة المالية'!J23</f>
        <v/>
      </c>
      <c r="E220" s="13">
        <f>'الإدارة المالية'!K23</f>
        <v/>
      </c>
      <c r="F220" s="15">
        <f>'الإدارة المالية'!L23</f>
        <v/>
      </c>
      <c r="G220" s="47">
        <f>'الإدارة المالية'!N23</f>
        <v/>
      </c>
      <c r="H220" s="15">
        <f>'الإدارة المالية'!O23</f>
        <v/>
      </c>
      <c r="I220" s="68">
        <f>'الإدارة المالية'!G23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المالية'!C24</f>
        <v/>
      </c>
      <c r="D221" s="15">
        <f>'الإدارة المالية'!J24</f>
        <v/>
      </c>
      <c r="E221" s="13">
        <f>'الإدارة المالية'!K24</f>
        <v/>
      </c>
      <c r="F221" s="15">
        <f>'الإدارة المالية'!L24</f>
        <v/>
      </c>
      <c r="G221" s="47">
        <f>'الإدارة المالية'!N24</f>
        <v/>
      </c>
      <c r="H221" s="15">
        <f>'الإدارة المالية'!O24</f>
        <v/>
      </c>
      <c r="I221" s="68">
        <f>'الإدارة المالية'!G24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المالية'!C25</f>
        <v/>
      </c>
      <c r="D222" s="15">
        <f>'الإدارة المالية'!J25</f>
        <v/>
      </c>
      <c r="E222" s="13">
        <f>'الإدارة المالية'!K25</f>
        <v/>
      </c>
      <c r="F222" s="15">
        <f>'الإدارة المالية'!L25</f>
        <v/>
      </c>
      <c r="G222" s="47">
        <f>'الإدارة المالية'!N25</f>
        <v/>
      </c>
      <c r="H222" s="15">
        <f>'الإدارة المالية'!O25</f>
        <v/>
      </c>
      <c r="I222" s="68">
        <f>'الإدارة المالية'!G25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المالية'!C26</f>
        <v/>
      </c>
      <c r="D223" s="15">
        <f>'الإدارة المالية'!J26</f>
        <v/>
      </c>
      <c r="E223" s="13">
        <f>'الإدارة المالية'!K26</f>
        <v/>
      </c>
      <c r="F223" s="15">
        <f>'الإدارة المالية'!L26</f>
        <v/>
      </c>
      <c r="G223" s="47">
        <f>'الإدارة المالية'!N26</f>
        <v/>
      </c>
      <c r="H223" s="15">
        <f>'الإدارة المالية'!O26</f>
        <v/>
      </c>
      <c r="I223" s="68">
        <f>'الإدارة المالية'!G26</f>
        <v/>
      </c>
      <c r="J223" s="15">
        <f>IF($G223="",0,$G223*$I223)</f>
        <v/>
      </c>
      <c r="K223" s="15">
        <f>IF($G223="",0,$I223)</f>
        <v/>
      </c>
    </row>
    <row r="224">
      <c r="A224" s="15" t="n">
        <v>223</v>
      </c>
      <c r="B224" s="13" t="inlineStr">
        <is>
          <t>الإدارة المالية</t>
        </is>
      </c>
      <c r="C224" s="13">
        <f>'الإدارة المالية'!C27</f>
        <v/>
      </c>
      <c r="D224" s="15">
        <f>'الإدارة المالية'!J27</f>
        <v/>
      </c>
      <c r="E224" s="13">
        <f>'الإدارة المالية'!K27</f>
        <v/>
      </c>
      <c r="F224" s="15">
        <f>'الإدارة المالية'!L27</f>
        <v/>
      </c>
      <c r="G224" s="47">
        <f>'الإدارة المالية'!N27</f>
        <v/>
      </c>
      <c r="H224" s="15">
        <f>'الإدارة المالية'!O27</f>
        <v/>
      </c>
      <c r="I224" s="68">
        <f>'الإدارة المالية'!G27</f>
        <v/>
      </c>
      <c r="J224" s="15">
        <f>IF($G224="",0,$G224*$I224)</f>
        <v/>
      </c>
      <c r="K224" s="15">
        <f>IF($G224="",0,$I224)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2026-07-22T09:51:38Z</dcterms:created>
  <dcterms:modified xmlns:dcterms="http://purl.org/dc/terms/" xmlns:xsi="http://www.w3.org/2001/XMLSchema-instance" xsi:type="dcterms:W3CDTF">2026-07-22T09:51:41Z</dcterms:modified>
</cp:coreProperties>
</file>