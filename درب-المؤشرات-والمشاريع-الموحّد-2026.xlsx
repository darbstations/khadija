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تقرير المجلس" sheetId="1" state="visible" r:id="rId1"/>
    <sheet xmlns:r="http://schemas.openxmlformats.org/officeDocument/2006/relationships" name="أهم المؤشرات (Top 5)" sheetId="2" state="visible" r:id="rId2"/>
    <sheet xmlns:r="http://schemas.openxmlformats.org/officeDocument/2006/relationships" name="الاستراتيجية والمستهدفات" sheetId="3" state="visible" r:id="rId3"/>
    <sheet xmlns:r="http://schemas.openxmlformats.org/officeDocument/2006/relationships" name="الخريطة الاستراتيجية" sheetId="4" state="visible" r:id="rId4"/>
    <sheet xmlns:r="http://schemas.openxmlformats.org/officeDocument/2006/relationships" name="اللوحة الموجزة" sheetId="5" state="visible" r:id="rId5"/>
    <sheet xmlns:r="http://schemas.openxmlformats.org/officeDocument/2006/relationships" name="تحليل الانحراف" sheetId="6" state="visible" r:id="rId6"/>
    <sheet xmlns:r="http://schemas.openxmlformats.org/officeDocument/2006/relationships" name="التتبّع الشهري" sheetId="7" state="visible" r:id="rId7"/>
    <sheet xmlns:r="http://schemas.openxmlformats.org/officeDocument/2006/relationships" name="سجل المخاطر" sheetId="8" state="visible" r:id="rId8"/>
    <sheet xmlns:r="http://schemas.openxmlformats.org/officeDocument/2006/relationships" name="ESG والاستدامة" sheetId="9" state="visible" r:id="rId9"/>
    <sheet xmlns:r="http://schemas.openxmlformats.org/officeDocument/2006/relationships" name="مراجعة وحوكمة المؤشرات" sheetId="10" state="visible" r:id="rId10"/>
    <sheet xmlns:r="http://schemas.openxmlformats.org/officeDocument/2006/relationships" name="بطاقة تعريف المؤشرات" sheetId="11" state="visible" r:id="rId11"/>
    <sheet xmlns:r="http://schemas.openxmlformats.org/officeDocument/2006/relationships" name="الإدارة التنفيذية" sheetId="12" state="visible" r:id="rId12"/>
    <sheet xmlns:r="http://schemas.openxmlformats.org/officeDocument/2006/relationships" name="الامتياز التجاري" sheetId="13" state="visible" r:id="rId13"/>
    <sheet xmlns:r="http://schemas.openxmlformats.org/officeDocument/2006/relationships" name="التشغيل والمحطات" sheetId="14" state="visible" r:id="rId14"/>
    <sheet xmlns:r="http://schemas.openxmlformats.org/officeDocument/2006/relationships" name="الاستثمار" sheetId="15" state="visible" r:id="rId15"/>
    <sheet xmlns:r="http://schemas.openxmlformats.org/officeDocument/2006/relationships" name="العقار" sheetId="16" state="visible" r:id="rId16"/>
    <sheet xmlns:r="http://schemas.openxmlformats.org/officeDocument/2006/relationships" name="إدارة المشاريع" sheetId="17" state="visible" r:id="rId17"/>
    <sheet xmlns:r="http://schemas.openxmlformats.org/officeDocument/2006/relationships" name="سلاسل الإمداد" sheetId="18" state="visible" r:id="rId18"/>
    <sheet xmlns:r="http://schemas.openxmlformats.org/officeDocument/2006/relationships" name="الصيانة والأتمتة" sheetId="19" state="visible" r:id="rId19"/>
    <sheet xmlns:r="http://schemas.openxmlformats.org/officeDocument/2006/relationships" name="التقنية الرقمية" sheetId="20" state="visible" r:id="rId20"/>
    <sheet xmlns:r="http://schemas.openxmlformats.org/officeDocument/2006/relationships" name="الموارد البشرية" sheetId="21" state="visible" r:id="rId21"/>
    <sheet xmlns:r="http://schemas.openxmlformats.org/officeDocument/2006/relationships" name="التسويق" sheetId="22" state="visible" r:id="rId22"/>
    <sheet xmlns:r="http://schemas.openxmlformats.org/officeDocument/2006/relationships" name="الجودة" sheetId="23" state="visible" r:id="rId23"/>
    <sheet xmlns:r="http://schemas.openxmlformats.org/officeDocument/2006/relationships" name="الإدارة القانونية" sheetId="24" state="visible" r:id="rId24"/>
    <sheet xmlns:r="http://schemas.openxmlformats.org/officeDocument/2006/relationships" name="الإدارة المالية" sheetId="25" state="visible" r:id="rId25"/>
    <sheet xmlns:r="http://schemas.openxmlformats.org/officeDocument/2006/relationships" name="سجل المشاريع" sheetId="26" state="visible" r:id="rId26"/>
    <sheet xmlns:r="http://schemas.openxmlformats.org/officeDocument/2006/relationships" name="قاعدة المؤشرات" sheetId="27" state="hidden" r:id="rId27"/>
  </sheets>
  <definedNames>
    <definedName name="_xlnm._FilterDatabase" localSheetId="5" hidden="1">'تحليل الانحراف'!$A$2:$M$60</definedName>
    <definedName name="_xlnm._FilterDatabase" localSheetId="6" hidden="1">'التتبّع الشهري'!$A$3:$X$100</definedName>
    <definedName name="_xlnm._FilterDatabase" localSheetId="7" hidden="1">'سجل المخاطر'!$A$2:$K$14</definedName>
    <definedName name="_xlnm._FilterDatabase" localSheetId="8" hidden="1">'ESG والاستدامة'!$A$2:$J$16</definedName>
    <definedName name="_xlnm._FilterDatabase" localSheetId="10" hidden="1">'بطاقة تعريف المؤشرات'!$A$2:$N$99</definedName>
    <definedName name="_xlnm._FilterDatabase" localSheetId="11" hidden="1">'الإدارة التنفيذية'!$A$3:$R$13</definedName>
    <definedName name="_xlnm._FilterDatabase" localSheetId="12" hidden="1">'الامتياز التجاري'!$A$3:$R$32</definedName>
    <definedName name="_xlnm._FilterDatabase" localSheetId="13" hidden="1">'التشغيل والمحطات'!$A$3:$R$7</definedName>
    <definedName name="_xlnm._FilterDatabase" localSheetId="14" hidden="1">'الاستثمار'!$A$3:$R$8</definedName>
    <definedName name="_xlnm._FilterDatabase" localSheetId="15" hidden="1">'العقار'!$A$3:$R$7</definedName>
    <definedName name="_xlnm._FilterDatabase" localSheetId="16" hidden="1">'إدارة المشاريع'!$A$3:$R$6</definedName>
    <definedName name="_xlnm._FilterDatabase" localSheetId="17" hidden="1">'سلاسل الإمداد'!$A$3:$R$7</definedName>
    <definedName name="_xlnm._FilterDatabase" localSheetId="18" hidden="1">'الصيانة والأتمتة'!$A$3:$R$5</definedName>
    <definedName name="_xlnm._FilterDatabase" localSheetId="19" hidden="1">'التقنية الرقمية'!$A$3:$R$5</definedName>
    <definedName name="_xlnm._FilterDatabase" localSheetId="20" hidden="1">'الموارد البشرية'!$A$3:$R$8</definedName>
    <definedName name="_xlnm._FilterDatabase" localSheetId="21" hidden="1">'التسويق'!$A$3:$R$8</definedName>
    <definedName name="_xlnm._FilterDatabase" localSheetId="22" hidden="1">'الجودة'!$A$3:$R$18</definedName>
    <definedName name="_xlnm._FilterDatabase" localSheetId="23" hidden="1">'الإدارة القانونية'!$A$3:$R$6</definedName>
    <definedName name="_xlnm._FilterDatabase" localSheetId="24" hidden="1">'الإدارة المالية'!$A$3:$R$9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#,##0 &quot;ر.س&quot;"/>
  </numFmts>
  <fonts count="38">
    <font>
      <name val="Calibri"/>
      <family val="2"/>
      <color theme="1"/>
      <sz val="11"/>
      <scheme val="minor"/>
    </font>
    <font>
      <name val="Tajawal"/>
      <b val="1"/>
      <color rgb="00FFFFFF"/>
      <sz val="13"/>
    </font>
    <font>
      <name val="Tajawal"/>
      <color rgb="0058595B"/>
      <sz val="9"/>
    </font>
    <font>
      <name val="Tajawal"/>
      <b val="1"/>
      <color rgb="00FFFFFF"/>
      <sz val="9"/>
    </font>
    <font>
      <name val="Tajawal"/>
      <b val="1"/>
      <color rgb="00222222"/>
      <sz val="9"/>
    </font>
    <font>
      <name val="Tajawal"/>
      <color rgb="00222222"/>
      <sz val="9"/>
    </font>
    <font>
      <name val="Tajawal"/>
      <color rgb="00222222"/>
      <sz val="10"/>
    </font>
    <font>
      <name val="Tajawal"/>
      <color rgb="00222222"/>
      <sz val="8"/>
    </font>
    <font>
      <name val="Tajawal"/>
      <color rgb="00666666"/>
      <sz val="8"/>
    </font>
    <font>
      <name val="Tajawal"/>
      <color rgb="00F47A21"/>
      <sz val="9"/>
    </font>
    <font>
      <name val="Tajawal"/>
      <b val="1"/>
      <color rgb="0058595B"/>
      <sz val="9"/>
    </font>
    <font>
      <name val="Tajawal"/>
      <color rgb="00555555"/>
      <sz val="8"/>
    </font>
    <font>
      <name val="Tajawal"/>
      <b val="1"/>
      <color rgb="00FFFFFF"/>
      <sz val="10"/>
    </font>
    <font>
      <name val="Tajawal"/>
      <b val="1"/>
      <color rgb="0058595B"/>
      <sz val="8"/>
    </font>
    <font>
      <name val="Tajawal"/>
      <b val="1"/>
      <color rgb="00FFFFFF"/>
      <sz val="15"/>
    </font>
    <font>
      <name val="Tajawal"/>
      <b val="1"/>
      <color rgb="00FFFFFF"/>
      <sz val="11"/>
    </font>
    <font>
      <name val="Tajawal"/>
      <color rgb="00FFFFFF"/>
      <sz val="9"/>
    </font>
    <font>
      <name val="Tajawal"/>
      <b val="1"/>
      <color rgb="0058595B"/>
      <sz val="11"/>
    </font>
    <font>
      <name val="Tajawal"/>
      <b val="1"/>
      <color rgb="00F47A21"/>
      <sz val="9"/>
    </font>
    <font>
      <name val="Tajawal"/>
      <b val="1"/>
      <color rgb="00FFFFFF"/>
      <sz val="12"/>
    </font>
    <font>
      <name val="Tajawal"/>
      <b val="1"/>
      <color rgb="00F47A21"/>
      <sz val="22"/>
    </font>
    <font>
      <name val="Tajawal"/>
      <b val="1"/>
      <color rgb="0058595B"/>
      <sz val="18"/>
    </font>
    <font>
      <name val="Tajawal"/>
      <b val="1"/>
      <color rgb="00FFFFFF"/>
      <sz val="14"/>
    </font>
    <font>
      <name val="Tajawal"/>
      <color rgb="009C6500"/>
      <sz val="8"/>
    </font>
    <font>
      <name val="Tajawal"/>
      <color rgb="00444444"/>
      <sz val="8"/>
    </font>
    <font>
      <name val="Tajawal"/>
      <color rgb="00F2C94C"/>
      <sz val="8"/>
    </font>
    <font>
      <name val="Tajawal"/>
      <color rgb="00C00000"/>
      <sz val="8"/>
    </font>
    <font>
      <name val="Tajawal"/>
      <color rgb="00EB5757"/>
      <sz val="8"/>
    </font>
    <font>
      <name val="Tajawal"/>
      <color rgb="002EAD6B"/>
      <sz val="8"/>
    </font>
    <font>
      <name val="Tajawal"/>
      <color rgb="00BDBDBD"/>
      <sz val="8"/>
    </font>
    <font>
      <name val="Tajawal"/>
      <b val="1"/>
      <color rgb="003FB27F"/>
      <sz val="8"/>
    </font>
    <font>
      <name val="Tajawal"/>
      <b val="1"/>
      <color rgb="00C00000"/>
      <sz val="8"/>
    </font>
    <font>
      <name val="Tajawal"/>
      <b val="1"/>
      <color rgb="00222222"/>
      <sz val="8"/>
    </font>
    <font>
      <name val="Tajawal"/>
      <b val="1"/>
      <color rgb="00FFFFFF"/>
      <sz val="16"/>
    </font>
    <font>
      <name val="Tajawal"/>
      <color rgb="00888888"/>
      <sz val="8"/>
    </font>
    <font>
      <name val="Tajawal"/>
      <b val="1"/>
      <color rgb="00FFFFFF"/>
      <sz val="8"/>
    </font>
    <font>
      <name val="Tajawal"/>
      <b val="1"/>
      <color rgb="00AAAAAA"/>
      <sz val="11"/>
    </font>
    <font>
      <name val="Tajawal"/>
      <color rgb="0058595B"/>
      <sz val="8"/>
    </font>
  </fonts>
  <fills count="10">
    <fill>
      <patternFill/>
    </fill>
    <fill>
      <patternFill patternType="gray125"/>
    </fill>
    <fill>
      <patternFill patternType="solid">
        <fgColor rgb="0058595B"/>
      </patternFill>
    </fill>
    <fill>
      <patternFill patternType="solid">
        <fgColor rgb="00FDE3D1"/>
      </patternFill>
    </fill>
    <fill>
      <patternFill patternType="solid">
        <fgColor rgb="00808285"/>
      </patternFill>
    </fill>
    <fill>
      <patternFill patternType="solid">
        <fgColor rgb="00C6EFCE"/>
      </patternFill>
    </fill>
    <fill>
      <patternFill patternType="solid">
        <fgColor rgb="00F47A21"/>
      </patternFill>
    </fill>
    <fill>
      <patternFill patternType="solid">
        <fgColor rgb="00A7A9AC"/>
      </patternFill>
    </fill>
    <fill>
      <patternFill patternType="solid">
        <fgColor rgb="005B9BD5"/>
      </patternFill>
    </fill>
    <fill>
      <patternFill patternType="solid">
        <fgColor rgb="003FB27F"/>
      </patternFill>
    </fill>
  </fills>
  <borders count="6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79">
    <xf numFmtId="0" fontId="0" fillId="0" borderId="0" pivotButton="0" quotePrefix="0" xfId="0"/>
    <xf numFmtId="0" fontId="33" fillId="2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9" fontId="20" fillId="0" borderId="1" applyAlignment="1" pivotButton="0" quotePrefix="0" xfId="0">
      <alignment horizontal="center" vertical="center"/>
    </xf>
    <xf numFmtId="0" fontId="21" fillId="0" borderId="1" applyAlignment="1" pivotButton="0" quotePrefix="0" xfId="0">
      <alignment horizontal="center" vertical="center"/>
    </xf>
    <xf numFmtId="0" fontId="15" fillId="6" borderId="1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4" pivotButton="0" quotePrefix="0" xfId="0"/>
    <xf numFmtId="0" fontId="5" fillId="0" borderId="1" applyAlignment="1" pivotButton="0" quotePrefix="0" xfId="0">
      <alignment horizontal="right" vertical="center"/>
    </xf>
    <xf numFmtId="9" fontId="10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right" vertical="center" wrapText="1"/>
    </xf>
    <xf numFmtId="9" fontId="31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right" vertical="center"/>
    </xf>
    <xf numFmtId="0" fontId="31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34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right" vertical="center" wrapText="1"/>
    </xf>
    <xf numFmtId="0" fontId="8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/>
    </xf>
    <xf numFmtId="9" fontId="7" fillId="0" borderId="1" applyAlignment="1" pivotButton="0" quotePrefix="0" xfId="0">
      <alignment horizontal="center" vertical="center"/>
    </xf>
    <xf numFmtId="0" fontId="14" fillId="2" borderId="0" applyAlignment="1" pivotButton="0" quotePrefix="0" xfId="0">
      <alignment horizontal="center" vertical="center"/>
    </xf>
    <xf numFmtId="0" fontId="6" fillId="4" borderId="1" applyAlignment="1" pivotButton="0" quotePrefix="0" xfId="0">
      <alignment horizontal="right" vertical="center"/>
    </xf>
    <xf numFmtId="0" fontId="15" fillId="4" borderId="1" applyAlignment="1" pivotButton="0" quotePrefix="0" xfId="0">
      <alignment horizontal="right" vertical="center" wrapText="1"/>
    </xf>
    <xf numFmtId="0" fontId="16" fillId="4" borderId="1" applyAlignment="1" pivotButton="0" quotePrefix="0" xfId="0">
      <alignment horizontal="right" vertical="center" wrapText="1"/>
    </xf>
    <xf numFmtId="0" fontId="3" fillId="4" borderId="1" applyAlignment="1" pivotButton="0" quotePrefix="0" xfId="0">
      <alignment horizontal="right" vertical="center" wrapText="1"/>
    </xf>
    <xf numFmtId="0" fontId="6" fillId="0" borderId="1" applyAlignment="1" pivotButton="0" quotePrefix="0" xfId="0">
      <alignment horizontal="right" vertical="center"/>
    </xf>
    <xf numFmtId="0" fontId="17" fillId="0" borderId="1" applyAlignment="1" pivotButton="0" quotePrefix="0" xfId="0">
      <alignment horizontal="right" vertical="center" wrapText="1"/>
    </xf>
    <xf numFmtId="0" fontId="18" fillId="0" borderId="1" applyAlignment="1" pivotButton="0" quotePrefix="0" xfId="0">
      <alignment horizontal="right" vertical="center" wrapText="1"/>
    </xf>
    <xf numFmtId="0" fontId="19" fillId="6" borderId="1" applyAlignment="1" pivotButton="0" quotePrefix="0" xfId="0">
      <alignment horizontal="center" vertical="center"/>
    </xf>
    <xf numFmtId="0" fontId="22" fillId="2" borderId="0" applyAlignment="1" pivotButton="0" quotePrefix="0" xfId="0">
      <alignment horizontal="center" vertical="center"/>
    </xf>
    <xf numFmtId="0" fontId="15" fillId="2" borderId="1" applyAlignment="1" pivotButton="0" quotePrefix="0" xfId="0">
      <alignment horizontal="center" vertical="center"/>
    </xf>
    <xf numFmtId="0" fontId="35" fillId="6" borderId="1" applyAlignment="1" pivotButton="0" quotePrefix="0" xfId="0">
      <alignment horizontal="center" vertical="center" wrapText="1"/>
    </xf>
    <xf numFmtId="9" fontId="19" fillId="6" borderId="1" applyAlignment="1" pivotButton="0" quotePrefix="0" xfId="0">
      <alignment horizontal="center" vertical="center"/>
    </xf>
    <xf numFmtId="0" fontId="36" fillId="0" borderId="0" applyAlignment="1" pivotButton="0" quotePrefix="0" xfId="0">
      <alignment horizontal="center" vertical="center"/>
    </xf>
    <xf numFmtId="0" fontId="35" fillId="8" borderId="1" applyAlignment="1" pivotButton="0" quotePrefix="0" xfId="0">
      <alignment horizontal="center" vertical="center" wrapText="1"/>
    </xf>
    <xf numFmtId="9" fontId="19" fillId="8" borderId="1" applyAlignment="1" pivotButton="0" quotePrefix="0" xfId="0">
      <alignment horizontal="center" vertical="center"/>
    </xf>
    <xf numFmtId="0" fontId="35" fillId="4" borderId="1" applyAlignment="1" pivotButton="0" quotePrefix="0" xfId="0">
      <alignment horizontal="center" vertical="center" wrapText="1"/>
    </xf>
    <xf numFmtId="9" fontId="19" fillId="4" borderId="1" applyAlignment="1" pivotButton="0" quotePrefix="0" xfId="0">
      <alignment horizontal="center" vertical="center"/>
    </xf>
    <xf numFmtId="0" fontId="35" fillId="9" borderId="1" applyAlignment="1" pivotButton="0" quotePrefix="0" xfId="0">
      <alignment horizontal="center" vertical="center" wrapText="1"/>
    </xf>
    <xf numFmtId="9" fontId="19" fillId="9" borderId="1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19" fillId="2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9" fontId="13" fillId="0" borderId="1" applyAlignment="1" pivotButton="0" quotePrefix="0" xfId="0">
      <alignment horizontal="center" vertical="center"/>
    </xf>
    <xf numFmtId="0" fontId="6" fillId="5" borderId="1" applyAlignment="1" applyProtection="1" pivotButton="0" quotePrefix="0" xfId="0">
      <alignment horizontal="center" vertical="center"/>
      <protection locked="0" hidden="0"/>
    </xf>
    <xf numFmtId="0" fontId="37" fillId="3" borderId="0" applyAlignment="1" pivotButton="0" quotePrefix="0" xfId="0">
      <alignment horizontal="center" vertical="center"/>
    </xf>
    <xf numFmtId="0" fontId="35" fillId="4" borderId="1" applyAlignment="1" pivotButton="0" quotePrefix="0" xfId="0">
      <alignment horizontal="center" vertical="center"/>
    </xf>
    <xf numFmtId="0" fontId="32" fillId="0" borderId="1" applyAlignment="1" pivotButton="0" quotePrefix="0" xfId="0">
      <alignment horizontal="center" vertical="center"/>
    </xf>
    <xf numFmtId="3" fontId="6" fillId="0" borderId="1" applyAlignment="1" pivotButton="0" quotePrefix="0" xfId="0">
      <alignment horizontal="center" vertical="center"/>
    </xf>
    <xf numFmtId="3" fontId="6" fillId="5" borderId="1" applyAlignment="1" applyProtection="1" pivotButton="0" quotePrefix="0" xfId="0">
      <alignment horizontal="center" vertical="center"/>
      <protection locked="0" hidden="0"/>
    </xf>
    <xf numFmtId="3" fontId="13" fillId="0" borderId="1" applyAlignment="1" pivotButton="0" quotePrefix="0" xfId="0">
      <alignment horizontal="center" vertical="center"/>
    </xf>
    <xf numFmtId="3" fontId="8" fillId="0" borderId="1" applyAlignment="1" pivotButton="0" quotePrefix="0" xfId="0">
      <alignment horizontal="center" vertical="center"/>
    </xf>
    <xf numFmtId="9" fontId="6" fillId="0" borderId="1" applyAlignment="1" pivotButton="0" quotePrefix="0" xfId="0">
      <alignment horizontal="center" vertical="center"/>
    </xf>
    <xf numFmtId="9" fontId="6" fillId="5" borderId="1" applyAlignment="1" applyProtection="1" pivotButton="0" quotePrefix="0" xfId="0">
      <alignment horizontal="center" vertical="center"/>
      <protection locked="0" hidden="0"/>
    </xf>
    <xf numFmtId="9" fontId="8" fillId="0" borderId="1" applyAlignment="1" pivotButton="0" quotePrefix="0" xfId="0">
      <alignment horizontal="center" vertical="center"/>
    </xf>
    <xf numFmtId="164" fontId="6" fillId="0" borderId="1" applyAlignment="1" pivotButton="0" quotePrefix="0" xfId="0">
      <alignment horizontal="center" vertical="center"/>
    </xf>
    <xf numFmtId="164" fontId="6" fillId="5" borderId="1" applyAlignment="1" applyProtection="1" pivotButton="0" quotePrefix="0" xfId="0">
      <alignment horizontal="center" vertical="center"/>
      <protection locked="0" hidden="0"/>
    </xf>
    <xf numFmtId="164" fontId="13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6" fillId="5" borderId="1" applyAlignment="1" applyProtection="1" pivotButton="0" quotePrefix="0" xfId="0">
      <alignment horizontal="center" vertical="center"/>
      <protection locked="0" hidden="0"/>
    </xf>
    <xf numFmtId="165" fontId="13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9" fontId="30" fillId="0" borderId="1" applyAlignment="1" pivotButton="0" quotePrefix="0" xfId="0">
      <alignment horizontal="center" vertical="center"/>
    </xf>
    <xf numFmtId="0" fontId="24" fillId="0" borderId="1" applyAlignment="1" pivotButton="0" quotePrefix="0" xfId="0">
      <alignment horizontal="right" vertical="center" wrapText="1"/>
    </xf>
    <xf numFmtId="0" fontId="2" fillId="3" borderId="0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right" vertical="center" wrapText="1"/>
    </xf>
    <xf numFmtId="0" fontId="6" fillId="5" borderId="1" applyAlignment="1" applyProtection="1" pivotButton="0" quotePrefix="0" xfId="0">
      <alignment horizontal="right" vertical="center" wrapText="1"/>
      <protection locked="0" hidden="0"/>
    </xf>
    <xf numFmtId="0" fontId="8" fillId="0" borderId="1" applyAlignment="1" pivotButton="0" quotePrefix="0" xfId="0">
      <alignment horizontal="right" vertical="center" wrapText="1"/>
    </xf>
    <xf numFmtId="0" fontId="12" fillId="7" borderId="1" applyAlignment="1" pivotButton="0" quotePrefix="0" xfId="0">
      <alignment horizontal="right" vertical="center"/>
    </xf>
    <xf numFmtId="0" fontId="6" fillId="5" borderId="1" applyAlignment="1" applyProtection="1" pivotButton="0" quotePrefix="0" xfId="0">
      <alignment horizontal="right" vertical="center"/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styles" Target="styles.xml" Id="rId28"/><Relationship Type="http://schemas.openxmlformats.org/officeDocument/2006/relationships/theme" Target="theme/theme1.xml" Id="rId2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1"/>
  <sheetViews>
    <sheetView showGridLines="0" rightToLeft="1" workbookViewId="0">
      <selection activeCell="A1" sqref="A1"/>
    </sheetView>
  </sheetViews>
  <sheetFormatPr baseColWidth="8" defaultRowHeight="15"/>
  <cols>
    <col width="3" customWidth="1" min="1" max="1"/>
    <col width="32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2" ht="28" customHeight="1">
      <c r="B2" s="1" t="inlineStr">
        <is>
          <t>تقرير الأداء التنفيذي — مجلس الإدارة · درب 2026</t>
        </is>
      </c>
    </row>
    <row r="4">
      <c r="B4" s="2" t="inlineStr">
        <is>
          <t>الإنجاز العام الموزون</t>
        </is>
      </c>
      <c r="C4" s="3" t="inlineStr">
        <is>
          <t>✅ محقق</t>
        </is>
      </c>
      <c r="D4" s="3" t="inlineStr">
        <is>
          <t>🟡 قريب</t>
        </is>
      </c>
      <c r="E4" s="3" t="inlineStr">
        <is>
          <t>🔴 تحت الهدف</t>
        </is>
      </c>
    </row>
    <row r="5">
      <c r="B5" s="4">
        <f>'اللوحة الموجزة'!B5</f>
        <v/>
      </c>
      <c r="C5" s="5">
        <f>'اللوحة الموجزة'!C5</f>
        <v/>
      </c>
      <c r="D5" s="5">
        <f>'اللوحة الموجزة'!D5</f>
        <v/>
      </c>
      <c r="E5" s="5">
        <f>'اللوحة الموجزة'!E5</f>
        <v/>
      </c>
    </row>
    <row r="7">
      <c r="B7" s="6" t="inlineStr">
        <is>
          <t>الأداء حسب الركيزة</t>
        </is>
      </c>
      <c r="C7" s="7" t="n"/>
      <c r="D7" s="6" t="inlineStr">
        <is>
          <t>أبرز 5 انحرافات</t>
        </is>
      </c>
      <c r="E7" s="8" t="n"/>
      <c r="F7" s="7" t="n"/>
    </row>
    <row r="8">
      <c r="B8" s="9" t="inlineStr">
        <is>
          <t>النمو</t>
        </is>
      </c>
      <c r="C8" s="10">
        <f>IFERROR(AVERAGEIFS('قاعدة المؤشرات'!$G$2:$G$98,'قاعدة المؤشرات'!$D$2:$D$98,"النمو"),"—")</f>
        <v/>
      </c>
      <c r="D8" s="11" t="inlineStr">
        <is>
          <t>الوصول الكلي (Total Reach)</t>
        </is>
      </c>
      <c r="E8" s="7" t="n"/>
      <c r="F8" s="12" t="n">
        <v>0.1</v>
      </c>
    </row>
    <row r="9">
      <c r="B9" s="9" t="inlineStr">
        <is>
          <t>الابتكار</t>
        </is>
      </c>
      <c r="C9" s="10">
        <f>IFERROR(AVERAGEIFS('قاعدة المؤشرات'!$G$2:$G$98,'قاعدة المؤشرات'!$D$2:$D$98,"الابتكار"),"—")</f>
        <v/>
      </c>
      <c r="D9" s="11" t="inlineStr">
        <is>
          <t>نسبة التزام الهوية البصرية</t>
        </is>
      </c>
      <c r="E9" s="7" t="n"/>
      <c r="F9" s="12" t="n">
        <v>0.1</v>
      </c>
    </row>
    <row r="10">
      <c r="B10" s="9" t="inlineStr">
        <is>
          <t>الاستدامة</t>
        </is>
      </c>
      <c r="C10" s="10">
        <f>IFERROR(AVERAGEIFS('قاعدة المؤشرات'!$G$2:$G$98,'قاعدة المؤشرات'!$D$2:$D$98,"الاستدامة"),"—")</f>
        <v/>
      </c>
      <c r="D10" s="11" t="inlineStr">
        <is>
          <t>معدل خفض الشكاوى</t>
        </is>
      </c>
      <c r="E10" s="7" t="n"/>
      <c r="F10" s="12" t="n">
        <v>0.7</v>
      </c>
    </row>
    <row r="11">
      <c r="D11" s="11" t="inlineStr">
        <is>
          <t>نسبة التحصيل خلال 5 أيام عمل</t>
        </is>
      </c>
      <c r="E11" s="7" t="n"/>
      <c r="F11" s="12" t="n">
        <v>0.7244444444444444</v>
      </c>
    </row>
    <row r="12">
      <c r="D12" s="11" t="inlineStr">
        <is>
          <t>عدد محطات الامتياز المشغّلة (تراكمي)</t>
        </is>
      </c>
      <c r="E12" s="7" t="n"/>
      <c r="F12" s="12" t="n">
        <v>0.7333333333333333</v>
      </c>
    </row>
    <row r="14">
      <c r="B14" s="6" t="inlineStr">
        <is>
          <t>أعلى 5 مخاطر مؤسسية (الأثر × الاحتمال)</t>
        </is>
      </c>
      <c r="C14" s="8" t="n"/>
      <c r="D14" s="8" t="n"/>
      <c r="E14" s="8" t="n"/>
      <c r="F14" s="7" t="n"/>
    </row>
    <row r="15">
      <c r="B15" s="13" t="inlineStr">
        <is>
          <t>تقلّب أسعار الوقود وضغط الهامش</t>
        </is>
      </c>
      <c r="C15" s="8" t="n"/>
      <c r="D15" s="7" t="n"/>
      <c r="E15" s="14" t="inlineStr">
        <is>
          <t>4×5=20</t>
        </is>
      </c>
      <c r="F15" s="15" t="inlineStr">
        <is>
          <t>🔴 عالي</t>
        </is>
      </c>
    </row>
    <row r="16">
      <c r="B16" s="13" t="inlineStr">
        <is>
          <t>تأخّر مشاريع التحول الرقمي</t>
        </is>
      </c>
      <c r="C16" s="8" t="n"/>
      <c r="D16" s="7" t="n"/>
      <c r="E16" s="14" t="inlineStr">
        <is>
          <t>4×4=16</t>
        </is>
      </c>
      <c r="F16" s="15" t="inlineStr">
        <is>
          <t>🔴 عالي</t>
        </is>
      </c>
    </row>
    <row r="17">
      <c r="B17" s="13" t="inlineStr">
        <is>
          <t>اختراق/انقطاع الأنظمة الرقمية</t>
        </is>
      </c>
      <c r="C17" s="8" t="n"/>
      <c r="D17" s="7" t="n"/>
      <c r="E17" s="14" t="inlineStr">
        <is>
          <t>3×5=15</t>
        </is>
      </c>
      <c r="F17" s="15" t="inlineStr">
        <is>
          <t>🔴 عالي</t>
        </is>
      </c>
    </row>
    <row r="18">
      <c r="B18" s="13" t="inlineStr">
        <is>
          <t>تعثّر تحصيل المستحقات</t>
        </is>
      </c>
      <c r="C18" s="8" t="n"/>
      <c r="D18" s="7" t="n"/>
      <c r="E18" s="14" t="inlineStr">
        <is>
          <t>3×4=12</t>
        </is>
      </c>
      <c r="F18" s="15" t="inlineStr">
        <is>
          <t>🟠 متوسط</t>
        </is>
      </c>
    </row>
    <row r="19">
      <c r="B19" s="13" t="inlineStr">
        <is>
          <t>ضغط السيولة والتدفق النقدي</t>
        </is>
      </c>
      <c r="C19" s="8" t="n"/>
      <c r="D19" s="7" t="n"/>
      <c r="E19" s="14" t="inlineStr">
        <is>
          <t>3×4=12</t>
        </is>
      </c>
      <c r="F19" s="15" t="inlineStr">
        <is>
          <t>🟠 متوسط</t>
        </is>
      </c>
    </row>
    <row r="21">
      <c r="B21" s="16" t="inlineStr">
        <is>
          <t>يُحدَّث آلياً من اللوحة الموجزة وتحليل الانحراف وسجل المخاطر · سرّي — لأعضاء المجلس</t>
        </is>
      </c>
    </row>
  </sheetData>
  <mergeCells count="15">
    <mergeCell ref="D8:E8"/>
    <mergeCell ref="B21:F21"/>
    <mergeCell ref="B19:D19"/>
    <mergeCell ref="D10:E10"/>
    <mergeCell ref="B7:C7"/>
    <mergeCell ref="B2:F2"/>
    <mergeCell ref="B15:D15"/>
    <mergeCell ref="D11:E11"/>
    <mergeCell ref="B17:D17"/>
    <mergeCell ref="B18:D18"/>
    <mergeCell ref="B14:F14"/>
    <mergeCell ref="D7:F7"/>
    <mergeCell ref="D9:E9"/>
    <mergeCell ref="B16:D16"/>
    <mergeCell ref="D12:E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73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48" customWidth="1" min="2" max="2"/>
    <col width="18" customWidth="1" min="3" max="3"/>
    <col width="12" customWidth="1" min="4" max="4"/>
    <col width="13" customWidth="1" min="5" max="5"/>
    <col width="14" customWidth="1" min="6" max="6"/>
    <col width="8" customWidth="1" min="7" max="7"/>
  </cols>
  <sheetData>
    <row r="1" ht="26" customHeight="1">
      <c r="A1" s="17" t="inlineStr">
        <is>
          <t>أهم 5 مؤشرات رئيسية لكل إدارة — لوحة المتابعة التنفيذية (قيَم حيّة مرتبطة بأوراق الإدارات)</t>
        </is>
      </c>
    </row>
    <row r="2" ht="24" customHeight="1">
      <c r="A2" s="18" t="inlineStr">
        <is>
          <t>#</t>
        </is>
      </c>
      <c r="B2" s="18" t="inlineStr">
        <is>
          <t>المؤشر</t>
        </is>
      </c>
      <c r="C2" s="18" t="inlineStr">
        <is>
          <t>المستهدف</t>
        </is>
      </c>
      <c r="D2" s="18" t="inlineStr">
        <is>
          <t>المُحقَّق</t>
        </is>
      </c>
      <c r="E2" s="18" t="inlineStr">
        <is>
          <t>نسبة التحقيق</t>
        </is>
      </c>
      <c r="F2" s="18" t="inlineStr">
        <is>
          <t>الحالة</t>
        </is>
      </c>
      <c r="G2" s="18" t="inlineStr">
        <is>
          <t>الوزن</t>
        </is>
      </c>
    </row>
    <row r="3" ht="22" customHeight="1">
      <c r="A3" s="19" t="inlineStr">
        <is>
          <t>▾ الإدارة التنفيذية · وزن الإدارة 0%</t>
        </is>
      </c>
    </row>
    <row r="4" ht="22" customHeight="1">
      <c r="A4" s="20" t="n">
        <v>1</v>
      </c>
      <c r="B4" s="21">
        <f>'الإدارة التنفيذية'!C4</f>
        <v/>
      </c>
      <c r="C4" s="22">
        <f>'الإدارة التنفيذية'!I4</f>
        <v/>
      </c>
      <c r="D4" s="23">
        <f>'الإدارة التنفيذية'!M4</f>
        <v/>
      </c>
      <c r="E4" s="10">
        <f>'الإدارة التنفيذية'!N4</f>
        <v/>
      </c>
      <c r="F4" s="20">
        <f>'الإدارة التنفيذية'!O4</f>
        <v/>
      </c>
      <c r="G4" s="24">
        <f>'الإدارة التنفيذية'!G4</f>
        <v/>
      </c>
    </row>
    <row r="5" ht="22" customHeight="1">
      <c r="A5" s="20" t="n">
        <v>2</v>
      </c>
      <c r="B5" s="21">
        <f>'الإدارة التنفيذية'!C5</f>
        <v/>
      </c>
      <c r="C5" s="22">
        <f>'الإدارة التنفيذية'!I5</f>
        <v/>
      </c>
      <c r="D5" s="23">
        <f>'الإدارة التنفيذية'!M5</f>
        <v/>
      </c>
      <c r="E5" s="10">
        <f>'الإدارة التنفيذية'!N5</f>
        <v/>
      </c>
      <c r="F5" s="20">
        <f>'الإدارة التنفيذية'!O5</f>
        <v/>
      </c>
      <c r="G5" s="24">
        <f>'الإدارة التنفيذية'!G5</f>
        <v/>
      </c>
    </row>
    <row r="6" ht="22" customHeight="1">
      <c r="A6" s="20" t="n">
        <v>3</v>
      </c>
      <c r="B6" s="21">
        <f>'الإدارة التنفيذية'!C6</f>
        <v/>
      </c>
      <c r="C6" s="22">
        <f>'الإدارة التنفيذية'!I6</f>
        <v/>
      </c>
      <c r="D6" s="23">
        <f>'الإدارة التنفيذية'!M6</f>
        <v/>
      </c>
      <c r="E6" s="10">
        <f>'الإدارة التنفيذية'!N6</f>
        <v/>
      </c>
      <c r="F6" s="20">
        <f>'الإدارة التنفيذية'!O6</f>
        <v/>
      </c>
      <c r="G6" s="24">
        <f>'الإدارة التنفيذية'!G6</f>
        <v/>
      </c>
    </row>
    <row r="7" ht="22" customHeight="1">
      <c r="A7" s="20" t="n">
        <v>4</v>
      </c>
      <c r="B7" s="21">
        <f>'الإدارة التنفيذية'!C9</f>
        <v/>
      </c>
      <c r="C7" s="22">
        <f>'الإدارة التنفيذية'!I9</f>
        <v/>
      </c>
      <c r="D7" s="23">
        <f>'الإدارة التنفيذية'!M9</f>
        <v/>
      </c>
      <c r="E7" s="10">
        <f>'الإدارة التنفيذية'!N9</f>
        <v/>
      </c>
      <c r="F7" s="20">
        <f>'الإدارة التنفيذية'!O9</f>
        <v/>
      </c>
      <c r="G7" s="24">
        <f>'الإدارة التنفيذية'!G9</f>
        <v/>
      </c>
    </row>
    <row r="8" ht="22" customHeight="1">
      <c r="A8" s="20" t="n">
        <v>5</v>
      </c>
      <c r="B8" s="21">
        <f>'الإدارة التنفيذية'!C10</f>
        <v/>
      </c>
      <c r="C8" s="22">
        <f>'الإدارة التنفيذية'!I10</f>
        <v/>
      </c>
      <c r="D8" s="23">
        <f>'الإدارة التنفيذية'!M10</f>
        <v/>
      </c>
      <c r="E8" s="10">
        <f>'الإدارة التنفيذية'!N10</f>
        <v/>
      </c>
      <c r="F8" s="20">
        <f>'الإدارة التنفيذية'!O10</f>
        <v/>
      </c>
      <c r="G8" s="24">
        <f>'الإدارة التنفيذية'!G10</f>
        <v/>
      </c>
    </row>
    <row r="9" ht="22" customHeight="1">
      <c r="A9" s="19" t="inlineStr">
        <is>
          <t>▾ الامتياز التجاري · وزن الإدارة 14%</t>
        </is>
      </c>
    </row>
    <row r="10" ht="22" customHeight="1">
      <c r="A10" s="20" t="n">
        <v>1</v>
      </c>
      <c r="B10" s="21">
        <f>'الامتياز التجاري'!C4</f>
        <v/>
      </c>
      <c r="C10" s="22">
        <f>'الامتياز التجاري'!I4</f>
        <v/>
      </c>
      <c r="D10" s="23">
        <f>'الامتياز التجاري'!M4</f>
        <v/>
      </c>
      <c r="E10" s="10">
        <f>'الامتياز التجاري'!N4</f>
        <v/>
      </c>
      <c r="F10" s="20">
        <f>'الامتياز التجاري'!O4</f>
        <v/>
      </c>
      <c r="G10" s="24">
        <f>'الامتياز التجاري'!G4</f>
        <v/>
      </c>
    </row>
    <row r="11" ht="22" customHeight="1">
      <c r="A11" s="20" t="n">
        <v>2</v>
      </c>
      <c r="B11" s="21">
        <f>'الامتياز التجاري'!C5</f>
        <v/>
      </c>
      <c r="C11" s="22">
        <f>'الامتياز التجاري'!I5</f>
        <v/>
      </c>
      <c r="D11" s="23">
        <f>'الامتياز التجاري'!M5</f>
        <v/>
      </c>
      <c r="E11" s="10">
        <f>'الامتياز التجاري'!N5</f>
        <v/>
      </c>
      <c r="F11" s="20">
        <f>'الامتياز التجاري'!O5</f>
        <v/>
      </c>
      <c r="G11" s="24">
        <f>'الامتياز التجاري'!G5</f>
        <v/>
      </c>
    </row>
    <row r="12" ht="22" customHeight="1">
      <c r="A12" s="20" t="n">
        <v>3</v>
      </c>
      <c r="B12" s="21">
        <f>'الامتياز التجاري'!C6</f>
        <v/>
      </c>
      <c r="C12" s="22">
        <f>'الامتياز التجاري'!I6</f>
        <v/>
      </c>
      <c r="D12" s="23">
        <f>'الامتياز التجاري'!M6</f>
        <v/>
      </c>
      <c r="E12" s="10">
        <f>'الامتياز التجاري'!N6</f>
        <v/>
      </c>
      <c r="F12" s="20">
        <f>'الامتياز التجاري'!O6</f>
        <v/>
      </c>
      <c r="G12" s="24">
        <f>'الامتياز التجاري'!G6</f>
        <v/>
      </c>
    </row>
    <row r="13" ht="22" customHeight="1">
      <c r="A13" s="20" t="n">
        <v>4</v>
      </c>
      <c r="B13" s="21">
        <f>'الامتياز التجاري'!C8</f>
        <v/>
      </c>
      <c r="C13" s="22">
        <f>'الامتياز التجاري'!I8</f>
        <v/>
      </c>
      <c r="D13" s="23">
        <f>'الامتياز التجاري'!M8</f>
        <v/>
      </c>
      <c r="E13" s="10">
        <f>'الامتياز التجاري'!N8</f>
        <v/>
      </c>
      <c r="F13" s="20">
        <f>'الامتياز التجاري'!O8</f>
        <v/>
      </c>
      <c r="G13" s="24">
        <f>'الامتياز التجاري'!G8</f>
        <v/>
      </c>
    </row>
    <row r="14" ht="22" customHeight="1">
      <c r="A14" s="20" t="n">
        <v>5</v>
      </c>
      <c r="B14" s="21">
        <f>'الامتياز التجاري'!C10</f>
        <v/>
      </c>
      <c r="C14" s="22">
        <f>'الامتياز التجاري'!I10</f>
        <v/>
      </c>
      <c r="D14" s="23">
        <f>'الامتياز التجاري'!M10</f>
        <v/>
      </c>
      <c r="E14" s="10">
        <f>'الامتياز التجاري'!N10</f>
        <v/>
      </c>
      <c r="F14" s="20">
        <f>'الامتياز التجاري'!O10</f>
        <v/>
      </c>
      <c r="G14" s="24">
        <f>'الامتياز التجاري'!G10</f>
        <v/>
      </c>
    </row>
    <row r="15" ht="22" customHeight="1">
      <c r="A15" s="19" t="inlineStr">
        <is>
          <t>▾ التشغيل والمحطات · وزن الإدارة 12%</t>
        </is>
      </c>
    </row>
    <row r="16" ht="22" customHeight="1">
      <c r="A16" s="20" t="n">
        <v>1</v>
      </c>
      <c r="B16" s="21">
        <f>'التشغيل والمحطات'!C4</f>
        <v/>
      </c>
      <c r="C16" s="22">
        <f>'التشغيل والمحطات'!I4</f>
        <v/>
      </c>
      <c r="D16" s="23">
        <f>'التشغيل والمحطات'!M4</f>
        <v/>
      </c>
      <c r="E16" s="10">
        <f>'التشغيل والمحطات'!N4</f>
        <v/>
      </c>
      <c r="F16" s="20">
        <f>'التشغيل والمحطات'!O4</f>
        <v/>
      </c>
      <c r="G16" s="24">
        <f>'التشغيل والمحطات'!G4</f>
        <v/>
      </c>
    </row>
    <row r="17" ht="22" customHeight="1">
      <c r="A17" s="20" t="n">
        <v>2</v>
      </c>
      <c r="B17" s="21">
        <f>'التشغيل والمحطات'!C5</f>
        <v/>
      </c>
      <c r="C17" s="22">
        <f>'التشغيل والمحطات'!I5</f>
        <v/>
      </c>
      <c r="D17" s="23">
        <f>'التشغيل والمحطات'!M5</f>
        <v/>
      </c>
      <c r="E17" s="10">
        <f>'التشغيل والمحطات'!N5</f>
        <v/>
      </c>
      <c r="F17" s="20">
        <f>'التشغيل والمحطات'!O5</f>
        <v/>
      </c>
      <c r="G17" s="24">
        <f>'التشغيل والمحطات'!G5</f>
        <v/>
      </c>
    </row>
    <row r="18" ht="22" customHeight="1">
      <c r="A18" s="20" t="n">
        <v>3</v>
      </c>
      <c r="B18" s="21">
        <f>'التشغيل والمحطات'!C6</f>
        <v/>
      </c>
      <c r="C18" s="22">
        <f>'التشغيل والمحطات'!I6</f>
        <v/>
      </c>
      <c r="D18" s="23">
        <f>'التشغيل والمحطات'!M6</f>
        <v/>
      </c>
      <c r="E18" s="10">
        <f>'التشغيل والمحطات'!N6</f>
        <v/>
      </c>
      <c r="F18" s="20">
        <f>'التشغيل والمحطات'!O6</f>
        <v/>
      </c>
      <c r="G18" s="24">
        <f>'التشغيل والمحطات'!G6</f>
        <v/>
      </c>
    </row>
    <row r="19" ht="22" customHeight="1">
      <c r="A19" s="20" t="n">
        <v>4</v>
      </c>
      <c r="B19" s="21">
        <f>'التشغيل والمحطات'!C7</f>
        <v/>
      </c>
      <c r="C19" s="22">
        <f>'التشغيل والمحطات'!I7</f>
        <v/>
      </c>
      <c r="D19" s="23">
        <f>'التشغيل والمحطات'!M7</f>
        <v/>
      </c>
      <c r="E19" s="10">
        <f>'التشغيل والمحطات'!N7</f>
        <v/>
      </c>
      <c r="F19" s="20">
        <f>'التشغيل والمحطات'!O7</f>
        <v/>
      </c>
      <c r="G19" s="24">
        <f>'التشغيل والمحطات'!G7</f>
        <v/>
      </c>
    </row>
    <row r="20" ht="22" customHeight="1">
      <c r="A20" s="19" t="inlineStr">
        <is>
          <t>▾ الاستثمار · وزن الإدارة 11%</t>
        </is>
      </c>
    </row>
    <row r="21" ht="22" customHeight="1">
      <c r="A21" s="20" t="n">
        <v>1</v>
      </c>
      <c r="B21" s="21">
        <f>'الاستثمار'!C5</f>
        <v/>
      </c>
      <c r="C21" s="22">
        <f>'الاستثمار'!I5</f>
        <v/>
      </c>
      <c r="D21" s="23">
        <f>'الاستثمار'!M5</f>
        <v/>
      </c>
      <c r="E21" s="10">
        <f>'الاستثمار'!N5</f>
        <v/>
      </c>
      <c r="F21" s="20">
        <f>'الاستثمار'!O5</f>
        <v/>
      </c>
      <c r="G21" s="24">
        <f>'الاستثمار'!G5</f>
        <v/>
      </c>
    </row>
    <row r="22" ht="22" customHeight="1">
      <c r="A22" s="20" t="n">
        <v>2</v>
      </c>
      <c r="B22" s="21">
        <f>'الاستثمار'!C6</f>
        <v/>
      </c>
      <c r="C22" s="22">
        <f>'الاستثمار'!I6</f>
        <v/>
      </c>
      <c r="D22" s="23">
        <f>'الاستثمار'!M6</f>
        <v/>
      </c>
      <c r="E22" s="10">
        <f>'الاستثمار'!N6</f>
        <v/>
      </c>
      <c r="F22" s="20">
        <f>'الاستثمار'!O6</f>
        <v/>
      </c>
      <c r="G22" s="24">
        <f>'الاستثمار'!G6</f>
        <v/>
      </c>
    </row>
    <row r="23" ht="22" customHeight="1">
      <c r="A23" s="20" t="n">
        <v>3</v>
      </c>
      <c r="B23" s="21">
        <f>'الاستثمار'!C7</f>
        <v/>
      </c>
      <c r="C23" s="22">
        <f>'الاستثمار'!I7</f>
        <v/>
      </c>
      <c r="D23" s="23">
        <f>'الاستثمار'!M7</f>
        <v/>
      </c>
      <c r="E23" s="10">
        <f>'الاستثمار'!N7</f>
        <v/>
      </c>
      <c r="F23" s="20">
        <f>'الاستثمار'!O7</f>
        <v/>
      </c>
      <c r="G23" s="24">
        <f>'الاستثمار'!G7</f>
        <v/>
      </c>
    </row>
    <row r="24" ht="22" customHeight="1">
      <c r="A24" s="20" t="n">
        <v>4</v>
      </c>
      <c r="B24" s="21">
        <f>'الاستثمار'!C8</f>
        <v/>
      </c>
      <c r="C24" s="22">
        <f>'الاستثمار'!I8</f>
        <v/>
      </c>
      <c r="D24" s="23">
        <f>'الاستثمار'!M8</f>
        <v/>
      </c>
      <c r="E24" s="10">
        <f>'الاستثمار'!N8</f>
        <v/>
      </c>
      <c r="F24" s="20">
        <f>'الاستثمار'!O8</f>
        <v/>
      </c>
      <c r="G24" s="24">
        <f>'الاستثمار'!G8</f>
        <v/>
      </c>
    </row>
    <row r="25" ht="22" customHeight="1">
      <c r="A25" s="20" t="n">
        <v>5</v>
      </c>
      <c r="B25" s="21">
        <f>'الاستثمار'!C4</f>
        <v/>
      </c>
      <c r="C25" s="22">
        <f>'الاستثمار'!I4</f>
        <v/>
      </c>
      <c r="D25" s="23">
        <f>'الاستثمار'!M4</f>
        <v/>
      </c>
      <c r="E25" s="10">
        <f>'الاستثمار'!N4</f>
        <v/>
      </c>
      <c r="F25" s="20">
        <f>'الاستثمار'!O4</f>
        <v/>
      </c>
      <c r="G25" s="24">
        <f>'الاستثمار'!G4</f>
        <v/>
      </c>
    </row>
    <row r="26" ht="22" customHeight="1">
      <c r="A26" s="19" t="inlineStr">
        <is>
          <t>▾ العقار · وزن الإدارة 9%</t>
        </is>
      </c>
    </row>
    <row r="27" ht="22" customHeight="1">
      <c r="A27" s="20" t="n">
        <v>1</v>
      </c>
      <c r="B27" s="21">
        <f>'العقار'!C6</f>
        <v/>
      </c>
      <c r="C27" s="22">
        <f>'العقار'!I6</f>
        <v/>
      </c>
      <c r="D27" s="23">
        <f>'العقار'!M6</f>
        <v/>
      </c>
      <c r="E27" s="10">
        <f>'العقار'!N6</f>
        <v/>
      </c>
      <c r="F27" s="20">
        <f>'العقار'!O6</f>
        <v/>
      </c>
      <c r="G27" s="24">
        <f>'العقار'!G6</f>
        <v/>
      </c>
    </row>
    <row r="28" ht="22" customHeight="1">
      <c r="A28" s="20" t="n">
        <v>2</v>
      </c>
      <c r="B28" s="21">
        <f>'العقار'!C7</f>
        <v/>
      </c>
      <c r="C28" s="22">
        <f>'العقار'!I7</f>
        <v/>
      </c>
      <c r="D28" s="23">
        <f>'العقار'!M7</f>
        <v/>
      </c>
      <c r="E28" s="10">
        <f>'العقار'!N7</f>
        <v/>
      </c>
      <c r="F28" s="20">
        <f>'العقار'!O7</f>
        <v/>
      </c>
      <c r="G28" s="24">
        <f>'العقار'!G7</f>
        <v/>
      </c>
    </row>
    <row r="29" ht="22" customHeight="1">
      <c r="A29" s="20" t="n">
        <v>3</v>
      </c>
      <c r="B29" s="21">
        <f>'العقار'!C4</f>
        <v/>
      </c>
      <c r="C29" s="22">
        <f>'العقار'!I4</f>
        <v/>
      </c>
      <c r="D29" s="23">
        <f>'العقار'!M4</f>
        <v/>
      </c>
      <c r="E29" s="10">
        <f>'العقار'!N4</f>
        <v/>
      </c>
      <c r="F29" s="20">
        <f>'العقار'!O4</f>
        <v/>
      </c>
      <c r="G29" s="24">
        <f>'العقار'!G4</f>
        <v/>
      </c>
    </row>
    <row r="30" ht="22" customHeight="1">
      <c r="A30" s="20" t="n">
        <v>4</v>
      </c>
      <c r="B30" s="21">
        <f>'العقار'!C5</f>
        <v/>
      </c>
      <c r="C30" s="22">
        <f>'العقار'!I5</f>
        <v/>
      </c>
      <c r="D30" s="23">
        <f>'العقار'!M5</f>
        <v/>
      </c>
      <c r="E30" s="10">
        <f>'العقار'!N5</f>
        <v/>
      </c>
      <c r="F30" s="20">
        <f>'العقار'!O5</f>
        <v/>
      </c>
      <c r="G30" s="24">
        <f>'العقار'!G5</f>
        <v/>
      </c>
    </row>
    <row r="31" ht="22" customHeight="1">
      <c r="A31" s="19" t="inlineStr">
        <is>
          <t>▾ إدارة المشاريع · وزن الإدارة 8%</t>
        </is>
      </c>
    </row>
    <row r="32" ht="22" customHeight="1">
      <c r="A32" s="20" t="n">
        <v>1</v>
      </c>
      <c r="B32" s="21">
        <f>'إدارة المشاريع'!C4</f>
        <v/>
      </c>
      <c r="C32" s="22">
        <f>'إدارة المشاريع'!I4</f>
        <v/>
      </c>
      <c r="D32" s="23">
        <f>'إدارة المشاريع'!M4</f>
        <v/>
      </c>
      <c r="E32" s="10">
        <f>'إدارة المشاريع'!N4</f>
        <v/>
      </c>
      <c r="F32" s="20">
        <f>'إدارة المشاريع'!O4</f>
        <v/>
      </c>
      <c r="G32" s="24">
        <f>'إدارة المشاريع'!G4</f>
        <v/>
      </c>
    </row>
    <row r="33" ht="22" customHeight="1">
      <c r="A33" s="20" t="n">
        <v>2</v>
      </c>
      <c r="B33" s="21">
        <f>'إدارة المشاريع'!C5</f>
        <v/>
      </c>
      <c r="C33" s="22">
        <f>'إدارة المشاريع'!I5</f>
        <v/>
      </c>
      <c r="D33" s="23">
        <f>'إدارة المشاريع'!M5</f>
        <v/>
      </c>
      <c r="E33" s="10">
        <f>'إدارة المشاريع'!N5</f>
        <v/>
      </c>
      <c r="F33" s="20">
        <f>'إدارة المشاريع'!O5</f>
        <v/>
      </c>
      <c r="G33" s="24">
        <f>'إدارة المشاريع'!G5</f>
        <v/>
      </c>
    </row>
    <row r="34" ht="22" customHeight="1">
      <c r="A34" s="20" t="n">
        <v>3</v>
      </c>
      <c r="B34" s="21">
        <f>'إدارة المشاريع'!C6</f>
        <v/>
      </c>
      <c r="C34" s="22">
        <f>'إدارة المشاريع'!I6</f>
        <v/>
      </c>
      <c r="D34" s="23">
        <f>'إدارة المشاريع'!M6</f>
        <v/>
      </c>
      <c r="E34" s="10">
        <f>'إدارة المشاريع'!N6</f>
        <v/>
      </c>
      <c r="F34" s="20">
        <f>'إدارة المشاريع'!O6</f>
        <v/>
      </c>
      <c r="G34" s="24">
        <f>'إدارة المشاريع'!G6</f>
        <v/>
      </c>
    </row>
    <row r="35" ht="22" customHeight="1">
      <c r="A35" s="19" t="inlineStr">
        <is>
          <t>▾ سلاسل الإمداد · وزن الإدارة 10%</t>
        </is>
      </c>
    </row>
    <row r="36" ht="22" customHeight="1">
      <c r="A36" s="20" t="n">
        <v>1</v>
      </c>
      <c r="B36" s="21">
        <f>'سلاسل الإمداد'!C4</f>
        <v/>
      </c>
      <c r="C36" s="22">
        <f>'سلاسل الإمداد'!I4</f>
        <v/>
      </c>
      <c r="D36" s="23">
        <f>'سلاسل الإمداد'!M4</f>
        <v/>
      </c>
      <c r="E36" s="10">
        <f>'سلاسل الإمداد'!N4</f>
        <v/>
      </c>
      <c r="F36" s="20">
        <f>'سلاسل الإمداد'!O4</f>
        <v/>
      </c>
      <c r="G36" s="24">
        <f>'سلاسل الإمداد'!G4</f>
        <v/>
      </c>
    </row>
    <row r="37" ht="22" customHeight="1">
      <c r="A37" s="20" t="n">
        <v>2</v>
      </c>
      <c r="B37" s="21">
        <f>'سلاسل الإمداد'!C6</f>
        <v/>
      </c>
      <c r="C37" s="22">
        <f>'سلاسل الإمداد'!I6</f>
        <v/>
      </c>
      <c r="D37" s="23">
        <f>'سلاسل الإمداد'!M6</f>
        <v/>
      </c>
      <c r="E37" s="10">
        <f>'سلاسل الإمداد'!N6</f>
        <v/>
      </c>
      <c r="F37" s="20">
        <f>'سلاسل الإمداد'!O6</f>
        <v/>
      </c>
      <c r="G37" s="24">
        <f>'سلاسل الإمداد'!G6</f>
        <v/>
      </c>
    </row>
    <row r="38" ht="22" customHeight="1">
      <c r="A38" s="20" t="n">
        <v>3</v>
      </c>
      <c r="B38" s="21">
        <f>'سلاسل الإمداد'!C5</f>
        <v/>
      </c>
      <c r="C38" s="22">
        <f>'سلاسل الإمداد'!I5</f>
        <v/>
      </c>
      <c r="D38" s="23">
        <f>'سلاسل الإمداد'!M5</f>
        <v/>
      </c>
      <c r="E38" s="10">
        <f>'سلاسل الإمداد'!N5</f>
        <v/>
      </c>
      <c r="F38" s="20">
        <f>'سلاسل الإمداد'!O5</f>
        <v/>
      </c>
      <c r="G38" s="24">
        <f>'سلاسل الإمداد'!G5</f>
        <v/>
      </c>
    </row>
    <row r="39" ht="22" customHeight="1">
      <c r="A39" s="20" t="n">
        <v>4</v>
      </c>
      <c r="B39" s="21">
        <f>'سلاسل الإمداد'!C7</f>
        <v/>
      </c>
      <c r="C39" s="22">
        <f>'سلاسل الإمداد'!I7</f>
        <v/>
      </c>
      <c r="D39" s="23">
        <f>'سلاسل الإمداد'!M7</f>
        <v/>
      </c>
      <c r="E39" s="10">
        <f>'سلاسل الإمداد'!N7</f>
        <v/>
      </c>
      <c r="F39" s="20">
        <f>'سلاسل الإمداد'!O7</f>
        <v/>
      </c>
      <c r="G39" s="24">
        <f>'سلاسل الإمداد'!G7</f>
        <v/>
      </c>
    </row>
    <row r="40" ht="22" customHeight="1">
      <c r="A40" s="19" t="inlineStr">
        <is>
          <t>▾ الصيانة والأتمتة · وزن الإدارة 7%</t>
        </is>
      </c>
    </row>
    <row r="41" ht="22" customHeight="1">
      <c r="A41" s="20" t="n">
        <v>1</v>
      </c>
      <c r="B41" s="21">
        <f>'الصيانة والأتمتة'!C4</f>
        <v/>
      </c>
      <c r="C41" s="22">
        <f>'الصيانة والأتمتة'!I4</f>
        <v/>
      </c>
      <c r="D41" s="23">
        <f>'الصيانة والأتمتة'!M4</f>
        <v/>
      </c>
      <c r="E41" s="10">
        <f>'الصيانة والأتمتة'!N4</f>
        <v/>
      </c>
      <c r="F41" s="20">
        <f>'الصيانة والأتمتة'!O4</f>
        <v/>
      </c>
      <c r="G41" s="24">
        <f>'الصيانة والأتمتة'!G4</f>
        <v/>
      </c>
    </row>
    <row r="42" ht="22" customHeight="1">
      <c r="A42" s="20" t="n">
        <v>2</v>
      </c>
      <c r="B42" s="21">
        <f>'الصيانة والأتمتة'!C5</f>
        <v/>
      </c>
      <c r="C42" s="22">
        <f>'الصيانة والأتمتة'!I5</f>
        <v/>
      </c>
      <c r="D42" s="23">
        <f>'الصيانة والأتمتة'!M5</f>
        <v/>
      </c>
      <c r="E42" s="10">
        <f>'الصيانة والأتمتة'!N5</f>
        <v/>
      </c>
      <c r="F42" s="20">
        <f>'الصيانة والأتمتة'!O5</f>
        <v/>
      </c>
      <c r="G42" s="24">
        <f>'الصيانة والأتمتة'!G5</f>
        <v/>
      </c>
    </row>
    <row r="43" ht="22" customHeight="1">
      <c r="A43" s="19" t="inlineStr">
        <is>
          <t>▾ التقنية الرقمية · وزن الإدارة 4%</t>
        </is>
      </c>
    </row>
    <row r="44" ht="22" customHeight="1">
      <c r="A44" s="20" t="n">
        <v>1</v>
      </c>
      <c r="B44" s="21">
        <f>'التقنية الرقمية'!C4</f>
        <v/>
      </c>
      <c r="C44" s="22">
        <f>'التقنية الرقمية'!I4</f>
        <v/>
      </c>
      <c r="D44" s="23">
        <f>'التقنية الرقمية'!M4</f>
        <v/>
      </c>
      <c r="E44" s="10">
        <f>'التقنية الرقمية'!N4</f>
        <v/>
      </c>
      <c r="F44" s="20">
        <f>'التقنية الرقمية'!O4</f>
        <v/>
      </c>
      <c r="G44" s="24">
        <f>'التقنية الرقمية'!G4</f>
        <v/>
      </c>
    </row>
    <row r="45" ht="22" customHeight="1">
      <c r="A45" s="20" t="n">
        <v>2</v>
      </c>
      <c r="B45" s="21">
        <f>'التقنية الرقمية'!C5</f>
        <v/>
      </c>
      <c r="C45" s="22">
        <f>'التقنية الرقمية'!I5</f>
        <v/>
      </c>
      <c r="D45" s="23">
        <f>'التقنية الرقمية'!M5</f>
        <v/>
      </c>
      <c r="E45" s="10">
        <f>'التقنية الرقمية'!N5</f>
        <v/>
      </c>
      <c r="F45" s="20">
        <f>'التقنية الرقمية'!O5</f>
        <v/>
      </c>
      <c r="G45" s="24">
        <f>'التقنية الرقمية'!G5</f>
        <v/>
      </c>
    </row>
    <row r="46" ht="22" customHeight="1">
      <c r="A46" s="19" t="inlineStr">
        <is>
          <t>▾ الموارد البشرية · وزن الإدارة 4%</t>
        </is>
      </c>
    </row>
    <row r="47" ht="22" customHeight="1">
      <c r="A47" s="20" t="n">
        <v>1</v>
      </c>
      <c r="B47" s="21">
        <f>'الموارد البشرية'!C4</f>
        <v/>
      </c>
      <c r="C47" s="22">
        <f>'الموارد البشرية'!I4</f>
        <v/>
      </c>
      <c r="D47" s="23">
        <f>'الموارد البشرية'!M4</f>
        <v/>
      </c>
      <c r="E47" s="10">
        <f>'الموارد البشرية'!N4</f>
        <v/>
      </c>
      <c r="F47" s="20">
        <f>'الموارد البشرية'!O4</f>
        <v/>
      </c>
      <c r="G47" s="24">
        <f>'الموارد البشرية'!G4</f>
        <v/>
      </c>
    </row>
    <row r="48" ht="22" customHeight="1">
      <c r="A48" s="20" t="n">
        <v>2</v>
      </c>
      <c r="B48" s="21">
        <f>'الموارد البشرية'!C7</f>
        <v/>
      </c>
      <c r="C48" s="22">
        <f>'الموارد البشرية'!I7</f>
        <v/>
      </c>
      <c r="D48" s="23">
        <f>'الموارد البشرية'!M7</f>
        <v/>
      </c>
      <c r="E48" s="10">
        <f>'الموارد البشرية'!N7</f>
        <v/>
      </c>
      <c r="F48" s="20">
        <f>'الموارد البشرية'!O7</f>
        <v/>
      </c>
      <c r="G48" s="24">
        <f>'الموارد البشرية'!G7</f>
        <v/>
      </c>
    </row>
    <row r="49" ht="22" customHeight="1">
      <c r="A49" s="20" t="n">
        <v>3</v>
      </c>
      <c r="B49" s="21">
        <f>'الموارد البشرية'!C8</f>
        <v/>
      </c>
      <c r="C49" s="22">
        <f>'الموارد البشرية'!I8</f>
        <v/>
      </c>
      <c r="D49" s="23">
        <f>'الموارد البشرية'!M8</f>
        <v/>
      </c>
      <c r="E49" s="10">
        <f>'الموارد البشرية'!N8</f>
        <v/>
      </c>
      <c r="F49" s="20">
        <f>'الموارد البشرية'!O8</f>
        <v/>
      </c>
      <c r="G49" s="24">
        <f>'الموارد البشرية'!G8</f>
        <v/>
      </c>
    </row>
    <row r="50" ht="22" customHeight="1">
      <c r="A50" s="20" t="n">
        <v>4</v>
      </c>
      <c r="B50" s="21">
        <f>'الموارد البشرية'!C5</f>
        <v/>
      </c>
      <c r="C50" s="22">
        <f>'الموارد البشرية'!I5</f>
        <v/>
      </c>
      <c r="D50" s="23">
        <f>'الموارد البشرية'!M5</f>
        <v/>
      </c>
      <c r="E50" s="10">
        <f>'الموارد البشرية'!N5</f>
        <v/>
      </c>
      <c r="F50" s="20">
        <f>'الموارد البشرية'!O5</f>
        <v/>
      </c>
      <c r="G50" s="24">
        <f>'الموارد البشرية'!G5</f>
        <v/>
      </c>
    </row>
    <row r="51" ht="22" customHeight="1">
      <c r="A51" s="20" t="n">
        <v>5</v>
      </c>
      <c r="B51" s="21">
        <f>'الموارد البشرية'!C6</f>
        <v/>
      </c>
      <c r="C51" s="22">
        <f>'الموارد البشرية'!I6</f>
        <v/>
      </c>
      <c r="D51" s="23">
        <f>'الموارد البشرية'!M6</f>
        <v/>
      </c>
      <c r="E51" s="10">
        <f>'الموارد البشرية'!N6</f>
        <v/>
      </c>
      <c r="F51" s="20">
        <f>'الموارد البشرية'!O6</f>
        <v/>
      </c>
      <c r="G51" s="24">
        <f>'الموارد البشرية'!G6</f>
        <v/>
      </c>
    </row>
    <row r="52" ht="22" customHeight="1">
      <c r="A52" s="19" t="inlineStr">
        <is>
          <t>▾ التسويق · وزن الإدارة 5%</t>
        </is>
      </c>
    </row>
    <row r="53" ht="22" customHeight="1">
      <c r="A53" s="20" t="n">
        <v>1</v>
      </c>
      <c r="B53" s="21">
        <f>'التسويق'!C4</f>
        <v/>
      </c>
      <c r="C53" s="22">
        <f>'التسويق'!I4</f>
        <v/>
      </c>
      <c r="D53" s="23">
        <f>'التسويق'!M4</f>
        <v/>
      </c>
      <c r="E53" s="10">
        <f>'التسويق'!N4</f>
        <v/>
      </c>
      <c r="F53" s="20">
        <f>'التسويق'!O4</f>
        <v/>
      </c>
      <c r="G53" s="24">
        <f>'التسويق'!G4</f>
        <v/>
      </c>
    </row>
    <row r="54" ht="22" customHeight="1">
      <c r="A54" s="20" t="n">
        <v>2</v>
      </c>
      <c r="B54" s="21">
        <f>'التسويق'!C6</f>
        <v/>
      </c>
      <c r="C54" s="22">
        <f>'التسويق'!I6</f>
        <v/>
      </c>
      <c r="D54" s="23">
        <f>'التسويق'!M6</f>
        <v/>
      </c>
      <c r="E54" s="10">
        <f>'التسويق'!N6</f>
        <v/>
      </c>
      <c r="F54" s="20">
        <f>'التسويق'!O6</f>
        <v/>
      </c>
      <c r="G54" s="24">
        <f>'التسويق'!G6</f>
        <v/>
      </c>
    </row>
    <row r="55" ht="22" customHeight="1">
      <c r="A55" s="20" t="n">
        <v>3</v>
      </c>
      <c r="B55" s="21">
        <f>'التسويق'!C5</f>
        <v/>
      </c>
      <c r="C55" s="22">
        <f>'التسويق'!I5</f>
        <v/>
      </c>
      <c r="D55" s="23">
        <f>'التسويق'!M5</f>
        <v/>
      </c>
      <c r="E55" s="10">
        <f>'التسويق'!N5</f>
        <v/>
      </c>
      <c r="F55" s="20">
        <f>'التسويق'!O5</f>
        <v/>
      </c>
      <c r="G55" s="24">
        <f>'التسويق'!G5</f>
        <v/>
      </c>
    </row>
    <row r="56" ht="22" customHeight="1">
      <c r="A56" s="20" t="n">
        <v>4</v>
      </c>
      <c r="B56" s="21">
        <f>'التسويق'!C7</f>
        <v/>
      </c>
      <c r="C56" s="22">
        <f>'التسويق'!I7</f>
        <v/>
      </c>
      <c r="D56" s="23">
        <f>'التسويق'!M7</f>
        <v/>
      </c>
      <c r="E56" s="10">
        <f>'التسويق'!N7</f>
        <v/>
      </c>
      <c r="F56" s="20">
        <f>'التسويق'!O7</f>
        <v/>
      </c>
      <c r="G56" s="24">
        <f>'التسويق'!G7</f>
        <v/>
      </c>
    </row>
    <row r="57" ht="22" customHeight="1">
      <c r="A57" s="20" t="n">
        <v>5</v>
      </c>
      <c r="B57" s="21">
        <f>'التسويق'!C8</f>
        <v/>
      </c>
      <c r="C57" s="22">
        <f>'التسويق'!I8</f>
        <v/>
      </c>
      <c r="D57" s="23">
        <f>'التسويق'!M8</f>
        <v/>
      </c>
      <c r="E57" s="10">
        <f>'التسويق'!N8</f>
        <v/>
      </c>
      <c r="F57" s="20">
        <f>'التسويق'!O8</f>
        <v/>
      </c>
      <c r="G57" s="24">
        <f>'التسويق'!G8</f>
        <v/>
      </c>
    </row>
    <row r="58" ht="22" customHeight="1">
      <c r="A58" s="19" t="inlineStr">
        <is>
          <t>▾ الجودة · وزن الإدارة 5%</t>
        </is>
      </c>
    </row>
    <row r="59" ht="22" customHeight="1">
      <c r="A59" s="20" t="n">
        <v>1</v>
      </c>
      <c r="B59" s="21">
        <f>'الجودة'!C4</f>
        <v/>
      </c>
      <c r="C59" s="22">
        <f>'الجودة'!I4</f>
        <v/>
      </c>
      <c r="D59" s="23">
        <f>'الجودة'!M4</f>
        <v/>
      </c>
      <c r="E59" s="10">
        <f>'الجودة'!N4</f>
        <v/>
      </c>
      <c r="F59" s="20">
        <f>'الجودة'!O4</f>
        <v/>
      </c>
      <c r="G59" s="24">
        <f>'الجودة'!G4</f>
        <v/>
      </c>
    </row>
    <row r="60" ht="22" customHeight="1">
      <c r="A60" s="20" t="n">
        <v>2</v>
      </c>
      <c r="B60" s="21">
        <f>'الجودة'!C5</f>
        <v/>
      </c>
      <c r="C60" s="22">
        <f>'الجودة'!I5</f>
        <v/>
      </c>
      <c r="D60" s="23">
        <f>'الجودة'!M5</f>
        <v/>
      </c>
      <c r="E60" s="10">
        <f>'الجودة'!N5</f>
        <v/>
      </c>
      <c r="F60" s="20">
        <f>'الجودة'!O5</f>
        <v/>
      </c>
      <c r="G60" s="24">
        <f>'الجودة'!G5</f>
        <v/>
      </c>
    </row>
    <row r="61" ht="22" customHeight="1">
      <c r="A61" s="20" t="n">
        <v>3</v>
      </c>
      <c r="B61" s="21">
        <f>'الجودة'!C6</f>
        <v/>
      </c>
      <c r="C61" s="22">
        <f>'الجودة'!I6</f>
        <v/>
      </c>
      <c r="D61" s="23">
        <f>'الجودة'!M6</f>
        <v/>
      </c>
      <c r="E61" s="10">
        <f>'الجودة'!N6</f>
        <v/>
      </c>
      <c r="F61" s="20">
        <f>'الجودة'!O6</f>
        <v/>
      </c>
      <c r="G61" s="24">
        <f>'الجودة'!G6</f>
        <v/>
      </c>
    </row>
    <row r="62" ht="22" customHeight="1">
      <c r="A62" s="20" t="n">
        <v>4</v>
      </c>
      <c r="B62" s="21">
        <f>'الجودة'!C7</f>
        <v/>
      </c>
      <c r="C62" s="22">
        <f>'الجودة'!I7</f>
        <v/>
      </c>
      <c r="D62" s="23">
        <f>'الجودة'!M7</f>
        <v/>
      </c>
      <c r="E62" s="10">
        <f>'الجودة'!N7</f>
        <v/>
      </c>
      <c r="F62" s="20">
        <f>'الجودة'!O7</f>
        <v/>
      </c>
      <c r="G62" s="24">
        <f>'الجودة'!G7</f>
        <v/>
      </c>
    </row>
    <row r="63" ht="22" customHeight="1">
      <c r="A63" s="20" t="n">
        <v>5</v>
      </c>
      <c r="B63" s="21">
        <f>'الجودة'!C8</f>
        <v/>
      </c>
      <c r="C63" s="22">
        <f>'الجودة'!I8</f>
        <v/>
      </c>
      <c r="D63" s="23">
        <f>'الجودة'!M8</f>
        <v/>
      </c>
      <c r="E63" s="10">
        <f>'الجودة'!N8</f>
        <v/>
      </c>
      <c r="F63" s="20">
        <f>'الجودة'!O8</f>
        <v/>
      </c>
      <c r="G63" s="24">
        <f>'الجودة'!G8</f>
        <v/>
      </c>
    </row>
    <row r="64" ht="22" customHeight="1">
      <c r="A64" s="19" t="inlineStr">
        <is>
          <t>▾ الإدارة القانونية · وزن الإدارة 3%</t>
        </is>
      </c>
    </row>
    <row r="65" ht="22" customHeight="1">
      <c r="A65" s="20" t="n">
        <v>1</v>
      </c>
      <c r="B65" s="21">
        <f>'الإدارة القانونية'!C4</f>
        <v/>
      </c>
      <c r="C65" s="22">
        <f>'الإدارة القانونية'!I4</f>
        <v/>
      </c>
      <c r="D65" s="23">
        <f>'الإدارة القانونية'!M4</f>
        <v/>
      </c>
      <c r="E65" s="10">
        <f>'الإدارة القانونية'!N4</f>
        <v/>
      </c>
      <c r="F65" s="20">
        <f>'الإدارة القانونية'!O4</f>
        <v/>
      </c>
      <c r="G65" s="24">
        <f>'الإدارة القانونية'!G4</f>
        <v/>
      </c>
    </row>
    <row r="66" ht="22" customHeight="1">
      <c r="A66" s="20" t="n">
        <v>2</v>
      </c>
      <c r="B66" s="21">
        <f>'الإدارة القانونية'!C6</f>
        <v/>
      </c>
      <c r="C66" s="22">
        <f>'الإدارة القانونية'!I6</f>
        <v/>
      </c>
      <c r="D66" s="23">
        <f>'الإدارة القانونية'!M6</f>
        <v/>
      </c>
      <c r="E66" s="10">
        <f>'الإدارة القانونية'!N6</f>
        <v/>
      </c>
      <c r="F66" s="20">
        <f>'الإدارة القانونية'!O6</f>
        <v/>
      </c>
      <c r="G66" s="24">
        <f>'الإدارة القانونية'!G6</f>
        <v/>
      </c>
    </row>
    <row r="67" ht="22" customHeight="1">
      <c r="A67" s="20" t="n">
        <v>3</v>
      </c>
      <c r="B67" s="21">
        <f>'الإدارة القانونية'!C5</f>
        <v/>
      </c>
      <c r="C67" s="22">
        <f>'الإدارة القانونية'!I5</f>
        <v/>
      </c>
      <c r="D67" s="23">
        <f>'الإدارة القانونية'!M5</f>
        <v/>
      </c>
      <c r="E67" s="10">
        <f>'الإدارة القانونية'!N5</f>
        <v/>
      </c>
      <c r="F67" s="20">
        <f>'الإدارة القانونية'!O5</f>
        <v/>
      </c>
      <c r="G67" s="24">
        <f>'الإدارة القانونية'!G5</f>
        <v/>
      </c>
    </row>
    <row r="68" ht="22" customHeight="1">
      <c r="A68" s="19" t="inlineStr">
        <is>
          <t>▾ الإدارة المالية · وزن الإدارة 8%</t>
        </is>
      </c>
    </row>
    <row r="69" ht="22" customHeight="1">
      <c r="A69" s="20" t="n">
        <v>1</v>
      </c>
      <c r="B69" s="21">
        <f>'الإدارة المالية'!C4</f>
        <v/>
      </c>
      <c r="C69" s="22">
        <f>'الإدارة المالية'!I4</f>
        <v/>
      </c>
      <c r="D69" s="23">
        <f>'الإدارة المالية'!M4</f>
        <v/>
      </c>
      <c r="E69" s="10">
        <f>'الإدارة المالية'!N4</f>
        <v/>
      </c>
      <c r="F69" s="20">
        <f>'الإدارة المالية'!O4</f>
        <v/>
      </c>
      <c r="G69" s="24">
        <f>'الإدارة المالية'!G4</f>
        <v/>
      </c>
    </row>
    <row r="70" ht="22" customHeight="1">
      <c r="A70" s="20" t="n">
        <v>2</v>
      </c>
      <c r="B70" s="21">
        <f>'الإدارة المالية'!C6</f>
        <v/>
      </c>
      <c r="C70" s="22">
        <f>'الإدارة المالية'!I6</f>
        <v/>
      </c>
      <c r="D70" s="23">
        <f>'الإدارة المالية'!M6</f>
        <v/>
      </c>
      <c r="E70" s="10">
        <f>'الإدارة المالية'!N6</f>
        <v/>
      </c>
      <c r="F70" s="20">
        <f>'الإدارة المالية'!O6</f>
        <v/>
      </c>
      <c r="G70" s="24">
        <f>'الإدارة المالية'!G6</f>
        <v/>
      </c>
    </row>
    <row r="71" ht="22" customHeight="1">
      <c r="A71" s="20" t="n">
        <v>3</v>
      </c>
      <c r="B71" s="21">
        <f>'الإدارة المالية'!C5</f>
        <v/>
      </c>
      <c r="C71" s="22">
        <f>'الإدارة المالية'!I5</f>
        <v/>
      </c>
      <c r="D71" s="23">
        <f>'الإدارة المالية'!M5</f>
        <v/>
      </c>
      <c r="E71" s="10">
        <f>'الإدارة المالية'!N5</f>
        <v/>
      </c>
      <c r="F71" s="20">
        <f>'الإدارة المالية'!O5</f>
        <v/>
      </c>
      <c r="G71" s="24">
        <f>'الإدارة المالية'!G5</f>
        <v/>
      </c>
    </row>
    <row r="72" ht="22" customHeight="1">
      <c r="A72" s="20" t="n">
        <v>4</v>
      </c>
      <c r="B72" s="21">
        <f>'الإدارة المالية'!C7</f>
        <v/>
      </c>
      <c r="C72" s="22">
        <f>'الإدارة المالية'!I7</f>
        <v/>
      </c>
      <c r="D72" s="23">
        <f>'الإدارة المالية'!M7</f>
        <v/>
      </c>
      <c r="E72" s="10">
        <f>'الإدارة المالية'!N7</f>
        <v/>
      </c>
      <c r="F72" s="20">
        <f>'الإدارة المالية'!O7</f>
        <v/>
      </c>
      <c r="G72" s="24">
        <f>'الإدارة المالية'!G7</f>
        <v/>
      </c>
    </row>
    <row r="73" ht="22" customHeight="1">
      <c r="A73" s="20" t="n">
        <v>5</v>
      </c>
      <c r="B73" s="21">
        <f>'الإدارة المالية'!C8</f>
        <v/>
      </c>
      <c r="C73" s="22">
        <f>'الإدارة المالية'!I8</f>
        <v/>
      </c>
      <c r="D73" s="23">
        <f>'الإدارة المالية'!M8</f>
        <v/>
      </c>
      <c r="E73" s="10">
        <f>'الإدارة المالية'!N8</f>
        <v/>
      </c>
      <c r="F73" s="20">
        <f>'الإدارة المالية'!O8</f>
        <v/>
      </c>
      <c r="G73" s="24">
        <f>'الإدارة المالية'!G8</f>
        <v/>
      </c>
    </row>
  </sheetData>
  <mergeCells count="15">
    <mergeCell ref="A58:G58"/>
    <mergeCell ref="A1:G1"/>
    <mergeCell ref="A40:G40"/>
    <mergeCell ref="A9:G9"/>
    <mergeCell ref="A31:G31"/>
    <mergeCell ref="A3:G3"/>
    <mergeCell ref="A35:G35"/>
    <mergeCell ref="A20:G20"/>
    <mergeCell ref="A26:G26"/>
    <mergeCell ref="A15:G15"/>
    <mergeCell ref="A52:G52"/>
    <mergeCell ref="A64:G64"/>
    <mergeCell ref="A43:G43"/>
    <mergeCell ref="A68:G68"/>
    <mergeCell ref="A46:G4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E30"/>
  <sheetViews>
    <sheetView showGridLines="0" rightToLeft="1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40" customWidth="1" min="3" max="3"/>
    <col width="30" customWidth="1" min="4" max="4"/>
    <col width="14" customWidth="1" min="5" max="5"/>
  </cols>
  <sheetData>
    <row r="2" ht="26" customHeight="1">
      <c r="B2" s="25" t="inlineStr">
        <is>
          <t>درب · الاستراتيجية ومستهدفات 2026 — قطاع المحطات والعقار</t>
        </is>
      </c>
    </row>
    <row r="4">
      <c r="A4" s="2" t="inlineStr"/>
      <c r="B4" s="2" t="inlineStr">
        <is>
          <t>الركيزة (5 سنوات) / الهدف</t>
        </is>
      </c>
      <c r="C4" s="2" t="inlineStr">
        <is>
          <t>الوصف</t>
        </is>
      </c>
      <c r="D4" s="2" t="inlineStr">
        <is>
          <t>مستهدف 2026</t>
        </is>
      </c>
    </row>
    <row r="5" ht="24" customHeight="1">
      <c r="A5" s="26" t="inlineStr"/>
      <c r="B5" s="27" t="inlineStr">
        <is>
          <t>النمو</t>
        </is>
      </c>
      <c r="C5" s="28" t="inlineStr">
        <is>
          <t>التوسع في المواقع وزيادة الوصول وتنمية الإيراد.</t>
        </is>
      </c>
      <c r="D5" s="29" t="inlineStr"/>
    </row>
    <row r="6" ht="24" customHeight="1">
      <c r="A6" s="30" t="inlineStr"/>
      <c r="B6" s="31" t="inlineStr">
        <is>
          <t>التوسع في المواقع</t>
        </is>
      </c>
      <c r="C6" s="21" t="inlineStr">
        <is>
          <t>افتتاح وتشغيل محطات جديدة.</t>
        </is>
      </c>
      <c r="D6" s="32" t="inlineStr">
        <is>
          <t>التشغيل 85 · الامتياز 150 محطة</t>
        </is>
      </c>
    </row>
    <row r="7" ht="24" customHeight="1">
      <c r="A7" s="30" t="inlineStr"/>
      <c r="B7" s="31" t="inlineStr">
        <is>
          <t>الامتياز والعقود</t>
        </is>
      </c>
      <c r="C7" s="21" t="inlineStr">
        <is>
          <t>تنمية الإيراد عبر الامتياز والاستثمار.</t>
        </is>
      </c>
      <c r="D7" s="32" t="inlineStr">
        <is>
          <t>الامتياز 167 · الاستثمار 190 عقد</t>
        </is>
      </c>
    </row>
    <row r="8" ht="24" customHeight="1">
      <c r="A8" s="30" t="inlineStr"/>
      <c r="B8" s="31" t="inlineStr">
        <is>
          <t>زيادة وصول العملاء</t>
        </is>
      </c>
      <c r="C8" s="21" t="inlineStr">
        <is>
          <t>رفع المبيعات والتغطية الجغرافية.</t>
        </is>
      </c>
      <c r="D8" s="32" t="inlineStr">
        <is>
          <t>718.8M لتر · 13 منطقة · 59 مدينة</t>
        </is>
      </c>
    </row>
    <row r="9" ht="24" customHeight="1">
      <c r="A9" s="26" t="inlineStr"/>
      <c r="B9" s="27" t="inlineStr">
        <is>
          <t>الابتكار</t>
        </is>
      </c>
      <c r="C9" s="28" t="inlineStr">
        <is>
          <t>مشاريع جديدة وتحول تقني وهوية وتانكي.</t>
        </is>
      </c>
      <c r="D9" s="29" t="inlineStr"/>
    </row>
    <row r="10" ht="24" customHeight="1">
      <c r="A10" s="30" t="inlineStr"/>
      <c r="B10" s="31" t="inlineStr">
        <is>
          <t>التحول التقني</t>
        </is>
      </c>
      <c r="C10" s="21" t="inlineStr">
        <is>
          <t>أتمتة 164 محطة · D365 · جاهزية الأنظمة.</t>
        </is>
      </c>
      <c r="D10" s="32" t="inlineStr">
        <is>
          <t>أتمتة 90% · جاهزية 99%</t>
        </is>
      </c>
    </row>
    <row r="11" ht="24" customHeight="1">
      <c r="A11" s="30" t="inlineStr"/>
      <c r="B11" s="31" t="inlineStr">
        <is>
          <t>ساحات درب وتانكي</t>
        </is>
      </c>
      <c r="C11" s="21" t="inlineStr">
        <is>
          <t>تشغيل ساحات درب ونمو تطبيق تانكي (التسويق).</t>
        </is>
      </c>
      <c r="D11" s="32" t="inlineStr">
        <is>
          <t>تأجير ساحة ≥80% · تانكي تصاعدي</t>
        </is>
      </c>
    </row>
    <row r="12" ht="24" customHeight="1">
      <c r="A12" s="26" t="inlineStr"/>
      <c r="B12" s="27" t="inlineStr">
        <is>
          <t>الاستدامة</t>
        </is>
      </c>
      <c r="C12" s="28" t="inlineStr">
        <is>
          <t>جودة التشغيل وتجربة العميل والموظفين.</t>
        </is>
      </c>
      <c r="D12" s="29" t="inlineStr"/>
    </row>
    <row r="13" ht="24" customHeight="1">
      <c r="A13" s="30" t="inlineStr"/>
      <c r="B13" s="31" t="inlineStr">
        <is>
          <t>تجربة العميل وجودة التشغيل</t>
        </is>
      </c>
      <c r="C13" s="21" t="inlineStr">
        <is>
          <t>رضا وأمن سيبراني وجاهزية.</t>
        </is>
      </c>
      <c r="D13" s="32" t="inlineStr">
        <is>
          <t>CSAT 90% · جاهزية 99%</t>
        </is>
      </c>
    </row>
    <row r="14" ht="24" customHeight="1">
      <c r="A14" s="30" t="inlineStr"/>
      <c r="B14" s="31" t="inlineStr">
        <is>
          <t>منظومة التأجير</t>
        </is>
      </c>
      <c r="C14" s="21" t="inlineStr">
        <is>
          <t>الإشغال والتحصيل واستدامة المستأجرين.</t>
        </is>
      </c>
      <c r="D14" s="32" t="inlineStr">
        <is>
          <t>إشغال ≥60% · 246 علامة</t>
        </is>
      </c>
    </row>
    <row r="15" ht="24" customHeight="1">
      <c r="A15" s="30" t="inlineStr"/>
      <c r="B15" s="31" t="inlineStr">
        <is>
          <t>الاستثمار في الموظفين</t>
        </is>
      </c>
      <c r="C15" s="21" t="inlineStr">
        <is>
          <t>التوطين والتدريب والاستبقاء.</t>
        </is>
      </c>
      <c r="D15" s="32" t="inlineStr">
        <is>
          <t>6 دورات · استبقاء 90% · سعودة</t>
        </is>
      </c>
    </row>
    <row r="17">
      <c r="B17" s="33" t="inlineStr">
        <is>
          <t>الخارطة التنفيذية — المشاريع (أداء حي)</t>
        </is>
      </c>
      <c r="C17" s="8" t="n"/>
      <c r="D17" s="8" t="n"/>
      <c r="E17" s="7" t="n"/>
    </row>
    <row r="18">
      <c r="B18" s="2" t="inlineStr">
        <is>
          <t>المشروع</t>
        </is>
      </c>
      <c r="C18" s="2" t="inlineStr">
        <is>
          <t>الركيزة</t>
        </is>
      </c>
      <c r="D18" s="2" t="inlineStr">
        <is>
          <t>عدد المؤشرات</t>
        </is>
      </c>
      <c r="E18" s="2" t="inlineStr">
        <is>
          <t>الأداء (حي)</t>
        </is>
      </c>
    </row>
    <row r="19">
      <c r="B19" s="21" t="inlineStr">
        <is>
          <t>التوسع في المواقع</t>
        </is>
      </c>
      <c r="C19" s="23" t="inlineStr">
        <is>
          <t>النمو</t>
        </is>
      </c>
      <c r="D19" s="20">
        <f>COUNTIF('قاعدة المؤشرات'!$E$2:$E$98,"التوسع في المواقع")</f>
        <v/>
      </c>
      <c r="E19" s="10">
        <f>IFERROR(AVERAGEIFS('قاعدة المؤشرات'!$G$2:$G$98,'قاعدة المؤشرات'!$E$2:$E$98,"التوسع في المواقع"),"—")</f>
        <v/>
      </c>
    </row>
    <row r="20">
      <c r="B20" s="21" t="inlineStr">
        <is>
          <t>الامتياز التجاري</t>
        </is>
      </c>
      <c r="C20" s="23" t="inlineStr">
        <is>
          <t>النمو</t>
        </is>
      </c>
      <c r="D20" s="20">
        <f>COUNTIF('قاعدة المؤشرات'!$E$2:$E$98,"الامتياز التجاري")</f>
        <v/>
      </c>
      <c r="E20" s="10">
        <f>IFERROR(AVERAGEIFS('قاعدة المؤشرات'!$G$2:$G$98,'قاعدة المؤشرات'!$E$2:$E$98,"الامتياز التجاري"),"—")</f>
        <v/>
      </c>
    </row>
    <row r="21">
      <c r="B21" s="21" t="inlineStr">
        <is>
          <t>زيادة وصول العملاء</t>
        </is>
      </c>
      <c r="C21" s="23" t="inlineStr">
        <is>
          <t>النمو</t>
        </is>
      </c>
      <c r="D21" s="20">
        <f>COUNTIF('قاعدة المؤشرات'!$E$2:$E$98,"زيادة وصول العملاء")</f>
        <v/>
      </c>
      <c r="E21" s="10">
        <f>IFERROR(AVERAGEIFS('قاعدة المؤشرات'!$G$2:$G$98,'قاعدة المؤشرات'!$E$2:$E$98,"زيادة وصول العملاء"),"—")</f>
        <v/>
      </c>
    </row>
    <row r="22">
      <c r="B22" s="21" t="inlineStr">
        <is>
          <t>إطلاق مشاريع جديدة</t>
        </is>
      </c>
      <c r="C22" s="23" t="inlineStr">
        <is>
          <t>الابتكار</t>
        </is>
      </c>
      <c r="D22" s="20">
        <f>COUNTIF('قاعدة المؤشرات'!$E$2:$E$98,"إطلاق مشاريع جديدة")</f>
        <v/>
      </c>
      <c r="E22" s="10">
        <f>IFERROR(AVERAGEIFS('قاعدة المؤشرات'!$G$2:$G$98,'قاعدة المؤشرات'!$E$2:$E$98,"إطلاق مشاريع جديدة"),"—")</f>
        <v/>
      </c>
    </row>
    <row r="23">
      <c r="B23" s="21" t="inlineStr">
        <is>
          <t>تطوير التصاميم والهوية</t>
        </is>
      </c>
      <c r="C23" s="23" t="inlineStr">
        <is>
          <t>الابتكار</t>
        </is>
      </c>
      <c r="D23" s="20">
        <f>COUNTIF('قاعدة المؤشرات'!$E$2:$E$98,"تطوير التصاميم والهوية")</f>
        <v/>
      </c>
      <c r="E23" s="10">
        <f>IFERROR(AVERAGEIFS('قاعدة المؤشرات'!$G$2:$G$98,'قاعدة المؤشرات'!$E$2:$E$98,"تطوير التصاميم والهوية"),"—")</f>
        <v/>
      </c>
    </row>
    <row r="24">
      <c r="B24" s="21" t="inlineStr">
        <is>
          <t>التحول التقني</t>
        </is>
      </c>
      <c r="C24" s="23" t="inlineStr">
        <is>
          <t>الابتكار</t>
        </is>
      </c>
      <c r="D24" s="20">
        <f>COUNTIF('قاعدة المؤشرات'!$E$2:$E$98,"التحول التقني")</f>
        <v/>
      </c>
      <c r="E24" s="10">
        <f>IFERROR(AVERAGEIFS('قاعدة المؤشرات'!$G$2:$G$98,'قاعدة المؤشرات'!$E$2:$E$98,"التحول التقني"),"—")</f>
        <v/>
      </c>
    </row>
    <row r="25">
      <c r="B25" s="21" t="inlineStr">
        <is>
          <t>ساحات درب</t>
        </is>
      </c>
      <c r="C25" s="23" t="inlineStr">
        <is>
          <t>الابتكار</t>
        </is>
      </c>
      <c r="D25" s="20">
        <f>COUNTIF('قاعدة المؤشرات'!$E$2:$E$98,"ساحات درب")</f>
        <v/>
      </c>
      <c r="E25" s="10">
        <f>IFERROR(AVERAGEIFS('قاعدة المؤشرات'!$G$2:$G$98,'قاعدة المؤشرات'!$E$2:$E$98,"ساحات درب"),"—")</f>
        <v/>
      </c>
    </row>
    <row r="26">
      <c r="B26" s="21" t="inlineStr">
        <is>
          <t>تطبيق «تانكي»</t>
        </is>
      </c>
      <c r="C26" s="23" t="inlineStr">
        <is>
          <t>الابتكار</t>
        </is>
      </c>
      <c r="D26" s="20">
        <f>COUNTIF('قاعدة المؤشرات'!$E$2:$E$98,"تطبيق «تانكي»")</f>
        <v/>
      </c>
      <c r="E26" s="10">
        <f>IFERROR(AVERAGEIFS('قاعدة المؤشرات'!$G$2:$G$98,'قاعدة المؤشرات'!$E$2:$E$98,"تطبيق «تانكي»"),"—")</f>
        <v/>
      </c>
    </row>
    <row r="27">
      <c r="B27" s="21" t="inlineStr">
        <is>
          <t>تعزيز تجربة العملاء</t>
        </is>
      </c>
      <c r="C27" s="23" t="inlineStr">
        <is>
          <t>الاستدامة</t>
        </is>
      </c>
      <c r="D27" s="20">
        <f>COUNTIF('قاعدة المؤشرات'!$E$2:$E$98,"تعزيز تجربة العملاء")</f>
        <v/>
      </c>
      <c r="E27" s="10">
        <f>IFERROR(AVERAGEIFS('قاعدة المؤشرات'!$G$2:$G$98,'قاعدة المؤشرات'!$E$2:$E$98,"تعزيز تجربة العملاء"),"—")</f>
        <v/>
      </c>
    </row>
    <row r="28">
      <c r="B28" s="21" t="inlineStr">
        <is>
          <t>جودة التشغيل</t>
        </is>
      </c>
      <c r="C28" s="23" t="inlineStr">
        <is>
          <t>الاستدامة</t>
        </is>
      </c>
      <c r="D28" s="20">
        <f>COUNTIF('قاعدة المؤشرات'!$E$2:$E$98,"جودة التشغيل")</f>
        <v/>
      </c>
      <c r="E28" s="10">
        <f>IFERROR(AVERAGEIFS('قاعدة المؤشرات'!$G$2:$G$98,'قاعدة المؤشرات'!$E$2:$E$98,"جودة التشغيل"),"—")</f>
        <v/>
      </c>
    </row>
    <row r="29">
      <c r="B29" s="21" t="inlineStr">
        <is>
          <t>منظومة التأجير</t>
        </is>
      </c>
      <c r="C29" s="23" t="inlineStr">
        <is>
          <t>الاستدامة</t>
        </is>
      </c>
      <c r="D29" s="20">
        <f>COUNTIF('قاعدة المؤشرات'!$E$2:$E$98,"منظومة التأجير")</f>
        <v/>
      </c>
      <c r="E29" s="10">
        <f>IFERROR(AVERAGEIFS('قاعدة المؤشرات'!$G$2:$G$98,'قاعدة المؤشرات'!$E$2:$E$98,"منظومة التأجير"),"—")</f>
        <v/>
      </c>
    </row>
    <row r="30">
      <c r="B30" s="21" t="inlineStr">
        <is>
          <t>الاستثمار في الموظفين</t>
        </is>
      </c>
      <c r="C30" s="23" t="inlineStr">
        <is>
          <t>الاستدامة</t>
        </is>
      </c>
      <c r="D30" s="20">
        <f>COUNTIF('قاعدة المؤشرات'!$E$2:$E$98,"الاستثمار في الموظفين")</f>
        <v/>
      </c>
      <c r="E30" s="10">
        <f>IFERROR(AVERAGEIFS('قاعدة المؤشرات'!$G$2:$G$98,'قاعدة المؤشرات'!$E$2:$E$98,"الاستثمار في الموظفين"),"—")</f>
        <v/>
      </c>
    </row>
  </sheetData>
  <mergeCells count="2">
    <mergeCell ref="B17:E17"/>
    <mergeCell ref="B2:E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19"/>
  <sheetViews>
    <sheetView showGridLines="0" rightToLeft="1" workbookViewId="0">
      <selection activeCell="A1" sqref="A1"/>
    </sheetView>
  </sheetViews>
  <sheetFormatPr baseColWidth="8" defaultRowHeight="15"/>
  <cols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2" ht="26" customHeight="1">
      <c r="B2" s="34" t="inlineStr">
        <is>
          <t>الخريطة الاستراتيجية — علاقات السبب والأثر (Balanced Scorecard) · الأداء حي</t>
        </is>
      </c>
    </row>
    <row r="4">
      <c r="B4" s="35" t="inlineStr">
        <is>
          <t>⬆ المنظور المالي — القيمة للمساهمين</t>
        </is>
      </c>
    </row>
    <row r="5">
      <c r="B5" s="36" t="inlineStr">
        <is>
          <t>النمو · الربحية · التدفّق النقدي والتحصيل</t>
        </is>
      </c>
    </row>
    <row r="6">
      <c r="B6" s="37">
        <f>IFERROR(AVERAGEIFS('قاعدة المؤشرات'!$G$2:$G$98,'قاعدة المؤشرات'!$F$2:$F$98,"مالي"),"—")</f>
        <v/>
      </c>
    </row>
    <row r="7">
      <c r="C7" s="38" t="inlineStr">
        <is>
          <t>⬆</t>
        </is>
      </c>
      <c r="E7" s="38" t="inlineStr">
        <is>
          <t>⬆</t>
        </is>
      </c>
      <c r="G7" s="38" t="inlineStr">
        <is>
          <t>⬆</t>
        </is>
      </c>
      <c r="I7" s="38" t="inlineStr">
        <is>
          <t>⬆</t>
        </is>
      </c>
      <c r="K7" s="38" t="inlineStr">
        <is>
          <t>⬆</t>
        </is>
      </c>
    </row>
    <row r="8">
      <c r="B8" s="35" t="inlineStr">
        <is>
          <t>المنظور — العملاء</t>
        </is>
      </c>
    </row>
    <row r="9">
      <c r="B9" s="39" t="inlineStr">
        <is>
          <t>زيادة وصول العملاء</t>
        </is>
      </c>
      <c r="E9" s="39" t="inlineStr">
        <is>
          <t>تعزيز تجربة العملاء</t>
        </is>
      </c>
      <c r="H9" s="39" t="inlineStr">
        <is>
          <t>تطبيق تانكي والولاء</t>
        </is>
      </c>
    </row>
    <row r="10">
      <c r="B10" s="40">
        <f>IFERROR(AVERAGEIFS('قاعدة المؤشرات'!$G$2:$G$98,'قاعدة المؤشرات'!$E$2:$E$98,"زيادة وصول العملاء"),"—")</f>
        <v/>
      </c>
      <c r="E10" s="40">
        <f>IFERROR(AVERAGEIFS('قاعدة المؤشرات'!$G$2:$G$98,'قاعدة المؤشرات'!$E$2:$E$98,"تعزيز تجربة العملاء"),"—")</f>
        <v/>
      </c>
      <c r="H10" s="40">
        <f>IFERROR(AVERAGEIFS('قاعدة المؤشرات'!$G$2:$G$98,'قاعدة المؤشرات'!$E$2:$E$98,"تطبيق «تانكي»"),"—")</f>
        <v/>
      </c>
    </row>
    <row r="11">
      <c r="C11" s="38" t="inlineStr">
        <is>
          <t>⬆</t>
        </is>
      </c>
      <c r="E11" s="38" t="inlineStr">
        <is>
          <t>⬆</t>
        </is>
      </c>
      <c r="G11" s="38" t="inlineStr">
        <is>
          <t>⬆</t>
        </is>
      </c>
      <c r="I11" s="38" t="inlineStr">
        <is>
          <t>⬆</t>
        </is>
      </c>
      <c r="K11" s="38" t="inlineStr">
        <is>
          <t>⬆</t>
        </is>
      </c>
    </row>
    <row r="12">
      <c r="B12" s="35" t="inlineStr">
        <is>
          <t>المنظور — العمليات الداخلية</t>
        </is>
      </c>
    </row>
    <row r="13">
      <c r="B13" s="41" t="inlineStr">
        <is>
          <t>التوسع في المواقع</t>
        </is>
      </c>
      <c r="D13" s="41" t="inlineStr">
        <is>
          <t>الامتياز التجاري</t>
        </is>
      </c>
      <c r="F13" s="41" t="inlineStr">
        <is>
          <t>منظومة التأجير</t>
        </is>
      </c>
      <c r="H13" s="41" t="inlineStr">
        <is>
          <t>ساحات درب</t>
        </is>
      </c>
      <c r="J13" s="41" t="inlineStr">
        <is>
          <t>جودة التشغيل</t>
        </is>
      </c>
    </row>
    <row r="14">
      <c r="B14" s="42">
        <f>IFERROR(AVERAGEIFS('قاعدة المؤشرات'!$G$2:$G$98,'قاعدة المؤشرات'!$E$2:$E$98,"التوسع في المواقع"),"—")</f>
        <v/>
      </c>
      <c r="D14" s="42">
        <f>IFERROR(AVERAGEIFS('قاعدة المؤشرات'!$G$2:$G$98,'قاعدة المؤشرات'!$E$2:$E$98,"الامتياز التجاري"),"—")</f>
        <v/>
      </c>
      <c r="F14" s="42">
        <f>IFERROR(AVERAGEIFS('قاعدة المؤشرات'!$G$2:$G$98,'قاعدة المؤشرات'!$E$2:$E$98,"منظومة التأجير"),"—")</f>
        <v/>
      </c>
      <c r="H14" s="42">
        <f>IFERROR(AVERAGEIFS('قاعدة المؤشرات'!$G$2:$G$98,'قاعدة المؤشرات'!$E$2:$E$98,"ساحات درب"),"—")</f>
        <v/>
      </c>
      <c r="J14" s="42">
        <f>IFERROR(AVERAGEIFS('قاعدة المؤشرات'!$G$2:$G$98,'قاعدة المؤشرات'!$E$2:$E$98,"جودة التشغيل"),"—")</f>
        <v/>
      </c>
    </row>
    <row r="15">
      <c r="C15" s="38" t="inlineStr">
        <is>
          <t>⬆</t>
        </is>
      </c>
      <c r="E15" s="38" t="inlineStr">
        <is>
          <t>⬆</t>
        </is>
      </c>
      <c r="G15" s="38" t="inlineStr">
        <is>
          <t>⬆</t>
        </is>
      </c>
      <c r="I15" s="38" t="inlineStr">
        <is>
          <t>⬆</t>
        </is>
      </c>
      <c r="K15" s="38" t="inlineStr">
        <is>
          <t>⬆</t>
        </is>
      </c>
    </row>
    <row r="16">
      <c r="B16" s="35" t="inlineStr">
        <is>
          <t>المنظور — التعلّم والنمو (الأساس الممكِّن)</t>
        </is>
      </c>
    </row>
    <row r="17">
      <c r="B17" s="43" t="inlineStr">
        <is>
          <t>الاستثمار في الموظفين</t>
        </is>
      </c>
      <c r="D17" s="43" t="inlineStr">
        <is>
          <t>التحول التقني</t>
        </is>
      </c>
      <c r="F17" s="43" t="inlineStr">
        <is>
          <t>إطلاق مشاريع جديدة</t>
        </is>
      </c>
      <c r="H17" s="43" t="inlineStr">
        <is>
          <t>التصاميم والهوية</t>
        </is>
      </c>
    </row>
    <row r="18">
      <c r="B18" s="44">
        <f>IFERROR(AVERAGEIFS('قاعدة المؤشرات'!$G$2:$G$98,'قاعدة المؤشرات'!$E$2:$E$98,"الاستثمار في الموظفين"),"—")</f>
        <v/>
      </c>
      <c r="D18" s="44">
        <f>IFERROR(AVERAGEIFS('قاعدة المؤشرات'!$G$2:$G$98,'قاعدة المؤشرات'!$E$2:$E$98,"التحول التقني"),"—")</f>
        <v/>
      </c>
      <c r="F18" s="44">
        <f>IFERROR(AVERAGEIFS('قاعدة المؤشرات'!$G$2:$G$98,'قاعدة المؤشرات'!$E$2:$E$98,"إطلاق مشاريع جديدة"),"—")</f>
        <v/>
      </c>
      <c r="H18" s="44">
        <f>IFERROR(AVERAGEIFS('قاعدة المؤشرات'!$G$2:$G$98,'قاعدة المؤشرات'!$E$2:$E$98,"تطوير التصاميم والهوية"),"—")</f>
        <v/>
      </c>
    </row>
    <row r="19">
      <c r="B19" s="45" t="inlineStr">
        <is>
          <t>القراءة من الأسفل للأعلى: تطوير الكوادر والتقنية ⟵ يُمكّن العمليات ⟵ يخلق قيمة للعملاء ⟵ يُنتج النتائج المالية</t>
        </is>
      </c>
    </row>
  </sheetData>
  <mergeCells count="32">
    <mergeCell ref="E10:G10"/>
    <mergeCell ref="J14:K14"/>
    <mergeCell ref="E9:G9"/>
    <mergeCell ref="B6:K6"/>
    <mergeCell ref="B18:C18"/>
    <mergeCell ref="J13:K13"/>
    <mergeCell ref="B5:K5"/>
    <mergeCell ref="B10:D10"/>
    <mergeCell ref="H18:K18"/>
    <mergeCell ref="B4:K4"/>
    <mergeCell ref="D13:E13"/>
    <mergeCell ref="F18:G18"/>
    <mergeCell ref="B9:D9"/>
    <mergeCell ref="B14:C14"/>
    <mergeCell ref="B16:K16"/>
    <mergeCell ref="B17:C17"/>
    <mergeCell ref="D17:E17"/>
    <mergeCell ref="F17:G17"/>
    <mergeCell ref="H10:K10"/>
    <mergeCell ref="B13:C13"/>
    <mergeCell ref="H9:K9"/>
    <mergeCell ref="B12:K12"/>
    <mergeCell ref="B2:K2"/>
    <mergeCell ref="F13:G13"/>
    <mergeCell ref="D18:E18"/>
    <mergeCell ref="H13:I13"/>
    <mergeCell ref="B8:K8"/>
    <mergeCell ref="H17:K17"/>
    <mergeCell ref="D14:E14"/>
    <mergeCell ref="F14:G14"/>
    <mergeCell ref="H14:I14"/>
    <mergeCell ref="B19:K1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J22"/>
  <sheetViews>
    <sheetView showGridLines="0" rightToLeft="1" workbookViewId="0">
      <selection activeCell="A1" sqref="A1"/>
    </sheetView>
  </sheetViews>
  <sheetFormatPr baseColWidth="8" defaultRowHeight="15"/>
  <cols>
    <col width="3" customWidth="1" min="1" max="1"/>
    <col width="28" customWidth="1" min="2" max="2"/>
    <col width="14" customWidth="1" min="3" max="3"/>
    <col width="16" customWidth="1" min="4" max="4"/>
    <col width="16" customWidth="1" min="5" max="5"/>
    <col hidden="1" width="13" customWidth="1" min="8" max="8"/>
    <col hidden="1" width="13" customWidth="1" min="9" max="9"/>
    <col hidden="1" width="13" customWidth="1" min="10" max="10"/>
  </cols>
  <sheetData>
    <row r="2" ht="26" customHeight="1">
      <c r="B2" s="17" t="inlineStr">
        <is>
          <t>اللوحة الموجزة — إنجاز موزون (وزن المؤشر × وزن الإدارة) · سقف 100%</t>
        </is>
      </c>
    </row>
    <row r="4">
      <c r="B4" s="46" t="inlineStr">
        <is>
          <t>الإنجاز العام (موزون)</t>
        </is>
      </c>
      <c r="C4" s="47" t="inlineStr">
        <is>
          <t>✅ محقق</t>
        </is>
      </c>
      <c r="D4" s="47" t="inlineStr">
        <is>
          <t>🟡 قريب</t>
        </is>
      </c>
      <c r="E4" s="47" t="inlineStr">
        <is>
          <t>🔴 تحت الهدف</t>
        </is>
      </c>
    </row>
    <row r="5">
      <c r="B5" s="4">
        <f>IFERROR(SUMPRODUCT(I9:I22,H9:H22)/SUMPRODUCT(I9:I22,J9:J22),0)</f>
        <v/>
      </c>
      <c r="C5" s="5">
        <f>COUNTIFS('قاعدة المؤشرات'!$H$2:$H$98,"✅ محقق",'قاعدة المؤشرات'!$B$2:$B$98,"&lt;&gt;الإدارة التنفيذية")</f>
        <v/>
      </c>
      <c r="D5" s="5">
        <f>COUNTIFS('قاعدة المؤشرات'!$H$2:$H$98,"🟡 قريب",'قاعدة المؤشرات'!$B$2:$B$98,"&lt;&gt;الإدارة التنفيذية")</f>
        <v/>
      </c>
      <c r="E5" s="5">
        <f>COUNTIFS('قاعدة المؤشرات'!$H$2:$H$98,"🔴 تحت الهدف",'قاعدة المؤشرات'!$B$2:$B$98,"&lt;&gt;الإدارة التنفيذية")</f>
        <v/>
      </c>
    </row>
    <row r="7">
      <c r="B7" s="33" t="inlineStr">
        <is>
          <t>الأداء حسب الإدارة (موزون)</t>
        </is>
      </c>
      <c r="C7" s="7" t="n"/>
      <c r="D7" s="33" t="inlineStr">
        <is>
          <t>حسب الركيزة</t>
        </is>
      </c>
      <c r="E7" s="7" t="n"/>
    </row>
    <row r="8">
      <c r="B8" s="47" t="inlineStr">
        <is>
          <t>الإدارة</t>
        </is>
      </c>
      <c r="C8" s="47" t="inlineStr">
        <is>
          <t>الأداء</t>
        </is>
      </c>
      <c r="D8" s="47" t="inlineStr">
        <is>
          <t>الركيزة</t>
        </is>
      </c>
      <c r="E8" s="47" t="inlineStr">
        <is>
          <t>الأداء</t>
        </is>
      </c>
    </row>
    <row r="9">
      <c r="B9" s="9" t="inlineStr">
        <is>
          <t>الإدارة التنفيذية</t>
        </is>
      </c>
      <c r="C9" s="10">
        <f>IFERROR(SUMIF('قاعدة المؤشرات'!$B$2:$B$98,"الإدارة التنفيذية",'قاعدة المؤشرات'!$J$2:$J$98)/SUMIF('قاعدة المؤشرات'!$B$2:$B$98,"الإدارة التنفيذية",'قاعدة المؤشرات'!$K$2:$K$98),"—")</f>
        <v/>
      </c>
      <c r="D9" s="9" t="inlineStr">
        <is>
          <t>النمو</t>
        </is>
      </c>
      <c r="E9" s="10">
        <f>IFERROR(AVERAGEIFS('قاعدة المؤشرات'!$G$2:$G$98,'قاعدة المؤشرات'!$D$2:$D$98,"النمو"),"—")</f>
        <v/>
      </c>
      <c r="H9" s="15">
        <f>IFERROR(SUMIF('قاعدة المؤشرات'!$B$2:$B$98,"الإدارة التنفيذية",'قاعدة المؤشرات'!$J$2:$J$98)/SUMIF('قاعدة المؤشرات'!$B$2:$B$98,"الإدارة التنفيذية",'قاعدة المؤشرات'!$K$2:$K$98),0)</f>
        <v/>
      </c>
      <c r="I9" s="15" t="n">
        <v>0</v>
      </c>
      <c r="J9" s="15">
        <f>IF(SUMIF('قاعدة المؤشرات'!$B$2:$B$98,"الإدارة التنفيذية",'قاعدة المؤشرات'!$K$2:$K$98)=0,0,1)</f>
        <v/>
      </c>
    </row>
    <row r="10">
      <c r="B10" s="9" t="inlineStr">
        <is>
          <t>الامتياز التجاري</t>
        </is>
      </c>
      <c r="C10" s="10">
        <f>IFERROR(SUMIF('قاعدة المؤشرات'!$B$2:$B$98,"الامتياز التجاري",'قاعدة المؤشرات'!$J$2:$J$98)/SUMIF('قاعدة المؤشرات'!$B$2:$B$98,"الامتياز التجاري",'قاعدة المؤشرات'!$K$2:$K$98),"—")</f>
        <v/>
      </c>
      <c r="D10" s="9" t="inlineStr">
        <is>
          <t>الابتكار</t>
        </is>
      </c>
      <c r="E10" s="10">
        <f>IFERROR(AVERAGEIFS('قاعدة المؤشرات'!$G$2:$G$98,'قاعدة المؤشرات'!$D$2:$D$98,"الابتكار"),"—")</f>
        <v/>
      </c>
      <c r="H10" s="15">
        <f>IFERROR(SUMIF('قاعدة المؤشرات'!$B$2:$B$98,"الامتياز التجاري",'قاعدة المؤشرات'!$J$2:$J$98)/SUMIF('قاعدة المؤشرات'!$B$2:$B$98,"الامتياز التجاري",'قاعدة المؤشرات'!$K$2:$K$98),0)</f>
        <v/>
      </c>
      <c r="I10" s="15" t="n">
        <v>0.14</v>
      </c>
      <c r="J10" s="15">
        <f>IF(SUMIF('قاعدة المؤشرات'!$B$2:$B$98,"الامتياز التجاري",'قاعدة المؤشرات'!$K$2:$K$98)=0,0,1)</f>
        <v/>
      </c>
    </row>
    <row r="11">
      <c r="B11" s="9" t="inlineStr">
        <is>
          <t>التشغيل والمحطات</t>
        </is>
      </c>
      <c r="C11" s="10">
        <f>IFERROR(SUMIF('قاعدة المؤشرات'!$B$2:$B$98,"التشغيل والمحطات",'قاعدة المؤشرات'!$J$2:$J$98)/SUMIF('قاعدة المؤشرات'!$B$2:$B$98,"التشغيل والمحطات",'قاعدة المؤشرات'!$K$2:$K$98),"—")</f>
        <v/>
      </c>
      <c r="D11" s="9" t="inlineStr">
        <is>
          <t>الاستدامة</t>
        </is>
      </c>
      <c r="E11" s="10">
        <f>IFERROR(AVERAGEIFS('قاعدة المؤشرات'!$G$2:$G$98,'قاعدة المؤشرات'!$D$2:$D$98,"الاستدامة"),"—")</f>
        <v/>
      </c>
      <c r="H11" s="15">
        <f>IFERROR(SUMIF('قاعدة المؤشرات'!$B$2:$B$98,"التشغيل والمحطات",'قاعدة المؤشرات'!$J$2:$J$98)/SUMIF('قاعدة المؤشرات'!$B$2:$B$98,"التشغيل والمحطات",'قاعدة المؤشرات'!$K$2:$K$98),0)</f>
        <v/>
      </c>
      <c r="I11" s="15" t="n">
        <v>0.12</v>
      </c>
      <c r="J11" s="15">
        <f>IF(SUMIF('قاعدة المؤشرات'!$B$2:$B$98,"التشغيل والمحطات",'قاعدة المؤشرات'!$K$2:$K$98)=0,0,1)</f>
        <v/>
      </c>
    </row>
    <row r="12">
      <c r="B12" s="9" t="inlineStr">
        <is>
          <t>الاستثمار</t>
        </is>
      </c>
      <c r="C12" s="10">
        <f>IFERROR(SUMIF('قاعدة المؤشرات'!$B$2:$B$98,"الاستثمار",'قاعدة المؤشرات'!$J$2:$J$98)/SUMIF('قاعدة المؤشرات'!$B$2:$B$98,"الاستثمار",'قاعدة المؤشرات'!$K$2:$K$98),"—")</f>
        <v/>
      </c>
      <c r="H12" s="15">
        <f>IFERROR(SUMIF('قاعدة المؤشرات'!$B$2:$B$98,"الاستثمار",'قاعدة المؤشرات'!$J$2:$J$98)/SUMIF('قاعدة المؤشرات'!$B$2:$B$98,"الاستثمار",'قاعدة المؤشرات'!$K$2:$K$98),0)</f>
        <v/>
      </c>
      <c r="I12" s="15" t="n">
        <v>0.11</v>
      </c>
      <c r="J12" s="15">
        <f>IF(SUMIF('قاعدة المؤشرات'!$B$2:$B$98,"الاستثمار",'قاعدة المؤشرات'!$K$2:$K$98)=0,0,1)</f>
        <v/>
      </c>
    </row>
    <row r="13">
      <c r="B13" s="9" t="inlineStr">
        <is>
          <t>العقار</t>
        </is>
      </c>
      <c r="C13" s="10">
        <f>IFERROR(SUMIF('قاعدة المؤشرات'!$B$2:$B$98,"العقار",'قاعدة المؤشرات'!$J$2:$J$98)/SUMIF('قاعدة المؤشرات'!$B$2:$B$98,"العقار",'قاعدة المؤشرات'!$K$2:$K$98),"—")</f>
        <v/>
      </c>
      <c r="D13" s="46" t="inlineStr">
        <is>
          <t>حسب منظور BSC</t>
        </is>
      </c>
      <c r="E13" s="7" t="n"/>
      <c r="H13" s="15">
        <f>IFERROR(SUMIF('قاعدة المؤشرات'!$B$2:$B$98,"العقار",'قاعدة المؤشرات'!$J$2:$J$98)/SUMIF('قاعدة المؤشرات'!$B$2:$B$98,"العقار",'قاعدة المؤشرات'!$K$2:$K$98),0)</f>
        <v/>
      </c>
      <c r="I13" s="15" t="n">
        <v>0.09</v>
      </c>
      <c r="J13" s="15">
        <f>IF(SUMIF('قاعدة المؤشرات'!$B$2:$B$98,"العقار",'قاعدة المؤشرات'!$K$2:$K$98)=0,0,1)</f>
        <v/>
      </c>
    </row>
    <row r="14">
      <c r="B14" s="9" t="inlineStr">
        <is>
          <t>إدارة المشاريع</t>
        </is>
      </c>
      <c r="C14" s="10">
        <f>IFERROR(SUMIF('قاعدة المؤشرات'!$B$2:$B$98,"إدارة المشاريع",'قاعدة المؤشرات'!$J$2:$J$98)/SUMIF('قاعدة المؤشرات'!$B$2:$B$98,"إدارة المشاريع",'قاعدة المؤشرات'!$K$2:$K$98),"—")</f>
        <v/>
      </c>
      <c r="D14" s="9" t="inlineStr">
        <is>
          <t>مالي</t>
        </is>
      </c>
      <c r="E14" s="10">
        <f>IFERROR(AVERAGEIFS('قاعدة المؤشرات'!$G$2:$G$98,'قاعدة المؤشرات'!$F$2:$F$98,"مالي"),"—")</f>
        <v/>
      </c>
      <c r="H14" s="15">
        <f>IFERROR(SUMIF('قاعدة المؤشرات'!$B$2:$B$98,"إدارة المشاريع",'قاعدة المؤشرات'!$J$2:$J$98)/SUMIF('قاعدة المؤشرات'!$B$2:$B$98,"إدارة المشاريع",'قاعدة المؤشرات'!$K$2:$K$98),0)</f>
        <v/>
      </c>
      <c r="I14" s="15" t="n">
        <v>0.08</v>
      </c>
      <c r="J14" s="15">
        <f>IF(SUMIF('قاعدة المؤشرات'!$B$2:$B$98,"إدارة المشاريع",'قاعدة المؤشرات'!$K$2:$K$98)=0,0,1)</f>
        <v/>
      </c>
    </row>
    <row r="15">
      <c r="B15" s="9" t="inlineStr">
        <is>
          <t>سلاسل الإمداد</t>
        </is>
      </c>
      <c r="C15" s="10">
        <f>IFERROR(SUMIF('قاعدة المؤشرات'!$B$2:$B$98,"سلاسل الإمداد",'قاعدة المؤشرات'!$J$2:$J$98)/SUMIF('قاعدة المؤشرات'!$B$2:$B$98,"سلاسل الإمداد",'قاعدة المؤشرات'!$K$2:$K$98),"—")</f>
        <v/>
      </c>
      <c r="D15" s="9" t="inlineStr">
        <is>
          <t>العملاء</t>
        </is>
      </c>
      <c r="E15" s="10">
        <f>IFERROR(AVERAGEIFS('قاعدة المؤشرات'!$G$2:$G$98,'قاعدة المؤشرات'!$F$2:$F$98,"العملاء"),"—")</f>
        <v/>
      </c>
      <c r="H15" s="15">
        <f>IFERROR(SUMIF('قاعدة المؤشرات'!$B$2:$B$98,"سلاسل الإمداد",'قاعدة المؤشرات'!$J$2:$J$98)/SUMIF('قاعدة المؤشرات'!$B$2:$B$98,"سلاسل الإمداد",'قاعدة المؤشرات'!$K$2:$K$98),0)</f>
        <v/>
      </c>
      <c r="I15" s="15" t="n">
        <v>0.1</v>
      </c>
      <c r="J15" s="15">
        <f>IF(SUMIF('قاعدة المؤشرات'!$B$2:$B$98,"سلاسل الإمداد",'قاعدة المؤشرات'!$K$2:$K$98)=0,0,1)</f>
        <v/>
      </c>
    </row>
    <row r="16">
      <c r="B16" s="9" t="inlineStr">
        <is>
          <t>الصيانة والأتمتة</t>
        </is>
      </c>
      <c r="C16" s="10">
        <f>IFERROR(SUMIF('قاعدة المؤشرات'!$B$2:$B$98,"الصيانة والأتمتة",'قاعدة المؤشرات'!$J$2:$J$98)/SUMIF('قاعدة المؤشرات'!$B$2:$B$98,"الصيانة والأتمتة",'قاعدة المؤشرات'!$K$2:$K$98),"—")</f>
        <v/>
      </c>
      <c r="D16" s="9" t="inlineStr">
        <is>
          <t>العمليات الداخلية</t>
        </is>
      </c>
      <c r="E16" s="10">
        <f>IFERROR(AVERAGEIFS('قاعدة المؤشرات'!$G$2:$G$98,'قاعدة المؤشرات'!$F$2:$F$98,"العمليات الداخلية"),"—")</f>
        <v/>
      </c>
      <c r="H16" s="15">
        <f>IFERROR(SUMIF('قاعدة المؤشرات'!$B$2:$B$98,"الصيانة والأتمتة",'قاعدة المؤشرات'!$J$2:$J$98)/SUMIF('قاعدة المؤشرات'!$B$2:$B$98,"الصيانة والأتمتة",'قاعدة المؤشرات'!$K$2:$K$98),0)</f>
        <v/>
      </c>
      <c r="I16" s="15" t="n">
        <v>0.07000000000000001</v>
      </c>
      <c r="J16" s="15">
        <f>IF(SUMIF('قاعدة المؤشرات'!$B$2:$B$98,"الصيانة والأتمتة",'قاعدة المؤشرات'!$K$2:$K$98)=0,0,1)</f>
        <v/>
      </c>
    </row>
    <row r="17">
      <c r="B17" s="9" t="inlineStr">
        <is>
          <t>التقنية الرقمية</t>
        </is>
      </c>
      <c r="C17" s="10">
        <f>IFERROR(SUMIF('قاعدة المؤشرات'!$B$2:$B$98,"التقنية الرقمية",'قاعدة المؤشرات'!$J$2:$J$98)/SUMIF('قاعدة المؤشرات'!$B$2:$B$98,"التقنية الرقمية",'قاعدة المؤشرات'!$K$2:$K$98),"—")</f>
        <v/>
      </c>
      <c r="D17" s="9" t="inlineStr">
        <is>
          <t>التعلّم والنمو</t>
        </is>
      </c>
      <c r="E17" s="10">
        <f>IFERROR(AVERAGEIFS('قاعدة المؤشرات'!$G$2:$G$98,'قاعدة المؤشرات'!$F$2:$F$98,"التعلّم والنمو"),"—")</f>
        <v/>
      </c>
      <c r="H17" s="15">
        <f>IFERROR(SUMIF('قاعدة المؤشرات'!$B$2:$B$98,"التقنية الرقمية",'قاعدة المؤشرات'!$J$2:$J$98)/SUMIF('قاعدة المؤشرات'!$B$2:$B$98,"التقنية الرقمية",'قاعدة المؤشرات'!$K$2:$K$98),0)</f>
        <v/>
      </c>
      <c r="I17" s="15" t="n">
        <v>0.04</v>
      </c>
      <c r="J17" s="15">
        <f>IF(SUMIF('قاعدة المؤشرات'!$B$2:$B$98,"التقنية الرقمية",'قاعدة المؤشرات'!$K$2:$K$98)=0,0,1)</f>
        <v/>
      </c>
    </row>
    <row r="18">
      <c r="B18" s="9" t="inlineStr">
        <is>
          <t>الموارد البشرية</t>
        </is>
      </c>
      <c r="C18" s="10">
        <f>IFERROR(SUMIF('قاعدة المؤشرات'!$B$2:$B$98,"الموارد البشرية",'قاعدة المؤشرات'!$J$2:$J$98)/SUMIF('قاعدة المؤشرات'!$B$2:$B$98,"الموارد البشرية",'قاعدة المؤشرات'!$K$2:$K$98),"—")</f>
        <v/>
      </c>
      <c r="H18" s="15">
        <f>IFERROR(SUMIF('قاعدة المؤشرات'!$B$2:$B$98,"الموارد البشرية",'قاعدة المؤشرات'!$J$2:$J$98)/SUMIF('قاعدة المؤشرات'!$B$2:$B$98,"الموارد البشرية",'قاعدة المؤشرات'!$K$2:$K$98),0)</f>
        <v/>
      </c>
      <c r="I18" s="15" t="n">
        <v>0.04</v>
      </c>
      <c r="J18" s="15">
        <f>IF(SUMIF('قاعدة المؤشرات'!$B$2:$B$98,"الموارد البشرية",'قاعدة المؤشرات'!$K$2:$K$98)=0,0,1)</f>
        <v/>
      </c>
    </row>
    <row r="19">
      <c r="B19" s="9" t="inlineStr">
        <is>
          <t>التسويق</t>
        </is>
      </c>
      <c r="C19" s="10">
        <f>IFERROR(SUMIF('قاعدة المؤشرات'!$B$2:$B$98,"التسويق",'قاعدة المؤشرات'!$J$2:$J$98)/SUMIF('قاعدة المؤشرات'!$B$2:$B$98,"التسويق",'قاعدة المؤشرات'!$K$2:$K$98),"—")</f>
        <v/>
      </c>
      <c r="H19" s="15">
        <f>IFERROR(SUMIF('قاعدة المؤشرات'!$B$2:$B$98,"التسويق",'قاعدة المؤشرات'!$J$2:$J$98)/SUMIF('قاعدة المؤشرات'!$B$2:$B$98,"التسويق",'قاعدة المؤشرات'!$K$2:$K$98),0)</f>
        <v/>
      </c>
      <c r="I19" s="15" t="n">
        <v>0.05</v>
      </c>
      <c r="J19" s="15">
        <f>IF(SUMIF('قاعدة المؤشرات'!$B$2:$B$98,"التسويق",'قاعدة المؤشرات'!$K$2:$K$98)=0,0,1)</f>
        <v/>
      </c>
    </row>
    <row r="20">
      <c r="B20" s="9" t="inlineStr">
        <is>
          <t>الجودة</t>
        </is>
      </c>
      <c r="C20" s="10">
        <f>IFERROR(SUMIF('قاعدة المؤشرات'!$B$2:$B$98,"الجودة",'قاعدة المؤشرات'!$J$2:$J$98)/SUMIF('قاعدة المؤشرات'!$B$2:$B$98,"الجودة",'قاعدة المؤشرات'!$K$2:$K$98),"—")</f>
        <v/>
      </c>
      <c r="H20" s="15">
        <f>IFERROR(SUMIF('قاعدة المؤشرات'!$B$2:$B$98,"الجودة",'قاعدة المؤشرات'!$J$2:$J$98)/SUMIF('قاعدة المؤشرات'!$B$2:$B$98,"الجودة",'قاعدة المؤشرات'!$K$2:$K$98),0)</f>
        <v/>
      </c>
      <c r="I20" s="15" t="n">
        <v>0.05</v>
      </c>
      <c r="J20" s="15">
        <f>IF(SUMIF('قاعدة المؤشرات'!$B$2:$B$98,"الجودة",'قاعدة المؤشرات'!$K$2:$K$98)=0,0,1)</f>
        <v/>
      </c>
    </row>
    <row r="21">
      <c r="B21" s="9" t="inlineStr">
        <is>
          <t>الإدارة القانونية</t>
        </is>
      </c>
      <c r="C21" s="10">
        <f>IFERROR(SUMIF('قاعدة المؤشرات'!$B$2:$B$98,"الإدارة القانونية",'قاعدة المؤشرات'!$J$2:$J$98)/SUMIF('قاعدة المؤشرات'!$B$2:$B$98,"الإدارة القانونية",'قاعدة المؤشرات'!$K$2:$K$98),"—")</f>
        <v/>
      </c>
      <c r="H21" s="15">
        <f>IFERROR(SUMIF('قاعدة المؤشرات'!$B$2:$B$98,"الإدارة القانونية",'قاعدة المؤشرات'!$J$2:$J$98)/SUMIF('قاعدة المؤشرات'!$B$2:$B$98,"الإدارة القانونية",'قاعدة المؤشرات'!$K$2:$K$98),0)</f>
        <v/>
      </c>
      <c r="I21" s="15" t="n">
        <v>0.03</v>
      </c>
      <c r="J21" s="15">
        <f>IF(SUMIF('قاعدة المؤشرات'!$B$2:$B$98,"الإدارة القانونية",'قاعدة المؤشرات'!$K$2:$K$98)=0,0,1)</f>
        <v/>
      </c>
    </row>
    <row r="22">
      <c r="B22" s="9" t="inlineStr">
        <is>
          <t>الإدارة المالية</t>
        </is>
      </c>
      <c r="C22" s="10">
        <f>IFERROR(SUMIF('قاعدة المؤشرات'!$B$2:$B$98,"الإدارة المالية",'قاعدة المؤشرات'!$J$2:$J$98)/SUMIF('قاعدة المؤشرات'!$B$2:$B$98,"الإدارة المالية",'قاعدة المؤشرات'!$K$2:$K$98),"—")</f>
        <v/>
      </c>
      <c r="H22" s="15">
        <f>IFERROR(SUMIF('قاعدة المؤشرات'!$B$2:$B$98,"الإدارة المالية",'قاعدة المؤشرات'!$J$2:$J$98)/SUMIF('قاعدة المؤشرات'!$B$2:$B$98,"الإدارة المالية",'قاعدة المؤشرات'!$K$2:$K$98),0)</f>
        <v/>
      </c>
      <c r="I22" s="15" t="n">
        <v>0.08</v>
      </c>
      <c r="J22" s="15">
        <f>IF(SUMIF('قاعدة المؤشرات'!$B$2:$B$98,"الإدارة المالية",'قاعدة المؤشرات'!$K$2:$K$98)=0,0,1)</f>
        <v/>
      </c>
    </row>
  </sheetData>
  <mergeCells count="4">
    <mergeCell ref="D7:E7"/>
    <mergeCell ref="D13:E13"/>
    <mergeCell ref="B2:E2"/>
    <mergeCell ref="B7:C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60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38" customWidth="1" min="3" max="3"/>
    <col width="11" customWidth="1" min="4" max="4"/>
    <col width="11" customWidth="1" min="5" max="5"/>
    <col width="11" customWidth="1" min="6" max="6"/>
    <col width="9" customWidth="1" min="7" max="7"/>
    <col width="11" customWidth="1" min="8" max="8"/>
    <col width="13" customWidth="1" min="9" max="9"/>
    <col width="34" customWidth="1" min="10" max="10"/>
    <col width="34" customWidth="1" min="11" max="11"/>
    <col width="16" customWidth="1" min="12" max="12"/>
    <col width="14" customWidth="1" min="13" max="13"/>
  </cols>
  <sheetData>
    <row r="1" ht="24" customHeight="1">
      <c r="A1" s="48" t="inlineStr">
        <is>
          <t>تحليل الانحراف — المؤشرات دون المستهدف مع السبب والإجراء (تقرير الاستثناءات)</t>
        </is>
      </c>
    </row>
    <row r="2">
      <c r="A2" s="18" t="inlineStr">
        <is>
          <t>#</t>
        </is>
      </c>
      <c r="B2" s="18" t="inlineStr">
        <is>
          <t>الإدارة</t>
        </is>
      </c>
      <c r="C2" s="18" t="inlineStr">
        <is>
          <t>المؤشر</t>
        </is>
      </c>
      <c r="D2" s="18" t="inlineStr">
        <is>
          <t>المُحقَّق</t>
        </is>
      </c>
      <c r="E2" s="18" t="inlineStr">
        <is>
          <t>المستهدف</t>
        </is>
      </c>
      <c r="F2" s="18" t="inlineStr">
        <is>
          <t>نسبة التحقيق</t>
        </is>
      </c>
      <c r="G2" s="18" t="inlineStr">
        <is>
          <t>الفجوة</t>
        </is>
      </c>
      <c r="H2" s="18" t="inlineStr">
        <is>
          <t>التنبؤ</t>
        </is>
      </c>
      <c r="I2" s="18" t="inlineStr">
        <is>
          <t>الحالة</t>
        </is>
      </c>
      <c r="J2" s="18" t="inlineStr">
        <is>
          <t>السبب</t>
        </is>
      </c>
      <c r="K2" s="18" t="inlineStr">
        <is>
          <t>الإجراء التصحيحي</t>
        </is>
      </c>
      <c r="L2" s="18" t="inlineStr">
        <is>
          <t>المالك</t>
        </is>
      </c>
      <c r="M2" s="18" t="inlineStr">
        <is>
          <t>الموعد</t>
        </is>
      </c>
    </row>
    <row r="3">
      <c r="A3" s="15" t="n">
        <v>1</v>
      </c>
      <c r="B3" s="13" t="inlineStr">
        <is>
          <t>التسويق</t>
        </is>
      </c>
      <c r="C3" s="21" t="inlineStr">
        <is>
          <t>الوصول الكلي (Total Reach)</t>
        </is>
      </c>
      <c r="D3" s="49" t="n">
        <v>5000000</v>
      </c>
      <c r="E3" s="49" t="n">
        <v>50000000</v>
      </c>
      <c r="F3" s="50" t="n">
        <v>0.1</v>
      </c>
      <c r="G3" s="12" t="n">
        <v>0.9</v>
      </c>
      <c r="H3" s="49" t="n">
        <v>5000000</v>
      </c>
      <c r="I3" s="15" t="inlineStr">
        <is>
          <t>🔴 تحت الهدف</t>
        </is>
      </c>
      <c r="J3" s="11" t="inlineStr">
        <is>
          <t>انحراف جوهري — أولوية عاجلة.</t>
        </is>
      </c>
      <c r="K3" s="11" t="inlineStr">
        <is>
          <t>إجراء تصحيحي خلال 30 يوماً.</t>
        </is>
      </c>
      <c r="L3" s="15" t="inlineStr">
        <is>
          <t>مدير التسويق</t>
        </is>
      </c>
      <c r="M3" s="51" t="n"/>
    </row>
    <row r="4">
      <c r="A4" s="15" t="n">
        <v>2</v>
      </c>
      <c r="B4" s="13" t="inlineStr">
        <is>
          <t>التسويق</t>
        </is>
      </c>
      <c r="C4" s="21" t="inlineStr">
        <is>
          <t>نسبة التزام الهوية البصرية</t>
        </is>
      </c>
      <c r="D4" s="49" t="n">
        <v>0.1</v>
      </c>
      <c r="E4" s="49" t="n">
        <v>1</v>
      </c>
      <c r="F4" s="50" t="n">
        <v>0.1</v>
      </c>
      <c r="G4" s="12" t="n">
        <v>0.9</v>
      </c>
      <c r="H4" s="49" t="n">
        <v>0.1</v>
      </c>
      <c r="I4" s="15" t="inlineStr">
        <is>
          <t>🔴 تحت الهدف</t>
        </is>
      </c>
      <c r="J4" s="11" t="inlineStr">
        <is>
          <t>انحراف جوهري — أولوية عاجلة.</t>
        </is>
      </c>
      <c r="K4" s="11" t="inlineStr">
        <is>
          <t>إجراء تصحيحي خلال 30 يوماً.</t>
        </is>
      </c>
      <c r="L4" s="15" t="inlineStr">
        <is>
          <t>مدير التسويق</t>
        </is>
      </c>
      <c r="M4" s="51" t="n"/>
    </row>
    <row r="5">
      <c r="A5" s="15" t="n">
        <v>3</v>
      </c>
      <c r="B5" s="13" t="inlineStr">
        <is>
          <t>التسويق</t>
        </is>
      </c>
      <c r="C5" s="21" t="inlineStr">
        <is>
          <t>معدل خفض الشكاوى</t>
        </is>
      </c>
      <c r="D5" s="49" t="n">
        <v>0.21</v>
      </c>
      <c r="E5" s="49" t="n">
        <v>0.3</v>
      </c>
      <c r="F5" s="50" t="n">
        <v>0.7</v>
      </c>
      <c r="G5" s="12" t="n">
        <v>0.3</v>
      </c>
      <c r="H5" s="49" t="n">
        <v>0.21</v>
      </c>
      <c r="I5" s="15" t="inlineStr">
        <is>
          <t>🔴 تحت الهدف</t>
        </is>
      </c>
      <c r="J5" s="11" t="inlineStr">
        <is>
          <t>انحراف جوهري — أولوية عاجلة.</t>
        </is>
      </c>
      <c r="K5" s="11" t="inlineStr">
        <is>
          <t>إجراء تصحيحي خلال 30 يوماً.</t>
        </is>
      </c>
      <c r="L5" s="15" t="inlineStr">
        <is>
          <t>مدير التسويق</t>
        </is>
      </c>
      <c r="M5" s="51" t="n"/>
    </row>
    <row r="6">
      <c r="A6" s="15" t="n">
        <v>4</v>
      </c>
      <c r="B6" s="13" t="inlineStr">
        <is>
          <t>الامتياز التجاري</t>
        </is>
      </c>
      <c r="C6" s="21" t="inlineStr">
        <is>
          <t>نسبة التحصيل خلال 5 أيام عمل</t>
        </is>
      </c>
      <c r="D6" s="49" t="n">
        <v>0.652</v>
      </c>
      <c r="E6" s="49" t="n">
        <v>0.9</v>
      </c>
      <c r="F6" s="50" t="n">
        <v>0.7244444444444444</v>
      </c>
      <c r="G6" s="12" t="n">
        <v>0.2755555555555556</v>
      </c>
      <c r="H6" s="49" t="n">
        <v>0.652</v>
      </c>
      <c r="I6" s="15" t="inlineStr">
        <is>
          <t>🔴 تحت الهدف</t>
        </is>
      </c>
      <c r="J6" s="11" t="inlineStr">
        <is>
          <t>انحراف جوهري — أولوية عاجلة.</t>
        </is>
      </c>
      <c r="K6" s="11" t="inlineStr">
        <is>
          <t>إجراء تصحيحي خلال 30 يوماً.</t>
        </is>
      </c>
      <c r="L6" s="15" t="inlineStr">
        <is>
          <t>مدير الامتياز</t>
        </is>
      </c>
      <c r="M6" s="51" t="n"/>
    </row>
    <row r="7">
      <c r="A7" s="15" t="n">
        <v>5</v>
      </c>
      <c r="B7" s="13" t="inlineStr">
        <is>
          <t>الامتياز التجاري</t>
        </is>
      </c>
      <c r="C7" s="21" t="inlineStr">
        <is>
          <t>عدد محطات الامتياز المشغّلة (تراكمي)</t>
        </is>
      </c>
      <c r="D7" s="49" t="n">
        <v>110</v>
      </c>
      <c r="E7" s="49" t="n">
        <v>150</v>
      </c>
      <c r="F7" s="50" t="n">
        <v>0.7333333333333333</v>
      </c>
      <c r="G7" s="12" t="n">
        <v>0.2666666666666667</v>
      </c>
      <c r="H7" s="49" t="n">
        <v>110</v>
      </c>
      <c r="I7" s="15" t="inlineStr">
        <is>
          <t>🔴 تحت الهدف</t>
        </is>
      </c>
      <c r="J7" s="11" t="inlineStr">
        <is>
          <t>انحراف جوهري — أولوية عاجلة.</t>
        </is>
      </c>
      <c r="K7" s="11" t="inlineStr">
        <is>
          <t>إجراء تصحيحي خلال 30 يوماً.</t>
        </is>
      </c>
      <c r="L7" s="15" t="inlineStr">
        <is>
          <t>مدير الامتياز</t>
        </is>
      </c>
      <c r="M7" s="51" t="n"/>
    </row>
    <row r="8">
      <c r="A8" s="15" t="n">
        <v>6</v>
      </c>
      <c r="B8" s="13" t="inlineStr">
        <is>
          <t>الإدارة المالية</t>
        </is>
      </c>
      <c r="C8" s="21" t="inlineStr">
        <is>
          <t>نسبة التحصيل العام (الشركة)</t>
        </is>
      </c>
      <c r="D8" s="49" t="n">
        <v>0.699</v>
      </c>
      <c r="E8" s="49" t="n">
        <v>0.95</v>
      </c>
      <c r="F8" s="50" t="n">
        <v>0.7357894736842105</v>
      </c>
      <c r="G8" s="12" t="n">
        <v>0.2642105263157895</v>
      </c>
      <c r="H8" s="49" t="n">
        <v>0.699</v>
      </c>
      <c r="I8" s="15" t="inlineStr">
        <is>
          <t>🔴 تحت الهدف</t>
        </is>
      </c>
      <c r="J8" s="11" t="inlineStr">
        <is>
          <t>انحراف جوهري — أولوية عاجلة.</t>
        </is>
      </c>
      <c r="K8" s="11" t="inlineStr">
        <is>
          <t>إجراء تصحيحي خلال 30 يوماً.</t>
        </is>
      </c>
      <c r="L8" s="15" t="inlineStr">
        <is>
          <t>المدير المالي</t>
        </is>
      </c>
      <c r="M8" s="51" t="n"/>
    </row>
    <row r="9">
      <c r="A9" s="15" t="n">
        <v>7</v>
      </c>
      <c r="B9" s="13" t="inlineStr">
        <is>
          <t>الامتياز التجاري</t>
        </is>
      </c>
      <c r="C9" s="21" t="inlineStr">
        <is>
          <t>متوسط تقييم المحطات على خرائط قوقل</t>
        </is>
      </c>
      <c r="D9" s="49" t="n">
        <v>3.474</v>
      </c>
      <c r="E9" s="49" t="n">
        <v>4.7</v>
      </c>
      <c r="F9" s="50" t="n">
        <v>0.7391489361702128</v>
      </c>
      <c r="G9" s="12" t="n">
        <v>0.2608510638297872</v>
      </c>
      <c r="H9" s="49" t="n">
        <v>3.474</v>
      </c>
      <c r="I9" s="15" t="inlineStr">
        <is>
          <t>🔴 تحت الهدف</t>
        </is>
      </c>
      <c r="J9" s="11" t="inlineStr">
        <is>
          <t>انحراف جوهري — أولوية عاجلة.</t>
        </is>
      </c>
      <c r="K9" s="11" t="inlineStr">
        <is>
          <t>إجراء تصحيحي خلال 30 يوماً.</t>
        </is>
      </c>
      <c r="L9" s="15" t="inlineStr">
        <is>
          <t>مدير الامتياز</t>
        </is>
      </c>
      <c r="M9" s="51" t="n"/>
    </row>
    <row r="10">
      <c r="A10" s="15" t="n">
        <v>8</v>
      </c>
      <c r="B10" s="13" t="inlineStr">
        <is>
          <t>الامتياز التجاري</t>
        </is>
      </c>
      <c r="C10" s="21" t="inlineStr">
        <is>
          <t>نسبة أتمتة محطات الامتياز</t>
        </is>
      </c>
      <c r="D10" s="49" t="n">
        <v>0.674</v>
      </c>
      <c r="E10" s="49" t="n">
        <v>0.9</v>
      </c>
      <c r="F10" s="50" t="n">
        <v>0.7488888888888889</v>
      </c>
      <c r="G10" s="12" t="n">
        <v>0.2511111111111111</v>
      </c>
      <c r="H10" s="49" t="n">
        <v>0.674</v>
      </c>
      <c r="I10" s="15" t="inlineStr">
        <is>
          <t>🔴 تحت الهدف</t>
        </is>
      </c>
      <c r="J10" s="11" t="inlineStr">
        <is>
          <t>انحراف جوهري — أولوية عاجلة.</t>
        </is>
      </c>
      <c r="K10" s="11" t="inlineStr">
        <is>
          <t>إجراء تصحيحي خلال 30 يوماً.</t>
        </is>
      </c>
      <c r="L10" s="15" t="inlineStr">
        <is>
          <t>مدير الامتياز</t>
        </is>
      </c>
      <c r="M10" s="51" t="n"/>
    </row>
    <row r="11">
      <c r="A11" s="15" t="n">
        <v>9</v>
      </c>
      <c r="B11" s="13" t="inlineStr">
        <is>
          <t>الإدارة التنفيذية</t>
        </is>
      </c>
      <c r="C11" s="21" t="inlineStr">
        <is>
          <t>الالتزام بمعايير وزارة الطاقة (تغطية 13 منطقة)</t>
        </is>
      </c>
      <c r="D11" s="49" t="n">
        <v>0.749</v>
      </c>
      <c r="E11" s="49" t="n">
        <v>1</v>
      </c>
      <c r="F11" s="50" t="n">
        <v>0.749</v>
      </c>
      <c r="G11" s="12" t="n">
        <v>0.251</v>
      </c>
      <c r="H11" s="49" t="n">
        <v>0.749</v>
      </c>
      <c r="I11" s="15" t="inlineStr">
        <is>
          <t>🔴 تحت الهدف</t>
        </is>
      </c>
      <c r="J11" s="11" t="inlineStr">
        <is>
          <t>انحراف جوهري — أولوية عاجلة.</t>
        </is>
      </c>
      <c r="K11" s="11" t="inlineStr">
        <is>
          <t>إجراء تصحيحي خلال 30 يوماً.</t>
        </is>
      </c>
      <c r="L11" s="15" t="inlineStr">
        <is>
          <t>الرئيس التنفيذي</t>
        </is>
      </c>
      <c r="M11" s="51" t="n"/>
    </row>
    <row r="12">
      <c r="A12" s="15" t="n">
        <v>10</v>
      </c>
      <c r="B12" s="13" t="inlineStr">
        <is>
          <t>الإدارة التنفيذية</t>
        </is>
      </c>
      <c r="C12" s="21" t="inlineStr">
        <is>
          <t>مؤشر رضا الموظفين العام (eNPS)</t>
        </is>
      </c>
      <c r="D12" s="49" t="n">
        <v>22.5</v>
      </c>
      <c r="E12" s="49" t="n">
        <v>30</v>
      </c>
      <c r="F12" s="50" t="n">
        <v>0.75</v>
      </c>
      <c r="G12" s="12" t="n">
        <v>0.25</v>
      </c>
      <c r="H12" s="49" t="n">
        <v>22.5</v>
      </c>
      <c r="I12" s="15" t="inlineStr">
        <is>
          <t>🟡 قريب</t>
        </is>
      </c>
      <c r="J12" s="11" t="inlineStr">
        <is>
          <t>فجوة محدودة — متابعة.</t>
        </is>
      </c>
      <c r="K12" s="11" t="inlineStr">
        <is>
          <t>متابعة أسبوعية لإغلاق الفجوة.</t>
        </is>
      </c>
      <c r="L12" s="15" t="inlineStr">
        <is>
          <t>الرئيس التنفيذي</t>
        </is>
      </c>
      <c r="M12" s="51" t="n"/>
    </row>
    <row r="13">
      <c r="A13" s="15" t="n">
        <v>11</v>
      </c>
      <c r="B13" s="13" t="inlineStr">
        <is>
          <t>الإدارة المالية</t>
        </is>
      </c>
      <c r="C13" s="21" t="inlineStr">
        <is>
          <t>دقة تسوية أرامكو</t>
        </is>
      </c>
      <c r="D13" s="49" t="n">
        <v>0.76</v>
      </c>
      <c r="E13" s="49" t="n">
        <v>1</v>
      </c>
      <c r="F13" s="50" t="n">
        <v>0.76</v>
      </c>
      <c r="G13" s="12" t="n">
        <v>0.24</v>
      </c>
      <c r="H13" s="49" t="n">
        <v>0.76</v>
      </c>
      <c r="I13" s="15" t="inlineStr">
        <is>
          <t>🔴 تحت الهدف</t>
        </is>
      </c>
      <c r="J13" s="11" t="inlineStr">
        <is>
          <t>انحراف جوهري — أولوية عاجلة.</t>
        </is>
      </c>
      <c r="K13" s="11" t="inlineStr">
        <is>
          <t>إجراء تصحيحي خلال 30 يوماً.</t>
        </is>
      </c>
      <c r="L13" s="15" t="inlineStr">
        <is>
          <t>المدير المالي</t>
        </is>
      </c>
      <c r="M13" s="51" t="n"/>
    </row>
    <row r="14">
      <c r="A14" s="15" t="n">
        <v>12</v>
      </c>
      <c r="B14" s="13" t="inlineStr">
        <is>
          <t>الموارد البشرية</t>
        </is>
      </c>
      <c r="C14" s="21" t="inlineStr">
        <is>
          <t>نسبة تنفيذ برامج التدريب والتأهيل المعتمدة</t>
        </is>
      </c>
      <c r="D14" s="49" t="n">
        <v>0.6899999999999999</v>
      </c>
      <c r="E14" s="49" t="n">
        <v>0.9</v>
      </c>
      <c r="F14" s="50" t="n">
        <v>0.7666666666666666</v>
      </c>
      <c r="G14" s="12" t="n">
        <v>0.2333333333333334</v>
      </c>
      <c r="H14" s="49" t="n">
        <v>0.6899999999999999</v>
      </c>
      <c r="I14" s="15" t="inlineStr">
        <is>
          <t>🔴 تحت الهدف</t>
        </is>
      </c>
      <c r="J14" s="11" t="inlineStr">
        <is>
          <t>انحراف جوهري — أولوية عاجلة.</t>
        </is>
      </c>
      <c r="K14" s="11" t="inlineStr">
        <is>
          <t>إجراء تصحيحي خلال 30 يوماً.</t>
        </is>
      </c>
      <c r="L14" s="15" t="inlineStr">
        <is>
          <t>مدير الموارد البشرية</t>
        </is>
      </c>
      <c r="M14" s="51" t="n"/>
    </row>
    <row r="15">
      <c r="A15" s="15" t="n">
        <v>13</v>
      </c>
      <c r="B15" s="13" t="inlineStr">
        <is>
          <t>الإدارة التنفيذية</t>
        </is>
      </c>
      <c r="C15" s="21" t="inlineStr">
        <is>
          <t>نسبة الالتزام بإطار الحوكمة المؤسسية والامتثال التنظيمي</t>
        </is>
      </c>
      <c r="D15" s="49" t="n">
        <v>0.729</v>
      </c>
      <c r="E15" s="49" t="n">
        <v>0.95</v>
      </c>
      <c r="F15" s="50" t="n">
        <v>0.7673684210526316</v>
      </c>
      <c r="G15" s="12" t="n">
        <v>0.2326315789473684</v>
      </c>
      <c r="H15" s="49" t="n">
        <v>0.729</v>
      </c>
      <c r="I15" s="15" t="inlineStr">
        <is>
          <t>🔴 تحت الهدف</t>
        </is>
      </c>
      <c r="J15" s="11" t="inlineStr">
        <is>
          <t>انحراف جوهري — أولوية عاجلة.</t>
        </is>
      </c>
      <c r="K15" s="11" t="inlineStr">
        <is>
          <t>إجراء تصحيحي خلال 30 يوماً.</t>
        </is>
      </c>
      <c r="L15" s="15" t="inlineStr">
        <is>
          <t>الرئيس التنفيذي</t>
        </is>
      </c>
      <c r="M15" s="51" t="n"/>
    </row>
    <row r="16">
      <c r="A16" s="15" t="n">
        <v>14</v>
      </c>
      <c r="B16" s="13" t="inlineStr">
        <is>
          <t>سلاسل الإمداد</t>
        </is>
      </c>
      <c r="C16" s="21" t="inlineStr">
        <is>
          <t>مستوى رضا الموردين</t>
        </is>
      </c>
      <c r="D16" s="49" t="n">
        <v>0.663</v>
      </c>
      <c r="E16" s="49" t="n">
        <v>0.85</v>
      </c>
      <c r="F16" s="50" t="n">
        <v>0.78</v>
      </c>
      <c r="G16" s="12" t="n">
        <v>0.22</v>
      </c>
      <c r="H16" s="49" t="n">
        <v>0.663</v>
      </c>
      <c r="I16" s="15" t="inlineStr">
        <is>
          <t>🟡 قريب</t>
        </is>
      </c>
      <c r="J16" s="11" t="inlineStr">
        <is>
          <t>فجوة محدودة — متابعة.</t>
        </is>
      </c>
      <c r="K16" s="11" t="inlineStr">
        <is>
          <t>متابعة أسبوعية لإغلاق الفجوة.</t>
        </is>
      </c>
      <c r="L16" s="15" t="inlineStr">
        <is>
          <t>مدير سلاسل الإمداد</t>
        </is>
      </c>
      <c r="M16" s="51" t="n"/>
    </row>
    <row r="17">
      <c r="A17" s="15" t="n">
        <v>15</v>
      </c>
      <c r="B17" s="13" t="inlineStr">
        <is>
          <t>التسويق</t>
        </is>
      </c>
      <c r="C17" s="21" t="inlineStr">
        <is>
          <t>عدد شراكات التطبيق</t>
        </is>
      </c>
      <c r="D17" s="49" t="n">
        <v>7.8</v>
      </c>
      <c r="E17" s="49" t="n">
        <v>10</v>
      </c>
      <c r="F17" s="50" t="n">
        <v>0.78</v>
      </c>
      <c r="G17" s="12" t="n">
        <v>0.22</v>
      </c>
      <c r="H17" s="49" t="n">
        <v>15.6</v>
      </c>
      <c r="I17" s="15" t="inlineStr">
        <is>
          <t>🔴 تحت الهدف</t>
        </is>
      </c>
      <c r="J17" s="11" t="inlineStr">
        <is>
          <t>انحراف جوهري — أولوية عاجلة.</t>
        </is>
      </c>
      <c r="K17" s="11" t="inlineStr">
        <is>
          <t>إجراء تصحيحي خلال 30 يوماً.</t>
        </is>
      </c>
      <c r="L17" s="15" t="inlineStr">
        <is>
          <t>مدير التسويق</t>
        </is>
      </c>
      <c r="M17" s="51" t="n"/>
    </row>
    <row r="18">
      <c r="A18" s="15" t="n">
        <v>16</v>
      </c>
      <c r="B18" s="13" t="inlineStr">
        <is>
          <t>التسويق</t>
        </is>
      </c>
      <c r="C18" s="21" t="inlineStr">
        <is>
          <t>عدد تنزيلات التطبيق</t>
        </is>
      </c>
      <c r="D18" s="49" t="n">
        <v>78204</v>
      </c>
      <c r="E18" s="49" t="n">
        <v>100000</v>
      </c>
      <c r="F18" s="50" t="n">
        <v>0.78204</v>
      </c>
      <c r="G18" s="12" t="n">
        <v>0.21796</v>
      </c>
      <c r="H18" s="49" t="n">
        <v>156408</v>
      </c>
      <c r="I18" s="15" t="inlineStr">
        <is>
          <t>🔴 تحت الهدف</t>
        </is>
      </c>
      <c r="J18" s="11" t="inlineStr">
        <is>
          <t>انحراف جوهري — أولوية عاجلة.</t>
        </is>
      </c>
      <c r="K18" s="11" t="inlineStr">
        <is>
          <t>إجراء تصحيحي خلال 30 يوماً.</t>
        </is>
      </c>
      <c r="L18" s="15" t="inlineStr">
        <is>
          <t>مدير التسويق</t>
        </is>
      </c>
      <c r="M18" s="51" t="n"/>
    </row>
    <row r="19">
      <c r="A19" s="15" t="n">
        <v>17</v>
      </c>
      <c r="B19" s="13" t="inlineStr">
        <is>
          <t>الامتياز التجاري</t>
        </is>
      </c>
      <c r="C19" s="21" t="inlineStr">
        <is>
          <t>نسبة الشركاء الملتزمين بمواعيد السداد</t>
        </is>
      </c>
      <c r="D19" s="49" t="n">
        <v>0.705</v>
      </c>
      <c r="E19" s="49" t="n">
        <v>0.9</v>
      </c>
      <c r="F19" s="50" t="n">
        <v>0.7833333333333332</v>
      </c>
      <c r="G19" s="12" t="n">
        <v>0.2166666666666668</v>
      </c>
      <c r="H19" s="49" t="n">
        <v>0.705</v>
      </c>
      <c r="I19" s="15" t="inlineStr">
        <is>
          <t>🔴 تحت الهدف</t>
        </is>
      </c>
      <c r="J19" s="11" t="inlineStr">
        <is>
          <t>انحراف جوهري — أولوية عاجلة.</t>
        </is>
      </c>
      <c r="K19" s="11" t="inlineStr">
        <is>
          <t>إجراء تصحيحي خلال 30 يوماً.</t>
        </is>
      </c>
      <c r="L19" s="15" t="inlineStr">
        <is>
          <t>مدير الامتياز</t>
        </is>
      </c>
      <c r="M19" s="51" t="n"/>
    </row>
    <row r="20">
      <c r="A20" s="15" t="n">
        <v>18</v>
      </c>
      <c r="B20" s="13" t="inlineStr">
        <is>
          <t>الإدارة القانونية</t>
        </is>
      </c>
      <c r="C20" s="21" t="inlineStr">
        <is>
          <t>مستوى رضا الإدارات عن الدعم القانوني</t>
        </is>
      </c>
      <c r="D20" s="49" t="n">
        <v>0.674</v>
      </c>
      <c r="E20" s="49" t="n">
        <v>0.85</v>
      </c>
      <c r="F20" s="50" t="n">
        <v>0.7929411764705883</v>
      </c>
      <c r="G20" s="12" t="n">
        <v>0.2070588235294117</v>
      </c>
      <c r="H20" s="49" t="n">
        <v>0.674</v>
      </c>
      <c r="I20" s="15" t="inlineStr">
        <is>
          <t>🟡 قريب</t>
        </is>
      </c>
      <c r="J20" s="11" t="inlineStr">
        <is>
          <t>فجوة محدودة — متابعة.</t>
        </is>
      </c>
      <c r="K20" s="11" t="inlineStr">
        <is>
          <t>متابعة أسبوعية لإغلاق الفجوة.</t>
        </is>
      </c>
      <c r="L20" s="15" t="inlineStr">
        <is>
          <t>المدير القانوني</t>
        </is>
      </c>
      <c r="M20" s="51" t="n"/>
    </row>
    <row r="21">
      <c r="A21" s="15" t="n">
        <v>19</v>
      </c>
      <c r="B21" s="13" t="inlineStr">
        <is>
          <t>الامتياز التجاري</t>
        </is>
      </c>
      <c r="C21" s="21" t="inlineStr">
        <is>
          <t>نسبة التزام المحطات بالهوية المؤسسية</t>
        </is>
      </c>
      <c r="D21" s="49" t="n">
        <v>0.44</v>
      </c>
      <c r="E21" s="49" t="n">
        <v>0.55</v>
      </c>
      <c r="F21" s="50" t="n">
        <v>0.7999999999999999</v>
      </c>
      <c r="G21" s="12" t="n">
        <v>0.2000000000000001</v>
      </c>
      <c r="H21" s="49" t="n">
        <v>0.44</v>
      </c>
      <c r="I21" s="15" t="inlineStr">
        <is>
          <t>🔴 تحت الهدف</t>
        </is>
      </c>
      <c r="J21" s="11" t="inlineStr">
        <is>
          <t>انحراف جوهري — أولوية عاجلة.</t>
        </is>
      </c>
      <c r="K21" s="11" t="inlineStr">
        <is>
          <t>إجراء تصحيحي خلال 30 يوماً.</t>
        </is>
      </c>
      <c r="L21" s="15" t="inlineStr">
        <is>
          <t>مدير الامتياز</t>
        </is>
      </c>
      <c r="M21" s="51" t="n"/>
    </row>
    <row r="22">
      <c r="A22" s="15" t="n">
        <v>20</v>
      </c>
      <c r="B22" s="13" t="inlineStr">
        <is>
          <t>الامتياز التجاري</t>
        </is>
      </c>
      <c r="C22" s="21" t="inlineStr">
        <is>
          <t>إجمالي مبيعات وقود محطات الامتياز</t>
        </is>
      </c>
      <c r="D22" s="49" t="n">
        <v>576630340</v>
      </c>
      <c r="E22" s="49" t="n">
        <v>718838077</v>
      </c>
      <c r="F22" s="50" t="n">
        <v>0.8021699996840874</v>
      </c>
      <c r="G22" s="12" t="n">
        <v>0.1978300003159126</v>
      </c>
      <c r="H22" s="49" t="n">
        <v>1153260680</v>
      </c>
      <c r="I22" s="15" t="inlineStr">
        <is>
          <t>🔴 تحت الهدف</t>
        </is>
      </c>
      <c r="J22" s="11" t="inlineStr">
        <is>
          <t>انحراف جوهري — أولوية عاجلة.</t>
        </is>
      </c>
      <c r="K22" s="11" t="inlineStr">
        <is>
          <t>إجراء تصحيحي خلال 30 يوماً.</t>
        </is>
      </c>
      <c r="L22" s="15" t="inlineStr">
        <is>
          <t>مدير الامتياز</t>
        </is>
      </c>
      <c r="M22" s="51" t="n"/>
    </row>
    <row r="23">
      <c r="A23" s="15" t="n">
        <v>21</v>
      </c>
      <c r="B23" s="13" t="inlineStr">
        <is>
          <t>التقنية الرقمية</t>
        </is>
      </c>
      <c r="C23" s="21" t="inlineStr">
        <is>
          <t>نسبة استقرار التشغيل التقني للمحطات</t>
        </is>
      </c>
      <c r="D23" s="49" t="n">
        <v>0.8</v>
      </c>
      <c r="E23" s="49" t="n">
        <v>0.99</v>
      </c>
      <c r="F23" s="50" t="n">
        <v>0.8080808080808082</v>
      </c>
      <c r="G23" s="12" t="n">
        <v>0.1919191919191918</v>
      </c>
      <c r="H23" s="49" t="n">
        <v>0.8</v>
      </c>
      <c r="I23" s="15" t="inlineStr">
        <is>
          <t>🔴 تحت الهدف</t>
        </is>
      </c>
      <c r="J23" s="11" t="inlineStr">
        <is>
          <t>انحراف جوهري — أولوية عاجلة.</t>
        </is>
      </c>
      <c r="K23" s="11" t="inlineStr">
        <is>
          <t>إجراء تصحيحي خلال 30 يوماً.</t>
        </is>
      </c>
      <c r="L23" s="15" t="inlineStr">
        <is>
          <t>مدير التقنية</t>
        </is>
      </c>
      <c r="M23" s="51" t="n"/>
    </row>
    <row r="24">
      <c r="A24" s="15" t="n">
        <v>22</v>
      </c>
      <c r="B24" s="13" t="inlineStr">
        <is>
          <t>الامتياز التجاري</t>
        </is>
      </c>
      <c r="C24" s="21" t="inlineStr">
        <is>
          <t>نسبة زيادة عدد أصحاب الامتياز</t>
        </is>
      </c>
      <c r="D24" s="49" t="n">
        <v>0.8100000000000001</v>
      </c>
      <c r="E24" s="49" t="n">
        <v>1</v>
      </c>
      <c r="F24" s="50" t="n">
        <v>0.8100000000000001</v>
      </c>
      <c r="G24" s="12" t="n">
        <v>0.1899999999999999</v>
      </c>
      <c r="H24" s="49" t="n">
        <v>0.8100000000000001</v>
      </c>
      <c r="I24" s="15" t="inlineStr">
        <is>
          <t>🔴 تحت الهدف</t>
        </is>
      </c>
      <c r="J24" s="11" t="inlineStr">
        <is>
          <t>انحراف جوهري — أولوية عاجلة.</t>
        </is>
      </c>
      <c r="K24" s="11" t="inlineStr">
        <is>
          <t>إجراء تصحيحي خلال 30 يوماً.</t>
        </is>
      </c>
      <c r="L24" s="15" t="inlineStr">
        <is>
          <t>مدير الامتياز</t>
        </is>
      </c>
      <c r="M24" s="51" t="n"/>
    </row>
    <row r="25">
      <c r="A25" s="15" t="n">
        <v>23</v>
      </c>
      <c r="B25" s="13" t="inlineStr">
        <is>
          <t>الإدارة التنفيذية</t>
        </is>
      </c>
      <c r="C25" s="21" t="inlineStr">
        <is>
          <t>نسبة نمو إيرادات الشركة (سنوي)</t>
        </is>
      </c>
      <c r="D25" s="49" t="n">
        <v>0.122</v>
      </c>
      <c r="E25" s="49" t="n">
        <v>0.15</v>
      </c>
      <c r="F25" s="50" t="n">
        <v>0.8133333333333334</v>
      </c>
      <c r="G25" s="12" t="n">
        <v>0.1866666666666666</v>
      </c>
      <c r="H25" s="49" t="n">
        <v>0.122</v>
      </c>
      <c r="I25" s="15" t="inlineStr">
        <is>
          <t>🔴 تحت الهدف</t>
        </is>
      </c>
      <c r="J25" s="11" t="inlineStr">
        <is>
          <t>انحراف جوهري — أولوية عاجلة.</t>
        </is>
      </c>
      <c r="K25" s="11" t="inlineStr">
        <is>
          <t>إجراء تصحيحي خلال 30 يوماً.</t>
        </is>
      </c>
      <c r="L25" s="15" t="inlineStr">
        <is>
          <t>الرئيس التنفيذي</t>
        </is>
      </c>
      <c r="M25" s="51" t="n"/>
    </row>
    <row r="26">
      <c r="A26" s="15" t="n">
        <v>24</v>
      </c>
      <c r="B26" s="13" t="inlineStr">
        <is>
          <t>التشغيل والمحطات</t>
        </is>
      </c>
      <c r="C26" s="21" t="inlineStr">
        <is>
          <t>نسبة انخفاض الشكاوى مقارنة بالعام السابق</t>
        </is>
      </c>
      <c r="D26" s="49" t="n">
        <v>0.163</v>
      </c>
      <c r="E26" s="49" t="n">
        <v>0.2</v>
      </c>
      <c r="F26" s="50" t="n">
        <v>0.8149999999999999</v>
      </c>
      <c r="G26" s="12" t="n">
        <v>0.1850000000000001</v>
      </c>
      <c r="H26" s="49" t="n">
        <v>0.163</v>
      </c>
      <c r="I26" s="15" t="inlineStr">
        <is>
          <t>🔴 تحت الهدف</t>
        </is>
      </c>
      <c r="J26" s="11" t="inlineStr">
        <is>
          <t>انحراف جوهري — أولوية عاجلة.</t>
        </is>
      </c>
      <c r="K26" s="11" t="inlineStr">
        <is>
          <t>إجراء تصحيحي خلال 30 يوماً.</t>
        </is>
      </c>
      <c r="L26" s="15" t="inlineStr">
        <is>
          <t>مدير التشغيل</t>
        </is>
      </c>
      <c r="M26" s="51" t="n"/>
    </row>
    <row r="27">
      <c r="A27" s="15" t="n">
        <v>25</v>
      </c>
      <c r="B27" s="13" t="inlineStr">
        <is>
          <t>العقار</t>
        </is>
      </c>
      <c r="C27" s="21" t="inlineStr">
        <is>
          <t>زيادة عدد العلامات التجارية</t>
        </is>
      </c>
      <c r="D27" s="49" t="n">
        <v>202.6</v>
      </c>
      <c r="E27" s="49" t="n">
        <v>246</v>
      </c>
      <c r="F27" s="50" t="n">
        <v>0.8235772357723578</v>
      </c>
      <c r="G27" s="12" t="n">
        <v>0.1764227642276422</v>
      </c>
      <c r="H27" s="49" t="n">
        <v>202.6</v>
      </c>
      <c r="I27" s="15" t="inlineStr">
        <is>
          <t>🔴 تحت الهدف</t>
        </is>
      </c>
      <c r="J27" s="11" t="inlineStr">
        <is>
          <t>انحراف جوهري — أولوية عاجلة.</t>
        </is>
      </c>
      <c r="K27" s="11" t="inlineStr">
        <is>
          <t>إجراء تصحيحي خلال 30 يوماً.</t>
        </is>
      </c>
      <c r="L27" s="15" t="inlineStr">
        <is>
          <t>مدير العقار</t>
        </is>
      </c>
      <c r="M27" s="51" t="n"/>
    </row>
    <row r="28">
      <c r="A28" s="15" t="n">
        <v>26</v>
      </c>
      <c r="B28" s="13" t="inlineStr">
        <is>
          <t>الإدارة القانونية</t>
        </is>
      </c>
      <c r="C28" s="21" t="inlineStr">
        <is>
          <t>نسبة القضايا المُغلقة لصالح الشركة</t>
        </is>
      </c>
      <c r="D28" s="49" t="n">
        <v>0.664</v>
      </c>
      <c r="E28" s="49" t="n">
        <v>0.8</v>
      </c>
      <c r="F28" s="50" t="n">
        <v>0.83</v>
      </c>
      <c r="G28" s="12" t="n">
        <v>0.17</v>
      </c>
      <c r="H28" s="49" t="n">
        <v>0.664</v>
      </c>
      <c r="I28" s="15" t="inlineStr">
        <is>
          <t>🔴 تحت الهدف</t>
        </is>
      </c>
      <c r="J28" s="11" t="inlineStr">
        <is>
          <t>انحراف جوهري — أولوية عاجلة.</t>
        </is>
      </c>
      <c r="K28" s="11" t="inlineStr">
        <is>
          <t>إجراء تصحيحي خلال 30 يوماً.</t>
        </is>
      </c>
      <c r="L28" s="15" t="inlineStr">
        <is>
          <t>المدير القانوني</t>
        </is>
      </c>
      <c r="M28" s="51" t="n"/>
    </row>
    <row r="29">
      <c r="A29" s="15" t="n">
        <v>27</v>
      </c>
      <c r="B29" s="13" t="inlineStr">
        <is>
          <t>الإدارة المالية</t>
        </is>
      </c>
      <c r="C29" s="21" t="inlineStr">
        <is>
          <t>نمو الإيرادات السنوي</t>
        </is>
      </c>
      <c r="D29" s="49" t="n">
        <v>0.169</v>
      </c>
      <c r="E29" s="49" t="n">
        <v>0.2</v>
      </c>
      <c r="F29" s="50" t="n">
        <v>0.845</v>
      </c>
      <c r="G29" s="12" t="n">
        <v>0.155</v>
      </c>
      <c r="H29" s="49" t="n">
        <v>0.169</v>
      </c>
      <c r="I29" s="15" t="inlineStr">
        <is>
          <t>🔴 تحت الهدف</t>
        </is>
      </c>
      <c r="J29" s="11" t="inlineStr">
        <is>
          <t>انحراف جوهري — أولوية عاجلة.</t>
        </is>
      </c>
      <c r="K29" s="11" t="inlineStr">
        <is>
          <t>إجراء تصحيحي خلال 30 يوماً.</t>
        </is>
      </c>
      <c r="L29" s="15" t="inlineStr">
        <is>
          <t>المدير المالي</t>
        </is>
      </c>
      <c r="M29" s="51" t="n"/>
    </row>
    <row r="30">
      <c r="A30" s="15" t="n">
        <v>28</v>
      </c>
      <c r="B30" s="13" t="inlineStr">
        <is>
          <t>العقار</t>
        </is>
      </c>
      <c r="C30" s="21" t="inlineStr">
        <is>
          <t>نسبة تحصيل الإيجارات</t>
        </is>
      </c>
      <c r="D30" s="49" t="n">
        <v>0.805</v>
      </c>
      <c r="E30" s="49" t="n">
        <v>0.95</v>
      </c>
      <c r="F30" s="50" t="n">
        <v>0.8473684210526317</v>
      </c>
      <c r="G30" s="12" t="n">
        <v>0.1526315789473683</v>
      </c>
      <c r="H30" s="49" t="n">
        <v>0.805</v>
      </c>
      <c r="I30" s="15" t="inlineStr">
        <is>
          <t>🔴 تحت الهدف</t>
        </is>
      </c>
      <c r="J30" s="11" t="inlineStr">
        <is>
          <t>انحراف جوهري — أولوية عاجلة.</t>
        </is>
      </c>
      <c r="K30" s="11" t="inlineStr">
        <is>
          <t>إجراء تصحيحي خلال 30 يوماً.</t>
        </is>
      </c>
      <c r="L30" s="15" t="inlineStr">
        <is>
          <t>مدير العقار</t>
        </is>
      </c>
      <c r="M30" s="51" t="n"/>
    </row>
    <row r="31">
      <c r="A31" s="15" t="n">
        <v>29</v>
      </c>
      <c r="B31" s="13" t="inlineStr">
        <is>
          <t>الإدارة التنفيذية</t>
        </is>
      </c>
      <c r="C31" s="21" t="inlineStr">
        <is>
          <t>نسبة تحقيق المستهدفات الاستراتيجية العامة</t>
        </is>
      </c>
      <c r="D31" s="49" t="n">
        <v>0.85</v>
      </c>
      <c r="E31" s="49" t="n">
        <v>1</v>
      </c>
      <c r="F31" s="50" t="n">
        <v>0.85</v>
      </c>
      <c r="G31" s="12" t="n">
        <v>0.15</v>
      </c>
      <c r="H31" s="49" t="n">
        <v>0.85</v>
      </c>
      <c r="I31" s="15" t="inlineStr">
        <is>
          <t>🟡 قريب</t>
        </is>
      </c>
      <c r="J31" s="11" t="inlineStr">
        <is>
          <t>فجوة محدودة — متابعة.</t>
        </is>
      </c>
      <c r="K31" s="11" t="inlineStr">
        <is>
          <t>متابعة أسبوعية لإغلاق الفجوة.</t>
        </is>
      </c>
      <c r="L31" s="15" t="inlineStr">
        <is>
          <t>الرئيس التنفيذي</t>
        </is>
      </c>
      <c r="M31" s="51" t="n"/>
    </row>
    <row r="32">
      <c r="A32" s="15" t="n">
        <v>30</v>
      </c>
      <c r="B32" s="13" t="inlineStr">
        <is>
          <t>سلاسل الإمداد</t>
        </is>
      </c>
      <c r="C32" s="21" t="inlineStr">
        <is>
          <t>نسبة إنجاز أوامر الشراء</t>
        </is>
      </c>
      <c r="D32" s="49" t="n">
        <v>0.8100000000000001</v>
      </c>
      <c r="E32" s="49" t="n">
        <v>0.95</v>
      </c>
      <c r="F32" s="50" t="n">
        <v>0.8526315789473685</v>
      </c>
      <c r="G32" s="12" t="n">
        <v>0.1473684210526315</v>
      </c>
      <c r="H32" s="49" t="n">
        <v>0.8100000000000001</v>
      </c>
      <c r="I32" s="15" t="inlineStr">
        <is>
          <t>🟡 قريب</t>
        </is>
      </c>
      <c r="J32" s="11" t="inlineStr">
        <is>
          <t>فجوة محدودة — متابعة.</t>
        </is>
      </c>
      <c r="K32" s="11" t="inlineStr">
        <is>
          <t>متابعة أسبوعية لإغلاق الفجوة.</t>
        </is>
      </c>
      <c r="L32" s="15" t="inlineStr">
        <is>
          <t>مدير سلاسل الإمداد</t>
        </is>
      </c>
      <c r="M32" s="51" t="n"/>
    </row>
    <row r="33">
      <c r="A33" s="15" t="n">
        <v>31</v>
      </c>
      <c r="B33" s="13" t="inlineStr">
        <is>
          <t>الامتياز التجاري</t>
        </is>
      </c>
      <c r="C33" s="21" t="inlineStr">
        <is>
          <t>نسبة التحصيل المالي من شركاء الامتياز</t>
        </is>
      </c>
      <c r="D33" s="49" t="n">
        <v>0.8120000000000001</v>
      </c>
      <c r="E33" s="49" t="n">
        <v>0.95</v>
      </c>
      <c r="F33" s="50" t="n">
        <v>0.8547368421052632</v>
      </c>
      <c r="G33" s="12" t="n">
        <v>0.1452631578947368</v>
      </c>
      <c r="H33" s="49" t="n">
        <v>0.8120000000000001</v>
      </c>
      <c r="I33" s="15" t="inlineStr">
        <is>
          <t>🟡 قريب</t>
        </is>
      </c>
      <c r="J33" s="11" t="inlineStr">
        <is>
          <t>فجوة محدودة — متابعة.</t>
        </is>
      </c>
      <c r="K33" s="11" t="inlineStr">
        <is>
          <t>متابعة أسبوعية لإغلاق الفجوة.</t>
        </is>
      </c>
      <c r="L33" s="15" t="inlineStr">
        <is>
          <t>مدير الامتياز</t>
        </is>
      </c>
      <c r="M33" s="51" t="n"/>
    </row>
    <row r="34">
      <c r="A34" s="15" t="n">
        <v>32</v>
      </c>
      <c r="B34" s="13" t="inlineStr">
        <is>
          <t>إدارة المشاريع</t>
        </is>
      </c>
      <c r="C34" s="21" t="inlineStr">
        <is>
          <t>نسبة إنجاز محفظة المشاريع</t>
        </is>
      </c>
      <c r="D34" s="49" t="n">
        <v>0.607</v>
      </c>
      <c r="E34" s="49" t="n">
        <v>0.7</v>
      </c>
      <c r="F34" s="50" t="n">
        <v>0.8671428571428572</v>
      </c>
      <c r="G34" s="12" t="n">
        <v>0.1328571428571428</v>
      </c>
      <c r="H34" s="49" t="n">
        <v>0.607</v>
      </c>
      <c r="I34" s="15" t="inlineStr">
        <is>
          <t>🟡 قريب</t>
        </is>
      </c>
      <c r="J34" s="11" t="inlineStr">
        <is>
          <t>فجوة محدودة — متابعة.</t>
        </is>
      </c>
      <c r="K34" s="11" t="inlineStr">
        <is>
          <t>متابعة أسبوعية لإغلاق الفجوة.</t>
        </is>
      </c>
      <c r="L34" s="15" t="inlineStr">
        <is>
          <t>مدير إدارة المشاريع</t>
        </is>
      </c>
      <c r="M34" s="51" t="n"/>
    </row>
    <row r="35">
      <c r="A35" s="15" t="n">
        <v>33</v>
      </c>
      <c r="B35" s="13" t="inlineStr">
        <is>
          <t>الامتياز التجاري</t>
        </is>
      </c>
      <c r="C35" s="21" t="inlineStr">
        <is>
          <t>رفع هامش الربحية للامتياز</t>
        </is>
      </c>
      <c r="D35" s="49" t="n">
        <v>1.564</v>
      </c>
      <c r="E35" s="49" t="n">
        <v>1.8</v>
      </c>
      <c r="F35" s="50" t="n">
        <v>0.8688888888888889</v>
      </c>
      <c r="G35" s="12" t="n">
        <v>0.1311111111111111</v>
      </c>
      <c r="H35" s="49" t="n">
        <v>1.564</v>
      </c>
      <c r="I35" s="15" t="inlineStr">
        <is>
          <t>🟡 قريب</t>
        </is>
      </c>
      <c r="J35" s="11" t="inlineStr">
        <is>
          <t>فجوة محدودة — متابعة.</t>
        </is>
      </c>
      <c r="K35" s="11" t="inlineStr">
        <is>
          <t>متابعة أسبوعية لإغلاق الفجوة.</t>
        </is>
      </c>
      <c r="L35" s="15" t="inlineStr">
        <is>
          <t>مدير الامتياز</t>
        </is>
      </c>
      <c r="M35" s="51" t="n"/>
    </row>
    <row r="36">
      <c r="A36" s="15" t="n">
        <v>34</v>
      </c>
      <c r="B36" s="13" t="inlineStr">
        <is>
          <t>الإدارة التنفيذية</t>
        </is>
      </c>
      <c r="C36" s="21" t="inlineStr">
        <is>
          <t>إجمالي المحطات المشغّلة — الشركة (تراكمي)</t>
        </is>
      </c>
      <c r="D36" s="49" t="n">
        <v>206.1</v>
      </c>
      <c r="E36" s="49" t="n">
        <v>235</v>
      </c>
      <c r="F36" s="50" t="n">
        <v>0.8770212765957447</v>
      </c>
      <c r="G36" s="12" t="n">
        <v>0.1229787234042553</v>
      </c>
      <c r="H36" s="49" t="n">
        <v>206.1</v>
      </c>
      <c r="I36" s="15" t="inlineStr">
        <is>
          <t>🟡 قريب</t>
        </is>
      </c>
      <c r="J36" s="11" t="inlineStr">
        <is>
          <t>فجوة محدودة — متابعة.</t>
        </is>
      </c>
      <c r="K36" s="11" t="inlineStr">
        <is>
          <t>متابعة أسبوعية لإغلاق الفجوة.</t>
        </is>
      </c>
      <c r="L36" s="15" t="inlineStr">
        <is>
          <t>الرئيس التنفيذي</t>
        </is>
      </c>
      <c r="M36" s="51" t="n"/>
    </row>
    <row r="37">
      <c r="A37" s="15" t="n">
        <v>35</v>
      </c>
      <c r="B37" s="13" t="inlineStr">
        <is>
          <t>الموارد البشرية</t>
        </is>
      </c>
      <c r="C37" s="21" t="inlineStr">
        <is>
          <t>نسبة دقة الرواتب والمستحقات الشهرية</t>
        </is>
      </c>
      <c r="D37" s="49" t="n">
        <v>0.888</v>
      </c>
      <c r="E37" s="49" t="n">
        <v>0.995</v>
      </c>
      <c r="F37" s="50" t="n">
        <v>0.892462311557789</v>
      </c>
      <c r="G37" s="12" t="n">
        <v>0.107537688442211</v>
      </c>
      <c r="H37" s="49" t="n">
        <v>0.888</v>
      </c>
      <c r="I37" s="15" t="inlineStr">
        <is>
          <t>🟡 قريب</t>
        </is>
      </c>
      <c r="J37" s="11" t="inlineStr">
        <is>
          <t>فجوة محدودة — متابعة.</t>
        </is>
      </c>
      <c r="K37" s="11" t="inlineStr">
        <is>
          <t>متابعة أسبوعية لإغلاق الفجوة.</t>
        </is>
      </c>
      <c r="L37" s="15" t="inlineStr">
        <is>
          <t>مدير الموارد البشرية</t>
        </is>
      </c>
      <c r="M37" s="51" t="n"/>
    </row>
    <row r="38">
      <c r="A38" s="15" t="n">
        <v>36</v>
      </c>
      <c r="B38" s="13" t="inlineStr">
        <is>
          <t>الموارد البشرية</t>
        </is>
      </c>
      <c r="C38" s="21" t="inlineStr">
        <is>
          <t>متوسط مدة إغلاق الشواغر المعتمدة</t>
        </is>
      </c>
      <c r="D38" s="49" t="n">
        <v>33.5</v>
      </c>
      <c r="E38" s="49" t="n">
        <v>30</v>
      </c>
      <c r="F38" s="50" t="n">
        <v>0.8955223880597015</v>
      </c>
      <c r="G38" s="12" t="n">
        <v>0.1044776119402985</v>
      </c>
      <c r="H38" s="49" t="n">
        <v>33.5</v>
      </c>
      <c r="I38" s="15" t="inlineStr">
        <is>
          <t>🟡 قريب</t>
        </is>
      </c>
      <c r="J38" s="11" t="inlineStr">
        <is>
          <t>فجوة محدودة — متابعة.</t>
        </is>
      </c>
      <c r="K38" s="11" t="inlineStr">
        <is>
          <t>متابعة أسبوعية لإغلاق الفجوة.</t>
        </is>
      </c>
      <c r="L38" s="15" t="inlineStr">
        <is>
          <t>مدير الموارد البشرية</t>
        </is>
      </c>
      <c r="M38" s="51" t="n"/>
    </row>
    <row r="39">
      <c r="A39" s="15" t="n">
        <v>37</v>
      </c>
      <c r="B39" s="13" t="inlineStr">
        <is>
          <t>التشغيل والمحطات</t>
        </is>
      </c>
      <c r="C39" s="21" t="inlineStr">
        <is>
          <t>نمو مبيعات الوقود مقارنة بالعام السابق</t>
        </is>
      </c>
      <c r="D39" s="49" t="n">
        <v>0.09</v>
      </c>
      <c r="E39" s="49" t="n">
        <v>0.1</v>
      </c>
      <c r="F39" s="50" t="n">
        <v>0.8999999999999999</v>
      </c>
      <c r="G39" s="12" t="n">
        <v>0.1000000000000001</v>
      </c>
      <c r="H39" s="49" t="n">
        <v>0.09</v>
      </c>
      <c r="I39" s="15" t="inlineStr">
        <is>
          <t>🟡 قريب</t>
        </is>
      </c>
      <c r="J39" s="11" t="inlineStr">
        <is>
          <t>فجوة محدودة — متابعة.</t>
        </is>
      </c>
      <c r="K39" s="11" t="inlineStr">
        <is>
          <t>متابعة أسبوعية لإغلاق الفجوة.</t>
        </is>
      </c>
      <c r="L39" s="15" t="inlineStr">
        <is>
          <t>مدير التشغيل</t>
        </is>
      </c>
      <c r="M39" s="51" t="n"/>
    </row>
    <row r="40">
      <c r="A40" s="15" t="n">
        <v>38</v>
      </c>
      <c r="B40" s="13" t="inlineStr">
        <is>
          <t>الإدارة المالية</t>
        </is>
      </c>
      <c r="C40" s="21" t="inlineStr">
        <is>
          <t>نسبة التدفق النقدي التشغيلي</t>
        </is>
      </c>
      <c r="D40" s="49" t="n">
        <v>0.902</v>
      </c>
      <c r="E40" s="49" t="n">
        <v>1</v>
      </c>
      <c r="F40" s="50" t="n">
        <v>0.902</v>
      </c>
      <c r="G40" s="12" t="n">
        <v>0.09799999999999998</v>
      </c>
      <c r="H40" s="49" t="n">
        <v>0.902</v>
      </c>
      <c r="I40" s="15" t="inlineStr">
        <is>
          <t>🟡 قريب</t>
        </is>
      </c>
      <c r="J40" s="11" t="inlineStr">
        <is>
          <t>فجوة محدودة — متابعة.</t>
        </is>
      </c>
      <c r="K40" s="11" t="inlineStr">
        <is>
          <t>متابعة أسبوعية لإغلاق الفجوة.</t>
        </is>
      </c>
      <c r="L40" s="15" t="inlineStr">
        <is>
          <t>المدير المالي</t>
        </is>
      </c>
      <c r="M40" s="51" t="n"/>
    </row>
    <row r="41">
      <c r="A41" s="15" t="n">
        <v>39</v>
      </c>
      <c r="B41" s="13" t="inlineStr">
        <is>
          <t>الإدارة التنفيذية</t>
        </is>
      </c>
      <c r="C41" s="21" t="inlineStr">
        <is>
          <t>نسبة إنجاز مشاريع الخارطة التنفيذية</t>
        </is>
      </c>
      <c r="D41" s="49" t="n">
        <v>0.906</v>
      </c>
      <c r="E41" s="49" t="n">
        <v>1</v>
      </c>
      <c r="F41" s="50" t="n">
        <v>0.906</v>
      </c>
      <c r="G41" s="12" t="n">
        <v>0.09399999999999997</v>
      </c>
      <c r="H41" s="49" t="n">
        <v>0.906</v>
      </c>
      <c r="I41" s="15" t="inlineStr">
        <is>
          <t>🟡 قريب</t>
        </is>
      </c>
      <c r="J41" s="11" t="inlineStr">
        <is>
          <t>فجوة محدودة — متابعة.</t>
        </is>
      </c>
      <c r="K41" s="11" t="inlineStr">
        <is>
          <t>متابعة أسبوعية لإغلاق الفجوة.</t>
        </is>
      </c>
      <c r="L41" s="15" t="inlineStr">
        <is>
          <t>الرئيس التنفيذي</t>
        </is>
      </c>
      <c r="M41" s="51" t="n"/>
    </row>
    <row r="42">
      <c r="A42" s="15" t="n">
        <v>40</v>
      </c>
      <c r="B42" s="13" t="inlineStr">
        <is>
          <t>العقار</t>
        </is>
      </c>
      <c r="C42" s="21" t="inlineStr">
        <is>
          <t>نسبة إشغال الوحدات</t>
        </is>
      </c>
      <c r="D42" s="49" t="n">
        <v>0.545</v>
      </c>
      <c r="E42" s="49" t="n">
        <v>0.6</v>
      </c>
      <c r="F42" s="50" t="n">
        <v>0.9083333333333334</v>
      </c>
      <c r="G42" s="12" t="n">
        <v>0.09166666666666656</v>
      </c>
      <c r="H42" s="49" t="n">
        <v>0.545</v>
      </c>
      <c r="I42" s="15" t="inlineStr">
        <is>
          <t>🟡 قريب</t>
        </is>
      </c>
      <c r="J42" s="11" t="inlineStr">
        <is>
          <t>فجوة محدودة — متابعة.</t>
        </is>
      </c>
      <c r="K42" s="11" t="inlineStr">
        <is>
          <t>متابعة أسبوعية لإغلاق الفجوة.</t>
        </is>
      </c>
      <c r="L42" s="15" t="inlineStr">
        <is>
          <t>مدير العقار</t>
        </is>
      </c>
      <c r="M42" s="51" t="n"/>
    </row>
    <row r="43">
      <c r="A43" s="15" t="n">
        <v>41</v>
      </c>
      <c r="B43" s="13" t="inlineStr">
        <is>
          <t>الامتياز التجاري</t>
        </is>
      </c>
      <c r="C43" s="21" t="inlineStr">
        <is>
          <t>نسبة المحطات المستوفية لمعايير السلامة</t>
        </is>
      </c>
      <c r="D43" s="49" t="n">
        <v>0.911</v>
      </c>
      <c r="E43" s="49" t="n">
        <v>1</v>
      </c>
      <c r="F43" s="50" t="n">
        <v>0.911</v>
      </c>
      <c r="G43" s="12" t="n">
        <v>0.08899999999999997</v>
      </c>
      <c r="H43" s="49" t="n">
        <v>0.911</v>
      </c>
      <c r="I43" s="15" t="inlineStr">
        <is>
          <t>🔴 تحت الهدف</t>
        </is>
      </c>
      <c r="J43" s="11" t="inlineStr">
        <is>
          <t>انحراف جوهري — أولوية عاجلة.</t>
        </is>
      </c>
      <c r="K43" s="11" t="inlineStr">
        <is>
          <t>إجراء تصحيحي خلال 30 يوماً.</t>
        </is>
      </c>
      <c r="L43" s="15" t="inlineStr">
        <is>
          <t>مدير الامتياز</t>
        </is>
      </c>
      <c r="M43" s="51" t="n"/>
    </row>
    <row r="44">
      <c r="A44" s="15" t="n">
        <v>42</v>
      </c>
      <c r="B44" s="13" t="inlineStr">
        <is>
          <t>الامتياز التجاري</t>
        </is>
      </c>
      <c r="C44" s="21" t="inlineStr">
        <is>
          <t>نسبة انخفاض الشكاوى التشغيلية والإدارية</t>
        </is>
      </c>
      <c r="D44" s="49" t="n">
        <v>0.274</v>
      </c>
      <c r="E44" s="49" t="n">
        <v>0.3</v>
      </c>
      <c r="F44" s="50" t="n">
        <v>0.9133333333333334</v>
      </c>
      <c r="G44" s="12" t="n">
        <v>0.08666666666666656</v>
      </c>
      <c r="H44" s="49" t="n">
        <v>0.274</v>
      </c>
      <c r="I44" s="15" t="inlineStr">
        <is>
          <t>🟡 قريب</t>
        </is>
      </c>
      <c r="J44" s="11" t="inlineStr">
        <is>
          <t>فجوة محدودة — متابعة.</t>
        </is>
      </c>
      <c r="K44" s="11" t="inlineStr">
        <is>
          <t>متابعة أسبوعية لإغلاق الفجوة.</t>
        </is>
      </c>
      <c r="L44" s="15" t="inlineStr">
        <is>
          <t>مدير الامتياز</t>
        </is>
      </c>
      <c r="M44" s="51" t="n"/>
    </row>
    <row r="45">
      <c r="A45" s="15" t="n">
        <v>43</v>
      </c>
      <c r="B45" s="13" t="inlineStr">
        <is>
          <t>الامتياز التجاري</t>
        </is>
      </c>
      <c r="C45" s="21" t="inlineStr">
        <is>
          <t>متوسط وقت معالجة البلاغات التشغيلية</t>
        </is>
      </c>
      <c r="D45" s="49" t="n">
        <v>26.2</v>
      </c>
      <c r="E45" s="49" t="n">
        <v>24</v>
      </c>
      <c r="F45" s="50" t="n">
        <v>0.916030534351145</v>
      </c>
      <c r="G45" s="12" t="n">
        <v>0.08396946564885499</v>
      </c>
      <c r="H45" s="49" t="n">
        <v>26.2</v>
      </c>
      <c r="I45" s="15" t="inlineStr">
        <is>
          <t>🟡 قريب</t>
        </is>
      </c>
      <c r="J45" s="11" t="inlineStr">
        <is>
          <t>فجوة محدودة — متابعة.</t>
        </is>
      </c>
      <c r="K45" s="11" t="inlineStr">
        <is>
          <t>متابعة أسبوعية لإغلاق الفجوة.</t>
        </is>
      </c>
      <c r="L45" s="15" t="inlineStr">
        <is>
          <t>مدير الامتياز</t>
        </is>
      </c>
      <c r="M45" s="51" t="n"/>
    </row>
    <row r="46">
      <c r="A46" s="15" t="n">
        <v>44</v>
      </c>
      <c r="B46" s="13" t="inlineStr">
        <is>
          <t>التشغيل والمحطات</t>
        </is>
      </c>
      <c r="C46" s="21" t="inlineStr">
        <is>
          <t>عدد المحطات المشغّلة (تراكمي)</t>
        </is>
      </c>
      <c r="D46" s="49" t="n">
        <v>78.5</v>
      </c>
      <c r="E46" s="49" t="n">
        <v>85</v>
      </c>
      <c r="F46" s="50" t="n">
        <v>0.9235294117647059</v>
      </c>
      <c r="G46" s="12" t="n">
        <v>0.07647058823529407</v>
      </c>
      <c r="H46" s="49" t="n">
        <v>78.5</v>
      </c>
      <c r="I46" s="15" t="inlineStr">
        <is>
          <t>🟡 قريب</t>
        </is>
      </c>
      <c r="J46" s="11" t="inlineStr">
        <is>
          <t>فجوة محدودة — متابعة.</t>
        </is>
      </c>
      <c r="K46" s="11" t="inlineStr">
        <is>
          <t>متابعة أسبوعية لإغلاق الفجوة.</t>
        </is>
      </c>
      <c r="L46" s="15" t="inlineStr">
        <is>
          <t>مدير التشغيل</t>
        </is>
      </c>
      <c r="M46" s="51" t="n"/>
    </row>
    <row r="47">
      <c r="A47" s="15" t="n">
        <v>45</v>
      </c>
      <c r="B47" s="13" t="inlineStr">
        <is>
          <t>الامتياز التجاري</t>
        </is>
      </c>
      <c r="C47" s="21" t="inlineStr">
        <is>
          <t>نسبة إغلاق ملاحظات الجودة الميدانية</t>
        </is>
      </c>
      <c r="D47" s="49" t="n">
        <v>0.879</v>
      </c>
      <c r="E47" s="49" t="n">
        <v>0.95</v>
      </c>
      <c r="F47" s="50" t="n">
        <v>0.9252631578947369</v>
      </c>
      <c r="G47" s="12" t="n">
        <v>0.0747368421052631</v>
      </c>
      <c r="H47" s="49" t="n">
        <v>0.879</v>
      </c>
      <c r="I47" s="15" t="inlineStr">
        <is>
          <t>🟡 قريب</t>
        </is>
      </c>
      <c r="J47" s="11" t="inlineStr">
        <is>
          <t>فجوة محدودة — متابعة.</t>
        </is>
      </c>
      <c r="K47" s="11" t="inlineStr">
        <is>
          <t>متابعة أسبوعية لإغلاق الفجوة.</t>
        </is>
      </c>
      <c r="L47" s="15" t="inlineStr">
        <is>
          <t>مدير الامتياز</t>
        </is>
      </c>
      <c r="M47" s="51" t="n"/>
    </row>
    <row r="48">
      <c r="A48" s="15" t="n">
        <v>46</v>
      </c>
      <c r="B48" s="13" t="inlineStr">
        <is>
          <t>إدارة المشاريع</t>
        </is>
      </c>
      <c r="C48" s="21" t="inlineStr">
        <is>
          <t>متوسط مدة إغلاق قائمة الملاحظات النهائية</t>
        </is>
      </c>
      <c r="D48" s="49" t="n">
        <v>32.4</v>
      </c>
      <c r="E48" s="49" t="n">
        <v>30</v>
      </c>
      <c r="F48" s="50" t="n">
        <v>0.9259259259259259</v>
      </c>
      <c r="G48" s="12" t="n">
        <v>0.07407407407407407</v>
      </c>
      <c r="H48" s="49" t="n">
        <v>32.4</v>
      </c>
      <c r="I48" s="15" t="inlineStr">
        <is>
          <t>🟡 قريب</t>
        </is>
      </c>
      <c r="J48" s="11" t="inlineStr">
        <is>
          <t>فجوة محدودة — متابعة.</t>
        </is>
      </c>
      <c r="K48" s="11" t="inlineStr">
        <is>
          <t>متابعة أسبوعية لإغلاق الفجوة.</t>
        </is>
      </c>
      <c r="L48" s="15" t="inlineStr">
        <is>
          <t>مدير إدارة المشاريع</t>
        </is>
      </c>
      <c r="M48" s="51" t="n"/>
    </row>
    <row r="49">
      <c r="A49" s="15" t="n">
        <v>47</v>
      </c>
      <c r="B49" s="13" t="inlineStr">
        <is>
          <t>الامتياز التجاري</t>
        </is>
      </c>
      <c r="C49" s="21" t="inlineStr">
        <is>
          <t>متوسط درجة تقييم جودة المحطة (قائمة التحقق)</t>
        </is>
      </c>
      <c r="D49" s="49" t="n">
        <v>78.8</v>
      </c>
      <c r="E49" s="49" t="n">
        <v>85</v>
      </c>
      <c r="F49" s="50" t="n">
        <v>0.9270588235294117</v>
      </c>
      <c r="G49" s="12" t="n">
        <v>0.07294117647058829</v>
      </c>
      <c r="H49" s="49" t="n">
        <v>78.8</v>
      </c>
      <c r="I49" s="15" t="inlineStr">
        <is>
          <t>🟡 قريب</t>
        </is>
      </c>
      <c r="J49" s="11" t="inlineStr">
        <is>
          <t>فجوة محدودة — متابعة.</t>
        </is>
      </c>
      <c r="K49" s="11" t="inlineStr">
        <is>
          <t>متابعة أسبوعية لإغلاق الفجوة.</t>
        </is>
      </c>
      <c r="L49" s="15" t="inlineStr">
        <is>
          <t>مدير الامتياز</t>
        </is>
      </c>
      <c r="M49" s="51" t="n"/>
    </row>
    <row r="50">
      <c r="A50" s="15" t="n">
        <v>48</v>
      </c>
      <c r="B50" s="13" t="inlineStr">
        <is>
          <t>الاستثمار</t>
        </is>
      </c>
      <c r="C50" s="21" t="inlineStr">
        <is>
          <t>عدد العقود التي تغطي المناطق الـ13</t>
        </is>
      </c>
      <c r="D50" s="49" t="n">
        <v>12.1</v>
      </c>
      <c r="E50" s="49" t="n">
        <v>13</v>
      </c>
      <c r="F50" s="50" t="n">
        <v>0.9307692307692308</v>
      </c>
      <c r="G50" s="12" t="n">
        <v>0.06923076923076921</v>
      </c>
      <c r="H50" s="49" t="n">
        <v>12.1</v>
      </c>
      <c r="I50" s="15" t="inlineStr">
        <is>
          <t>🟡 قريب</t>
        </is>
      </c>
      <c r="J50" s="11" t="inlineStr">
        <is>
          <t>فجوة محدودة — متابعة.</t>
        </is>
      </c>
      <c r="K50" s="11" t="inlineStr">
        <is>
          <t>متابعة أسبوعية لإغلاق الفجوة.</t>
        </is>
      </c>
      <c r="L50" s="15" t="inlineStr">
        <is>
          <t>مدير الاستثمار</t>
        </is>
      </c>
      <c r="M50" s="51" t="n"/>
    </row>
    <row r="51">
      <c r="A51" s="15" t="n">
        <v>49</v>
      </c>
      <c r="B51" s="13" t="inlineStr">
        <is>
          <t>الاستثمار</t>
        </is>
      </c>
      <c r="C51" s="21" t="inlineStr">
        <is>
          <t>نسبة المواقع المشغّلة ذات العائد المجدي</t>
        </is>
      </c>
      <c r="D51" s="49" t="n">
        <v>0.748</v>
      </c>
      <c r="E51" s="49" t="n">
        <v>0.8</v>
      </c>
      <c r="F51" s="50" t="n">
        <v>0.9349999999999999</v>
      </c>
      <c r="G51" s="12" t="n">
        <v>0.06500000000000006</v>
      </c>
      <c r="H51" s="49" t="n">
        <v>0.748</v>
      </c>
      <c r="I51" s="15" t="inlineStr">
        <is>
          <t>🟡 قريب</t>
        </is>
      </c>
      <c r="J51" s="11" t="inlineStr">
        <is>
          <t>فجوة محدودة — متابعة.</t>
        </is>
      </c>
      <c r="K51" s="11" t="inlineStr">
        <is>
          <t>متابعة أسبوعية لإغلاق الفجوة.</t>
        </is>
      </c>
      <c r="L51" s="15" t="inlineStr">
        <is>
          <t>مدير الاستثمار</t>
        </is>
      </c>
      <c r="M51" s="51" t="n"/>
    </row>
    <row r="52">
      <c r="A52" s="15" t="n">
        <v>50</v>
      </c>
      <c r="B52" s="13" t="inlineStr">
        <is>
          <t>الامتياز التجاري</t>
        </is>
      </c>
      <c r="C52" s="21" t="inlineStr">
        <is>
          <t>نسبة استدامة أصحاب الامتياز (Retention)</t>
        </is>
      </c>
      <c r="D52" s="49" t="n">
        <v>0.853</v>
      </c>
      <c r="E52" s="49" t="n">
        <v>0.9</v>
      </c>
      <c r="F52" s="50" t="n">
        <v>0.9477777777777777</v>
      </c>
      <c r="G52" s="12" t="n">
        <v>0.05222222222222228</v>
      </c>
      <c r="H52" s="49" t="n">
        <v>0.853</v>
      </c>
      <c r="I52" s="15" t="inlineStr">
        <is>
          <t>🟡 قريب</t>
        </is>
      </c>
      <c r="J52" s="11" t="inlineStr">
        <is>
          <t>فجوة محدودة — متابعة.</t>
        </is>
      </c>
      <c r="K52" s="11" t="inlineStr">
        <is>
          <t>متابعة أسبوعية لإغلاق الفجوة.</t>
        </is>
      </c>
      <c r="L52" s="15" t="inlineStr">
        <is>
          <t>مدير الامتياز</t>
        </is>
      </c>
      <c r="M52" s="51" t="n"/>
    </row>
    <row r="53">
      <c r="A53" s="15" t="n">
        <v>51</v>
      </c>
      <c r="B53" s="13" t="inlineStr">
        <is>
          <t>الامتياز التجاري</t>
        </is>
      </c>
      <c r="C53" s="21" t="inlineStr">
        <is>
          <t>عدد عقود الامتياز الجديدة الموقّعة</t>
        </is>
      </c>
      <c r="D53" s="49" t="n">
        <v>159.2</v>
      </c>
      <c r="E53" s="49" t="n">
        <v>167</v>
      </c>
      <c r="F53" s="50" t="n">
        <v>0.9532934131736527</v>
      </c>
      <c r="G53" s="12" t="n">
        <v>0.04670658682634732</v>
      </c>
      <c r="H53" s="49" t="n">
        <v>318.4</v>
      </c>
      <c r="I53" s="15" t="inlineStr">
        <is>
          <t>🟡 قريب</t>
        </is>
      </c>
      <c r="J53" s="11" t="inlineStr">
        <is>
          <t>فجوة محدودة — متابعة.</t>
        </is>
      </c>
      <c r="K53" s="11" t="inlineStr">
        <is>
          <t>متابعة أسبوعية لإغلاق الفجوة.</t>
        </is>
      </c>
      <c r="L53" s="15" t="inlineStr">
        <is>
          <t>مدير الامتياز</t>
        </is>
      </c>
      <c r="M53" s="51" t="n"/>
    </row>
    <row r="54">
      <c r="A54" s="15" t="n">
        <v>52</v>
      </c>
      <c r="B54" s="13" t="inlineStr">
        <is>
          <t>الامتياز التجاري</t>
        </is>
      </c>
      <c r="C54" s="21" t="inlineStr">
        <is>
          <t>نسبة حل الشكاوى خلال المدة المحددة</t>
        </is>
      </c>
      <c r="D54" s="49" t="n">
        <v>0.922</v>
      </c>
      <c r="E54" s="49" t="n">
        <v>0.95</v>
      </c>
      <c r="F54" s="50" t="n">
        <v>0.9705263157894738</v>
      </c>
      <c r="G54" s="12" t="n">
        <v>0.02947368421052621</v>
      </c>
      <c r="H54" s="49" t="n">
        <v>0.922</v>
      </c>
      <c r="I54" s="15" t="inlineStr">
        <is>
          <t>🟡 قريب</t>
        </is>
      </c>
      <c r="J54" s="11" t="inlineStr">
        <is>
          <t>فجوة محدودة — متابعة.</t>
        </is>
      </c>
      <c r="K54" s="11" t="inlineStr">
        <is>
          <t>متابعة أسبوعية لإغلاق الفجوة.</t>
        </is>
      </c>
      <c r="L54" s="15" t="inlineStr">
        <is>
          <t>مدير الامتياز</t>
        </is>
      </c>
      <c r="M54" s="51" t="n"/>
    </row>
    <row r="55">
      <c r="A55" s="15" t="n">
        <v>53</v>
      </c>
      <c r="B55" s="13" t="inlineStr">
        <is>
          <t>الإدارة التنفيذية</t>
        </is>
      </c>
      <c r="C55" s="21" t="inlineStr">
        <is>
          <t>إجمالي العقود الجديدة — الشركة</t>
        </is>
      </c>
      <c r="D55" s="49" t="n">
        <v>346.6</v>
      </c>
      <c r="E55" s="49" t="n">
        <v>357</v>
      </c>
      <c r="F55" s="50" t="n">
        <v>0.9708683473389357</v>
      </c>
      <c r="G55" s="12" t="n">
        <v>0.02913165266106432</v>
      </c>
      <c r="H55" s="49" t="n">
        <v>693.2</v>
      </c>
      <c r="I55" s="15" t="inlineStr">
        <is>
          <t>🟡 قريب</t>
        </is>
      </c>
      <c r="J55" s="11" t="inlineStr">
        <is>
          <t>فجوة محدودة — متابعة.</t>
        </is>
      </c>
      <c r="K55" s="11" t="inlineStr">
        <is>
          <t>متابعة أسبوعية لإغلاق الفجوة.</t>
        </is>
      </c>
      <c r="L55" s="15" t="inlineStr">
        <is>
          <t>الرئيس التنفيذي</t>
        </is>
      </c>
      <c r="M55" s="51" t="n"/>
    </row>
    <row r="56">
      <c r="A56" s="15" t="n">
        <v>54</v>
      </c>
      <c r="B56" s="13" t="inlineStr">
        <is>
          <t>سلاسل الإمداد</t>
        </is>
      </c>
      <c r="C56" s="21" t="inlineStr">
        <is>
          <t>نسبة نقليات أسطول درب</t>
        </is>
      </c>
      <c r="D56" s="49" t="n">
        <v>0.293</v>
      </c>
      <c r="E56" s="49" t="n">
        <v>0.3</v>
      </c>
      <c r="F56" s="50" t="n">
        <v>0.9766666666666667</v>
      </c>
      <c r="G56" s="12" t="n">
        <v>0.02333333333333332</v>
      </c>
      <c r="H56" s="49" t="n">
        <v>0.293</v>
      </c>
      <c r="I56" s="15" t="inlineStr">
        <is>
          <t>🟡 قريب</t>
        </is>
      </c>
      <c r="J56" s="11" t="inlineStr">
        <is>
          <t>فجوة محدودة — متابعة.</t>
        </is>
      </c>
      <c r="K56" s="11" t="inlineStr">
        <is>
          <t>متابعة أسبوعية لإغلاق الفجوة.</t>
        </is>
      </c>
      <c r="L56" s="15" t="inlineStr">
        <is>
          <t>مدير سلاسل الإمداد</t>
        </is>
      </c>
      <c r="M56" s="51" t="n"/>
    </row>
    <row r="57">
      <c r="A57" s="15" t="n">
        <v>55</v>
      </c>
      <c r="B57" s="13" t="inlineStr">
        <is>
          <t>التشغيل والمحطات</t>
        </is>
      </c>
      <c r="C57" s="21" t="inlineStr">
        <is>
          <t>تطبيق المعيار الشامل في المحطات</t>
        </is>
      </c>
      <c r="D57" s="49" t="n">
        <v>0.787</v>
      </c>
      <c r="E57" s="49" t="n">
        <v>0.8</v>
      </c>
      <c r="F57" s="50" t="n">
        <v>0.98375</v>
      </c>
      <c r="G57" s="12" t="n">
        <v>0.01624999999999999</v>
      </c>
      <c r="H57" s="49" t="n">
        <v>0.787</v>
      </c>
      <c r="I57" s="15" t="inlineStr">
        <is>
          <t>🟡 قريب</t>
        </is>
      </c>
      <c r="J57" s="11" t="inlineStr">
        <is>
          <t>فجوة محدودة — متابعة.</t>
        </is>
      </c>
      <c r="K57" s="11" t="inlineStr">
        <is>
          <t>متابعة أسبوعية لإغلاق الفجوة.</t>
        </is>
      </c>
      <c r="L57" s="15" t="inlineStr">
        <is>
          <t>مدير التشغيل</t>
        </is>
      </c>
      <c r="M57" s="51" t="n"/>
    </row>
    <row r="58">
      <c r="A58" s="15" t="n">
        <v>56</v>
      </c>
      <c r="B58" s="13" t="inlineStr">
        <is>
          <t>التقنية الرقمية</t>
        </is>
      </c>
      <c r="C58" s="21" t="inlineStr">
        <is>
          <t>نسبة إنجاز مشاريع التحول الرقمي والمشاريع التقنية حسب الخطة</t>
        </is>
      </c>
      <c r="D58" s="49" t="n">
        <v>0.89</v>
      </c>
      <c r="E58" s="49" t="n">
        <v>0.9</v>
      </c>
      <c r="F58" s="50" t="n">
        <v>0.9888888888888889</v>
      </c>
      <c r="G58" s="12" t="n">
        <v>0.01111111111111107</v>
      </c>
      <c r="H58" s="49" t="n">
        <v>0.89</v>
      </c>
      <c r="I58" s="15" t="inlineStr">
        <is>
          <t>🟡 قريب</t>
        </is>
      </c>
      <c r="J58" s="11" t="inlineStr">
        <is>
          <t>فجوة محدودة — متابعة.</t>
        </is>
      </c>
      <c r="K58" s="11" t="inlineStr">
        <is>
          <t>متابعة أسبوعية لإغلاق الفجوة.</t>
        </is>
      </c>
      <c r="L58" s="15" t="inlineStr">
        <is>
          <t>مدير التقنية</t>
        </is>
      </c>
      <c r="M58" s="51" t="n"/>
    </row>
    <row r="59">
      <c r="A59" s="15" t="n">
        <v>57</v>
      </c>
      <c r="B59" s="13" t="inlineStr">
        <is>
          <t>الإدارة المالية</t>
        </is>
      </c>
      <c r="C59" s="21" t="inlineStr">
        <is>
          <t>انحراف الموازنة</t>
        </is>
      </c>
      <c r="D59" s="49" t="n">
        <v>0.101</v>
      </c>
      <c r="E59" s="49" t="n">
        <v>0.1</v>
      </c>
      <c r="F59" s="50" t="n">
        <v>0.9900990099009901</v>
      </c>
      <c r="G59" s="12" t="n">
        <v>0.00990099009900991</v>
      </c>
      <c r="H59" s="49" t="n">
        <v>0.101</v>
      </c>
      <c r="I59" s="15" t="inlineStr">
        <is>
          <t>🟡 قريب</t>
        </is>
      </c>
      <c r="J59" s="11" t="inlineStr">
        <is>
          <t>فجوة محدودة — متابعة.</t>
        </is>
      </c>
      <c r="K59" s="11" t="inlineStr">
        <is>
          <t>متابعة أسبوعية لإغلاق الفجوة.</t>
        </is>
      </c>
      <c r="L59" s="15" t="inlineStr">
        <is>
          <t>المدير المالي</t>
        </is>
      </c>
      <c r="M59" s="51" t="n"/>
    </row>
    <row r="60">
      <c r="A60" s="15" t="n">
        <v>58</v>
      </c>
      <c r="B60" s="13" t="inlineStr">
        <is>
          <t>الامتياز التجاري</t>
        </is>
      </c>
      <c r="C60" s="21" t="inlineStr">
        <is>
          <t>نسبة تطبيق المعيار الشامل داخل المحطات</t>
        </is>
      </c>
      <c r="D60" s="49" t="n">
        <v>0.299</v>
      </c>
      <c r="E60" s="49" t="n">
        <v>0.3</v>
      </c>
      <c r="F60" s="50" t="n">
        <v>0.9966666666666667</v>
      </c>
      <c r="G60" s="12" t="n">
        <v>0.003333333333333299</v>
      </c>
      <c r="H60" s="49" t="n">
        <v>0.299</v>
      </c>
      <c r="I60" s="15" t="inlineStr">
        <is>
          <t>🟡 قريب</t>
        </is>
      </c>
      <c r="J60" s="11" t="inlineStr">
        <is>
          <t>فجوة محدودة — متابعة.</t>
        </is>
      </c>
      <c r="K60" s="11" t="inlineStr">
        <is>
          <t>متابعة أسبوعية لإغلاق الفجوة.</t>
        </is>
      </c>
      <c r="L60" s="15" t="inlineStr">
        <is>
          <t>مدير الامتياز</t>
        </is>
      </c>
      <c r="M60" s="51" t="n"/>
    </row>
  </sheetData>
  <autoFilter ref="A2:M60"/>
  <mergeCells count="1">
    <mergeCell ref="A1: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X100"/>
  <sheetViews>
    <sheetView showGridLines="0" rightToLeft="1" workbookViewId="0">
      <pane xSplit="7" ySplit="3" topLeftCell="H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5" customWidth="1" min="2" max="2"/>
    <col width="38" customWidth="1" min="3" max="3"/>
    <col width="9" customWidth="1" min="4" max="4"/>
    <col width="9" customWidth="1" min="5" max="5"/>
    <col width="7" customWidth="1" min="6" max="6"/>
    <col width="11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13" customWidth="1" min="20" max="20"/>
    <col width="12" customWidth="1" min="21" max="21"/>
    <col width="13" customWidth="1" min="22" max="22"/>
    <col width="13" customWidth="1" min="23" max="23"/>
    <col width="14" customWidth="1" min="24" max="24"/>
  </cols>
  <sheetData>
    <row r="1" ht="24" customHeight="1">
      <c r="A1" s="48" t="inlineStr">
        <is>
          <t>التتبّع الشهري — أدخل رقم كل شهر · «المُحقَّق» ونسبة التحقيق والحالة والوتيرة تُحسب تلقائياً</t>
        </is>
      </c>
    </row>
    <row r="2" ht="18" customHeight="1">
      <c r="A2" s="52" t="inlineStr">
        <is>
          <t>🟩 خلايا الأشهر للإدخال · تراكمي=مجموع الأشهر · معدل=متوسط المُدخل · لقطة=آخر شهر · الوتيرة: 🟢 على المسار / 🟠 متأخّر مقابل المتوقّع</t>
        </is>
      </c>
    </row>
    <row r="3" ht="30" customHeight="1">
      <c r="A3" s="53" t="inlineStr">
        <is>
          <t>#</t>
        </is>
      </c>
      <c r="B3" s="53" t="inlineStr">
        <is>
          <t>الإدارة</t>
        </is>
      </c>
      <c r="C3" s="53" t="inlineStr">
        <is>
          <t>المؤشر</t>
        </is>
      </c>
      <c r="D3" s="53" t="inlineStr">
        <is>
          <t>الدورية</t>
        </is>
      </c>
      <c r="E3" s="53" t="inlineStr">
        <is>
          <t>التجميع</t>
        </is>
      </c>
      <c r="F3" s="53" t="inlineStr">
        <is>
          <t>القطبية</t>
        </is>
      </c>
      <c r="G3" s="53" t="inlineStr">
        <is>
          <t>المستهدف</t>
        </is>
      </c>
      <c r="H3" s="53" t="inlineStr">
        <is>
          <t>يناير</t>
        </is>
      </c>
      <c r="I3" s="53" t="inlineStr">
        <is>
          <t>فبراير</t>
        </is>
      </c>
      <c r="J3" s="53" t="inlineStr">
        <is>
          <t>مارس</t>
        </is>
      </c>
      <c r="K3" s="53" t="inlineStr">
        <is>
          <t>أبريل</t>
        </is>
      </c>
      <c r="L3" s="53" t="inlineStr">
        <is>
          <t>مايو</t>
        </is>
      </c>
      <c r="M3" s="53" t="inlineStr">
        <is>
          <t>يونيو</t>
        </is>
      </c>
      <c r="N3" s="53" t="inlineStr">
        <is>
          <t>يوليو</t>
        </is>
      </c>
      <c r="O3" s="53" t="inlineStr">
        <is>
          <t>أغسطس</t>
        </is>
      </c>
      <c r="P3" s="53" t="inlineStr">
        <is>
          <t>سبتمبر</t>
        </is>
      </c>
      <c r="Q3" s="53" t="inlineStr">
        <is>
          <t>أكتوبر</t>
        </is>
      </c>
      <c r="R3" s="53" t="inlineStr">
        <is>
          <t>نوفمبر</t>
        </is>
      </c>
      <c r="S3" s="53" t="inlineStr">
        <is>
          <t>ديسمبر</t>
        </is>
      </c>
      <c r="T3" s="53" t="inlineStr">
        <is>
          <t>المُحقَّق (تراكمي)</t>
        </is>
      </c>
      <c r="U3" s="53" t="inlineStr">
        <is>
          <t>نسبة التحقيق</t>
        </is>
      </c>
      <c r="V3" s="53" t="inlineStr">
        <is>
          <t>الحالة</t>
        </is>
      </c>
      <c r="W3" s="53" t="inlineStr">
        <is>
          <t>المتوقّع حتى الآن</t>
        </is>
      </c>
      <c r="X3" s="53" t="inlineStr">
        <is>
          <t>الوتيرة</t>
        </is>
      </c>
    </row>
    <row r="4" ht="22" customHeight="1">
      <c r="A4" s="54" t="n">
        <v>1</v>
      </c>
      <c r="B4" s="13" t="inlineStr">
        <is>
          <t>الإدارة التنفيذية</t>
        </is>
      </c>
      <c r="C4" s="11" t="inlineStr">
        <is>
          <t>إجمالي المحطات المشغّلة — الشركة (تراكمي)</t>
        </is>
      </c>
      <c r="D4" s="15" t="inlineStr">
        <is>
          <t>شهري</t>
        </is>
      </c>
      <c r="E4" s="15" t="inlineStr">
        <is>
          <t>لقطة</t>
        </is>
      </c>
      <c r="F4" s="49" t="inlineStr">
        <is>
          <t>↑</t>
        </is>
      </c>
      <c r="G4" s="55" t="n">
        <v>235</v>
      </c>
      <c r="H4" s="56" t="n"/>
      <c r="I4" s="56" t="n"/>
      <c r="J4" s="56" t="n"/>
      <c r="K4" s="56" t="n"/>
      <c r="L4" s="56" t="n"/>
      <c r="M4" s="56" t="n"/>
      <c r="N4" s="56" t="n"/>
      <c r="O4" s="56" t="n"/>
      <c r="P4" s="56" t="n"/>
      <c r="Q4" s="56" t="n"/>
      <c r="R4" s="56" t="n"/>
      <c r="S4" s="56" t="n"/>
      <c r="T4" s="57">
        <f>IFERROR(LOOKUP(2,1/($H4:$S4&lt;&gt;""),$H4:$S4),"")</f>
        <v/>
      </c>
      <c r="U4" s="50">
        <f>IF($G4="","",IF($T4="","",MIN(1,IF($G4=0,IF($T4&lt;=0,1,0),IF($F4="↓",IFERROR($G4/$T4,0),IFERROR($T4/$G4,0))))))</f>
        <v/>
      </c>
      <c r="V4" s="54">
        <f>IF($U4="","⏳ بانتظار هدف",IF($U4&gt;=1.0,"✅ محقق",IF($U4&gt;=0.85,"🟡 قريب","🔴 تحت الهدف")))</f>
        <v/>
      </c>
      <c r="W4" s="58">
        <f>IF($G4="","",$G4)</f>
        <v/>
      </c>
      <c r="X4" s="54">
        <f>IF($U4="","—",IF($U4&gt;=0.85,"🟢 على المسار","🟠 متأخّر"))</f>
        <v/>
      </c>
    </row>
    <row r="5" ht="22" customHeight="1">
      <c r="A5" s="54" t="n">
        <v>2</v>
      </c>
      <c r="B5" s="13" t="inlineStr">
        <is>
          <t>الإدارة التنفيذية</t>
        </is>
      </c>
      <c r="C5" s="11" t="inlineStr">
        <is>
          <t>إجمالي العقود الجديدة — الشركة</t>
        </is>
      </c>
      <c r="D5" s="15" t="inlineStr">
        <is>
          <t>شهري</t>
        </is>
      </c>
      <c r="E5" s="15" t="inlineStr">
        <is>
          <t>تراكمي</t>
        </is>
      </c>
      <c r="F5" s="49" t="inlineStr">
        <is>
          <t>↑</t>
        </is>
      </c>
      <c r="G5" s="55" t="n">
        <v>357</v>
      </c>
      <c r="H5" s="56" t="n"/>
      <c r="I5" s="56" t="n"/>
      <c r="J5" s="56" t="n"/>
      <c r="K5" s="56" t="n"/>
      <c r="L5" s="56" t="n"/>
      <c r="M5" s="56" t="n"/>
      <c r="N5" s="56" t="n"/>
      <c r="O5" s="56" t="n"/>
      <c r="P5" s="56" t="n"/>
      <c r="Q5" s="56" t="n"/>
      <c r="R5" s="56" t="n"/>
      <c r="S5" s="56" t="n"/>
      <c r="T5" s="57">
        <f>IF(COUNT($H5:$S5)=0,"",SUM($H5:$S5))</f>
        <v/>
      </c>
      <c r="U5" s="50">
        <f>IF($G5="","",IF($T5="","",MIN(1,IF($G5=0,IF($T5&lt;=0,1,0),IF($F5="↓",IFERROR($G5/$T5,0),IFERROR($T5/$G5,0))))))</f>
        <v/>
      </c>
      <c r="V5" s="54">
        <f>IF($U5="","⏳ بانتظار هدف",IF($U5&gt;=1.0,"✅ محقق",IF($U5&gt;=0.85,"🟡 قريب","🔴 تحت الهدف")))</f>
        <v/>
      </c>
      <c r="W5" s="58">
        <f>IF($G5="","",$G5*COUNT($H5:$S5)/12)</f>
        <v/>
      </c>
      <c r="X5" s="54">
        <f>IF($U5="","—",IF($U5&gt;=COUNT($H5:$S5)/12,"🟢 على المسار","🟠 متأخّر"))</f>
        <v/>
      </c>
    </row>
    <row r="6" ht="22" customHeight="1">
      <c r="A6" s="54" t="n">
        <v>3</v>
      </c>
      <c r="B6" s="13" t="inlineStr">
        <is>
          <t>الإدارة التنفيذية</t>
        </is>
      </c>
      <c r="C6" s="11" t="inlineStr">
        <is>
          <t>نسبة نمو إيرادات الشركة (سنوي)</t>
        </is>
      </c>
      <c r="D6" s="15" t="inlineStr">
        <is>
          <t>شهري</t>
        </is>
      </c>
      <c r="E6" s="15" t="inlineStr">
        <is>
          <t>معدل</t>
        </is>
      </c>
      <c r="F6" s="49" t="inlineStr">
        <is>
          <t>↑</t>
        </is>
      </c>
      <c r="G6" s="59" t="n">
        <v>0.15</v>
      </c>
      <c r="H6" s="60" t="n"/>
      <c r="I6" s="60" t="n"/>
      <c r="J6" s="60" t="n"/>
      <c r="K6" s="60" t="n"/>
      <c r="L6" s="60" t="n"/>
      <c r="M6" s="60" t="n"/>
      <c r="N6" s="60" t="n"/>
      <c r="O6" s="60" t="n"/>
      <c r="P6" s="60" t="n"/>
      <c r="Q6" s="60" t="n"/>
      <c r="R6" s="60" t="n"/>
      <c r="S6" s="60" t="n"/>
      <c r="T6" s="50">
        <f>IF(COUNT($H6:$S6)=0,"",SUM($H6:$S6)/COUNT($H6:$S6))</f>
        <v/>
      </c>
      <c r="U6" s="50">
        <f>IF($G6="","",IF($T6="","",MIN(1,IF($G6=0,IF($T6&lt;=0,1,0),IF($F6="↓",IFERROR($G6/$T6,0),IFERROR($T6/$G6,0))))))</f>
        <v/>
      </c>
      <c r="V6" s="54">
        <f>IF($U6="","⏳ بانتظار هدف",IF($U6&gt;=1.0,"✅ محقق",IF($U6&gt;=0.85,"🟡 قريب","🔴 تحت الهدف")))</f>
        <v/>
      </c>
      <c r="W6" s="61">
        <f>IF($G6="","",$G6)</f>
        <v/>
      </c>
      <c r="X6" s="54">
        <f>IF($U6="","—",IF($U6&gt;=0.85,"🟢 على المسار","🟠 متأخّر"))</f>
        <v/>
      </c>
    </row>
    <row r="7" ht="22" customHeight="1">
      <c r="A7" s="54" t="n">
        <v>4</v>
      </c>
      <c r="B7" s="13" t="inlineStr">
        <is>
          <t>الإدارة التنفيذية</t>
        </is>
      </c>
      <c r="C7" s="11" t="inlineStr">
        <is>
          <t>نسبة إنجاز مشاريع الخارطة التنفيذية</t>
        </is>
      </c>
      <c r="D7" s="15" t="inlineStr">
        <is>
          <t>شهري</t>
        </is>
      </c>
      <c r="E7" s="15" t="inlineStr">
        <is>
          <t>لقطة</t>
        </is>
      </c>
      <c r="F7" s="49" t="inlineStr">
        <is>
          <t>↑</t>
        </is>
      </c>
      <c r="G7" s="59" t="n">
        <v>1</v>
      </c>
      <c r="H7" s="60" t="n"/>
      <c r="I7" s="60" t="n"/>
      <c r="J7" s="60" t="n"/>
      <c r="K7" s="60" t="n"/>
      <c r="L7" s="60" t="n"/>
      <c r="M7" s="60" t="n"/>
      <c r="N7" s="60" t="n"/>
      <c r="O7" s="60" t="n"/>
      <c r="P7" s="60" t="n"/>
      <c r="Q7" s="60" t="n"/>
      <c r="R7" s="60" t="n"/>
      <c r="S7" s="60" t="n"/>
      <c r="T7" s="50">
        <f>IFERROR(LOOKUP(2,1/($H7:$S7&lt;&gt;""),$H7:$S7),"")</f>
        <v/>
      </c>
      <c r="U7" s="50">
        <f>IF($G7="","",IF($T7="","",MIN(1,IF($G7=0,IF($T7&lt;=0,1,0),IF($F7="↓",IFERROR($G7/$T7,0),IFERROR($T7/$G7,0))))))</f>
        <v/>
      </c>
      <c r="V7" s="54">
        <f>IF($U7="","⏳ بانتظار هدف",IF($U7&gt;=1.0,"✅ محقق",IF($U7&gt;=0.85,"🟡 قريب","🔴 تحت الهدف")))</f>
        <v/>
      </c>
      <c r="W7" s="61">
        <f>IF($G7="","",$G7)</f>
        <v/>
      </c>
      <c r="X7" s="54">
        <f>IF($U7="","—",IF($U7&gt;=0.85,"🟢 على المسار","🟠 متأخّر"))</f>
        <v/>
      </c>
    </row>
    <row r="8" ht="22" customHeight="1">
      <c r="A8" s="54" t="n">
        <v>5</v>
      </c>
      <c r="B8" s="13" t="inlineStr">
        <is>
          <t>الإدارة التنفيذية</t>
        </is>
      </c>
      <c r="C8" s="11" t="inlineStr">
        <is>
          <t>نسبة التحول الرقمي على مستوى الشركة</t>
        </is>
      </c>
      <c r="D8" s="15" t="inlineStr">
        <is>
          <t>شهري</t>
        </is>
      </c>
      <c r="E8" s="15" t="inlineStr">
        <is>
          <t>لقطة</t>
        </is>
      </c>
      <c r="F8" s="49" t="inlineStr">
        <is>
          <t>↑</t>
        </is>
      </c>
      <c r="G8" s="59" t="n">
        <v>0.9</v>
      </c>
      <c r="H8" s="60" t="n"/>
      <c r="I8" s="60" t="n"/>
      <c r="J8" s="60" t="n"/>
      <c r="K8" s="60" t="n"/>
      <c r="L8" s="60" t="n"/>
      <c r="M8" s="60" t="n"/>
      <c r="N8" s="60" t="n"/>
      <c r="O8" s="60" t="n"/>
      <c r="P8" s="60" t="n"/>
      <c r="Q8" s="60" t="n"/>
      <c r="R8" s="60" t="n"/>
      <c r="S8" s="60" t="n"/>
      <c r="T8" s="50">
        <f>IFERROR(LOOKUP(2,1/($H8:$S8&lt;&gt;""),$H8:$S8),"")</f>
        <v/>
      </c>
      <c r="U8" s="50">
        <f>IF($G8="","",IF($T8="","",MIN(1,IF($G8=0,IF($T8&lt;=0,1,0),IF($F8="↓",IFERROR($G8/$T8,0),IFERROR($T8/$G8,0))))))</f>
        <v/>
      </c>
      <c r="V8" s="54">
        <f>IF($U8="","⏳ بانتظار هدف",IF($U8&gt;=1.0,"✅ محقق",IF($U8&gt;=0.85,"🟡 قريب","🔴 تحت الهدف")))</f>
        <v/>
      </c>
      <c r="W8" s="61">
        <f>IF($G8="","",$G8)</f>
        <v/>
      </c>
      <c r="X8" s="54">
        <f>IF($U8="","—",IF($U8&gt;=0.85,"🟢 على المسار","🟠 متأخّر"))</f>
        <v/>
      </c>
    </row>
    <row r="9" ht="22" customHeight="1">
      <c r="A9" s="54" t="n">
        <v>6</v>
      </c>
      <c r="B9" s="13" t="inlineStr">
        <is>
          <t>الإدارة التنفيذية</t>
        </is>
      </c>
      <c r="C9" s="11" t="inlineStr">
        <is>
          <t>مؤشر رضا العملاء العام (الشركة)</t>
        </is>
      </c>
      <c r="D9" s="15" t="inlineStr">
        <is>
          <t>ربعي</t>
        </is>
      </c>
      <c r="E9" s="15" t="inlineStr">
        <is>
          <t>معدل</t>
        </is>
      </c>
      <c r="F9" s="49" t="inlineStr">
        <is>
          <t>↑</t>
        </is>
      </c>
      <c r="G9" s="59" t="n">
        <v>0.9</v>
      </c>
      <c r="H9" s="60" t="n"/>
      <c r="I9" s="60" t="n"/>
      <c r="J9" s="60" t="n"/>
      <c r="K9" s="60" t="n"/>
      <c r="L9" s="60" t="n"/>
      <c r="M9" s="60" t="n"/>
      <c r="N9" s="60" t="n"/>
      <c r="O9" s="60" t="n"/>
      <c r="P9" s="60" t="n"/>
      <c r="Q9" s="60" t="n"/>
      <c r="R9" s="60" t="n"/>
      <c r="S9" s="60" t="n"/>
      <c r="T9" s="50">
        <f>IF(COUNT($H9:$S9)=0,"",SUM($H9:$S9)/COUNT($H9:$S9))</f>
        <v/>
      </c>
      <c r="U9" s="50">
        <f>IF($G9="","",IF($T9="","",MIN(1,IF($G9=0,IF($T9&lt;=0,1,0),IF($F9="↓",IFERROR($G9/$T9,0),IFERROR($T9/$G9,0))))))</f>
        <v/>
      </c>
      <c r="V9" s="54">
        <f>IF($U9="","⏳ بانتظار هدف",IF($U9&gt;=0.9,"✅ محقق",IF($U9&gt;=0.75,"🟡 قريب","🔴 تحت الهدف")))</f>
        <v/>
      </c>
      <c r="W9" s="61">
        <f>IF($G9="","",$G9)</f>
        <v/>
      </c>
      <c r="X9" s="54">
        <f>IF($U9="","—",IF($U9&gt;=0.75,"🟢 على المسار","🟠 متأخّر"))</f>
        <v/>
      </c>
    </row>
    <row r="10" ht="22" customHeight="1">
      <c r="A10" s="54" t="n">
        <v>7</v>
      </c>
      <c r="B10" s="13" t="inlineStr">
        <is>
          <t>الإدارة التنفيذية</t>
        </is>
      </c>
      <c r="C10" s="11" t="inlineStr">
        <is>
          <t>مؤشر رضا الموظفين العام (eNPS)</t>
        </is>
      </c>
      <c r="D10" s="15" t="inlineStr">
        <is>
          <t>ربعي</t>
        </is>
      </c>
      <c r="E10" s="15" t="inlineStr">
        <is>
          <t>معدل</t>
        </is>
      </c>
      <c r="F10" s="49" t="inlineStr">
        <is>
          <t>↑</t>
        </is>
      </c>
      <c r="G10" s="62" t="n">
        <v>30</v>
      </c>
      <c r="H10" s="63" t="n"/>
      <c r="I10" s="63" t="n"/>
      <c r="J10" s="63" t="n"/>
      <c r="K10" s="63" t="n"/>
      <c r="L10" s="63" t="n"/>
      <c r="M10" s="63" t="n"/>
      <c r="N10" s="63" t="n"/>
      <c r="O10" s="63" t="n"/>
      <c r="P10" s="63" t="n"/>
      <c r="Q10" s="63" t="n"/>
      <c r="R10" s="63" t="n"/>
      <c r="S10" s="63" t="n"/>
      <c r="T10" s="64">
        <f>IF(COUNT($H10:$S10)=0,"",SUM($H10:$S10)/COUNT($H10:$S10))</f>
        <v/>
      </c>
      <c r="U10" s="50">
        <f>IF($G10="","",IF($T10="","",MIN(1,IF($G10=0,IF($T10&lt;=0,1,0),IF($F10="↓",IFERROR($G10/$T10,0),IFERROR($T10/$G10,0))))))</f>
        <v/>
      </c>
      <c r="V10" s="54">
        <f>IF($U10="","⏳ بانتظار هدف",IF($U10&gt;=0.9,"✅ محقق",IF($U10&gt;=0.75,"🟡 قريب","🔴 تحت الهدف")))</f>
        <v/>
      </c>
      <c r="W10" s="65">
        <f>IF($G10="","",$G10)</f>
        <v/>
      </c>
      <c r="X10" s="54">
        <f>IF($U10="","—",IF($U10&gt;=0.75,"🟢 على المسار","🟠 متأخّر"))</f>
        <v/>
      </c>
    </row>
    <row r="11" ht="22" customHeight="1">
      <c r="A11" s="54" t="n">
        <v>8</v>
      </c>
      <c r="B11" s="13" t="inlineStr">
        <is>
          <t>الإدارة التنفيذية</t>
        </is>
      </c>
      <c r="C11" s="11" t="inlineStr">
        <is>
          <t>نسبة تحقيق المستهدفات الاستراتيجية العامة</t>
        </is>
      </c>
      <c r="D11" s="15" t="inlineStr">
        <is>
          <t>شهري</t>
        </is>
      </c>
      <c r="E11" s="15" t="inlineStr">
        <is>
          <t>معدل</t>
        </is>
      </c>
      <c r="F11" s="49" t="inlineStr">
        <is>
          <t>↑</t>
        </is>
      </c>
      <c r="G11" s="59" t="n">
        <v>1</v>
      </c>
      <c r="H11" s="60" t="n"/>
      <c r="I11" s="60" t="n"/>
      <c r="J11" s="60" t="n"/>
      <c r="K11" s="60" t="n"/>
      <c r="L11" s="60" t="n"/>
      <c r="M11" s="60" t="n"/>
      <c r="N11" s="60" t="n"/>
      <c r="O11" s="60" t="n"/>
      <c r="P11" s="60" t="n"/>
      <c r="Q11" s="60" t="n"/>
      <c r="R11" s="60" t="n"/>
      <c r="S11" s="60" t="n"/>
      <c r="T11" s="50">
        <f>IF(COUNT($H11:$S11)=0,"",SUM($H11:$S11)/COUNT($H11:$S11))</f>
        <v/>
      </c>
      <c r="U11" s="50">
        <f>IF($G11="","",IF($T11="","",MIN(1,IF($G11=0,IF($T11&lt;=0,1,0),IF($F11="↓",IFERROR($G11/$T11,0),IFERROR($T11/$G11,0))))))</f>
        <v/>
      </c>
      <c r="V11" s="54">
        <f>IF($U11="","⏳ بانتظار هدف",IF($U11&gt;=1.0,"✅ محقق",IF($U11&gt;=0.85,"🟡 قريب","🔴 تحت الهدف")))</f>
        <v/>
      </c>
      <c r="W11" s="61">
        <f>IF($G11="","",$G11)</f>
        <v/>
      </c>
      <c r="X11" s="54">
        <f>IF($U11="","—",IF($U11&gt;=0.85,"🟢 على المسار","🟠 متأخّر"))</f>
        <v/>
      </c>
    </row>
    <row r="12" ht="22" customHeight="1">
      <c r="A12" s="54" t="n">
        <v>9</v>
      </c>
      <c r="B12" s="13" t="inlineStr">
        <is>
          <t>الإدارة التنفيذية</t>
        </is>
      </c>
      <c r="C12" s="11" t="inlineStr">
        <is>
          <t>نسبة الالتزام بإطار الحوكمة المؤسسية والامتثال التنظيمي</t>
        </is>
      </c>
      <c r="D12" s="15" t="inlineStr">
        <is>
          <t>شهري</t>
        </is>
      </c>
      <c r="E12" s="15" t="inlineStr">
        <is>
          <t>معدل</t>
        </is>
      </c>
      <c r="F12" s="49" t="inlineStr">
        <is>
          <t>↑</t>
        </is>
      </c>
      <c r="G12" s="59" t="n">
        <v>0.95</v>
      </c>
      <c r="H12" s="60" t="n"/>
      <c r="I12" s="60" t="n"/>
      <c r="J12" s="60" t="n"/>
      <c r="K12" s="60" t="n"/>
      <c r="L12" s="60" t="n"/>
      <c r="M12" s="60" t="n"/>
      <c r="N12" s="60" t="n"/>
      <c r="O12" s="60" t="n"/>
      <c r="P12" s="60" t="n"/>
      <c r="Q12" s="60" t="n"/>
      <c r="R12" s="60" t="n"/>
      <c r="S12" s="60" t="n"/>
      <c r="T12" s="50">
        <f>IF(COUNT($H12:$S12)=0,"",SUM($H12:$S12)/COUNT($H12:$S12))</f>
        <v/>
      </c>
      <c r="U12" s="50">
        <f>IF($G12="","",IF($T12="","",MIN(1,IF($G12=0,IF($T12&lt;=0,1,0),IF($F12="↓",IFERROR($G12/$T12,0),IFERROR($T12/$G12,0))))))</f>
        <v/>
      </c>
      <c r="V12" s="54">
        <f>IF($U12="","⏳ بانتظار هدف",IF($U12&gt;=1.0,"✅ محقق",IF($U12&gt;=0.97,"🟡 قريب","🔴 تحت الهدف")))</f>
        <v/>
      </c>
      <c r="W12" s="61">
        <f>IF($G12="","",$G12)</f>
        <v/>
      </c>
      <c r="X12" s="54">
        <f>IF($U12="","—",IF($U12&gt;=0.97,"🟢 على المسار","🟠 متأخّر"))</f>
        <v/>
      </c>
    </row>
    <row r="13" ht="22" customHeight="1">
      <c r="A13" s="54" t="n">
        <v>10</v>
      </c>
      <c r="B13" s="13" t="inlineStr">
        <is>
          <t>الإدارة التنفيذية</t>
        </is>
      </c>
      <c r="C13" s="11" t="inlineStr">
        <is>
          <t>الالتزام بمعايير وزارة الطاقة (تغطية 13 منطقة)</t>
        </is>
      </c>
      <c r="D13" s="15" t="inlineStr">
        <is>
          <t>شهري</t>
        </is>
      </c>
      <c r="E13" s="15" t="inlineStr">
        <is>
          <t>لقطة</t>
        </is>
      </c>
      <c r="F13" s="49" t="inlineStr">
        <is>
          <t>↑</t>
        </is>
      </c>
      <c r="G13" s="59" t="n">
        <v>1</v>
      </c>
      <c r="H13" s="60" t="n"/>
      <c r="I13" s="60" t="n"/>
      <c r="J13" s="60" t="n"/>
      <c r="K13" s="60" t="n"/>
      <c r="L13" s="60" t="n"/>
      <c r="M13" s="60" t="n"/>
      <c r="N13" s="60" t="n"/>
      <c r="O13" s="60" t="n"/>
      <c r="P13" s="60" t="n"/>
      <c r="Q13" s="60" t="n"/>
      <c r="R13" s="60" t="n"/>
      <c r="S13" s="60" t="n"/>
      <c r="T13" s="50">
        <f>IFERROR(LOOKUP(2,1/($H13:$S13&lt;&gt;""),$H13:$S13),"")</f>
        <v/>
      </c>
      <c r="U13" s="50">
        <f>IF($G13="","",IF($T13="","",MIN(1,IF($G13=0,IF($T13&lt;=0,1,0),IF($F13="↓",IFERROR($G13/$T13,0),IFERROR($T13/$G13,0))))))</f>
        <v/>
      </c>
      <c r="V13" s="54">
        <f>IF($U13="","⏳ بانتظار هدف",IF($U13&gt;=1.0,"✅ محقق",IF($U13&gt;=0.85,"🟡 قريب","🔴 تحت الهدف")))</f>
        <v/>
      </c>
      <c r="W13" s="61">
        <f>IF($G13="","",$G13)</f>
        <v/>
      </c>
      <c r="X13" s="54">
        <f>IF($U13="","—",IF($U13&gt;=0.85,"🟢 على المسار","🟠 متأخّر"))</f>
        <v/>
      </c>
    </row>
    <row r="14" ht="22" customHeight="1">
      <c r="A14" s="54" t="n">
        <v>11</v>
      </c>
      <c r="B14" s="13" t="inlineStr">
        <is>
          <t>الامتياز التجاري</t>
        </is>
      </c>
      <c r="C14" s="11" t="inlineStr">
        <is>
          <t>عدد محطات الامتياز المشغّلة (تراكمي)</t>
        </is>
      </c>
      <c r="D14" s="15" t="inlineStr">
        <is>
          <t>شهري</t>
        </is>
      </c>
      <c r="E14" s="15" t="inlineStr">
        <is>
          <t>لقطة</t>
        </is>
      </c>
      <c r="F14" s="49" t="inlineStr">
        <is>
          <t>↑</t>
        </is>
      </c>
      <c r="G14" s="55" t="n">
        <v>150</v>
      </c>
      <c r="H14" s="56" t="n"/>
      <c r="I14" s="56" t="n"/>
      <c r="J14" s="56" t="n"/>
      <c r="K14" s="56" t="n"/>
      <c r="L14" s="56" t="n"/>
      <c r="M14" s="56" t="n"/>
      <c r="N14" s="56" t="n"/>
      <c r="O14" s="56" t="n"/>
      <c r="P14" s="56" t="n"/>
      <c r="Q14" s="56" t="n"/>
      <c r="R14" s="56" t="n"/>
      <c r="S14" s="56" t="n"/>
      <c r="T14" s="57">
        <f>IFERROR(LOOKUP(2,1/($H14:$S14&lt;&gt;""),$H14:$S14),"")</f>
        <v/>
      </c>
      <c r="U14" s="50">
        <f>IF($G14="","",IF($T14="","",MIN(1,IF($G14=0,IF($T14&lt;=0,1,0),IF($F14="↓",IFERROR($G14/$T14,0),IFERROR($T14/$G14,0))))))</f>
        <v/>
      </c>
      <c r="V14" s="54">
        <f>IF($U14="","⏳ بانتظار هدف",IF($U14&gt;=1.0,"✅ محقق",IF($U14&gt;=0.85,"🟡 قريب","🔴 تحت الهدف")))</f>
        <v/>
      </c>
      <c r="W14" s="58">
        <f>IF($G14="","",$G14)</f>
        <v/>
      </c>
      <c r="X14" s="54">
        <f>IF($U14="","—",IF($U14&gt;=0.85,"🟢 على المسار","🟠 متأخّر"))</f>
        <v/>
      </c>
    </row>
    <row r="15" ht="22" customHeight="1">
      <c r="A15" s="54" t="n">
        <v>12</v>
      </c>
      <c r="B15" s="13" t="inlineStr">
        <is>
          <t>الامتياز التجاري</t>
        </is>
      </c>
      <c r="C15" s="11" t="inlineStr">
        <is>
          <t>عدد عقود الامتياز الجديدة الموقّعة</t>
        </is>
      </c>
      <c r="D15" s="15" t="inlineStr">
        <is>
          <t>شهري</t>
        </is>
      </c>
      <c r="E15" s="15" t="inlineStr">
        <is>
          <t>تراكمي</t>
        </is>
      </c>
      <c r="F15" s="49" t="inlineStr">
        <is>
          <t>↑</t>
        </is>
      </c>
      <c r="G15" s="55" t="n">
        <v>167</v>
      </c>
      <c r="H15" s="56" t="n"/>
      <c r="I15" s="56" t="n"/>
      <c r="J15" s="56" t="n"/>
      <c r="K15" s="56" t="n"/>
      <c r="L15" s="56" t="n"/>
      <c r="M15" s="56" t="n"/>
      <c r="N15" s="56" t="n"/>
      <c r="O15" s="56" t="n"/>
      <c r="P15" s="56" t="n"/>
      <c r="Q15" s="56" t="n"/>
      <c r="R15" s="56" t="n"/>
      <c r="S15" s="56" t="n"/>
      <c r="T15" s="57">
        <f>IF(COUNT($H15:$S15)=0,"",SUM($H15:$S15))</f>
        <v/>
      </c>
      <c r="U15" s="50">
        <f>IF($G15="","",IF($T15="","",MIN(1,IF($G15=0,IF($T15&lt;=0,1,0),IF($F15="↓",IFERROR($G15/$T15,0),IFERROR($T15/$G15,0))))))</f>
        <v/>
      </c>
      <c r="V15" s="54">
        <f>IF($U15="","⏳ بانتظار هدف",IF($U15&gt;=1.0,"✅ محقق",IF($U15&gt;=0.85,"🟡 قريب","🔴 تحت الهدف")))</f>
        <v/>
      </c>
      <c r="W15" s="58">
        <f>IF($G15="","",$G15*COUNT($H15:$S15)/12)</f>
        <v/>
      </c>
      <c r="X15" s="54">
        <f>IF($U15="","—",IF($U15&gt;=COUNT($H15:$S15)/12,"🟢 على المسار","🟠 متأخّر"))</f>
        <v/>
      </c>
    </row>
    <row r="16" ht="22" customHeight="1">
      <c r="A16" s="54" t="n">
        <v>13</v>
      </c>
      <c r="B16" s="13" t="inlineStr">
        <is>
          <t>الامتياز التجاري</t>
        </is>
      </c>
      <c r="C16" s="11" t="inlineStr">
        <is>
          <t>إجمالي مبيعات وقود محطات الامتياز</t>
        </is>
      </c>
      <c r="D16" s="15" t="inlineStr">
        <is>
          <t>شهري</t>
        </is>
      </c>
      <c r="E16" s="15" t="inlineStr">
        <is>
          <t>تراكمي</t>
        </is>
      </c>
      <c r="F16" s="49" t="inlineStr">
        <is>
          <t>↑</t>
        </is>
      </c>
      <c r="G16" s="55" t="n">
        <v>718838077</v>
      </c>
      <c r="H16" s="56" t="n"/>
      <c r="I16" s="56" t="n"/>
      <c r="J16" s="56" t="n"/>
      <c r="K16" s="56" t="n"/>
      <c r="L16" s="56" t="n"/>
      <c r="M16" s="56" t="n"/>
      <c r="N16" s="56" t="n"/>
      <c r="O16" s="56" t="n"/>
      <c r="P16" s="56" t="n"/>
      <c r="Q16" s="56" t="n"/>
      <c r="R16" s="56" t="n"/>
      <c r="S16" s="56" t="n"/>
      <c r="T16" s="57">
        <f>IF(COUNT($H16:$S16)=0,"",SUM($H16:$S16))</f>
        <v/>
      </c>
      <c r="U16" s="50">
        <f>IF($G16="","",IF($T16="","",MIN(1,IF($G16=0,IF($T16&lt;=0,1,0),IF($F16="↓",IFERROR($G16/$T16,0),IFERROR($T16/$G16,0))))))</f>
        <v/>
      </c>
      <c r="V16" s="54">
        <f>IF($U16="","⏳ بانتظار هدف",IF($U16&gt;=1.0,"✅ محقق",IF($U16&gt;=0.85,"🟡 قريب","🔴 تحت الهدف")))</f>
        <v/>
      </c>
      <c r="W16" s="58">
        <f>IF($G16="","",$G16*COUNT($H16:$S16)/12)</f>
        <v/>
      </c>
      <c r="X16" s="54">
        <f>IF($U16="","—",IF($U16&gt;=COUNT($H16:$S16)/12,"🟢 على المسار","🟠 متأخّر"))</f>
        <v/>
      </c>
    </row>
    <row r="17" ht="22" customHeight="1">
      <c r="A17" s="54" t="n">
        <v>14</v>
      </c>
      <c r="B17" s="13" t="inlineStr">
        <is>
          <t>الامتياز التجاري</t>
        </is>
      </c>
      <c r="C17" s="11" t="inlineStr">
        <is>
          <t>نسبة تأجير وحدات الامتياز</t>
        </is>
      </c>
      <c r="D17" s="15" t="inlineStr">
        <is>
          <t>شهري</t>
        </is>
      </c>
      <c r="E17" s="15" t="inlineStr">
        <is>
          <t>معدل</t>
        </is>
      </c>
      <c r="F17" s="49" t="inlineStr">
        <is>
          <t>↑</t>
        </is>
      </c>
      <c r="G17" s="59" t="n">
        <v>0.7</v>
      </c>
      <c r="H17" s="60" t="n"/>
      <c r="I17" s="60" t="n"/>
      <c r="J17" s="60" t="n"/>
      <c r="K17" s="60" t="n"/>
      <c r="L17" s="60" t="n"/>
      <c r="M17" s="60" t="n"/>
      <c r="N17" s="60" t="n"/>
      <c r="O17" s="60" t="n"/>
      <c r="P17" s="60" t="n"/>
      <c r="Q17" s="60" t="n"/>
      <c r="R17" s="60" t="n"/>
      <c r="S17" s="60" t="n"/>
      <c r="T17" s="50">
        <f>IF(COUNT($H17:$S17)=0,"",SUM($H17:$S17)/COUNT($H17:$S17))</f>
        <v/>
      </c>
      <c r="U17" s="50">
        <f>IF($G17="","",IF($T17="","",MIN(1,IF($G17=0,IF($T17&lt;=0,1,0),IF($F17="↓",IFERROR($G17/$T17,0),IFERROR($T17/$G17,0))))))</f>
        <v/>
      </c>
      <c r="V17" s="54">
        <f>IF($U17="","⏳ بانتظار هدف",IF($U17&gt;=1.0,"✅ محقق",IF($U17&gt;=0.85,"🟡 قريب","🔴 تحت الهدف")))</f>
        <v/>
      </c>
      <c r="W17" s="61">
        <f>IF($G17="","",$G17)</f>
        <v/>
      </c>
      <c r="X17" s="54">
        <f>IF($U17="","—",IF($U17&gt;=0.85,"🟢 على المسار","🟠 متأخّر"))</f>
        <v/>
      </c>
    </row>
    <row r="18" ht="22" customHeight="1">
      <c r="A18" s="54" t="n">
        <v>15</v>
      </c>
      <c r="B18" s="13" t="inlineStr">
        <is>
          <t>الامتياز التجاري</t>
        </is>
      </c>
      <c r="C18" s="11" t="inlineStr">
        <is>
          <t>إجمالي إيرادات إدارة الامتياز</t>
        </is>
      </c>
      <c r="D18" s="15" t="inlineStr">
        <is>
          <t>شهري</t>
        </is>
      </c>
      <c r="E18" s="15" t="inlineStr">
        <is>
          <t>تراكمي</t>
        </is>
      </c>
      <c r="F18" s="49" t="inlineStr">
        <is>
          <t>↑</t>
        </is>
      </c>
      <c r="G18" s="49" t="n"/>
      <c r="H18" s="66" t="n"/>
      <c r="I18" s="66" t="n"/>
      <c r="J18" s="66" t="n"/>
      <c r="K18" s="66" t="n"/>
      <c r="L18" s="66" t="n"/>
      <c r="M18" s="66" t="n"/>
      <c r="N18" s="66" t="n"/>
      <c r="O18" s="66" t="n"/>
      <c r="P18" s="66" t="n"/>
      <c r="Q18" s="66" t="n"/>
      <c r="R18" s="66" t="n"/>
      <c r="S18" s="66" t="n"/>
      <c r="T18" s="67">
        <f>IF(COUNT($H18:$S18)=0,"",SUM($H18:$S18))</f>
        <v/>
      </c>
      <c r="U18" s="50">
        <f>IF($G18="","",IF($T18="","",MIN(1,IF($G18=0,IF($T18&lt;=0,1,0),IF($F18="↓",IFERROR($G18/$T18,0),IFERROR($T18/$G18,0))))))</f>
        <v/>
      </c>
      <c r="V18" s="54">
        <f>IF($U18="","⏳ بانتظار هدف",IF($U18&gt;=1.0,"✅ محقق",IF($U18&gt;=0.85,"🟡 قريب","🔴 تحت الهدف")))</f>
        <v/>
      </c>
      <c r="W18" s="68">
        <f>IF($G18="","",$G18*COUNT($H18:$S18)/12)</f>
        <v/>
      </c>
      <c r="X18" s="54">
        <f>IF($U18="","—",IF($U18&gt;=COUNT($H18:$S18)/12,"🟢 على المسار","🟠 متأخّر"))</f>
        <v/>
      </c>
    </row>
    <row r="19" ht="22" customHeight="1">
      <c r="A19" s="54" t="n">
        <v>16</v>
      </c>
      <c r="B19" s="13" t="inlineStr">
        <is>
          <t>الامتياز التجاري</t>
        </is>
      </c>
      <c r="C19" s="11" t="inlineStr">
        <is>
          <t>رفع هامش الربحية للامتياز</t>
        </is>
      </c>
      <c r="D19" s="15" t="inlineStr">
        <is>
          <t>شهري</t>
        </is>
      </c>
      <c r="E19" s="15" t="inlineStr">
        <is>
          <t>معدل</t>
        </is>
      </c>
      <c r="F19" s="49" t="inlineStr">
        <is>
          <t>↑</t>
        </is>
      </c>
      <c r="G19" s="62" t="n">
        <v>1.8</v>
      </c>
      <c r="H19" s="63" t="n"/>
      <c r="I19" s="63" t="n"/>
      <c r="J19" s="63" t="n"/>
      <c r="K19" s="63" t="n"/>
      <c r="L19" s="63" t="n"/>
      <c r="M19" s="63" t="n"/>
      <c r="N19" s="63" t="n"/>
      <c r="O19" s="63" t="n"/>
      <c r="P19" s="63" t="n"/>
      <c r="Q19" s="63" t="n"/>
      <c r="R19" s="63" t="n"/>
      <c r="S19" s="63" t="n"/>
      <c r="T19" s="64">
        <f>IF(COUNT($H19:$S19)=0,"",SUM($H19:$S19)/COUNT($H19:$S19))</f>
        <v/>
      </c>
      <c r="U19" s="50">
        <f>IF($G19="","",IF($T19="","",MIN(1,IF($G19=0,IF($T19&lt;=0,1,0),IF($F19="↓",IFERROR($G19/$T19,0),IFERROR($T19/$G19,0))))))</f>
        <v/>
      </c>
      <c r="V19" s="54">
        <f>IF($U19="","⏳ بانتظار هدف",IF($U19&gt;=1.0,"✅ محقق",IF($U19&gt;=0.85,"🟡 قريب","🔴 تحت الهدف")))</f>
        <v/>
      </c>
      <c r="W19" s="65">
        <f>IF($G19="","",$G19)</f>
        <v/>
      </c>
      <c r="X19" s="54">
        <f>IF($U19="","—",IF($U19&gt;=0.85,"🟢 على المسار","🟠 متأخّر"))</f>
        <v/>
      </c>
    </row>
    <row r="20" ht="22" customHeight="1">
      <c r="A20" s="54" t="n">
        <v>17</v>
      </c>
      <c r="B20" s="13" t="inlineStr">
        <is>
          <t>الامتياز التجاري</t>
        </is>
      </c>
      <c r="C20" s="11" t="inlineStr">
        <is>
          <t>نسبة التحصيل المالي من شركاء الامتياز</t>
        </is>
      </c>
      <c r="D20" s="15" t="inlineStr">
        <is>
          <t>شهري</t>
        </is>
      </c>
      <c r="E20" s="15" t="inlineStr">
        <is>
          <t>معدل</t>
        </is>
      </c>
      <c r="F20" s="49" t="inlineStr">
        <is>
          <t>↑</t>
        </is>
      </c>
      <c r="G20" s="59" t="n">
        <v>0.95</v>
      </c>
      <c r="H20" s="60" t="n"/>
      <c r="I20" s="60" t="n"/>
      <c r="J20" s="60" t="n"/>
      <c r="K20" s="60" t="n"/>
      <c r="L20" s="60" t="n"/>
      <c r="M20" s="60" t="n"/>
      <c r="N20" s="60" t="n"/>
      <c r="O20" s="60" t="n"/>
      <c r="P20" s="60" t="n"/>
      <c r="Q20" s="60" t="n"/>
      <c r="R20" s="60" t="n"/>
      <c r="S20" s="60" t="n"/>
      <c r="T20" s="50">
        <f>IF(COUNT($H20:$S20)=0,"",SUM($H20:$S20)/COUNT($H20:$S20))</f>
        <v/>
      </c>
      <c r="U20" s="50">
        <f>IF($G20="","",IF($T20="","",MIN(1,IF($G20=0,IF($T20&lt;=0,1,0),IF($F20="↓",IFERROR($G20/$T20,0),IFERROR($T20/$G20,0))))))</f>
        <v/>
      </c>
      <c r="V20" s="54">
        <f>IF($U20="","⏳ بانتظار هدف",IF($U20&gt;=1.0,"✅ محقق",IF($U20&gt;=0.85,"🟡 قريب","🔴 تحت الهدف")))</f>
        <v/>
      </c>
      <c r="W20" s="61">
        <f>IF($G20="","",$G20)</f>
        <v/>
      </c>
      <c r="X20" s="54">
        <f>IF($U20="","—",IF($U20&gt;=0.85,"🟢 على المسار","🟠 متأخّر"))</f>
        <v/>
      </c>
    </row>
    <row r="21" ht="22" customHeight="1">
      <c r="A21" s="54" t="n">
        <v>18</v>
      </c>
      <c r="B21" s="13" t="inlineStr">
        <is>
          <t>الامتياز التجاري</t>
        </is>
      </c>
      <c r="C21" s="11" t="inlineStr">
        <is>
          <t>متوسط أيام تحصيل شركاء الامتياز (DSO)</t>
        </is>
      </c>
      <c r="D21" s="15" t="inlineStr">
        <is>
          <t>شهري</t>
        </is>
      </c>
      <c r="E21" s="15" t="inlineStr">
        <is>
          <t>معدل</t>
        </is>
      </c>
      <c r="F21" s="49" t="inlineStr">
        <is>
          <t>↓</t>
        </is>
      </c>
      <c r="G21" s="62" t="n">
        <v>30</v>
      </c>
      <c r="H21" s="63" t="n"/>
      <c r="I21" s="63" t="n"/>
      <c r="J21" s="63" t="n"/>
      <c r="K21" s="63" t="n"/>
      <c r="L21" s="63" t="n"/>
      <c r="M21" s="63" t="n"/>
      <c r="N21" s="63" t="n"/>
      <c r="O21" s="63" t="n"/>
      <c r="P21" s="63" t="n"/>
      <c r="Q21" s="63" t="n"/>
      <c r="R21" s="63" t="n"/>
      <c r="S21" s="63" t="n"/>
      <c r="T21" s="64">
        <f>IF(COUNT($H21:$S21)=0,"",SUM($H21:$S21)/COUNT($H21:$S21))</f>
        <v/>
      </c>
      <c r="U21" s="50">
        <f>IF($G21="","",IF($T21="","",MIN(1,IF($G21=0,IF($T21&lt;=0,1,0),IF($F21="↓",IFERROR($G21/$T21,0),IFERROR($T21/$G21,0))))))</f>
        <v/>
      </c>
      <c r="V21" s="54">
        <f>IF($U21="","⏳ بانتظار هدف",IF($U21&gt;=1.0,"✅ محقق",IF($U21&gt;=0.85,"🟡 قريب","🔴 تحت الهدف")))</f>
        <v/>
      </c>
      <c r="W21" s="65">
        <f>IF($G21="","",$G21)</f>
        <v/>
      </c>
      <c r="X21" s="54">
        <f>IF($U21="","—",IF($U21&gt;=0.85,"🟢 على المسار","🟠 متأخّر"))</f>
        <v/>
      </c>
    </row>
    <row r="22" ht="22" customHeight="1">
      <c r="A22" s="54" t="n">
        <v>19</v>
      </c>
      <c r="B22" s="13" t="inlineStr">
        <is>
          <t>الامتياز التجاري</t>
        </is>
      </c>
      <c r="C22" s="11" t="inlineStr">
        <is>
          <t>إجمالي المستحقات المتأخرة (+30 يوم)</t>
        </is>
      </c>
      <c r="D22" s="15" t="inlineStr">
        <is>
          <t>شهري</t>
        </is>
      </c>
      <c r="E22" s="15" t="inlineStr">
        <is>
          <t>لقطة</t>
        </is>
      </c>
      <c r="F22" s="49" t="inlineStr">
        <is>
          <t>↓</t>
        </is>
      </c>
      <c r="G22" s="49" t="n"/>
      <c r="H22" s="66" t="n"/>
      <c r="I22" s="66" t="n"/>
      <c r="J22" s="66" t="n"/>
      <c r="K22" s="66" t="n"/>
      <c r="L22" s="66" t="n"/>
      <c r="M22" s="66" t="n"/>
      <c r="N22" s="66" t="n"/>
      <c r="O22" s="66" t="n"/>
      <c r="P22" s="66" t="n"/>
      <c r="Q22" s="66" t="n"/>
      <c r="R22" s="66" t="n"/>
      <c r="S22" s="66" t="n"/>
      <c r="T22" s="67">
        <f>IFERROR(LOOKUP(2,1/($H22:$S22&lt;&gt;""),$H22:$S22),"")</f>
        <v/>
      </c>
      <c r="U22" s="50">
        <f>IF($G22="","",IF($T22="","",MIN(1,IF($G22=0,IF($T22&lt;=0,1,0),IF($F22="↓",IFERROR($G22/$T22,0),IFERROR($T22/$G22,0))))))</f>
        <v/>
      </c>
      <c r="V22" s="54">
        <f>IF($U22="","⏳ بانتظار هدف",IF($U22&gt;=1.0,"✅ محقق",IF($U22&gt;=0.85,"🟡 قريب","🔴 تحت الهدف")))</f>
        <v/>
      </c>
      <c r="W22" s="68">
        <f>IF($G22="","",$G22)</f>
        <v/>
      </c>
      <c r="X22" s="54">
        <f>IF($U22="","—",IF($U22&gt;=0.85,"🟢 على المسار","🟠 متأخّر"))</f>
        <v/>
      </c>
    </row>
    <row r="23" ht="22" customHeight="1">
      <c r="A23" s="54" t="n">
        <v>20</v>
      </c>
      <c r="B23" s="13" t="inlineStr">
        <is>
          <t>الامتياز التجاري</t>
        </is>
      </c>
      <c r="C23" s="11" t="inlineStr">
        <is>
          <t>نسبة الشركاء الملتزمين بمواعيد السداد</t>
        </is>
      </c>
      <c r="D23" s="15" t="inlineStr">
        <is>
          <t>شهري</t>
        </is>
      </c>
      <c r="E23" s="15" t="inlineStr">
        <is>
          <t>معدل</t>
        </is>
      </c>
      <c r="F23" s="49" t="inlineStr">
        <is>
          <t>↑</t>
        </is>
      </c>
      <c r="G23" s="59" t="n">
        <v>0.9</v>
      </c>
      <c r="H23" s="60" t="n"/>
      <c r="I23" s="60" t="n"/>
      <c r="J23" s="60" t="n"/>
      <c r="K23" s="60" t="n"/>
      <c r="L23" s="60" t="n"/>
      <c r="M23" s="60" t="n"/>
      <c r="N23" s="60" t="n"/>
      <c r="O23" s="60" t="n"/>
      <c r="P23" s="60" t="n"/>
      <c r="Q23" s="60" t="n"/>
      <c r="R23" s="60" t="n"/>
      <c r="S23" s="60" t="n"/>
      <c r="T23" s="50">
        <f>IF(COUNT($H23:$S23)=0,"",SUM($H23:$S23)/COUNT($H23:$S23))</f>
        <v/>
      </c>
      <c r="U23" s="50">
        <f>IF($G23="","",IF($T23="","",MIN(1,IF($G23=0,IF($T23&lt;=0,1,0),IF($F23="↓",IFERROR($G23/$T23,0),IFERROR($T23/$G23,0))))))</f>
        <v/>
      </c>
      <c r="V23" s="54">
        <f>IF($U23="","⏳ بانتظار هدف",IF($U23&gt;=1.0,"✅ محقق",IF($U23&gt;=0.85,"🟡 قريب","🔴 تحت الهدف")))</f>
        <v/>
      </c>
      <c r="W23" s="61">
        <f>IF($G23="","",$G23)</f>
        <v/>
      </c>
      <c r="X23" s="54">
        <f>IF($U23="","—",IF($U23&gt;=0.85,"🟢 على المسار","🟠 متأخّر"))</f>
        <v/>
      </c>
    </row>
    <row r="24" ht="22" customHeight="1">
      <c r="A24" s="54" t="n">
        <v>21</v>
      </c>
      <c r="B24" s="13" t="inlineStr">
        <is>
          <t>الامتياز التجاري</t>
        </is>
      </c>
      <c r="C24" s="11" t="inlineStr">
        <is>
          <t>معدل دوران رأس المال (أيام الدورة)</t>
        </is>
      </c>
      <c r="D24" s="15" t="inlineStr">
        <is>
          <t>شهري</t>
        </is>
      </c>
      <c r="E24" s="15" t="inlineStr">
        <is>
          <t>معدل</t>
        </is>
      </c>
      <c r="F24" s="49" t="inlineStr">
        <is>
          <t>↓</t>
        </is>
      </c>
      <c r="G24" s="62" t="n">
        <v>5</v>
      </c>
      <c r="H24" s="63" t="n"/>
      <c r="I24" s="63" t="n"/>
      <c r="J24" s="63" t="n"/>
      <c r="K24" s="63" t="n"/>
      <c r="L24" s="63" t="n"/>
      <c r="M24" s="63" t="n"/>
      <c r="N24" s="63" t="n"/>
      <c r="O24" s="63" t="n"/>
      <c r="P24" s="63" t="n"/>
      <c r="Q24" s="63" t="n"/>
      <c r="R24" s="63" t="n"/>
      <c r="S24" s="63" t="n"/>
      <c r="T24" s="64">
        <f>IF(COUNT($H24:$S24)=0,"",SUM($H24:$S24)/COUNT($H24:$S24))</f>
        <v/>
      </c>
      <c r="U24" s="50">
        <f>IF($G24="","",IF($T24="","",MIN(1,IF($G24=0,IF($T24&lt;=0,1,0),IF($F24="↓",IFERROR($G24/$T24,0),IFERROR($T24/$G24,0))))))</f>
        <v/>
      </c>
      <c r="V24" s="54">
        <f>IF($U24="","⏳ بانتظار هدف",IF($U24&gt;=1.0,"✅ محقق",IF($U24&gt;=0.85,"🟡 قريب","🔴 تحت الهدف")))</f>
        <v/>
      </c>
      <c r="W24" s="65">
        <f>IF($G24="","",$G24)</f>
        <v/>
      </c>
      <c r="X24" s="54">
        <f>IF($U24="","—",IF($U24&gt;=0.85,"🟢 على المسار","🟠 متأخّر"))</f>
        <v/>
      </c>
    </row>
    <row r="25" ht="22" customHeight="1">
      <c r="A25" s="54" t="n">
        <v>22</v>
      </c>
      <c r="B25" s="13" t="inlineStr">
        <is>
          <t>الامتياز التجاري</t>
        </is>
      </c>
      <c r="C25" s="11" t="inlineStr">
        <is>
          <t>نسبة جاهزية محطات الامتياز (صفر انقطاع)</t>
        </is>
      </c>
      <c r="D25" s="15" t="inlineStr">
        <is>
          <t>شهري</t>
        </is>
      </c>
      <c r="E25" s="15" t="inlineStr">
        <is>
          <t>معدل</t>
        </is>
      </c>
      <c r="F25" s="49" t="inlineStr">
        <is>
          <t>↑</t>
        </is>
      </c>
      <c r="G25" s="59" t="n">
        <v>0.99</v>
      </c>
      <c r="H25" s="60" t="n"/>
      <c r="I25" s="60" t="n"/>
      <c r="J25" s="60" t="n"/>
      <c r="K25" s="60" t="n"/>
      <c r="L25" s="60" t="n"/>
      <c r="M25" s="60" t="n"/>
      <c r="N25" s="60" t="n"/>
      <c r="O25" s="60" t="n"/>
      <c r="P25" s="60" t="n"/>
      <c r="Q25" s="60" t="n"/>
      <c r="R25" s="60" t="n"/>
      <c r="S25" s="60" t="n"/>
      <c r="T25" s="50">
        <f>IF(COUNT($H25:$S25)=0,"",SUM($H25:$S25)/COUNT($H25:$S25))</f>
        <v/>
      </c>
      <c r="U25" s="50">
        <f>IF($G25="","",IF($T25="","",MIN(1,IF($G25=0,IF($T25&lt;=0,1,0),IF($F25="↓",IFERROR($G25/$T25,0),IFERROR($T25/$G25,0))))))</f>
        <v/>
      </c>
      <c r="V25" s="54">
        <f>IF($U25="","⏳ بانتظار هدف",IF($U25&gt;=1.0,"✅ محقق",IF($U25&gt;=0.97,"🟡 قريب","🔴 تحت الهدف")))</f>
        <v/>
      </c>
      <c r="W25" s="61">
        <f>IF($G25="","",$G25)</f>
        <v/>
      </c>
      <c r="X25" s="54">
        <f>IF($U25="","—",IF($U25&gt;=0.97,"🟢 على المسار","🟠 متأخّر"))</f>
        <v/>
      </c>
    </row>
    <row r="26" ht="22" customHeight="1">
      <c r="A26" s="54" t="n">
        <v>23</v>
      </c>
      <c r="B26" s="13" t="inlineStr">
        <is>
          <t>الامتياز التجاري</t>
        </is>
      </c>
      <c r="C26" s="11" t="inlineStr">
        <is>
          <t>عدد حالات انقطاع الوقود الموثّقة</t>
        </is>
      </c>
      <c r="D26" s="15" t="inlineStr">
        <is>
          <t>شهري</t>
        </is>
      </c>
      <c r="E26" s="15" t="inlineStr">
        <is>
          <t>تراكمي</t>
        </is>
      </c>
      <c r="F26" s="49" t="inlineStr">
        <is>
          <t>↓</t>
        </is>
      </c>
      <c r="G26" s="55" t="n">
        <v>0</v>
      </c>
      <c r="H26" s="56" t="n"/>
      <c r="I26" s="56" t="n"/>
      <c r="J26" s="56" t="n"/>
      <c r="K26" s="56" t="n"/>
      <c r="L26" s="56" t="n"/>
      <c r="M26" s="56" t="n"/>
      <c r="N26" s="56" t="n"/>
      <c r="O26" s="56" t="n"/>
      <c r="P26" s="56" t="n"/>
      <c r="Q26" s="56" t="n"/>
      <c r="R26" s="56" t="n"/>
      <c r="S26" s="56" t="n"/>
      <c r="T26" s="57">
        <f>IF(COUNT($H26:$S26)=0,"",SUM($H26:$S26))</f>
        <v/>
      </c>
      <c r="U26" s="50">
        <f>IF($G26="","",IF($T26="","",MIN(1,IF($G26=0,IF($T26&lt;=0,1,0),IF($F26="↓",IFERROR($G26/$T26,0),IFERROR($T26/$G26,0))))))</f>
        <v/>
      </c>
      <c r="V26" s="54">
        <f>IF($U26="","⏳ بانتظار هدف",IF($U26&gt;=1.0,"✅ محقق",IF($U26&gt;=0.85,"🟡 قريب","🔴 تحت الهدف")))</f>
        <v/>
      </c>
      <c r="W26" s="58">
        <f>IF($G26="","",$G26*COUNT($H26:$S26)/12)</f>
        <v/>
      </c>
      <c r="X26" s="54">
        <f>IF($U26="","—",IF($U26&gt;=COUNT($H26:$S26)/12,"🟢 على المسار","🟠 متأخّر"))</f>
        <v/>
      </c>
    </row>
    <row r="27" ht="22" customHeight="1">
      <c r="A27" s="54" t="n">
        <v>24</v>
      </c>
      <c r="B27" s="13" t="inlineStr">
        <is>
          <t>الامتياز التجاري</t>
        </is>
      </c>
      <c r="C27" s="11" t="inlineStr">
        <is>
          <t>نسبة إغلاق ملاحظات الجودة الميدانية</t>
        </is>
      </c>
      <c r="D27" s="15" t="inlineStr">
        <is>
          <t>شهري</t>
        </is>
      </c>
      <c r="E27" s="15" t="inlineStr">
        <is>
          <t>معدل</t>
        </is>
      </c>
      <c r="F27" s="49" t="inlineStr">
        <is>
          <t>↑</t>
        </is>
      </c>
      <c r="G27" s="59" t="n">
        <v>0.95</v>
      </c>
      <c r="H27" s="60" t="n"/>
      <c r="I27" s="60" t="n"/>
      <c r="J27" s="60" t="n"/>
      <c r="K27" s="60" t="n"/>
      <c r="L27" s="60" t="n"/>
      <c r="M27" s="60" t="n"/>
      <c r="N27" s="60" t="n"/>
      <c r="O27" s="60" t="n"/>
      <c r="P27" s="60" t="n"/>
      <c r="Q27" s="60" t="n"/>
      <c r="R27" s="60" t="n"/>
      <c r="S27" s="60" t="n"/>
      <c r="T27" s="50">
        <f>IF(COUNT($H27:$S27)=0,"",SUM($H27:$S27)/COUNT($H27:$S27))</f>
        <v/>
      </c>
      <c r="U27" s="50">
        <f>IF($G27="","",IF($T27="","",MIN(1,IF($G27=0,IF($T27&lt;=0,1,0),IF($F27="↓",IFERROR($G27/$T27,0),IFERROR($T27/$G27,0))))))</f>
        <v/>
      </c>
      <c r="V27" s="54">
        <f>IF($U27="","⏳ بانتظار هدف",IF($U27&gt;=1.0,"✅ محقق",IF($U27&gt;=0.85,"🟡 قريب","🔴 تحت الهدف")))</f>
        <v/>
      </c>
      <c r="W27" s="61">
        <f>IF($G27="","",$G27)</f>
        <v/>
      </c>
      <c r="X27" s="54">
        <f>IF($U27="","—",IF($U27&gt;=0.85,"🟢 على المسار","🟠 متأخّر"))</f>
        <v/>
      </c>
    </row>
    <row r="28" ht="22" customHeight="1">
      <c r="A28" s="54" t="n">
        <v>25</v>
      </c>
      <c r="B28" s="13" t="inlineStr">
        <is>
          <t>الامتياز التجاري</t>
        </is>
      </c>
      <c r="C28" s="11" t="inlineStr">
        <is>
          <t>متوسط درجة تقييم جودة المحطة (قائمة التحقق)</t>
        </is>
      </c>
      <c r="D28" s="15" t="inlineStr">
        <is>
          <t>شهري</t>
        </is>
      </c>
      <c r="E28" s="15" t="inlineStr">
        <is>
          <t>معدل</t>
        </is>
      </c>
      <c r="F28" s="49" t="inlineStr">
        <is>
          <t>↑</t>
        </is>
      </c>
      <c r="G28" s="62" t="n">
        <v>85</v>
      </c>
      <c r="H28" s="63" t="n"/>
      <c r="I28" s="63" t="n"/>
      <c r="J28" s="63" t="n"/>
      <c r="K28" s="63" t="n"/>
      <c r="L28" s="63" t="n"/>
      <c r="M28" s="63" t="n"/>
      <c r="N28" s="63" t="n"/>
      <c r="O28" s="63" t="n"/>
      <c r="P28" s="63" t="n"/>
      <c r="Q28" s="63" t="n"/>
      <c r="R28" s="63" t="n"/>
      <c r="S28" s="63" t="n"/>
      <c r="T28" s="64">
        <f>IF(COUNT($H28:$S28)=0,"",SUM($H28:$S28)/COUNT($H28:$S28))</f>
        <v/>
      </c>
      <c r="U28" s="50">
        <f>IF($G28="","",IF($T28="","",MIN(1,IF($G28=0,IF($T28&lt;=0,1,0),IF($F28="↓",IFERROR($G28/$T28,0),IFERROR($T28/$G28,0))))))</f>
        <v/>
      </c>
      <c r="V28" s="54">
        <f>IF($U28="","⏳ بانتظار هدف",IF($U28&gt;=1.0,"✅ محقق",IF($U28&gt;=0.85,"🟡 قريب","🔴 تحت الهدف")))</f>
        <v/>
      </c>
      <c r="W28" s="65">
        <f>IF($G28="","",$G28)</f>
        <v/>
      </c>
      <c r="X28" s="54">
        <f>IF($U28="","—",IF($U28&gt;=0.85,"🟢 على المسار","🟠 متأخّر"))</f>
        <v/>
      </c>
    </row>
    <row r="29" ht="22" customHeight="1">
      <c r="A29" s="54" t="n">
        <v>26</v>
      </c>
      <c r="B29" s="13" t="inlineStr">
        <is>
          <t>الامتياز التجاري</t>
        </is>
      </c>
      <c r="C29" s="11" t="inlineStr">
        <is>
          <t>نسبة تنفيذ الزيارات الميدانية المجدولة</t>
        </is>
      </c>
      <c r="D29" s="15" t="inlineStr">
        <is>
          <t>شهري</t>
        </is>
      </c>
      <c r="E29" s="15" t="inlineStr">
        <is>
          <t>معدل</t>
        </is>
      </c>
      <c r="F29" s="49" t="inlineStr">
        <is>
          <t>↑</t>
        </is>
      </c>
      <c r="G29" s="59" t="n">
        <v>1</v>
      </c>
      <c r="H29" s="60" t="n"/>
      <c r="I29" s="60" t="n"/>
      <c r="J29" s="60" t="n"/>
      <c r="K29" s="60" t="n"/>
      <c r="L29" s="60" t="n"/>
      <c r="M29" s="60" t="n"/>
      <c r="N29" s="60" t="n"/>
      <c r="O29" s="60" t="n"/>
      <c r="P29" s="60" t="n"/>
      <c r="Q29" s="60" t="n"/>
      <c r="R29" s="60" t="n"/>
      <c r="S29" s="60" t="n"/>
      <c r="T29" s="50">
        <f>IF(COUNT($H29:$S29)=0,"",SUM($H29:$S29)/COUNT($H29:$S29))</f>
        <v/>
      </c>
      <c r="U29" s="50">
        <f>IF($G29="","",IF($T29="","",MIN(1,IF($G29=0,IF($T29&lt;=0,1,0),IF($F29="↓",IFERROR($G29/$T29,0),IFERROR($T29/$G29,0))))))</f>
        <v/>
      </c>
      <c r="V29" s="54">
        <f>IF($U29="","⏳ بانتظار هدف",IF($U29&gt;=1.0,"✅ محقق",IF($U29&gt;=0.85,"🟡 قريب","🔴 تحت الهدف")))</f>
        <v/>
      </c>
      <c r="W29" s="61">
        <f>IF($G29="","",$G29)</f>
        <v/>
      </c>
      <c r="X29" s="54">
        <f>IF($U29="","—",IF($U29&gt;=0.85,"🟢 على المسار","🟠 متأخّر"))</f>
        <v/>
      </c>
    </row>
    <row r="30" ht="22" customHeight="1">
      <c r="A30" s="54" t="n">
        <v>27</v>
      </c>
      <c r="B30" s="13" t="inlineStr">
        <is>
          <t>الامتياز التجاري</t>
        </is>
      </c>
      <c r="C30" s="11" t="inlineStr">
        <is>
          <t>نسبة المحطات المستوفية لمعايير السلامة</t>
        </is>
      </c>
      <c r="D30" s="15" t="inlineStr">
        <is>
          <t>شهري</t>
        </is>
      </c>
      <c r="E30" s="15" t="inlineStr">
        <is>
          <t>معدل</t>
        </is>
      </c>
      <c r="F30" s="49" t="inlineStr">
        <is>
          <t>↑</t>
        </is>
      </c>
      <c r="G30" s="59" t="n">
        <v>1</v>
      </c>
      <c r="H30" s="60" t="n"/>
      <c r="I30" s="60" t="n"/>
      <c r="J30" s="60" t="n"/>
      <c r="K30" s="60" t="n"/>
      <c r="L30" s="60" t="n"/>
      <c r="M30" s="60" t="n"/>
      <c r="N30" s="60" t="n"/>
      <c r="O30" s="60" t="n"/>
      <c r="P30" s="60" t="n"/>
      <c r="Q30" s="60" t="n"/>
      <c r="R30" s="60" t="n"/>
      <c r="S30" s="60" t="n"/>
      <c r="T30" s="50">
        <f>IF(COUNT($H30:$S30)=0,"",SUM($H30:$S30)/COUNT($H30:$S30))</f>
        <v/>
      </c>
      <c r="U30" s="50">
        <f>IF($G30="","",IF($T30="","",MIN(1,IF($G30=0,IF($T30&lt;=0,1,0),IF($F30="↓",IFERROR($G30/$T30,0),IFERROR($T30/$G30,0))))))</f>
        <v/>
      </c>
      <c r="V30" s="54">
        <f>IF($U30="","⏳ بانتظار هدف",IF($U30&gt;=1.0,"✅ محقق",IF($U30&gt;=0.97,"🟡 قريب","🔴 تحت الهدف")))</f>
        <v/>
      </c>
      <c r="W30" s="61">
        <f>IF($G30="","",$G30)</f>
        <v/>
      </c>
      <c r="X30" s="54">
        <f>IF($U30="","—",IF($U30&gt;=0.97,"🟢 على المسار","🟠 متأخّر"))</f>
        <v/>
      </c>
    </row>
    <row r="31" ht="22" customHeight="1">
      <c r="A31" s="54" t="n">
        <v>28</v>
      </c>
      <c r="B31" s="13" t="inlineStr">
        <is>
          <t>الامتياز التجاري</t>
        </is>
      </c>
      <c r="C31" s="11" t="inlineStr">
        <is>
          <t>متوسط وقت معالجة البلاغات التشغيلية</t>
        </is>
      </c>
      <c r="D31" s="15" t="inlineStr">
        <is>
          <t>شهري</t>
        </is>
      </c>
      <c r="E31" s="15" t="inlineStr">
        <is>
          <t>معدل</t>
        </is>
      </c>
      <c r="F31" s="49" t="inlineStr">
        <is>
          <t>↓</t>
        </is>
      </c>
      <c r="G31" s="62" t="n">
        <v>24</v>
      </c>
      <c r="H31" s="63" t="n"/>
      <c r="I31" s="63" t="n"/>
      <c r="J31" s="63" t="n"/>
      <c r="K31" s="63" t="n"/>
      <c r="L31" s="63" t="n"/>
      <c r="M31" s="63" t="n"/>
      <c r="N31" s="63" t="n"/>
      <c r="O31" s="63" t="n"/>
      <c r="P31" s="63" t="n"/>
      <c r="Q31" s="63" t="n"/>
      <c r="R31" s="63" t="n"/>
      <c r="S31" s="63" t="n"/>
      <c r="T31" s="64">
        <f>IF(COUNT($H31:$S31)=0,"",SUM($H31:$S31)/COUNT($H31:$S31))</f>
        <v/>
      </c>
      <c r="U31" s="50">
        <f>IF($G31="","",IF($T31="","",MIN(1,IF($G31=0,IF($T31&lt;=0,1,0),IF($F31="↓",IFERROR($G31/$T31,0),IFERROR($T31/$G31,0))))))</f>
        <v/>
      </c>
      <c r="V31" s="54">
        <f>IF($U31="","⏳ بانتظار هدف",IF($U31&gt;=1.0,"✅ محقق",IF($U31&gt;=0.85,"🟡 قريب","🔴 تحت الهدف")))</f>
        <v/>
      </c>
      <c r="W31" s="65">
        <f>IF($G31="","",$G31)</f>
        <v/>
      </c>
      <c r="X31" s="54">
        <f>IF($U31="","—",IF($U31&gt;=0.85,"🟢 على المسار","🟠 متأخّر"))</f>
        <v/>
      </c>
    </row>
    <row r="32" ht="22" customHeight="1">
      <c r="A32" s="54" t="n">
        <v>29</v>
      </c>
      <c r="B32" s="13" t="inlineStr">
        <is>
          <t>الامتياز التجاري</t>
        </is>
      </c>
      <c r="C32" s="11" t="inlineStr">
        <is>
          <t>نسبة أتمتة محطات الامتياز</t>
        </is>
      </c>
      <c r="D32" s="15" t="inlineStr">
        <is>
          <t>شهري</t>
        </is>
      </c>
      <c r="E32" s="15" t="inlineStr">
        <is>
          <t>لقطة</t>
        </is>
      </c>
      <c r="F32" s="49" t="inlineStr">
        <is>
          <t>↑</t>
        </is>
      </c>
      <c r="G32" s="59" t="n">
        <v>0.9</v>
      </c>
      <c r="H32" s="60" t="n"/>
      <c r="I32" s="60" t="n"/>
      <c r="J32" s="60" t="n"/>
      <c r="K32" s="60" t="n"/>
      <c r="L32" s="60" t="n"/>
      <c r="M32" s="60" t="n"/>
      <c r="N32" s="60" t="n"/>
      <c r="O32" s="60" t="n"/>
      <c r="P32" s="60" t="n"/>
      <c r="Q32" s="60" t="n"/>
      <c r="R32" s="60" t="n"/>
      <c r="S32" s="60" t="n"/>
      <c r="T32" s="50">
        <f>IFERROR(LOOKUP(2,1/($H32:$S32&lt;&gt;""),$H32:$S32),"")</f>
        <v/>
      </c>
      <c r="U32" s="50">
        <f>IF($G32="","",IF($T32="","",MIN(1,IF($G32=0,IF($T32&lt;=0,1,0),IF($F32="↓",IFERROR($G32/$T32,0),IFERROR($T32/$G32,0))))))</f>
        <v/>
      </c>
      <c r="V32" s="54">
        <f>IF($U32="","⏳ بانتظار هدف",IF($U32&gt;=1.0,"✅ محقق",IF($U32&gt;=0.85,"🟡 قريب","🔴 تحت الهدف")))</f>
        <v/>
      </c>
      <c r="W32" s="61">
        <f>IF($G32="","",$G32)</f>
        <v/>
      </c>
      <c r="X32" s="54">
        <f>IF($U32="","—",IF($U32&gt;=0.85,"🟢 على المسار","🟠 متأخّر"))</f>
        <v/>
      </c>
    </row>
    <row r="33" ht="22" customHeight="1">
      <c r="A33" s="54" t="n">
        <v>30</v>
      </c>
      <c r="B33" s="13" t="inlineStr">
        <is>
          <t>الامتياز التجاري</t>
        </is>
      </c>
      <c r="C33" s="11" t="inlineStr">
        <is>
          <t>نسبة تطبيق المعيار الشامل داخل المحطات</t>
        </is>
      </c>
      <c r="D33" s="15" t="inlineStr">
        <is>
          <t>شهري</t>
        </is>
      </c>
      <c r="E33" s="15" t="inlineStr">
        <is>
          <t>لقطة</t>
        </is>
      </c>
      <c r="F33" s="49" t="inlineStr">
        <is>
          <t>↑</t>
        </is>
      </c>
      <c r="G33" s="59" t="n">
        <v>0.3</v>
      </c>
      <c r="H33" s="60" t="n"/>
      <c r="I33" s="60" t="n"/>
      <c r="J33" s="60" t="n"/>
      <c r="K33" s="60" t="n"/>
      <c r="L33" s="60" t="n"/>
      <c r="M33" s="60" t="n"/>
      <c r="N33" s="60" t="n"/>
      <c r="O33" s="60" t="n"/>
      <c r="P33" s="60" t="n"/>
      <c r="Q33" s="60" t="n"/>
      <c r="R33" s="60" t="n"/>
      <c r="S33" s="60" t="n"/>
      <c r="T33" s="50">
        <f>IFERROR(LOOKUP(2,1/($H33:$S33&lt;&gt;""),$H33:$S33),"")</f>
        <v/>
      </c>
      <c r="U33" s="50">
        <f>IF($G33="","",IF($T33="","",MIN(1,IF($G33=0,IF($T33&lt;=0,1,0),IF($F33="↓",IFERROR($G33/$T33,0),IFERROR($T33/$G33,0))))))</f>
        <v/>
      </c>
      <c r="V33" s="54">
        <f>IF($U33="","⏳ بانتظار هدف",IF($U33&gt;=1.0,"✅ محقق",IF($U33&gt;=0.85,"🟡 قريب","🔴 تحت الهدف")))</f>
        <v/>
      </c>
      <c r="W33" s="61">
        <f>IF($G33="","",$G33)</f>
        <v/>
      </c>
      <c r="X33" s="54">
        <f>IF($U33="","—",IF($U33&gt;=0.85,"🟢 على المسار","🟠 متأخّر"))</f>
        <v/>
      </c>
    </row>
    <row r="34" ht="22" customHeight="1">
      <c r="A34" s="54" t="n">
        <v>31</v>
      </c>
      <c r="B34" s="13" t="inlineStr">
        <is>
          <t>الامتياز التجاري</t>
        </is>
      </c>
      <c r="C34" s="11" t="inlineStr">
        <is>
          <t>نسبة التزام المحطات بالهوية المؤسسية</t>
        </is>
      </c>
      <c r="D34" s="15" t="inlineStr">
        <is>
          <t>شهري</t>
        </is>
      </c>
      <c r="E34" s="15" t="inlineStr">
        <is>
          <t>لقطة</t>
        </is>
      </c>
      <c r="F34" s="49" t="inlineStr">
        <is>
          <t>↑</t>
        </is>
      </c>
      <c r="G34" s="59" t="n">
        <v>0.55</v>
      </c>
      <c r="H34" s="60" t="n"/>
      <c r="I34" s="60" t="n"/>
      <c r="J34" s="60" t="n"/>
      <c r="K34" s="60" t="n"/>
      <c r="L34" s="60" t="n"/>
      <c r="M34" s="60" t="n"/>
      <c r="N34" s="60" t="n"/>
      <c r="O34" s="60" t="n"/>
      <c r="P34" s="60" t="n"/>
      <c r="Q34" s="60" t="n"/>
      <c r="R34" s="60" t="n"/>
      <c r="S34" s="60" t="n"/>
      <c r="T34" s="50">
        <f>IFERROR(LOOKUP(2,1/($H34:$S34&lt;&gt;""),$H34:$S34),"")</f>
        <v/>
      </c>
      <c r="U34" s="50">
        <f>IF($G34="","",IF($T34="","",MIN(1,IF($G34=0,IF($T34&lt;=0,1,0),IF($F34="↓",IFERROR($G34/$T34,0),IFERROR($T34/$G34,0))))))</f>
        <v/>
      </c>
      <c r="V34" s="54">
        <f>IF($U34="","⏳ بانتظار هدف",IF($U34&gt;=1.0,"✅ محقق",IF($U34&gt;=0.85,"🟡 قريب","🔴 تحت الهدف")))</f>
        <v/>
      </c>
      <c r="W34" s="61">
        <f>IF($G34="","",$G34)</f>
        <v/>
      </c>
      <c r="X34" s="54">
        <f>IF($U34="","—",IF($U34&gt;=0.85,"🟢 على المسار","🟠 متأخّر"))</f>
        <v/>
      </c>
    </row>
    <row r="35" ht="22" customHeight="1">
      <c r="A35" s="54" t="n">
        <v>32</v>
      </c>
      <c r="B35" s="13" t="inlineStr">
        <is>
          <t>الامتياز التجاري</t>
        </is>
      </c>
      <c r="C35" s="11" t="inlineStr">
        <is>
          <t>متوسط تقييم المحطات على خرائط قوقل</t>
        </is>
      </c>
      <c r="D35" s="15" t="inlineStr">
        <is>
          <t>شهري</t>
        </is>
      </c>
      <c r="E35" s="15" t="inlineStr">
        <is>
          <t>معدل</t>
        </is>
      </c>
      <c r="F35" s="49" t="inlineStr">
        <is>
          <t>↑</t>
        </is>
      </c>
      <c r="G35" s="62" t="n">
        <v>4.7</v>
      </c>
      <c r="H35" s="63" t="n"/>
      <c r="I35" s="63" t="n"/>
      <c r="J35" s="63" t="n"/>
      <c r="K35" s="63" t="n"/>
      <c r="L35" s="63" t="n"/>
      <c r="M35" s="63" t="n"/>
      <c r="N35" s="63" t="n"/>
      <c r="O35" s="63" t="n"/>
      <c r="P35" s="63" t="n"/>
      <c r="Q35" s="63" t="n"/>
      <c r="R35" s="63" t="n"/>
      <c r="S35" s="63" t="n"/>
      <c r="T35" s="64">
        <f>IF(COUNT($H35:$S35)=0,"",SUM($H35:$S35)/COUNT($H35:$S35))</f>
        <v/>
      </c>
      <c r="U35" s="50">
        <f>IF($G35="","",IF($T35="","",MIN(1,IF($G35=0,IF($T35&lt;=0,1,0),IF($F35="↓",IFERROR($G35/$T35,0),IFERROR($T35/$G35,0))))))</f>
        <v/>
      </c>
      <c r="V35" s="54">
        <f>IF($U35="","⏳ بانتظار هدف",IF($U35&gt;=1.0,"✅ محقق",IF($U35&gt;=0.85,"🟡 قريب","🔴 تحت الهدف")))</f>
        <v/>
      </c>
      <c r="W35" s="65">
        <f>IF($G35="","",$G35)</f>
        <v/>
      </c>
      <c r="X35" s="54">
        <f>IF($U35="","—",IF($U35&gt;=0.85,"🟢 على المسار","🟠 متأخّر"))</f>
        <v/>
      </c>
    </row>
    <row r="36" ht="22" customHeight="1">
      <c r="A36" s="54" t="n">
        <v>33</v>
      </c>
      <c r="B36" s="13" t="inlineStr">
        <is>
          <t>الامتياز التجاري</t>
        </is>
      </c>
      <c r="C36" s="11" t="inlineStr">
        <is>
          <t>معدل رضا شركاء الامتياز (CSAT)</t>
        </is>
      </c>
      <c r="D36" s="15" t="inlineStr">
        <is>
          <t>ربعي</t>
        </is>
      </c>
      <c r="E36" s="15" t="inlineStr">
        <is>
          <t>معدل</t>
        </is>
      </c>
      <c r="F36" s="49" t="inlineStr">
        <is>
          <t>↑</t>
        </is>
      </c>
      <c r="G36" s="59" t="n">
        <v>0.9</v>
      </c>
      <c r="H36" s="60" t="n"/>
      <c r="I36" s="60" t="n"/>
      <c r="J36" s="60" t="n"/>
      <c r="K36" s="60" t="n"/>
      <c r="L36" s="60" t="n"/>
      <c r="M36" s="60" t="n"/>
      <c r="N36" s="60" t="n"/>
      <c r="O36" s="60" t="n"/>
      <c r="P36" s="60" t="n"/>
      <c r="Q36" s="60" t="n"/>
      <c r="R36" s="60" t="n"/>
      <c r="S36" s="60" t="n"/>
      <c r="T36" s="50">
        <f>IF(COUNT($H36:$S36)=0,"",SUM($H36:$S36)/COUNT($H36:$S36))</f>
        <v/>
      </c>
      <c r="U36" s="50">
        <f>IF($G36="","",IF($T36="","",MIN(1,IF($G36=0,IF($T36&lt;=0,1,0),IF($F36="↓",IFERROR($G36/$T36,0),IFERROR($T36/$G36,0))))))</f>
        <v/>
      </c>
      <c r="V36" s="54">
        <f>IF($U36="","⏳ بانتظار هدف",IF($U36&gt;=0.9,"✅ محقق",IF($U36&gt;=0.75,"🟡 قريب","🔴 تحت الهدف")))</f>
        <v/>
      </c>
      <c r="W36" s="61">
        <f>IF($G36="","",$G36)</f>
        <v/>
      </c>
      <c r="X36" s="54">
        <f>IF($U36="","—",IF($U36&gt;=0.75,"🟢 على المسار","🟠 متأخّر"))</f>
        <v/>
      </c>
    </row>
    <row r="37" ht="22" customHeight="1">
      <c r="A37" s="54" t="n">
        <v>34</v>
      </c>
      <c r="B37" s="13" t="inlineStr">
        <is>
          <t>الامتياز التجاري</t>
        </is>
      </c>
      <c r="C37" s="11" t="inlineStr">
        <is>
          <t>نسبة حل الشكاوى خلال المدة المحددة</t>
        </is>
      </c>
      <c r="D37" s="15" t="inlineStr">
        <is>
          <t>شهري</t>
        </is>
      </c>
      <c r="E37" s="15" t="inlineStr">
        <is>
          <t>معدل</t>
        </is>
      </c>
      <c r="F37" s="49" t="inlineStr">
        <is>
          <t>↑</t>
        </is>
      </c>
      <c r="G37" s="59" t="n">
        <v>0.95</v>
      </c>
      <c r="H37" s="60" t="n"/>
      <c r="I37" s="60" t="n"/>
      <c r="J37" s="60" t="n"/>
      <c r="K37" s="60" t="n"/>
      <c r="L37" s="60" t="n"/>
      <c r="M37" s="60" t="n"/>
      <c r="N37" s="60" t="n"/>
      <c r="O37" s="60" t="n"/>
      <c r="P37" s="60" t="n"/>
      <c r="Q37" s="60" t="n"/>
      <c r="R37" s="60" t="n"/>
      <c r="S37" s="60" t="n"/>
      <c r="T37" s="50">
        <f>IF(COUNT($H37:$S37)=0,"",SUM($H37:$S37)/COUNT($H37:$S37))</f>
        <v/>
      </c>
      <c r="U37" s="50">
        <f>IF($G37="","",IF($T37="","",MIN(1,IF($G37=0,IF($T37&lt;=0,1,0),IF($F37="↓",IFERROR($G37/$T37,0),IFERROR($T37/$G37,0))))))</f>
        <v/>
      </c>
      <c r="V37" s="54">
        <f>IF($U37="","⏳ بانتظار هدف",IF($U37&gt;=1.0,"✅ محقق",IF($U37&gt;=0.85,"🟡 قريب","🔴 تحت الهدف")))</f>
        <v/>
      </c>
      <c r="W37" s="61">
        <f>IF($G37="","",$G37)</f>
        <v/>
      </c>
      <c r="X37" s="54">
        <f>IF($U37="","—",IF($U37&gt;=0.85,"🟢 على المسار","🟠 متأخّر"))</f>
        <v/>
      </c>
    </row>
    <row r="38" ht="22" customHeight="1">
      <c r="A38" s="54" t="n">
        <v>35</v>
      </c>
      <c r="B38" s="13" t="inlineStr">
        <is>
          <t>الامتياز التجاري</t>
        </is>
      </c>
      <c r="C38" s="11" t="inlineStr">
        <is>
          <t>نسبة انخفاض الشكاوى التشغيلية والإدارية</t>
        </is>
      </c>
      <c r="D38" s="15" t="inlineStr">
        <is>
          <t>شهري</t>
        </is>
      </c>
      <c r="E38" s="15" t="inlineStr">
        <is>
          <t>معدل</t>
        </is>
      </c>
      <c r="F38" s="49" t="inlineStr">
        <is>
          <t>↑</t>
        </is>
      </c>
      <c r="G38" s="59" t="n">
        <v>0.3</v>
      </c>
      <c r="H38" s="60" t="n"/>
      <c r="I38" s="60" t="n"/>
      <c r="J38" s="60" t="n"/>
      <c r="K38" s="60" t="n"/>
      <c r="L38" s="60" t="n"/>
      <c r="M38" s="60" t="n"/>
      <c r="N38" s="60" t="n"/>
      <c r="O38" s="60" t="n"/>
      <c r="P38" s="60" t="n"/>
      <c r="Q38" s="60" t="n"/>
      <c r="R38" s="60" t="n"/>
      <c r="S38" s="60" t="n"/>
      <c r="T38" s="50">
        <f>IF(COUNT($H38:$S38)=0,"",SUM($H38:$S38)/COUNT($H38:$S38))</f>
        <v/>
      </c>
      <c r="U38" s="50">
        <f>IF($G38="","",IF($T38="","",MIN(1,IF($G38=0,IF($T38&lt;=0,1,0),IF($F38="↓",IFERROR($G38/$T38,0),IFERROR($T38/$G38,0))))))</f>
        <v/>
      </c>
      <c r="V38" s="54">
        <f>IF($U38="","⏳ بانتظار هدف",IF($U38&gt;=1.0,"✅ محقق",IF($U38&gt;=0.85,"🟡 قريب","🔴 تحت الهدف")))</f>
        <v/>
      </c>
      <c r="W38" s="61">
        <f>IF($G38="","",$G38)</f>
        <v/>
      </c>
      <c r="X38" s="54">
        <f>IF($U38="","—",IF($U38&gt;=0.85,"🟢 على المسار","🟠 متأخّر"))</f>
        <v/>
      </c>
    </row>
    <row r="39" ht="22" customHeight="1">
      <c r="A39" s="54" t="n">
        <v>36</v>
      </c>
      <c r="B39" s="13" t="inlineStr">
        <is>
          <t>الامتياز التجاري</t>
        </is>
      </c>
      <c r="C39" s="11" t="inlineStr">
        <is>
          <t>نسبة استدامة أصحاب الامتياز (Retention)</t>
        </is>
      </c>
      <c r="D39" s="15" t="inlineStr">
        <is>
          <t>شهري</t>
        </is>
      </c>
      <c r="E39" s="15" t="inlineStr">
        <is>
          <t>لقطة</t>
        </is>
      </c>
      <c r="F39" s="49" t="inlineStr">
        <is>
          <t>↑</t>
        </is>
      </c>
      <c r="G39" s="59" t="n">
        <v>0.9</v>
      </c>
      <c r="H39" s="60" t="n"/>
      <c r="I39" s="60" t="n"/>
      <c r="J39" s="60" t="n"/>
      <c r="K39" s="60" t="n"/>
      <c r="L39" s="60" t="n"/>
      <c r="M39" s="60" t="n"/>
      <c r="N39" s="60" t="n"/>
      <c r="O39" s="60" t="n"/>
      <c r="P39" s="60" t="n"/>
      <c r="Q39" s="60" t="n"/>
      <c r="R39" s="60" t="n"/>
      <c r="S39" s="60" t="n"/>
      <c r="T39" s="50">
        <f>IFERROR(LOOKUP(2,1/($H39:$S39&lt;&gt;""),$H39:$S39),"")</f>
        <v/>
      </c>
      <c r="U39" s="50">
        <f>IF($G39="","",IF($T39="","",MIN(1,IF($G39=0,IF($T39&lt;=0,1,0),IF($F39="↓",IFERROR($G39/$T39,0),IFERROR($T39/$G39,0))))))</f>
        <v/>
      </c>
      <c r="V39" s="54">
        <f>IF($U39="","⏳ بانتظار هدف",IF($U39&gt;=1.0,"✅ محقق",IF($U39&gt;=0.85,"🟡 قريب","🔴 تحت الهدف")))</f>
        <v/>
      </c>
      <c r="W39" s="61">
        <f>IF($G39="","",$G39)</f>
        <v/>
      </c>
      <c r="X39" s="54">
        <f>IF($U39="","—",IF($U39&gt;=0.85,"🟢 على المسار","🟠 متأخّر"))</f>
        <v/>
      </c>
    </row>
    <row r="40" ht="22" customHeight="1">
      <c r="A40" s="54" t="n">
        <v>37</v>
      </c>
      <c r="B40" s="13" t="inlineStr">
        <is>
          <t>الامتياز التجاري</t>
        </is>
      </c>
      <c r="C40" s="11" t="inlineStr">
        <is>
          <t>نسبة زيادة عدد أصحاب الامتياز</t>
        </is>
      </c>
      <c r="D40" s="15" t="inlineStr">
        <is>
          <t>شهري</t>
        </is>
      </c>
      <c r="E40" s="15" t="inlineStr">
        <is>
          <t>لقطة</t>
        </is>
      </c>
      <c r="F40" s="49" t="inlineStr">
        <is>
          <t>↑</t>
        </is>
      </c>
      <c r="G40" s="59" t="n">
        <v>1</v>
      </c>
      <c r="H40" s="60" t="n"/>
      <c r="I40" s="60" t="n"/>
      <c r="J40" s="60" t="n"/>
      <c r="K40" s="60" t="n"/>
      <c r="L40" s="60" t="n"/>
      <c r="M40" s="60" t="n"/>
      <c r="N40" s="60" t="n"/>
      <c r="O40" s="60" t="n"/>
      <c r="P40" s="60" t="n"/>
      <c r="Q40" s="60" t="n"/>
      <c r="R40" s="60" t="n"/>
      <c r="S40" s="60" t="n"/>
      <c r="T40" s="50">
        <f>IFERROR(LOOKUP(2,1/($H40:$S40&lt;&gt;""),$H40:$S40),"")</f>
        <v/>
      </c>
      <c r="U40" s="50">
        <f>IF($G40="","",IF($T40="","",MIN(1,IF($G40=0,IF($T40&lt;=0,1,0),IF($F40="↓",IFERROR($G40/$T40,0),IFERROR($T40/$G40,0))))))</f>
        <v/>
      </c>
      <c r="V40" s="54">
        <f>IF($U40="","⏳ بانتظار هدف",IF($U40&gt;=1.0,"✅ محقق",IF($U40&gt;=0.85,"🟡 قريب","🔴 تحت الهدف")))</f>
        <v/>
      </c>
      <c r="W40" s="61">
        <f>IF($G40="","",$G40)</f>
        <v/>
      </c>
      <c r="X40" s="54">
        <f>IF($U40="","—",IF($U40&gt;=0.85,"🟢 على المسار","🟠 متأخّر"))</f>
        <v/>
      </c>
    </row>
    <row r="41" ht="22" customHeight="1">
      <c r="A41" s="54" t="n">
        <v>38</v>
      </c>
      <c r="B41" s="13" t="inlineStr">
        <is>
          <t>الامتياز التجاري</t>
        </is>
      </c>
      <c r="C41" s="11" t="inlineStr">
        <is>
          <t>متوسط مدة إغلاق عقد الامتياز</t>
        </is>
      </c>
      <c r="D41" s="15" t="inlineStr">
        <is>
          <t>شهري</t>
        </is>
      </c>
      <c r="E41" s="15" t="inlineStr">
        <is>
          <t>معدل</t>
        </is>
      </c>
      <c r="F41" s="49" t="inlineStr">
        <is>
          <t>↓</t>
        </is>
      </c>
      <c r="G41" s="62" t="n">
        <v>1</v>
      </c>
      <c r="H41" s="63" t="n"/>
      <c r="I41" s="63" t="n"/>
      <c r="J41" s="63" t="n"/>
      <c r="K41" s="63" t="n"/>
      <c r="L41" s="63" t="n"/>
      <c r="M41" s="63" t="n"/>
      <c r="N41" s="63" t="n"/>
      <c r="O41" s="63" t="n"/>
      <c r="P41" s="63" t="n"/>
      <c r="Q41" s="63" t="n"/>
      <c r="R41" s="63" t="n"/>
      <c r="S41" s="63" t="n"/>
      <c r="T41" s="64">
        <f>IF(COUNT($H41:$S41)=0,"",SUM($H41:$S41)/COUNT($H41:$S41))</f>
        <v/>
      </c>
      <c r="U41" s="50">
        <f>IF($G41="","",IF($T41="","",MIN(1,IF($G41=0,IF($T41&lt;=0,1,0),IF($F41="↓",IFERROR($G41/$T41,0),IFERROR($T41/$G41,0))))))</f>
        <v/>
      </c>
      <c r="V41" s="54">
        <f>IF($U41="","⏳ بانتظار هدف",IF($U41&gt;=1.0,"✅ محقق",IF($U41&gt;=0.85,"🟡 قريب","🔴 تحت الهدف")))</f>
        <v/>
      </c>
      <c r="W41" s="65">
        <f>IF($G41="","",$G41)</f>
        <v/>
      </c>
      <c r="X41" s="54">
        <f>IF($U41="","—",IF($U41&gt;=0.85,"🟢 على المسار","🟠 متأخّر"))</f>
        <v/>
      </c>
    </row>
    <row r="42" ht="22" customHeight="1">
      <c r="A42" s="54" t="n">
        <v>39</v>
      </c>
      <c r="B42" s="13" t="inlineStr">
        <is>
          <t>الامتياز التجاري</t>
        </is>
      </c>
      <c r="C42" s="11" t="inlineStr">
        <is>
          <t>نسبة التحصيل خلال 5 أيام عمل</t>
        </is>
      </c>
      <c r="D42" s="15" t="inlineStr">
        <is>
          <t>شهري</t>
        </is>
      </c>
      <c r="E42" s="15" t="inlineStr">
        <is>
          <t>معدل</t>
        </is>
      </c>
      <c r="F42" s="49" t="inlineStr">
        <is>
          <t>↑</t>
        </is>
      </c>
      <c r="G42" s="59" t="n">
        <v>0.9</v>
      </c>
      <c r="H42" s="60" t="n"/>
      <c r="I42" s="60" t="n"/>
      <c r="J42" s="60" t="n"/>
      <c r="K42" s="60" t="n"/>
      <c r="L42" s="60" t="n"/>
      <c r="M42" s="60" t="n"/>
      <c r="N42" s="60" t="n"/>
      <c r="O42" s="60" t="n"/>
      <c r="P42" s="60" t="n"/>
      <c r="Q42" s="60" t="n"/>
      <c r="R42" s="60" t="n"/>
      <c r="S42" s="60" t="n"/>
      <c r="T42" s="50">
        <f>IF(COUNT($H42:$S42)=0,"",SUM($H42:$S42)/COUNT($H42:$S42))</f>
        <v/>
      </c>
      <c r="U42" s="50">
        <f>IF($G42="","",IF($T42="","",MIN(1,IF($G42=0,IF($T42&lt;=0,1,0),IF($F42="↓",IFERROR($G42/$T42,0),IFERROR($T42/$G42,0))))))</f>
        <v/>
      </c>
      <c r="V42" s="54">
        <f>IF($U42="","⏳ بانتظار هدف",IF($U42&gt;=1.0,"✅ محقق",IF($U42&gt;=0.85,"🟡 قريب","🔴 تحت الهدف")))</f>
        <v/>
      </c>
      <c r="W42" s="61">
        <f>IF($G42="","",$G42)</f>
        <v/>
      </c>
      <c r="X42" s="54">
        <f>IF($U42="","—",IF($U42&gt;=0.85,"🟢 على المسار","🟠 متأخّر"))</f>
        <v/>
      </c>
    </row>
    <row r="43" ht="22" customHeight="1">
      <c r="A43" s="54" t="n">
        <v>40</v>
      </c>
      <c r="B43" s="13" t="inlineStr">
        <is>
          <t>التشغيل والمحطات</t>
        </is>
      </c>
      <c r="C43" s="11" t="inlineStr">
        <is>
          <t>عدد المحطات المشغّلة (تراكمي)</t>
        </is>
      </c>
      <c r="D43" s="15" t="inlineStr">
        <is>
          <t>شهري</t>
        </is>
      </c>
      <c r="E43" s="15" t="inlineStr">
        <is>
          <t>لقطة</t>
        </is>
      </c>
      <c r="F43" s="49" t="inlineStr">
        <is>
          <t>↑</t>
        </is>
      </c>
      <c r="G43" s="55" t="n">
        <v>85</v>
      </c>
      <c r="H43" s="56" t="n"/>
      <c r="I43" s="56" t="n"/>
      <c r="J43" s="56" t="n"/>
      <c r="K43" s="56" t="n"/>
      <c r="L43" s="56" t="n"/>
      <c r="M43" s="56" t="n"/>
      <c r="N43" s="56" t="n"/>
      <c r="O43" s="56" t="n"/>
      <c r="P43" s="56" t="n"/>
      <c r="Q43" s="56" t="n"/>
      <c r="R43" s="56" t="n"/>
      <c r="S43" s="56" t="n"/>
      <c r="T43" s="57">
        <f>IFERROR(LOOKUP(2,1/($H43:$S43&lt;&gt;""),$H43:$S43),"")</f>
        <v/>
      </c>
      <c r="U43" s="50">
        <f>IF($G43="","",IF($T43="","",MIN(1,IF($G43=0,IF($T43&lt;=0,1,0),IF($F43="↓",IFERROR($G43/$T43,0),IFERROR($T43/$G43,0))))))</f>
        <v/>
      </c>
      <c r="V43" s="54">
        <f>IF($U43="","⏳ بانتظار هدف",IF($U43&gt;=1.0,"✅ محقق",IF($U43&gt;=0.85,"🟡 قريب","🔴 تحت الهدف")))</f>
        <v/>
      </c>
      <c r="W43" s="58">
        <f>IF($G43="","",$G43)</f>
        <v/>
      </c>
      <c r="X43" s="54">
        <f>IF($U43="","—",IF($U43&gt;=0.85,"🟢 على المسار","🟠 متأخّر"))</f>
        <v/>
      </c>
    </row>
    <row r="44" ht="22" customHeight="1">
      <c r="A44" s="54" t="n">
        <v>41</v>
      </c>
      <c r="B44" s="13" t="inlineStr">
        <is>
          <t>التشغيل والمحطات</t>
        </is>
      </c>
      <c r="C44" s="11" t="inlineStr">
        <is>
          <t>نمو مبيعات الوقود مقارنة بالعام السابق</t>
        </is>
      </c>
      <c r="D44" s="15" t="inlineStr">
        <is>
          <t>شهري</t>
        </is>
      </c>
      <c r="E44" s="15" t="inlineStr">
        <is>
          <t>معدل</t>
        </is>
      </c>
      <c r="F44" s="49" t="inlineStr">
        <is>
          <t>↑</t>
        </is>
      </c>
      <c r="G44" s="59" t="n">
        <v>0.1</v>
      </c>
      <c r="H44" s="60" t="n"/>
      <c r="I44" s="60" t="n"/>
      <c r="J44" s="60" t="n"/>
      <c r="K44" s="60" t="n"/>
      <c r="L44" s="60" t="n"/>
      <c r="M44" s="60" t="n"/>
      <c r="N44" s="60" t="n"/>
      <c r="O44" s="60" t="n"/>
      <c r="P44" s="60" t="n"/>
      <c r="Q44" s="60" t="n"/>
      <c r="R44" s="60" t="n"/>
      <c r="S44" s="60" t="n"/>
      <c r="T44" s="50">
        <f>IF(COUNT($H44:$S44)=0,"",SUM($H44:$S44)/COUNT($H44:$S44))</f>
        <v/>
      </c>
      <c r="U44" s="50">
        <f>IF($G44="","",IF($T44="","",MIN(1,IF($G44=0,IF($T44&lt;=0,1,0),IF($F44="↓",IFERROR($G44/$T44,0),IFERROR($T44/$G44,0))))))</f>
        <v/>
      </c>
      <c r="V44" s="54">
        <f>IF($U44="","⏳ بانتظار هدف",IF($U44&gt;=1.0,"✅ محقق",IF($U44&gt;=0.85,"🟡 قريب","🔴 تحت الهدف")))</f>
        <v/>
      </c>
      <c r="W44" s="61">
        <f>IF($G44="","",$G44)</f>
        <v/>
      </c>
      <c r="X44" s="54">
        <f>IF($U44="","—",IF($U44&gt;=0.85,"🟢 على المسار","🟠 متأخّر"))</f>
        <v/>
      </c>
    </row>
    <row r="45" ht="22" customHeight="1">
      <c r="A45" s="54" t="n">
        <v>42</v>
      </c>
      <c r="B45" s="13" t="inlineStr">
        <is>
          <t>التشغيل والمحطات</t>
        </is>
      </c>
      <c r="C45" s="11" t="inlineStr">
        <is>
          <t>نسبة انخفاض الشكاوى مقارنة بالعام السابق</t>
        </is>
      </c>
      <c r="D45" s="15" t="inlineStr">
        <is>
          <t>شهري</t>
        </is>
      </c>
      <c r="E45" s="15" t="inlineStr">
        <is>
          <t>معدل</t>
        </is>
      </c>
      <c r="F45" s="49" t="inlineStr">
        <is>
          <t>↑</t>
        </is>
      </c>
      <c r="G45" s="59" t="n">
        <v>0.2</v>
      </c>
      <c r="H45" s="60" t="n"/>
      <c r="I45" s="60" t="n"/>
      <c r="J45" s="60" t="n"/>
      <c r="K45" s="60" t="n"/>
      <c r="L45" s="60" t="n"/>
      <c r="M45" s="60" t="n"/>
      <c r="N45" s="60" t="n"/>
      <c r="O45" s="60" t="n"/>
      <c r="P45" s="60" t="n"/>
      <c r="Q45" s="60" t="n"/>
      <c r="R45" s="60" t="n"/>
      <c r="S45" s="60" t="n"/>
      <c r="T45" s="50">
        <f>IF(COUNT($H45:$S45)=0,"",SUM($H45:$S45)/COUNT($H45:$S45))</f>
        <v/>
      </c>
      <c r="U45" s="50">
        <f>IF($G45="","",IF($T45="","",MIN(1,IF($G45=0,IF($T45&lt;=0,1,0),IF($F45="↓",IFERROR($G45/$T45,0),IFERROR($T45/$G45,0))))))</f>
        <v/>
      </c>
      <c r="V45" s="54">
        <f>IF($U45="","⏳ بانتظار هدف",IF($U45&gt;=1.0,"✅ محقق",IF($U45&gt;=0.85,"🟡 قريب","🔴 تحت الهدف")))</f>
        <v/>
      </c>
      <c r="W45" s="61">
        <f>IF($G45="","",$G45)</f>
        <v/>
      </c>
      <c r="X45" s="54">
        <f>IF($U45="","—",IF($U45&gt;=0.85,"🟢 على المسار","🟠 متأخّر"))</f>
        <v/>
      </c>
    </row>
    <row r="46" ht="22" customHeight="1">
      <c r="A46" s="54" t="n">
        <v>43</v>
      </c>
      <c r="B46" s="13" t="inlineStr">
        <is>
          <t>التشغيل والمحطات</t>
        </is>
      </c>
      <c r="C46" s="11" t="inlineStr">
        <is>
          <t>تطبيق المعيار الشامل في المحطات</t>
        </is>
      </c>
      <c r="D46" s="15" t="inlineStr">
        <is>
          <t>شهري</t>
        </is>
      </c>
      <c r="E46" s="15" t="inlineStr">
        <is>
          <t>لقطة</t>
        </is>
      </c>
      <c r="F46" s="49" t="inlineStr">
        <is>
          <t>↑</t>
        </is>
      </c>
      <c r="G46" s="59" t="n">
        <v>0.8</v>
      </c>
      <c r="H46" s="60" t="n"/>
      <c r="I46" s="60" t="n"/>
      <c r="J46" s="60" t="n"/>
      <c r="K46" s="60" t="n"/>
      <c r="L46" s="60" t="n"/>
      <c r="M46" s="60" t="n"/>
      <c r="N46" s="60" t="n"/>
      <c r="O46" s="60" t="n"/>
      <c r="P46" s="60" t="n"/>
      <c r="Q46" s="60" t="n"/>
      <c r="R46" s="60" t="n"/>
      <c r="S46" s="60" t="n"/>
      <c r="T46" s="50">
        <f>IFERROR(LOOKUP(2,1/($H46:$S46&lt;&gt;""),$H46:$S46),"")</f>
        <v/>
      </c>
      <c r="U46" s="50">
        <f>IF($G46="","",IF($T46="","",MIN(1,IF($G46=0,IF($T46&lt;=0,1,0),IF($F46="↓",IFERROR($G46/$T46,0),IFERROR($T46/$G46,0))))))</f>
        <v/>
      </c>
      <c r="V46" s="54">
        <f>IF($U46="","⏳ بانتظار هدف",IF($U46&gt;=1.0,"✅ محقق",IF($U46&gt;=0.85,"🟡 قريب","🔴 تحت الهدف")))</f>
        <v/>
      </c>
      <c r="W46" s="61">
        <f>IF($G46="","",$G46)</f>
        <v/>
      </c>
      <c r="X46" s="54">
        <f>IF($U46="","—",IF($U46&gt;=0.85,"🟢 على المسار","🟠 متأخّر"))</f>
        <v/>
      </c>
    </row>
    <row r="47" ht="22" customHeight="1">
      <c r="A47" s="54" t="n">
        <v>44</v>
      </c>
      <c r="B47" s="13" t="inlineStr">
        <is>
          <t>الاستثمار</t>
        </is>
      </c>
      <c r="C47" s="11" t="inlineStr">
        <is>
          <t>عدد فرص الاستثمار</t>
        </is>
      </c>
      <c r="D47" s="15" t="inlineStr">
        <is>
          <t>شهري</t>
        </is>
      </c>
      <c r="E47" s="15" t="inlineStr">
        <is>
          <t>تراكمي</t>
        </is>
      </c>
      <c r="F47" s="49" t="inlineStr">
        <is>
          <t>↑</t>
        </is>
      </c>
      <c r="G47" s="55" t="n">
        <v>20</v>
      </c>
      <c r="H47" s="56" t="n"/>
      <c r="I47" s="56" t="n"/>
      <c r="J47" s="56" t="n"/>
      <c r="K47" s="56" t="n"/>
      <c r="L47" s="56" t="n"/>
      <c r="M47" s="56" t="n"/>
      <c r="N47" s="56" t="n"/>
      <c r="O47" s="56" t="n"/>
      <c r="P47" s="56" t="n"/>
      <c r="Q47" s="56" t="n"/>
      <c r="R47" s="56" t="n"/>
      <c r="S47" s="56" t="n"/>
      <c r="T47" s="57">
        <f>IF(COUNT($H47:$S47)=0,"",SUM($H47:$S47))</f>
        <v/>
      </c>
      <c r="U47" s="50">
        <f>IF($G47="","",IF($T47="","",MIN(1,IF($G47=0,IF($T47&lt;=0,1,0),IF($F47="↓",IFERROR($G47/$T47,0),IFERROR($T47/$G47,0))))))</f>
        <v/>
      </c>
      <c r="V47" s="54">
        <f>IF($U47="","⏳ بانتظار هدف",IF($U47&gt;=1.0,"✅ محقق",IF($U47&gt;=0.85,"🟡 قريب","🔴 تحت الهدف")))</f>
        <v/>
      </c>
      <c r="W47" s="58">
        <f>IF($G47="","",$G47*COUNT($H47:$S47)/12)</f>
        <v/>
      </c>
      <c r="X47" s="54">
        <f>IF($U47="","—",IF($U47&gt;=COUNT($H47:$S47)/12,"🟢 على المسار","🟠 متأخّر"))</f>
        <v/>
      </c>
    </row>
    <row r="48" ht="22" customHeight="1">
      <c r="A48" s="54" t="n">
        <v>45</v>
      </c>
      <c r="B48" s="13" t="inlineStr">
        <is>
          <t>الاستثمار</t>
        </is>
      </c>
      <c r="C48" s="11" t="inlineStr">
        <is>
          <t>نسبة المواقع المشغّلة ذات العائد المجدي</t>
        </is>
      </c>
      <c r="D48" s="15" t="inlineStr">
        <is>
          <t>شهري</t>
        </is>
      </c>
      <c r="E48" s="15" t="inlineStr">
        <is>
          <t>معدل</t>
        </is>
      </c>
      <c r="F48" s="49" t="inlineStr">
        <is>
          <t>↑</t>
        </is>
      </c>
      <c r="G48" s="59" t="n">
        <v>0.8</v>
      </c>
      <c r="H48" s="60" t="n"/>
      <c r="I48" s="60" t="n"/>
      <c r="J48" s="60" t="n"/>
      <c r="K48" s="60" t="n"/>
      <c r="L48" s="60" t="n"/>
      <c r="M48" s="60" t="n"/>
      <c r="N48" s="60" t="n"/>
      <c r="O48" s="60" t="n"/>
      <c r="P48" s="60" t="n"/>
      <c r="Q48" s="60" t="n"/>
      <c r="R48" s="60" t="n"/>
      <c r="S48" s="60" t="n"/>
      <c r="T48" s="50">
        <f>IF(COUNT($H48:$S48)=0,"",SUM($H48:$S48)/COUNT($H48:$S48))</f>
        <v/>
      </c>
      <c r="U48" s="50">
        <f>IF($G48="","",IF($T48="","",MIN(1,IF($G48=0,IF($T48&lt;=0,1,0),IF($F48="↓",IFERROR($G48/$T48,0),IFERROR($T48/$G48,0))))))</f>
        <v/>
      </c>
      <c r="V48" s="54">
        <f>IF($U48="","⏳ بانتظار هدف",IF($U48&gt;=1.0,"✅ محقق",IF($U48&gt;=0.85,"🟡 قريب","🔴 تحت الهدف")))</f>
        <v/>
      </c>
      <c r="W48" s="61">
        <f>IF($G48="","",$G48)</f>
        <v/>
      </c>
      <c r="X48" s="54">
        <f>IF($U48="","—",IF($U48&gt;=0.85,"🟢 على المسار","🟠 متأخّر"))</f>
        <v/>
      </c>
    </row>
    <row r="49" ht="22" customHeight="1">
      <c r="A49" s="54" t="n">
        <v>46</v>
      </c>
      <c r="B49" s="13" t="inlineStr">
        <is>
          <t>الاستثمار</t>
        </is>
      </c>
      <c r="C49" s="11" t="inlineStr">
        <is>
          <t>مدى رضا المستثمرين وشركاء الاستثمار</t>
        </is>
      </c>
      <c r="D49" s="15" t="inlineStr">
        <is>
          <t>ربعي</t>
        </is>
      </c>
      <c r="E49" s="15" t="inlineStr">
        <is>
          <t>معدل</t>
        </is>
      </c>
      <c r="F49" s="49" t="inlineStr">
        <is>
          <t>↑</t>
        </is>
      </c>
      <c r="G49" s="59" t="n">
        <v>0.8</v>
      </c>
      <c r="H49" s="60" t="n"/>
      <c r="I49" s="60" t="n"/>
      <c r="J49" s="60" t="n"/>
      <c r="K49" s="60" t="n"/>
      <c r="L49" s="60" t="n"/>
      <c r="M49" s="60" t="n"/>
      <c r="N49" s="60" t="n"/>
      <c r="O49" s="60" t="n"/>
      <c r="P49" s="60" t="n"/>
      <c r="Q49" s="60" t="n"/>
      <c r="R49" s="60" t="n"/>
      <c r="S49" s="60" t="n"/>
      <c r="T49" s="50">
        <f>IF(COUNT($H49:$S49)=0,"",SUM($H49:$S49)/COUNT($H49:$S49))</f>
        <v/>
      </c>
      <c r="U49" s="50">
        <f>IF($G49="","",IF($T49="","",MIN(1,IF($G49=0,IF($T49&lt;=0,1,0),IF($F49="↓",IFERROR($G49/$T49,0),IFERROR($T49/$G49,0))))))</f>
        <v/>
      </c>
      <c r="V49" s="54">
        <f>IF($U49="","⏳ بانتظار هدف",IF($U49&gt;=0.9,"✅ محقق",IF($U49&gt;=0.75,"🟡 قريب","🔴 تحت الهدف")))</f>
        <v/>
      </c>
      <c r="W49" s="61">
        <f>IF($G49="","",$G49)</f>
        <v/>
      </c>
      <c r="X49" s="54">
        <f>IF($U49="","—",IF($U49&gt;=0.75,"🟢 على المسار","🟠 متأخّر"))</f>
        <v/>
      </c>
    </row>
    <row r="50" ht="22" customHeight="1">
      <c r="A50" s="54" t="n">
        <v>47</v>
      </c>
      <c r="B50" s="13" t="inlineStr">
        <is>
          <t>الاستثمار</t>
        </is>
      </c>
      <c r="C50" s="11" t="inlineStr">
        <is>
          <t>متوسط مدة إغلاق عقد الاستثمار</t>
        </is>
      </c>
      <c r="D50" s="15" t="inlineStr">
        <is>
          <t>شهري</t>
        </is>
      </c>
      <c r="E50" s="15" t="inlineStr">
        <is>
          <t>معدل</t>
        </is>
      </c>
      <c r="F50" s="49" t="inlineStr">
        <is>
          <t>↓</t>
        </is>
      </c>
      <c r="G50" s="62" t="n">
        <v>1</v>
      </c>
      <c r="H50" s="63" t="n"/>
      <c r="I50" s="63" t="n"/>
      <c r="J50" s="63" t="n"/>
      <c r="K50" s="63" t="n"/>
      <c r="L50" s="63" t="n"/>
      <c r="M50" s="63" t="n"/>
      <c r="N50" s="63" t="n"/>
      <c r="O50" s="63" t="n"/>
      <c r="P50" s="63" t="n"/>
      <c r="Q50" s="63" t="n"/>
      <c r="R50" s="63" t="n"/>
      <c r="S50" s="63" t="n"/>
      <c r="T50" s="64">
        <f>IF(COUNT($H50:$S50)=0,"",SUM($H50:$S50)/COUNT($H50:$S50))</f>
        <v/>
      </c>
      <c r="U50" s="50">
        <f>IF($G50="","",IF($T50="","",MIN(1,IF($G50=0,IF($T50&lt;=0,1,0),IF($F50="↓",IFERROR($G50/$T50,0),IFERROR($T50/$G50,0))))))</f>
        <v/>
      </c>
      <c r="V50" s="54">
        <f>IF($U50="","⏳ بانتظار هدف",IF($U50&gt;=1.0,"✅ محقق",IF($U50&gt;=0.85,"🟡 قريب","🔴 تحت الهدف")))</f>
        <v/>
      </c>
      <c r="W50" s="65">
        <f>IF($G50="","",$G50)</f>
        <v/>
      </c>
      <c r="X50" s="54">
        <f>IF($U50="","—",IF($U50&gt;=0.85,"🟢 على المسار","🟠 متأخّر"))</f>
        <v/>
      </c>
    </row>
    <row r="51" ht="22" customHeight="1">
      <c r="A51" s="54" t="n">
        <v>48</v>
      </c>
      <c r="B51" s="13" t="inlineStr">
        <is>
          <t>الاستثمار</t>
        </is>
      </c>
      <c r="C51" s="11" t="inlineStr">
        <is>
          <t>عدد العقود التي تغطي المناطق الـ13</t>
        </is>
      </c>
      <c r="D51" s="15" t="inlineStr">
        <is>
          <t>شهري</t>
        </is>
      </c>
      <c r="E51" s="15" t="inlineStr">
        <is>
          <t>لقطة</t>
        </is>
      </c>
      <c r="F51" s="49" t="inlineStr">
        <is>
          <t>↑</t>
        </is>
      </c>
      <c r="G51" s="55" t="n">
        <v>13</v>
      </c>
      <c r="H51" s="56" t="n"/>
      <c r="I51" s="56" t="n"/>
      <c r="J51" s="56" t="n"/>
      <c r="K51" s="56" t="n"/>
      <c r="L51" s="56" t="n"/>
      <c r="M51" s="56" t="n"/>
      <c r="N51" s="56" t="n"/>
      <c r="O51" s="56" t="n"/>
      <c r="P51" s="56" t="n"/>
      <c r="Q51" s="56" t="n"/>
      <c r="R51" s="56" t="n"/>
      <c r="S51" s="56" t="n"/>
      <c r="T51" s="57">
        <f>IFERROR(LOOKUP(2,1/($H51:$S51&lt;&gt;""),$H51:$S51),"")</f>
        <v/>
      </c>
      <c r="U51" s="50">
        <f>IF($G51="","",IF($T51="","",MIN(1,IF($G51=0,IF($T51&lt;=0,1,0),IF($F51="↓",IFERROR($G51/$T51,0),IFERROR($T51/$G51,0))))))</f>
        <v/>
      </c>
      <c r="V51" s="54">
        <f>IF($U51="","⏳ بانتظار هدف",IF($U51&gt;=1.0,"✅ محقق",IF($U51&gt;=0.85,"🟡 قريب","🔴 تحت الهدف")))</f>
        <v/>
      </c>
      <c r="W51" s="58">
        <f>IF($G51="","",$G51)</f>
        <v/>
      </c>
      <c r="X51" s="54">
        <f>IF($U51="","—",IF($U51&gt;=0.85,"🟢 على المسار","🟠 متأخّر"))</f>
        <v/>
      </c>
    </row>
    <row r="52" ht="22" customHeight="1">
      <c r="A52" s="54" t="n">
        <v>49</v>
      </c>
      <c r="B52" s="13" t="inlineStr">
        <is>
          <t>العقار</t>
        </is>
      </c>
      <c r="C52" s="11" t="inlineStr">
        <is>
          <t>نسبة إشغال الوحدات</t>
        </is>
      </c>
      <c r="D52" s="15" t="inlineStr">
        <is>
          <t>شهري</t>
        </is>
      </c>
      <c r="E52" s="15" t="inlineStr">
        <is>
          <t>معدل</t>
        </is>
      </c>
      <c r="F52" s="49" t="inlineStr">
        <is>
          <t>↑</t>
        </is>
      </c>
      <c r="G52" s="59" t="n">
        <v>0.6</v>
      </c>
      <c r="H52" s="60" t="n"/>
      <c r="I52" s="60" t="n"/>
      <c r="J52" s="60" t="n"/>
      <c r="K52" s="60" t="n"/>
      <c r="L52" s="60" t="n"/>
      <c r="M52" s="60" t="n"/>
      <c r="N52" s="60" t="n"/>
      <c r="O52" s="60" t="n"/>
      <c r="P52" s="60" t="n"/>
      <c r="Q52" s="60" t="n"/>
      <c r="R52" s="60" t="n"/>
      <c r="S52" s="60" t="n"/>
      <c r="T52" s="50">
        <f>IF(COUNT($H52:$S52)=0,"",SUM($H52:$S52)/COUNT($H52:$S52))</f>
        <v/>
      </c>
      <c r="U52" s="50">
        <f>IF($G52="","",IF($T52="","",MIN(1,IF($G52=0,IF($T52&lt;=0,1,0),IF($F52="↓",IFERROR($G52/$T52,0),IFERROR($T52/$G52,0))))))</f>
        <v/>
      </c>
      <c r="V52" s="54">
        <f>IF($U52="","⏳ بانتظار هدف",IF($U52&gt;=1.0,"✅ محقق",IF($U52&gt;=0.85,"🟡 قريب","🔴 تحت الهدف")))</f>
        <v/>
      </c>
      <c r="W52" s="61">
        <f>IF($G52="","",$G52)</f>
        <v/>
      </c>
      <c r="X52" s="54">
        <f>IF($U52="","—",IF($U52&gt;=0.85,"🟢 على المسار","🟠 متأخّر"))</f>
        <v/>
      </c>
    </row>
    <row r="53" ht="22" customHeight="1">
      <c r="A53" s="54" t="n">
        <v>50</v>
      </c>
      <c r="B53" s="13" t="inlineStr">
        <is>
          <t>العقار</t>
        </is>
      </c>
      <c r="C53" s="11" t="inlineStr">
        <is>
          <t>زيادة عدد العلامات التجارية</t>
        </is>
      </c>
      <c r="D53" s="15" t="inlineStr">
        <is>
          <t>شهري</t>
        </is>
      </c>
      <c r="E53" s="15" t="inlineStr">
        <is>
          <t>لقطة</t>
        </is>
      </c>
      <c r="F53" s="49" t="inlineStr">
        <is>
          <t>↑</t>
        </is>
      </c>
      <c r="G53" s="55" t="n">
        <v>246</v>
      </c>
      <c r="H53" s="56" t="n"/>
      <c r="I53" s="56" t="n"/>
      <c r="J53" s="56" t="n"/>
      <c r="K53" s="56" t="n"/>
      <c r="L53" s="56" t="n"/>
      <c r="M53" s="56" t="n"/>
      <c r="N53" s="56" t="n"/>
      <c r="O53" s="56" t="n"/>
      <c r="P53" s="56" t="n"/>
      <c r="Q53" s="56" t="n"/>
      <c r="R53" s="56" t="n"/>
      <c r="S53" s="56" t="n"/>
      <c r="T53" s="57">
        <f>IFERROR(LOOKUP(2,1/($H53:$S53&lt;&gt;""),$H53:$S53),"")</f>
        <v/>
      </c>
      <c r="U53" s="50">
        <f>IF($G53="","",IF($T53="","",MIN(1,IF($G53=0,IF($T53&lt;=0,1,0),IF($F53="↓",IFERROR($G53/$T53,0),IFERROR($T53/$G53,0))))))</f>
        <v/>
      </c>
      <c r="V53" s="54">
        <f>IF($U53="","⏳ بانتظار هدف",IF($U53&gt;=1.0,"✅ محقق",IF($U53&gt;=0.85,"🟡 قريب","🔴 تحت الهدف")))</f>
        <v/>
      </c>
      <c r="W53" s="58">
        <f>IF($G53="","",$G53)</f>
        <v/>
      </c>
      <c r="X53" s="54">
        <f>IF($U53="","—",IF($U53&gt;=0.85,"🟢 على المسار","🟠 متأخّر"))</f>
        <v/>
      </c>
    </row>
    <row r="54" ht="22" customHeight="1">
      <c r="A54" s="54" t="n">
        <v>51</v>
      </c>
      <c r="B54" s="13" t="inlineStr">
        <is>
          <t>العقار</t>
        </is>
      </c>
      <c r="C54" s="11" t="inlineStr">
        <is>
          <t>معدل رضا المستأجرين (استبيان ربعي)</t>
        </is>
      </c>
      <c r="D54" s="15" t="inlineStr">
        <is>
          <t>ربعي</t>
        </is>
      </c>
      <c r="E54" s="15" t="inlineStr">
        <is>
          <t>معدل</t>
        </is>
      </c>
      <c r="F54" s="49" t="inlineStr">
        <is>
          <t>↑</t>
        </is>
      </c>
      <c r="G54" s="59" t="n">
        <v>0.9</v>
      </c>
      <c r="H54" s="60" t="n"/>
      <c r="I54" s="60" t="n"/>
      <c r="J54" s="60" t="n"/>
      <c r="K54" s="60" t="n"/>
      <c r="L54" s="60" t="n"/>
      <c r="M54" s="60" t="n"/>
      <c r="N54" s="60" t="n"/>
      <c r="O54" s="60" t="n"/>
      <c r="P54" s="60" t="n"/>
      <c r="Q54" s="60" t="n"/>
      <c r="R54" s="60" t="n"/>
      <c r="S54" s="60" t="n"/>
      <c r="T54" s="50">
        <f>IF(COUNT($H54:$S54)=0,"",SUM($H54:$S54)/COUNT($H54:$S54))</f>
        <v/>
      </c>
      <c r="U54" s="50">
        <f>IF($G54="","",IF($T54="","",MIN(1,IF($G54=0,IF($T54&lt;=0,1,0),IF($F54="↓",IFERROR($G54/$T54,0),IFERROR($T54/$G54,0))))))</f>
        <v/>
      </c>
      <c r="V54" s="54">
        <f>IF($U54="","⏳ بانتظار هدف",IF($U54&gt;=0.9,"✅ محقق",IF($U54&gt;=0.75,"🟡 قريب","🔴 تحت الهدف")))</f>
        <v/>
      </c>
      <c r="W54" s="61">
        <f>IF($G54="","",$G54)</f>
        <v/>
      </c>
      <c r="X54" s="54">
        <f>IF($U54="","—",IF($U54&gt;=0.75,"🟢 على المسار","🟠 متأخّر"))</f>
        <v/>
      </c>
    </row>
    <row r="55" ht="22" customHeight="1">
      <c r="A55" s="54" t="n">
        <v>52</v>
      </c>
      <c r="B55" s="13" t="inlineStr">
        <is>
          <t>العقار</t>
        </is>
      </c>
      <c r="C55" s="11" t="inlineStr">
        <is>
          <t>نسبة تحصيل الإيجارات</t>
        </is>
      </c>
      <c r="D55" s="15" t="inlineStr">
        <is>
          <t>شهري</t>
        </is>
      </c>
      <c r="E55" s="15" t="inlineStr">
        <is>
          <t>معدل</t>
        </is>
      </c>
      <c r="F55" s="49" t="inlineStr">
        <is>
          <t>↑</t>
        </is>
      </c>
      <c r="G55" s="59" t="n">
        <v>0.95</v>
      </c>
      <c r="H55" s="60" t="n"/>
      <c r="I55" s="60" t="n"/>
      <c r="J55" s="60" t="n"/>
      <c r="K55" s="60" t="n"/>
      <c r="L55" s="60" t="n"/>
      <c r="M55" s="60" t="n"/>
      <c r="N55" s="60" t="n"/>
      <c r="O55" s="60" t="n"/>
      <c r="P55" s="60" t="n"/>
      <c r="Q55" s="60" t="n"/>
      <c r="R55" s="60" t="n"/>
      <c r="S55" s="60" t="n"/>
      <c r="T55" s="50">
        <f>IF(COUNT($H55:$S55)=0,"",SUM($H55:$S55)/COUNT($H55:$S55))</f>
        <v/>
      </c>
      <c r="U55" s="50">
        <f>IF($G55="","",IF($T55="","",MIN(1,IF($G55=0,IF($T55&lt;=0,1,0),IF($F55="↓",IFERROR($G55/$T55,0),IFERROR($T55/$G55,0))))))</f>
        <v/>
      </c>
      <c r="V55" s="54">
        <f>IF($U55="","⏳ بانتظار هدف",IF($U55&gt;=1.0,"✅ محقق",IF($U55&gt;=0.85,"🟡 قريب","🔴 تحت الهدف")))</f>
        <v/>
      </c>
      <c r="W55" s="61">
        <f>IF($G55="","",$G55)</f>
        <v/>
      </c>
      <c r="X55" s="54">
        <f>IF($U55="","—",IF($U55&gt;=0.85,"🟢 على المسار","🟠 متأخّر"))</f>
        <v/>
      </c>
    </row>
    <row r="56" ht="22" customHeight="1">
      <c r="A56" s="54" t="n">
        <v>53</v>
      </c>
      <c r="B56" s="13" t="inlineStr">
        <is>
          <t>إدارة المشاريع</t>
        </is>
      </c>
      <c r="C56" s="11" t="inlineStr">
        <is>
          <t>نسبة إنجاز محفظة المشاريع</t>
        </is>
      </c>
      <c r="D56" s="15" t="inlineStr">
        <is>
          <t>شهري</t>
        </is>
      </c>
      <c r="E56" s="15" t="inlineStr">
        <is>
          <t>معدل</t>
        </is>
      </c>
      <c r="F56" s="49" t="inlineStr">
        <is>
          <t>↑</t>
        </is>
      </c>
      <c r="G56" s="59" t="n">
        <v>0.7</v>
      </c>
      <c r="H56" s="60" t="n"/>
      <c r="I56" s="60" t="n"/>
      <c r="J56" s="60" t="n"/>
      <c r="K56" s="60" t="n"/>
      <c r="L56" s="60" t="n"/>
      <c r="M56" s="60" t="n"/>
      <c r="N56" s="60" t="n"/>
      <c r="O56" s="60" t="n"/>
      <c r="P56" s="60" t="n"/>
      <c r="Q56" s="60" t="n"/>
      <c r="R56" s="60" t="n"/>
      <c r="S56" s="60" t="n"/>
      <c r="T56" s="50">
        <f>IF(COUNT($H56:$S56)=0,"",SUM($H56:$S56)/COUNT($H56:$S56))</f>
        <v/>
      </c>
      <c r="U56" s="50">
        <f>IF($G56="","",IF($T56="","",MIN(1,IF($G56=0,IF($T56&lt;=0,1,0),IF($F56="↓",IFERROR($G56/$T56,0),IFERROR($T56/$G56,0))))))</f>
        <v/>
      </c>
      <c r="V56" s="54">
        <f>IF($U56="","⏳ بانتظار هدف",IF($U56&gt;=1.0,"✅ محقق",IF($U56&gt;=0.85,"🟡 قريب","🔴 تحت الهدف")))</f>
        <v/>
      </c>
      <c r="W56" s="61">
        <f>IF($G56="","",$G56)</f>
        <v/>
      </c>
      <c r="X56" s="54">
        <f>IF($U56="","—",IF($U56&gt;=0.85,"🟢 على المسار","🟠 متأخّر"))</f>
        <v/>
      </c>
    </row>
    <row r="57" ht="22" customHeight="1">
      <c r="A57" s="54" t="n">
        <v>54</v>
      </c>
      <c r="B57" s="13" t="inlineStr">
        <is>
          <t>إدارة المشاريع</t>
        </is>
      </c>
      <c r="C57" s="11" t="inlineStr">
        <is>
          <t>نسبة تسليم المحطات في الموعد المخطط</t>
        </is>
      </c>
      <c r="D57" s="15" t="inlineStr">
        <is>
          <t>شهري</t>
        </is>
      </c>
      <c r="E57" s="15" t="inlineStr">
        <is>
          <t>معدل</t>
        </is>
      </c>
      <c r="F57" s="49" t="inlineStr">
        <is>
          <t>↑</t>
        </is>
      </c>
      <c r="G57" s="59" t="n">
        <v>0.8</v>
      </c>
      <c r="H57" s="60" t="n"/>
      <c r="I57" s="60" t="n"/>
      <c r="J57" s="60" t="n"/>
      <c r="K57" s="60" t="n"/>
      <c r="L57" s="60" t="n"/>
      <c r="M57" s="60" t="n"/>
      <c r="N57" s="60" t="n"/>
      <c r="O57" s="60" t="n"/>
      <c r="P57" s="60" t="n"/>
      <c r="Q57" s="60" t="n"/>
      <c r="R57" s="60" t="n"/>
      <c r="S57" s="60" t="n"/>
      <c r="T57" s="50">
        <f>IF(COUNT($H57:$S57)=0,"",SUM($H57:$S57)/COUNT($H57:$S57))</f>
        <v/>
      </c>
      <c r="U57" s="50">
        <f>IF($G57="","",IF($T57="","",MIN(1,IF($G57=0,IF($T57&lt;=0,1,0),IF($F57="↓",IFERROR($G57/$T57,0),IFERROR($T57/$G57,0))))))</f>
        <v/>
      </c>
      <c r="V57" s="54">
        <f>IF($U57="","⏳ بانتظار هدف",IF($U57&gt;=1.0,"✅ محقق",IF($U57&gt;=0.85,"🟡 قريب","🔴 تحت الهدف")))</f>
        <v/>
      </c>
      <c r="W57" s="61">
        <f>IF($G57="","",$G57)</f>
        <v/>
      </c>
      <c r="X57" s="54">
        <f>IF($U57="","—",IF($U57&gt;=0.85,"🟢 على المسار","🟠 متأخّر"))</f>
        <v/>
      </c>
    </row>
    <row r="58" ht="22" customHeight="1">
      <c r="A58" s="54" t="n">
        <v>55</v>
      </c>
      <c r="B58" s="13" t="inlineStr">
        <is>
          <t>إدارة المشاريع</t>
        </is>
      </c>
      <c r="C58" s="11" t="inlineStr">
        <is>
          <t>متوسط مدة إغلاق قائمة الملاحظات النهائية</t>
        </is>
      </c>
      <c r="D58" s="15" t="inlineStr">
        <is>
          <t>شهري</t>
        </is>
      </c>
      <c r="E58" s="15" t="inlineStr">
        <is>
          <t>معدل</t>
        </is>
      </c>
      <c r="F58" s="49" t="inlineStr">
        <is>
          <t>↓</t>
        </is>
      </c>
      <c r="G58" s="62" t="n">
        <v>30</v>
      </c>
      <c r="H58" s="63" t="n"/>
      <c r="I58" s="63" t="n"/>
      <c r="J58" s="63" t="n"/>
      <c r="K58" s="63" t="n"/>
      <c r="L58" s="63" t="n"/>
      <c r="M58" s="63" t="n"/>
      <c r="N58" s="63" t="n"/>
      <c r="O58" s="63" t="n"/>
      <c r="P58" s="63" t="n"/>
      <c r="Q58" s="63" t="n"/>
      <c r="R58" s="63" t="n"/>
      <c r="S58" s="63" t="n"/>
      <c r="T58" s="64">
        <f>IF(COUNT($H58:$S58)=0,"",SUM($H58:$S58)/COUNT($H58:$S58))</f>
        <v/>
      </c>
      <c r="U58" s="50">
        <f>IF($G58="","",IF($T58="","",MIN(1,IF($G58=0,IF($T58&lt;=0,1,0),IF($F58="↓",IFERROR($G58/$T58,0),IFERROR($T58/$G58,0))))))</f>
        <v/>
      </c>
      <c r="V58" s="54">
        <f>IF($U58="","⏳ بانتظار هدف",IF($U58&gt;=1.0,"✅ محقق",IF($U58&gt;=0.85,"🟡 قريب","🔴 تحت الهدف")))</f>
        <v/>
      </c>
      <c r="W58" s="65">
        <f>IF($G58="","",$G58)</f>
        <v/>
      </c>
      <c r="X58" s="54">
        <f>IF($U58="","—",IF($U58&gt;=0.85,"🟢 على المسار","🟠 متأخّر"))</f>
        <v/>
      </c>
    </row>
    <row r="59" ht="22" customHeight="1">
      <c r="A59" s="54" t="n">
        <v>56</v>
      </c>
      <c r="B59" s="13" t="inlineStr">
        <is>
          <t>سلاسل الإمداد</t>
        </is>
      </c>
      <c r="C59" s="11" t="inlineStr">
        <is>
          <t>عدد انقطاعات الوقود في المحطات</t>
        </is>
      </c>
      <c r="D59" s="15" t="inlineStr">
        <is>
          <t>شهري</t>
        </is>
      </c>
      <c r="E59" s="15" t="inlineStr">
        <is>
          <t>تراكمي</t>
        </is>
      </c>
      <c r="F59" s="49" t="inlineStr">
        <is>
          <t>↓</t>
        </is>
      </c>
      <c r="G59" s="55" t="n">
        <v>0</v>
      </c>
      <c r="H59" s="56" t="n"/>
      <c r="I59" s="56" t="n"/>
      <c r="J59" s="56" t="n"/>
      <c r="K59" s="56" t="n"/>
      <c r="L59" s="56" t="n"/>
      <c r="M59" s="56" t="n"/>
      <c r="N59" s="56" t="n"/>
      <c r="O59" s="56" t="n"/>
      <c r="P59" s="56" t="n"/>
      <c r="Q59" s="56" t="n"/>
      <c r="R59" s="56" t="n"/>
      <c r="S59" s="56" t="n"/>
      <c r="T59" s="57">
        <f>IF(COUNT($H59:$S59)=0,"",SUM($H59:$S59))</f>
        <v/>
      </c>
      <c r="U59" s="50">
        <f>IF($G59="","",IF($T59="","",MIN(1,IF($G59=0,IF($T59&lt;=0,1,0),IF($F59="↓",IFERROR($G59/$T59,0),IFERROR($T59/$G59,0))))))</f>
        <v/>
      </c>
      <c r="V59" s="54">
        <f>IF($U59="","⏳ بانتظار هدف",IF($U59&gt;=1.0,"✅ محقق",IF($U59&gt;=0.85,"🟡 قريب","🔴 تحت الهدف")))</f>
        <v/>
      </c>
      <c r="W59" s="58">
        <f>IF($G59="","",$G59*COUNT($H59:$S59)/12)</f>
        <v/>
      </c>
      <c r="X59" s="54">
        <f>IF($U59="","—",IF($U59&gt;=COUNT($H59:$S59)/12,"🟢 على المسار","🟠 متأخّر"))</f>
        <v/>
      </c>
    </row>
    <row r="60" ht="22" customHeight="1">
      <c r="A60" s="54" t="n">
        <v>57</v>
      </c>
      <c r="B60" s="13" t="inlineStr">
        <is>
          <t>سلاسل الإمداد</t>
        </is>
      </c>
      <c r="C60" s="11" t="inlineStr">
        <is>
          <t>نسبة إنجاز أوامر الشراء</t>
        </is>
      </c>
      <c r="D60" s="15" t="inlineStr">
        <is>
          <t>شهري</t>
        </is>
      </c>
      <c r="E60" s="15" t="inlineStr">
        <is>
          <t>معدل</t>
        </is>
      </c>
      <c r="F60" s="49" t="inlineStr">
        <is>
          <t>↑</t>
        </is>
      </c>
      <c r="G60" s="59" t="n">
        <v>0.95</v>
      </c>
      <c r="H60" s="60" t="n"/>
      <c r="I60" s="60" t="n"/>
      <c r="J60" s="60" t="n"/>
      <c r="K60" s="60" t="n"/>
      <c r="L60" s="60" t="n"/>
      <c r="M60" s="60" t="n"/>
      <c r="N60" s="60" t="n"/>
      <c r="O60" s="60" t="n"/>
      <c r="P60" s="60" t="n"/>
      <c r="Q60" s="60" t="n"/>
      <c r="R60" s="60" t="n"/>
      <c r="S60" s="60" t="n"/>
      <c r="T60" s="50">
        <f>IF(COUNT($H60:$S60)=0,"",SUM($H60:$S60)/COUNT($H60:$S60))</f>
        <v/>
      </c>
      <c r="U60" s="50">
        <f>IF($G60="","",IF($T60="","",MIN(1,IF($G60=0,IF($T60&lt;=0,1,0),IF($F60="↓",IFERROR($G60/$T60,0),IFERROR($T60/$G60,0))))))</f>
        <v/>
      </c>
      <c r="V60" s="54">
        <f>IF($U60="","⏳ بانتظار هدف",IF($U60&gt;=1.0,"✅ محقق",IF($U60&gt;=0.85,"🟡 قريب","🔴 تحت الهدف")))</f>
        <v/>
      </c>
      <c r="W60" s="61">
        <f>IF($G60="","",$G60)</f>
        <v/>
      </c>
      <c r="X60" s="54">
        <f>IF($U60="","—",IF($U60&gt;=0.85,"🟢 على المسار","🟠 متأخّر"))</f>
        <v/>
      </c>
    </row>
    <row r="61" ht="22" customHeight="1">
      <c r="A61" s="54" t="n">
        <v>58</v>
      </c>
      <c r="B61" s="13" t="inlineStr">
        <is>
          <t>سلاسل الإمداد</t>
        </is>
      </c>
      <c r="C61" s="11" t="inlineStr">
        <is>
          <t>مستوى رضا الموردين</t>
        </is>
      </c>
      <c r="D61" s="15" t="inlineStr">
        <is>
          <t>ربعي</t>
        </is>
      </c>
      <c r="E61" s="15" t="inlineStr">
        <is>
          <t>معدل</t>
        </is>
      </c>
      <c r="F61" s="49" t="inlineStr">
        <is>
          <t>↑</t>
        </is>
      </c>
      <c r="G61" s="59" t="n">
        <v>0.85</v>
      </c>
      <c r="H61" s="60" t="n"/>
      <c r="I61" s="60" t="n"/>
      <c r="J61" s="60" t="n"/>
      <c r="K61" s="60" t="n"/>
      <c r="L61" s="60" t="n"/>
      <c r="M61" s="60" t="n"/>
      <c r="N61" s="60" t="n"/>
      <c r="O61" s="60" t="n"/>
      <c r="P61" s="60" t="n"/>
      <c r="Q61" s="60" t="n"/>
      <c r="R61" s="60" t="n"/>
      <c r="S61" s="60" t="n"/>
      <c r="T61" s="50">
        <f>IF(COUNT($H61:$S61)=0,"",SUM($H61:$S61)/COUNT($H61:$S61))</f>
        <v/>
      </c>
      <c r="U61" s="50">
        <f>IF($G61="","",IF($T61="","",MIN(1,IF($G61=0,IF($T61&lt;=0,1,0),IF($F61="↓",IFERROR($G61/$T61,0),IFERROR($T61/$G61,0))))))</f>
        <v/>
      </c>
      <c r="V61" s="54">
        <f>IF($U61="","⏳ بانتظار هدف",IF($U61&gt;=0.9,"✅ محقق",IF($U61&gt;=0.75,"🟡 قريب","🔴 تحت الهدف")))</f>
        <v/>
      </c>
      <c r="W61" s="61">
        <f>IF($G61="","",$G61)</f>
        <v/>
      </c>
      <c r="X61" s="54">
        <f>IF($U61="","—",IF($U61&gt;=0.75,"🟢 على المسار","🟠 متأخّر"))</f>
        <v/>
      </c>
    </row>
    <row r="62" ht="22" customHeight="1">
      <c r="A62" s="54" t="n">
        <v>59</v>
      </c>
      <c r="B62" s="13" t="inlineStr">
        <is>
          <t>سلاسل الإمداد</t>
        </is>
      </c>
      <c r="C62" s="11" t="inlineStr">
        <is>
          <t>نسبة نقليات أسطول درب</t>
        </is>
      </c>
      <c r="D62" s="15" t="inlineStr">
        <is>
          <t>شهري</t>
        </is>
      </c>
      <c r="E62" s="15" t="inlineStr">
        <is>
          <t>معدل</t>
        </is>
      </c>
      <c r="F62" s="49" t="inlineStr">
        <is>
          <t>↑</t>
        </is>
      </c>
      <c r="G62" s="59" t="n">
        <v>0.3</v>
      </c>
      <c r="H62" s="60" t="n"/>
      <c r="I62" s="60" t="n"/>
      <c r="J62" s="60" t="n"/>
      <c r="K62" s="60" t="n"/>
      <c r="L62" s="60" t="n"/>
      <c r="M62" s="60" t="n"/>
      <c r="N62" s="60" t="n"/>
      <c r="O62" s="60" t="n"/>
      <c r="P62" s="60" t="n"/>
      <c r="Q62" s="60" t="n"/>
      <c r="R62" s="60" t="n"/>
      <c r="S62" s="60" t="n"/>
      <c r="T62" s="50">
        <f>IF(COUNT($H62:$S62)=0,"",SUM($H62:$S62)/COUNT($H62:$S62))</f>
        <v/>
      </c>
      <c r="U62" s="50">
        <f>IF($G62="","",IF($T62="","",MIN(1,IF($G62=0,IF($T62&lt;=0,1,0),IF($F62="↓",IFERROR($G62/$T62,0),IFERROR($T62/$G62,0))))))</f>
        <v/>
      </c>
      <c r="V62" s="54">
        <f>IF($U62="","⏳ بانتظار هدف",IF($U62&gt;=1.0,"✅ محقق",IF($U62&gt;=0.85,"🟡 قريب","🔴 تحت الهدف")))</f>
        <v/>
      </c>
      <c r="W62" s="61">
        <f>IF($G62="","",$G62)</f>
        <v/>
      </c>
      <c r="X62" s="54">
        <f>IF($U62="","—",IF($U62&gt;=0.85,"🟢 على المسار","🟠 متأخّر"))</f>
        <v/>
      </c>
    </row>
    <row r="63" ht="22" customHeight="1">
      <c r="A63" s="54" t="n">
        <v>60</v>
      </c>
      <c r="B63" s="13" t="inlineStr">
        <is>
          <t>الصيانة والأتمتة</t>
        </is>
      </c>
      <c r="C63" s="11" t="inlineStr">
        <is>
          <t>نسبة تنفيذ الصيانة الوقائية في موعدها</t>
        </is>
      </c>
      <c r="D63" s="15" t="inlineStr">
        <is>
          <t>شهري</t>
        </is>
      </c>
      <c r="E63" s="15" t="inlineStr">
        <is>
          <t>معدل</t>
        </is>
      </c>
      <c r="F63" s="49" t="inlineStr">
        <is>
          <t>↑</t>
        </is>
      </c>
      <c r="G63" s="59" t="n">
        <v>0.95</v>
      </c>
      <c r="H63" s="60" t="n"/>
      <c r="I63" s="60" t="n"/>
      <c r="J63" s="60" t="n"/>
      <c r="K63" s="60" t="n"/>
      <c r="L63" s="60" t="n"/>
      <c r="M63" s="60" t="n"/>
      <c r="N63" s="60" t="n"/>
      <c r="O63" s="60" t="n"/>
      <c r="P63" s="60" t="n"/>
      <c r="Q63" s="60" t="n"/>
      <c r="R63" s="60" t="n"/>
      <c r="S63" s="60" t="n"/>
      <c r="T63" s="50">
        <f>IF(COUNT($H63:$S63)=0,"",SUM($H63:$S63)/COUNT($H63:$S63))</f>
        <v/>
      </c>
      <c r="U63" s="50">
        <f>IF($G63="","",IF($T63="","",MIN(1,IF($G63=0,IF($T63&lt;=0,1,0),IF($F63="↓",IFERROR($G63/$T63,0),IFERROR($T63/$G63,0))))))</f>
        <v/>
      </c>
      <c r="V63" s="54">
        <f>IF($U63="","⏳ بانتظار هدف",IF($U63&gt;=1.0,"✅ محقق",IF($U63&gt;=0.85,"🟡 قريب","🔴 تحت الهدف")))</f>
        <v/>
      </c>
      <c r="W63" s="61">
        <f>IF($G63="","",$G63)</f>
        <v/>
      </c>
      <c r="X63" s="54">
        <f>IF($U63="","—",IF($U63&gt;=0.85,"🟢 على المسار","🟠 متأخّر"))</f>
        <v/>
      </c>
    </row>
    <row r="64" ht="22" customHeight="1">
      <c r="A64" s="54" t="n">
        <v>61</v>
      </c>
      <c r="B64" s="13" t="inlineStr">
        <is>
          <t>الصيانة والأتمتة</t>
        </is>
      </c>
      <c r="C64" s="11" t="inlineStr">
        <is>
          <t>معدل تكرار الأعطال</t>
        </is>
      </c>
      <c r="D64" s="15" t="inlineStr">
        <is>
          <t>شهري</t>
        </is>
      </c>
      <c r="E64" s="15" t="inlineStr">
        <is>
          <t>معدل</t>
        </is>
      </c>
      <c r="F64" s="49" t="inlineStr">
        <is>
          <t>↓</t>
        </is>
      </c>
      <c r="G64" s="59" t="n">
        <v>0.05</v>
      </c>
      <c r="H64" s="60" t="n"/>
      <c r="I64" s="60" t="n"/>
      <c r="J64" s="60" t="n"/>
      <c r="K64" s="60" t="n"/>
      <c r="L64" s="60" t="n"/>
      <c r="M64" s="60" t="n"/>
      <c r="N64" s="60" t="n"/>
      <c r="O64" s="60" t="n"/>
      <c r="P64" s="60" t="n"/>
      <c r="Q64" s="60" t="n"/>
      <c r="R64" s="60" t="n"/>
      <c r="S64" s="60" t="n"/>
      <c r="T64" s="50">
        <f>IF(COUNT($H64:$S64)=0,"",SUM($H64:$S64)/COUNT($H64:$S64))</f>
        <v/>
      </c>
      <c r="U64" s="50">
        <f>IF($G64="","",IF($T64="","",MIN(1,IF($G64=0,IF($T64&lt;=0,1,0),IF($F64="↓",IFERROR($G64/$T64,0),IFERROR($T64/$G64,0))))))</f>
        <v/>
      </c>
      <c r="V64" s="54">
        <f>IF($U64="","⏳ بانتظار هدف",IF($U64&gt;=1.0,"✅ محقق",IF($U64&gt;=0.85,"🟡 قريب","🔴 تحت الهدف")))</f>
        <v/>
      </c>
      <c r="W64" s="61">
        <f>IF($G64="","",$G64)</f>
        <v/>
      </c>
      <c r="X64" s="54">
        <f>IF($U64="","—",IF($U64&gt;=0.85,"🟢 على المسار","🟠 متأخّر"))</f>
        <v/>
      </c>
    </row>
    <row r="65" ht="22" customHeight="1">
      <c r="A65" s="54" t="n">
        <v>62</v>
      </c>
      <c r="B65" s="13" t="inlineStr">
        <is>
          <t>التقنية الرقمية</t>
        </is>
      </c>
      <c r="C65" s="11" t="inlineStr">
        <is>
          <t>نسبة استقرار التشغيل التقني للمحطات</t>
        </is>
      </c>
      <c r="D65" s="15" t="inlineStr">
        <is>
          <t>شهري</t>
        </is>
      </c>
      <c r="E65" s="15" t="inlineStr">
        <is>
          <t>معدل</t>
        </is>
      </c>
      <c r="F65" s="49" t="inlineStr">
        <is>
          <t>↑</t>
        </is>
      </c>
      <c r="G65" s="59" t="n">
        <v>0.99</v>
      </c>
      <c r="H65" s="60" t="n"/>
      <c r="I65" s="60" t="n"/>
      <c r="J65" s="60" t="n"/>
      <c r="K65" s="60" t="n"/>
      <c r="L65" s="60" t="n"/>
      <c r="M65" s="60" t="n"/>
      <c r="N65" s="60" t="n"/>
      <c r="O65" s="60" t="n"/>
      <c r="P65" s="60" t="n"/>
      <c r="Q65" s="60" t="n"/>
      <c r="R65" s="60" t="n"/>
      <c r="S65" s="60" t="n"/>
      <c r="T65" s="50">
        <f>IF(COUNT($H65:$S65)=0,"",SUM($H65:$S65)/COUNT($H65:$S65))</f>
        <v/>
      </c>
      <c r="U65" s="50">
        <f>IF($G65="","",IF($T65="","",MIN(1,IF($G65=0,IF($T65&lt;=0,1,0),IF($F65="↓",IFERROR($G65/$T65,0),IFERROR($T65/$G65,0))))))</f>
        <v/>
      </c>
      <c r="V65" s="54">
        <f>IF($U65="","⏳ بانتظار هدف",IF($U65&gt;=1.0,"✅ محقق",IF($U65&gt;=0.85,"🟡 قريب","🔴 تحت الهدف")))</f>
        <v/>
      </c>
      <c r="W65" s="61">
        <f>IF($G65="","",$G65)</f>
        <v/>
      </c>
      <c r="X65" s="54">
        <f>IF($U65="","—",IF($U65&gt;=0.85,"🟢 على المسار","🟠 متأخّر"))</f>
        <v/>
      </c>
    </row>
    <row r="66" ht="22" customHeight="1">
      <c r="A66" s="54" t="n">
        <v>63</v>
      </c>
      <c r="B66" s="13" t="inlineStr">
        <is>
          <t>التقنية الرقمية</t>
        </is>
      </c>
      <c r="C66" s="11" t="inlineStr">
        <is>
          <t>نسبة إنجاز مشاريع التحول الرقمي والمشاريع التقنية حسب الخطة</t>
        </is>
      </c>
      <c r="D66" s="15" t="inlineStr">
        <is>
          <t>شهري</t>
        </is>
      </c>
      <c r="E66" s="15" t="inlineStr">
        <is>
          <t>معدل</t>
        </is>
      </c>
      <c r="F66" s="49" t="inlineStr">
        <is>
          <t>↑</t>
        </is>
      </c>
      <c r="G66" s="59" t="n">
        <v>0.9</v>
      </c>
      <c r="H66" s="60" t="n"/>
      <c r="I66" s="60" t="n"/>
      <c r="J66" s="60" t="n"/>
      <c r="K66" s="60" t="n"/>
      <c r="L66" s="60" t="n"/>
      <c r="M66" s="60" t="n"/>
      <c r="N66" s="60" t="n"/>
      <c r="O66" s="60" t="n"/>
      <c r="P66" s="60" t="n"/>
      <c r="Q66" s="60" t="n"/>
      <c r="R66" s="60" t="n"/>
      <c r="S66" s="60" t="n"/>
      <c r="T66" s="50">
        <f>IF(COUNT($H66:$S66)=0,"",SUM($H66:$S66)/COUNT($H66:$S66))</f>
        <v/>
      </c>
      <c r="U66" s="50">
        <f>IF($G66="","",IF($T66="","",MIN(1,IF($G66=0,IF($T66&lt;=0,1,0),IF($F66="↓",IFERROR($G66/$T66,0),IFERROR($T66/$G66,0))))))</f>
        <v/>
      </c>
      <c r="V66" s="54">
        <f>IF($U66="","⏳ بانتظار هدف",IF($U66&gt;=1.0,"✅ محقق",IF($U66&gt;=0.85,"🟡 قريب","🔴 تحت الهدف")))</f>
        <v/>
      </c>
      <c r="W66" s="61">
        <f>IF($G66="","",$G66)</f>
        <v/>
      </c>
      <c r="X66" s="54">
        <f>IF($U66="","—",IF($U66&gt;=0.85,"🟢 على المسار","🟠 متأخّر"))</f>
        <v/>
      </c>
    </row>
    <row r="67" ht="22" customHeight="1">
      <c r="A67" s="54" t="n">
        <v>64</v>
      </c>
      <c r="B67" s="13" t="inlineStr">
        <is>
          <t>الموارد البشرية</t>
        </is>
      </c>
      <c r="C67" s="11" t="inlineStr">
        <is>
          <t>نسبة الالتزام بنظام العمل واللوائح وخطة القوى العاملة المعتمدة</t>
        </is>
      </c>
      <c r="D67" s="15" t="inlineStr">
        <is>
          <t>شهري</t>
        </is>
      </c>
      <c r="E67" s="15" t="inlineStr">
        <is>
          <t>معدل</t>
        </is>
      </c>
      <c r="F67" s="49" t="inlineStr">
        <is>
          <t>↑</t>
        </is>
      </c>
      <c r="G67" s="59" t="n">
        <v>1</v>
      </c>
      <c r="H67" s="60" t="n"/>
      <c r="I67" s="60" t="n"/>
      <c r="J67" s="60" t="n"/>
      <c r="K67" s="60" t="n"/>
      <c r="L67" s="60" t="n"/>
      <c r="M67" s="60" t="n"/>
      <c r="N67" s="60" t="n"/>
      <c r="O67" s="60" t="n"/>
      <c r="P67" s="60" t="n"/>
      <c r="Q67" s="60" t="n"/>
      <c r="R67" s="60" t="n"/>
      <c r="S67" s="60" t="n"/>
      <c r="T67" s="50">
        <f>IF(COUNT($H67:$S67)=0,"",SUM($H67:$S67)/COUNT($H67:$S67))</f>
        <v/>
      </c>
      <c r="U67" s="50">
        <f>IF($G67="","",IF($T67="","",MIN(1,IF($G67=0,IF($T67&lt;=0,1,0),IF($F67="↓",IFERROR($G67/$T67,0),IFERROR($T67/$G67,0))))))</f>
        <v/>
      </c>
      <c r="V67" s="54">
        <f>IF($U67="","⏳ بانتظار هدف",IF($U67&gt;=1.0,"✅ محقق",IF($U67&gt;=0.85,"🟡 قريب","🔴 تحت الهدف")))</f>
        <v/>
      </c>
      <c r="W67" s="61">
        <f>IF($G67="","",$G67)</f>
        <v/>
      </c>
      <c r="X67" s="54">
        <f>IF($U67="","—",IF($U67&gt;=0.85,"🟢 على المسار","🟠 متأخّر"))</f>
        <v/>
      </c>
    </row>
    <row r="68" ht="22" customHeight="1">
      <c r="A68" s="54" t="n">
        <v>65</v>
      </c>
      <c r="B68" s="13" t="inlineStr">
        <is>
          <t>الموارد البشرية</t>
        </is>
      </c>
      <c r="C68" s="11" t="inlineStr">
        <is>
          <t>نسبة تنفيذ برامج التدريب والتأهيل المعتمدة</t>
        </is>
      </c>
      <c r="D68" s="15" t="inlineStr">
        <is>
          <t>شهري</t>
        </is>
      </c>
      <c r="E68" s="15" t="inlineStr">
        <is>
          <t>معدل</t>
        </is>
      </c>
      <c r="F68" s="49" t="inlineStr">
        <is>
          <t>↑</t>
        </is>
      </c>
      <c r="G68" s="59" t="n">
        <v>0.9</v>
      </c>
      <c r="H68" s="60" t="n"/>
      <c r="I68" s="60" t="n"/>
      <c r="J68" s="60" t="n"/>
      <c r="K68" s="60" t="n"/>
      <c r="L68" s="60" t="n"/>
      <c r="M68" s="60" t="n"/>
      <c r="N68" s="60" t="n"/>
      <c r="O68" s="60" t="n"/>
      <c r="P68" s="60" t="n"/>
      <c r="Q68" s="60" t="n"/>
      <c r="R68" s="60" t="n"/>
      <c r="S68" s="60" t="n"/>
      <c r="T68" s="50">
        <f>IF(COUNT($H68:$S68)=0,"",SUM($H68:$S68)/COUNT($H68:$S68))</f>
        <v/>
      </c>
      <c r="U68" s="50">
        <f>IF($G68="","",IF($T68="","",MIN(1,IF($G68=0,IF($T68&lt;=0,1,0),IF($F68="↓",IFERROR($G68/$T68,0),IFERROR($T68/$G68,0))))))</f>
        <v/>
      </c>
      <c r="V68" s="54">
        <f>IF($U68="","⏳ بانتظار هدف",IF($U68&gt;=1.0,"✅ محقق",IF($U68&gt;=0.85,"🟡 قريب","🔴 تحت الهدف")))</f>
        <v/>
      </c>
      <c r="W68" s="61">
        <f>IF($G68="","",$G68)</f>
        <v/>
      </c>
      <c r="X68" s="54">
        <f>IF($U68="","—",IF($U68&gt;=0.85,"🟢 على المسار","🟠 متأخّر"))</f>
        <v/>
      </c>
    </row>
    <row r="69" ht="22" customHeight="1">
      <c r="A69" s="54" t="n">
        <v>66</v>
      </c>
      <c r="B69" s="13" t="inlineStr">
        <is>
          <t>الموارد البشرية</t>
        </is>
      </c>
      <c r="C69" s="11" t="inlineStr">
        <is>
          <t>معدل دوران الموظفين</t>
        </is>
      </c>
      <c r="D69" s="15" t="inlineStr">
        <is>
          <t>شهري</t>
        </is>
      </c>
      <c r="E69" s="15" t="inlineStr">
        <is>
          <t>معدل</t>
        </is>
      </c>
      <c r="F69" s="49" t="inlineStr">
        <is>
          <t>↓</t>
        </is>
      </c>
      <c r="G69" s="59" t="n">
        <v>0.1</v>
      </c>
      <c r="H69" s="60" t="n"/>
      <c r="I69" s="60" t="n"/>
      <c r="J69" s="60" t="n"/>
      <c r="K69" s="60" t="n"/>
      <c r="L69" s="60" t="n"/>
      <c r="M69" s="60" t="n"/>
      <c r="N69" s="60" t="n"/>
      <c r="O69" s="60" t="n"/>
      <c r="P69" s="60" t="n"/>
      <c r="Q69" s="60" t="n"/>
      <c r="R69" s="60" t="n"/>
      <c r="S69" s="60" t="n"/>
      <c r="T69" s="50">
        <f>IF(COUNT($H69:$S69)=0,"",SUM($H69:$S69)/COUNT($H69:$S69))</f>
        <v/>
      </c>
      <c r="U69" s="50">
        <f>IF($G69="","",IF($T69="","",MIN(1,IF($G69=0,IF($T69&lt;=0,1,0),IF($F69="↓",IFERROR($G69/$T69,0),IFERROR($T69/$G69,0))))))</f>
        <v/>
      </c>
      <c r="V69" s="54">
        <f>IF($U69="","⏳ بانتظار هدف",IF($U69&gt;=1.0,"✅ محقق",IF($U69&gt;=0.85,"🟡 قريب","🔴 تحت الهدف")))</f>
        <v/>
      </c>
      <c r="W69" s="61">
        <f>IF($G69="","",$G69)</f>
        <v/>
      </c>
      <c r="X69" s="54">
        <f>IF($U69="","—",IF($U69&gt;=0.85,"🟢 على المسار","🟠 متأخّر"))</f>
        <v/>
      </c>
    </row>
    <row r="70" ht="22" customHeight="1">
      <c r="A70" s="54" t="n">
        <v>67</v>
      </c>
      <c r="B70" s="13" t="inlineStr">
        <is>
          <t>الموارد البشرية</t>
        </is>
      </c>
      <c r="C70" s="11" t="inlineStr">
        <is>
          <t>متوسط مدة إغلاق الشواغر المعتمدة</t>
        </is>
      </c>
      <c r="D70" s="15" t="inlineStr">
        <is>
          <t>شهري</t>
        </is>
      </c>
      <c r="E70" s="15" t="inlineStr">
        <is>
          <t>معدل</t>
        </is>
      </c>
      <c r="F70" s="49" t="inlineStr">
        <is>
          <t>↓</t>
        </is>
      </c>
      <c r="G70" s="62" t="n">
        <v>30</v>
      </c>
      <c r="H70" s="63" t="n"/>
      <c r="I70" s="63" t="n"/>
      <c r="J70" s="63" t="n"/>
      <c r="K70" s="63" t="n"/>
      <c r="L70" s="63" t="n"/>
      <c r="M70" s="63" t="n"/>
      <c r="N70" s="63" t="n"/>
      <c r="O70" s="63" t="n"/>
      <c r="P70" s="63" t="n"/>
      <c r="Q70" s="63" t="n"/>
      <c r="R70" s="63" t="n"/>
      <c r="S70" s="63" t="n"/>
      <c r="T70" s="64">
        <f>IF(COUNT($H70:$S70)=0,"",SUM($H70:$S70)/COUNT($H70:$S70))</f>
        <v/>
      </c>
      <c r="U70" s="50">
        <f>IF($G70="","",IF($T70="","",MIN(1,IF($G70=0,IF($T70&lt;=0,1,0),IF($F70="↓",IFERROR($G70/$T70,0),IFERROR($T70/$G70,0))))))</f>
        <v/>
      </c>
      <c r="V70" s="54">
        <f>IF($U70="","⏳ بانتظار هدف",IF($U70&gt;=1.0,"✅ محقق",IF($U70&gt;=0.85,"🟡 قريب","🔴 تحت الهدف")))</f>
        <v/>
      </c>
      <c r="W70" s="65">
        <f>IF($G70="","",$G70)</f>
        <v/>
      </c>
      <c r="X70" s="54">
        <f>IF($U70="","—",IF($U70&gt;=0.85,"🟢 على المسار","🟠 متأخّر"))</f>
        <v/>
      </c>
    </row>
    <row r="71" ht="22" customHeight="1">
      <c r="A71" s="54" t="n">
        <v>68</v>
      </c>
      <c r="B71" s="13" t="inlineStr">
        <is>
          <t>الموارد البشرية</t>
        </is>
      </c>
      <c r="C71" s="11" t="inlineStr">
        <is>
          <t>نسبة دقة الرواتب والمستحقات الشهرية</t>
        </is>
      </c>
      <c r="D71" s="15" t="inlineStr">
        <is>
          <t>شهري</t>
        </is>
      </c>
      <c r="E71" s="15" t="inlineStr">
        <is>
          <t>معدل</t>
        </is>
      </c>
      <c r="F71" s="49" t="inlineStr">
        <is>
          <t>↑</t>
        </is>
      </c>
      <c r="G71" s="59" t="n">
        <v>0.995</v>
      </c>
      <c r="H71" s="60" t="n"/>
      <c r="I71" s="60" t="n"/>
      <c r="J71" s="60" t="n"/>
      <c r="K71" s="60" t="n"/>
      <c r="L71" s="60" t="n"/>
      <c r="M71" s="60" t="n"/>
      <c r="N71" s="60" t="n"/>
      <c r="O71" s="60" t="n"/>
      <c r="P71" s="60" t="n"/>
      <c r="Q71" s="60" t="n"/>
      <c r="R71" s="60" t="n"/>
      <c r="S71" s="60" t="n"/>
      <c r="T71" s="50">
        <f>IF(COUNT($H71:$S71)=0,"",SUM($H71:$S71)/COUNT($H71:$S71))</f>
        <v/>
      </c>
      <c r="U71" s="50">
        <f>IF($G71="","",IF($T71="","",MIN(1,IF($G71=0,IF($T71&lt;=0,1,0),IF($F71="↓",IFERROR($G71/$T71,0),IFERROR($T71/$G71,0))))))</f>
        <v/>
      </c>
      <c r="V71" s="54">
        <f>IF($U71="","⏳ بانتظار هدف",IF($U71&gt;=1.0,"✅ محقق",IF($U71&gt;=0.85,"🟡 قريب","🔴 تحت الهدف")))</f>
        <v/>
      </c>
      <c r="W71" s="61">
        <f>IF($G71="","",$G71)</f>
        <v/>
      </c>
      <c r="X71" s="54">
        <f>IF($U71="","—",IF($U71&gt;=0.85,"🟢 على المسار","🟠 متأخّر"))</f>
        <v/>
      </c>
    </row>
    <row r="72" ht="22" customHeight="1">
      <c r="A72" s="54" t="n">
        <v>69</v>
      </c>
      <c r="B72" s="13" t="inlineStr">
        <is>
          <t>التسويق</t>
        </is>
      </c>
      <c r="C72" s="11" t="inlineStr">
        <is>
          <t>الوصول الكلي (Total Reach)</t>
        </is>
      </c>
      <c r="D72" s="15" t="inlineStr">
        <is>
          <t>شهري</t>
        </is>
      </c>
      <c r="E72" s="15" t="inlineStr">
        <is>
          <t>لقطة</t>
        </is>
      </c>
      <c r="F72" s="49" t="inlineStr">
        <is>
          <t>↑</t>
        </is>
      </c>
      <c r="G72" s="55" t="n">
        <v>50000000</v>
      </c>
      <c r="H72" s="56" t="n"/>
      <c r="I72" s="56" t="n"/>
      <c r="J72" s="56" t="n"/>
      <c r="K72" s="56" t="n"/>
      <c r="L72" s="56" t="n"/>
      <c r="M72" s="56" t="n"/>
      <c r="N72" s="56" t="n"/>
      <c r="O72" s="56" t="n"/>
      <c r="P72" s="56" t="n"/>
      <c r="Q72" s="56" t="n"/>
      <c r="R72" s="56" t="n"/>
      <c r="S72" s="56" t="n"/>
      <c r="T72" s="57">
        <f>IFERROR(LOOKUP(2,1/($H72:$S72&lt;&gt;""),$H72:$S72),"")</f>
        <v/>
      </c>
      <c r="U72" s="50">
        <f>IF($G72="","",IF($T72="","",MIN(1,IF($G72=0,IF($T72&lt;=0,1,0),IF($F72="↓",IFERROR($G72/$T72,0),IFERROR($T72/$G72,0))))))</f>
        <v/>
      </c>
      <c r="V72" s="54">
        <f>IF($U72="","⏳ بانتظار هدف",IF($U72&gt;=0.9,"✅ محقق",IF($U72&gt;=0.75,"🟡 قريب","🔴 تحت الهدف")))</f>
        <v/>
      </c>
      <c r="W72" s="58">
        <f>IF($G72="","",$G72)</f>
        <v/>
      </c>
      <c r="X72" s="54">
        <f>IF($U72="","—",IF($U72&gt;=0.75,"🟢 على المسار","🟠 متأخّر"))</f>
        <v/>
      </c>
    </row>
    <row r="73" ht="22" customHeight="1">
      <c r="A73" s="54" t="n">
        <v>70</v>
      </c>
      <c r="B73" s="13" t="inlineStr">
        <is>
          <t>التسويق</t>
        </is>
      </c>
      <c r="C73" s="11" t="inlineStr">
        <is>
          <t>معدل خفض الشكاوى</t>
        </is>
      </c>
      <c r="D73" s="15" t="inlineStr">
        <is>
          <t>شهري</t>
        </is>
      </c>
      <c r="E73" s="15" t="inlineStr">
        <is>
          <t>معدل</t>
        </is>
      </c>
      <c r="F73" s="49" t="inlineStr">
        <is>
          <t>↑</t>
        </is>
      </c>
      <c r="G73" s="59" t="n">
        <v>0.3</v>
      </c>
      <c r="H73" s="60" t="n"/>
      <c r="I73" s="60" t="n"/>
      <c r="J73" s="60" t="n"/>
      <c r="K73" s="60" t="n"/>
      <c r="L73" s="60" t="n"/>
      <c r="M73" s="60" t="n"/>
      <c r="N73" s="60" t="n"/>
      <c r="O73" s="60" t="n"/>
      <c r="P73" s="60" t="n"/>
      <c r="Q73" s="60" t="n"/>
      <c r="R73" s="60" t="n"/>
      <c r="S73" s="60" t="n"/>
      <c r="T73" s="50">
        <f>IF(COUNT($H73:$S73)=0,"",SUM($H73:$S73)/COUNT($H73:$S73))</f>
        <v/>
      </c>
      <c r="U73" s="50">
        <f>IF($G73="","",IF($T73="","",MIN(1,IF($G73=0,IF($T73&lt;=0,1,0),IF($F73="↓",IFERROR($G73/$T73,0),IFERROR($T73/$G73,0))))))</f>
        <v/>
      </c>
      <c r="V73" s="54">
        <f>IF($U73="","⏳ بانتظار هدف",IF($U73&gt;=1.0,"✅ محقق",IF($U73&gt;=0.85,"🟡 قريب","🔴 تحت الهدف")))</f>
        <v/>
      </c>
      <c r="W73" s="61">
        <f>IF($G73="","",$G73)</f>
        <v/>
      </c>
      <c r="X73" s="54">
        <f>IF($U73="","—",IF($U73&gt;=0.85,"🟢 على المسار","🟠 متأخّر"))</f>
        <v/>
      </c>
    </row>
    <row r="74" ht="22" customHeight="1">
      <c r="A74" s="54" t="n">
        <v>71</v>
      </c>
      <c r="B74" s="13" t="inlineStr">
        <is>
          <t>التسويق</t>
        </is>
      </c>
      <c r="C74" s="11" t="inlineStr">
        <is>
          <t>نسبة التزام الهوية البصرية</t>
        </is>
      </c>
      <c r="D74" s="15" t="inlineStr">
        <is>
          <t>شهري</t>
        </is>
      </c>
      <c r="E74" s="15" t="inlineStr">
        <is>
          <t>لقطة</t>
        </is>
      </c>
      <c r="F74" s="49" t="inlineStr">
        <is>
          <t>↑</t>
        </is>
      </c>
      <c r="G74" s="59" t="n">
        <v>1</v>
      </c>
      <c r="H74" s="60" t="n"/>
      <c r="I74" s="60" t="n"/>
      <c r="J74" s="60" t="n"/>
      <c r="K74" s="60" t="n"/>
      <c r="L74" s="60" t="n"/>
      <c r="M74" s="60" t="n"/>
      <c r="N74" s="60" t="n"/>
      <c r="O74" s="60" t="n"/>
      <c r="P74" s="60" t="n"/>
      <c r="Q74" s="60" t="n"/>
      <c r="R74" s="60" t="n"/>
      <c r="S74" s="60" t="n"/>
      <c r="T74" s="50">
        <f>IFERROR(LOOKUP(2,1/($H74:$S74&lt;&gt;""),$H74:$S74),"")</f>
        <v/>
      </c>
      <c r="U74" s="50">
        <f>IF($G74="","",IF($T74="","",MIN(1,IF($G74=0,IF($T74&lt;=0,1,0),IF($F74="↓",IFERROR($G74/$T74,0),IFERROR($T74/$G74,0))))))</f>
        <v/>
      </c>
      <c r="V74" s="54">
        <f>IF($U74="","⏳ بانتظار هدف",IF($U74&gt;=1.0,"✅ محقق",IF($U74&gt;=0.85,"🟡 قريب","🔴 تحت الهدف")))</f>
        <v/>
      </c>
      <c r="W74" s="61">
        <f>IF($G74="","",$G74)</f>
        <v/>
      </c>
      <c r="X74" s="54">
        <f>IF($U74="","—",IF($U74&gt;=0.85,"🟢 على المسار","🟠 متأخّر"))</f>
        <v/>
      </c>
    </row>
    <row r="75" ht="22" customHeight="1">
      <c r="A75" s="54" t="n">
        <v>72</v>
      </c>
      <c r="B75" s="13" t="inlineStr">
        <is>
          <t>التسويق</t>
        </is>
      </c>
      <c r="C75" s="11" t="inlineStr">
        <is>
          <t>عدد تنزيلات التطبيق</t>
        </is>
      </c>
      <c r="D75" s="15" t="inlineStr">
        <is>
          <t>شهري</t>
        </is>
      </c>
      <c r="E75" s="15" t="inlineStr">
        <is>
          <t>تراكمي</t>
        </is>
      </c>
      <c r="F75" s="49" t="inlineStr">
        <is>
          <t>↑</t>
        </is>
      </c>
      <c r="G75" s="55" t="n">
        <v>100000</v>
      </c>
      <c r="H75" s="56" t="n"/>
      <c r="I75" s="56" t="n"/>
      <c r="J75" s="56" t="n"/>
      <c r="K75" s="56" t="n"/>
      <c r="L75" s="56" t="n"/>
      <c r="M75" s="56" t="n"/>
      <c r="N75" s="56" t="n"/>
      <c r="O75" s="56" t="n"/>
      <c r="P75" s="56" t="n"/>
      <c r="Q75" s="56" t="n"/>
      <c r="R75" s="56" t="n"/>
      <c r="S75" s="56" t="n"/>
      <c r="T75" s="57">
        <f>IF(COUNT($H75:$S75)=0,"",SUM($H75:$S75))</f>
        <v/>
      </c>
      <c r="U75" s="50">
        <f>IF($G75="","",IF($T75="","",MIN(1,IF($G75=0,IF($T75&lt;=0,1,0),IF($F75="↓",IFERROR($G75/$T75,0),IFERROR($T75/$G75,0))))))</f>
        <v/>
      </c>
      <c r="V75" s="54">
        <f>IF($U75="","⏳ بانتظار هدف",IF($U75&gt;=1.0,"✅ محقق",IF($U75&gt;=0.85,"🟡 قريب","🔴 تحت الهدف")))</f>
        <v/>
      </c>
      <c r="W75" s="58">
        <f>IF($G75="","",$G75*COUNT($H75:$S75)/12)</f>
        <v/>
      </c>
      <c r="X75" s="54">
        <f>IF($U75="","—",IF($U75&gt;=COUNT($H75:$S75)/12,"🟢 على المسار","🟠 متأخّر"))</f>
        <v/>
      </c>
    </row>
    <row r="76" ht="22" customHeight="1">
      <c r="A76" s="54" t="n">
        <v>73</v>
      </c>
      <c r="B76" s="13" t="inlineStr">
        <is>
          <t>التسويق</t>
        </is>
      </c>
      <c r="C76" s="11" t="inlineStr">
        <is>
          <t>عدد شراكات التطبيق</t>
        </is>
      </c>
      <c r="D76" s="15" t="inlineStr">
        <is>
          <t>شهري</t>
        </is>
      </c>
      <c r="E76" s="15" t="inlineStr">
        <is>
          <t>تراكمي</t>
        </is>
      </c>
      <c r="F76" s="49" t="inlineStr">
        <is>
          <t>↑</t>
        </is>
      </c>
      <c r="G76" s="55" t="n">
        <v>10</v>
      </c>
      <c r="H76" s="56" t="n"/>
      <c r="I76" s="56" t="n"/>
      <c r="J76" s="56" t="n"/>
      <c r="K76" s="56" t="n"/>
      <c r="L76" s="56" t="n"/>
      <c r="M76" s="56" t="n"/>
      <c r="N76" s="56" t="n"/>
      <c r="O76" s="56" t="n"/>
      <c r="P76" s="56" t="n"/>
      <c r="Q76" s="56" t="n"/>
      <c r="R76" s="56" t="n"/>
      <c r="S76" s="56" t="n"/>
      <c r="T76" s="57">
        <f>IF(COUNT($H76:$S76)=0,"",SUM($H76:$S76))</f>
        <v/>
      </c>
      <c r="U76" s="50">
        <f>IF($G76="","",IF($T76="","",MIN(1,IF($G76=0,IF($T76&lt;=0,1,0),IF($F76="↓",IFERROR($G76/$T76,0),IFERROR($T76/$G76,0))))))</f>
        <v/>
      </c>
      <c r="V76" s="54">
        <f>IF($U76="","⏳ بانتظار هدف",IF($U76&gt;=1.0,"✅ محقق",IF($U76&gt;=0.85,"🟡 قريب","🔴 تحت الهدف")))</f>
        <v/>
      </c>
      <c r="W76" s="58">
        <f>IF($G76="","",$G76*COUNT($H76:$S76)/12)</f>
        <v/>
      </c>
      <c r="X76" s="54">
        <f>IF($U76="","—",IF($U76&gt;=COUNT($H76:$S76)/12,"🟢 على المسار","🟠 متأخّر"))</f>
        <v/>
      </c>
    </row>
    <row r="77" ht="22" customHeight="1">
      <c r="A77" s="54" t="n">
        <v>74</v>
      </c>
      <c r="B77" s="13" t="inlineStr">
        <is>
          <t>الجودة</t>
        </is>
      </c>
      <c r="C77" s="11" t="inlineStr"/>
      <c r="D77" s="15" t="inlineStr">
        <is>
          <t>شهري</t>
        </is>
      </c>
      <c r="E77" s="15" t="inlineStr">
        <is>
          <t>معدل</t>
        </is>
      </c>
      <c r="F77" s="49" t="inlineStr">
        <is>
          <t>↑</t>
        </is>
      </c>
      <c r="G77" s="49" t="n"/>
      <c r="H77" s="60" t="n"/>
      <c r="I77" s="60" t="n"/>
      <c r="J77" s="60" t="n"/>
      <c r="K77" s="60" t="n"/>
      <c r="L77" s="60" t="n"/>
      <c r="M77" s="60" t="n"/>
      <c r="N77" s="60" t="n"/>
      <c r="O77" s="60" t="n"/>
      <c r="P77" s="60" t="n"/>
      <c r="Q77" s="60" t="n"/>
      <c r="R77" s="60" t="n"/>
      <c r="S77" s="60" t="n"/>
      <c r="T77" s="50">
        <f>IF(COUNT($H77:$S77)=0,"",SUM($H77:$S77)/COUNT($H77:$S77))</f>
        <v/>
      </c>
      <c r="U77" s="50">
        <f>IF($G77="","",IF($T77="","",MIN(1,IF($G77=0,IF($T77&lt;=0,1,0),IF($F77="↓",IFERROR($G77/$T77,0),IFERROR($T77/$G77,0))))))</f>
        <v/>
      </c>
      <c r="V77" s="54">
        <f>IF($U77="","⏳ بانتظار هدف",IF($U77&gt;=1.0,"✅ محقق",IF($U77&gt;=0.85,"🟡 قريب","🔴 تحت الهدف")))</f>
        <v/>
      </c>
      <c r="W77" s="61">
        <f>IF($G77="","",$G77)</f>
        <v/>
      </c>
      <c r="X77" s="54">
        <f>IF($U77="","—",IF($U77&gt;=0.85,"🟢 على المسار","🟠 متأخّر"))</f>
        <v/>
      </c>
    </row>
    <row r="78" ht="22" customHeight="1">
      <c r="A78" s="54" t="n">
        <v>75</v>
      </c>
      <c r="B78" s="13" t="inlineStr">
        <is>
          <t>الجودة</t>
        </is>
      </c>
      <c r="C78" s="11" t="inlineStr"/>
      <c r="D78" s="15" t="inlineStr">
        <is>
          <t>شهري</t>
        </is>
      </c>
      <c r="E78" s="15" t="inlineStr">
        <is>
          <t>معدل</t>
        </is>
      </c>
      <c r="F78" s="49" t="inlineStr">
        <is>
          <t>↑</t>
        </is>
      </c>
      <c r="G78" s="49" t="n"/>
      <c r="H78" s="60" t="n"/>
      <c r="I78" s="60" t="n"/>
      <c r="J78" s="60" t="n"/>
      <c r="K78" s="60" t="n"/>
      <c r="L78" s="60" t="n"/>
      <c r="M78" s="60" t="n"/>
      <c r="N78" s="60" t="n"/>
      <c r="O78" s="60" t="n"/>
      <c r="P78" s="60" t="n"/>
      <c r="Q78" s="60" t="n"/>
      <c r="R78" s="60" t="n"/>
      <c r="S78" s="60" t="n"/>
      <c r="T78" s="50">
        <f>IF(COUNT($H78:$S78)=0,"",SUM($H78:$S78)/COUNT($H78:$S78))</f>
        <v/>
      </c>
      <c r="U78" s="50">
        <f>IF($G78="","",IF($T78="","",MIN(1,IF($G78=0,IF($T78&lt;=0,1,0),IF($F78="↓",IFERROR($G78/$T78,0),IFERROR($T78/$G78,0))))))</f>
        <v/>
      </c>
      <c r="V78" s="54">
        <f>IF($U78="","⏳ بانتظار هدف",IF($U78&gt;=1.0,"✅ محقق",IF($U78&gt;=0.85,"🟡 قريب","🔴 تحت الهدف")))</f>
        <v/>
      </c>
      <c r="W78" s="61">
        <f>IF($G78="","",$G78)</f>
        <v/>
      </c>
      <c r="X78" s="54">
        <f>IF($U78="","—",IF($U78&gt;=0.85,"🟢 على المسار","🟠 متأخّر"))</f>
        <v/>
      </c>
    </row>
    <row r="79" ht="22" customHeight="1">
      <c r="A79" s="54" t="n">
        <v>76</v>
      </c>
      <c r="B79" s="13" t="inlineStr">
        <is>
          <t>الجودة</t>
        </is>
      </c>
      <c r="C79" s="11" t="inlineStr"/>
      <c r="D79" s="15" t="inlineStr">
        <is>
          <t>شهري</t>
        </is>
      </c>
      <c r="E79" s="15" t="inlineStr">
        <is>
          <t>معدل</t>
        </is>
      </c>
      <c r="F79" s="49" t="inlineStr">
        <is>
          <t>↑</t>
        </is>
      </c>
      <c r="G79" s="49" t="n"/>
      <c r="H79" s="60" t="n"/>
      <c r="I79" s="60" t="n"/>
      <c r="J79" s="60" t="n"/>
      <c r="K79" s="60" t="n"/>
      <c r="L79" s="60" t="n"/>
      <c r="M79" s="60" t="n"/>
      <c r="N79" s="60" t="n"/>
      <c r="O79" s="60" t="n"/>
      <c r="P79" s="60" t="n"/>
      <c r="Q79" s="60" t="n"/>
      <c r="R79" s="60" t="n"/>
      <c r="S79" s="60" t="n"/>
      <c r="T79" s="50">
        <f>IF(COUNT($H79:$S79)=0,"",SUM($H79:$S79)/COUNT($H79:$S79))</f>
        <v/>
      </c>
      <c r="U79" s="50">
        <f>IF($G79="","",IF($T79="","",MIN(1,IF($G79=0,IF($T79&lt;=0,1,0),IF($F79="↓",IFERROR($G79/$T79,0),IFERROR($T79/$G79,0))))))</f>
        <v/>
      </c>
      <c r="V79" s="54">
        <f>IF($U79="","⏳ بانتظار هدف",IF($U79&gt;=1.0,"✅ محقق",IF($U79&gt;=0.85,"🟡 قريب","🔴 تحت الهدف")))</f>
        <v/>
      </c>
      <c r="W79" s="61">
        <f>IF($G79="","",$G79)</f>
        <v/>
      </c>
      <c r="X79" s="54">
        <f>IF($U79="","—",IF($U79&gt;=0.85,"🟢 على المسار","🟠 متأخّر"))</f>
        <v/>
      </c>
    </row>
    <row r="80" ht="22" customHeight="1">
      <c r="A80" s="54" t="n">
        <v>77</v>
      </c>
      <c r="B80" s="13" t="inlineStr">
        <is>
          <t>الجودة</t>
        </is>
      </c>
      <c r="C80" s="11" t="inlineStr"/>
      <c r="D80" s="15" t="inlineStr">
        <is>
          <t>شهري</t>
        </is>
      </c>
      <c r="E80" s="15" t="inlineStr">
        <is>
          <t>معدل</t>
        </is>
      </c>
      <c r="F80" s="49" t="inlineStr">
        <is>
          <t>↑</t>
        </is>
      </c>
      <c r="G80" s="49" t="n"/>
      <c r="H80" s="60" t="n"/>
      <c r="I80" s="60" t="n"/>
      <c r="J80" s="60" t="n"/>
      <c r="K80" s="60" t="n"/>
      <c r="L80" s="60" t="n"/>
      <c r="M80" s="60" t="n"/>
      <c r="N80" s="60" t="n"/>
      <c r="O80" s="60" t="n"/>
      <c r="P80" s="60" t="n"/>
      <c r="Q80" s="60" t="n"/>
      <c r="R80" s="60" t="n"/>
      <c r="S80" s="60" t="n"/>
      <c r="T80" s="50">
        <f>IF(COUNT($H80:$S80)=0,"",SUM($H80:$S80)/COUNT($H80:$S80))</f>
        <v/>
      </c>
      <c r="U80" s="50">
        <f>IF($G80="","",IF($T80="","",MIN(1,IF($G80=0,IF($T80&lt;=0,1,0),IF($F80="↓",IFERROR($G80/$T80,0),IFERROR($T80/$G80,0))))))</f>
        <v/>
      </c>
      <c r="V80" s="54">
        <f>IF($U80="","⏳ بانتظار هدف",IF($U80&gt;=1.0,"✅ محقق",IF($U80&gt;=0.85,"🟡 قريب","🔴 تحت الهدف")))</f>
        <v/>
      </c>
      <c r="W80" s="61">
        <f>IF($G80="","",$G80)</f>
        <v/>
      </c>
      <c r="X80" s="54">
        <f>IF($U80="","—",IF($U80&gt;=0.85,"🟢 على المسار","🟠 متأخّر"))</f>
        <v/>
      </c>
    </row>
    <row r="81" ht="22" customHeight="1">
      <c r="A81" s="54" t="n">
        <v>78</v>
      </c>
      <c r="B81" s="13" t="inlineStr">
        <is>
          <t>الجودة</t>
        </is>
      </c>
      <c r="C81" s="11" t="inlineStr"/>
      <c r="D81" s="15" t="inlineStr">
        <is>
          <t>شهري</t>
        </is>
      </c>
      <c r="E81" s="15" t="inlineStr">
        <is>
          <t>معدل</t>
        </is>
      </c>
      <c r="F81" s="49" t="inlineStr">
        <is>
          <t>↑</t>
        </is>
      </c>
      <c r="G81" s="49" t="n"/>
      <c r="H81" s="60" t="n"/>
      <c r="I81" s="60" t="n"/>
      <c r="J81" s="60" t="n"/>
      <c r="K81" s="60" t="n"/>
      <c r="L81" s="60" t="n"/>
      <c r="M81" s="60" t="n"/>
      <c r="N81" s="60" t="n"/>
      <c r="O81" s="60" t="n"/>
      <c r="P81" s="60" t="n"/>
      <c r="Q81" s="60" t="n"/>
      <c r="R81" s="60" t="n"/>
      <c r="S81" s="60" t="n"/>
      <c r="T81" s="50">
        <f>IF(COUNT($H81:$S81)=0,"",SUM($H81:$S81)/COUNT($H81:$S81))</f>
        <v/>
      </c>
      <c r="U81" s="50">
        <f>IF($G81="","",IF($T81="","",MIN(1,IF($G81=0,IF($T81&lt;=0,1,0),IF($F81="↓",IFERROR($G81/$T81,0),IFERROR($T81/$G81,0))))))</f>
        <v/>
      </c>
      <c r="V81" s="54">
        <f>IF($U81="","⏳ بانتظار هدف",IF($U81&gt;=1.0,"✅ محقق",IF($U81&gt;=0.85,"🟡 قريب","🔴 تحت الهدف")))</f>
        <v/>
      </c>
      <c r="W81" s="61">
        <f>IF($G81="","",$G81)</f>
        <v/>
      </c>
      <c r="X81" s="54">
        <f>IF($U81="","—",IF($U81&gt;=0.85,"🟢 على المسار","🟠 متأخّر"))</f>
        <v/>
      </c>
    </row>
    <row r="82" ht="22" customHeight="1">
      <c r="A82" s="54" t="n">
        <v>79</v>
      </c>
      <c r="B82" s="13" t="inlineStr">
        <is>
          <t>الجودة</t>
        </is>
      </c>
      <c r="C82" s="11" t="inlineStr"/>
      <c r="D82" s="15" t="inlineStr">
        <is>
          <t>شهري</t>
        </is>
      </c>
      <c r="E82" s="15" t="inlineStr">
        <is>
          <t>معدل</t>
        </is>
      </c>
      <c r="F82" s="49" t="inlineStr">
        <is>
          <t>↑</t>
        </is>
      </c>
      <c r="G82" s="49" t="n"/>
      <c r="H82" s="60" t="n"/>
      <c r="I82" s="60" t="n"/>
      <c r="J82" s="60" t="n"/>
      <c r="K82" s="60" t="n"/>
      <c r="L82" s="60" t="n"/>
      <c r="M82" s="60" t="n"/>
      <c r="N82" s="60" t="n"/>
      <c r="O82" s="60" t="n"/>
      <c r="P82" s="60" t="n"/>
      <c r="Q82" s="60" t="n"/>
      <c r="R82" s="60" t="n"/>
      <c r="S82" s="60" t="n"/>
      <c r="T82" s="50">
        <f>IF(COUNT($H82:$S82)=0,"",SUM($H82:$S82)/COUNT($H82:$S82))</f>
        <v/>
      </c>
      <c r="U82" s="50">
        <f>IF($G82="","",IF($T82="","",MIN(1,IF($G82=0,IF($T82&lt;=0,1,0),IF($F82="↓",IFERROR($G82/$T82,0),IFERROR($T82/$G82,0))))))</f>
        <v/>
      </c>
      <c r="V82" s="54">
        <f>IF($U82="","⏳ بانتظار هدف",IF($U82&gt;=1.0,"✅ محقق",IF($U82&gt;=0.85,"🟡 قريب","🔴 تحت الهدف")))</f>
        <v/>
      </c>
      <c r="W82" s="61">
        <f>IF($G82="","",$G82)</f>
        <v/>
      </c>
      <c r="X82" s="54">
        <f>IF($U82="","—",IF($U82&gt;=0.85,"🟢 على المسار","🟠 متأخّر"))</f>
        <v/>
      </c>
    </row>
    <row r="83" ht="22" customHeight="1">
      <c r="A83" s="54" t="n">
        <v>80</v>
      </c>
      <c r="B83" s="13" t="inlineStr">
        <is>
          <t>الجودة</t>
        </is>
      </c>
      <c r="C83" s="11" t="inlineStr"/>
      <c r="D83" s="15" t="inlineStr">
        <is>
          <t>شهري</t>
        </is>
      </c>
      <c r="E83" s="15" t="inlineStr">
        <is>
          <t>معدل</t>
        </is>
      </c>
      <c r="F83" s="49" t="inlineStr">
        <is>
          <t>↑</t>
        </is>
      </c>
      <c r="G83" s="49" t="n"/>
      <c r="H83" s="60" t="n"/>
      <c r="I83" s="60" t="n"/>
      <c r="J83" s="60" t="n"/>
      <c r="K83" s="60" t="n"/>
      <c r="L83" s="60" t="n"/>
      <c r="M83" s="60" t="n"/>
      <c r="N83" s="60" t="n"/>
      <c r="O83" s="60" t="n"/>
      <c r="P83" s="60" t="n"/>
      <c r="Q83" s="60" t="n"/>
      <c r="R83" s="60" t="n"/>
      <c r="S83" s="60" t="n"/>
      <c r="T83" s="50">
        <f>IF(COUNT($H83:$S83)=0,"",SUM($H83:$S83)/COUNT($H83:$S83))</f>
        <v/>
      </c>
      <c r="U83" s="50">
        <f>IF($G83="","",IF($T83="","",MIN(1,IF($G83=0,IF($T83&lt;=0,1,0),IF($F83="↓",IFERROR($G83/$T83,0),IFERROR($T83/$G83,0))))))</f>
        <v/>
      </c>
      <c r="V83" s="54">
        <f>IF($U83="","⏳ بانتظار هدف",IF($U83&gt;=1.0,"✅ محقق",IF($U83&gt;=0.85,"🟡 قريب","🔴 تحت الهدف")))</f>
        <v/>
      </c>
      <c r="W83" s="61">
        <f>IF($G83="","",$G83)</f>
        <v/>
      </c>
      <c r="X83" s="54">
        <f>IF($U83="","—",IF($U83&gt;=0.85,"🟢 على المسار","🟠 متأخّر"))</f>
        <v/>
      </c>
    </row>
    <row r="84" ht="22" customHeight="1">
      <c r="A84" s="54" t="n">
        <v>81</v>
      </c>
      <c r="B84" s="13" t="inlineStr">
        <is>
          <t>الجودة</t>
        </is>
      </c>
      <c r="C84" s="11" t="inlineStr"/>
      <c r="D84" s="15" t="inlineStr">
        <is>
          <t>شهري</t>
        </is>
      </c>
      <c r="E84" s="15" t="inlineStr">
        <is>
          <t>معدل</t>
        </is>
      </c>
      <c r="F84" s="49" t="inlineStr">
        <is>
          <t>↑</t>
        </is>
      </c>
      <c r="G84" s="49" t="n"/>
      <c r="H84" s="60" t="n"/>
      <c r="I84" s="60" t="n"/>
      <c r="J84" s="60" t="n"/>
      <c r="K84" s="60" t="n"/>
      <c r="L84" s="60" t="n"/>
      <c r="M84" s="60" t="n"/>
      <c r="N84" s="60" t="n"/>
      <c r="O84" s="60" t="n"/>
      <c r="P84" s="60" t="n"/>
      <c r="Q84" s="60" t="n"/>
      <c r="R84" s="60" t="n"/>
      <c r="S84" s="60" t="n"/>
      <c r="T84" s="50">
        <f>IF(COUNT($H84:$S84)=0,"",SUM($H84:$S84)/COUNT($H84:$S84))</f>
        <v/>
      </c>
      <c r="U84" s="50">
        <f>IF($G84="","",IF($T84="","",MIN(1,IF($G84=0,IF($T84&lt;=0,1,0),IF($F84="↓",IFERROR($G84/$T84,0),IFERROR($T84/$G84,0))))))</f>
        <v/>
      </c>
      <c r="V84" s="54">
        <f>IF($U84="","⏳ بانتظار هدف",IF($U84&gt;=1.0,"✅ محقق",IF($U84&gt;=0.85,"🟡 قريب","🔴 تحت الهدف")))</f>
        <v/>
      </c>
      <c r="W84" s="61">
        <f>IF($G84="","",$G84)</f>
        <v/>
      </c>
      <c r="X84" s="54">
        <f>IF($U84="","—",IF($U84&gt;=0.85,"🟢 على المسار","🟠 متأخّر"))</f>
        <v/>
      </c>
    </row>
    <row r="85" ht="22" customHeight="1">
      <c r="A85" s="54" t="n">
        <v>82</v>
      </c>
      <c r="B85" s="13" t="inlineStr">
        <is>
          <t>الجودة</t>
        </is>
      </c>
      <c r="C85" s="11" t="inlineStr"/>
      <c r="D85" s="15" t="inlineStr">
        <is>
          <t>شهري</t>
        </is>
      </c>
      <c r="E85" s="15" t="inlineStr">
        <is>
          <t>معدل</t>
        </is>
      </c>
      <c r="F85" s="49" t="inlineStr">
        <is>
          <t>↑</t>
        </is>
      </c>
      <c r="G85" s="49" t="n"/>
      <c r="H85" s="60" t="n"/>
      <c r="I85" s="60" t="n"/>
      <c r="J85" s="60" t="n"/>
      <c r="K85" s="60" t="n"/>
      <c r="L85" s="60" t="n"/>
      <c r="M85" s="60" t="n"/>
      <c r="N85" s="60" t="n"/>
      <c r="O85" s="60" t="n"/>
      <c r="P85" s="60" t="n"/>
      <c r="Q85" s="60" t="n"/>
      <c r="R85" s="60" t="n"/>
      <c r="S85" s="60" t="n"/>
      <c r="T85" s="50">
        <f>IF(COUNT($H85:$S85)=0,"",SUM($H85:$S85)/COUNT($H85:$S85))</f>
        <v/>
      </c>
      <c r="U85" s="50">
        <f>IF($G85="","",IF($T85="","",MIN(1,IF($G85=0,IF($T85&lt;=0,1,0),IF($F85="↓",IFERROR($G85/$T85,0),IFERROR($T85/$G85,0))))))</f>
        <v/>
      </c>
      <c r="V85" s="54">
        <f>IF($U85="","⏳ بانتظار هدف",IF($U85&gt;=1.0,"✅ محقق",IF($U85&gt;=0.85,"🟡 قريب","🔴 تحت الهدف")))</f>
        <v/>
      </c>
      <c r="W85" s="61">
        <f>IF($G85="","",$G85)</f>
        <v/>
      </c>
      <c r="X85" s="54">
        <f>IF($U85="","—",IF($U85&gt;=0.85,"🟢 على المسار","🟠 متأخّر"))</f>
        <v/>
      </c>
    </row>
    <row r="86" ht="22" customHeight="1">
      <c r="A86" s="54" t="n">
        <v>83</v>
      </c>
      <c r="B86" s="13" t="inlineStr">
        <is>
          <t>الجودة</t>
        </is>
      </c>
      <c r="C86" s="11" t="inlineStr"/>
      <c r="D86" s="15" t="inlineStr">
        <is>
          <t>شهري</t>
        </is>
      </c>
      <c r="E86" s="15" t="inlineStr">
        <is>
          <t>معدل</t>
        </is>
      </c>
      <c r="F86" s="49" t="inlineStr">
        <is>
          <t>↑</t>
        </is>
      </c>
      <c r="G86" s="49" t="n"/>
      <c r="H86" s="60" t="n"/>
      <c r="I86" s="60" t="n"/>
      <c r="J86" s="60" t="n"/>
      <c r="K86" s="60" t="n"/>
      <c r="L86" s="60" t="n"/>
      <c r="M86" s="60" t="n"/>
      <c r="N86" s="60" t="n"/>
      <c r="O86" s="60" t="n"/>
      <c r="P86" s="60" t="n"/>
      <c r="Q86" s="60" t="n"/>
      <c r="R86" s="60" t="n"/>
      <c r="S86" s="60" t="n"/>
      <c r="T86" s="50">
        <f>IF(COUNT($H86:$S86)=0,"",SUM($H86:$S86)/COUNT($H86:$S86))</f>
        <v/>
      </c>
      <c r="U86" s="50">
        <f>IF($G86="","",IF($T86="","",MIN(1,IF($G86=0,IF($T86&lt;=0,1,0),IF($F86="↓",IFERROR($G86/$T86,0),IFERROR($T86/$G86,0))))))</f>
        <v/>
      </c>
      <c r="V86" s="54">
        <f>IF($U86="","⏳ بانتظار هدف",IF($U86&gt;=1.0,"✅ محقق",IF($U86&gt;=0.85,"🟡 قريب","🔴 تحت الهدف")))</f>
        <v/>
      </c>
      <c r="W86" s="61">
        <f>IF($G86="","",$G86)</f>
        <v/>
      </c>
      <c r="X86" s="54">
        <f>IF($U86="","—",IF($U86&gt;=0.85,"🟢 على المسار","🟠 متأخّر"))</f>
        <v/>
      </c>
    </row>
    <row r="87" ht="22" customHeight="1">
      <c r="A87" s="54" t="n">
        <v>84</v>
      </c>
      <c r="B87" s="13" t="inlineStr">
        <is>
          <t>الجودة</t>
        </is>
      </c>
      <c r="C87" s="11" t="inlineStr"/>
      <c r="D87" s="15" t="inlineStr">
        <is>
          <t>شهري</t>
        </is>
      </c>
      <c r="E87" s="15" t="inlineStr">
        <is>
          <t>معدل</t>
        </is>
      </c>
      <c r="F87" s="49" t="inlineStr">
        <is>
          <t>↑</t>
        </is>
      </c>
      <c r="G87" s="49" t="n"/>
      <c r="H87" s="60" t="n"/>
      <c r="I87" s="60" t="n"/>
      <c r="J87" s="60" t="n"/>
      <c r="K87" s="60" t="n"/>
      <c r="L87" s="60" t="n"/>
      <c r="M87" s="60" t="n"/>
      <c r="N87" s="60" t="n"/>
      <c r="O87" s="60" t="n"/>
      <c r="P87" s="60" t="n"/>
      <c r="Q87" s="60" t="n"/>
      <c r="R87" s="60" t="n"/>
      <c r="S87" s="60" t="n"/>
      <c r="T87" s="50">
        <f>IF(COUNT($H87:$S87)=0,"",SUM($H87:$S87)/COUNT($H87:$S87))</f>
        <v/>
      </c>
      <c r="U87" s="50">
        <f>IF($G87="","",IF($T87="","",MIN(1,IF($G87=0,IF($T87&lt;=0,1,0),IF($F87="↓",IFERROR($G87/$T87,0),IFERROR($T87/$G87,0))))))</f>
        <v/>
      </c>
      <c r="V87" s="54">
        <f>IF($U87="","⏳ بانتظار هدف",IF($U87&gt;=1.0,"✅ محقق",IF($U87&gt;=0.85,"🟡 قريب","🔴 تحت الهدف")))</f>
        <v/>
      </c>
      <c r="W87" s="61">
        <f>IF($G87="","",$G87)</f>
        <v/>
      </c>
      <c r="X87" s="54">
        <f>IF($U87="","—",IF($U87&gt;=0.85,"🟢 على المسار","🟠 متأخّر"))</f>
        <v/>
      </c>
    </row>
    <row r="88" ht="22" customHeight="1">
      <c r="A88" s="54" t="n">
        <v>85</v>
      </c>
      <c r="B88" s="13" t="inlineStr">
        <is>
          <t>الجودة</t>
        </is>
      </c>
      <c r="C88" s="11" t="inlineStr"/>
      <c r="D88" s="15" t="inlineStr">
        <is>
          <t>شهري</t>
        </is>
      </c>
      <c r="E88" s="15" t="inlineStr">
        <is>
          <t>معدل</t>
        </is>
      </c>
      <c r="F88" s="49" t="inlineStr">
        <is>
          <t>↑</t>
        </is>
      </c>
      <c r="G88" s="49" t="n"/>
      <c r="H88" s="60" t="n"/>
      <c r="I88" s="60" t="n"/>
      <c r="J88" s="60" t="n"/>
      <c r="K88" s="60" t="n"/>
      <c r="L88" s="60" t="n"/>
      <c r="M88" s="60" t="n"/>
      <c r="N88" s="60" t="n"/>
      <c r="O88" s="60" t="n"/>
      <c r="P88" s="60" t="n"/>
      <c r="Q88" s="60" t="n"/>
      <c r="R88" s="60" t="n"/>
      <c r="S88" s="60" t="n"/>
      <c r="T88" s="50">
        <f>IF(COUNT($H88:$S88)=0,"",SUM($H88:$S88)/COUNT($H88:$S88))</f>
        <v/>
      </c>
      <c r="U88" s="50">
        <f>IF($G88="","",IF($T88="","",MIN(1,IF($G88=0,IF($T88&lt;=0,1,0),IF($F88="↓",IFERROR($G88/$T88,0),IFERROR($T88/$G88,0))))))</f>
        <v/>
      </c>
      <c r="V88" s="54">
        <f>IF($U88="","⏳ بانتظار هدف",IF($U88&gt;=1.0,"✅ محقق",IF($U88&gt;=0.85,"🟡 قريب","🔴 تحت الهدف")))</f>
        <v/>
      </c>
      <c r="W88" s="61">
        <f>IF($G88="","",$G88)</f>
        <v/>
      </c>
      <c r="X88" s="54">
        <f>IF($U88="","—",IF($U88&gt;=0.85,"🟢 على المسار","🟠 متأخّر"))</f>
        <v/>
      </c>
    </row>
    <row r="89" ht="22" customHeight="1">
      <c r="A89" s="54" t="n">
        <v>86</v>
      </c>
      <c r="B89" s="13" t="inlineStr">
        <is>
          <t>الجودة</t>
        </is>
      </c>
      <c r="C89" s="11" t="inlineStr"/>
      <c r="D89" s="15" t="inlineStr">
        <is>
          <t>شهري</t>
        </is>
      </c>
      <c r="E89" s="15" t="inlineStr">
        <is>
          <t>معدل</t>
        </is>
      </c>
      <c r="F89" s="49" t="inlineStr">
        <is>
          <t>↑</t>
        </is>
      </c>
      <c r="G89" s="49" t="n"/>
      <c r="H89" s="60" t="n"/>
      <c r="I89" s="60" t="n"/>
      <c r="J89" s="60" t="n"/>
      <c r="K89" s="60" t="n"/>
      <c r="L89" s="60" t="n"/>
      <c r="M89" s="60" t="n"/>
      <c r="N89" s="60" t="n"/>
      <c r="O89" s="60" t="n"/>
      <c r="P89" s="60" t="n"/>
      <c r="Q89" s="60" t="n"/>
      <c r="R89" s="60" t="n"/>
      <c r="S89" s="60" t="n"/>
      <c r="T89" s="50">
        <f>IF(COUNT($H89:$S89)=0,"",SUM($H89:$S89)/COUNT($H89:$S89))</f>
        <v/>
      </c>
      <c r="U89" s="50">
        <f>IF($G89="","",IF($T89="","",MIN(1,IF($G89=0,IF($T89&lt;=0,1,0),IF($F89="↓",IFERROR($G89/$T89,0),IFERROR($T89/$G89,0))))))</f>
        <v/>
      </c>
      <c r="V89" s="54">
        <f>IF($U89="","⏳ بانتظار هدف",IF($U89&gt;=1.0,"✅ محقق",IF($U89&gt;=0.85,"🟡 قريب","🔴 تحت الهدف")))</f>
        <v/>
      </c>
      <c r="W89" s="61">
        <f>IF($G89="","",$G89)</f>
        <v/>
      </c>
      <c r="X89" s="54">
        <f>IF($U89="","—",IF($U89&gt;=0.85,"🟢 على المسار","🟠 متأخّر"))</f>
        <v/>
      </c>
    </row>
    <row r="90" ht="22" customHeight="1">
      <c r="A90" s="54" t="n">
        <v>87</v>
      </c>
      <c r="B90" s="13" t="inlineStr">
        <is>
          <t>الجودة</t>
        </is>
      </c>
      <c r="C90" s="11" t="inlineStr"/>
      <c r="D90" s="15" t="inlineStr">
        <is>
          <t>شهري</t>
        </is>
      </c>
      <c r="E90" s="15" t="inlineStr">
        <is>
          <t>معدل</t>
        </is>
      </c>
      <c r="F90" s="49" t="inlineStr">
        <is>
          <t>↑</t>
        </is>
      </c>
      <c r="G90" s="49" t="n"/>
      <c r="H90" s="60" t="n"/>
      <c r="I90" s="60" t="n"/>
      <c r="J90" s="60" t="n"/>
      <c r="K90" s="60" t="n"/>
      <c r="L90" s="60" t="n"/>
      <c r="M90" s="60" t="n"/>
      <c r="N90" s="60" t="n"/>
      <c r="O90" s="60" t="n"/>
      <c r="P90" s="60" t="n"/>
      <c r="Q90" s="60" t="n"/>
      <c r="R90" s="60" t="n"/>
      <c r="S90" s="60" t="n"/>
      <c r="T90" s="50">
        <f>IF(COUNT($H90:$S90)=0,"",SUM($H90:$S90)/COUNT($H90:$S90))</f>
        <v/>
      </c>
      <c r="U90" s="50">
        <f>IF($G90="","",IF($T90="","",MIN(1,IF($G90=0,IF($T90&lt;=0,1,0),IF($F90="↓",IFERROR($G90/$T90,0),IFERROR($T90/$G90,0))))))</f>
        <v/>
      </c>
      <c r="V90" s="54">
        <f>IF($U90="","⏳ بانتظار هدف",IF($U90&gt;=1.0,"✅ محقق",IF($U90&gt;=0.85,"🟡 قريب","🔴 تحت الهدف")))</f>
        <v/>
      </c>
      <c r="W90" s="61">
        <f>IF($G90="","",$G90)</f>
        <v/>
      </c>
      <c r="X90" s="54">
        <f>IF($U90="","—",IF($U90&gt;=0.85,"🟢 على المسار","🟠 متأخّر"))</f>
        <v/>
      </c>
    </row>
    <row r="91" ht="22" customHeight="1">
      <c r="A91" s="54" t="n">
        <v>88</v>
      </c>
      <c r="B91" s="13" t="inlineStr">
        <is>
          <t>الجودة</t>
        </is>
      </c>
      <c r="C91" s="11" t="inlineStr"/>
      <c r="D91" s="15" t="inlineStr">
        <is>
          <t>شهري</t>
        </is>
      </c>
      <c r="E91" s="15" t="inlineStr">
        <is>
          <t>معدل</t>
        </is>
      </c>
      <c r="F91" s="49" t="inlineStr">
        <is>
          <t>↑</t>
        </is>
      </c>
      <c r="G91" s="49" t="n"/>
      <c r="H91" s="60" t="n"/>
      <c r="I91" s="60" t="n"/>
      <c r="J91" s="60" t="n"/>
      <c r="K91" s="60" t="n"/>
      <c r="L91" s="60" t="n"/>
      <c r="M91" s="60" t="n"/>
      <c r="N91" s="60" t="n"/>
      <c r="O91" s="60" t="n"/>
      <c r="P91" s="60" t="n"/>
      <c r="Q91" s="60" t="n"/>
      <c r="R91" s="60" t="n"/>
      <c r="S91" s="60" t="n"/>
      <c r="T91" s="50">
        <f>IF(COUNT($H91:$S91)=0,"",SUM($H91:$S91)/COUNT($H91:$S91))</f>
        <v/>
      </c>
      <c r="U91" s="50">
        <f>IF($G91="","",IF($T91="","",MIN(1,IF($G91=0,IF($T91&lt;=0,1,0),IF($F91="↓",IFERROR($G91/$T91,0),IFERROR($T91/$G91,0))))))</f>
        <v/>
      </c>
      <c r="V91" s="54">
        <f>IF($U91="","⏳ بانتظار هدف",IF($U91&gt;=1.0,"✅ محقق",IF($U91&gt;=0.85,"🟡 قريب","🔴 تحت الهدف")))</f>
        <v/>
      </c>
      <c r="W91" s="61">
        <f>IF($G91="","",$G91)</f>
        <v/>
      </c>
      <c r="X91" s="54">
        <f>IF($U91="","—",IF($U91&gt;=0.85,"🟢 على المسار","🟠 متأخّر"))</f>
        <v/>
      </c>
    </row>
    <row r="92" ht="22" customHeight="1">
      <c r="A92" s="54" t="n">
        <v>89</v>
      </c>
      <c r="B92" s="13" t="inlineStr">
        <is>
          <t>الإدارة القانونية</t>
        </is>
      </c>
      <c r="C92" s="11" t="inlineStr">
        <is>
          <t>نسبة العقود المُراجَعة قانونياً قبل التوقيع</t>
        </is>
      </c>
      <c r="D92" s="15" t="inlineStr">
        <is>
          <t>شهري</t>
        </is>
      </c>
      <c r="E92" s="15" t="inlineStr">
        <is>
          <t>معدل</t>
        </is>
      </c>
      <c r="F92" s="49" t="inlineStr">
        <is>
          <t>↑</t>
        </is>
      </c>
      <c r="G92" s="59" t="n">
        <v>1</v>
      </c>
      <c r="H92" s="60" t="n"/>
      <c r="I92" s="60" t="n"/>
      <c r="J92" s="60" t="n"/>
      <c r="K92" s="60" t="n"/>
      <c r="L92" s="60" t="n"/>
      <c r="M92" s="60" t="n"/>
      <c r="N92" s="60" t="n"/>
      <c r="O92" s="60" t="n"/>
      <c r="P92" s="60" t="n"/>
      <c r="Q92" s="60" t="n"/>
      <c r="R92" s="60" t="n"/>
      <c r="S92" s="60" t="n"/>
      <c r="T92" s="50">
        <f>IF(COUNT($H92:$S92)=0,"",SUM($H92:$S92)/COUNT($H92:$S92))</f>
        <v/>
      </c>
      <c r="U92" s="50">
        <f>IF($G92="","",IF($T92="","",MIN(1,IF($G92=0,IF($T92&lt;=0,1,0),IF($F92="↓",IFERROR($G92/$T92,0),IFERROR($T92/$G92,0))))))</f>
        <v/>
      </c>
      <c r="V92" s="54">
        <f>IF($U92="","⏳ بانتظار هدف",IF($U92&gt;=1.0,"✅ محقق",IF($U92&gt;=0.85,"🟡 قريب","🔴 تحت الهدف")))</f>
        <v/>
      </c>
      <c r="W92" s="61">
        <f>IF($G92="","",$G92)</f>
        <v/>
      </c>
      <c r="X92" s="54">
        <f>IF($U92="","—",IF($U92&gt;=0.85,"🟢 على المسار","🟠 متأخّر"))</f>
        <v/>
      </c>
    </row>
    <row r="93" ht="22" customHeight="1">
      <c r="A93" s="54" t="n">
        <v>90</v>
      </c>
      <c r="B93" s="13" t="inlineStr">
        <is>
          <t>الإدارة القانونية</t>
        </is>
      </c>
      <c r="C93" s="11" t="inlineStr">
        <is>
          <t>نسبة القضايا المُغلقة لصالح الشركة</t>
        </is>
      </c>
      <c r="D93" s="15" t="inlineStr">
        <is>
          <t>شهري</t>
        </is>
      </c>
      <c r="E93" s="15" t="inlineStr">
        <is>
          <t>معدل</t>
        </is>
      </c>
      <c r="F93" s="49" t="inlineStr">
        <is>
          <t>↑</t>
        </is>
      </c>
      <c r="G93" s="59" t="n">
        <v>0.8</v>
      </c>
      <c r="H93" s="60" t="n"/>
      <c r="I93" s="60" t="n"/>
      <c r="J93" s="60" t="n"/>
      <c r="K93" s="60" t="n"/>
      <c r="L93" s="60" t="n"/>
      <c r="M93" s="60" t="n"/>
      <c r="N93" s="60" t="n"/>
      <c r="O93" s="60" t="n"/>
      <c r="P93" s="60" t="n"/>
      <c r="Q93" s="60" t="n"/>
      <c r="R93" s="60" t="n"/>
      <c r="S93" s="60" t="n"/>
      <c r="T93" s="50">
        <f>IF(COUNT($H93:$S93)=0,"",SUM($H93:$S93)/COUNT($H93:$S93))</f>
        <v/>
      </c>
      <c r="U93" s="50">
        <f>IF($G93="","",IF($T93="","",MIN(1,IF($G93=0,IF($T93&lt;=0,1,0),IF($F93="↓",IFERROR($G93/$T93,0),IFERROR($T93/$G93,0))))))</f>
        <v/>
      </c>
      <c r="V93" s="54">
        <f>IF($U93="","⏳ بانتظار هدف",IF($U93&gt;=1.0,"✅ محقق",IF($U93&gt;=0.85,"🟡 قريب","🔴 تحت الهدف")))</f>
        <v/>
      </c>
      <c r="W93" s="61">
        <f>IF($G93="","",$G93)</f>
        <v/>
      </c>
      <c r="X93" s="54">
        <f>IF($U93="","—",IF($U93&gt;=0.85,"🟢 على المسار","🟠 متأخّر"))</f>
        <v/>
      </c>
    </row>
    <row r="94" ht="22" customHeight="1">
      <c r="A94" s="54" t="n">
        <v>91</v>
      </c>
      <c r="B94" s="13" t="inlineStr">
        <is>
          <t>الإدارة القانونية</t>
        </is>
      </c>
      <c r="C94" s="11" t="inlineStr">
        <is>
          <t>مستوى رضا الإدارات عن الدعم القانوني</t>
        </is>
      </c>
      <c r="D94" s="15" t="inlineStr">
        <is>
          <t>ربعي</t>
        </is>
      </c>
      <c r="E94" s="15" t="inlineStr">
        <is>
          <t>معدل</t>
        </is>
      </c>
      <c r="F94" s="49" t="inlineStr">
        <is>
          <t>↑</t>
        </is>
      </c>
      <c r="G94" s="59" t="n">
        <v>0.85</v>
      </c>
      <c r="H94" s="60" t="n"/>
      <c r="I94" s="60" t="n"/>
      <c r="J94" s="60" t="n"/>
      <c r="K94" s="60" t="n"/>
      <c r="L94" s="60" t="n"/>
      <c r="M94" s="60" t="n"/>
      <c r="N94" s="60" t="n"/>
      <c r="O94" s="60" t="n"/>
      <c r="P94" s="60" t="n"/>
      <c r="Q94" s="60" t="n"/>
      <c r="R94" s="60" t="n"/>
      <c r="S94" s="60" t="n"/>
      <c r="T94" s="50">
        <f>IF(COUNT($H94:$S94)=0,"",SUM($H94:$S94)/COUNT($H94:$S94))</f>
        <v/>
      </c>
      <c r="U94" s="50">
        <f>IF($G94="","",IF($T94="","",MIN(1,IF($G94=0,IF($T94&lt;=0,1,0),IF($F94="↓",IFERROR($G94/$T94,0),IFERROR($T94/$G94,0))))))</f>
        <v/>
      </c>
      <c r="V94" s="54">
        <f>IF($U94="","⏳ بانتظار هدف",IF($U94&gt;=0.9,"✅ محقق",IF($U94&gt;=0.75,"🟡 قريب","🔴 تحت الهدف")))</f>
        <v/>
      </c>
      <c r="W94" s="61">
        <f>IF($G94="","",$G94)</f>
        <v/>
      </c>
      <c r="X94" s="54">
        <f>IF($U94="","—",IF($U94&gt;=0.75,"🟢 على المسار","🟠 متأخّر"))</f>
        <v/>
      </c>
    </row>
    <row r="95" ht="22" customHeight="1">
      <c r="A95" s="54" t="n">
        <v>92</v>
      </c>
      <c r="B95" s="13" t="inlineStr">
        <is>
          <t>الإدارة المالية</t>
        </is>
      </c>
      <c r="C95" s="11" t="inlineStr">
        <is>
          <t>نمو الإيرادات السنوي</t>
        </is>
      </c>
      <c r="D95" s="15" t="inlineStr">
        <is>
          <t>ربعي</t>
        </is>
      </c>
      <c r="E95" s="15" t="inlineStr">
        <is>
          <t>معدل</t>
        </is>
      </c>
      <c r="F95" s="49" t="inlineStr">
        <is>
          <t>↑</t>
        </is>
      </c>
      <c r="G95" s="59" t="n">
        <v>0.2</v>
      </c>
      <c r="H95" s="60" t="n"/>
      <c r="I95" s="60" t="n"/>
      <c r="J95" s="60" t="n"/>
      <c r="K95" s="60" t="n"/>
      <c r="L95" s="60" t="n"/>
      <c r="M95" s="60" t="n"/>
      <c r="N95" s="60" t="n"/>
      <c r="O95" s="60" t="n"/>
      <c r="P95" s="60" t="n"/>
      <c r="Q95" s="60" t="n"/>
      <c r="R95" s="60" t="n"/>
      <c r="S95" s="60" t="n"/>
      <c r="T95" s="50">
        <f>IF(COUNT($H95:$S95)=0,"",SUM($H95:$S95)/COUNT($H95:$S95))</f>
        <v/>
      </c>
      <c r="U95" s="50">
        <f>IF($G95="","",IF($T95="","",MIN(1,IF($G95=0,IF($T95&lt;=0,1,0),IF($F95="↓",IFERROR($G95/$T95,0),IFERROR($T95/$G95,0))))))</f>
        <v/>
      </c>
      <c r="V95" s="54">
        <f>IF($U95="","⏳ بانتظار هدف",IF($U95&gt;=1.0,"✅ محقق",IF($U95&gt;=0.85,"🟡 قريب","🔴 تحت الهدف")))</f>
        <v/>
      </c>
      <c r="W95" s="61">
        <f>IF($G95="","",$G95)</f>
        <v/>
      </c>
      <c r="X95" s="54">
        <f>IF($U95="","—",IF($U95&gt;=0.85,"🟢 على المسار","🟠 متأخّر"))</f>
        <v/>
      </c>
    </row>
    <row r="96" ht="22" customHeight="1">
      <c r="A96" s="54" t="n">
        <v>93</v>
      </c>
      <c r="B96" s="13" t="inlineStr">
        <is>
          <t>الإدارة المالية</t>
        </is>
      </c>
      <c r="C96" s="11" t="inlineStr">
        <is>
          <t>نسبة التدفق النقدي التشغيلي</t>
        </is>
      </c>
      <c r="D96" s="15" t="inlineStr">
        <is>
          <t>شهري</t>
        </is>
      </c>
      <c r="E96" s="15" t="inlineStr">
        <is>
          <t>معدل</t>
        </is>
      </c>
      <c r="F96" s="49" t="inlineStr">
        <is>
          <t>↑</t>
        </is>
      </c>
      <c r="G96" s="62" t="n">
        <v>1</v>
      </c>
      <c r="H96" s="63" t="n"/>
      <c r="I96" s="63" t="n"/>
      <c r="J96" s="63" t="n"/>
      <c r="K96" s="63" t="n"/>
      <c r="L96" s="63" t="n"/>
      <c r="M96" s="63" t="n"/>
      <c r="N96" s="63" t="n"/>
      <c r="O96" s="63" t="n"/>
      <c r="P96" s="63" t="n"/>
      <c r="Q96" s="63" t="n"/>
      <c r="R96" s="63" t="n"/>
      <c r="S96" s="63" t="n"/>
      <c r="T96" s="64">
        <f>IF(COUNT($H96:$S96)=0,"",SUM($H96:$S96)/COUNT($H96:$S96))</f>
        <v/>
      </c>
      <c r="U96" s="50">
        <f>IF($G96="","",IF($T96="","",MIN(1,IF($G96=0,IF($T96&lt;=0,1,0),IF($F96="↓",IFERROR($G96/$T96,0),IFERROR($T96/$G96,0))))))</f>
        <v/>
      </c>
      <c r="V96" s="54">
        <f>IF($U96="","⏳ بانتظار هدف",IF($U96&gt;=1.0,"✅ محقق",IF($U96&gt;=0.85,"🟡 قريب","🔴 تحت الهدف")))</f>
        <v/>
      </c>
      <c r="W96" s="65">
        <f>IF($G96="","",$G96)</f>
        <v/>
      </c>
      <c r="X96" s="54">
        <f>IF($U96="","—",IF($U96&gt;=0.85,"🟢 على المسار","🟠 متأخّر"))</f>
        <v/>
      </c>
    </row>
    <row r="97" ht="22" customHeight="1">
      <c r="A97" s="54" t="n">
        <v>94</v>
      </c>
      <c r="B97" s="13" t="inlineStr">
        <is>
          <t>الإدارة المالية</t>
        </is>
      </c>
      <c r="C97" s="11" t="inlineStr">
        <is>
          <t>نسبة التحصيل العام (الشركة)</t>
        </is>
      </c>
      <c r="D97" s="15" t="inlineStr">
        <is>
          <t>شهري</t>
        </is>
      </c>
      <c r="E97" s="15" t="inlineStr">
        <is>
          <t>معدل</t>
        </is>
      </c>
      <c r="F97" s="49" t="inlineStr">
        <is>
          <t>↑</t>
        </is>
      </c>
      <c r="G97" s="59" t="n">
        <v>0.95</v>
      </c>
      <c r="H97" s="60" t="n"/>
      <c r="I97" s="60" t="n"/>
      <c r="J97" s="60" t="n"/>
      <c r="K97" s="60" t="n"/>
      <c r="L97" s="60" t="n"/>
      <c r="M97" s="60" t="n"/>
      <c r="N97" s="60" t="n"/>
      <c r="O97" s="60" t="n"/>
      <c r="P97" s="60" t="n"/>
      <c r="Q97" s="60" t="n"/>
      <c r="R97" s="60" t="n"/>
      <c r="S97" s="60" t="n"/>
      <c r="T97" s="50">
        <f>IF(COUNT($H97:$S97)=0,"",SUM($H97:$S97)/COUNT($H97:$S97))</f>
        <v/>
      </c>
      <c r="U97" s="50">
        <f>IF($G97="","",IF($T97="","",MIN(1,IF($G97=0,IF($T97&lt;=0,1,0),IF($F97="↓",IFERROR($G97/$T97,0),IFERROR($T97/$G97,0))))))</f>
        <v/>
      </c>
      <c r="V97" s="54">
        <f>IF($U97="","⏳ بانتظار هدف",IF($U97&gt;=1.0,"✅ محقق",IF($U97&gt;=0.85,"🟡 قريب","🔴 تحت الهدف")))</f>
        <v/>
      </c>
      <c r="W97" s="61">
        <f>IF($G97="","",$G97)</f>
        <v/>
      </c>
      <c r="X97" s="54">
        <f>IF($U97="","—",IF($U97&gt;=0.85,"🟢 على المسار","🟠 متأخّر"))</f>
        <v/>
      </c>
    </row>
    <row r="98" ht="22" customHeight="1">
      <c r="A98" s="54" t="n">
        <v>95</v>
      </c>
      <c r="B98" s="13" t="inlineStr">
        <is>
          <t>الإدارة المالية</t>
        </is>
      </c>
      <c r="C98" s="11" t="inlineStr">
        <is>
          <t>دقة التنبؤ النقدي</t>
        </is>
      </c>
      <c r="D98" s="15" t="inlineStr">
        <is>
          <t>شهري</t>
        </is>
      </c>
      <c r="E98" s="15" t="inlineStr">
        <is>
          <t>معدل</t>
        </is>
      </c>
      <c r="F98" s="49" t="inlineStr">
        <is>
          <t>↑</t>
        </is>
      </c>
      <c r="G98" s="59" t="n">
        <v>0.9</v>
      </c>
      <c r="H98" s="60" t="n"/>
      <c r="I98" s="60" t="n"/>
      <c r="J98" s="60" t="n"/>
      <c r="K98" s="60" t="n"/>
      <c r="L98" s="60" t="n"/>
      <c r="M98" s="60" t="n"/>
      <c r="N98" s="60" t="n"/>
      <c r="O98" s="60" t="n"/>
      <c r="P98" s="60" t="n"/>
      <c r="Q98" s="60" t="n"/>
      <c r="R98" s="60" t="n"/>
      <c r="S98" s="60" t="n"/>
      <c r="T98" s="50">
        <f>IF(COUNT($H98:$S98)=0,"",SUM($H98:$S98)/COUNT($H98:$S98))</f>
        <v/>
      </c>
      <c r="U98" s="50">
        <f>IF($G98="","",IF($T98="","",MIN(1,IF($G98=0,IF($T98&lt;=0,1,0),IF($F98="↓",IFERROR($G98/$T98,0),IFERROR($T98/$G98,0))))))</f>
        <v/>
      </c>
      <c r="V98" s="54">
        <f>IF($U98="","⏳ بانتظار هدف",IF($U98&gt;=1.0,"✅ محقق",IF($U98&gt;=0.85,"🟡 قريب","🔴 تحت الهدف")))</f>
        <v/>
      </c>
      <c r="W98" s="61">
        <f>IF($G98="","",$G98)</f>
        <v/>
      </c>
      <c r="X98" s="54">
        <f>IF($U98="","—",IF($U98&gt;=0.85,"🟢 على المسار","🟠 متأخّر"))</f>
        <v/>
      </c>
    </row>
    <row r="99" ht="22" customHeight="1">
      <c r="A99" s="54" t="n">
        <v>96</v>
      </c>
      <c r="B99" s="13" t="inlineStr">
        <is>
          <t>الإدارة المالية</t>
        </is>
      </c>
      <c r="C99" s="11" t="inlineStr">
        <is>
          <t>دقة تسوية أرامكو</t>
        </is>
      </c>
      <c r="D99" s="15" t="inlineStr">
        <is>
          <t>شهري</t>
        </is>
      </c>
      <c r="E99" s="15" t="inlineStr">
        <is>
          <t>معدل</t>
        </is>
      </c>
      <c r="F99" s="49" t="inlineStr">
        <is>
          <t>↑</t>
        </is>
      </c>
      <c r="G99" s="59" t="n">
        <v>1</v>
      </c>
      <c r="H99" s="60" t="n"/>
      <c r="I99" s="60" t="n"/>
      <c r="J99" s="60" t="n"/>
      <c r="K99" s="60" t="n"/>
      <c r="L99" s="60" t="n"/>
      <c r="M99" s="60" t="n"/>
      <c r="N99" s="60" t="n"/>
      <c r="O99" s="60" t="n"/>
      <c r="P99" s="60" t="n"/>
      <c r="Q99" s="60" t="n"/>
      <c r="R99" s="60" t="n"/>
      <c r="S99" s="60" t="n"/>
      <c r="T99" s="50">
        <f>IF(COUNT($H99:$S99)=0,"",SUM($H99:$S99)/COUNT($H99:$S99))</f>
        <v/>
      </c>
      <c r="U99" s="50">
        <f>IF($G99="","",IF($T99="","",MIN(1,IF($G99=0,IF($T99&lt;=0,1,0),IF($F99="↓",IFERROR($G99/$T99,0),IFERROR($T99/$G99,0))))))</f>
        <v/>
      </c>
      <c r="V99" s="54">
        <f>IF($U99="","⏳ بانتظار هدف",IF($U99&gt;=1.0,"✅ محقق",IF($U99&gt;=0.97,"🟡 قريب","🔴 تحت الهدف")))</f>
        <v/>
      </c>
      <c r="W99" s="61">
        <f>IF($G99="","",$G99)</f>
        <v/>
      </c>
      <c r="X99" s="54">
        <f>IF($U99="","—",IF($U99&gt;=0.97,"🟢 على المسار","🟠 متأخّر"))</f>
        <v/>
      </c>
    </row>
    <row r="100" ht="22" customHeight="1">
      <c r="A100" s="54" t="n">
        <v>97</v>
      </c>
      <c r="B100" s="13" t="inlineStr">
        <is>
          <t>الإدارة المالية</t>
        </is>
      </c>
      <c r="C100" s="11" t="inlineStr">
        <is>
          <t>انحراف الموازنة</t>
        </is>
      </c>
      <c r="D100" s="15" t="inlineStr">
        <is>
          <t>ربعي</t>
        </is>
      </c>
      <c r="E100" s="15" t="inlineStr">
        <is>
          <t>معدل</t>
        </is>
      </c>
      <c r="F100" s="49" t="inlineStr">
        <is>
          <t>↓</t>
        </is>
      </c>
      <c r="G100" s="59" t="n">
        <v>0.1</v>
      </c>
      <c r="H100" s="60" t="n"/>
      <c r="I100" s="60" t="n"/>
      <c r="J100" s="60" t="n"/>
      <c r="K100" s="60" t="n"/>
      <c r="L100" s="60" t="n"/>
      <c r="M100" s="60" t="n"/>
      <c r="N100" s="60" t="n"/>
      <c r="O100" s="60" t="n"/>
      <c r="P100" s="60" t="n"/>
      <c r="Q100" s="60" t="n"/>
      <c r="R100" s="60" t="n"/>
      <c r="S100" s="60" t="n"/>
      <c r="T100" s="50">
        <f>IF(COUNT($H100:$S100)=0,"",SUM($H100:$S100)/COUNT($H100:$S100))</f>
        <v/>
      </c>
      <c r="U100" s="50">
        <f>IF($G100="","",IF($T100="","",MIN(1,IF($G100=0,IF($T100&lt;=0,1,0),IF($F100="↓",IFERROR($G100/$T100,0),IFERROR($T100/$G100,0))))))</f>
        <v/>
      </c>
      <c r="V100" s="54">
        <f>IF($U100="","⏳ بانتظار هدف",IF($U100&gt;=1.0,"✅ محقق",IF($U100&gt;=0.85,"🟡 قريب","🔴 تحت الهدف")))</f>
        <v/>
      </c>
      <c r="W100" s="61">
        <f>IF($G100="","",$G100)</f>
        <v/>
      </c>
      <c r="X100" s="54">
        <f>IF($U100="","—",IF($U100&gt;=0.85,"🟢 على المسار","🟠 متأخّر"))</f>
        <v/>
      </c>
    </row>
  </sheetData>
  <autoFilter ref="A3:X100"/>
  <mergeCells count="2">
    <mergeCell ref="A2:X2"/>
    <mergeCell ref="A1:X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36" customWidth="1" min="2" max="2"/>
    <col width="16" customWidth="1" min="3" max="3"/>
    <col width="12" customWidth="1" min="4" max="4"/>
    <col width="12" customWidth="1" min="5" max="5"/>
    <col width="11" customWidth="1" min="6" max="6"/>
    <col width="12" customWidth="1" min="7" max="7"/>
    <col width="30" customWidth="1" min="8" max="8"/>
    <col width="18" customWidth="1" min="9" max="9"/>
    <col width="38" customWidth="1" min="10" max="10"/>
    <col width="9" customWidth="1" min="11" max="11"/>
  </cols>
  <sheetData>
    <row r="1" ht="24" customHeight="1">
      <c r="A1" s="48" t="inlineStr">
        <is>
          <t>سجل المخاطر المؤسسية — مربوط بالمؤشرات (درجة الخطر = الاحتمال × الأثر)</t>
        </is>
      </c>
    </row>
    <row r="2">
      <c r="A2" s="18" t="inlineStr">
        <is>
          <t>#</t>
        </is>
      </c>
      <c r="B2" s="18" t="inlineStr">
        <is>
          <t>الخطر</t>
        </is>
      </c>
      <c r="C2" s="18" t="inlineStr">
        <is>
          <t>الفئة</t>
        </is>
      </c>
      <c r="D2" s="18" t="inlineStr">
        <is>
          <t>الاحتمال (1-5)</t>
        </is>
      </c>
      <c r="E2" s="18" t="inlineStr">
        <is>
          <t>الأثر (1-5)</t>
        </is>
      </c>
      <c r="F2" s="18" t="inlineStr">
        <is>
          <t>درجة الخطر</t>
        </is>
      </c>
      <c r="G2" s="18" t="inlineStr">
        <is>
          <t>المستوى</t>
        </is>
      </c>
      <c r="H2" s="18" t="inlineStr">
        <is>
          <t>المؤشر المرتبط</t>
        </is>
      </c>
      <c r="I2" s="18" t="inlineStr">
        <is>
          <t>المالك</t>
        </is>
      </c>
      <c r="J2" s="18" t="inlineStr">
        <is>
          <t>إجراء التخفيف</t>
        </is>
      </c>
      <c r="K2" s="18" t="inlineStr">
        <is>
          <t>الحالة</t>
        </is>
      </c>
    </row>
    <row r="3">
      <c r="A3" s="15" t="n">
        <v>1</v>
      </c>
      <c r="B3" s="21" t="inlineStr">
        <is>
          <t>تقلّب أسعار الوقود وضغط الهامش</t>
        </is>
      </c>
      <c r="C3" s="15" t="inlineStr">
        <is>
          <t>مالية/سوق</t>
        </is>
      </c>
      <c r="D3" s="51" t="n">
        <v>4</v>
      </c>
      <c r="E3" s="51" t="n">
        <v>5</v>
      </c>
      <c r="F3" s="69">
        <f>D3*E3</f>
        <v/>
      </c>
      <c r="G3" s="54">
        <f>IF(F3&gt;=15,"🔴 عالي",IF(F3&gt;=8,"🟠 متوسط","🟢 منخفض"))</f>
        <v/>
      </c>
      <c r="H3" s="11" t="inlineStr">
        <is>
          <t>هامش EBITDA</t>
        </is>
      </c>
      <c r="I3" s="15" t="inlineStr">
        <is>
          <t>المدير المالي</t>
        </is>
      </c>
      <c r="J3" s="11" t="inlineStr">
        <is>
          <t>تنويع مصادر الدخل ومراجعة التسعير دورياً</t>
        </is>
      </c>
      <c r="K3" s="15" t="inlineStr">
        <is>
          <t>نشط</t>
        </is>
      </c>
    </row>
    <row r="4">
      <c r="A4" s="15" t="n">
        <v>2</v>
      </c>
      <c r="B4" s="21" t="inlineStr">
        <is>
          <t>تعثّر تحصيل المستحقات</t>
        </is>
      </c>
      <c r="C4" s="15" t="inlineStr">
        <is>
          <t>مالية/ائتمان</t>
        </is>
      </c>
      <c r="D4" s="51" t="n">
        <v>3</v>
      </c>
      <c r="E4" s="51" t="n">
        <v>4</v>
      </c>
      <c r="F4" s="69">
        <f>D4*E4</f>
        <v/>
      </c>
      <c r="G4" s="54">
        <f>IF(F4&gt;=15,"🔴 عالي",IF(F4&gt;=8,"🟠 متوسط","🟢 منخفض"))</f>
        <v/>
      </c>
      <c r="H4" s="11" t="inlineStr">
        <is>
          <t>نسبة التحصيل العام (الشركة)</t>
        </is>
      </c>
      <c r="I4" s="15" t="inlineStr">
        <is>
          <t>المدير المالي</t>
        </is>
      </c>
      <c r="J4" s="11" t="inlineStr">
        <is>
          <t>سياسة ائتمان أصرم ومتابعة DSO أسبوعياً</t>
        </is>
      </c>
      <c r="K4" s="15" t="inlineStr">
        <is>
          <t>نشط</t>
        </is>
      </c>
    </row>
    <row r="5">
      <c r="A5" s="15" t="n">
        <v>3</v>
      </c>
      <c r="B5" s="21" t="inlineStr">
        <is>
          <t>اختراق/انقطاع الأنظمة الرقمية</t>
        </is>
      </c>
      <c r="C5" s="15" t="inlineStr">
        <is>
          <t>تقني/سيبراني</t>
        </is>
      </c>
      <c r="D5" s="51" t="n">
        <v>3</v>
      </c>
      <c r="E5" s="51" t="n">
        <v>5</v>
      </c>
      <c r="F5" s="69">
        <f>D5*E5</f>
        <v/>
      </c>
      <c r="G5" s="54">
        <f>IF(F5&gt;=15,"🔴 عالي",IF(F5&gt;=8,"🟠 متوسط","🟢 منخفض"))</f>
        <v/>
      </c>
      <c r="H5" s="11" t="inlineStr">
        <is>
          <t>نسبة الامتثال للأمن السيبراني</t>
        </is>
      </c>
      <c r="I5" s="15" t="inlineStr">
        <is>
          <t>مدير التقنية</t>
        </is>
      </c>
      <c r="J5" s="11" t="inlineStr">
        <is>
          <t>معايير أمن سيبراني وخطة استمرارية الأعمال</t>
        </is>
      </c>
      <c r="K5" s="15" t="inlineStr">
        <is>
          <t>نشط</t>
        </is>
      </c>
    </row>
    <row r="6">
      <c r="A6" s="15" t="n">
        <v>4</v>
      </c>
      <c r="B6" s="21" t="inlineStr">
        <is>
          <t>تأخّر مشاريع التحول الرقمي</t>
        </is>
      </c>
      <c r="C6" s="15" t="inlineStr">
        <is>
          <t>تقني/تشغيلي</t>
        </is>
      </c>
      <c r="D6" s="51" t="n">
        <v>4</v>
      </c>
      <c r="E6" s="51" t="n">
        <v>4</v>
      </c>
      <c r="F6" s="69">
        <f>D6*E6</f>
        <v/>
      </c>
      <c r="G6" s="54">
        <f>IF(F6&gt;=15,"🔴 عالي",IF(F6&gt;=8,"🟠 متوسط","🟢 منخفض"))</f>
        <v/>
      </c>
      <c r="H6" s="11" t="inlineStr">
        <is>
          <t>نسبة إنجاز محفظة مشاريع التحول الرقمي</t>
        </is>
      </c>
      <c r="I6" s="15" t="inlineStr">
        <is>
          <t>مدير التقنية</t>
        </is>
      </c>
      <c r="J6" s="11" t="inlineStr">
        <is>
          <t>حوكمة PMO وتقارير معالم أسبوعية</t>
        </is>
      </c>
      <c r="K6" s="15" t="inlineStr">
        <is>
          <t>نشط</t>
        </is>
      </c>
    </row>
    <row r="7">
      <c r="A7" s="15" t="n">
        <v>5</v>
      </c>
      <c r="B7" s="21" t="inlineStr">
        <is>
          <t>نقص الكوادر وتحديات السعودة</t>
        </is>
      </c>
      <c r="C7" s="15" t="inlineStr">
        <is>
          <t>موارد بشرية</t>
        </is>
      </c>
      <c r="D7" s="51" t="n">
        <v>3</v>
      </c>
      <c r="E7" s="51" t="n">
        <v>3</v>
      </c>
      <c r="F7" s="69">
        <f>D7*E7</f>
        <v/>
      </c>
      <c r="G7" s="54">
        <f>IF(F7&gt;=15,"🔴 عالي",IF(F7&gt;=8,"🟠 متوسط","🟢 منخفض"))</f>
        <v/>
      </c>
      <c r="H7" s="11" t="inlineStr">
        <is>
          <t>نسبة السعودة / التوطين</t>
        </is>
      </c>
      <c r="I7" s="15" t="inlineStr">
        <is>
          <t>مدير الموارد البشرية</t>
        </is>
      </c>
      <c r="J7" s="11" t="inlineStr">
        <is>
          <t>خطة استقطاب وتطوير واستبقاء</t>
        </is>
      </c>
      <c r="K7" s="15" t="inlineStr">
        <is>
          <t>نشط</t>
        </is>
      </c>
    </row>
    <row r="8">
      <c r="A8" s="15" t="n">
        <v>6</v>
      </c>
      <c r="B8" s="21" t="inlineStr">
        <is>
          <t>حوادث السلامة في المحطات</t>
        </is>
      </c>
      <c r="C8" s="15" t="inlineStr">
        <is>
          <t>تشغيلي/سلامة</t>
        </is>
      </c>
      <c r="D8" s="51" t="n">
        <v>2</v>
      </c>
      <c r="E8" s="51" t="n">
        <v>5</v>
      </c>
      <c r="F8" s="69">
        <f>D8*E8</f>
        <v/>
      </c>
      <c r="G8" s="54">
        <f>IF(F8&gt;=15,"🔴 عالي",IF(F8&gt;=8,"🟠 متوسط","🟢 منخفض"))</f>
        <v/>
      </c>
      <c r="H8" s="11" t="inlineStr">
        <is>
          <t>الالتزام بمعايير السلامة داخل المحطة</t>
        </is>
      </c>
      <c r="I8" s="15" t="inlineStr">
        <is>
          <t>مدير التشغيل</t>
        </is>
      </c>
      <c r="J8" s="11" t="inlineStr">
        <is>
          <t>تدقيق سلامة دوري وتدريب الفرق</t>
        </is>
      </c>
      <c r="K8" s="15" t="inlineStr">
        <is>
          <t>نشط</t>
        </is>
      </c>
    </row>
    <row r="9">
      <c r="A9" s="15" t="n">
        <v>7</v>
      </c>
      <c r="B9" s="21" t="inlineStr">
        <is>
          <t>عدم مطابقة جودة الوقود</t>
        </is>
      </c>
      <c r="C9" s="15" t="inlineStr">
        <is>
          <t>تشغيلي/جودة</t>
        </is>
      </c>
      <c r="D9" s="51" t="n">
        <v>2</v>
      </c>
      <c r="E9" s="51" t="n">
        <v>5</v>
      </c>
      <c r="F9" s="69">
        <f>D9*E9</f>
        <v/>
      </c>
      <c r="G9" s="54">
        <f>IF(F9&gt;=15,"🔴 عالي",IF(F9&gt;=8,"🟠 متوسط","🟢 منخفض"))</f>
        <v/>
      </c>
      <c r="H9" s="11" t="inlineStr">
        <is>
          <t>نسبة مطابقة جودة الوقود</t>
        </is>
      </c>
      <c r="I9" s="15" t="inlineStr">
        <is>
          <t>مدير الجودة</t>
        </is>
      </c>
      <c r="J9" s="11" t="inlineStr">
        <is>
          <t>فحوصات مخبرية ومعايرة دورية</t>
        </is>
      </c>
      <c r="K9" s="15" t="inlineStr">
        <is>
          <t>نشط</t>
        </is>
      </c>
    </row>
    <row r="10">
      <c r="A10" s="15" t="n">
        <v>8</v>
      </c>
      <c r="B10" s="21" t="inlineStr">
        <is>
          <t>تركّز جغرافي للعقود</t>
        </is>
      </c>
      <c r="C10" s="15" t="inlineStr">
        <is>
          <t>استراتيجي/توسع</t>
        </is>
      </c>
      <c r="D10" s="51" t="n">
        <v>3</v>
      </c>
      <c r="E10" s="51" t="n">
        <v>3</v>
      </c>
      <c r="F10" s="69">
        <f>D10*E10</f>
        <v/>
      </c>
      <c r="G10" s="54">
        <f>IF(F10&gt;=15,"🔴 عالي",IF(F10&gt;=8,"🟠 متوسط","🟢 منخفض"))</f>
        <v/>
      </c>
      <c r="H10" s="11" t="inlineStr">
        <is>
          <t>نسبة العقود التي تغطي المناطق الـ13</t>
        </is>
      </c>
      <c r="I10" s="15" t="inlineStr">
        <is>
          <t>مدير الاستثمار</t>
        </is>
      </c>
      <c r="J10" s="11" t="inlineStr">
        <is>
          <t>تنويع المواقع خارج المدن الرئيسية</t>
        </is>
      </c>
      <c r="K10" s="15" t="inlineStr">
        <is>
          <t>نشط</t>
        </is>
      </c>
    </row>
    <row r="11">
      <c r="A11" s="15" t="n">
        <v>9</v>
      </c>
      <c r="B11" s="21" t="inlineStr">
        <is>
          <t>ضغط السيولة والتدفق النقدي</t>
        </is>
      </c>
      <c r="C11" s="15" t="inlineStr">
        <is>
          <t>مالية/سيولة</t>
        </is>
      </c>
      <c r="D11" s="51" t="n">
        <v>3</v>
      </c>
      <c r="E11" s="51" t="n">
        <v>4</v>
      </c>
      <c r="F11" s="69">
        <f>D11*E11</f>
        <v/>
      </c>
      <c r="G11" s="54">
        <f>IF(F11&gt;=15,"🔴 عالي",IF(F11&gt;=8,"🟠 متوسط","🟢 منخفض"))</f>
        <v/>
      </c>
      <c r="H11" s="11" t="inlineStr">
        <is>
          <t>نسبة التدفق النقدي التشغيلي</t>
        </is>
      </c>
      <c r="I11" s="15" t="inlineStr">
        <is>
          <t>المدير المالي</t>
        </is>
      </c>
      <c r="J11" s="11" t="inlineStr">
        <is>
          <t>إدارة رأس المال العامل وخطوط ائتمان</t>
        </is>
      </c>
      <c r="K11" s="15" t="inlineStr">
        <is>
          <t>نشط</t>
        </is>
      </c>
    </row>
    <row r="12">
      <c r="A12" s="15" t="n">
        <v>10</v>
      </c>
      <c r="B12" s="21" t="inlineStr">
        <is>
          <t>مخاطر الامتثال التنظيمي</t>
        </is>
      </c>
      <c r="C12" s="15" t="inlineStr">
        <is>
          <t>حوكمة/امتثال</t>
        </is>
      </c>
      <c r="D12" s="51" t="n">
        <v>2</v>
      </c>
      <c r="E12" s="51" t="n">
        <v>4</v>
      </c>
      <c r="F12" s="69">
        <f>D12*E12</f>
        <v/>
      </c>
      <c r="G12" s="54">
        <f>IF(F12&gt;=15,"🔴 عالي",IF(F12&gt;=8,"🟠 متوسط","🟢 منخفض"))</f>
        <v/>
      </c>
      <c r="H12" s="11" t="inlineStr">
        <is>
          <t>الالتزام بمعايير وزارة الطاقة (تغطية 13 منطقة)</t>
        </is>
      </c>
      <c r="I12" s="15" t="inlineStr">
        <is>
          <t>المدير القانوني</t>
        </is>
      </c>
      <c r="J12" s="11" t="inlineStr">
        <is>
          <t>متابعة المتطلبات النظامية والاعتمادات</t>
        </is>
      </c>
      <c r="K12" s="15" t="inlineStr">
        <is>
          <t>نشط</t>
        </is>
      </c>
    </row>
    <row r="13">
      <c r="A13" s="15" t="n">
        <v>11</v>
      </c>
      <c r="B13" s="21" t="inlineStr">
        <is>
          <t>انخفاض إشغال الوحدات العقارية</t>
        </is>
      </c>
      <c r="C13" s="15" t="inlineStr">
        <is>
          <t>عقاري/سوق</t>
        </is>
      </c>
      <c r="D13" s="51" t="n">
        <v>3</v>
      </c>
      <c r="E13" s="51" t="n">
        <v>3</v>
      </c>
      <c r="F13" s="69">
        <f>D13*E13</f>
        <v/>
      </c>
      <c r="G13" s="54">
        <f>IF(F13&gt;=15,"🔴 عالي",IF(F13&gt;=8,"🟠 متوسط","🟢 منخفض"))</f>
        <v/>
      </c>
      <c r="H13" s="11" t="inlineStr">
        <is>
          <t>نسبة الإشغال</t>
        </is>
      </c>
      <c r="I13" s="15" t="inlineStr">
        <is>
          <t>مدير العقار</t>
        </is>
      </c>
      <c r="J13" s="11" t="inlineStr">
        <is>
          <t>تكثيف التأجير وتنويع المستأجرين</t>
        </is>
      </c>
      <c r="K13" s="15" t="inlineStr">
        <is>
          <t>نشط</t>
        </is>
      </c>
    </row>
    <row r="14">
      <c r="A14" s="15" t="n">
        <v>12</v>
      </c>
      <c r="B14" s="21" t="inlineStr">
        <is>
          <t>تراجع سمعة العلامة والشكاوى</t>
        </is>
      </c>
      <c r="C14" s="15" t="inlineStr">
        <is>
          <t>سمعة/عملاء</t>
        </is>
      </c>
      <c r="D14" s="51" t="n">
        <v>2</v>
      </c>
      <c r="E14" s="51" t="n">
        <v>4</v>
      </c>
      <c r="F14" s="69">
        <f>D14*E14</f>
        <v/>
      </c>
      <c r="G14" s="54">
        <f>IF(F14&gt;=15,"🔴 عالي",IF(F14&gt;=8,"🟠 متوسط","🟢 منخفض"))</f>
        <v/>
      </c>
      <c r="H14" s="11" t="inlineStr">
        <is>
          <t>مؤشر رضا العملاء العام (الشركة)</t>
        </is>
      </c>
      <c r="I14" s="15" t="inlineStr">
        <is>
          <t>مدير التسويق</t>
        </is>
      </c>
      <c r="J14" s="11" t="inlineStr">
        <is>
          <t>إدارة تجربة العميل ومعالجة الشكاوى بسرعة</t>
        </is>
      </c>
      <c r="K14" s="15" t="inlineStr">
        <is>
          <t>نشط</t>
        </is>
      </c>
    </row>
  </sheetData>
  <autoFilter ref="A2:K14"/>
  <mergeCells count="1">
    <mergeCell ref="A1:K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6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2" customWidth="1" min="3" max="3"/>
    <col width="10" customWidth="1" min="4" max="4"/>
    <col width="7" customWidth="1" min="5" max="5"/>
    <col width="11" customWidth="1" min="6" max="6"/>
    <col width="14" customWidth="1" min="7" max="7"/>
    <col width="12" customWidth="1" min="8" max="8"/>
    <col width="12" customWidth="1" min="9" max="9"/>
    <col width="15" customWidth="1" min="10" max="10"/>
  </cols>
  <sheetData>
    <row r="1" ht="24" customHeight="1">
      <c r="A1" s="48" t="inlineStr">
        <is>
          <t>ESG والاستدامة — البيئة · الاجتماعي · الحوكمة (متطلب حوكمة المؤسسات الكبرى)</t>
        </is>
      </c>
    </row>
    <row r="2">
      <c r="A2" s="18" t="inlineStr">
        <is>
          <t>#</t>
        </is>
      </c>
      <c r="B2" s="18" t="inlineStr">
        <is>
          <t>المحور</t>
        </is>
      </c>
      <c r="C2" s="18" t="inlineStr">
        <is>
          <t>المؤشر</t>
        </is>
      </c>
      <c r="D2" s="18" t="inlineStr">
        <is>
          <t>الوحدة</t>
        </is>
      </c>
      <c r="E2" s="18" t="inlineStr">
        <is>
          <t>القطبية</t>
        </is>
      </c>
      <c r="F2" s="18" t="inlineStr">
        <is>
          <t>المستهدف</t>
        </is>
      </c>
      <c r="G2" s="18" t="inlineStr">
        <is>
          <t>نص المستهدف</t>
        </is>
      </c>
      <c r="H2" s="18" t="inlineStr">
        <is>
          <t>المُحقَّق</t>
        </is>
      </c>
      <c r="I2" s="18" t="inlineStr">
        <is>
          <t>نسبة التحقيق</t>
        </is>
      </c>
      <c r="J2" s="18" t="inlineStr">
        <is>
          <t>الحالة</t>
        </is>
      </c>
    </row>
    <row r="3">
      <c r="A3" s="15" t="n">
        <v>1</v>
      </c>
      <c r="B3" s="15" t="inlineStr">
        <is>
          <t>E — البيئة</t>
        </is>
      </c>
      <c r="C3" s="21" t="inlineStr">
        <is>
          <t>نسبة التشجير داخل المحطات (معيار الوزارة)</t>
        </is>
      </c>
      <c r="D3" s="49" t="inlineStr">
        <is>
          <t>%</t>
        </is>
      </c>
      <c r="E3" s="49" t="inlineStr">
        <is>
          <t>↑</t>
        </is>
      </c>
      <c r="F3" s="49" t="n">
        <v>1</v>
      </c>
      <c r="G3" s="15" t="inlineStr">
        <is>
          <t>100%</t>
        </is>
      </c>
      <c r="H3" s="51" t="n">
        <v>0.792</v>
      </c>
      <c r="I3" s="50" t="n">
        <v>0.792</v>
      </c>
      <c r="J3" s="15" t="inlineStr">
        <is>
          <t>🔴 تحت الهدف</t>
        </is>
      </c>
    </row>
    <row r="4">
      <c r="A4" s="15" t="n">
        <v>2</v>
      </c>
      <c r="B4" s="15" t="inlineStr">
        <is>
          <t>E — البيئة</t>
        </is>
      </c>
      <c r="C4" s="21" t="inlineStr">
        <is>
          <t>نسبة تخفيض انبعاثات الكربون (مقابل الأساس)</t>
        </is>
      </c>
      <c r="D4" s="49" t="inlineStr">
        <is>
          <t>%</t>
        </is>
      </c>
      <c r="E4" s="49" t="inlineStr">
        <is>
          <t>↑</t>
        </is>
      </c>
      <c r="F4" s="49" t="n">
        <v>0.1</v>
      </c>
      <c r="G4" s="15" t="inlineStr">
        <is>
          <t>≥ 10%</t>
        </is>
      </c>
      <c r="H4" s="51" t="n">
        <v>0.098</v>
      </c>
      <c r="I4" s="50" t="n">
        <v>0.98</v>
      </c>
      <c r="J4" s="15" t="inlineStr">
        <is>
          <t>🟡 قريب</t>
        </is>
      </c>
    </row>
    <row r="5">
      <c r="A5" s="15" t="n">
        <v>3</v>
      </c>
      <c r="B5" s="15" t="inlineStr">
        <is>
          <t>E — البيئة</t>
        </is>
      </c>
      <c r="C5" s="21" t="inlineStr">
        <is>
          <t>كفاءة استهلاك الطاقة بالمحطات</t>
        </is>
      </c>
      <c r="D5" s="49" t="inlineStr">
        <is>
          <t>%</t>
        </is>
      </c>
      <c r="E5" s="49" t="inlineStr">
        <is>
          <t>↑</t>
        </is>
      </c>
      <c r="F5" s="49" t="n">
        <v>0.9</v>
      </c>
      <c r="G5" s="15" t="inlineStr">
        <is>
          <t>≥ 90%</t>
        </is>
      </c>
      <c r="H5" s="51" t="n">
        <v>0.8110000000000001</v>
      </c>
      <c r="I5" s="50" t="n">
        <v>0.9011111111111112</v>
      </c>
      <c r="J5" s="15" t="inlineStr">
        <is>
          <t>🟡 قريب</t>
        </is>
      </c>
    </row>
    <row r="6">
      <c r="A6" s="15" t="n">
        <v>4</v>
      </c>
      <c r="B6" s="15" t="inlineStr">
        <is>
          <t>E — البيئة</t>
        </is>
      </c>
      <c r="C6" s="21" t="inlineStr">
        <is>
          <t>نسبة إدارة وإعادة تدوير المخلفات</t>
        </is>
      </c>
      <c r="D6" s="49" t="inlineStr">
        <is>
          <t>%</t>
        </is>
      </c>
      <c r="E6" s="49" t="inlineStr">
        <is>
          <t>↑</t>
        </is>
      </c>
      <c r="F6" s="49" t="n">
        <v>0.8</v>
      </c>
      <c r="G6" s="15" t="inlineStr">
        <is>
          <t>≥ 80%</t>
        </is>
      </c>
      <c r="H6" s="51" t="n">
        <v>0.603</v>
      </c>
      <c r="I6" s="50" t="n">
        <v>0.7537499999999999</v>
      </c>
      <c r="J6" s="15" t="inlineStr">
        <is>
          <t>🔴 تحت الهدف</t>
        </is>
      </c>
    </row>
    <row r="7">
      <c r="A7" s="15" t="n">
        <v>5</v>
      </c>
      <c r="B7" s="15" t="inlineStr">
        <is>
          <t>E — البيئة</t>
        </is>
      </c>
      <c r="C7" s="21" t="inlineStr">
        <is>
          <t>حالات الانسكاب/التسرّب البيئي</t>
        </is>
      </c>
      <c r="D7" s="49" t="inlineStr">
        <is>
          <t>حالة</t>
        </is>
      </c>
      <c r="E7" s="49" t="inlineStr">
        <is>
          <t>↓</t>
        </is>
      </c>
      <c r="F7" s="49" t="n">
        <v>0</v>
      </c>
      <c r="G7" s="15" t="inlineStr">
        <is>
          <t>صفر</t>
        </is>
      </c>
      <c r="H7" s="51" t="n"/>
      <c r="I7" s="50" t="n"/>
      <c r="J7" s="15" t="inlineStr">
        <is>
          <t>⏳ بانتظار هدف</t>
        </is>
      </c>
    </row>
    <row r="8">
      <c r="A8" s="15" t="n">
        <v>6</v>
      </c>
      <c r="B8" s="15" t="inlineStr">
        <is>
          <t>S — الاجتماعي</t>
        </is>
      </c>
      <c r="C8" s="21" t="inlineStr">
        <is>
          <t>نسبة السعودة / التوطين</t>
        </is>
      </c>
      <c r="D8" s="49" t="inlineStr">
        <is>
          <t>%</t>
        </is>
      </c>
      <c r="E8" s="49" t="inlineStr">
        <is>
          <t>↑</t>
        </is>
      </c>
      <c r="F8" s="49" t="n">
        <v>0.3</v>
      </c>
      <c r="G8" s="15" t="inlineStr">
        <is>
          <t>≥ 30%</t>
        </is>
      </c>
      <c r="H8" s="51" t="n">
        <v>0.249</v>
      </c>
      <c r="I8" s="50" t="n">
        <v>0.8300000000000001</v>
      </c>
      <c r="J8" s="15" t="inlineStr">
        <is>
          <t>🔴 تحت الهدف</t>
        </is>
      </c>
    </row>
    <row r="9">
      <c r="A9" s="15" t="n">
        <v>7</v>
      </c>
      <c r="B9" s="15" t="inlineStr">
        <is>
          <t>S — الاجتماعي</t>
        </is>
      </c>
      <c r="C9" s="21" t="inlineStr">
        <is>
          <t>معدل حوادث السلامة (TRIR)</t>
        </is>
      </c>
      <c r="D9" s="49" t="inlineStr">
        <is>
          <t>معدل</t>
        </is>
      </c>
      <c r="E9" s="49" t="inlineStr">
        <is>
          <t>↓</t>
        </is>
      </c>
      <c r="F9" s="49" t="n">
        <v>0</v>
      </c>
      <c r="G9" s="15" t="inlineStr">
        <is>
          <t>≈ صفر</t>
        </is>
      </c>
      <c r="H9" s="51" t="n"/>
      <c r="I9" s="50" t="n"/>
      <c r="J9" s="15" t="inlineStr">
        <is>
          <t>⏳ بانتظار هدف</t>
        </is>
      </c>
    </row>
    <row r="10">
      <c r="A10" s="15" t="n">
        <v>8</v>
      </c>
      <c r="B10" s="15" t="inlineStr">
        <is>
          <t>S — الاجتماعي</t>
        </is>
      </c>
      <c r="C10" s="21" t="inlineStr">
        <is>
          <t>مؤشر رضا الموظفين (eNPS)</t>
        </is>
      </c>
      <c r="D10" s="49" t="inlineStr">
        <is>
          <t>نقطة</t>
        </is>
      </c>
      <c r="E10" s="49" t="inlineStr">
        <is>
          <t>↑</t>
        </is>
      </c>
      <c r="F10" s="49" t="n">
        <v>30</v>
      </c>
      <c r="G10" s="15" t="inlineStr">
        <is>
          <t>≥ 30</t>
        </is>
      </c>
      <c r="H10" s="51" t="n">
        <v>27.5</v>
      </c>
      <c r="I10" s="50" t="n">
        <v>0.9166666666666666</v>
      </c>
      <c r="J10" s="15" t="inlineStr">
        <is>
          <t>✅ محقق</t>
        </is>
      </c>
    </row>
    <row r="11">
      <c r="A11" s="15" t="n">
        <v>9</v>
      </c>
      <c r="B11" s="15" t="inlineStr">
        <is>
          <t>S — الاجتماعي</t>
        </is>
      </c>
      <c r="C11" s="21" t="inlineStr">
        <is>
          <t>متوسط ساعات التدريب لكل موظف</t>
        </is>
      </c>
      <c r="D11" s="49" t="inlineStr">
        <is>
          <t>ساعة</t>
        </is>
      </c>
      <c r="E11" s="49" t="inlineStr">
        <is>
          <t>↑</t>
        </is>
      </c>
      <c r="F11" s="49" t="n">
        <v>40</v>
      </c>
      <c r="G11" s="15" t="inlineStr">
        <is>
          <t>≥ 40</t>
        </is>
      </c>
      <c r="H11" s="51" t="n">
        <v>33.6</v>
      </c>
      <c r="I11" s="50" t="n">
        <v>0.8400000000000001</v>
      </c>
      <c r="J11" s="15" t="inlineStr">
        <is>
          <t>🔴 تحت الهدف</t>
        </is>
      </c>
    </row>
    <row r="12">
      <c r="A12" s="15" t="n">
        <v>10</v>
      </c>
      <c r="B12" s="15" t="inlineStr">
        <is>
          <t>S — الاجتماعي</t>
        </is>
      </c>
      <c r="C12" s="21" t="inlineStr">
        <is>
          <t>مبادرات المسؤولية المجتمعية</t>
        </is>
      </c>
      <c r="D12" s="49" t="inlineStr">
        <is>
          <t>مبادرة</t>
        </is>
      </c>
      <c r="E12" s="49" t="inlineStr">
        <is>
          <t>↑</t>
        </is>
      </c>
      <c r="F12" s="49" t="n">
        <v>6</v>
      </c>
      <c r="G12" s="15" t="inlineStr">
        <is>
          <t>≥ 6</t>
        </is>
      </c>
      <c r="H12" s="51" t="n">
        <v>5.225</v>
      </c>
      <c r="I12" s="50" t="n">
        <v>0.8708333333333332</v>
      </c>
      <c r="J12" s="15" t="inlineStr">
        <is>
          <t>🟡 قريب</t>
        </is>
      </c>
    </row>
    <row r="13">
      <c r="A13" s="15" t="n">
        <v>11</v>
      </c>
      <c r="B13" s="15" t="inlineStr">
        <is>
          <t>G — الحوكمة</t>
        </is>
      </c>
      <c r="C13" s="21" t="inlineStr">
        <is>
          <t>نسبة الالتزام بالامتثال التنظيمي</t>
        </is>
      </c>
      <c r="D13" s="49" t="inlineStr">
        <is>
          <t>%</t>
        </is>
      </c>
      <c r="E13" s="49" t="inlineStr">
        <is>
          <t>↑</t>
        </is>
      </c>
      <c r="F13" s="49" t="n">
        <v>1</v>
      </c>
      <c r="G13" s="15" t="inlineStr">
        <is>
          <t>100%</t>
        </is>
      </c>
      <c r="H13" s="51" t="n">
        <v>0.766</v>
      </c>
      <c r="I13" s="50" t="n">
        <v>0.766</v>
      </c>
      <c r="J13" s="15" t="inlineStr">
        <is>
          <t>🔴 تحت الهدف</t>
        </is>
      </c>
    </row>
    <row r="14">
      <c r="A14" s="15" t="n">
        <v>12</v>
      </c>
      <c r="B14" s="15" t="inlineStr">
        <is>
          <t>G — الحوكمة</t>
        </is>
      </c>
      <c r="C14" s="21" t="inlineStr">
        <is>
          <t>نسبة اعتماد السياسات والإجراءات</t>
        </is>
      </c>
      <c r="D14" s="49" t="inlineStr">
        <is>
          <t>%</t>
        </is>
      </c>
      <c r="E14" s="49" t="inlineStr">
        <is>
          <t>↑</t>
        </is>
      </c>
      <c r="F14" s="49" t="n">
        <v>0.95</v>
      </c>
      <c r="G14" s="15" t="inlineStr">
        <is>
          <t>≥ 95%</t>
        </is>
      </c>
      <c r="H14" s="51" t="n">
        <v>0.8169999999999999</v>
      </c>
      <c r="I14" s="50" t="n">
        <v>0.86</v>
      </c>
      <c r="J14" s="15" t="inlineStr">
        <is>
          <t>🟡 قريب</t>
        </is>
      </c>
    </row>
    <row r="15">
      <c r="A15" s="15" t="n">
        <v>13</v>
      </c>
      <c r="B15" s="15" t="inlineStr">
        <is>
          <t>G — الحوكمة</t>
        </is>
      </c>
      <c r="C15" s="21" t="inlineStr">
        <is>
          <t>نسبة إغلاق ملاحظات التدقيق الداخلي</t>
        </is>
      </c>
      <c r="D15" s="49" t="inlineStr">
        <is>
          <t>%</t>
        </is>
      </c>
      <c r="E15" s="49" t="inlineStr">
        <is>
          <t>↑</t>
        </is>
      </c>
      <c r="F15" s="49" t="n">
        <v>0.9</v>
      </c>
      <c r="G15" s="15" t="inlineStr">
        <is>
          <t>≥ 90%</t>
        </is>
      </c>
      <c r="H15" s="51" t="n">
        <v>0.902</v>
      </c>
      <c r="I15" s="50" t="n">
        <v>1</v>
      </c>
      <c r="J15" s="15" t="inlineStr">
        <is>
          <t>✅ محقق</t>
        </is>
      </c>
    </row>
    <row r="16">
      <c r="A16" s="15" t="n">
        <v>14</v>
      </c>
      <c r="B16" s="15" t="inlineStr">
        <is>
          <t>G — الحوكمة</t>
        </is>
      </c>
      <c r="C16" s="21" t="inlineStr">
        <is>
          <t>نسبة الإفصاح والشفافية</t>
        </is>
      </c>
      <c r="D16" s="49" t="inlineStr">
        <is>
          <t>%</t>
        </is>
      </c>
      <c r="E16" s="49" t="inlineStr">
        <is>
          <t>↑</t>
        </is>
      </c>
      <c r="F16" s="49" t="n">
        <v>0.95</v>
      </c>
      <c r="G16" s="15" t="inlineStr">
        <is>
          <t>≥ 95%</t>
        </is>
      </c>
      <c r="H16" s="51" t="n">
        <v>0.979</v>
      </c>
      <c r="I16" s="50" t="n">
        <v>1</v>
      </c>
      <c r="J16" s="15" t="inlineStr">
        <is>
          <t>✅ محقق</t>
        </is>
      </c>
    </row>
  </sheetData>
  <autoFilter ref="A2:J16"/>
  <mergeCells count="1">
    <mergeCell ref="A1:J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0"/>
  <sheetViews>
    <sheetView showGridLines="0"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24" customWidth="1" min="2" max="2"/>
    <col width="14" customWidth="1" min="3" max="3"/>
    <col width="14" customWidth="1" min="4" max="4"/>
    <col width="14" customWidth="1" min="5" max="5"/>
    <col width="14" customWidth="1" min="6" max="6"/>
    <col width="16" customWidth="1" min="7" max="7"/>
  </cols>
  <sheetData>
    <row r="1" ht="24" customHeight="1">
      <c r="A1" s="17" t="inlineStr">
        <is>
          <t>مراجعة وحوكمة المؤشرات — التوازن · النوع · الأوزان · تغطية الأهداف</t>
        </is>
      </c>
    </row>
    <row r="3">
      <c r="A3" s="6" t="inlineStr">
        <is>
          <t>أ) لكل إدارة: العدد · مجموع الأوزان · النوع</t>
        </is>
      </c>
      <c r="B3" s="8" t="n"/>
      <c r="C3" s="8" t="n"/>
      <c r="D3" s="8" t="n"/>
      <c r="E3" s="8" t="n"/>
      <c r="F3" s="8" t="n"/>
      <c r="G3" s="7" t="n"/>
    </row>
    <row r="4">
      <c r="A4" s="18" t="inlineStr">
        <is>
          <t>#</t>
        </is>
      </c>
      <c r="B4" s="18" t="inlineStr">
        <is>
          <t>الإدارة</t>
        </is>
      </c>
      <c r="C4" s="18" t="inlineStr">
        <is>
          <t>عدد المؤشرات</t>
        </is>
      </c>
      <c r="D4" s="18" t="inlineStr">
        <is>
          <t>مجموع الأوزان</t>
        </is>
      </c>
      <c r="E4" s="18" t="inlineStr">
        <is>
          <t>🎯 نتيجة</t>
        </is>
      </c>
      <c r="F4" s="18" t="inlineStr">
        <is>
          <t>⚙️ نشاط</t>
        </is>
      </c>
      <c r="G4" s="18" t="inlineStr">
        <is>
          <t>🔧 تشغيلي</t>
        </is>
      </c>
    </row>
    <row r="5">
      <c r="A5" s="15" t="n">
        <v>1</v>
      </c>
      <c r="B5" s="13" t="inlineStr">
        <is>
          <t>الإدارة التنفيذية</t>
        </is>
      </c>
      <c r="C5" s="15" t="n">
        <v>10</v>
      </c>
      <c r="D5" s="70" t="n">
        <v>1</v>
      </c>
      <c r="E5" s="15" t="n">
        <v>5</v>
      </c>
      <c r="F5" s="15" t="n">
        <v>1</v>
      </c>
      <c r="G5" s="15" t="n">
        <v>4</v>
      </c>
    </row>
    <row r="6">
      <c r="A6" s="15" t="n">
        <v>2</v>
      </c>
      <c r="B6" s="13" t="inlineStr">
        <is>
          <t>الامتياز التجاري</t>
        </is>
      </c>
      <c r="C6" s="15" t="n">
        <v>29</v>
      </c>
      <c r="D6" s="70" t="n">
        <v>1</v>
      </c>
      <c r="E6" s="15" t="n">
        <v>18</v>
      </c>
      <c r="F6" s="15" t="n">
        <v>5</v>
      </c>
      <c r="G6" s="15" t="n">
        <v>6</v>
      </c>
    </row>
    <row r="7">
      <c r="A7" s="15" t="n">
        <v>3</v>
      </c>
      <c r="B7" s="13" t="inlineStr">
        <is>
          <t>التشغيل والمحطات</t>
        </is>
      </c>
      <c r="C7" s="15" t="n">
        <v>4</v>
      </c>
      <c r="D7" s="70" t="n">
        <v>1</v>
      </c>
      <c r="E7" s="15" t="n">
        <v>2</v>
      </c>
      <c r="F7" s="15" t="n">
        <v>1</v>
      </c>
      <c r="G7" s="15" t="n">
        <v>1</v>
      </c>
    </row>
    <row r="8">
      <c r="A8" s="15" t="n">
        <v>4</v>
      </c>
      <c r="B8" s="13" t="inlineStr">
        <is>
          <t>الاستثمار</t>
        </is>
      </c>
      <c r="C8" s="15" t="n">
        <v>5</v>
      </c>
      <c r="D8" s="70" t="n">
        <v>1</v>
      </c>
      <c r="E8" s="15" t="n">
        <v>3</v>
      </c>
      <c r="F8" s="15" t="n">
        <v>2</v>
      </c>
      <c r="G8" s="15" t="n">
        <v>0</v>
      </c>
    </row>
    <row r="9">
      <c r="A9" s="15" t="n">
        <v>5</v>
      </c>
      <c r="B9" s="13" t="inlineStr">
        <is>
          <t>العقار</t>
        </is>
      </c>
      <c r="C9" s="15" t="n">
        <v>4</v>
      </c>
      <c r="D9" s="70" t="n">
        <v>1</v>
      </c>
      <c r="E9" s="15" t="n">
        <v>3</v>
      </c>
      <c r="F9" s="15" t="n">
        <v>1</v>
      </c>
      <c r="G9" s="15" t="n">
        <v>0</v>
      </c>
    </row>
    <row r="10">
      <c r="A10" s="15" t="n">
        <v>6</v>
      </c>
      <c r="B10" s="13" t="inlineStr">
        <is>
          <t>إدارة المشاريع</t>
        </is>
      </c>
      <c r="C10" s="15" t="n">
        <v>3</v>
      </c>
      <c r="D10" s="70" t="n">
        <v>1</v>
      </c>
      <c r="E10" s="15" t="n">
        <v>2</v>
      </c>
      <c r="F10" s="15" t="n">
        <v>0</v>
      </c>
      <c r="G10" s="15" t="n">
        <v>1</v>
      </c>
    </row>
    <row r="11">
      <c r="A11" s="15" t="n">
        <v>7</v>
      </c>
      <c r="B11" s="13" t="inlineStr">
        <is>
          <t>سلاسل الإمداد</t>
        </is>
      </c>
      <c r="C11" s="15" t="n">
        <v>4</v>
      </c>
      <c r="D11" s="70" t="n">
        <v>1</v>
      </c>
      <c r="E11" s="15" t="n">
        <v>1</v>
      </c>
      <c r="F11" s="15" t="n">
        <v>1</v>
      </c>
      <c r="G11" s="15" t="n">
        <v>2</v>
      </c>
    </row>
    <row r="12">
      <c r="A12" s="15" t="n">
        <v>8</v>
      </c>
      <c r="B12" s="13" t="inlineStr">
        <is>
          <t>الصيانة والأتمتة</t>
        </is>
      </c>
      <c r="C12" s="15" t="n">
        <v>2</v>
      </c>
      <c r="D12" s="70" t="n">
        <v>1</v>
      </c>
      <c r="E12" s="15" t="n">
        <v>0</v>
      </c>
      <c r="F12" s="15" t="n">
        <v>1</v>
      </c>
      <c r="G12" s="15" t="n">
        <v>1</v>
      </c>
    </row>
    <row r="13">
      <c r="A13" s="15" t="n">
        <v>9</v>
      </c>
      <c r="B13" s="13" t="inlineStr">
        <is>
          <t>التقنية الرقمية</t>
        </is>
      </c>
      <c r="C13" s="15" t="n">
        <v>2</v>
      </c>
      <c r="D13" s="70" t="n">
        <v>1</v>
      </c>
      <c r="E13" s="15" t="n">
        <v>0</v>
      </c>
      <c r="F13" s="15" t="n">
        <v>0</v>
      </c>
      <c r="G13" s="15" t="n">
        <v>2</v>
      </c>
    </row>
    <row r="14">
      <c r="A14" s="15" t="n">
        <v>10</v>
      </c>
      <c r="B14" s="13" t="inlineStr">
        <is>
          <t>الموارد البشرية</t>
        </is>
      </c>
      <c r="C14" s="15" t="n">
        <v>5</v>
      </c>
      <c r="D14" s="70" t="n">
        <v>1</v>
      </c>
      <c r="E14" s="15" t="n">
        <v>3</v>
      </c>
      <c r="F14" s="15" t="n">
        <v>1</v>
      </c>
      <c r="G14" s="15" t="n">
        <v>1</v>
      </c>
    </row>
    <row r="15">
      <c r="A15" s="15" t="n">
        <v>11</v>
      </c>
      <c r="B15" s="13" t="inlineStr">
        <is>
          <t>التسويق</t>
        </is>
      </c>
      <c r="C15" s="15" t="n">
        <v>5</v>
      </c>
      <c r="D15" s="70" t="n">
        <v>1</v>
      </c>
      <c r="E15" s="15" t="n">
        <v>3</v>
      </c>
      <c r="F15" s="15" t="n">
        <v>2</v>
      </c>
      <c r="G15" s="15" t="n">
        <v>0</v>
      </c>
    </row>
    <row r="16">
      <c r="A16" s="15" t="n">
        <v>12</v>
      </c>
      <c r="B16" s="13" t="inlineStr">
        <is>
          <t>الجودة</t>
        </is>
      </c>
      <c r="C16" s="15" t="n">
        <v>15</v>
      </c>
      <c r="D16" s="70" t="n">
        <v>1</v>
      </c>
      <c r="E16" s="15" t="n">
        <v>0</v>
      </c>
      <c r="F16" s="15" t="n">
        <v>0</v>
      </c>
      <c r="G16" s="15" t="n">
        <v>15</v>
      </c>
    </row>
    <row r="17">
      <c r="A17" s="15" t="n">
        <v>13</v>
      </c>
      <c r="B17" s="13" t="inlineStr">
        <is>
          <t>الإدارة القانونية</t>
        </is>
      </c>
      <c r="C17" s="15" t="n">
        <v>3</v>
      </c>
      <c r="D17" s="70" t="n">
        <v>1</v>
      </c>
      <c r="E17" s="15" t="n">
        <v>1</v>
      </c>
      <c r="F17" s="15" t="n">
        <v>0</v>
      </c>
      <c r="G17" s="15" t="n">
        <v>2</v>
      </c>
    </row>
    <row r="18">
      <c r="A18" s="15" t="n">
        <v>14</v>
      </c>
      <c r="B18" s="13" t="inlineStr">
        <is>
          <t>الإدارة المالية</t>
        </is>
      </c>
      <c r="C18" s="15" t="n">
        <v>6</v>
      </c>
      <c r="D18" s="70" t="n">
        <v>1</v>
      </c>
      <c r="E18" s="15" t="n">
        <v>4</v>
      </c>
      <c r="F18" s="15" t="n">
        <v>0</v>
      </c>
      <c r="G18" s="15" t="n">
        <v>2</v>
      </c>
    </row>
    <row r="20">
      <c r="A20" s="6" t="inlineStr">
        <is>
          <t>ب) توزيع منظورات Balanced Scorecard</t>
        </is>
      </c>
      <c r="B20" s="8" t="n"/>
      <c r="C20" s="8" t="n"/>
      <c r="D20" s="8" t="n"/>
      <c r="E20" s="8" t="n"/>
      <c r="F20" s="8" t="n"/>
      <c r="G20" s="7" t="n"/>
    </row>
    <row r="21">
      <c r="A21" s="18" t="inlineStr">
        <is>
          <t>#</t>
        </is>
      </c>
      <c r="B21" s="18" t="inlineStr">
        <is>
          <t>المنظور</t>
        </is>
      </c>
      <c r="C21" s="18" t="inlineStr">
        <is>
          <t>عدد المؤشرات</t>
        </is>
      </c>
      <c r="D21" s="18" t="inlineStr">
        <is>
          <t>النسبة</t>
        </is>
      </c>
    </row>
    <row r="22">
      <c r="A22" s="15" t="n">
        <v>1</v>
      </c>
      <c r="B22" s="13" t="inlineStr">
        <is>
          <t>مالي</t>
        </is>
      </c>
      <c r="C22" s="15" t="n">
        <v>16</v>
      </c>
      <c r="D22" s="24" t="n">
        <v>0.165</v>
      </c>
    </row>
    <row r="23">
      <c r="A23" s="15" t="n">
        <v>2</v>
      </c>
      <c r="B23" s="13" t="inlineStr">
        <is>
          <t>العملاء</t>
        </is>
      </c>
      <c r="C23" s="15" t="n">
        <v>12</v>
      </c>
      <c r="D23" s="24" t="n">
        <v>0.124</v>
      </c>
    </row>
    <row r="24">
      <c r="A24" s="15" t="n">
        <v>3</v>
      </c>
      <c r="B24" s="13" t="inlineStr">
        <is>
          <t>العمليات الداخلية</t>
        </is>
      </c>
      <c r="C24" s="15" t="n">
        <v>58</v>
      </c>
      <c r="D24" s="24" t="n">
        <v>0.598</v>
      </c>
    </row>
    <row r="25">
      <c r="A25" s="15" t="n">
        <v>4</v>
      </c>
      <c r="B25" s="13" t="inlineStr">
        <is>
          <t>التعلّم والنمو</t>
        </is>
      </c>
      <c r="C25" s="15" t="n">
        <v>11</v>
      </c>
      <c r="D25" s="24" t="n">
        <v>0.113</v>
      </c>
    </row>
    <row r="27">
      <c r="A27" s="6" t="inlineStr">
        <is>
          <t>ج) تغطية الأهداف الاستراتيجية (عدد المؤشرات لكل مشروع)</t>
        </is>
      </c>
      <c r="B27" s="8" t="n"/>
      <c r="C27" s="8" t="n"/>
      <c r="D27" s="8" t="n"/>
      <c r="E27" s="8" t="n"/>
      <c r="F27" s="8" t="n"/>
      <c r="G27" s="7" t="n"/>
    </row>
    <row r="28">
      <c r="A28" s="18" t="inlineStr">
        <is>
          <t>#</t>
        </is>
      </c>
      <c r="B28" s="18" t="inlineStr">
        <is>
          <t>المشروع/الهدف</t>
        </is>
      </c>
      <c r="C28" s="18" t="inlineStr">
        <is>
          <t>الركيزة</t>
        </is>
      </c>
      <c r="D28" s="18" t="inlineStr">
        <is>
          <t>عدد المؤشرات</t>
        </is>
      </c>
      <c r="E28" s="18" t="inlineStr">
        <is>
          <t>التغطية</t>
        </is>
      </c>
    </row>
    <row r="29">
      <c r="A29" s="15" t="n">
        <v>1</v>
      </c>
      <c r="B29" s="13" t="inlineStr">
        <is>
          <t>التوسع في المواقع</t>
        </is>
      </c>
      <c r="C29" s="15" t="inlineStr">
        <is>
          <t>النمو</t>
        </is>
      </c>
      <c r="D29" s="15" t="n">
        <v>9</v>
      </c>
      <c r="E29" s="15" t="inlineStr">
        <is>
          <t>🟢 كافية</t>
        </is>
      </c>
    </row>
    <row r="30">
      <c r="A30" s="15" t="n">
        <v>2</v>
      </c>
      <c r="B30" s="13" t="inlineStr">
        <is>
          <t>الامتياز التجاري</t>
        </is>
      </c>
      <c r="C30" s="15" t="inlineStr">
        <is>
          <t>النمو</t>
        </is>
      </c>
      <c r="D30" s="15" t="n">
        <v>6</v>
      </c>
      <c r="E30" s="15" t="inlineStr">
        <is>
          <t>🟢 كافية</t>
        </is>
      </c>
    </row>
    <row r="31">
      <c r="A31" s="15" t="n">
        <v>3</v>
      </c>
      <c r="B31" s="13" t="inlineStr">
        <is>
          <t>زيادة وصول العملاء</t>
        </is>
      </c>
      <c r="C31" s="15" t="inlineStr">
        <is>
          <t>النمو</t>
        </is>
      </c>
      <c r="D31" s="15" t="n">
        <v>6</v>
      </c>
      <c r="E31" s="15" t="inlineStr">
        <is>
          <t>🟢 كافية</t>
        </is>
      </c>
    </row>
    <row r="32">
      <c r="A32" s="15" t="n">
        <v>4</v>
      </c>
      <c r="B32" s="13" t="inlineStr">
        <is>
          <t>إطلاق مشاريع جديدة</t>
        </is>
      </c>
      <c r="C32" s="15" t="inlineStr">
        <is>
          <t>الابتكار</t>
        </is>
      </c>
      <c r="D32" s="15" t="n">
        <v>1</v>
      </c>
      <c r="E32" s="15" t="inlineStr">
        <is>
          <t>🟡 ضعيفة</t>
        </is>
      </c>
    </row>
    <row r="33">
      <c r="A33" s="15" t="n">
        <v>5</v>
      </c>
      <c r="B33" s="13" t="inlineStr">
        <is>
          <t>تطوير التصاميم والهوية</t>
        </is>
      </c>
      <c r="C33" s="15" t="inlineStr">
        <is>
          <t>الابتكار</t>
        </is>
      </c>
      <c r="D33" s="15" t="n">
        <v>2</v>
      </c>
      <c r="E33" s="15" t="inlineStr">
        <is>
          <t>🟡 ضعيفة</t>
        </is>
      </c>
    </row>
    <row r="34">
      <c r="A34" s="15" t="n">
        <v>6</v>
      </c>
      <c r="B34" s="13" t="inlineStr">
        <is>
          <t>التحول التقني</t>
        </is>
      </c>
      <c r="C34" s="15" t="inlineStr">
        <is>
          <t>الابتكار</t>
        </is>
      </c>
      <c r="D34" s="15" t="n">
        <v>6</v>
      </c>
      <c r="E34" s="15" t="inlineStr">
        <is>
          <t>🟢 كافية</t>
        </is>
      </c>
    </row>
    <row r="35">
      <c r="A35" s="15" t="n">
        <v>7</v>
      </c>
      <c r="B35" s="13" t="inlineStr">
        <is>
          <t>ساحات درب</t>
        </is>
      </c>
      <c r="C35" s="15" t="inlineStr">
        <is>
          <t>الابتكار</t>
        </is>
      </c>
      <c r="D35" s="15" t="n">
        <v>0</v>
      </c>
      <c r="E35" s="15" t="inlineStr">
        <is>
          <t>🔴 فجوة</t>
        </is>
      </c>
    </row>
    <row r="36">
      <c r="A36" s="15" t="n">
        <v>8</v>
      </c>
      <c r="B36" s="13" t="inlineStr">
        <is>
          <t>تطبيق «تانكي»</t>
        </is>
      </c>
      <c r="C36" s="15" t="inlineStr">
        <is>
          <t>الابتكار</t>
        </is>
      </c>
      <c r="D36" s="15" t="n">
        <v>2</v>
      </c>
      <c r="E36" s="15" t="inlineStr">
        <is>
          <t>🟡 ضعيفة</t>
        </is>
      </c>
    </row>
    <row r="37">
      <c r="A37" s="15" t="n">
        <v>9</v>
      </c>
      <c r="B37" s="13" t="inlineStr">
        <is>
          <t>تعزيز تجربة العملاء</t>
        </is>
      </c>
      <c r="C37" s="15" t="inlineStr">
        <is>
          <t>الاستدامة</t>
        </is>
      </c>
      <c r="D37" s="15" t="n">
        <v>12</v>
      </c>
      <c r="E37" s="15" t="inlineStr">
        <is>
          <t>🟢 كافية</t>
        </is>
      </c>
    </row>
    <row r="38">
      <c r="A38" s="15" t="n">
        <v>10</v>
      </c>
      <c r="B38" s="13" t="inlineStr">
        <is>
          <t>جودة التشغيل</t>
        </is>
      </c>
      <c r="C38" s="15" t="inlineStr">
        <is>
          <t>الاستدامة</t>
        </is>
      </c>
      <c r="D38" s="15" t="n">
        <v>43</v>
      </c>
      <c r="E38" s="15" t="inlineStr">
        <is>
          <t>🟢 كافية</t>
        </is>
      </c>
    </row>
    <row r="39">
      <c r="A39" s="15" t="n">
        <v>11</v>
      </c>
      <c r="B39" s="13" t="inlineStr">
        <is>
          <t>منظومة التأجير</t>
        </is>
      </c>
      <c r="C39" s="15" t="inlineStr">
        <is>
          <t>الاستدامة</t>
        </is>
      </c>
      <c r="D39" s="15" t="n">
        <v>4</v>
      </c>
      <c r="E39" s="15" t="inlineStr">
        <is>
          <t>🟢 كافية</t>
        </is>
      </c>
    </row>
    <row r="40">
      <c r="A40" s="15" t="n">
        <v>12</v>
      </c>
      <c r="B40" s="13" t="inlineStr">
        <is>
          <t>الاستثمار في الموظفين</t>
        </is>
      </c>
      <c r="C40" s="15" t="inlineStr">
        <is>
          <t>الاستدامة</t>
        </is>
      </c>
      <c r="D40" s="15" t="n">
        <v>6</v>
      </c>
      <c r="E40" s="15" t="inlineStr">
        <is>
          <t>🟢 كافية</t>
        </is>
      </c>
    </row>
  </sheetData>
  <mergeCells count="4">
    <mergeCell ref="A27:G27"/>
    <mergeCell ref="A20:G20"/>
    <mergeCell ref="A3:G3"/>
    <mergeCell ref="A1:G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N99"/>
  <sheetViews>
    <sheetView showGridLines="0" rightToLeft="1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6" customWidth="1" min="2" max="2"/>
    <col width="38" customWidth="1" min="3" max="3"/>
    <col width="46" customWidth="1" min="4" max="4"/>
    <col width="30" customWidth="1" min="5" max="5"/>
    <col width="11" customWidth="1" min="6" max="6"/>
    <col width="30" customWidth="1" min="7" max="7"/>
    <col width="16" customWidth="1" min="8" max="8"/>
    <col width="8" customWidth="1" min="9" max="9"/>
    <col width="16" customWidth="1" min="10" max="10"/>
    <col width="24" customWidth="1" min="11" max="11"/>
    <col width="9" customWidth="1" min="12" max="12"/>
    <col width="18" customWidth="1" min="13" max="13"/>
    <col width="16" customWidth="1" min="14" max="14"/>
  </cols>
  <sheetData>
    <row r="1" ht="24" customHeight="1">
      <c r="A1" s="48" t="inlineStr">
        <is>
          <t>بطاقة تعريف المؤشرات — قاموس البيانات والحوكمة (مالك · مصدر · دورية · تعريف · احتساب · اعتماد)</t>
        </is>
      </c>
    </row>
    <row r="2" ht="26" customHeight="1">
      <c r="A2" s="18" t="inlineStr">
        <is>
          <t>#</t>
        </is>
      </c>
      <c r="B2" s="18" t="inlineStr">
        <is>
          <t>الإدارة</t>
        </is>
      </c>
      <c r="C2" s="18" t="inlineStr">
        <is>
          <t>المؤشر</t>
        </is>
      </c>
      <c r="D2" s="18" t="inlineStr">
        <is>
          <t>التعريف</t>
        </is>
      </c>
      <c r="E2" s="18" t="inlineStr">
        <is>
          <t>طريقة الاحتساب</t>
        </is>
      </c>
      <c r="F2" s="18" t="inlineStr">
        <is>
          <t>النوع</t>
        </is>
      </c>
      <c r="G2" s="18" t="inlineStr">
        <is>
          <t>الهدف الاستراتيجي (ركيزة · مشروع)</t>
        </is>
      </c>
      <c r="H2" s="18" t="inlineStr">
        <is>
          <t>منظور BSC</t>
        </is>
      </c>
      <c r="I2" s="18" t="inlineStr">
        <is>
          <t>الوزن</t>
        </is>
      </c>
      <c r="J2" s="18" t="inlineStr">
        <is>
          <t>المالك</t>
        </is>
      </c>
      <c r="K2" s="18" t="inlineStr">
        <is>
          <t>مصدر البيانات</t>
        </is>
      </c>
      <c r="L2" s="18" t="inlineStr">
        <is>
          <t>الدورية</t>
        </is>
      </c>
      <c r="M2" s="18" t="inlineStr">
        <is>
          <t>جهة اعتماد البيانات</t>
        </is>
      </c>
      <c r="N2" s="18" t="inlineStr">
        <is>
          <t>آخر تحديث للبيانات</t>
        </is>
      </c>
    </row>
    <row r="3" ht="30" customHeight="1">
      <c r="A3" s="15" t="n">
        <v>1</v>
      </c>
      <c r="B3" s="13" t="inlineStr">
        <is>
          <t>الإدارة التنفيذية</t>
        </is>
      </c>
      <c r="C3" s="21" t="inlineStr">
        <is>
          <t>إجمالي المحطات المشغّلة — الشركة (تراكمي)</t>
        </is>
      </c>
      <c r="D3" s="71" t="inlineStr">
        <is>
          <t>يقيس إجمالي المحطات المشغّلة — الشركة (تراكمي) ضمن محور «النمو»، ويعكس مساهمة الإدارة في ركيزة النمو.</t>
        </is>
      </c>
      <c r="E3" s="11" t="inlineStr">
        <is>
          <t>إجمالي العدد خلال الفترة</t>
        </is>
      </c>
      <c r="F3" s="15" t="inlineStr">
        <is>
          <t>🔧 تشغيلي</t>
        </is>
      </c>
      <c r="G3" s="11" t="inlineStr">
        <is>
          <t>النمو · التوسع في المواقع</t>
        </is>
      </c>
      <c r="H3" s="15" t="inlineStr">
        <is>
          <t>العمليات الداخلية</t>
        </is>
      </c>
      <c r="I3" s="59" t="n">
        <v>0.12</v>
      </c>
      <c r="J3" s="15" t="inlineStr">
        <is>
          <t>الرئيس التنفيذي</t>
        </is>
      </c>
      <c r="K3" s="11" t="inlineStr">
        <is>
          <t>نظام تشغيل المحطات</t>
        </is>
      </c>
      <c r="L3" s="15" t="inlineStr">
        <is>
          <t>شهري</t>
        </is>
      </c>
      <c r="M3" s="15" t="inlineStr">
        <is>
          <t>اللجنة التنفيذية</t>
        </is>
      </c>
      <c r="N3" s="51" t="n"/>
    </row>
    <row r="4" ht="30" customHeight="1">
      <c r="A4" s="15" t="n">
        <v>2</v>
      </c>
      <c r="B4" s="13" t="inlineStr">
        <is>
          <t>الإدارة التنفيذية</t>
        </is>
      </c>
      <c r="C4" s="21" t="inlineStr">
        <is>
          <t>إجمالي العقود الجديدة — الشركة</t>
        </is>
      </c>
      <c r="D4" s="71" t="inlineStr">
        <is>
          <t>يقيس إجمالي العقود الجديدة — الشركة ضمن محور «النمو»، ويعكس مساهمة الإدارة في ركيزة النمو.</t>
        </is>
      </c>
      <c r="E4" s="11" t="inlineStr">
        <is>
          <t>إجمالي العدد خلال الفترة</t>
        </is>
      </c>
      <c r="F4" s="15" t="inlineStr">
        <is>
          <t>🔧 تشغيلي</t>
        </is>
      </c>
      <c r="G4" s="11" t="inlineStr">
        <is>
          <t>النمو · الامتياز التجاري</t>
        </is>
      </c>
      <c r="H4" s="15" t="inlineStr">
        <is>
          <t>العمليات الداخلية</t>
        </is>
      </c>
      <c r="I4" s="59" t="n">
        <v>0.12</v>
      </c>
      <c r="J4" s="15" t="inlineStr">
        <is>
          <t>الرئيس التنفيذي</t>
        </is>
      </c>
      <c r="K4" s="11" t="inlineStr">
        <is>
          <t>نظام إدارة العقود (CRM)</t>
        </is>
      </c>
      <c r="L4" s="15" t="inlineStr">
        <is>
          <t>شهري</t>
        </is>
      </c>
      <c r="M4" s="15" t="inlineStr">
        <is>
          <t>اللجنة التنفيذية</t>
        </is>
      </c>
      <c r="N4" s="51" t="n"/>
    </row>
    <row r="5" ht="30" customHeight="1">
      <c r="A5" s="15" t="n">
        <v>3</v>
      </c>
      <c r="B5" s="13" t="inlineStr">
        <is>
          <t>الإدارة التنفيذية</t>
        </is>
      </c>
      <c r="C5" s="21" t="inlineStr">
        <is>
          <t>نسبة نمو إيرادات الشركة (سنوي)</t>
        </is>
      </c>
      <c r="D5" s="71" t="inlineStr">
        <is>
          <t>يقيس نسبة نمو إيرادات الشركة (سنوي) ضمن محور «النمو»، ويعكس مساهمة الإدارة في ركيزة النمو.</t>
        </is>
      </c>
      <c r="E5" s="11" t="inlineStr">
        <is>
          <t>(المتحقّق ÷ الإجمالي) × 100٪</t>
        </is>
      </c>
      <c r="F5" s="15" t="inlineStr">
        <is>
          <t>🎯 نتيجة</t>
        </is>
      </c>
      <c r="G5" s="11" t="inlineStr">
        <is>
          <t>النمو · زيادة وصول العملاء</t>
        </is>
      </c>
      <c r="H5" s="15" t="inlineStr">
        <is>
          <t>مالي</t>
        </is>
      </c>
      <c r="I5" s="59" t="n">
        <v>0.12</v>
      </c>
      <c r="J5" s="15" t="inlineStr">
        <is>
          <t>الرئيس التنفيذي</t>
        </is>
      </c>
      <c r="K5" s="11" t="inlineStr">
        <is>
          <t>نظام المحاسبة / ERP (D365)</t>
        </is>
      </c>
      <c r="L5" s="15" t="inlineStr">
        <is>
          <t>شهري</t>
        </is>
      </c>
      <c r="M5" s="15" t="inlineStr">
        <is>
          <t>اللجنة التنفيذية</t>
        </is>
      </c>
      <c r="N5" s="51" t="n"/>
    </row>
    <row r="6" ht="30" customHeight="1">
      <c r="A6" s="15" t="n">
        <v>4</v>
      </c>
      <c r="B6" s="13" t="inlineStr">
        <is>
          <t>الإدارة التنفيذية</t>
        </is>
      </c>
      <c r="C6" s="21" t="inlineStr">
        <is>
          <t>نسبة إنجاز مشاريع الخارطة التنفيذية</t>
        </is>
      </c>
      <c r="D6" s="71" t="inlineStr">
        <is>
          <t>يقيس نسبة إنجاز مشاريع الخارطة التنفيذية ضمن محور «الابتكار»، ويعكس مساهمة الإدارة في ركيزة الابتكار.</t>
        </is>
      </c>
      <c r="E6" s="11" t="inlineStr">
        <is>
          <t>(المتحقّق ÷ الإجمالي) × 100٪</t>
        </is>
      </c>
      <c r="F6" s="15" t="inlineStr">
        <is>
          <t>⚙️ نشاط</t>
        </is>
      </c>
      <c r="G6" s="11" t="inlineStr">
        <is>
          <t>الابتكار · إطلاق مشاريع جديدة</t>
        </is>
      </c>
      <c r="H6" s="15" t="inlineStr">
        <is>
          <t>العمليات الداخلية</t>
        </is>
      </c>
      <c r="I6" s="59" t="n">
        <v>0.08</v>
      </c>
      <c r="J6" s="15" t="inlineStr">
        <is>
          <t>الرئيس التنفيذي</t>
        </is>
      </c>
      <c r="K6" s="11" t="inlineStr">
        <is>
          <t>سجلات الإدارة</t>
        </is>
      </c>
      <c r="L6" s="15" t="inlineStr">
        <is>
          <t>شهري</t>
        </is>
      </c>
      <c r="M6" s="15" t="inlineStr">
        <is>
          <t>اللجنة التنفيذية</t>
        </is>
      </c>
      <c r="N6" s="51" t="n"/>
    </row>
    <row r="7" ht="30" customHeight="1">
      <c r="A7" s="15" t="n">
        <v>5</v>
      </c>
      <c r="B7" s="13" t="inlineStr">
        <is>
          <t>الإدارة التنفيذية</t>
        </is>
      </c>
      <c r="C7" s="21" t="inlineStr">
        <is>
          <t>نسبة التحول الرقمي على مستوى الشركة</t>
        </is>
      </c>
      <c r="D7" s="71" t="inlineStr">
        <is>
          <t>يقيس نسبة التحول الرقمي على مستوى الشركة ضمن محور «الابتكار»، ويعكس مساهمة الإدارة في ركيزة الابتكار.</t>
        </is>
      </c>
      <c r="E7" s="11" t="inlineStr">
        <is>
          <t>(المتحقّق ÷ الإجمالي) × 100٪</t>
        </is>
      </c>
      <c r="F7" s="15" t="inlineStr">
        <is>
          <t>🔧 تشغيلي</t>
        </is>
      </c>
      <c r="G7" s="11" t="inlineStr">
        <is>
          <t>الابتكار · التحول التقني</t>
        </is>
      </c>
      <c r="H7" s="15" t="inlineStr">
        <is>
          <t>التعلّم والنمو</t>
        </is>
      </c>
      <c r="I7" s="59" t="n">
        <v>0.08</v>
      </c>
      <c r="J7" s="15" t="inlineStr">
        <is>
          <t>الرئيس التنفيذي</t>
        </is>
      </c>
      <c r="K7" s="11" t="inlineStr">
        <is>
          <t>سجلات الإدارة</t>
        </is>
      </c>
      <c r="L7" s="15" t="inlineStr">
        <is>
          <t>شهري</t>
        </is>
      </c>
      <c r="M7" s="15" t="inlineStr">
        <is>
          <t>اللجنة التنفيذية</t>
        </is>
      </c>
      <c r="N7" s="51" t="n"/>
    </row>
    <row r="8" ht="30" customHeight="1">
      <c r="A8" s="15" t="n">
        <v>6</v>
      </c>
      <c r="B8" s="13" t="inlineStr">
        <is>
          <t>الإدارة التنفيذية</t>
        </is>
      </c>
      <c r="C8" s="21" t="inlineStr">
        <is>
          <t>مؤشر رضا العملاء العام (الشركة)</t>
        </is>
      </c>
      <c r="D8" s="71" t="inlineStr">
        <is>
          <t>يقيس مؤشر رضا العملاء العام (الشركة) ضمن محور «الاستدامة»، ويعكس مساهمة الإدارة في ركيزة الاستدامة.</t>
        </is>
      </c>
      <c r="E8" s="11" t="inlineStr">
        <is>
          <t>(المتحقّق ÷ الإجمالي) × 100٪</t>
        </is>
      </c>
      <c r="F8" s="15" t="inlineStr">
        <is>
          <t>🎯 نتيجة</t>
        </is>
      </c>
      <c r="G8" s="11" t="inlineStr">
        <is>
          <t>الاستدامة · تعزيز تجربة العملاء</t>
        </is>
      </c>
      <c r="H8" s="15" t="inlineStr">
        <is>
          <t>العملاء</t>
        </is>
      </c>
      <c r="I8" s="59" t="n">
        <v>0.12</v>
      </c>
      <c r="J8" s="15" t="inlineStr">
        <is>
          <t>الرئيس التنفيذي</t>
        </is>
      </c>
      <c r="K8" s="11" t="inlineStr">
        <is>
          <t>استبيان دوري</t>
        </is>
      </c>
      <c r="L8" s="15" t="inlineStr">
        <is>
          <t>ربعي</t>
        </is>
      </c>
      <c r="M8" s="15" t="inlineStr">
        <is>
          <t>اللجنة التنفيذية</t>
        </is>
      </c>
      <c r="N8" s="51" t="n"/>
    </row>
    <row r="9" ht="30" customHeight="1">
      <c r="A9" s="15" t="n">
        <v>7</v>
      </c>
      <c r="B9" s="13" t="inlineStr">
        <is>
          <t>الإدارة التنفيذية</t>
        </is>
      </c>
      <c r="C9" s="21" t="inlineStr">
        <is>
          <t>مؤشر رضا الموظفين العام (eNPS)</t>
        </is>
      </c>
      <c r="D9" s="71" t="inlineStr">
        <is>
          <t>يقيس مؤشر رضا الموظفين العام (eNPS) ضمن محور «الاستدامة»، ويعكس مساهمة الإدارة في ركيزة الاستدامة.</t>
        </is>
      </c>
      <c r="E9" s="11" t="inlineStr">
        <is>
          <t>٪ المروّجين − ٪ المنتقدين</t>
        </is>
      </c>
      <c r="F9" s="15" t="inlineStr">
        <is>
          <t>🎯 نتيجة</t>
        </is>
      </c>
      <c r="G9" s="11" t="inlineStr">
        <is>
          <t>الاستدامة · الاستثمار في الموظفين</t>
        </is>
      </c>
      <c r="H9" s="15" t="inlineStr">
        <is>
          <t>التعلّم والنمو</t>
        </is>
      </c>
      <c r="I9" s="59" t="n">
        <v>0.12</v>
      </c>
      <c r="J9" s="15" t="inlineStr">
        <is>
          <t>الرئيس التنفيذي</t>
        </is>
      </c>
      <c r="K9" s="11" t="inlineStr">
        <is>
          <t>استبيان دوري</t>
        </is>
      </c>
      <c r="L9" s="15" t="inlineStr">
        <is>
          <t>ربعي</t>
        </is>
      </c>
      <c r="M9" s="15" t="inlineStr">
        <is>
          <t>اللجنة التنفيذية</t>
        </is>
      </c>
      <c r="N9" s="51" t="n"/>
    </row>
    <row r="10" ht="30" customHeight="1">
      <c r="A10" s="15" t="n">
        <v>8</v>
      </c>
      <c r="B10" s="13" t="inlineStr">
        <is>
          <t>الإدارة التنفيذية</t>
        </is>
      </c>
      <c r="C10" s="21" t="inlineStr">
        <is>
          <t>نسبة تحقيق المستهدفات الاستراتيجية العامة</t>
        </is>
      </c>
      <c r="D10" s="71" t="inlineStr">
        <is>
          <t>يقيس نسبة تحقيق المستهدفات الاستراتيجية العامة ضمن محور «الاستدامة»، ويعكس مساهمة الإدارة في ركيزة الاستدامة.</t>
        </is>
      </c>
      <c r="E10" s="11" t="inlineStr">
        <is>
          <t>(المتحقّق ÷ الإجمالي) × 100٪</t>
        </is>
      </c>
      <c r="F10" s="15" t="inlineStr">
        <is>
          <t>🔧 تشغيلي</t>
        </is>
      </c>
      <c r="G10" s="11" t="inlineStr">
        <is>
          <t>الاستدامة · جودة التشغيل</t>
        </is>
      </c>
      <c r="H10" s="15" t="inlineStr">
        <is>
          <t>العمليات الداخلية</t>
        </is>
      </c>
      <c r="I10" s="59" t="n">
        <v>0.08</v>
      </c>
      <c r="J10" s="15" t="inlineStr">
        <is>
          <t>الرئيس التنفيذي</t>
        </is>
      </c>
      <c r="K10" s="11" t="inlineStr">
        <is>
          <t>نظام إدارة القضايا والتحقيقات</t>
        </is>
      </c>
      <c r="L10" s="15" t="inlineStr">
        <is>
          <t>شهري</t>
        </is>
      </c>
      <c r="M10" s="15" t="inlineStr">
        <is>
          <t>اللجنة التنفيذية</t>
        </is>
      </c>
      <c r="N10" s="51" t="n"/>
    </row>
    <row r="11" ht="30" customHeight="1">
      <c r="A11" s="15" t="n">
        <v>9</v>
      </c>
      <c r="B11" s="13" t="inlineStr">
        <is>
          <t>الإدارة التنفيذية</t>
        </is>
      </c>
      <c r="C11" s="21" t="inlineStr">
        <is>
          <t>نسبة الالتزام بإطار الحوكمة المؤسسية والامتثال التنظيمي</t>
        </is>
      </c>
      <c r="D11" s="71" t="inlineStr">
        <is>
          <t>يقيس نسبة الالتزام بإطار الحوكمة المؤسسية والامتثال التنظيمي ضمن محور «الحوكمة»، ويعكس مساهمة الإدارة في ركيزة الاستدامة.</t>
        </is>
      </c>
      <c r="E11" s="11" t="inlineStr">
        <is>
          <t>(المتحقّق ÷ الإجمالي) × 100٪</t>
        </is>
      </c>
      <c r="F11" s="15" t="inlineStr">
        <is>
          <t>🎯 نتيجة</t>
        </is>
      </c>
      <c r="G11" s="11" t="inlineStr">
        <is>
          <t>الاستدامة · جودة التشغيل</t>
        </is>
      </c>
      <c r="H11" s="15" t="inlineStr">
        <is>
          <t>العمليات الداخلية</t>
        </is>
      </c>
      <c r="I11" s="59" t="n">
        <v>0.08</v>
      </c>
      <c r="J11" s="15" t="inlineStr">
        <is>
          <t>الرئيس التنفيذي</t>
        </is>
      </c>
      <c r="K11" s="11" t="inlineStr">
        <is>
          <t>نظام إدارة الجودة (QMS)</t>
        </is>
      </c>
      <c r="L11" s="15" t="inlineStr">
        <is>
          <t>شهري</t>
        </is>
      </c>
      <c r="M11" s="15" t="inlineStr">
        <is>
          <t>اللجنة التنفيذية</t>
        </is>
      </c>
      <c r="N11" s="51" t="n"/>
    </row>
    <row r="12" ht="30" customHeight="1">
      <c r="A12" s="15" t="n">
        <v>10</v>
      </c>
      <c r="B12" s="13" t="inlineStr">
        <is>
          <t>الإدارة التنفيذية</t>
        </is>
      </c>
      <c r="C12" s="21" t="inlineStr">
        <is>
          <t>الالتزام بمعايير وزارة الطاقة (تغطية 13 منطقة)</t>
        </is>
      </c>
      <c r="D12" s="71" t="inlineStr">
        <is>
          <t>يقيس الالتزام بمعايير وزارة الطاقة (تغطية 13 منطقة) ضمن محور «النمو»، ويعكس مساهمة الإدارة في ركيزة النمو.</t>
        </is>
      </c>
      <c r="E12" s="11" t="inlineStr">
        <is>
          <t>(المتحقّق ÷ الإجمالي) × 100٪</t>
        </is>
      </c>
      <c r="F12" s="15" t="inlineStr">
        <is>
          <t>🎯 نتيجة</t>
        </is>
      </c>
      <c r="G12" s="11" t="inlineStr">
        <is>
          <t>النمو · التوسع في المواقع</t>
        </is>
      </c>
      <c r="H12" s="15" t="inlineStr">
        <is>
          <t>العمليات الداخلية</t>
        </is>
      </c>
      <c r="I12" s="59" t="n">
        <v>0.08</v>
      </c>
      <c r="J12" s="15" t="inlineStr">
        <is>
          <t>الرئيس التنفيذي</t>
        </is>
      </c>
      <c r="K12" s="11" t="inlineStr">
        <is>
          <t>سجلات الإدارة</t>
        </is>
      </c>
      <c r="L12" s="15" t="inlineStr">
        <is>
          <t>شهري</t>
        </is>
      </c>
      <c r="M12" s="15" t="inlineStr">
        <is>
          <t>اللجنة التنفيذية</t>
        </is>
      </c>
      <c r="N12" s="51" t="n"/>
    </row>
    <row r="13" ht="30" customHeight="1">
      <c r="A13" s="15" t="n">
        <v>11</v>
      </c>
      <c r="B13" s="13" t="inlineStr">
        <is>
          <t>الامتياز التجاري</t>
        </is>
      </c>
      <c r="C13" s="21" t="inlineStr">
        <is>
          <t>عدد محطات الامتياز المشغّلة (تراكمي)</t>
        </is>
      </c>
      <c r="D13" s="71" t="inlineStr">
        <is>
          <t>يقيس عدد محطات الامتياز المشغّلة (تراكمي) ضمن محور «النمو والتوسع»، ويعكس مساهمة الإدارة في ركيزة النمو.</t>
        </is>
      </c>
      <c r="E13" s="11" t="inlineStr">
        <is>
          <t>إجمالي العدد خلال الفترة</t>
        </is>
      </c>
      <c r="F13" s="15" t="inlineStr">
        <is>
          <t>⚙️ نشاط</t>
        </is>
      </c>
      <c r="G13" s="11" t="inlineStr">
        <is>
          <t>النمو · التوسع في المواقع</t>
        </is>
      </c>
      <c r="H13" s="15" t="inlineStr">
        <is>
          <t>العمليات الداخلية</t>
        </is>
      </c>
      <c r="I13" s="59" t="n">
        <v>0.04</v>
      </c>
      <c r="J13" s="15" t="inlineStr">
        <is>
          <t>مدير الامتياز</t>
        </is>
      </c>
      <c r="K13" s="11" t="inlineStr">
        <is>
          <t>نظام إدارة العقود (CRM)</t>
        </is>
      </c>
      <c r="L13" s="15" t="inlineStr">
        <is>
          <t>شهري</t>
        </is>
      </c>
      <c r="M13" s="15" t="inlineStr">
        <is>
          <t>مدير الامتياز</t>
        </is>
      </c>
      <c r="N13" s="51" t="n"/>
    </row>
    <row r="14" ht="30" customHeight="1">
      <c r="A14" s="15" t="n">
        <v>12</v>
      </c>
      <c r="B14" s="13" t="inlineStr">
        <is>
          <t>الامتياز التجاري</t>
        </is>
      </c>
      <c r="C14" s="21" t="inlineStr">
        <is>
          <t>عدد عقود الامتياز الجديدة الموقّعة</t>
        </is>
      </c>
      <c r="D14" s="71" t="inlineStr">
        <is>
          <t>يقيس عدد عقود الامتياز الجديدة الموقّعة ضمن محور «النمو والتوسع»، ويعكس مساهمة الإدارة في ركيزة النمو.</t>
        </is>
      </c>
      <c r="E14" s="11" t="inlineStr">
        <is>
          <t>إجمالي العدد خلال الفترة</t>
        </is>
      </c>
      <c r="F14" s="15" t="inlineStr">
        <is>
          <t>⚙️ نشاط</t>
        </is>
      </c>
      <c r="G14" s="11" t="inlineStr">
        <is>
          <t>النمو · الامتياز التجاري</t>
        </is>
      </c>
      <c r="H14" s="15" t="inlineStr">
        <is>
          <t>العمليات الداخلية</t>
        </is>
      </c>
      <c r="I14" s="59" t="n">
        <v>0.04</v>
      </c>
      <c r="J14" s="15" t="inlineStr">
        <is>
          <t>مدير الامتياز</t>
        </is>
      </c>
      <c r="K14" s="11" t="inlineStr">
        <is>
          <t>نظام إدارة العقود (CRM)</t>
        </is>
      </c>
      <c r="L14" s="15" t="inlineStr">
        <is>
          <t>شهري</t>
        </is>
      </c>
      <c r="M14" s="15" t="inlineStr">
        <is>
          <t>مدير الامتياز</t>
        </is>
      </c>
      <c r="N14" s="51" t="n"/>
    </row>
    <row r="15" ht="30" customHeight="1">
      <c r="A15" s="15" t="n">
        <v>13</v>
      </c>
      <c r="B15" s="13" t="inlineStr">
        <is>
          <t>الامتياز التجاري</t>
        </is>
      </c>
      <c r="C15" s="21" t="inlineStr">
        <is>
          <t>إجمالي مبيعات وقود محطات الامتياز</t>
        </is>
      </c>
      <c r="D15" s="71" t="inlineStr">
        <is>
          <t>يقيس إجمالي مبيعات وقود محطات الامتياز ضمن محور «المبيعات والأداء التجاري»، ويعكس مساهمة الإدارة في ركيزة النمو.</t>
        </is>
      </c>
      <c r="E15" s="11" t="inlineStr">
        <is>
          <t>إجمالي العدد خلال الفترة</t>
        </is>
      </c>
      <c r="F15" s="15" t="inlineStr">
        <is>
          <t>🎯 نتيجة</t>
        </is>
      </c>
      <c r="G15" s="11" t="inlineStr">
        <is>
          <t>النمو · زيادة وصول العملاء</t>
        </is>
      </c>
      <c r="H15" s="15" t="inlineStr">
        <is>
          <t>مالي</t>
        </is>
      </c>
      <c r="I15" s="59" t="n">
        <v>0.04</v>
      </c>
      <c r="J15" s="15" t="inlineStr">
        <is>
          <t>مدير الامتياز</t>
        </is>
      </c>
      <c r="K15" s="11" t="inlineStr">
        <is>
          <t>نظام إدارة العقود (CRM)</t>
        </is>
      </c>
      <c r="L15" s="15" t="inlineStr">
        <is>
          <t>شهري</t>
        </is>
      </c>
      <c r="M15" s="15" t="inlineStr">
        <is>
          <t>مدير الامتياز</t>
        </is>
      </c>
      <c r="N15" s="51" t="n"/>
    </row>
    <row r="16" ht="30" customHeight="1">
      <c r="A16" s="15" t="n">
        <v>14</v>
      </c>
      <c r="B16" s="13" t="inlineStr">
        <is>
          <t>الامتياز التجاري</t>
        </is>
      </c>
      <c r="C16" s="21" t="inlineStr">
        <is>
          <t>نسبة تأجير وحدات الامتياز</t>
        </is>
      </c>
      <c r="D16" s="71" t="inlineStr">
        <is>
          <t>يقيس نسبة تأجير وحدات الامتياز ضمن محور «المبيعات والأداء التجاري»، ويعكس مساهمة الإدارة في ركيزة الاستدامة.</t>
        </is>
      </c>
      <c r="E16" s="11" t="inlineStr">
        <is>
          <t>(المتحقّق ÷ الإجمالي) × 100٪</t>
        </is>
      </c>
      <c r="F16" s="15" t="inlineStr">
        <is>
          <t>🔧 تشغيلي</t>
        </is>
      </c>
      <c r="G16" s="11" t="inlineStr">
        <is>
          <t>الاستدامة · منظومة التأجير</t>
        </is>
      </c>
      <c r="H16" s="15" t="inlineStr">
        <is>
          <t>العمليات الداخلية</t>
        </is>
      </c>
      <c r="I16" s="59" t="n">
        <v>0.03</v>
      </c>
      <c r="J16" s="15" t="inlineStr">
        <is>
          <t>مدير الامتياز</t>
        </is>
      </c>
      <c r="K16" s="11" t="inlineStr">
        <is>
          <t>نظام إدارة العقود (CRM)</t>
        </is>
      </c>
      <c r="L16" s="15" t="inlineStr">
        <is>
          <t>شهري</t>
        </is>
      </c>
      <c r="M16" s="15" t="inlineStr">
        <is>
          <t>مدير الامتياز</t>
        </is>
      </c>
      <c r="N16" s="51" t="n"/>
    </row>
    <row r="17" ht="30" customHeight="1">
      <c r="A17" s="15" t="n">
        <v>15</v>
      </c>
      <c r="B17" s="13" t="inlineStr">
        <is>
          <t>الامتياز التجاري</t>
        </is>
      </c>
      <c r="C17" s="21" t="inlineStr">
        <is>
          <t>إجمالي إيرادات إدارة الامتياز</t>
        </is>
      </c>
      <c r="D17" s="71" t="inlineStr">
        <is>
          <t>يقيس إجمالي إيرادات إدارة الامتياز ضمن محور «الأداء المالي»، ويعكس مساهمة الإدارة في ركيزة النمو.</t>
        </is>
      </c>
      <c r="E17" s="11" t="inlineStr">
        <is>
          <t>إجمالي القيمة (ر.س) خلال الفترة</t>
        </is>
      </c>
      <c r="F17" s="15" t="inlineStr">
        <is>
          <t>🎯 نتيجة</t>
        </is>
      </c>
      <c r="G17" s="11" t="inlineStr">
        <is>
          <t>النمو · الامتياز التجاري</t>
        </is>
      </c>
      <c r="H17" s="15" t="inlineStr">
        <is>
          <t>مالي</t>
        </is>
      </c>
      <c r="I17" s="59" t="n">
        <v>0.04</v>
      </c>
      <c r="J17" s="15" t="inlineStr">
        <is>
          <t>مدير الامتياز</t>
        </is>
      </c>
      <c r="K17" s="11" t="inlineStr">
        <is>
          <t>نظام المحاسبة / ERP (D365)</t>
        </is>
      </c>
      <c r="L17" s="15" t="inlineStr">
        <is>
          <t>شهري</t>
        </is>
      </c>
      <c r="M17" s="15" t="inlineStr">
        <is>
          <t>الإدارة المالية</t>
        </is>
      </c>
      <c r="N17" s="51" t="n"/>
    </row>
    <row r="18" ht="30" customHeight="1">
      <c r="A18" s="15" t="n">
        <v>16</v>
      </c>
      <c r="B18" s="13" t="inlineStr">
        <is>
          <t>الامتياز التجاري</t>
        </is>
      </c>
      <c r="C18" s="21" t="inlineStr">
        <is>
          <t>رفع هامش الربحية للامتياز</t>
        </is>
      </c>
      <c r="D18" s="71" t="inlineStr">
        <is>
          <t>يقيس رفع هامش الربحية للامتياز ضمن محور «الأداء المالي»، ويعكس مساهمة الإدارة في ركيزة النمو.</t>
        </is>
      </c>
      <c r="E18" s="11" t="inlineStr">
        <is>
          <t>إجمالي العدد خلال الفترة</t>
        </is>
      </c>
      <c r="F18" s="15" t="inlineStr">
        <is>
          <t>🎯 نتيجة</t>
        </is>
      </c>
      <c r="G18" s="11" t="inlineStr">
        <is>
          <t>النمو · الامتياز التجاري</t>
        </is>
      </c>
      <c r="H18" s="15" t="inlineStr">
        <is>
          <t>مالي</t>
        </is>
      </c>
      <c r="I18" s="59" t="n">
        <v>0.03</v>
      </c>
      <c r="J18" s="15" t="inlineStr">
        <is>
          <t>مدير الامتياز</t>
        </is>
      </c>
      <c r="K18" s="11" t="inlineStr">
        <is>
          <t>نظام المحاسبة / ERP (D365)</t>
        </is>
      </c>
      <c r="L18" s="15" t="inlineStr">
        <is>
          <t>شهري</t>
        </is>
      </c>
      <c r="M18" s="15" t="inlineStr">
        <is>
          <t>الإدارة المالية</t>
        </is>
      </c>
      <c r="N18" s="51" t="n"/>
    </row>
    <row r="19" ht="30" customHeight="1">
      <c r="A19" s="15" t="n">
        <v>17</v>
      </c>
      <c r="B19" s="13" t="inlineStr">
        <is>
          <t>الامتياز التجاري</t>
        </is>
      </c>
      <c r="C19" s="21" t="inlineStr">
        <is>
          <t>نسبة التحصيل المالي من شركاء الامتياز</t>
        </is>
      </c>
      <c r="D19" s="71" t="inlineStr">
        <is>
          <t>يقيس نسبة التحصيل المالي من شركاء الامتياز ضمن محور «الأداء المالي»، ويعكس مساهمة الإدارة في ركيزة الاستدامة.</t>
        </is>
      </c>
      <c r="E19" s="11" t="inlineStr">
        <is>
          <t>(المتحقّق ÷ الإجمالي) × 100٪</t>
        </is>
      </c>
      <c r="F19" s="15" t="inlineStr">
        <is>
          <t>🎯 نتيجة</t>
        </is>
      </c>
      <c r="G19" s="11" t="inlineStr">
        <is>
          <t>الاستدامة · جودة التشغيل</t>
        </is>
      </c>
      <c r="H19" s="15" t="inlineStr">
        <is>
          <t>مالي</t>
        </is>
      </c>
      <c r="I19" s="59" t="n">
        <v>0.04</v>
      </c>
      <c r="J19" s="15" t="inlineStr">
        <is>
          <t>مدير الامتياز</t>
        </is>
      </c>
      <c r="K19" s="11" t="inlineStr">
        <is>
          <t>نظام المحاسبة / ERP (D365)</t>
        </is>
      </c>
      <c r="L19" s="15" t="inlineStr">
        <is>
          <t>شهري</t>
        </is>
      </c>
      <c r="M19" s="15" t="inlineStr">
        <is>
          <t>الإدارة المالية</t>
        </is>
      </c>
      <c r="N19" s="51" t="n"/>
    </row>
    <row r="20" ht="30" customHeight="1">
      <c r="A20" s="15" t="n">
        <v>18</v>
      </c>
      <c r="B20" s="13" t="inlineStr">
        <is>
          <t>الامتياز التجاري</t>
        </is>
      </c>
      <c r="C20" s="21" t="inlineStr">
        <is>
          <t>متوسط أيام تحصيل شركاء الامتياز (DSO)</t>
        </is>
      </c>
      <c r="D20" s="71" t="inlineStr">
        <is>
          <t>يقيس متوسط أيام تحصيل شركاء الامتياز (DSO) ضمن محور «الأداء المالي»، ويعكس مساهمة الإدارة في ركيزة الاستدامة.</t>
        </is>
      </c>
      <c r="E20" s="11" t="inlineStr">
        <is>
          <t>متوسط يوم خلال الفترة</t>
        </is>
      </c>
      <c r="F20" s="15" t="inlineStr">
        <is>
          <t>🎯 نتيجة</t>
        </is>
      </c>
      <c r="G20" s="11" t="inlineStr">
        <is>
          <t>الاستدامة · جودة التشغيل</t>
        </is>
      </c>
      <c r="H20" s="15" t="inlineStr">
        <is>
          <t>مالي</t>
        </is>
      </c>
      <c r="I20" s="59" t="n">
        <v>0.04</v>
      </c>
      <c r="J20" s="15" t="inlineStr">
        <is>
          <t>مدير الامتياز</t>
        </is>
      </c>
      <c r="K20" s="11" t="inlineStr">
        <is>
          <t>نظام المحاسبة / ERP (D365)</t>
        </is>
      </c>
      <c r="L20" s="15" t="inlineStr">
        <is>
          <t>شهري</t>
        </is>
      </c>
      <c r="M20" s="15" t="inlineStr">
        <is>
          <t>الإدارة المالية</t>
        </is>
      </c>
      <c r="N20" s="51" t="n"/>
    </row>
    <row r="21" ht="30" customHeight="1">
      <c r="A21" s="15" t="n">
        <v>19</v>
      </c>
      <c r="B21" s="13" t="inlineStr">
        <is>
          <t>الامتياز التجاري</t>
        </is>
      </c>
      <c r="C21" s="21" t="inlineStr">
        <is>
          <t>إجمالي المستحقات المتأخرة (+30 يوم)</t>
        </is>
      </c>
      <c r="D21" s="71" t="inlineStr">
        <is>
          <t>يقيس إجمالي المستحقات المتأخرة (+30 يوم) ضمن محور «الأداء المالي»، ويعكس مساهمة الإدارة في ركيزة الاستدامة.</t>
        </is>
      </c>
      <c r="E21" s="11" t="inlineStr">
        <is>
          <t>إجمالي القيمة (ر.س) خلال الفترة</t>
        </is>
      </c>
      <c r="F21" s="15" t="inlineStr">
        <is>
          <t>🔧 تشغيلي</t>
        </is>
      </c>
      <c r="G21" s="11" t="inlineStr">
        <is>
          <t>الاستدامة · جودة التشغيل</t>
        </is>
      </c>
      <c r="H21" s="15" t="inlineStr">
        <is>
          <t>مالي</t>
        </is>
      </c>
      <c r="I21" s="59" t="n">
        <v>0.03</v>
      </c>
      <c r="J21" s="15" t="inlineStr">
        <is>
          <t>مدير الامتياز</t>
        </is>
      </c>
      <c r="K21" s="11" t="inlineStr">
        <is>
          <t>نظام المحاسبة / ERP (D365)</t>
        </is>
      </c>
      <c r="L21" s="15" t="inlineStr">
        <is>
          <t>شهري</t>
        </is>
      </c>
      <c r="M21" s="15" t="inlineStr">
        <is>
          <t>الإدارة المالية</t>
        </is>
      </c>
      <c r="N21" s="51" t="n"/>
    </row>
    <row r="22" ht="30" customHeight="1">
      <c r="A22" s="15" t="n">
        <v>20</v>
      </c>
      <c r="B22" s="13" t="inlineStr">
        <is>
          <t>الامتياز التجاري</t>
        </is>
      </c>
      <c r="C22" s="21" t="inlineStr">
        <is>
          <t>نسبة الشركاء الملتزمين بمواعيد السداد</t>
        </is>
      </c>
      <c r="D22" s="71" t="inlineStr">
        <is>
          <t>يقيس نسبة الشركاء الملتزمين بمواعيد السداد ضمن محور «الأداء المالي»، ويعكس مساهمة الإدارة في ركيزة الاستدامة.</t>
        </is>
      </c>
      <c r="E22" s="11" t="inlineStr">
        <is>
          <t>(المتحقّق ÷ الإجمالي) × 100٪</t>
        </is>
      </c>
      <c r="F22" s="15" t="inlineStr">
        <is>
          <t>🔧 تشغيلي</t>
        </is>
      </c>
      <c r="G22" s="11" t="inlineStr">
        <is>
          <t>الاستدامة · جودة التشغيل</t>
        </is>
      </c>
      <c r="H22" s="15" t="inlineStr">
        <is>
          <t>مالي</t>
        </is>
      </c>
      <c r="I22" s="59" t="n">
        <v>0.03</v>
      </c>
      <c r="J22" s="15" t="inlineStr">
        <is>
          <t>مدير الامتياز</t>
        </is>
      </c>
      <c r="K22" s="11" t="inlineStr">
        <is>
          <t>نظام المحاسبة / ERP (D365)</t>
        </is>
      </c>
      <c r="L22" s="15" t="inlineStr">
        <is>
          <t>شهري</t>
        </is>
      </c>
      <c r="M22" s="15" t="inlineStr">
        <is>
          <t>الإدارة المالية</t>
        </is>
      </c>
      <c r="N22" s="51" t="n"/>
    </row>
    <row r="23" ht="30" customHeight="1">
      <c r="A23" s="15" t="n">
        <v>21</v>
      </c>
      <c r="B23" s="13" t="inlineStr">
        <is>
          <t>الامتياز التجاري</t>
        </is>
      </c>
      <c r="C23" s="21" t="inlineStr">
        <is>
          <t>معدل دوران رأس المال (أيام الدورة)</t>
        </is>
      </c>
      <c r="D23" s="71" t="inlineStr">
        <is>
          <t>يقيس معدل دوران رأس المال (أيام الدورة) ضمن محور «الأداء المالي»، ويعكس مساهمة الإدارة في ركيزة الاستدامة.</t>
        </is>
      </c>
      <c r="E23" s="11" t="inlineStr">
        <is>
          <t>متوسط يوم خلال الفترة</t>
        </is>
      </c>
      <c r="F23" s="15" t="inlineStr">
        <is>
          <t>🔧 تشغيلي</t>
        </is>
      </c>
      <c r="G23" s="11" t="inlineStr">
        <is>
          <t>الاستدامة · جودة التشغيل</t>
        </is>
      </c>
      <c r="H23" s="15" t="inlineStr">
        <is>
          <t>مالي</t>
        </is>
      </c>
      <c r="I23" s="59" t="n">
        <v>0.03</v>
      </c>
      <c r="J23" s="15" t="inlineStr">
        <is>
          <t>مدير الامتياز</t>
        </is>
      </c>
      <c r="K23" s="11" t="inlineStr">
        <is>
          <t>نظام الموارد البشرية (HRMS)</t>
        </is>
      </c>
      <c r="L23" s="15" t="inlineStr">
        <is>
          <t>شهري</t>
        </is>
      </c>
      <c r="M23" s="15" t="inlineStr">
        <is>
          <t>مدير الامتياز</t>
        </is>
      </c>
      <c r="N23" s="51" t="n"/>
    </row>
    <row r="24" ht="30" customHeight="1">
      <c r="A24" s="15" t="n">
        <v>22</v>
      </c>
      <c r="B24" s="13" t="inlineStr">
        <is>
          <t>الامتياز التجاري</t>
        </is>
      </c>
      <c r="C24" s="21" t="inlineStr">
        <is>
          <t>نسبة جاهزية محطات الامتياز (صفر انقطاع)</t>
        </is>
      </c>
      <c r="D24" s="71" t="inlineStr">
        <is>
          <t>يقيس نسبة جاهزية محطات الامتياز (صفر انقطاع) ضمن محور «التشغيل والجودة»، ويعكس مساهمة الإدارة في ركيزة الاستدامة.</t>
        </is>
      </c>
      <c r="E24" s="11" t="inlineStr">
        <is>
          <t>(المتحقّق ÷ الإجمالي) × 100٪</t>
        </is>
      </c>
      <c r="F24" s="15" t="inlineStr">
        <is>
          <t>🎯 نتيجة</t>
        </is>
      </c>
      <c r="G24" s="11" t="inlineStr">
        <is>
          <t>الاستدامة · جودة التشغيل</t>
        </is>
      </c>
      <c r="H24" s="15" t="inlineStr">
        <is>
          <t>العمليات الداخلية</t>
        </is>
      </c>
      <c r="I24" s="59" t="n">
        <v>0.04</v>
      </c>
      <c r="J24" s="15" t="inlineStr">
        <is>
          <t>مدير الامتياز</t>
        </is>
      </c>
      <c r="K24" s="11" t="inlineStr">
        <is>
          <t>نظام إدارة الجودة (QMS)</t>
        </is>
      </c>
      <c r="L24" s="15" t="inlineStr">
        <is>
          <t>شهري</t>
        </is>
      </c>
      <c r="M24" s="15" t="inlineStr">
        <is>
          <t>مدير الامتياز</t>
        </is>
      </c>
      <c r="N24" s="51" t="n"/>
    </row>
    <row r="25" ht="30" customHeight="1">
      <c r="A25" s="15" t="n">
        <v>23</v>
      </c>
      <c r="B25" s="13" t="inlineStr">
        <is>
          <t>الامتياز التجاري</t>
        </is>
      </c>
      <c r="C25" s="21" t="inlineStr">
        <is>
          <t>عدد حالات انقطاع الوقود الموثّقة</t>
        </is>
      </c>
      <c r="D25" s="71" t="inlineStr">
        <is>
          <t>يقيس عدد حالات انقطاع الوقود الموثّقة ضمن محور «التشغيل والجودة»، ويعكس مساهمة الإدارة في ركيزة الاستدامة.</t>
        </is>
      </c>
      <c r="E25" s="11" t="inlineStr">
        <is>
          <t>إجمالي العدد خلال الفترة</t>
        </is>
      </c>
      <c r="F25" s="15" t="inlineStr">
        <is>
          <t>⚙️ نشاط</t>
        </is>
      </c>
      <c r="G25" s="11" t="inlineStr">
        <is>
          <t>الاستدامة · جودة التشغيل</t>
        </is>
      </c>
      <c r="H25" s="15" t="inlineStr">
        <is>
          <t>العمليات الداخلية</t>
        </is>
      </c>
      <c r="I25" s="59" t="n">
        <v>0.04</v>
      </c>
      <c r="J25" s="15" t="inlineStr">
        <is>
          <t>مدير الامتياز</t>
        </is>
      </c>
      <c r="K25" s="11" t="inlineStr">
        <is>
          <t>نظام إدارة الجودة (QMS)</t>
        </is>
      </c>
      <c r="L25" s="15" t="inlineStr">
        <is>
          <t>شهري</t>
        </is>
      </c>
      <c r="M25" s="15" t="inlineStr">
        <is>
          <t>مدير الامتياز</t>
        </is>
      </c>
      <c r="N25" s="51" t="n"/>
    </row>
    <row r="26" ht="30" customHeight="1">
      <c r="A26" s="15" t="n">
        <v>24</v>
      </c>
      <c r="B26" s="13" t="inlineStr">
        <is>
          <t>الامتياز التجاري</t>
        </is>
      </c>
      <c r="C26" s="21" t="inlineStr">
        <is>
          <t>نسبة إغلاق ملاحظات الجودة الميدانية</t>
        </is>
      </c>
      <c r="D26" s="71" t="inlineStr">
        <is>
          <t>يقيس نسبة إغلاق ملاحظات الجودة الميدانية ضمن محور «التشغيل والجودة»، ويعكس مساهمة الإدارة في ركيزة الاستدامة.</t>
        </is>
      </c>
      <c r="E26" s="11" t="inlineStr">
        <is>
          <t>(المتحقّق ÷ الإجمالي) × 100٪</t>
        </is>
      </c>
      <c r="F26" s="15" t="inlineStr">
        <is>
          <t>🎯 نتيجة</t>
        </is>
      </c>
      <c r="G26" s="11" t="inlineStr">
        <is>
          <t>الاستدامة · جودة التشغيل</t>
        </is>
      </c>
      <c r="H26" s="15" t="inlineStr">
        <is>
          <t>العمليات الداخلية</t>
        </is>
      </c>
      <c r="I26" s="59" t="n">
        <v>0.03</v>
      </c>
      <c r="J26" s="15" t="inlineStr">
        <is>
          <t>مدير الامتياز</t>
        </is>
      </c>
      <c r="K26" s="11" t="inlineStr">
        <is>
          <t>نظام إدارة الجودة (QMS)</t>
        </is>
      </c>
      <c r="L26" s="15" t="inlineStr">
        <is>
          <t>شهري</t>
        </is>
      </c>
      <c r="M26" s="15" t="inlineStr">
        <is>
          <t>مدير الامتياز</t>
        </is>
      </c>
      <c r="N26" s="51" t="n"/>
    </row>
    <row r="27" ht="30" customHeight="1">
      <c r="A27" s="15" t="n">
        <v>25</v>
      </c>
      <c r="B27" s="13" t="inlineStr">
        <is>
          <t>الامتياز التجاري</t>
        </is>
      </c>
      <c r="C27" s="21" t="inlineStr">
        <is>
          <t>متوسط درجة تقييم جودة المحطة (قائمة التحقق)</t>
        </is>
      </c>
      <c r="D27" s="71" t="inlineStr">
        <is>
          <t>يقيس متوسط درجة تقييم جودة المحطة (قائمة التحقق) ضمن محور «التشغيل والجودة»، ويعكس مساهمة الإدارة في ركيزة الاستدامة.</t>
        </is>
      </c>
      <c r="E27" s="11" t="inlineStr">
        <is>
          <t>إجمالي العدد خلال الفترة</t>
        </is>
      </c>
      <c r="F27" s="15" t="inlineStr">
        <is>
          <t>🎯 نتيجة</t>
        </is>
      </c>
      <c r="G27" s="11" t="inlineStr">
        <is>
          <t>الاستدامة · جودة التشغيل</t>
        </is>
      </c>
      <c r="H27" s="15" t="inlineStr">
        <is>
          <t>العمليات الداخلية</t>
        </is>
      </c>
      <c r="I27" s="59" t="n">
        <v>0.04</v>
      </c>
      <c r="J27" s="15" t="inlineStr">
        <is>
          <t>مدير الامتياز</t>
        </is>
      </c>
      <c r="K27" s="11" t="inlineStr">
        <is>
          <t>نظام إدارة الجودة (QMS)</t>
        </is>
      </c>
      <c r="L27" s="15" t="inlineStr">
        <is>
          <t>شهري</t>
        </is>
      </c>
      <c r="M27" s="15" t="inlineStr">
        <is>
          <t>مدير الامتياز</t>
        </is>
      </c>
      <c r="N27" s="51" t="n"/>
    </row>
    <row r="28" ht="30" customHeight="1">
      <c r="A28" s="15" t="n">
        <v>26</v>
      </c>
      <c r="B28" s="13" t="inlineStr">
        <is>
          <t>الامتياز التجاري</t>
        </is>
      </c>
      <c r="C28" s="21" t="inlineStr">
        <is>
          <t>نسبة تنفيذ الزيارات الميدانية المجدولة</t>
        </is>
      </c>
      <c r="D28" s="71" t="inlineStr">
        <is>
          <t>يقيس نسبة تنفيذ الزيارات الميدانية المجدولة ضمن محور «التشغيل والجودة»، ويعكس مساهمة الإدارة في ركيزة الاستدامة.</t>
        </is>
      </c>
      <c r="E28" s="11" t="inlineStr">
        <is>
          <t>(المتحقّق ÷ الإجمالي) × 100٪</t>
        </is>
      </c>
      <c r="F28" s="15" t="inlineStr">
        <is>
          <t>⚙️ نشاط</t>
        </is>
      </c>
      <c r="G28" s="11" t="inlineStr">
        <is>
          <t>الاستدامة · جودة التشغيل</t>
        </is>
      </c>
      <c r="H28" s="15" t="inlineStr">
        <is>
          <t>العمليات الداخلية</t>
        </is>
      </c>
      <c r="I28" s="59" t="n">
        <v>0.03</v>
      </c>
      <c r="J28" s="15" t="inlineStr">
        <is>
          <t>مدير الامتياز</t>
        </is>
      </c>
      <c r="K28" s="11" t="inlineStr">
        <is>
          <t>نظام إدارة الجودة (QMS)</t>
        </is>
      </c>
      <c r="L28" s="15" t="inlineStr">
        <is>
          <t>شهري</t>
        </is>
      </c>
      <c r="M28" s="15" t="inlineStr">
        <is>
          <t>مدير الامتياز</t>
        </is>
      </c>
      <c r="N28" s="51" t="n"/>
    </row>
    <row r="29" ht="30" customHeight="1">
      <c r="A29" s="15" t="n">
        <v>27</v>
      </c>
      <c r="B29" s="13" t="inlineStr">
        <is>
          <t>الامتياز التجاري</t>
        </is>
      </c>
      <c r="C29" s="21" t="inlineStr">
        <is>
          <t>نسبة المحطات المستوفية لمعايير السلامة</t>
        </is>
      </c>
      <c r="D29" s="71" t="inlineStr">
        <is>
          <t>يقيس نسبة المحطات المستوفية لمعايير السلامة ضمن محور «التشغيل والجودة»، ويعكس مساهمة الإدارة في ركيزة الاستدامة.</t>
        </is>
      </c>
      <c r="E29" s="11" t="inlineStr">
        <is>
          <t>(المتحقّق ÷ الإجمالي) × 100٪</t>
        </is>
      </c>
      <c r="F29" s="15" t="inlineStr">
        <is>
          <t>🎯 نتيجة</t>
        </is>
      </c>
      <c r="G29" s="11" t="inlineStr">
        <is>
          <t>الاستدامة · جودة التشغيل</t>
        </is>
      </c>
      <c r="H29" s="15" t="inlineStr">
        <is>
          <t>العمليات الداخلية</t>
        </is>
      </c>
      <c r="I29" s="59" t="n">
        <v>0.04</v>
      </c>
      <c r="J29" s="15" t="inlineStr">
        <is>
          <t>مدير الامتياز</t>
        </is>
      </c>
      <c r="K29" s="11" t="inlineStr">
        <is>
          <t>نظام إدارة الجودة (QMS)</t>
        </is>
      </c>
      <c r="L29" s="15" t="inlineStr">
        <is>
          <t>شهري</t>
        </is>
      </c>
      <c r="M29" s="15" t="inlineStr">
        <is>
          <t>مدير الامتياز</t>
        </is>
      </c>
      <c r="N29" s="51" t="n"/>
    </row>
    <row r="30" ht="30" customHeight="1">
      <c r="A30" s="15" t="n">
        <v>28</v>
      </c>
      <c r="B30" s="13" t="inlineStr">
        <is>
          <t>الامتياز التجاري</t>
        </is>
      </c>
      <c r="C30" s="21" t="inlineStr">
        <is>
          <t>متوسط وقت معالجة البلاغات التشغيلية</t>
        </is>
      </c>
      <c r="D30" s="71" t="inlineStr">
        <is>
          <t>يقيس متوسط وقت معالجة البلاغات التشغيلية ضمن محور «التشغيل والجودة»، ويعكس مساهمة الإدارة في ركيزة الاستدامة.</t>
        </is>
      </c>
      <c r="E30" s="11" t="inlineStr">
        <is>
          <t>متوسط ساعة خلال الفترة</t>
        </is>
      </c>
      <c r="F30" s="15" t="inlineStr">
        <is>
          <t>🎯 نتيجة</t>
        </is>
      </c>
      <c r="G30" s="11" t="inlineStr">
        <is>
          <t>الاستدامة · جودة التشغيل</t>
        </is>
      </c>
      <c r="H30" s="15" t="inlineStr">
        <is>
          <t>العمليات الداخلية</t>
        </is>
      </c>
      <c r="I30" s="59" t="n">
        <v>0.03</v>
      </c>
      <c r="J30" s="15" t="inlineStr">
        <is>
          <t>مدير الامتياز</t>
        </is>
      </c>
      <c r="K30" s="11" t="inlineStr">
        <is>
          <t>نظام إدارة الجودة (QMS)</t>
        </is>
      </c>
      <c r="L30" s="15" t="inlineStr">
        <is>
          <t>شهري</t>
        </is>
      </c>
      <c r="M30" s="15" t="inlineStr">
        <is>
          <t>مدير الامتياز</t>
        </is>
      </c>
      <c r="N30" s="51" t="n"/>
    </row>
    <row r="31" ht="30" customHeight="1">
      <c r="A31" s="15" t="n">
        <v>29</v>
      </c>
      <c r="B31" s="13" t="inlineStr">
        <is>
          <t>الامتياز التجاري</t>
        </is>
      </c>
      <c r="C31" s="21" t="inlineStr">
        <is>
          <t>نسبة أتمتة محطات الامتياز</t>
        </is>
      </c>
      <c r="D31" s="71" t="inlineStr">
        <is>
          <t>يقيس نسبة أتمتة محطات الامتياز ضمن محور «التشغيل والجودة»، ويعكس مساهمة الإدارة في ركيزة الابتكار.</t>
        </is>
      </c>
      <c r="E31" s="11" t="inlineStr">
        <is>
          <t>(المتحقّق ÷ الإجمالي) × 100٪</t>
        </is>
      </c>
      <c r="F31" s="15" t="inlineStr">
        <is>
          <t>🔧 تشغيلي</t>
        </is>
      </c>
      <c r="G31" s="11" t="inlineStr">
        <is>
          <t>الابتكار · التحول التقني</t>
        </is>
      </c>
      <c r="H31" s="15" t="inlineStr">
        <is>
          <t>التعلّم والنمو</t>
        </is>
      </c>
      <c r="I31" s="59" t="n">
        <v>0.04</v>
      </c>
      <c r="J31" s="15" t="inlineStr">
        <is>
          <t>مدير الامتياز</t>
        </is>
      </c>
      <c r="K31" s="11" t="inlineStr">
        <is>
          <t>مكتب إدارة المشاريع (PMO)</t>
        </is>
      </c>
      <c r="L31" s="15" t="inlineStr">
        <is>
          <t>شهري</t>
        </is>
      </c>
      <c r="M31" s="15" t="inlineStr">
        <is>
          <t>مدير الامتياز</t>
        </is>
      </c>
      <c r="N31" s="51" t="n"/>
    </row>
    <row r="32" ht="30" customHeight="1">
      <c r="A32" s="15" t="n">
        <v>30</v>
      </c>
      <c r="B32" s="13" t="inlineStr">
        <is>
          <t>الامتياز التجاري</t>
        </is>
      </c>
      <c r="C32" s="21" t="inlineStr">
        <is>
          <t>نسبة تطبيق المعيار الشامل داخل المحطات</t>
        </is>
      </c>
      <c r="D32" s="71" t="inlineStr">
        <is>
          <t>يقيس نسبة تطبيق المعيار الشامل داخل المحطات ضمن محور «التشغيل والجودة»، ويعكس مساهمة الإدارة في ركيزة الابتكار.</t>
        </is>
      </c>
      <c r="E32" s="11" t="inlineStr">
        <is>
          <t>(المتحقّق ÷ الإجمالي) × 100٪</t>
        </is>
      </c>
      <c r="F32" s="15" t="inlineStr">
        <is>
          <t>🔧 تشغيلي</t>
        </is>
      </c>
      <c r="G32" s="11" t="inlineStr">
        <is>
          <t>الابتكار · التحول التقني</t>
        </is>
      </c>
      <c r="H32" s="15" t="inlineStr">
        <is>
          <t>التعلّم والنمو</t>
        </is>
      </c>
      <c r="I32" s="59" t="n">
        <v>0.01</v>
      </c>
      <c r="J32" s="15" t="inlineStr">
        <is>
          <t>مدير الامتياز</t>
        </is>
      </c>
      <c r="K32" s="11" t="inlineStr">
        <is>
          <t>نظام إدارة الجودة (QMS)</t>
        </is>
      </c>
      <c r="L32" s="15" t="inlineStr">
        <is>
          <t>شهري</t>
        </is>
      </c>
      <c r="M32" s="15" t="inlineStr">
        <is>
          <t>مدير الامتياز</t>
        </is>
      </c>
      <c r="N32" s="51" t="n"/>
    </row>
    <row r="33" ht="30" customHeight="1">
      <c r="A33" s="15" t="n">
        <v>31</v>
      </c>
      <c r="B33" s="13" t="inlineStr">
        <is>
          <t>الامتياز التجاري</t>
        </is>
      </c>
      <c r="C33" s="21" t="inlineStr">
        <is>
          <t>نسبة التزام المحطات بالهوية المؤسسية</t>
        </is>
      </c>
      <c r="D33" s="71" t="inlineStr">
        <is>
          <t>يقيس نسبة التزام المحطات بالهوية المؤسسية ضمن محور «الهوية والتسويق»، ويعكس مساهمة الإدارة في ركيزة الابتكار.</t>
        </is>
      </c>
      <c r="E33" s="11" t="inlineStr">
        <is>
          <t>(المتحقّق ÷ الإجمالي) × 100٪</t>
        </is>
      </c>
      <c r="F33" s="15" t="inlineStr">
        <is>
          <t>🎯 نتيجة</t>
        </is>
      </c>
      <c r="G33" s="11" t="inlineStr">
        <is>
          <t>الابتكار · تطوير التصاميم والهوية</t>
        </is>
      </c>
      <c r="H33" s="15" t="inlineStr">
        <is>
          <t>التعلّم والنمو</t>
        </is>
      </c>
      <c r="I33" s="59" t="n">
        <v>0.04</v>
      </c>
      <c r="J33" s="15" t="inlineStr">
        <is>
          <t>مدير الامتياز</t>
        </is>
      </c>
      <c r="K33" s="11" t="inlineStr">
        <is>
          <t>نظام تشغيل المحطات</t>
        </is>
      </c>
      <c r="L33" s="15" t="inlineStr">
        <is>
          <t>شهري</t>
        </is>
      </c>
      <c r="M33" s="15" t="inlineStr">
        <is>
          <t>مدير الامتياز</t>
        </is>
      </c>
      <c r="N33" s="51" t="n"/>
    </row>
    <row r="34" ht="30" customHeight="1">
      <c r="A34" s="15" t="n">
        <v>32</v>
      </c>
      <c r="B34" s="13" t="inlineStr">
        <is>
          <t>الامتياز التجاري</t>
        </is>
      </c>
      <c r="C34" s="21" t="inlineStr">
        <is>
          <t>متوسط تقييم المحطات على خرائط قوقل</t>
        </is>
      </c>
      <c r="D34" s="71" t="inlineStr">
        <is>
          <t>يقيس متوسط تقييم المحطات على خرائط قوقل ضمن محور «تجربة العملاء والشركاء»، ويعكس مساهمة الإدارة في ركيزة الاستدامة.</t>
        </is>
      </c>
      <c r="E34" s="11" t="inlineStr">
        <is>
          <t>متوسط التقييم (من 5)</t>
        </is>
      </c>
      <c r="F34" s="15" t="inlineStr">
        <is>
          <t>🎯 نتيجة</t>
        </is>
      </c>
      <c r="G34" s="11" t="inlineStr">
        <is>
          <t>الاستدامة · تعزيز تجربة العملاء</t>
        </is>
      </c>
      <c r="H34" s="15" t="inlineStr">
        <is>
          <t>العملاء</t>
        </is>
      </c>
      <c r="I34" s="59" t="n">
        <v>0.04</v>
      </c>
      <c r="J34" s="15" t="inlineStr">
        <is>
          <t>مدير الامتياز</t>
        </is>
      </c>
      <c r="K34" s="11" t="inlineStr">
        <is>
          <t>تقييمات خرائط قوقل</t>
        </is>
      </c>
      <c r="L34" s="15" t="inlineStr">
        <is>
          <t>شهري</t>
        </is>
      </c>
      <c r="M34" s="15" t="inlineStr">
        <is>
          <t>مدير الامتياز</t>
        </is>
      </c>
      <c r="N34" s="51" t="n"/>
    </row>
    <row r="35" ht="30" customHeight="1">
      <c r="A35" s="15" t="n">
        <v>33</v>
      </c>
      <c r="B35" s="13" t="inlineStr">
        <is>
          <t>الامتياز التجاري</t>
        </is>
      </c>
      <c r="C35" s="21" t="inlineStr">
        <is>
          <t>معدل رضا شركاء الامتياز (CSAT)</t>
        </is>
      </c>
      <c r="D35" s="71" t="inlineStr">
        <is>
          <t>يقيس معدل رضا شركاء الامتياز (CSAT) ضمن محور «تجربة العملاء والشركاء»، ويعكس مساهمة الإدارة في ركيزة الاستدامة.</t>
        </is>
      </c>
      <c r="E35" s="11" t="inlineStr">
        <is>
          <t>(المتحقّق ÷ الإجمالي) × 100٪</t>
        </is>
      </c>
      <c r="F35" s="15" t="inlineStr">
        <is>
          <t>🎯 نتيجة</t>
        </is>
      </c>
      <c r="G35" s="11" t="inlineStr">
        <is>
          <t>الاستدامة · تعزيز تجربة العملاء</t>
        </is>
      </c>
      <c r="H35" s="15" t="inlineStr">
        <is>
          <t>العملاء</t>
        </is>
      </c>
      <c r="I35" s="59" t="n">
        <v>0.04</v>
      </c>
      <c r="J35" s="15" t="inlineStr">
        <is>
          <t>مدير الامتياز</t>
        </is>
      </c>
      <c r="K35" s="11" t="inlineStr">
        <is>
          <t>استبيان دوري</t>
        </is>
      </c>
      <c r="L35" s="15" t="inlineStr">
        <is>
          <t>ربعي</t>
        </is>
      </c>
      <c r="M35" s="15" t="inlineStr">
        <is>
          <t>مدير الامتياز</t>
        </is>
      </c>
      <c r="N35" s="51" t="n"/>
    </row>
    <row r="36" ht="30" customHeight="1">
      <c r="A36" s="15" t="n">
        <v>34</v>
      </c>
      <c r="B36" s="13" t="inlineStr">
        <is>
          <t>الامتياز التجاري</t>
        </is>
      </c>
      <c r="C36" s="21" t="inlineStr">
        <is>
          <t>نسبة حل الشكاوى خلال المدة المحددة</t>
        </is>
      </c>
      <c r="D36" s="71" t="inlineStr">
        <is>
          <t>يقيس نسبة حل الشكاوى خلال المدة المحددة ضمن محور «تجربة العملاء والشركاء»، ويعكس مساهمة الإدارة في ركيزة الاستدامة.</t>
        </is>
      </c>
      <c r="E36" s="11" t="inlineStr">
        <is>
          <t>(المتحقّق ÷ الإجمالي) × 100٪</t>
        </is>
      </c>
      <c r="F36" s="15" t="inlineStr">
        <is>
          <t>🎯 نتيجة</t>
        </is>
      </c>
      <c r="G36" s="11" t="inlineStr">
        <is>
          <t>الاستدامة · تعزيز تجربة العملاء</t>
        </is>
      </c>
      <c r="H36" s="15" t="inlineStr">
        <is>
          <t>العملاء</t>
        </is>
      </c>
      <c r="I36" s="59" t="n">
        <v>0.03</v>
      </c>
      <c r="J36" s="15" t="inlineStr">
        <is>
          <t>مدير الامتياز</t>
        </is>
      </c>
      <c r="K36" s="11" t="inlineStr">
        <is>
          <t>سجلات الإدارة</t>
        </is>
      </c>
      <c r="L36" s="15" t="inlineStr">
        <is>
          <t>شهري</t>
        </is>
      </c>
      <c r="M36" s="15" t="inlineStr">
        <is>
          <t>مدير الامتياز</t>
        </is>
      </c>
      <c r="N36" s="51" t="n"/>
    </row>
    <row r="37" ht="30" customHeight="1">
      <c r="A37" s="15" t="n">
        <v>35</v>
      </c>
      <c r="B37" s="13" t="inlineStr">
        <is>
          <t>الامتياز التجاري</t>
        </is>
      </c>
      <c r="C37" s="21" t="inlineStr">
        <is>
          <t>نسبة انخفاض الشكاوى التشغيلية والإدارية</t>
        </is>
      </c>
      <c r="D37" s="71" t="inlineStr">
        <is>
          <t>يقيس نسبة انخفاض الشكاوى التشغيلية والإدارية ضمن محور «تجربة العملاء والشركاء»، ويعكس مساهمة الإدارة في ركيزة الاستدامة.</t>
        </is>
      </c>
      <c r="E37" s="11" t="inlineStr">
        <is>
          <t>(المتحقّق ÷ الإجمالي) × 100٪</t>
        </is>
      </c>
      <c r="F37" s="15" t="inlineStr">
        <is>
          <t>🎯 نتيجة</t>
        </is>
      </c>
      <c r="G37" s="11" t="inlineStr">
        <is>
          <t>الاستدامة · تعزيز تجربة العملاء</t>
        </is>
      </c>
      <c r="H37" s="15" t="inlineStr">
        <is>
          <t>العملاء</t>
        </is>
      </c>
      <c r="I37" s="59" t="n">
        <v>0.03</v>
      </c>
      <c r="J37" s="15" t="inlineStr">
        <is>
          <t>مدير الامتياز</t>
        </is>
      </c>
      <c r="K37" s="11" t="inlineStr">
        <is>
          <t>سجلات الإدارة</t>
        </is>
      </c>
      <c r="L37" s="15" t="inlineStr">
        <is>
          <t>شهري</t>
        </is>
      </c>
      <c r="M37" s="15" t="inlineStr">
        <is>
          <t>مدير الامتياز</t>
        </is>
      </c>
      <c r="N37" s="51" t="n"/>
    </row>
    <row r="38" ht="30" customHeight="1">
      <c r="A38" s="15" t="n">
        <v>36</v>
      </c>
      <c r="B38" s="13" t="inlineStr">
        <is>
          <t>الامتياز التجاري</t>
        </is>
      </c>
      <c r="C38" s="21" t="inlineStr">
        <is>
          <t>نسبة استدامة أصحاب الامتياز (Retention)</t>
        </is>
      </c>
      <c r="D38" s="71" t="inlineStr">
        <is>
          <t>يقيس نسبة استدامة أصحاب الامتياز (Retention) ضمن محور «استدامة الشراكة والامتثال»، ويعكس مساهمة الإدارة في ركيزة الاستدامة.</t>
        </is>
      </c>
      <c r="E38" s="11" t="inlineStr">
        <is>
          <t>(المتحقّق ÷ الإجمالي) × 100٪</t>
        </is>
      </c>
      <c r="F38" s="15" t="inlineStr">
        <is>
          <t>🎯 نتيجة</t>
        </is>
      </c>
      <c r="G38" s="11" t="inlineStr">
        <is>
          <t>الاستدامة · تعزيز تجربة العملاء</t>
        </is>
      </c>
      <c r="H38" s="15" t="inlineStr">
        <is>
          <t>العمليات الداخلية</t>
        </is>
      </c>
      <c r="I38" s="59" t="n">
        <v>0.03</v>
      </c>
      <c r="J38" s="15" t="inlineStr">
        <is>
          <t>مدير الامتياز</t>
        </is>
      </c>
      <c r="K38" s="11" t="inlineStr">
        <is>
          <t>نظام إدارة الجودة (QMS)</t>
        </is>
      </c>
      <c r="L38" s="15" t="inlineStr">
        <is>
          <t>شهري</t>
        </is>
      </c>
      <c r="M38" s="15" t="inlineStr">
        <is>
          <t>مدير الامتياز</t>
        </is>
      </c>
      <c r="N38" s="51" t="n"/>
    </row>
    <row r="39" ht="30" customHeight="1">
      <c r="A39" s="15" t="n">
        <v>37</v>
      </c>
      <c r="B39" s="13" t="inlineStr">
        <is>
          <t>الامتياز التجاري</t>
        </is>
      </c>
      <c r="C39" s="21" t="inlineStr">
        <is>
          <t>نسبة زيادة عدد أصحاب الامتياز</t>
        </is>
      </c>
      <c r="D39" s="71" t="inlineStr">
        <is>
          <t>يقيس نسبة زيادة عدد أصحاب الامتياز ضمن محور «استدامة الشراكة والامتثال»، ويعكس مساهمة الإدارة في ركيزة الاستدامة.</t>
        </is>
      </c>
      <c r="E39" s="11" t="inlineStr">
        <is>
          <t>(المتحقّق ÷ الإجمالي) × 100٪</t>
        </is>
      </c>
      <c r="F39" s="15" t="inlineStr">
        <is>
          <t>⚙️ نشاط</t>
        </is>
      </c>
      <c r="G39" s="11" t="inlineStr">
        <is>
          <t>الاستدامة · تعزيز تجربة العملاء</t>
        </is>
      </c>
      <c r="H39" s="15" t="inlineStr">
        <is>
          <t>العمليات الداخلية</t>
        </is>
      </c>
      <c r="I39" s="59" t="n">
        <v>0.02</v>
      </c>
      <c r="J39" s="15" t="inlineStr">
        <is>
          <t>مدير الامتياز</t>
        </is>
      </c>
      <c r="K39" s="11" t="inlineStr">
        <is>
          <t>نظام إدارة الجودة (QMS)</t>
        </is>
      </c>
      <c r="L39" s="15" t="inlineStr">
        <is>
          <t>شهري</t>
        </is>
      </c>
      <c r="M39" s="15" t="inlineStr">
        <is>
          <t>مدير الامتياز</t>
        </is>
      </c>
      <c r="N39" s="51" t="n"/>
    </row>
    <row r="40" ht="30" customHeight="1">
      <c r="A40" s="15" t="n">
        <v>38</v>
      </c>
      <c r="B40" s="13" t="inlineStr">
        <is>
          <t>الامتياز التجاري</t>
        </is>
      </c>
      <c r="C40" s="21" t="inlineStr">
        <is>
          <t>متوسط مدة إغلاق عقد الامتياز</t>
        </is>
      </c>
      <c r="D40" s="71" t="inlineStr">
        <is>
          <t>يقيس متوسط مدة إغلاق عقد الامتياز ضمن محور «استدامة الشراكة والامتثال»، ويعكس مساهمة الإدارة في ركيزة النمو.</t>
        </is>
      </c>
      <c r="E40" s="11" t="inlineStr">
        <is>
          <t>متوسط أسبوع خلال الفترة</t>
        </is>
      </c>
      <c r="F40" s="15" t="inlineStr">
        <is>
          <t>🎯 نتيجة</t>
        </is>
      </c>
      <c r="G40" s="11" t="inlineStr">
        <is>
          <t>النمو · الامتياز التجاري</t>
        </is>
      </c>
      <c r="H40" s="15" t="inlineStr">
        <is>
          <t>العمليات الداخلية</t>
        </is>
      </c>
      <c r="I40" s="59" t="n">
        <v>0.04</v>
      </c>
      <c r="J40" s="15" t="inlineStr">
        <is>
          <t>مدير الامتياز</t>
        </is>
      </c>
      <c r="K40" s="11" t="inlineStr">
        <is>
          <t>نظام إدارة الجودة (QMS)</t>
        </is>
      </c>
      <c r="L40" s="15" t="inlineStr">
        <is>
          <t>شهري</t>
        </is>
      </c>
      <c r="M40" s="15" t="inlineStr">
        <is>
          <t>مدير الامتياز</t>
        </is>
      </c>
      <c r="N40" s="51" t="n"/>
    </row>
    <row r="41" ht="30" customHeight="1">
      <c r="A41" s="15" t="n">
        <v>39</v>
      </c>
      <c r="B41" s="13" t="inlineStr">
        <is>
          <t>الامتياز التجاري</t>
        </is>
      </c>
      <c r="C41" s="21" t="inlineStr">
        <is>
          <t>نسبة التحصيل خلال 5 أيام عمل</t>
        </is>
      </c>
      <c r="D41" s="71" t="inlineStr">
        <is>
          <t>يقيس نسبة التحصيل خلال 5 أيام عمل ضمن محور «الأداء المالي»، ويعكس مساهمة الإدارة في ركيزة الاستدامة.</t>
        </is>
      </c>
      <c r="E41" s="11" t="inlineStr">
        <is>
          <t>(المتحقّق ÷ الإجمالي) × 100٪</t>
        </is>
      </c>
      <c r="F41" s="15" t="inlineStr">
        <is>
          <t>🎯 نتيجة</t>
        </is>
      </c>
      <c r="G41" s="11" t="inlineStr">
        <is>
          <t>الاستدامة · الامتياز التجاري</t>
        </is>
      </c>
      <c r="H41" s="15" t="inlineStr">
        <is>
          <t>مالي</t>
        </is>
      </c>
      <c r="I41" s="59" t="n">
        <v>0.04</v>
      </c>
      <c r="J41" s="15" t="inlineStr">
        <is>
          <t>مدير الامتياز</t>
        </is>
      </c>
      <c r="K41" s="11" t="inlineStr">
        <is>
          <t>نظام المحاسبة / ERP (D365)</t>
        </is>
      </c>
      <c r="L41" s="15" t="inlineStr">
        <is>
          <t>شهري</t>
        </is>
      </c>
      <c r="M41" s="15" t="inlineStr">
        <is>
          <t>الإدارة المالية</t>
        </is>
      </c>
      <c r="N41" s="51" t="n"/>
    </row>
    <row r="42" ht="30" customHeight="1">
      <c r="A42" s="15" t="n">
        <v>40</v>
      </c>
      <c r="B42" s="13" t="inlineStr">
        <is>
          <t>التشغيل والمحطات</t>
        </is>
      </c>
      <c r="C42" s="21" t="inlineStr">
        <is>
          <t>عدد المحطات المشغّلة (تراكمي)</t>
        </is>
      </c>
      <c r="D42" s="71" t="inlineStr">
        <is>
          <t>يقيس عدد المحطات المشغّلة (تراكمي) ضمن محور «النمو»، ويعكس مساهمة الإدارة في ركيزة النمو.</t>
        </is>
      </c>
      <c r="E42" s="11" t="inlineStr">
        <is>
          <t>إجمالي العدد خلال الفترة</t>
        </is>
      </c>
      <c r="F42" s="15" t="inlineStr">
        <is>
          <t>⚙️ نشاط</t>
        </is>
      </c>
      <c r="G42" s="11" t="inlineStr">
        <is>
          <t>النمو · التوسع في المواقع</t>
        </is>
      </c>
      <c r="H42" s="15" t="inlineStr">
        <is>
          <t>العمليات الداخلية</t>
        </is>
      </c>
      <c r="I42" s="59" t="n">
        <v>0.34</v>
      </c>
      <c r="J42" s="15" t="inlineStr">
        <is>
          <t>مدير التشغيل</t>
        </is>
      </c>
      <c r="K42" s="11" t="inlineStr">
        <is>
          <t>نظام تشغيل المحطات</t>
        </is>
      </c>
      <c r="L42" s="15" t="inlineStr">
        <is>
          <t>شهري</t>
        </is>
      </c>
      <c r="M42" s="15" t="inlineStr">
        <is>
          <t>مدير التشغيل</t>
        </is>
      </c>
      <c r="N42" s="51" t="n"/>
    </row>
    <row r="43" ht="30" customHeight="1">
      <c r="A43" s="15" t="n">
        <v>41</v>
      </c>
      <c r="B43" s="13" t="inlineStr">
        <is>
          <t>التشغيل والمحطات</t>
        </is>
      </c>
      <c r="C43" s="21" t="inlineStr">
        <is>
          <t>نمو مبيعات الوقود مقارنة بالعام السابق</t>
        </is>
      </c>
      <c r="D43" s="71" t="inlineStr">
        <is>
          <t>يقيس نمو مبيعات الوقود مقارنة بالعام السابق ضمن محور «الربحية»، ويعكس مساهمة الإدارة في ركيزة النمو.</t>
        </is>
      </c>
      <c r="E43" s="11" t="inlineStr">
        <is>
          <t>(المتحقّق ÷ الإجمالي) × 100٪</t>
        </is>
      </c>
      <c r="F43" s="15" t="inlineStr">
        <is>
          <t>🎯 نتيجة</t>
        </is>
      </c>
      <c r="G43" s="11" t="inlineStr">
        <is>
          <t>النمو · زيادة وصول العملاء</t>
        </is>
      </c>
      <c r="H43" s="15" t="inlineStr">
        <is>
          <t>مالي</t>
        </is>
      </c>
      <c r="I43" s="59" t="n">
        <v>0.33</v>
      </c>
      <c r="J43" s="15" t="inlineStr">
        <is>
          <t>مدير التشغيل</t>
        </is>
      </c>
      <c r="K43" s="11" t="inlineStr">
        <is>
          <t>نظام المحاسبة / ERP (D365)</t>
        </is>
      </c>
      <c r="L43" s="15" t="inlineStr">
        <is>
          <t>شهري</t>
        </is>
      </c>
      <c r="M43" s="15" t="inlineStr">
        <is>
          <t>الإدارة المالية</t>
        </is>
      </c>
      <c r="N43" s="51" t="n"/>
    </row>
    <row r="44" ht="30" customHeight="1">
      <c r="A44" s="15" t="n">
        <v>42</v>
      </c>
      <c r="B44" s="13" t="inlineStr">
        <is>
          <t>التشغيل والمحطات</t>
        </is>
      </c>
      <c r="C44" s="21" t="inlineStr">
        <is>
          <t>نسبة انخفاض الشكاوى مقارنة بالعام السابق</t>
        </is>
      </c>
      <c r="D44" s="71" t="inlineStr">
        <is>
          <t>يقيس نسبة انخفاض الشكاوى مقارنة بالعام السابق ضمن محور «تجربة العميل»، ويعكس مساهمة الإدارة في ركيزة الاستدامة.</t>
        </is>
      </c>
      <c r="E44" s="11" t="inlineStr">
        <is>
          <t>(المتحقّق ÷ الإجمالي) × 100٪</t>
        </is>
      </c>
      <c r="F44" s="15" t="inlineStr">
        <is>
          <t>🎯 نتيجة</t>
        </is>
      </c>
      <c r="G44" s="11" t="inlineStr">
        <is>
          <t>الاستدامة · تعزيز تجربة العملاء</t>
        </is>
      </c>
      <c r="H44" s="15" t="inlineStr">
        <is>
          <t>العملاء</t>
        </is>
      </c>
      <c r="I44" s="59" t="n">
        <v>0.22</v>
      </c>
      <c r="J44" s="15" t="inlineStr">
        <is>
          <t>مدير التشغيل</t>
        </is>
      </c>
      <c r="K44" s="11" t="inlineStr">
        <is>
          <t>سجلات الإدارة</t>
        </is>
      </c>
      <c r="L44" s="15" t="inlineStr">
        <is>
          <t>شهري</t>
        </is>
      </c>
      <c r="M44" s="15" t="inlineStr">
        <is>
          <t>مدير التشغيل</t>
        </is>
      </c>
      <c r="N44" s="51" t="n"/>
    </row>
    <row r="45" ht="30" customHeight="1">
      <c r="A45" s="15" t="n">
        <v>43</v>
      </c>
      <c r="B45" s="13" t="inlineStr">
        <is>
          <t>التشغيل والمحطات</t>
        </is>
      </c>
      <c r="C45" s="21" t="inlineStr">
        <is>
          <t>تطبيق المعيار الشامل في المحطات</t>
        </is>
      </c>
      <c r="D45" s="71" t="inlineStr">
        <is>
          <t>يقيس تطبيق المعيار الشامل في المحطات ضمن محور «الجودة»، ويعكس مساهمة الإدارة في ركيزة الابتكار.</t>
        </is>
      </c>
      <c r="E45" s="11" t="inlineStr">
        <is>
          <t>(المتحقّق ÷ الإجمالي) × 100٪</t>
        </is>
      </c>
      <c r="F45" s="15" t="inlineStr">
        <is>
          <t>🔧 تشغيلي</t>
        </is>
      </c>
      <c r="G45" s="11" t="inlineStr">
        <is>
          <t>الابتكار · التحول التقني</t>
        </is>
      </c>
      <c r="H45" s="15" t="inlineStr">
        <is>
          <t>التعلّم والنمو</t>
        </is>
      </c>
      <c r="I45" s="59" t="n">
        <v>0.11</v>
      </c>
      <c r="J45" s="15" t="inlineStr">
        <is>
          <t>مدير التشغيل</t>
        </is>
      </c>
      <c r="K45" s="11" t="inlineStr">
        <is>
          <t>نظام إدارة الجودة (QMS)</t>
        </is>
      </c>
      <c r="L45" s="15" t="inlineStr">
        <is>
          <t>شهري</t>
        </is>
      </c>
      <c r="M45" s="15" t="inlineStr">
        <is>
          <t>مدير التشغيل</t>
        </is>
      </c>
      <c r="N45" s="51" t="n"/>
    </row>
    <row r="46" ht="30" customHeight="1">
      <c r="A46" s="15" t="n">
        <v>44</v>
      </c>
      <c r="B46" s="13" t="inlineStr">
        <is>
          <t>الاستثمار</t>
        </is>
      </c>
      <c r="C46" s="21" t="inlineStr">
        <is>
          <t>عدد فرص الاستثمار</t>
        </is>
      </c>
      <c r="D46" s="71" t="inlineStr">
        <is>
          <t>يقيس عدد فرص الاستثمار ضمن محور «الفرص والنمو»، ويعكس مساهمة الإدارة في ركيزة النمو.</t>
        </is>
      </c>
      <c r="E46" s="11" t="inlineStr">
        <is>
          <t>إجمالي العدد خلال الفترة</t>
        </is>
      </c>
      <c r="F46" s="15" t="inlineStr">
        <is>
          <t>⚙️ نشاط</t>
        </is>
      </c>
      <c r="G46" s="11" t="inlineStr">
        <is>
          <t>النمو · التوسع في المواقع</t>
        </is>
      </c>
      <c r="H46" s="15" t="inlineStr">
        <is>
          <t>العمليات الداخلية</t>
        </is>
      </c>
      <c r="I46" s="59" t="n">
        <v>0.14</v>
      </c>
      <c r="J46" s="15" t="inlineStr">
        <is>
          <t>مدير الاستثمار</t>
        </is>
      </c>
      <c r="K46" s="11" t="inlineStr">
        <is>
          <t>نظام إدارة العقود (CRM)</t>
        </is>
      </c>
      <c r="L46" s="15" t="inlineStr">
        <is>
          <t>شهري</t>
        </is>
      </c>
      <c r="M46" s="15" t="inlineStr">
        <is>
          <t>مدير الاستثمار</t>
        </is>
      </c>
      <c r="N46" s="51" t="n"/>
    </row>
    <row r="47" ht="30" customHeight="1">
      <c r="A47" s="15" t="n">
        <v>45</v>
      </c>
      <c r="B47" s="13" t="inlineStr">
        <is>
          <t>الاستثمار</t>
        </is>
      </c>
      <c r="C47" s="21" t="inlineStr">
        <is>
          <t>نسبة المواقع المشغّلة ذات العائد المجدي</t>
        </is>
      </c>
      <c r="D47" s="71" t="inlineStr">
        <is>
          <t>يقيس نسبة المواقع المشغّلة ذات العائد المجدي ضمن محور «الربحية وجودة الموقع»، ويعكس مساهمة الإدارة في ركيزة الاستدامة.</t>
        </is>
      </c>
      <c r="E47" s="11" t="inlineStr">
        <is>
          <t>(المتحقّق ÷ الإجمالي) × 100٪</t>
        </is>
      </c>
      <c r="F47" s="15" t="inlineStr">
        <is>
          <t>🎯 نتيجة</t>
        </is>
      </c>
      <c r="G47" s="11" t="inlineStr">
        <is>
          <t>الاستدامة · التوسع في المواقع</t>
        </is>
      </c>
      <c r="H47" s="15" t="inlineStr">
        <is>
          <t>مالي</t>
        </is>
      </c>
      <c r="I47" s="59" t="n">
        <v>0.22</v>
      </c>
      <c r="J47" s="15" t="inlineStr">
        <is>
          <t>مدير الاستثمار</t>
        </is>
      </c>
      <c r="K47" s="11" t="inlineStr">
        <is>
          <t>نظام المحاسبة / ERP (D365)</t>
        </is>
      </c>
      <c r="L47" s="15" t="inlineStr">
        <is>
          <t>شهري</t>
        </is>
      </c>
      <c r="M47" s="15" t="inlineStr">
        <is>
          <t>الإدارة المالية</t>
        </is>
      </c>
      <c r="N47" s="51" t="n"/>
    </row>
    <row r="48" ht="30" customHeight="1">
      <c r="A48" s="15" t="n">
        <v>46</v>
      </c>
      <c r="B48" s="13" t="inlineStr">
        <is>
          <t>الاستثمار</t>
        </is>
      </c>
      <c r="C48" s="21" t="inlineStr">
        <is>
          <t>مدى رضا المستثمرين وشركاء الاستثمار</t>
        </is>
      </c>
      <c r="D48" s="71" t="inlineStr">
        <is>
          <t>يقيس مدى رضا المستثمرين وشركاء الاستثمار ضمن محور «جودة التعاقد»، ويعكس مساهمة الإدارة في ركيزة الاستدامة.</t>
        </is>
      </c>
      <c r="E48" s="11" t="inlineStr">
        <is>
          <t>(المتحقّق ÷ الإجمالي) × 100٪</t>
        </is>
      </c>
      <c r="F48" s="15" t="inlineStr">
        <is>
          <t>🎯 نتيجة</t>
        </is>
      </c>
      <c r="G48" s="11" t="inlineStr">
        <is>
          <t>الاستدامة · تعزيز تجربة العملاء</t>
        </is>
      </c>
      <c r="H48" s="15" t="inlineStr">
        <is>
          <t>العملاء</t>
        </is>
      </c>
      <c r="I48" s="59" t="n">
        <v>0.22</v>
      </c>
      <c r="J48" s="15" t="inlineStr">
        <is>
          <t>مدير الاستثمار</t>
        </is>
      </c>
      <c r="K48" s="11" t="inlineStr">
        <is>
          <t>استبيان دوري</t>
        </is>
      </c>
      <c r="L48" s="15" t="inlineStr">
        <is>
          <t>ربعي</t>
        </is>
      </c>
      <c r="M48" s="15" t="inlineStr">
        <is>
          <t>مدير الاستثمار</t>
        </is>
      </c>
      <c r="N48" s="51" t="n"/>
    </row>
    <row r="49" ht="30" customHeight="1">
      <c r="A49" s="15" t="n">
        <v>47</v>
      </c>
      <c r="B49" s="13" t="inlineStr">
        <is>
          <t>الاستثمار</t>
        </is>
      </c>
      <c r="C49" s="21" t="inlineStr">
        <is>
          <t>متوسط مدة إغلاق عقد الاستثمار</t>
        </is>
      </c>
      <c r="D49" s="71" t="inlineStr">
        <is>
          <t>يقيس متوسط مدة إغلاق عقد الاستثمار ضمن محور «كفاءة الدورة»، ويعكس مساهمة الإدارة في ركيزة النمو.</t>
        </is>
      </c>
      <c r="E49" s="11" t="inlineStr">
        <is>
          <t>متوسط أسبوع خلال الفترة</t>
        </is>
      </c>
      <c r="F49" s="15" t="inlineStr">
        <is>
          <t>🎯 نتيجة</t>
        </is>
      </c>
      <c r="G49" s="11" t="inlineStr">
        <is>
          <t>النمو · التوسع في المواقع</t>
        </is>
      </c>
      <c r="H49" s="15" t="inlineStr">
        <is>
          <t>العمليات الداخلية</t>
        </is>
      </c>
      <c r="I49" s="59" t="n">
        <v>0.21</v>
      </c>
      <c r="J49" s="15" t="inlineStr">
        <is>
          <t>مدير الاستثمار</t>
        </is>
      </c>
      <c r="K49" s="11" t="inlineStr">
        <is>
          <t>نظام إدارة العقود (CRM)</t>
        </is>
      </c>
      <c r="L49" s="15" t="inlineStr">
        <is>
          <t>شهري</t>
        </is>
      </c>
      <c r="M49" s="15" t="inlineStr">
        <is>
          <t>مدير الاستثمار</t>
        </is>
      </c>
      <c r="N49" s="51" t="n"/>
    </row>
    <row r="50" ht="30" customHeight="1">
      <c r="A50" s="15" t="n">
        <v>48</v>
      </c>
      <c r="B50" s="13" t="inlineStr">
        <is>
          <t>الاستثمار</t>
        </is>
      </c>
      <c r="C50" s="21" t="inlineStr">
        <is>
          <t>عدد العقود التي تغطي المناطق الـ13</t>
        </is>
      </c>
      <c r="D50" s="71" t="inlineStr">
        <is>
          <t>يقيس عدد العقود التي تغطي المناطق الـ13 ضمن محور «التوسع الإقليمي»، ويعكس مساهمة الإدارة في ركيزة النمو.</t>
        </is>
      </c>
      <c r="E50" s="11" t="inlineStr">
        <is>
          <t>إجمالي العدد خلال الفترة</t>
        </is>
      </c>
      <c r="F50" s="15" t="inlineStr">
        <is>
          <t>⚙️ نشاط</t>
        </is>
      </c>
      <c r="G50" s="11" t="inlineStr">
        <is>
          <t>النمو · زيادة وصول العملاء</t>
        </is>
      </c>
      <c r="H50" s="15" t="inlineStr">
        <is>
          <t>العمليات الداخلية</t>
        </is>
      </c>
      <c r="I50" s="59" t="n">
        <v>0.21</v>
      </c>
      <c r="J50" s="15" t="inlineStr">
        <is>
          <t>مدير الاستثمار</t>
        </is>
      </c>
      <c r="K50" s="11" t="inlineStr">
        <is>
          <t>نظام إدارة العقود (CRM)</t>
        </is>
      </c>
      <c r="L50" s="15" t="inlineStr">
        <is>
          <t>شهري</t>
        </is>
      </c>
      <c r="M50" s="15" t="inlineStr">
        <is>
          <t>مدير الاستثمار</t>
        </is>
      </c>
      <c r="N50" s="51" t="n"/>
    </row>
    <row r="51" ht="30" customHeight="1">
      <c r="A51" s="15" t="n">
        <v>49</v>
      </c>
      <c r="B51" s="13" t="inlineStr">
        <is>
          <t>العقار</t>
        </is>
      </c>
      <c r="C51" s="21" t="inlineStr">
        <is>
          <t>نسبة إشغال الوحدات</t>
        </is>
      </c>
      <c r="D51" s="71" t="inlineStr">
        <is>
          <t>يقيس نسبة إشغال الوحدات ضمن محور «التأجير»، ويعكس مساهمة الإدارة في ركيزة الاستدامة.</t>
        </is>
      </c>
      <c r="E51" s="11" t="inlineStr">
        <is>
          <t>(المتحقّق ÷ الإجمالي) × 100٪</t>
        </is>
      </c>
      <c r="F51" s="15" t="inlineStr">
        <is>
          <t>🎯 نتيجة</t>
        </is>
      </c>
      <c r="G51" s="11" t="inlineStr">
        <is>
          <t>الاستدامة · منظومة التأجير</t>
        </is>
      </c>
      <c r="H51" s="15" t="inlineStr">
        <is>
          <t>العمليات الداخلية</t>
        </is>
      </c>
      <c r="I51" s="59" t="n">
        <v>0.2</v>
      </c>
      <c r="J51" s="15" t="inlineStr">
        <is>
          <t>مدير العقار</t>
        </is>
      </c>
      <c r="K51" s="11" t="inlineStr">
        <is>
          <t>نظام إدارة العقود (CRM)</t>
        </is>
      </c>
      <c r="L51" s="15" t="inlineStr">
        <is>
          <t>شهري</t>
        </is>
      </c>
      <c r="M51" s="15" t="inlineStr">
        <is>
          <t>مدير العقار</t>
        </is>
      </c>
      <c r="N51" s="51" t="n"/>
    </row>
    <row r="52" ht="30" customHeight="1">
      <c r="A52" s="15" t="n">
        <v>50</v>
      </c>
      <c r="B52" s="13" t="inlineStr">
        <is>
          <t>العقار</t>
        </is>
      </c>
      <c r="C52" s="21" t="inlineStr">
        <is>
          <t>زيادة عدد العلامات التجارية</t>
        </is>
      </c>
      <c r="D52" s="71" t="inlineStr">
        <is>
          <t>يقيس زيادة عدد العلامات التجارية ضمن محور «التأجير»، ويعكس مساهمة الإدارة في ركيزة الاستدامة.</t>
        </is>
      </c>
      <c r="E52" s="11" t="inlineStr">
        <is>
          <t>إجمالي العدد خلال الفترة</t>
        </is>
      </c>
      <c r="F52" s="15" t="inlineStr">
        <is>
          <t>⚙️ نشاط</t>
        </is>
      </c>
      <c r="G52" s="11" t="inlineStr">
        <is>
          <t>الاستدامة · منظومة التأجير</t>
        </is>
      </c>
      <c r="H52" s="15" t="inlineStr">
        <is>
          <t>العمليات الداخلية</t>
        </is>
      </c>
      <c r="I52" s="59" t="n">
        <v>0.2</v>
      </c>
      <c r="J52" s="15" t="inlineStr">
        <is>
          <t>مدير العقار</t>
        </is>
      </c>
      <c r="K52" s="11" t="inlineStr">
        <is>
          <t>نظام إدارة العقود (CRM)</t>
        </is>
      </c>
      <c r="L52" s="15" t="inlineStr">
        <is>
          <t>شهري</t>
        </is>
      </c>
      <c r="M52" s="15" t="inlineStr">
        <is>
          <t>مدير العقار</t>
        </is>
      </c>
      <c r="N52" s="51" t="n"/>
    </row>
    <row r="53" ht="30" customHeight="1">
      <c r="A53" s="15" t="n">
        <v>51</v>
      </c>
      <c r="B53" s="13" t="inlineStr">
        <is>
          <t>العقار</t>
        </is>
      </c>
      <c r="C53" s="21" t="inlineStr">
        <is>
          <t>معدل رضا المستأجرين (استبيان ربعي)</t>
        </is>
      </c>
      <c r="D53" s="71" t="inlineStr">
        <is>
          <t>يقيس معدل رضا المستأجرين (استبيان ربعي) ضمن محور «الجودة والاستدامة»، ويعكس مساهمة الإدارة في ركيزة الاستدامة.</t>
        </is>
      </c>
      <c r="E53" s="11" t="inlineStr">
        <is>
          <t>(المتحقّق ÷ الإجمالي) × 100٪</t>
        </is>
      </c>
      <c r="F53" s="15" t="inlineStr">
        <is>
          <t>🎯 نتيجة</t>
        </is>
      </c>
      <c r="G53" s="11" t="inlineStr">
        <is>
          <t>الاستدامة · تعزيز تجربة العملاء</t>
        </is>
      </c>
      <c r="H53" s="15" t="inlineStr">
        <is>
          <t>العملاء</t>
        </is>
      </c>
      <c r="I53" s="59" t="n">
        <v>0.3</v>
      </c>
      <c r="J53" s="15" t="inlineStr">
        <is>
          <t>مدير العقار</t>
        </is>
      </c>
      <c r="K53" s="11" t="inlineStr">
        <is>
          <t>استبيان دوري</t>
        </is>
      </c>
      <c r="L53" s="15" t="inlineStr">
        <is>
          <t>ربعي</t>
        </is>
      </c>
      <c r="M53" s="15" t="inlineStr">
        <is>
          <t>مدير العقار</t>
        </is>
      </c>
      <c r="N53" s="51" t="n"/>
    </row>
    <row r="54" ht="30" customHeight="1">
      <c r="A54" s="15" t="n">
        <v>52</v>
      </c>
      <c r="B54" s="13" t="inlineStr">
        <is>
          <t>العقار</t>
        </is>
      </c>
      <c r="C54" s="21" t="inlineStr">
        <is>
          <t>نسبة تحصيل الإيجارات</t>
        </is>
      </c>
      <c r="D54" s="71" t="inlineStr">
        <is>
          <t>يقيس نسبة تحصيل الإيجارات ضمن محور «الإدارة»، ويعكس مساهمة الإدارة في ركيزة الاستدامة.</t>
        </is>
      </c>
      <c r="E54" s="11" t="inlineStr">
        <is>
          <t>(المتحقّق ÷ الإجمالي) × 100٪</t>
        </is>
      </c>
      <c r="F54" s="15" t="inlineStr">
        <is>
          <t>🎯 نتيجة</t>
        </is>
      </c>
      <c r="G54" s="11" t="inlineStr">
        <is>
          <t>الاستدامة · منظومة التأجير</t>
        </is>
      </c>
      <c r="H54" s="15" t="inlineStr">
        <is>
          <t>مالي</t>
        </is>
      </c>
      <c r="I54" s="59" t="n">
        <v>0.3</v>
      </c>
      <c r="J54" s="15" t="inlineStr">
        <is>
          <t>مدير العقار</t>
        </is>
      </c>
      <c r="K54" s="11" t="inlineStr">
        <is>
          <t>نظام المحاسبة / ERP (D365)</t>
        </is>
      </c>
      <c r="L54" s="15" t="inlineStr">
        <is>
          <t>شهري</t>
        </is>
      </c>
      <c r="M54" s="15" t="inlineStr">
        <is>
          <t>الإدارة المالية</t>
        </is>
      </c>
      <c r="N54" s="51" t="n"/>
    </row>
    <row r="55" ht="30" customHeight="1">
      <c r="A55" s="15" t="n">
        <v>53</v>
      </c>
      <c r="B55" s="13" t="inlineStr">
        <is>
          <t>إدارة المشاريع</t>
        </is>
      </c>
      <c r="C55" s="21" t="inlineStr">
        <is>
          <t>نسبة إنجاز محفظة المشاريع</t>
        </is>
      </c>
      <c r="D55" s="71" t="inlineStr">
        <is>
          <t>يقيس نسبة إنجاز محفظة المشاريع ضمن محور «تنفيذ المشاريع»، ويعكس مساهمة الإدارة في ركيزة النمو.</t>
        </is>
      </c>
      <c r="E55" s="11" t="inlineStr">
        <is>
          <t>(المتحقّق ÷ الإجمالي) × 100٪</t>
        </is>
      </c>
      <c r="F55" s="15" t="inlineStr">
        <is>
          <t>🎯 نتيجة</t>
        </is>
      </c>
      <c r="G55" s="11" t="inlineStr">
        <is>
          <t>النمو · التوسع في المواقع</t>
        </is>
      </c>
      <c r="H55" s="15" t="inlineStr">
        <is>
          <t>العمليات الداخلية</t>
        </is>
      </c>
      <c r="I55" s="59" t="n">
        <v>0.38</v>
      </c>
      <c r="J55" s="15" t="inlineStr">
        <is>
          <t>مدير إدارة المشاريع</t>
        </is>
      </c>
      <c r="K55" s="11" t="inlineStr">
        <is>
          <t>نظام إدارة المشاريع (PMO/Primavera)</t>
        </is>
      </c>
      <c r="L55" s="15" t="inlineStr">
        <is>
          <t>شهري</t>
        </is>
      </c>
      <c r="M55" s="15" t="inlineStr">
        <is>
          <t>مدير إدارة المشاريع</t>
        </is>
      </c>
      <c r="N55" s="51" t="n"/>
    </row>
    <row r="56" ht="30" customHeight="1">
      <c r="A56" s="15" t="n">
        <v>54</v>
      </c>
      <c r="B56" s="13" t="inlineStr">
        <is>
          <t>إدارة المشاريع</t>
        </is>
      </c>
      <c r="C56" s="21" t="inlineStr">
        <is>
          <t>نسبة تسليم المحطات في الموعد المخطط</t>
        </is>
      </c>
      <c r="D56" s="71" t="inlineStr">
        <is>
          <t>يقيس نسبة تسليم المحطات في الموعد المخطط ضمن محور «تنفيذ المشاريع»، ويعكس مساهمة الإدارة في ركيزة النمو.</t>
        </is>
      </c>
      <c r="E56" s="11" t="inlineStr">
        <is>
          <t>(المتحقّق ÷ الإجمالي) × 100٪</t>
        </is>
      </c>
      <c r="F56" s="15" t="inlineStr">
        <is>
          <t>🔧 تشغيلي</t>
        </is>
      </c>
      <c r="G56" s="11" t="inlineStr">
        <is>
          <t>النمو · التوسع في المواقع</t>
        </is>
      </c>
      <c r="H56" s="15" t="inlineStr">
        <is>
          <t>العمليات الداخلية</t>
        </is>
      </c>
      <c r="I56" s="59" t="n">
        <v>0.37</v>
      </c>
      <c r="J56" s="15" t="inlineStr">
        <is>
          <t>مدير إدارة المشاريع</t>
        </is>
      </c>
      <c r="K56" s="11" t="inlineStr">
        <is>
          <t>نظام إدارة المشاريع (PMO/Primavera)</t>
        </is>
      </c>
      <c r="L56" s="15" t="inlineStr">
        <is>
          <t>شهري</t>
        </is>
      </c>
      <c r="M56" s="15" t="inlineStr">
        <is>
          <t>مدير إدارة المشاريع</t>
        </is>
      </c>
      <c r="N56" s="51" t="n"/>
    </row>
    <row r="57" ht="30" customHeight="1">
      <c r="A57" s="15" t="n">
        <v>55</v>
      </c>
      <c r="B57" s="13" t="inlineStr">
        <is>
          <t>إدارة المشاريع</t>
        </is>
      </c>
      <c r="C57" s="21" t="inlineStr">
        <is>
          <t>متوسط مدة إغلاق قائمة الملاحظات النهائية</t>
        </is>
      </c>
      <c r="D57" s="71" t="inlineStr">
        <is>
          <t>يقيس متوسط مدة إغلاق قائمة الملاحظات النهائية ضمن محور «التصاميم وأوامر التغيير»، ويعكس مساهمة الإدارة في ركيزة الاستدامة.</t>
        </is>
      </c>
      <c r="E57" s="11" t="inlineStr">
        <is>
          <t>متوسط يوم خلال الفترة</t>
        </is>
      </c>
      <c r="F57" s="15" t="inlineStr">
        <is>
          <t>🎯 نتيجة</t>
        </is>
      </c>
      <c r="G57" s="11" t="inlineStr">
        <is>
          <t>الاستدامة · جودة التشغيل</t>
        </is>
      </c>
      <c r="H57" s="15" t="inlineStr">
        <is>
          <t>العمليات الداخلية</t>
        </is>
      </c>
      <c r="I57" s="59" t="n">
        <v>0.25</v>
      </c>
      <c r="J57" s="15" t="inlineStr">
        <is>
          <t>مدير إدارة المشاريع</t>
        </is>
      </c>
      <c r="K57" s="11" t="inlineStr">
        <is>
          <t>نظام إدارة المشاريع (PMO/Primavera)</t>
        </is>
      </c>
      <c r="L57" s="15" t="inlineStr">
        <is>
          <t>شهري</t>
        </is>
      </c>
      <c r="M57" s="15" t="inlineStr">
        <is>
          <t>مدير إدارة المشاريع</t>
        </is>
      </c>
      <c r="N57" s="51" t="n"/>
    </row>
    <row r="58" ht="30" customHeight="1">
      <c r="A58" s="15" t="n">
        <v>56</v>
      </c>
      <c r="B58" s="13" t="inlineStr">
        <is>
          <t>سلاسل الإمداد</t>
        </is>
      </c>
      <c r="C58" s="21" t="inlineStr">
        <is>
          <t>عدد انقطاعات الوقود في المحطات</t>
        </is>
      </c>
      <c r="D58" s="71" t="inlineStr">
        <is>
          <t>يقيس عدد انقطاعات الوقود في المحطات ضمن محور «خدمة العميل والتوفّر»، ويعكس مساهمة الإدارة في ركيزة الاستدامة.</t>
        </is>
      </c>
      <c r="E58" s="11" t="inlineStr">
        <is>
          <t>إجمالي العدد خلال الفترة</t>
        </is>
      </c>
      <c r="F58" s="15" t="inlineStr">
        <is>
          <t>⚙️ نشاط</t>
        </is>
      </c>
      <c r="G58" s="11" t="inlineStr">
        <is>
          <t>الاستدامة · جودة التشغيل</t>
        </is>
      </c>
      <c r="H58" s="15" t="inlineStr">
        <is>
          <t>العمليات الداخلية</t>
        </is>
      </c>
      <c r="I58" s="59" t="n">
        <v>0.3</v>
      </c>
      <c r="J58" s="15" t="inlineStr">
        <is>
          <t>مدير سلاسل الإمداد</t>
        </is>
      </c>
      <c r="K58" s="11" t="inlineStr">
        <is>
          <t>نظام سلاسل الإمداد والمخزون (WMS/ERP)</t>
        </is>
      </c>
      <c r="L58" s="15" t="inlineStr">
        <is>
          <t>شهري</t>
        </is>
      </c>
      <c r="M58" s="15" t="inlineStr">
        <is>
          <t>مدير سلاسل الإمداد</t>
        </is>
      </c>
      <c r="N58" s="51" t="n"/>
    </row>
    <row r="59" ht="30" customHeight="1">
      <c r="A59" s="15" t="n">
        <v>57</v>
      </c>
      <c r="B59" s="13" t="inlineStr">
        <is>
          <t>سلاسل الإمداد</t>
        </is>
      </c>
      <c r="C59" s="21" t="inlineStr">
        <is>
          <t>نسبة إنجاز أوامر الشراء</t>
        </is>
      </c>
      <c r="D59" s="71" t="inlineStr">
        <is>
          <t>يقيس نسبة إنجاز أوامر الشراء ضمن محور «المشتريات»، ويعكس مساهمة الإدارة في ركيزة الاستدامة.</t>
        </is>
      </c>
      <c r="E59" s="11" t="inlineStr">
        <is>
          <t>(المتحقّق ÷ الإجمالي) × 100٪</t>
        </is>
      </c>
      <c r="F59" s="15" t="inlineStr">
        <is>
          <t>🔧 تشغيلي</t>
        </is>
      </c>
      <c r="G59" s="11" t="inlineStr">
        <is>
          <t>الاستدامة · جودة التشغيل</t>
        </is>
      </c>
      <c r="H59" s="15" t="inlineStr">
        <is>
          <t>العمليات الداخلية</t>
        </is>
      </c>
      <c r="I59" s="59" t="n">
        <v>0.2</v>
      </c>
      <c r="J59" s="15" t="inlineStr">
        <is>
          <t>مدير سلاسل الإمداد</t>
        </is>
      </c>
      <c r="K59" s="11" t="inlineStr">
        <is>
          <t>نظام سلاسل الإمداد والمخزون (WMS/ERP)</t>
        </is>
      </c>
      <c r="L59" s="15" t="inlineStr">
        <is>
          <t>شهري</t>
        </is>
      </c>
      <c r="M59" s="15" t="inlineStr">
        <is>
          <t>مدير سلاسل الإمداد</t>
        </is>
      </c>
      <c r="N59" s="51" t="n"/>
    </row>
    <row r="60" ht="30" customHeight="1">
      <c r="A60" s="15" t="n">
        <v>58</v>
      </c>
      <c r="B60" s="13" t="inlineStr">
        <is>
          <t>سلاسل الإمداد</t>
        </is>
      </c>
      <c r="C60" s="21" t="inlineStr">
        <is>
          <t>مستوى رضا الموردين</t>
        </is>
      </c>
      <c r="D60" s="71" t="inlineStr">
        <is>
          <t>يقيس مستوى رضا الموردين ضمن محور «الموردون»، ويعكس مساهمة الإدارة في ركيزة الاستدامة.</t>
        </is>
      </c>
      <c r="E60" s="11" t="inlineStr">
        <is>
          <t>(المتحقّق ÷ الإجمالي) × 100٪</t>
        </is>
      </c>
      <c r="F60" s="15" t="inlineStr">
        <is>
          <t>🎯 نتيجة</t>
        </is>
      </c>
      <c r="G60" s="11" t="inlineStr">
        <is>
          <t>الاستدامة · تعزيز تجربة العملاء</t>
        </is>
      </c>
      <c r="H60" s="15" t="inlineStr">
        <is>
          <t>العملاء</t>
        </is>
      </c>
      <c r="I60" s="59" t="n">
        <v>0.3</v>
      </c>
      <c r="J60" s="15" t="inlineStr">
        <is>
          <t>مدير سلاسل الإمداد</t>
        </is>
      </c>
      <c r="K60" s="11" t="inlineStr">
        <is>
          <t>نظام سلاسل الإمداد والمخزون (WMS/ERP)</t>
        </is>
      </c>
      <c r="L60" s="15" t="inlineStr">
        <is>
          <t>ربعي</t>
        </is>
      </c>
      <c r="M60" s="15" t="inlineStr">
        <is>
          <t>مدير سلاسل الإمداد</t>
        </is>
      </c>
      <c r="N60" s="51" t="n"/>
    </row>
    <row r="61" ht="30" customHeight="1">
      <c r="A61" s="15" t="n">
        <v>59</v>
      </c>
      <c r="B61" s="13" t="inlineStr">
        <is>
          <t>سلاسل الإمداد</t>
        </is>
      </c>
      <c r="C61" s="21" t="inlineStr">
        <is>
          <t>نسبة نقليات أسطول درب</t>
        </is>
      </c>
      <c r="D61" s="71" t="inlineStr">
        <is>
          <t>يقيس نسبة نقليات أسطول درب ضمن محور «النقل والأسطول»، ويعكس مساهمة الإدارة في ركيزة الاستدامة.</t>
        </is>
      </c>
      <c r="E61" s="11" t="inlineStr">
        <is>
          <t>(المتحقّق ÷ الإجمالي) × 100٪</t>
        </is>
      </c>
      <c r="F61" s="15" t="inlineStr">
        <is>
          <t>🔧 تشغيلي</t>
        </is>
      </c>
      <c r="G61" s="11" t="inlineStr">
        <is>
          <t>الاستدامة · جودة التشغيل</t>
        </is>
      </c>
      <c r="H61" s="15" t="inlineStr">
        <is>
          <t>العمليات الداخلية</t>
        </is>
      </c>
      <c r="I61" s="59" t="n">
        <v>0.2</v>
      </c>
      <c r="J61" s="15" t="inlineStr">
        <is>
          <t>مدير سلاسل الإمداد</t>
        </is>
      </c>
      <c r="K61" s="11" t="inlineStr">
        <is>
          <t>نظام سلاسل الإمداد والمخزون (WMS/ERP)</t>
        </is>
      </c>
      <c r="L61" s="15" t="inlineStr">
        <is>
          <t>شهري</t>
        </is>
      </c>
      <c r="M61" s="15" t="inlineStr">
        <is>
          <t>مدير سلاسل الإمداد</t>
        </is>
      </c>
      <c r="N61" s="51" t="n"/>
    </row>
    <row r="62" ht="30" customHeight="1">
      <c r="A62" s="15" t="n">
        <v>60</v>
      </c>
      <c r="B62" s="13" t="inlineStr">
        <is>
          <t>الصيانة والأتمتة</t>
        </is>
      </c>
      <c r="C62" s="21" t="inlineStr">
        <is>
          <t>نسبة تنفيذ الصيانة الوقائية في موعدها</t>
        </is>
      </c>
      <c r="D62" s="71" t="inlineStr">
        <is>
          <t>يقيس نسبة تنفيذ الصيانة الوقائية في موعدها ضمن محور «جاهزية الأصول»، ويعكس مساهمة الإدارة في ركيزة الاستدامة.</t>
        </is>
      </c>
      <c r="E62" s="11" t="inlineStr">
        <is>
          <t>(المتحقّق ÷ الإجمالي) × 100٪</t>
        </is>
      </c>
      <c r="F62" s="15" t="inlineStr">
        <is>
          <t>⚙️ نشاط</t>
        </is>
      </c>
      <c r="G62" s="11" t="inlineStr">
        <is>
          <t>الاستدامة · جودة التشغيل</t>
        </is>
      </c>
      <c r="H62" s="15" t="inlineStr">
        <is>
          <t>العمليات الداخلية</t>
        </is>
      </c>
      <c r="I62" s="59" t="n">
        <v>0.5</v>
      </c>
      <c r="J62" s="15" t="inlineStr">
        <is>
          <t>مدير الصيانة والأتمتة</t>
        </is>
      </c>
      <c r="K62" s="11" t="inlineStr">
        <is>
          <t>نظام إدارة الصيانة (CMMS) وأنظمة الأتمتة (SCADA)</t>
        </is>
      </c>
      <c r="L62" s="15" t="inlineStr">
        <is>
          <t>شهري</t>
        </is>
      </c>
      <c r="M62" s="15" t="inlineStr">
        <is>
          <t>مدير الصيانة والأتمتة</t>
        </is>
      </c>
      <c r="N62" s="51" t="n"/>
    </row>
    <row r="63" ht="30" customHeight="1">
      <c r="A63" s="15" t="n">
        <v>61</v>
      </c>
      <c r="B63" s="13" t="inlineStr">
        <is>
          <t>الصيانة والأتمتة</t>
        </is>
      </c>
      <c r="C63" s="21" t="inlineStr">
        <is>
          <t>معدل تكرار الأعطال</t>
        </is>
      </c>
      <c r="D63" s="71" t="inlineStr">
        <is>
          <t>يقيس معدل تكرار الأعطال ضمن محور «الاستجابة والإصلاح»، ويعكس مساهمة الإدارة في ركيزة الاستدامة.</t>
        </is>
      </c>
      <c r="E63" s="11" t="inlineStr">
        <is>
          <t>(المتحقّق ÷ الإجمالي) × 100٪</t>
        </is>
      </c>
      <c r="F63" s="15" t="inlineStr">
        <is>
          <t>🔧 تشغيلي</t>
        </is>
      </c>
      <c r="G63" s="11" t="inlineStr">
        <is>
          <t>الاستدامة · جودة التشغيل</t>
        </is>
      </c>
      <c r="H63" s="15" t="inlineStr">
        <is>
          <t>العمليات الداخلية</t>
        </is>
      </c>
      <c r="I63" s="59" t="n">
        <v>0.5</v>
      </c>
      <c r="J63" s="15" t="inlineStr">
        <is>
          <t>مدير الصيانة والأتمتة</t>
        </is>
      </c>
      <c r="K63" s="11" t="inlineStr">
        <is>
          <t>نظام إدارة الصيانة (CMMS) وأنظمة الأتمتة (SCADA)</t>
        </is>
      </c>
      <c r="L63" s="15" t="inlineStr">
        <is>
          <t>شهري</t>
        </is>
      </c>
      <c r="M63" s="15" t="inlineStr">
        <is>
          <t>مدير الصيانة والأتمتة</t>
        </is>
      </c>
      <c r="N63" s="51" t="n"/>
    </row>
    <row r="64" ht="30" customHeight="1">
      <c r="A64" s="15" t="n">
        <v>62</v>
      </c>
      <c r="B64" s="13" t="inlineStr">
        <is>
          <t>التقنية الرقمية</t>
        </is>
      </c>
      <c r="C64" s="21" t="inlineStr">
        <is>
          <t>نسبة استقرار التشغيل التقني للمحطات</t>
        </is>
      </c>
      <c r="D64" s="71" t="inlineStr">
        <is>
          <t>يقيس نسبة استقرار التشغيل التقني للمحطات ضمن محور «توفّر واستقرار الأنظمة»، ويعكس مساهمة الإدارة في ركيزة الابتكار.</t>
        </is>
      </c>
      <c r="E64" s="11" t="inlineStr">
        <is>
          <t>(المتحقّق ÷ الإجمالي) × 100٪</t>
        </is>
      </c>
      <c r="F64" s="15" t="inlineStr">
        <is>
          <t>🔧 تشغيلي</t>
        </is>
      </c>
      <c r="G64" s="11" t="inlineStr">
        <is>
          <t>الابتكار · التحول التقني</t>
        </is>
      </c>
      <c r="H64" s="15" t="inlineStr">
        <is>
          <t>العمليات الداخلية</t>
        </is>
      </c>
      <c r="I64" s="59" t="n">
        <v>0.5</v>
      </c>
      <c r="J64" s="15" t="inlineStr">
        <is>
          <t>مدير التقنية</t>
        </is>
      </c>
      <c r="K64" s="11" t="inlineStr">
        <is>
          <t>أنظمة تقنية المعلومات (ERP/ITSM/SIEM)</t>
        </is>
      </c>
      <c r="L64" s="15" t="inlineStr">
        <is>
          <t>شهري</t>
        </is>
      </c>
      <c r="M64" s="15" t="inlineStr">
        <is>
          <t>مدير التقنية</t>
        </is>
      </c>
      <c r="N64" s="51" t="n"/>
    </row>
    <row r="65" ht="30" customHeight="1">
      <c r="A65" s="15" t="n">
        <v>63</v>
      </c>
      <c r="B65" s="13" t="inlineStr">
        <is>
          <t>التقنية الرقمية</t>
        </is>
      </c>
      <c r="C65" s="21" t="inlineStr">
        <is>
          <t>نسبة إنجاز مشاريع التحول الرقمي والمشاريع التقنية حسب الخطة</t>
        </is>
      </c>
      <c r="D65" s="71" t="inlineStr">
        <is>
          <t>يقيس نسبة إنجاز مشاريع التحول الرقمي والمشاريع التقنية حسب الخطة ضمن محور «المشاريع التقنية»، ويعكس مساهمة الإدارة في ركيزة الابتكار.</t>
        </is>
      </c>
      <c r="E65" s="11" t="inlineStr">
        <is>
          <t>(المتحقّق ÷ الإجمالي) × 100٪</t>
        </is>
      </c>
      <c r="F65" s="15" t="inlineStr">
        <is>
          <t>🔧 تشغيلي</t>
        </is>
      </c>
      <c r="G65" s="11" t="inlineStr">
        <is>
          <t>الابتكار · التحول التقني</t>
        </is>
      </c>
      <c r="H65" s="15" t="inlineStr">
        <is>
          <t>التعلّم والنمو</t>
        </is>
      </c>
      <c r="I65" s="59" t="n">
        <v>0.5</v>
      </c>
      <c r="J65" s="15" t="inlineStr">
        <is>
          <t>مدير التقنية</t>
        </is>
      </c>
      <c r="K65" s="11" t="inlineStr">
        <is>
          <t>أنظمة تقنية المعلومات (ERP/ITSM/SIEM)</t>
        </is>
      </c>
      <c r="L65" s="15" t="inlineStr">
        <is>
          <t>شهري</t>
        </is>
      </c>
      <c r="M65" s="15" t="inlineStr">
        <is>
          <t>مدير التقنية</t>
        </is>
      </c>
      <c r="N65" s="51" t="n"/>
    </row>
    <row r="66" ht="30" customHeight="1">
      <c r="A66" s="15" t="n">
        <v>64</v>
      </c>
      <c r="B66" s="13" t="inlineStr">
        <is>
          <t>الموارد البشرية</t>
        </is>
      </c>
      <c r="C66" s="21" t="inlineStr">
        <is>
          <t>نسبة الالتزام بنظام العمل واللوائح وخطة القوى العاملة المعتمدة</t>
        </is>
      </c>
      <c r="D66" s="71" t="inlineStr">
        <is>
          <t>يقيس نسبة الالتزام بنظام العمل واللوائح وخطة القوى العاملة المعتمدة ضمن محور «الامتثال والالتزام»، ويعكس مساهمة الإدارة في ركيزة الاستدامة.</t>
        </is>
      </c>
      <c r="E66" s="11" t="inlineStr">
        <is>
          <t>(المتحقّق ÷ الإجمالي) × 100٪</t>
        </is>
      </c>
      <c r="F66" s="15" t="inlineStr">
        <is>
          <t>🎯 نتيجة</t>
        </is>
      </c>
      <c r="G66" s="11" t="inlineStr">
        <is>
          <t>الاستدامة · الاستثمار في الموظفين</t>
        </is>
      </c>
      <c r="H66" s="15" t="inlineStr">
        <is>
          <t>العمليات الداخلية</t>
        </is>
      </c>
      <c r="I66" s="59" t="n">
        <v>0.28</v>
      </c>
      <c r="J66" s="15" t="inlineStr">
        <is>
          <t>مدير الموارد البشرية</t>
        </is>
      </c>
      <c r="K66" s="11" t="inlineStr">
        <is>
          <t>نظام الموارد البشرية (HRMS)</t>
        </is>
      </c>
      <c r="L66" s="15" t="inlineStr">
        <is>
          <t>شهري</t>
        </is>
      </c>
      <c r="M66" s="15" t="inlineStr">
        <is>
          <t>مدير الموارد البشرية</t>
        </is>
      </c>
      <c r="N66" s="51" t="n"/>
    </row>
    <row r="67" ht="30" customHeight="1">
      <c r="A67" s="15" t="n">
        <v>65</v>
      </c>
      <c r="B67" s="13" t="inlineStr">
        <is>
          <t>الموارد البشرية</t>
        </is>
      </c>
      <c r="C67" s="21" t="inlineStr">
        <is>
          <t>نسبة تنفيذ برامج التدريب والتأهيل المعتمدة</t>
        </is>
      </c>
      <c r="D67" s="71" t="inlineStr">
        <is>
          <t>يقيس نسبة تنفيذ برامج التدريب والتأهيل المعتمدة ضمن محور «الاستقرار والتطوير»، ويعكس مساهمة الإدارة في ركيزة الاستدامة.</t>
        </is>
      </c>
      <c r="E67" s="11" t="inlineStr">
        <is>
          <t>(المتحقّق ÷ الإجمالي) × 100٪</t>
        </is>
      </c>
      <c r="F67" s="15" t="inlineStr">
        <is>
          <t>⚙️ نشاط</t>
        </is>
      </c>
      <c r="G67" s="11" t="inlineStr">
        <is>
          <t>الاستدامة · الاستثمار في الموظفين</t>
        </is>
      </c>
      <c r="H67" s="15" t="inlineStr">
        <is>
          <t>التعلّم والنمو</t>
        </is>
      </c>
      <c r="I67" s="59" t="n">
        <v>0.15</v>
      </c>
      <c r="J67" s="15" t="inlineStr">
        <is>
          <t>مدير الموارد البشرية</t>
        </is>
      </c>
      <c r="K67" s="11" t="inlineStr">
        <is>
          <t>نظام الموارد البشرية (HRMS)</t>
        </is>
      </c>
      <c r="L67" s="15" t="inlineStr">
        <is>
          <t>شهري</t>
        </is>
      </c>
      <c r="M67" s="15" t="inlineStr">
        <is>
          <t>مدير الموارد البشرية</t>
        </is>
      </c>
      <c r="N67" s="51" t="n"/>
    </row>
    <row r="68" ht="30" customHeight="1">
      <c r="A68" s="15" t="n">
        <v>66</v>
      </c>
      <c r="B68" s="13" t="inlineStr">
        <is>
          <t>الموارد البشرية</t>
        </is>
      </c>
      <c r="C68" s="21" t="inlineStr">
        <is>
          <t>معدل دوران الموظفين</t>
        </is>
      </c>
      <c r="D68" s="71" t="inlineStr">
        <is>
          <t>يقيس معدل دوران الموظفين ضمن محور «الاستقرار والتطوير»، ويعكس مساهمة الإدارة في ركيزة الاستدامة.</t>
        </is>
      </c>
      <c r="E68" s="11" t="inlineStr">
        <is>
          <t>(المتحقّق ÷ الإجمالي) × 100٪</t>
        </is>
      </c>
      <c r="F68" s="15" t="inlineStr">
        <is>
          <t>🔧 تشغيلي</t>
        </is>
      </c>
      <c r="G68" s="11" t="inlineStr">
        <is>
          <t>الاستدامة · الاستثمار في الموظفين</t>
        </is>
      </c>
      <c r="H68" s="15" t="inlineStr">
        <is>
          <t>التعلّم والنمو</t>
        </is>
      </c>
      <c r="I68" s="59" t="n">
        <v>0.15</v>
      </c>
      <c r="J68" s="15" t="inlineStr">
        <is>
          <t>مدير الموارد البشرية</t>
        </is>
      </c>
      <c r="K68" s="11" t="inlineStr">
        <is>
          <t>نظام الموارد البشرية (HRMS)</t>
        </is>
      </c>
      <c r="L68" s="15" t="inlineStr">
        <is>
          <t>شهري</t>
        </is>
      </c>
      <c r="M68" s="15" t="inlineStr">
        <is>
          <t>مدير الموارد البشرية</t>
        </is>
      </c>
      <c r="N68" s="51" t="n"/>
    </row>
    <row r="69" ht="30" customHeight="1">
      <c r="A69" s="15" t="n">
        <v>67</v>
      </c>
      <c r="B69" s="13" t="inlineStr">
        <is>
          <t>الموارد البشرية</t>
        </is>
      </c>
      <c r="C69" s="21" t="inlineStr">
        <is>
          <t>متوسط مدة إغلاق الشواغر المعتمدة</t>
        </is>
      </c>
      <c r="D69" s="71" t="inlineStr">
        <is>
          <t>يقيس متوسط مدة إغلاق الشواغر المعتمدة ضمن محور «الاستقطاب»، ويعكس مساهمة الإدارة في ركيزة الاستدامة.</t>
        </is>
      </c>
      <c r="E69" s="11" t="inlineStr">
        <is>
          <t>متوسط يوم خلال الفترة</t>
        </is>
      </c>
      <c r="F69" s="15" t="inlineStr">
        <is>
          <t>🎯 نتيجة</t>
        </is>
      </c>
      <c r="G69" s="11" t="inlineStr">
        <is>
          <t>الاستدامة · الاستثمار في الموظفين</t>
        </is>
      </c>
      <c r="H69" s="15" t="inlineStr">
        <is>
          <t>العمليات الداخلية</t>
        </is>
      </c>
      <c r="I69" s="59" t="n">
        <v>0.21</v>
      </c>
      <c r="J69" s="15" t="inlineStr">
        <is>
          <t>مدير الموارد البشرية</t>
        </is>
      </c>
      <c r="K69" s="11" t="inlineStr">
        <is>
          <t>نظام الموارد البشرية (HRMS)</t>
        </is>
      </c>
      <c r="L69" s="15" t="inlineStr">
        <is>
          <t>شهري</t>
        </is>
      </c>
      <c r="M69" s="15" t="inlineStr">
        <is>
          <t>مدير الموارد البشرية</t>
        </is>
      </c>
      <c r="N69" s="51" t="n"/>
    </row>
    <row r="70" ht="30" customHeight="1">
      <c r="A70" s="15" t="n">
        <v>68</v>
      </c>
      <c r="B70" s="13" t="inlineStr">
        <is>
          <t>الموارد البشرية</t>
        </is>
      </c>
      <c r="C70" s="21" t="inlineStr">
        <is>
          <t>نسبة دقة الرواتب والمستحقات الشهرية</t>
        </is>
      </c>
      <c r="D70" s="71" t="inlineStr">
        <is>
          <t>يقيس نسبة دقة الرواتب والمستحقات الشهرية ضمن محور «التكلفة والرواتب»، ويعكس مساهمة الإدارة في ركيزة الاستدامة.</t>
        </is>
      </c>
      <c r="E70" s="11" t="inlineStr">
        <is>
          <t>(المتحقّق ÷ الإجمالي) × 100٪</t>
        </is>
      </c>
      <c r="F70" s="15" t="inlineStr">
        <is>
          <t>🎯 نتيجة</t>
        </is>
      </c>
      <c r="G70" s="11" t="inlineStr">
        <is>
          <t>الاستدامة · الاستثمار في الموظفين</t>
        </is>
      </c>
      <c r="H70" s="15" t="inlineStr">
        <is>
          <t>مالي</t>
        </is>
      </c>
      <c r="I70" s="59" t="n">
        <v>0.21</v>
      </c>
      <c r="J70" s="15" t="inlineStr">
        <is>
          <t>مدير الموارد البشرية</t>
        </is>
      </c>
      <c r="K70" s="11" t="inlineStr">
        <is>
          <t>نظام الرواتب (Payroll) / حماية الأجور</t>
        </is>
      </c>
      <c r="L70" s="15" t="inlineStr">
        <is>
          <t>شهري</t>
        </is>
      </c>
      <c r="M70" s="15" t="inlineStr">
        <is>
          <t>مدير الموارد البشرية</t>
        </is>
      </c>
      <c r="N70" s="51" t="n"/>
    </row>
    <row r="71" ht="30" customHeight="1">
      <c r="A71" s="15" t="n">
        <v>69</v>
      </c>
      <c r="B71" s="13" t="inlineStr">
        <is>
          <t>التسويق</t>
        </is>
      </c>
      <c r="C71" s="21" t="inlineStr">
        <is>
          <t>الوصول الكلي (Total Reach)</t>
        </is>
      </c>
      <c r="D71" s="71" t="inlineStr">
        <is>
          <t>يقيس الوصول الكلي (Total Reach) ضمن محور «الإدارة العامة»، ويعكس مساهمة الإدارة في ركيزة النمو.</t>
        </is>
      </c>
      <c r="E71" s="11" t="inlineStr">
        <is>
          <t>إجمالي العدد خلال الفترة</t>
        </is>
      </c>
      <c r="F71" s="15" t="inlineStr">
        <is>
          <t>🎯 نتيجة</t>
        </is>
      </c>
      <c r="G71" s="11" t="inlineStr">
        <is>
          <t>النمو · زيادة وصول العملاء</t>
        </is>
      </c>
      <c r="H71" s="15" t="inlineStr">
        <is>
          <t>العملاء</t>
        </is>
      </c>
      <c r="I71" s="59" t="n">
        <v>0.25</v>
      </c>
      <c r="J71" s="15" t="inlineStr">
        <is>
          <t>مدير التسويق</t>
        </is>
      </c>
      <c r="K71" s="11" t="inlineStr">
        <is>
          <t>أنظمة التسويق الرقمي / تانكي</t>
        </is>
      </c>
      <c r="L71" s="15" t="inlineStr">
        <is>
          <t>شهري</t>
        </is>
      </c>
      <c r="M71" s="15" t="inlineStr">
        <is>
          <t>مدير التسويق</t>
        </is>
      </c>
      <c r="N71" s="51" t="n"/>
    </row>
    <row r="72" ht="30" customHeight="1">
      <c r="A72" s="15" t="n">
        <v>70</v>
      </c>
      <c r="B72" s="13" t="inlineStr">
        <is>
          <t>التسويق</t>
        </is>
      </c>
      <c r="C72" s="21" t="inlineStr">
        <is>
          <t>معدل خفض الشكاوى</t>
        </is>
      </c>
      <c r="D72" s="71" t="inlineStr">
        <is>
          <t>يقيس معدل خفض الشكاوى ضمن محور «خدمة العملاء والدعم»، ويعكس مساهمة الإدارة في ركيزة الاستدامة.</t>
        </is>
      </c>
      <c r="E72" s="11" t="inlineStr">
        <is>
          <t>(المتحقّق ÷ الإجمالي) × 100٪</t>
        </is>
      </c>
      <c r="F72" s="15" t="inlineStr">
        <is>
          <t>🎯 نتيجة</t>
        </is>
      </c>
      <c r="G72" s="11" t="inlineStr">
        <is>
          <t>الاستدامة · تعزيز تجربة العملاء</t>
        </is>
      </c>
      <c r="H72" s="15" t="inlineStr">
        <is>
          <t>العملاء</t>
        </is>
      </c>
      <c r="I72" s="59" t="n">
        <v>0.17</v>
      </c>
      <c r="J72" s="15" t="inlineStr">
        <is>
          <t>مدير التسويق</t>
        </is>
      </c>
      <c r="K72" s="11" t="inlineStr">
        <is>
          <t>سجلات الإدارة</t>
        </is>
      </c>
      <c r="L72" s="15" t="inlineStr">
        <is>
          <t>شهري</t>
        </is>
      </c>
      <c r="M72" s="15" t="inlineStr">
        <is>
          <t>مدير التسويق</t>
        </is>
      </c>
      <c r="N72" s="51" t="n"/>
    </row>
    <row r="73" ht="30" customHeight="1">
      <c r="A73" s="15" t="n">
        <v>71</v>
      </c>
      <c r="B73" s="13" t="inlineStr">
        <is>
          <t>التسويق</t>
        </is>
      </c>
      <c r="C73" s="21" t="inlineStr">
        <is>
          <t>نسبة التزام الهوية البصرية</t>
        </is>
      </c>
      <c r="D73" s="71" t="inlineStr">
        <is>
          <t>يقيس نسبة التزام الهوية البصرية ضمن محور «الدعاية والإعلان»، ويعكس مساهمة الإدارة في ركيزة الابتكار.</t>
        </is>
      </c>
      <c r="E73" s="11" t="inlineStr">
        <is>
          <t>(المتحقّق ÷ الإجمالي) × 100٪</t>
        </is>
      </c>
      <c r="F73" s="15" t="inlineStr">
        <is>
          <t>🎯 نتيجة</t>
        </is>
      </c>
      <c r="G73" s="11" t="inlineStr">
        <is>
          <t>الابتكار · تطوير التصاميم والهوية</t>
        </is>
      </c>
      <c r="H73" s="15" t="inlineStr">
        <is>
          <t>التعلّم والنمو</t>
        </is>
      </c>
      <c r="I73" s="59" t="n">
        <v>0.25</v>
      </c>
      <c r="J73" s="15" t="inlineStr">
        <is>
          <t>مدير التسويق</t>
        </is>
      </c>
      <c r="K73" s="11" t="inlineStr">
        <is>
          <t>سجلات الإدارة</t>
        </is>
      </c>
      <c r="L73" s="15" t="inlineStr">
        <is>
          <t>شهري</t>
        </is>
      </c>
      <c r="M73" s="15" t="inlineStr">
        <is>
          <t>مدير التسويق</t>
        </is>
      </c>
      <c r="N73" s="51" t="n"/>
    </row>
    <row r="74" ht="30" customHeight="1">
      <c r="A74" s="15" t="n">
        <v>72</v>
      </c>
      <c r="B74" s="13" t="inlineStr">
        <is>
          <t>التسويق</t>
        </is>
      </c>
      <c r="C74" s="21" t="inlineStr">
        <is>
          <t>عدد تنزيلات التطبيق</t>
        </is>
      </c>
      <c r="D74" s="71" t="inlineStr">
        <is>
          <t>يقيس عدد تنزيلات التطبيق ضمن محور «تطبيق تانكي»، ويعكس مساهمة الإدارة في ركيزة الابتكار.</t>
        </is>
      </c>
      <c r="E74" s="11" t="inlineStr">
        <is>
          <t>إجمالي العدد خلال الفترة</t>
        </is>
      </c>
      <c r="F74" s="15" t="inlineStr">
        <is>
          <t>⚙️ نشاط</t>
        </is>
      </c>
      <c r="G74" s="11" t="inlineStr">
        <is>
          <t>الابتكار · تطبيق «تانكي»</t>
        </is>
      </c>
      <c r="H74" s="15" t="inlineStr">
        <is>
          <t>التعلّم والنمو</t>
        </is>
      </c>
      <c r="I74" s="59" t="n">
        <v>0.17</v>
      </c>
      <c r="J74" s="15" t="inlineStr">
        <is>
          <t>مدير التسويق</t>
        </is>
      </c>
      <c r="K74" s="11" t="inlineStr">
        <is>
          <t>أنظمة التسويق الرقمي / تانكي</t>
        </is>
      </c>
      <c r="L74" s="15" t="inlineStr">
        <is>
          <t>شهري</t>
        </is>
      </c>
      <c r="M74" s="15" t="inlineStr">
        <is>
          <t>مدير التسويق</t>
        </is>
      </c>
      <c r="N74" s="51" t="n"/>
    </row>
    <row r="75" ht="30" customHeight="1">
      <c r="A75" s="15" t="n">
        <v>73</v>
      </c>
      <c r="B75" s="13" t="inlineStr">
        <is>
          <t>التسويق</t>
        </is>
      </c>
      <c r="C75" s="21" t="inlineStr">
        <is>
          <t>عدد شراكات التطبيق</t>
        </is>
      </c>
      <c r="D75" s="71" t="inlineStr">
        <is>
          <t>يقيس عدد شراكات التطبيق ضمن محور «تطبيق تانكي»، ويعكس مساهمة الإدارة في ركيزة الابتكار.</t>
        </is>
      </c>
      <c r="E75" s="11" t="inlineStr">
        <is>
          <t>إجمالي العدد خلال الفترة</t>
        </is>
      </c>
      <c r="F75" s="15" t="inlineStr">
        <is>
          <t>⚙️ نشاط</t>
        </is>
      </c>
      <c r="G75" s="11" t="inlineStr">
        <is>
          <t>الابتكار · تطبيق «تانكي»</t>
        </is>
      </c>
      <c r="H75" s="15" t="inlineStr">
        <is>
          <t>العمليات الداخلية</t>
        </is>
      </c>
      <c r="I75" s="59" t="n">
        <v>0.16</v>
      </c>
      <c r="J75" s="15" t="inlineStr">
        <is>
          <t>مدير التسويق</t>
        </is>
      </c>
      <c r="K75" s="11" t="inlineStr">
        <is>
          <t>أنظمة التسويق الرقمي / تانكي</t>
        </is>
      </c>
      <c r="L75" s="15" t="inlineStr">
        <is>
          <t>شهري</t>
        </is>
      </c>
      <c r="M75" s="15" t="inlineStr">
        <is>
          <t>مدير التسويق</t>
        </is>
      </c>
      <c r="N75" s="51" t="n"/>
    </row>
    <row r="76" ht="30" customHeight="1">
      <c r="A76" s="15" t="n">
        <v>74</v>
      </c>
      <c r="B76" s="13" t="inlineStr">
        <is>
          <t>الجودة</t>
        </is>
      </c>
      <c r="C76" s="21" t="inlineStr"/>
      <c r="D76" s="71" t="inlineStr">
        <is>
          <t>يقيس  ضمن محور «»، ويعكس مساهمة الإدارة في ركيزة الاستدامة.</t>
        </is>
      </c>
      <c r="E76" s="11" t="inlineStr">
        <is>
          <t>(المتحقّق ÷ الإجمالي) × 100٪</t>
        </is>
      </c>
      <c r="F76" s="15" t="inlineStr">
        <is>
          <t>🔧 تشغيلي</t>
        </is>
      </c>
      <c r="G76" s="11" t="inlineStr">
        <is>
          <t>الاستدامة · جودة التشغيل</t>
        </is>
      </c>
      <c r="H76" s="15" t="inlineStr">
        <is>
          <t>العمليات الداخلية</t>
        </is>
      </c>
      <c r="I76" s="59" t="n">
        <v>0.07000000000000001</v>
      </c>
      <c r="J76" s="15" t="inlineStr">
        <is>
          <t>مدير الجودة</t>
        </is>
      </c>
      <c r="K76" s="11" t="inlineStr">
        <is>
          <t>سجلات الإدارة</t>
        </is>
      </c>
      <c r="L76" s="15" t="inlineStr">
        <is>
          <t>شهري</t>
        </is>
      </c>
      <c r="M76" s="15" t="inlineStr">
        <is>
          <t>مدير الجودة</t>
        </is>
      </c>
      <c r="N76" s="51" t="n"/>
    </row>
    <row r="77" ht="30" customHeight="1">
      <c r="A77" s="15" t="n">
        <v>75</v>
      </c>
      <c r="B77" s="13" t="inlineStr">
        <is>
          <t>الجودة</t>
        </is>
      </c>
      <c r="C77" s="21" t="inlineStr"/>
      <c r="D77" s="71" t="inlineStr">
        <is>
          <t>يقيس  ضمن محور «»، ويعكس مساهمة الإدارة في ركيزة الاستدامة.</t>
        </is>
      </c>
      <c r="E77" s="11" t="inlineStr">
        <is>
          <t>(المتحقّق ÷ الإجمالي) × 100٪</t>
        </is>
      </c>
      <c r="F77" s="15" t="inlineStr">
        <is>
          <t>🔧 تشغيلي</t>
        </is>
      </c>
      <c r="G77" s="11" t="inlineStr">
        <is>
          <t>الاستدامة · جودة التشغيل</t>
        </is>
      </c>
      <c r="H77" s="15" t="inlineStr">
        <is>
          <t>العمليات الداخلية</t>
        </is>
      </c>
      <c r="I77" s="59" t="n">
        <v>0.07000000000000001</v>
      </c>
      <c r="J77" s="15" t="inlineStr">
        <is>
          <t>مدير الجودة</t>
        </is>
      </c>
      <c r="K77" s="11" t="inlineStr">
        <is>
          <t>سجلات الإدارة</t>
        </is>
      </c>
      <c r="L77" s="15" t="inlineStr">
        <is>
          <t>شهري</t>
        </is>
      </c>
      <c r="M77" s="15" t="inlineStr">
        <is>
          <t>مدير الجودة</t>
        </is>
      </c>
      <c r="N77" s="51" t="n"/>
    </row>
    <row r="78" ht="30" customHeight="1">
      <c r="A78" s="15" t="n">
        <v>76</v>
      </c>
      <c r="B78" s="13" t="inlineStr">
        <is>
          <t>الجودة</t>
        </is>
      </c>
      <c r="C78" s="21" t="inlineStr"/>
      <c r="D78" s="71" t="inlineStr">
        <is>
          <t>يقيس  ضمن محور «»، ويعكس مساهمة الإدارة في ركيزة الاستدامة.</t>
        </is>
      </c>
      <c r="E78" s="11" t="inlineStr">
        <is>
          <t>(المتحقّق ÷ الإجمالي) × 100٪</t>
        </is>
      </c>
      <c r="F78" s="15" t="inlineStr">
        <is>
          <t>🔧 تشغيلي</t>
        </is>
      </c>
      <c r="G78" s="11" t="inlineStr">
        <is>
          <t>الاستدامة · جودة التشغيل</t>
        </is>
      </c>
      <c r="H78" s="15" t="inlineStr">
        <is>
          <t>العمليات الداخلية</t>
        </is>
      </c>
      <c r="I78" s="59" t="n">
        <v>0.07000000000000001</v>
      </c>
      <c r="J78" s="15" t="inlineStr">
        <is>
          <t>مدير الجودة</t>
        </is>
      </c>
      <c r="K78" s="11" t="inlineStr">
        <is>
          <t>سجلات الإدارة</t>
        </is>
      </c>
      <c r="L78" s="15" t="inlineStr">
        <is>
          <t>شهري</t>
        </is>
      </c>
      <c r="M78" s="15" t="inlineStr">
        <is>
          <t>مدير الجودة</t>
        </is>
      </c>
      <c r="N78" s="51" t="n"/>
    </row>
    <row r="79" ht="30" customHeight="1">
      <c r="A79" s="15" t="n">
        <v>77</v>
      </c>
      <c r="B79" s="13" t="inlineStr">
        <is>
          <t>الجودة</t>
        </is>
      </c>
      <c r="C79" s="21" t="inlineStr"/>
      <c r="D79" s="71" t="inlineStr">
        <is>
          <t>يقيس  ضمن محور «»، ويعكس مساهمة الإدارة في ركيزة الاستدامة.</t>
        </is>
      </c>
      <c r="E79" s="11" t="inlineStr">
        <is>
          <t>(المتحقّق ÷ الإجمالي) × 100٪</t>
        </is>
      </c>
      <c r="F79" s="15" t="inlineStr">
        <is>
          <t>🔧 تشغيلي</t>
        </is>
      </c>
      <c r="G79" s="11" t="inlineStr">
        <is>
          <t>الاستدامة · جودة التشغيل</t>
        </is>
      </c>
      <c r="H79" s="15" t="inlineStr">
        <is>
          <t>العمليات الداخلية</t>
        </is>
      </c>
      <c r="I79" s="59" t="n">
        <v>0.07000000000000001</v>
      </c>
      <c r="J79" s="15" t="inlineStr">
        <is>
          <t>مدير الجودة</t>
        </is>
      </c>
      <c r="K79" s="11" t="inlineStr">
        <is>
          <t>سجلات الإدارة</t>
        </is>
      </c>
      <c r="L79" s="15" t="inlineStr">
        <is>
          <t>شهري</t>
        </is>
      </c>
      <c r="M79" s="15" t="inlineStr">
        <is>
          <t>مدير الجودة</t>
        </is>
      </c>
      <c r="N79" s="51" t="n"/>
    </row>
    <row r="80" ht="30" customHeight="1">
      <c r="A80" s="15" t="n">
        <v>78</v>
      </c>
      <c r="B80" s="13" t="inlineStr">
        <is>
          <t>الجودة</t>
        </is>
      </c>
      <c r="C80" s="21" t="inlineStr"/>
      <c r="D80" s="71" t="inlineStr">
        <is>
          <t>يقيس  ضمن محور «»، ويعكس مساهمة الإدارة في ركيزة الاستدامة.</t>
        </is>
      </c>
      <c r="E80" s="11" t="inlineStr">
        <is>
          <t>(المتحقّق ÷ الإجمالي) × 100٪</t>
        </is>
      </c>
      <c r="F80" s="15" t="inlineStr">
        <is>
          <t>🔧 تشغيلي</t>
        </is>
      </c>
      <c r="G80" s="11" t="inlineStr">
        <is>
          <t>الاستدامة · جودة التشغيل</t>
        </is>
      </c>
      <c r="H80" s="15" t="inlineStr">
        <is>
          <t>العمليات الداخلية</t>
        </is>
      </c>
      <c r="I80" s="59" t="n">
        <v>0.07000000000000001</v>
      </c>
      <c r="J80" s="15" t="inlineStr">
        <is>
          <t>مدير الجودة</t>
        </is>
      </c>
      <c r="K80" s="11" t="inlineStr">
        <is>
          <t>سجلات الإدارة</t>
        </is>
      </c>
      <c r="L80" s="15" t="inlineStr">
        <is>
          <t>شهري</t>
        </is>
      </c>
      <c r="M80" s="15" t="inlineStr">
        <is>
          <t>مدير الجودة</t>
        </is>
      </c>
      <c r="N80" s="51" t="n"/>
    </row>
    <row r="81" ht="30" customHeight="1">
      <c r="A81" s="15" t="n">
        <v>79</v>
      </c>
      <c r="B81" s="13" t="inlineStr">
        <is>
          <t>الجودة</t>
        </is>
      </c>
      <c r="C81" s="21" t="inlineStr"/>
      <c r="D81" s="71" t="inlineStr">
        <is>
          <t>يقيس  ضمن محور «»، ويعكس مساهمة الإدارة في ركيزة الاستدامة.</t>
        </is>
      </c>
      <c r="E81" s="11" t="inlineStr">
        <is>
          <t>(المتحقّق ÷ الإجمالي) × 100٪</t>
        </is>
      </c>
      <c r="F81" s="15" t="inlineStr">
        <is>
          <t>🔧 تشغيلي</t>
        </is>
      </c>
      <c r="G81" s="11" t="inlineStr">
        <is>
          <t>الاستدامة · جودة التشغيل</t>
        </is>
      </c>
      <c r="H81" s="15" t="inlineStr">
        <is>
          <t>العمليات الداخلية</t>
        </is>
      </c>
      <c r="I81" s="59" t="n">
        <v>0.07000000000000001</v>
      </c>
      <c r="J81" s="15" t="inlineStr">
        <is>
          <t>مدير الجودة</t>
        </is>
      </c>
      <c r="K81" s="11" t="inlineStr">
        <is>
          <t>سجلات الإدارة</t>
        </is>
      </c>
      <c r="L81" s="15" t="inlineStr">
        <is>
          <t>شهري</t>
        </is>
      </c>
      <c r="M81" s="15" t="inlineStr">
        <is>
          <t>مدير الجودة</t>
        </is>
      </c>
      <c r="N81" s="51" t="n"/>
    </row>
    <row r="82" ht="30" customHeight="1">
      <c r="A82" s="15" t="n">
        <v>80</v>
      </c>
      <c r="B82" s="13" t="inlineStr">
        <is>
          <t>الجودة</t>
        </is>
      </c>
      <c r="C82" s="21" t="inlineStr"/>
      <c r="D82" s="71" t="inlineStr">
        <is>
          <t>يقيس  ضمن محور «»، ويعكس مساهمة الإدارة في ركيزة الاستدامة.</t>
        </is>
      </c>
      <c r="E82" s="11" t="inlineStr">
        <is>
          <t>(المتحقّق ÷ الإجمالي) × 100٪</t>
        </is>
      </c>
      <c r="F82" s="15" t="inlineStr">
        <is>
          <t>🔧 تشغيلي</t>
        </is>
      </c>
      <c r="G82" s="11" t="inlineStr">
        <is>
          <t>الاستدامة · جودة التشغيل</t>
        </is>
      </c>
      <c r="H82" s="15" t="inlineStr">
        <is>
          <t>العمليات الداخلية</t>
        </is>
      </c>
      <c r="I82" s="59" t="n">
        <v>0.07000000000000001</v>
      </c>
      <c r="J82" s="15" t="inlineStr">
        <is>
          <t>مدير الجودة</t>
        </is>
      </c>
      <c r="K82" s="11" t="inlineStr">
        <is>
          <t>سجلات الإدارة</t>
        </is>
      </c>
      <c r="L82" s="15" t="inlineStr">
        <is>
          <t>شهري</t>
        </is>
      </c>
      <c r="M82" s="15" t="inlineStr">
        <is>
          <t>مدير الجودة</t>
        </is>
      </c>
      <c r="N82" s="51" t="n"/>
    </row>
    <row r="83" ht="30" customHeight="1">
      <c r="A83" s="15" t="n">
        <v>81</v>
      </c>
      <c r="B83" s="13" t="inlineStr">
        <is>
          <t>الجودة</t>
        </is>
      </c>
      <c r="C83" s="21" t="inlineStr"/>
      <c r="D83" s="71" t="inlineStr">
        <is>
          <t>يقيس  ضمن محور «»، ويعكس مساهمة الإدارة في ركيزة الاستدامة.</t>
        </is>
      </c>
      <c r="E83" s="11" t="inlineStr">
        <is>
          <t>(المتحقّق ÷ الإجمالي) × 100٪</t>
        </is>
      </c>
      <c r="F83" s="15" t="inlineStr">
        <is>
          <t>🔧 تشغيلي</t>
        </is>
      </c>
      <c r="G83" s="11" t="inlineStr">
        <is>
          <t>الاستدامة · جودة التشغيل</t>
        </is>
      </c>
      <c r="H83" s="15" t="inlineStr">
        <is>
          <t>العمليات الداخلية</t>
        </is>
      </c>
      <c r="I83" s="59" t="n">
        <v>0.07000000000000001</v>
      </c>
      <c r="J83" s="15" t="inlineStr">
        <is>
          <t>مدير الجودة</t>
        </is>
      </c>
      <c r="K83" s="11" t="inlineStr">
        <is>
          <t>سجلات الإدارة</t>
        </is>
      </c>
      <c r="L83" s="15" t="inlineStr">
        <is>
          <t>شهري</t>
        </is>
      </c>
      <c r="M83" s="15" t="inlineStr">
        <is>
          <t>مدير الجودة</t>
        </is>
      </c>
      <c r="N83" s="51" t="n"/>
    </row>
    <row r="84" ht="30" customHeight="1">
      <c r="A84" s="15" t="n">
        <v>82</v>
      </c>
      <c r="B84" s="13" t="inlineStr">
        <is>
          <t>الجودة</t>
        </is>
      </c>
      <c r="C84" s="21" t="inlineStr"/>
      <c r="D84" s="71" t="inlineStr">
        <is>
          <t>يقيس  ضمن محور «»، ويعكس مساهمة الإدارة في ركيزة الاستدامة.</t>
        </is>
      </c>
      <c r="E84" s="11" t="inlineStr">
        <is>
          <t>(المتحقّق ÷ الإجمالي) × 100٪</t>
        </is>
      </c>
      <c r="F84" s="15" t="inlineStr">
        <is>
          <t>🔧 تشغيلي</t>
        </is>
      </c>
      <c r="G84" s="11" t="inlineStr">
        <is>
          <t>الاستدامة · جودة التشغيل</t>
        </is>
      </c>
      <c r="H84" s="15" t="inlineStr">
        <is>
          <t>العمليات الداخلية</t>
        </is>
      </c>
      <c r="I84" s="59" t="n">
        <v>0.07000000000000001</v>
      </c>
      <c r="J84" s="15" t="inlineStr">
        <is>
          <t>مدير الجودة</t>
        </is>
      </c>
      <c r="K84" s="11" t="inlineStr">
        <is>
          <t>سجلات الإدارة</t>
        </is>
      </c>
      <c r="L84" s="15" t="inlineStr">
        <is>
          <t>شهري</t>
        </is>
      </c>
      <c r="M84" s="15" t="inlineStr">
        <is>
          <t>مدير الجودة</t>
        </is>
      </c>
      <c r="N84" s="51" t="n"/>
    </row>
    <row r="85" ht="30" customHeight="1">
      <c r="A85" s="15" t="n">
        <v>83</v>
      </c>
      <c r="B85" s="13" t="inlineStr">
        <is>
          <t>الجودة</t>
        </is>
      </c>
      <c r="C85" s="21" t="inlineStr"/>
      <c r="D85" s="71" t="inlineStr">
        <is>
          <t>يقيس  ضمن محور «»، ويعكس مساهمة الإدارة في ركيزة الاستدامة.</t>
        </is>
      </c>
      <c r="E85" s="11" t="inlineStr">
        <is>
          <t>(المتحقّق ÷ الإجمالي) × 100٪</t>
        </is>
      </c>
      <c r="F85" s="15" t="inlineStr">
        <is>
          <t>🔧 تشغيلي</t>
        </is>
      </c>
      <c r="G85" s="11" t="inlineStr">
        <is>
          <t>الاستدامة · جودة التشغيل</t>
        </is>
      </c>
      <c r="H85" s="15" t="inlineStr">
        <is>
          <t>العمليات الداخلية</t>
        </is>
      </c>
      <c r="I85" s="59" t="n">
        <v>0.07000000000000001</v>
      </c>
      <c r="J85" s="15" t="inlineStr">
        <is>
          <t>مدير الجودة</t>
        </is>
      </c>
      <c r="K85" s="11" t="inlineStr">
        <is>
          <t>سجلات الإدارة</t>
        </is>
      </c>
      <c r="L85" s="15" t="inlineStr">
        <is>
          <t>شهري</t>
        </is>
      </c>
      <c r="M85" s="15" t="inlineStr">
        <is>
          <t>مدير الجودة</t>
        </is>
      </c>
      <c r="N85" s="51" t="n"/>
    </row>
    <row r="86" ht="30" customHeight="1">
      <c r="A86" s="15" t="n">
        <v>84</v>
      </c>
      <c r="B86" s="13" t="inlineStr">
        <is>
          <t>الجودة</t>
        </is>
      </c>
      <c r="C86" s="21" t="inlineStr"/>
      <c r="D86" s="71" t="inlineStr">
        <is>
          <t>يقيس  ضمن محور «»، ويعكس مساهمة الإدارة في ركيزة الاستدامة.</t>
        </is>
      </c>
      <c r="E86" s="11" t="inlineStr">
        <is>
          <t>(المتحقّق ÷ الإجمالي) × 100٪</t>
        </is>
      </c>
      <c r="F86" s="15" t="inlineStr">
        <is>
          <t>🔧 تشغيلي</t>
        </is>
      </c>
      <c r="G86" s="11" t="inlineStr">
        <is>
          <t>الاستدامة · جودة التشغيل</t>
        </is>
      </c>
      <c r="H86" s="15" t="inlineStr">
        <is>
          <t>العمليات الداخلية</t>
        </is>
      </c>
      <c r="I86" s="59" t="n">
        <v>0.06</v>
      </c>
      <c r="J86" s="15" t="inlineStr">
        <is>
          <t>مدير الجودة</t>
        </is>
      </c>
      <c r="K86" s="11" t="inlineStr">
        <is>
          <t>سجلات الإدارة</t>
        </is>
      </c>
      <c r="L86" s="15" t="inlineStr">
        <is>
          <t>شهري</t>
        </is>
      </c>
      <c r="M86" s="15" t="inlineStr">
        <is>
          <t>مدير الجودة</t>
        </is>
      </c>
      <c r="N86" s="51" t="n"/>
    </row>
    <row r="87" ht="30" customHeight="1">
      <c r="A87" s="15" t="n">
        <v>85</v>
      </c>
      <c r="B87" s="13" t="inlineStr">
        <is>
          <t>الجودة</t>
        </is>
      </c>
      <c r="C87" s="21" t="inlineStr"/>
      <c r="D87" s="71" t="inlineStr">
        <is>
          <t>يقيس  ضمن محور «»، ويعكس مساهمة الإدارة في ركيزة الاستدامة.</t>
        </is>
      </c>
      <c r="E87" s="11" t="inlineStr">
        <is>
          <t>(المتحقّق ÷ الإجمالي) × 100٪</t>
        </is>
      </c>
      <c r="F87" s="15" t="inlineStr">
        <is>
          <t>🔧 تشغيلي</t>
        </is>
      </c>
      <c r="G87" s="11" t="inlineStr">
        <is>
          <t>الاستدامة · جودة التشغيل</t>
        </is>
      </c>
      <c r="H87" s="15" t="inlineStr">
        <is>
          <t>العمليات الداخلية</t>
        </is>
      </c>
      <c r="I87" s="59" t="n">
        <v>0.06</v>
      </c>
      <c r="J87" s="15" t="inlineStr">
        <is>
          <t>مدير الجودة</t>
        </is>
      </c>
      <c r="K87" s="11" t="inlineStr">
        <is>
          <t>سجلات الإدارة</t>
        </is>
      </c>
      <c r="L87" s="15" t="inlineStr">
        <is>
          <t>شهري</t>
        </is>
      </c>
      <c r="M87" s="15" t="inlineStr">
        <is>
          <t>مدير الجودة</t>
        </is>
      </c>
      <c r="N87" s="51" t="n"/>
    </row>
    <row r="88" ht="30" customHeight="1">
      <c r="A88" s="15" t="n">
        <v>86</v>
      </c>
      <c r="B88" s="13" t="inlineStr">
        <is>
          <t>الجودة</t>
        </is>
      </c>
      <c r="C88" s="21" t="inlineStr"/>
      <c r="D88" s="71" t="inlineStr">
        <is>
          <t>يقيس  ضمن محور «»، ويعكس مساهمة الإدارة في ركيزة الاستدامة.</t>
        </is>
      </c>
      <c r="E88" s="11" t="inlineStr">
        <is>
          <t>(المتحقّق ÷ الإجمالي) × 100٪</t>
        </is>
      </c>
      <c r="F88" s="15" t="inlineStr">
        <is>
          <t>🔧 تشغيلي</t>
        </is>
      </c>
      <c r="G88" s="11" t="inlineStr">
        <is>
          <t>الاستدامة · جودة التشغيل</t>
        </is>
      </c>
      <c r="H88" s="15" t="inlineStr">
        <is>
          <t>العمليات الداخلية</t>
        </is>
      </c>
      <c r="I88" s="59" t="n">
        <v>0.06</v>
      </c>
      <c r="J88" s="15" t="inlineStr">
        <is>
          <t>مدير الجودة</t>
        </is>
      </c>
      <c r="K88" s="11" t="inlineStr">
        <is>
          <t>سجلات الإدارة</t>
        </is>
      </c>
      <c r="L88" s="15" t="inlineStr">
        <is>
          <t>شهري</t>
        </is>
      </c>
      <c r="M88" s="15" t="inlineStr">
        <is>
          <t>مدير الجودة</t>
        </is>
      </c>
      <c r="N88" s="51" t="n"/>
    </row>
    <row r="89" ht="30" customHeight="1">
      <c r="A89" s="15" t="n">
        <v>87</v>
      </c>
      <c r="B89" s="13" t="inlineStr">
        <is>
          <t>الجودة</t>
        </is>
      </c>
      <c r="C89" s="21" t="inlineStr"/>
      <c r="D89" s="71" t="inlineStr">
        <is>
          <t>يقيس  ضمن محور «»، ويعكس مساهمة الإدارة في ركيزة الاستدامة.</t>
        </is>
      </c>
      <c r="E89" s="11" t="inlineStr">
        <is>
          <t>(المتحقّق ÷ الإجمالي) × 100٪</t>
        </is>
      </c>
      <c r="F89" s="15" t="inlineStr">
        <is>
          <t>🔧 تشغيلي</t>
        </is>
      </c>
      <c r="G89" s="11" t="inlineStr">
        <is>
          <t>الاستدامة · جودة التشغيل</t>
        </is>
      </c>
      <c r="H89" s="15" t="inlineStr">
        <is>
          <t>العمليات الداخلية</t>
        </is>
      </c>
      <c r="I89" s="59" t="n">
        <v>0.06</v>
      </c>
      <c r="J89" s="15" t="inlineStr">
        <is>
          <t>مدير الجودة</t>
        </is>
      </c>
      <c r="K89" s="11" t="inlineStr">
        <is>
          <t>سجلات الإدارة</t>
        </is>
      </c>
      <c r="L89" s="15" t="inlineStr">
        <is>
          <t>شهري</t>
        </is>
      </c>
      <c r="M89" s="15" t="inlineStr">
        <is>
          <t>مدير الجودة</t>
        </is>
      </c>
      <c r="N89" s="51" t="n"/>
    </row>
    <row r="90" ht="30" customHeight="1">
      <c r="A90" s="15" t="n">
        <v>88</v>
      </c>
      <c r="B90" s="13" t="inlineStr">
        <is>
          <t>الجودة</t>
        </is>
      </c>
      <c r="C90" s="21" t="inlineStr"/>
      <c r="D90" s="71" t="inlineStr">
        <is>
          <t>يقيس  ضمن محور «»، ويعكس مساهمة الإدارة في ركيزة الاستدامة.</t>
        </is>
      </c>
      <c r="E90" s="11" t="inlineStr">
        <is>
          <t>(المتحقّق ÷ الإجمالي) × 100٪</t>
        </is>
      </c>
      <c r="F90" s="15" t="inlineStr">
        <is>
          <t>🔧 تشغيلي</t>
        </is>
      </c>
      <c r="G90" s="11" t="inlineStr">
        <is>
          <t>الاستدامة · جودة التشغيل</t>
        </is>
      </c>
      <c r="H90" s="15" t="inlineStr">
        <is>
          <t>العمليات الداخلية</t>
        </is>
      </c>
      <c r="I90" s="59" t="n">
        <v>0.06</v>
      </c>
      <c r="J90" s="15" t="inlineStr">
        <is>
          <t>مدير الجودة</t>
        </is>
      </c>
      <c r="K90" s="11" t="inlineStr">
        <is>
          <t>سجلات الإدارة</t>
        </is>
      </c>
      <c r="L90" s="15" t="inlineStr">
        <is>
          <t>شهري</t>
        </is>
      </c>
      <c r="M90" s="15" t="inlineStr">
        <is>
          <t>مدير الجودة</t>
        </is>
      </c>
      <c r="N90" s="51" t="n"/>
    </row>
    <row r="91" ht="30" customHeight="1">
      <c r="A91" s="15" t="n">
        <v>89</v>
      </c>
      <c r="B91" s="13" t="inlineStr">
        <is>
          <t>الإدارة القانونية</t>
        </is>
      </c>
      <c r="C91" s="21" t="inlineStr">
        <is>
          <t>نسبة العقود المُراجَعة قانونياً قبل التوقيع</t>
        </is>
      </c>
      <c r="D91" s="71" t="inlineStr">
        <is>
          <t>يقيس نسبة العقود المُراجَعة قانونياً قبل التوقيع ضمن محور «أعمال العقود»، ويعكس مساهمة الإدارة في ركيزة الاستدامة.</t>
        </is>
      </c>
      <c r="E91" s="11" t="inlineStr">
        <is>
          <t>(المتحقّق ÷ الإجمالي) × 100٪</t>
        </is>
      </c>
      <c r="F91" s="15" t="inlineStr">
        <is>
          <t>🔧 تشغيلي</t>
        </is>
      </c>
      <c r="G91" s="11" t="inlineStr">
        <is>
          <t>الاستدامة · جودة التشغيل</t>
        </is>
      </c>
      <c r="H91" s="15" t="inlineStr">
        <is>
          <t>العمليات الداخلية</t>
        </is>
      </c>
      <c r="I91" s="59" t="n">
        <v>0.38</v>
      </c>
      <c r="J91" s="15" t="inlineStr">
        <is>
          <t>المدير القانوني</t>
        </is>
      </c>
      <c r="K91" s="11" t="inlineStr">
        <is>
          <t>نظام إدارة العقود (CRM)</t>
        </is>
      </c>
      <c r="L91" s="15" t="inlineStr">
        <is>
          <t>شهري</t>
        </is>
      </c>
      <c r="M91" s="15" t="inlineStr">
        <is>
          <t>المدير القانوني</t>
        </is>
      </c>
      <c r="N91" s="51" t="n"/>
    </row>
    <row r="92" ht="30" customHeight="1">
      <c r="A92" s="15" t="n">
        <v>90</v>
      </c>
      <c r="B92" s="13" t="inlineStr">
        <is>
          <t>الإدارة القانونية</t>
        </is>
      </c>
      <c r="C92" s="21" t="inlineStr">
        <is>
          <t>نسبة القضايا المُغلقة لصالح الشركة</t>
        </is>
      </c>
      <c r="D92" s="71" t="inlineStr">
        <is>
          <t>يقيس نسبة القضايا المُغلقة لصالح الشركة ضمن محور «أعمال القضايا»، ويعكس مساهمة الإدارة في ركيزة الاستدامة.</t>
        </is>
      </c>
      <c r="E92" s="11" t="inlineStr">
        <is>
          <t>(المتحقّق ÷ الإجمالي) × 100٪</t>
        </is>
      </c>
      <c r="F92" s="15" t="inlineStr">
        <is>
          <t>🔧 تشغيلي</t>
        </is>
      </c>
      <c r="G92" s="11" t="inlineStr">
        <is>
          <t>الاستدامة · جودة التشغيل</t>
        </is>
      </c>
      <c r="H92" s="15" t="inlineStr">
        <is>
          <t>العمليات الداخلية</t>
        </is>
      </c>
      <c r="I92" s="59" t="n">
        <v>0.25</v>
      </c>
      <c r="J92" s="15" t="inlineStr">
        <is>
          <t>المدير القانوني</t>
        </is>
      </c>
      <c r="K92" s="11" t="inlineStr">
        <is>
          <t>نظام إدارة القضايا والتحقيقات</t>
        </is>
      </c>
      <c r="L92" s="15" t="inlineStr">
        <is>
          <t>شهري</t>
        </is>
      </c>
      <c r="M92" s="15" t="inlineStr">
        <is>
          <t>المدير القانوني</t>
        </is>
      </c>
      <c r="N92" s="51" t="n"/>
    </row>
    <row r="93" ht="30" customHeight="1">
      <c r="A93" s="15" t="n">
        <v>91</v>
      </c>
      <c r="B93" s="13" t="inlineStr">
        <is>
          <t>الإدارة القانونية</t>
        </is>
      </c>
      <c r="C93" s="21" t="inlineStr">
        <is>
          <t>مستوى رضا الإدارات عن الدعم القانوني</t>
        </is>
      </c>
      <c r="D93" s="71" t="inlineStr">
        <is>
          <t>يقيس مستوى رضا الإدارات عن الدعم القانوني ضمن محور «الاستشارات القانونية»، ويعكس مساهمة الإدارة في ركيزة الاستدامة.</t>
        </is>
      </c>
      <c r="E93" s="11" t="inlineStr">
        <is>
          <t>(المتحقّق ÷ الإجمالي) × 100٪</t>
        </is>
      </c>
      <c r="F93" s="15" t="inlineStr">
        <is>
          <t>🎯 نتيجة</t>
        </is>
      </c>
      <c r="G93" s="11" t="inlineStr">
        <is>
          <t>الاستدامة · جودة التشغيل</t>
        </is>
      </c>
      <c r="H93" s="15" t="inlineStr">
        <is>
          <t>العملاء</t>
        </is>
      </c>
      <c r="I93" s="59" t="n">
        <v>0.37</v>
      </c>
      <c r="J93" s="15" t="inlineStr">
        <is>
          <t>المدير القانوني</t>
        </is>
      </c>
      <c r="K93" s="11" t="inlineStr">
        <is>
          <t>استبيان دوري</t>
        </is>
      </c>
      <c r="L93" s="15" t="inlineStr">
        <is>
          <t>ربعي</t>
        </is>
      </c>
      <c r="M93" s="15" t="inlineStr">
        <is>
          <t>المدير القانوني</t>
        </is>
      </c>
      <c r="N93" s="51" t="n"/>
    </row>
    <row r="94" ht="30" customHeight="1">
      <c r="A94" s="15" t="n">
        <v>92</v>
      </c>
      <c r="B94" s="13" t="inlineStr">
        <is>
          <t>الإدارة المالية</t>
        </is>
      </c>
      <c r="C94" s="21" t="inlineStr">
        <is>
          <t>نمو الإيرادات السنوي</t>
        </is>
      </c>
      <c r="D94" s="71" t="inlineStr">
        <is>
          <t>يقيس نمو الإيرادات السنوي ضمن محور «المالية الاستراتيجية»، ويعكس مساهمة الإدارة في ركيزة النمو.</t>
        </is>
      </c>
      <c r="E94" s="11" t="inlineStr">
        <is>
          <t>(المتحقّق ÷ الإجمالي) × 100٪</t>
        </is>
      </c>
      <c r="F94" s="15" t="inlineStr">
        <is>
          <t>🎯 نتيجة</t>
        </is>
      </c>
      <c r="G94" s="11" t="inlineStr">
        <is>
          <t>النمو · زيادة وصول العملاء</t>
        </is>
      </c>
      <c r="H94" s="15" t="inlineStr">
        <is>
          <t>مالي</t>
        </is>
      </c>
      <c r="I94" s="59" t="n">
        <v>0.22</v>
      </c>
      <c r="J94" s="15" t="inlineStr">
        <is>
          <t>المدير المالي</t>
        </is>
      </c>
      <c r="K94" s="11" t="inlineStr">
        <is>
          <t>نظام المحاسبة / ERP (D365)</t>
        </is>
      </c>
      <c r="L94" s="15" t="inlineStr">
        <is>
          <t>ربعي</t>
        </is>
      </c>
      <c r="M94" s="15" t="inlineStr">
        <is>
          <t>الإدارة المالية</t>
        </is>
      </c>
      <c r="N94" s="51" t="n"/>
    </row>
    <row r="95" ht="30" customHeight="1">
      <c r="A95" s="15" t="n">
        <v>93</v>
      </c>
      <c r="B95" s="13" t="inlineStr">
        <is>
          <t>الإدارة المالية</t>
        </is>
      </c>
      <c r="C95" s="21" t="inlineStr">
        <is>
          <t>نسبة التدفق النقدي التشغيلي</t>
        </is>
      </c>
      <c r="D95" s="71" t="inlineStr">
        <is>
          <t>يقيس نسبة التدفق النقدي التشغيلي ضمن محور «المالية الاستراتيجية»، ويعكس مساهمة الإدارة في ركيزة الاستدامة.</t>
        </is>
      </c>
      <c r="E95" s="11" t="inlineStr">
        <is>
          <t>(المتحقّق ÷ الإجمالي) × 100٪</t>
        </is>
      </c>
      <c r="F95" s="15" t="inlineStr">
        <is>
          <t>🔧 تشغيلي</t>
        </is>
      </c>
      <c r="G95" s="11" t="inlineStr">
        <is>
          <t>الاستدامة · جودة التشغيل</t>
        </is>
      </c>
      <c r="H95" s="15" t="inlineStr">
        <is>
          <t>العمليات الداخلية</t>
        </is>
      </c>
      <c r="I95" s="59" t="n">
        <v>0.14</v>
      </c>
      <c r="J95" s="15" t="inlineStr">
        <is>
          <t>المدير المالي</t>
        </is>
      </c>
      <c r="K95" s="11" t="inlineStr">
        <is>
          <t>نظام المحاسبة / ERP (D365)</t>
        </is>
      </c>
      <c r="L95" s="15" t="inlineStr">
        <is>
          <t>شهري</t>
        </is>
      </c>
      <c r="M95" s="15" t="inlineStr">
        <is>
          <t>الإدارة المالية</t>
        </is>
      </c>
      <c r="N95" s="51" t="n"/>
    </row>
    <row r="96" ht="30" customHeight="1">
      <c r="A96" s="15" t="n">
        <v>94</v>
      </c>
      <c r="B96" s="13" t="inlineStr">
        <is>
          <t>الإدارة المالية</t>
        </is>
      </c>
      <c r="C96" s="21" t="inlineStr">
        <is>
          <t>نسبة التحصيل العام (الشركة)</t>
        </is>
      </c>
      <c r="D96" s="71" t="inlineStr">
        <is>
          <t>يقيس نسبة التحصيل العام (الشركة) ضمن محور «الذمم المدينة»، ويعكس مساهمة الإدارة في ركيزة الاستدامة.</t>
        </is>
      </c>
      <c r="E96" s="11" t="inlineStr">
        <is>
          <t>(المتحقّق ÷ الإجمالي) × 100٪</t>
        </is>
      </c>
      <c r="F96" s="15" t="inlineStr">
        <is>
          <t>🎯 نتيجة</t>
        </is>
      </c>
      <c r="G96" s="11" t="inlineStr">
        <is>
          <t>الاستدامة · جودة التشغيل</t>
        </is>
      </c>
      <c r="H96" s="15" t="inlineStr">
        <is>
          <t>مالي</t>
        </is>
      </c>
      <c r="I96" s="59" t="n">
        <v>0.22</v>
      </c>
      <c r="J96" s="15" t="inlineStr">
        <is>
          <t>المدير المالي</t>
        </is>
      </c>
      <c r="K96" s="11" t="inlineStr">
        <is>
          <t>نظام المحاسبة / ERP (D365)</t>
        </is>
      </c>
      <c r="L96" s="15" t="inlineStr">
        <is>
          <t>شهري</t>
        </is>
      </c>
      <c r="M96" s="15" t="inlineStr">
        <is>
          <t>الإدارة المالية</t>
        </is>
      </c>
      <c r="N96" s="51" t="n"/>
    </row>
    <row r="97" ht="30" customHeight="1">
      <c r="A97" s="15" t="n">
        <v>95</v>
      </c>
      <c r="B97" s="13" t="inlineStr">
        <is>
          <t>الإدارة المالية</t>
        </is>
      </c>
      <c r="C97" s="21" t="inlineStr">
        <is>
          <t>دقة التنبؤ النقدي</t>
        </is>
      </c>
      <c r="D97" s="71" t="inlineStr">
        <is>
          <t>يقيس دقة التنبؤ النقدي ضمن محور «الخزينة»، ويعكس مساهمة الإدارة في ركيزة الاستدامة.</t>
        </is>
      </c>
      <c r="E97" s="11" t="inlineStr">
        <is>
          <t>(المتحقّق ÷ الإجمالي) × 100٪</t>
        </is>
      </c>
      <c r="F97" s="15" t="inlineStr">
        <is>
          <t>🎯 نتيجة</t>
        </is>
      </c>
      <c r="G97" s="11" t="inlineStr">
        <is>
          <t>الاستدامة · جودة التشغيل</t>
        </is>
      </c>
      <c r="H97" s="15" t="inlineStr">
        <is>
          <t>العمليات الداخلية</t>
        </is>
      </c>
      <c r="I97" s="59" t="n">
        <v>0.14</v>
      </c>
      <c r="J97" s="15" t="inlineStr">
        <is>
          <t>المدير المالي</t>
        </is>
      </c>
      <c r="K97" s="11" t="inlineStr">
        <is>
          <t>نظام المحاسبة / ERP (D365)</t>
        </is>
      </c>
      <c r="L97" s="15" t="inlineStr">
        <is>
          <t>شهري</t>
        </is>
      </c>
      <c r="M97" s="15" t="inlineStr">
        <is>
          <t>الإدارة المالية</t>
        </is>
      </c>
      <c r="N97" s="51" t="n"/>
    </row>
    <row r="98" ht="30" customHeight="1">
      <c r="A98" s="15" t="n">
        <v>96</v>
      </c>
      <c r="B98" s="13" t="inlineStr">
        <is>
          <t>الإدارة المالية</t>
        </is>
      </c>
      <c r="C98" s="21" t="inlineStr">
        <is>
          <t>دقة تسوية أرامكو</t>
        </is>
      </c>
      <c r="D98" s="71" t="inlineStr">
        <is>
          <t>يقيس دقة تسوية أرامكو ضمن محور «صناعة الوقود»، ويعكس مساهمة الإدارة في ركيزة الاستدامة.</t>
        </is>
      </c>
      <c r="E98" s="11" t="inlineStr">
        <is>
          <t>(المتحقّق ÷ الإجمالي) × 100٪</t>
        </is>
      </c>
      <c r="F98" s="15" t="inlineStr">
        <is>
          <t>🎯 نتيجة</t>
        </is>
      </c>
      <c r="G98" s="11" t="inlineStr">
        <is>
          <t>الاستدامة · جودة التشغيل</t>
        </is>
      </c>
      <c r="H98" s="15" t="inlineStr">
        <is>
          <t>العمليات الداخلية</t>
        </is>
      </c>
      <c r="I98" s="59" t="n">
        <v>0.14</v>
      </c>
      <c r="J98" s="15" t="inlineStr">
        <is>
          <t>المدير المالي</t>
        </is>
      </c>
      <c r="K98" s="11" t="inlineStr">
        <is>
          <t>نظام تشغيل المحطات</t>
        </is>
      </c>
      <c r="L98" s="15" t="inlineStr">
        <is>
          <t>شهري</t>
        </is>
      </c>
      <c r="M98" s="15" t="inlineStr">
        <is>
          <t>المدير المالي</t>
        </is>
      </c>
      <c r="N98" s="51" t="n"/>
    </row>
    <row r="99" ht="30" customHeight="1">
      <c r="A99" s="15" t="n">
        <v>97</v>
      </c>
      <c r="B99" s="13" t="inlineStr">
        <is>
          <t>الإدارة المالية</t>
        </is>
      </c>
      <c r="C99" s="21" t="inlineStr">
        <is>
          <t>انحراف الموازنة</t>
        </is>
      </c>
      <c r="D99" s="71" t="inlineStr">
        <is>
          <t>يقيس انحراف الموازنة ضمن محور «الموازنة والتقارير»، ويعكس مساهمة الإدارة في ركيزة الاستدامة.</t>
        </is>
      </c>
      <c r="E99" s="11" t="inlineStr">
        <is>
          <t>(المتحقّق ÷ الإجمالي) × 100٪</t>
        </is>
      </c>
      <c r="F99" s="15" t="inlineStr">
        <is>
          <t>🔧 تشغيلي</t>
        </is>
      </c>
      <c r="G99" s="11" t="inlineStr">
        <is>
          <t>الاستدامة · جودة التشغيل</t>
        </is>
      </c>
      <c r="H99" s="15" t="inlineStr">
        <is>
          <t>العمليات الداخلية</t>
        </is>
      </c>
      <c r="I99" s="59" t="n">
        <v>0.14</v>
      </c>
      <c r="J99" s="15" t="inlineStr">
        <is>
          <t>المدير المالي</t>
        </is>
      </c>
      <c r="K99" s="11" t="inlineStr">
        <is>
          <t>نظام المحاسبة / ERP (D365)</t>
        </is>
      </c>
      <c r="L99" s="15" t="inlineStr">
        <is>
          <t>ربعي</t>
        </is>
      </c>
      <c r="M99" s="15" t="inlineStr">
        <is>
          <t>الإدارة المالية</t>
        </is>
      </c>
      <c r="N99" s="51" t="n"/>
    </row>
  </sheetData>
  <autoFilter ref="A2:N99"/>
  <mergeCells count="1">
    <mergeCell ref="A1:N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R13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الإدارة التنفيذية · مؤشرات الأداء 2026</t>
        </is>
      </c>
    </row>
    <row r="2">
      <c r="A2" s="72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21" t="inlineStr">
        <is>
          <t>النمو</t>
        </is>
      </c>
      <c r="C4" s="21" t="inlineStr">
        <is>
          <t>إجمالي المحطات المشغّلة — الشركة (تراكمي)</t>
        </is>
      </c>
      <c r="D4" s="49" t="inlineStr">
        <is>
          <t>محطة</t>
        </is>
      </c>
      <c r="E4" s="49" t="inlineStr">
        <is>
          <t>↑</t>
        </is>
      </c>
      <c r="F4" s="15" t="inlineStr">
        <is>
          <t>🔴 رئيسي</t>
        </is>
      </c>
      <c r="G4" s="59" t="n">
        <v>0.12</v>
      </c>
      <c r="H4" s="55" t="n">
        <v>235</v>
      </c>
      <c r="I4" s="22" t="inlineStr">
        <is>
          <t>≥ 235 محطة</t>
        </is>
      </c>
      <c r="J4" s="73" t="inlineStr">
        <is>
          <t>النمو</t>
        </is>
      </c>
      <c r="K4" s="11" t="inlineStr">
        <is>
          <t>التوسع في المواقع</t>
        </is>
      </c>
      <c r="L4" s="15" t="inlineStr">
        <is>
          <t>العمليات الداخلية</t>
        </is>
      </c>
      <c r="M4" s="56" t="n">
        <v>206.1</v>
      </c>
      <c r="N4" s="10">
        <f>IF($H4="","",IF($M4="","",MIN(1,IF($H4=0,IF($M4&lt;=0,1,0),IF($E4="↓",IFERROR($H4/$M4,0),IFERROR($M4/$H4,0))))))</f>
        <v/>
      </c>
      <c r="O4" s="20">
        <f>IF($N4="","⏳ بانتظار هدف",IF($N4&gt;=1.0,"✅ محقق",IF($N4&gt;=0.85,"🟡 قريب","🔴 تحت الهدف")))</f>
        <v/>
      </c>
      <c r="P4" s="74" t="inlineStr">
        <is>
          <t>مجموع «المحطات المشغّلة — الشركة» خلال الفترة</t>
        </is>
      </c>
      <c r="Q4" s="74" t="inlineStr">
        <is>
          <t>نظام تشغيل المحطات</t>
        </is>
      </c>
      <c r="R4" s="15" t="inlineStr">
        <is>
          <t>شهري</t>
        </is>
      </c>
    </row>
    <row r="5" ht="26" customHeight="1">
      <c r="A5" s="20" t="n">
        <v>2</v>
      </c>
      <c r="B5" s="21" t="inlineStr">
        <is>
          <t>النمو</t>
        </is>
      </c>
      <c r="C5" s="21" t="inlineStr">
        <is>
          <t>إجمالي العقود الجديدة — الشركة</t>
        </is>
      </c>
      <c r="D5" s="49" t="inlineStr">
        <is>
          <t>عقد</t>
        </is>
      </c>
      <c r="E5" s="49" t="inlineStr">
        <is>
          <t>↑</t>
        </is>
      </c>
      <c r="F5" s="15" t="inlineStr">
        <is>
          <t>🔴 رئيسي</t>
        </is>
      </c>
      <c r="G5" s="59" t="n">
        <v>0.12</v>
      </c>
      <c r="H5" s="55" t="n">
        <v>357</v>
      </c>
      <c r="I5" s="22" t="inlineStr">
        <is>
          <t>357 عقد</t>
        </is>
      </c>
      <c r="J5" s="73" t="inlineStr">
        <is>
          <t>النمو</t>
        </is>
      </c>
      <c r="K5" s="11" t="inlineStr">
        <is>
          <t>الامتياز التجاري</t>
        </is>
      </c>
      <c r="L5" s="15" t="inlineStr">
        <is>
          <t>العمليات الداخلية</t>
        </is>
      </c>
      <c r="M5" s="56" t="n">
        <v>346.6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74" t="inlineStr">
        <is>
          <t>مجموع «العقود الجديدة — الشركة» خلال الفترة</t>
        </is>
      </c>
      <c r="Q5" s="74" t="inlineStr">
        <is>
          <t>نظام إدارة العقود (CRM)</t>
        </is>
      </c>
      <c r="R5" s="15" t="inlineStr">
        <is>
          <t>شهري</t>
        </is>
      </c>
    </row>
    <row r="6" ht="26" customHeight="1">
      <c r="A6" s="20" t="n">
        <v>3</v>
      </c>
      <c r="B6" s="21" t="inlineStr">
        <is>
          <t>النمو</t>
        </is>
      </c>
      <c r="C6" s="21" t="inlineStr">
        <is>
          <t>نسبة نمو إيرادات الشركة (سنوي)</t>
        </is>
      </c>
      <c r="D6" s="49" t="inlineStr">
        <is>
          <t>%</t>
        </is>
      </c>
      <c r="E6" s="49" t="inlineStr">
        <is>
          <t>↑</t>
        </is>
      </c>
      <c r="F6" s="15" t="inlineStr">
        <is>
          <t>🔴 رئيسي</t>
        </is>
      </c>
      <c r="G6" s="59" t="n">
        <v>0.12</v>
      </c>
      <c r="H6" s="59" t="n">
        <v>0.15</v>
      </c>
      <c r="I6" s="22" t="inlineStr">
        <is>
          <t>≥ 15%</t>
        </is>
      </c>
      <c r="J6" s="73" t="inlineStr">
        <is>
          <t>النمو</t>
        </is>
      </c>
      <c r="K6" s="11" t="inlineStr">
        <is>
          <t>زيادة وصول العملاء</t>
        </is>
      </c>
      <c r="L6" s="15" t="inlineStr">
        <is>
          <t>مالي</t>
        </is>
      </c>
      <c r="M6" s="60" t="n">
        <v>0.122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74" t="inlineStr">
        <is>
          <t>قيمة/عدد المتحقّق من «نمو إيرادات الشركة» ÷ الإجمالي المستهدف لنفس البند × 100٪</t>
        </is>
      </c>
      <c r="Q6" s="74" t="inlineStr">
        <is>
          <t>نظام المحاسبة / ERP (D365)</t>
        </is>
      </c>
      <c r="R6" s="15" t="inlineStr">
        <is>
          <t>شهري</t>
        </is>
      </c>
    </row>
    <row r="7" ht="26" customHeight="1">
      <c r="A7" s="20" t="n">
        <v>4</v>
      </c>
      <c r="B7" s="21" t="inlineStr">
        <is>
          <t>الابتكار</t>
        </is>
      </c>
      <c r="C7" s="21" t="inlineStr">
        <is>
          <t>نسبة إنجاز مشاريع الخارطة التنفيذية</t>
        </is>
      </c>
      <c r="D7" s="49" t="inlineStr">
        <is>
          <t>%</t>
        </is>
      </c>
      <c r="E7" s="49" t="inlineStr">
        <is>
          <t>↑</t>
        </is>
      </c>
      <c r="F7" s="15" t="inlineStr">
        <is>
          <t>🟠 مهم</t>
        </is>
      </c>
      <c r="G7" s="59" t="n">
        <v>0.08</v>
      </c>
      <c r="H7" s="59" t="n">
        <v>1</v>
      </c>
      <c r="I7" s="22" t="inlineStr">
        <is>
          <t>100%</t>
        </is>
      </c>
      <c r="J7" s="73" t="inlineStr">
        <is>
          <t>الابتكار</t>
        </is>
      </c>
      <c r="K7" s="11" t="inlineStr">
        <is>
          <t>إطلاق مشاريع جديدة</t>
        </is>
      </c>
      <c r="L7" s="15" t="inlineStr">
        <is>
          <t>العمليات الداخلية</t>
        </is>
      </c>
      <c r="M7" s="60" t="n">
        <v>0.906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74" t="inlineStr">
        <is>
          <t>قيمة/عدد المتحقّق من «إنجاز مشاريع الخارطة التنفيذية» ÷ الإجمالي المستهدف لنفس البند × 100٪</t>
        </is>
      </c>
      <c r="Q7" s="74" t="inlineStr">
        <is>
          <t>سجلات الإدارة</t>
        </is>
      </c>
      <c r="R7" s="15" t="inlineStr">
        <is>
          <t>شهري</t>
        </is>
      </c>
    </row>
    <row r="8" ht="26" customHeight="1">
      <c r="A8" s="20" t="n">
        <v>5</v>
      </c>
      <c r="B8" s="21" t="inlineStr">
        <is>
          <t>الابتكار</t>
        </is>
      </c>
      <c r="C8" s="21" t="inlineStr">
        <is>
          <t>نسبة التحول الرقمي على مستوى الشركة</t>
        </is>
      </c>
      <c r="D8" s="49" t="inlineStr">
        <is>
          <t>%</t>
        </is>
      </c>
      <c r="E8" s="49" t="inlineStr">
        <is>
          <t>↑</t>
        </is>
      </c>
      <c r="F8" s="15" t="inlineStr">
        <is>
          <t>🟠 مهم</t>
        </is>
      </c>
      <c r="G8" s="59" t="n">
        <v>0.08</v>
      </c>
      <c r="H8" s="59" t="n">
        <v>0.9</v>
      </c>
      <c r="I8" s="22" t="inlineStr">
        <is>
          <t>≥ 90%</t>
        </is>
      </c>
      <c r="J8" s="73" t="inlineStr">
        <is>
          <t>الابتكار</t>
        </is>
      </c>
      <c r="K8" s="11" t="inlineStr">
        <is>
          <t>التحول التقني</t>
        </is>
      </c>
      <c r="L8" s="15" t="inlineStr">
        <is>
          <t>التعلّم والنمو</t>
        </is>
      </c>
      <c r="M8" s="60" t="n">
        <v>0.9389999999999999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74" t="inlineStr">
        <is>
          <t>قيمة/عدد المتحقّق من «التحول الرقمي على مستوى الشركة» ÷ الإجمالي المستهدف لنفس البند × 100٪</t>
        </is>
      </c>
      <c r="Q8" s="74" t="inlineStr">
        <is>
          <t>سجلات الإدارة</t>
        </is>
      </c>
      <c r="R8" s="15" t="inlineStr">
        <is>
          <t>شهري</t>
        </is>
      </c>
    </row>
    <row r="9" ht="26" customHeight="1">
      <c r="A9" s="20" t="n">
        <v>6</v>
      </c>
      <c r="B9" s="21" t="inlineStr">
        <is>
          <t>الاستدامة</t>
        </is>
      </c>
      <c r="C9" s="21" t="inlineStr">
        <is>
          <t>مؤشر رضا العملاء العام (الشركة)</t>
        </is>
      </c>
      <c r="D9" s="49" t="inlineStr">
        <is>
          <t>%</t>
        </is>
      </c>
      <c r="E9" s="49" t="inlineStr">
        <is>
          <t>↑</t>
        </is>
      </c>
      <c r="F9" s="15" t="inlineStr">
        <is>
          <t>🔴 رئيسي</t>
        </is>
      </c>
      <c r="G9" s="59" t="n">
        <v>0.12</v>
      </c>
      <c r="H9" s="59" t="n">
        <v>0.9</v>
      </c>
      <c r="I9" s="22" t="inlineStr">
        <is>
          <t>≥ 90%</t>
        </is>
      </c>
      <c r="J9" s="73" t="inlineStr">
        <is>
          <t>الاستدامة</t>
        </is>
      </c>
      <c r="K9" s="11" t="inlineStr">
        <is>
          <t>تعزيز تجربة العملاء</t>
        </is>
      </c>
      <c r="L9" s="15" t="inlineStr">
        <is>
          <t>العملاء</t>
        </is>
      </c>
      <c r="M9" s="60" t="n">
        <v>0.922</v>
      </c>
      <c r="N9" s="10">
        <f>IF($H9="","",IF($M9="","",MIN(1,IF($H9=0,IF($M9&lt;=0,1,0),IF($E9="↓",IFERROR($H9/$M9,0),IFERROR($M9/$H9,0))))))</f>
        <v/>
      </c>
      <c r="O9" s="20">
        <f>IF($N9="","⏳ بانتظار هدف",IF($N9&gt;=0.9,"✅ محقق",IF($N9&gt;=0.75,"🟡 قريب","🔴 تحت الهدف")))</f>
        <v/>
      </c>
      <c r="P9" s="74" t="inlineStr">
        <is>
          <t>القيمة المتحقّقة من «مؤشر رضا العملاء العام» ÷ المستهدف × 100٪</t>
        </is>
      </c>
      <c r="Q9" s="74" t="inlineStr">
        <is>
          <t>استبيان دوري</t>
        </is>
      </c>
      <c r="R9" s="15" t="inlineStr">
        <is>
          <t>ربعي</t>
        </is>
      </c>
    </row>
    <row r="10" ht="26" customHeight="1">
      <c r="A10" s="20" t="n">
        <v>7</v>
      </c>
      <c r="B10" s="21" t="inlineStr">
        <is>
          <t>الاستدامة</t>
        </is>
      </c>
      <c r="C10" s="21" t="inlineStr">
        <is>
          <t>مؤشر رضا الموظفين العام (eNPS)</t>
        </is>
      </c>
      <c r="D10" s="49" t="inlineStr">
        <is>
          <t>نقطة</t>
        </is>
      </c>
      <c r="E10" s="49" t="inlineStr">
        <is>
          <t>↑</t>
        </is>
      </c>
      <c r="F10" s="15" t="inlineStr">
        <is>
          <t>🔴 رئيسي</t>
        </is>
      </c>
      <c r="G10" s="59" t="n">
        <v>0.12</v>
      </c>
      <c r="H10" s="62" t="n">
        <v>30</v>
      </c>
      <c r="I10" s="22" t="inlineStr">
        <is>
          <t>≥ 30</t>
        </is>
      </c>
      <c r="J10" s="73" t="inlineStr">
        <is>
          <t>الاستدامة</t>
        </is>
      </c>
      <c r="K10" s="11" t="inlineStr">
        <is>
          <t>الاستثمار في الموظفين</t>
        </is>
      </c>
      <c r="L10" s="15" t="inlineStr">
        <is>
          <t>التعلّم والنمو</t>
        </is>
      </c>
      <c r="M10" s="63" t="n">
        <v>22.5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هدف",IF($N10&gt;=0.9,"✅ محقق",IF($N10&gt;=0.75,"🟡 قريب","🔴 تحت الهدف")))</f>
        <v/>
      </c>
      <c r="P10" s="74" t="inlineStr">
        <is>
          <t>٪ الموظفين المروّجين − ٪ المنتقدين (مقياس eNPS)</t>
        </is>
      </c>
      <c r="Q10" s="74" t="inlineStr">
        <is>
          <t>استبيان دوري</t>
        </is>
      </c>
      <c r="R10" s="15" t="inlineStr">
        <is>
          <t>ربعي</t>
        </is>
      </c>
    </row>
    <row r="11" ht="26" customHeight="1">
      <c r="A11" s="20" t="n">
        <v>8</v>
      </c>
      <c r="B11" s="21" t="inlineStr">
        <is>
          <t>الاستدامة</t>
        </is>
      </c>
      <c r="C11" s="21" t="inlineStr">
        <is>
          <t>نسبة تحقيق المستهدفات الاستراتيجية العامة</t>
        </is>
      </c>
      <c r="D11" s="49" t="inlineStr">
        <is>
          <t>%</t>
        </is>
      </c>
      <c r="E11" s="49" t="inlineStr">
        <is>
          <t>↑</t>
        </is>
      </c>
      <c r="F11" s="15" t="inlineStr">
        <is>
          <t>🟠 مهم</t>
        </is>
      </c>
      <c r="G11" s="59" t="n">
        <v>0.08</v>
      </c>
      <c r="H11" s="59" t="n">
        <v>1</v>
      </c>
      <c r="I11" s="22" t="inlineStr">
        <is>
          <t>100%</t>
        </is>
      </c>
      <c r="J11" s="73" t="inlineStr">
        <is>
          <t>الاستدامة</t>
        </is>
      </c>
      <c r="K11" s="11" t="inlineStr">
        <is>
          <t>جودة التشغيل</t>
        </is>
      </c>
      <c r="L11" s="15" t="inlineStr">
        <is>
          <t>العمليات الداخلية</t>
        </is>
      </c>
      <c r="M11" s="60" t="n">
        <v>0.85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74" t="inlineStr">
        <is>
          <t>قيمة/عدد المتحقّق من «تحقيق المستهدفات الاستراتيجية العامة» ÷ الإجمالي المستهدف لنفس البند × 100٪</t>
        </is>
      </c>
      <c r="Q11" s="74" t="inlineStr">
        <is>
          <t>نظام إدارة القضايا والتحقيقات</t>
        </is>
      </c>
      <c r="R11" s="15" t="inlineStr">
        <is>
          <t>شهري</t>
        </is>
      </c>
    </row>
    <row r="12" ht="26" customHeight="1">
      <c r="A12" s="20" t="n">
        <v>9</v>
      </c>
      <c r="B12" s="21" t="inlineStr">
        <is>
          <t>الحوكمة</t>
        </is>
      </c>
      <c r="C12" s="21" t="inlineStr">
        <is>
          <t>نسبة الالتزام بإطار الحوكمة المؤسسية والامتثال التنظيمي</t>
        </is>
      </c>
      <c r="D12" s="49" t="inlineStr">
        <is>
          <t>%</t>
        </is>
      </c>
      <c r="E12" s="49" t="inlineStr">
        <is>
          <t>↑</t>
        </is>
      </c>
      <c r="F12" s="15" t="inlineStr">
        <is>
          <t>🟠 مهم</t>
        </is>
      </c>
      <c r="G12" s="59" t="n">
        <v>0.08</v>
      </c>
      <c r="H12" s="59" t="n">
        <v>0.95</v>
      </c>
      <c r="I12" s="22" t="inlineStr">
        <is>
          <t>≥ 95%</t>
        </is>
      </c>
      <c r="J12" s="73" t="inlineStr">
        <is>
          <t>الاستدامة</t>
        </is>
      </c>
      <c r="K12" s="11" t="inlineStr">
        <is>
          <t>جودة التشغيل</t>
        </is>
      </c>
      <c r="L12" s="15" t="inlineStr">
        <is>
          <t>العمليات الداخلية</t>
        </is>
      </c>
      <c r="M12" s="60" t="n">
        <v>0.729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محقق",IF($N12&gt;=0.97,"🟡 قريب","🔴 تحت الهدف")))</f>
        <v/>
      </c>
      <c r="P12" s="74" t="inlineStr">
        <is>
          <t>قيمة/عدد المتحقّق من «الالتزام بإطار الحوكمة المؤسسية والامتثال التنظيمي» ÷ الإجمالي المستهدف لنفس البند × 100٪</t>
        </is>
      </c>
      <c r="Q12" s="74" t="inlineStr">
        <is>
          <t>نظام إدارة الجودة (QMS)</t>
        </is>
      </c>
      <c r="R12" s="15" t="inlineStr">
        <is>
          <t>شهري</t>
        </is>
      </c>
    </row>
    <row r="13" ht="26" customHeight="1">
      <c r="A13" s="20" t="n">
        <v>10</v>
      </c>
      <c r="B13" s="21" t="inlineStr">
        <is>
          <t>النمو</t>
        </is>
      </c>
      <c r="C13" s="21" t="inlineStr">
        <is>
          <t>الالتزام بمعايير وزارة الطاقة (تغطية 13 منطقة)</t>
        </is>
      </c>
      <c r="D13" s="49" t="inlineStr">
        <is>
          <t>%</t>
        </is>
      </c>
      <c r="E13" s="49" t="inlineStr">
        <is>
          <t>↑</t>
        </is>
      </c>
      <c r="F13" s="15" t="inlineStr">
        <is>
          <t>🟠 مهم</t>
        </is>
      </c>
      <c r="G13" s="59" t="n">
        <v>0.08</v>
      </c>
      <c r="H13" s="59" t="n">
        <v>1</v>
      </c>
      <c r="I13" s="22" t="inlineStr">
        <is>
          <t>100%</t>
        </is>
      </c>
      <c r="J13" s="73" t="inlineStr">
        <is>
          <t>النمو</t>
        </is>
      </c>
      <c r="K13" s="11" t="inlineStr">
        <is>
          <t>التوسع في المواقع</t>
        </is>
      </c>
      <c r="L13" s="15" t="inlineStr">
        <is>
          <t>العمليات الداخلية</t>
        </is>
      </c>
      <c r="M13" s="60" t="n">
        <v>0.749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74" t="inlineStr">
        <is>
          <t>القيمة المتحقّقة من «الالتزام بمعايير وزارة الطاقة» ÷ المستهدف × 100٪</t>
        </is>
      </c>
      <c r="Q13" s="74" t="inlineStr">
        <is>
          <t>سجلات الإدارة</t>
        </is>
      </c>
      <c r="R13" s="15" t="inlineStr">
        <is>
          <t>شهري</t>
        </is>
      </c>
    </row>
  </sheetData>
  <autoFilter ref="A3:R13"/>
  <mergeCells count="2">
    <mergeCell ref="A2:R2"/>
    <mergeCell ref="A1:R1"/>
  </mergeCells>
  <dataValidations count="1">
    <dataValidation sqref="M4 M5 M6 M7 M8 M9 M10 M11 M12 M13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R32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الامتياز التجاري · مؤشرات الأداء 2026</t>
        </is>
      </c>
    </row>
    <row r="2">
      <c r="A2" s="72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21" t="inlineStr">
        <is>
          <t>النمو والتوسع</t>
        </is>
      </c>
      <c r="C4" s="21" t="inlineStr">
        <is>
          <t>عدد محطات الامتياز المشغّلة (تراكمي)</t>
        </is>
      </c>
      <c r="D4" s="49" t="inlineStr">
        <is>
          <t>محطة</t>
        </is>
      </c>
      <c r="E4" s="49" t="inlineStr">
        <is>
          <t>↑</t>
        </is>
      </c>
      <c r="F4" s="15" t="inlineStr">
        <is>
          <t>🔴 رئيسي</t>
        </is>
      </c>
      <c r="G4" s="59" t="n">
        <v>0.04</v>
      </c>
      <c r="H4" s="55" t="n">
        <v>150</v>
      </c>
      <c r="I4" s="22" t="inlineStr">
        <is>
          <t>150 محطة</t>
        </is>
      </c>
      <c r="J4" s="73" t="inlineStr">
        <is>
          <t>النمو</t>
        </is>
      </c>
      <c r="K4" s="11" t="inlineStr">
        <is>
          <t>التوسع في المواقع</t>
        </is>
      </c>
      <c r="L4" s="15" t="inlineStr">
        <is>
          <t>العمليات الداخلية</t>
        </is>
      </c>
      <c r="M4" s="56" t="n">
        <v>110</v>
      </c>
      <c r="N4" s="10">
        <f>IF($H4="","",IF($M4="","",MIN(1,IF($H4=0,IF($M4&lt;=0,1,0),IF($E4="↓",IFERROR($H4/$M4,0),IFERROR($M4/$H4,0))))))</f>
        <v/>
      </c>
      <c r="O4" s="20">
        <f>IF($N4="","⏳ بانتظار هدف",IF($N4&gt;=1.0,"✅ محقق",IF($N4&gt;=0.85,"🟡 قريب","🔴 تحت الهدف")))</f>
        <v/>
      </c>
      <c r="P4" s="74" t="inlineStr">
        <is>
          <t>إجمالي عدد «محطات الامتياز المشغّلة» تراكمياً حتى نهاية الفترة</t>
        </is>
      </c>
      <c r="Q4" s="74" t="inlineStr">
        <is>
          <t>نظام إدارة العقود (CRM)</t>
        </is>
      </c>
      <c r="R4" s="15" t="inlineStr">
        <is>
          <t>شهري</t>
        </is>
      </c>
    </row>
    <row r="5" ht="26" customHeight="1">
      <c r="A5" s="20" t="n">
        <v>2</v>
      </c>
      <c r="B5" s="21" t="inlineStr">
        <is>
          <t>النمو والتوسع</t>
        </is>
      </c>
      <c r="C5" s="21" t="inlineStr">
        <is>
          <t>عدد عقود الامتياز الجديدة الموقّعة</t>
        </is>
      </c>
      <c r="D5" s="49" t="inlineStr">
        <is>
          <t>عقد</t>
        </is>
      </c>
      <c r="E5" s="49" t="inlineStr">
        <is>
          <t>↑</t>
        </is>
      </c>
      <c r="F5" s="15" t="inlineStr">
        <is>
          <t>🔴 رئيسي</t>
        </is>
      </c>
      <c r="G5" s="59" t="n">
        <v>0.04</v>
      </c>
      <c r="H5" s="55" t="n">
        <v>167</v>
      </c>
      <c r="I5" s="22" t="inlineStr">
        <is>
          <t>167 عقد</t>
        </is>
      </c>
      <c r="J5" s="73" t="inlineStr">
        <is>
          <t>النمو</t>
        </is>
      </c>
      <c r="K5" s="11" t="inlineStr">
        <is>
          <t>الامتياز التجاري</t>
        </is>
      </c>
      <c r="L5" s="15" t="inlineStr">
        <is>
          <t>العمليات الداخلية</t>
        </is>
      </c>
      <c r="M5" s="56" t="n">
        <v>159.2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74" t="inlineStr">
        <is>
          <t>إجمالي عدد «عقود الامتياز الجديدة الموقّعة» المُسجّلة خلال الفترة</t>
        </is>
      </c>
      <c r="Q5" s="74" t="inlineStr">
        <is>
          <t>نظام إدارة العقود (CRM)</t>
        </is>
      </c>
      <c r="R5" s="15" t="inlineStr">
        <is>
          <t>شهري</t>
        </is>
      </c>
    </row>
    <row r="6" ht="26" customHeight="1">
      <c r="A6" s="20" t="n">
        <v>3</v>
      </c>
      <c r="B6" s="21" t="inlineStr">
        <is>
          <t>المبيعات والأداء التجاري</t>
        </is>
      </c>
      <c r="C6" s="21" t="inlineStr">
        <is>
          <t>إجمالي مبيعات وقود محطات الامتياز</t>
        </is>
      </c>
      <c r="D6" s="49" t="inlineStr">
        <is>
          <t>لتر</t>
        </is>
      </c>
      <c r="E6" s="49" t="inlineStr">
        <is>
          <t>↑</t>
        </is>
      </c>
      <c r="F6" s="15" t="inlineStr">
        <is>
          <t>🔴 رئيسي</t>
        </is>
      </c>
      <c r="G6" s="59" t="n">
        <v>0.04</v>
      </c>
      <c r="H6" s="55" t="n">
        <v>718838077</v>
      </c>
      <c r="I6" s="22" t="inlineStr">
        <is>
          <t>718.8M لتر</t>
        </is>
      </c>
      <c r="J6" s="73" t="inlineStr">
        <is>
          <t>النمو</t>
        </is>
      </c>
      <c r="K6" s="11" t="inlineStr">
        <is>
          <t>زيادة وصول العملاء</t>
        </is>
      </c>
      <c r="L6" s="15" t="inlineStr">
        <is>
          <t>مالي</t>
        </is>
      </c>
      <c r="M6" s="56" t="n">
        <v>576630340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74" t="inlineStr">
        <is>
          <t>مجموع لترات «مبيعات وقود محطات الامتياز» خلال الفترة</t>
        </is>
      </c>
      <c r="Q6" s="74" t="inlineStr">
        <is>
          <t>نظام إدارة العقود (CRM)</t>
        </is>
      </c>
      <c r="R6" s="15" t="inlineStr">
        <is>
          <t>شهري</t>
        </is>
      </c>
    </row>
    <row r="7" ht="26" customHeight="1">
      <c r="A7" s="20" t="n">
        <v>4</v>
      </c>
      <c r="B7" s="21" t="inlineStr">
        <is>
          <t>المبيعات والأداء التجاري</t>
        </is>
      </c>
      <c r="C7" s="21" t="inlineStr">
        <is>
          <t>نسبة تأجير وحدات الامتياز</t>
        </is>
      </c>
      <c r="D7" s="49" t="inlineStr">
        <is>
          <t>%</t>
        </is>
      </c>
      <c r="E7" s="49" t="inlineStr">
        <is>
          <t>↑</t>
        </is>
      </c>
      <c r="F7" s="15" t="inlineStr">
        <is>
          <t>🟠 مهم</t>
        </is>
      </c>
      <c r="G7" s="59" t="n">
        <v>0.03</v>
      </c>
      <c r="H7" s="59" t="n">
        <v>0.7</v>
      </c>
      <c r="I7" s="22" t="inlineStr">
        <is>
          <t>70%</t>
        </is>
      </c>
      <c r="J7" s="73" t="inlineStr">
        <is>
          <t>الاستدامة</t>
        </is>
      </c>
      <c r="K7" s="11" t="inlineStr">
        <is>
          <t>منظومة التأجير</t>
        </is>
      </c>
      <c r="L7" s="15" t="inlineStr">
        <is>
          <t>العمليات الداخلية</t>
        </is>
      </c>
      <c r="M7" s="60" t="n">
        <v>0.709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74" t="inlineStr">
        <is>
          <t>قيمة/عدد المتحقّق من «تأجير وحدات الامتياز» ÷ الإجمالي المستهدف لنفس البند × 100٪</t>
        </is>
      </c>
      <c r="Q7" s="74" t="inlineStr">
        <is>
          <t>نظام إدارة العقود (CRM)</t>
        </is>
      </c>
      <c r="R7" s="15" t="inlineStr">
        <is>
          <t>شهري</t>
        </is>
      </c>
    </row>
    <row r="8" ht="26" customHeight="1">
      <c r="A8" s="20" t="n">
        <v>5</v>
      </c>
      <c r="B8" s="21" t="inlineStr">
        <is>
          <t>الأداء المالي</t>
        </is>
      </c>
      <c r="C8" s="21" t="inlineStr">
        <is>
          <t>إجمالي إيرادات إدارة الامتياز</t>
        </is>
      </c>
      <c r="D8" s="49" t="inlineStr">
        <is>
          <t>ر.س</t>
        </is>
      </c>
      <c r="E8" s="49" t="inlineStr">
        <is>
          <t>↑</t>
        </is>
      </c>
      <c r="F8" s="15" t="inlineStr">
        <is>
          <t>🔴 رئيسي</t>
        </is>
      </c>
      <c r="G8" s="59" t="n">
        <v>0.04</v>
      </c>
      <c r="H8" s="49" t="inlineStr"/>
      <c r="I8" s="22" t="inlineStr">
        <is>
          <t>تصاعدي مستمر</t>
        </is>
      </c>
      <c r="J8" s="73" t="inlineStr">
        <is>
          <t>النمو</t>
        </is>
      </c>
      <c r="K8" s="11" t="inlineStr">
        <is>
          <t>الامتياز التجاري</t>
        </is>
      </c>
      <c r="L8" s="15" t="inlineStr">
        <is>
          <t>مالي</t>
        </is>
      </c>
      <c r="M8" s="66" t="n"/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74" t="inlineStr">
        <is>
          <t>مجموع قيمة «إيرادات إدارة الامتياز» بالريال خلال الفترة</t>
        </is>
      </c>
      <c r="Q8" s="74" t="inlineStr">
        <is>
          <t>نظام المحاسبة / ERP (D365)</t>
        </is>
      </c>
      <c r="R8" s="15" t="inlineStr">
        <is>
          <t>شهري</t>
        </is>
      </c>
    </row>
    <row r="9" ht="26" customHeight="1">
      <c r="A9" s="20" t="n">
        <v>6</v>
      </c>
      <c r="B9" s="21" t="inlineStr">
        <is>
          <t>الأداء المالي</t>
        </is>
      </c>
      <c r="C9" s="21" t="inlineStr">
        <is>
          <t>رفع هامش الربحية للامتياز</t>
        </is>
      </c>
      <c r="D9" s="49" t="inlineStr">
        <is>
          <t>هللة/لتر</t>
        </is>
      </c>
      <c r="E9" s="49" t="inlineStr">
        <is>
          <t>↑</t>
        </is>
      </c>
      <c r="F9" s="15" t="inlineStr">
        <is>
          <t>🟠 مهم</t>
        </is>
      </c>
      <c r="G9" s="59" t="n">
        <v>0.03</v>
      </c>
      <c r="H9" s="62" t="n">
        <v>1.8</v>
      </c>
      <c r="I9" s="22" t="inlineStr">
        <is>
          <t>+1.8 هللة/لتر</t>
        </is>
      </c>
      <c r="J9" s="73" t="inlineStr">
        <is>
          <t>النمو</t>
        </is>
      </c>
      <c r="K9" s="11" t="inlineStr">
        <is>
          <t>الامتياز التجاري</t>
        </is>
      </c>
      <c r="L9" s="15" t="inlineStr">
        <is>
          <t>مالي</t>
        </is>
      </c>
      <c r="M9" s="63" t="n">
        <v>1.564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74" t="inlineStr">
        <is>
          <t>مجموع لترات «رفع هامش الربحية للامتياز» خلال الفترة</t>
        </is>
      </c>
      <c r="Q9" s="74" t="inlineStr">
        <is>
          <t>نظام المحاسبة / ERP (D365)</t>
        </is>
      </c>
      <c r="R9" s="15" t="inlineStr">
        <is>
          <t>شهري</t>
        </is>
      </c>
    </row>
    <row r="10" ht="26" customHeight="1">
      <c r="A10" s="20" t="n">
        <v>7</v>
      </c>
      <c r="B10" s="21" t="inlineStr">
        <is>
          <t>الأداء المالي</t>
        </is>
      </c>
      <c r="C10" s="21" t="inlineStr">
        <is>
          <t>نسبة التحصيل المالي من شركاء الامتياز</t>
        </is>
      </c>
      <c r="D10" s="49" t="inlineStr">
        <is>
          <t>%</t>
        </is>
      </c>
      <c r="E10" s="49" t="inlineStr">
        <is>
          <t>↑</t>
        </is>
      </c>
      <c r="F10" s="15" t="inlineStr">
        <is>
          <t>🔴 رئيسي</t>
        </is>
      </c>
      <c r="G10" s="59" t="n">
        <v>0.04</v>
      </c>
      <c r="H10" s="59" t="n">
        <v>0.95</v>
      </c>
      <c r="I10" s="22" t="inlineStr">
        <is>
          <t>95%+</t>
        </is>
      </c>
      <c r="J10" s="73" t="inlineStr">
        <is>
          <t>الاستدامة</t>
        </is>
      </c>
      <c r="K10" s="11" t="inlineStr">
        <is>
          <t>جودة التشغيل</t>
        </is>
      </c>
      <c r="L10" s="15" t="inlineStr">
        <is>
          <t>مالي</t>
        </is>
      </c>
      <c r="M10" s="60" t="n">
        <v>0.8120000000000001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74" t="inlineStr">
        <is>
          <t>قيمة/عدد المتحقّق من «التحصيل المالي من شركاء الامتياز» ÷ الإجمالي المستهدف لنفس البند × 100٪</t>
        </is>
      </c>
      <c r="Q10" s="74" t="inlineStr">
        <is>
          <t>نظام المحاسبة / ERP (D365)</t>
        </is>
      </c>
      <c r="R10" s="15" t="inlineStr">
        <is>
          <t>شهري</t>
        </is>
      </c>
    </row>
    <row r="11" ht="26" customHeight="1">
      <c r="A11" s="20" t="n">
        <v>8</v>
      </c>
      <c r="B11" s="21" t="inlineStr">
        <is>
          <t>الأداء المالي</t>
        </is>
      </c>
      <c r="C11" s="21" t="inlineStr">
        <is>
          <t>متوسط أيام تحصيل شركاء الامتياز (DSO)</t>
        </is>
      </c>
      <c r="D11" s="49" t="inlineStr">
        <is>
          <t>يوم</t>
        </is>
      </c>
      <c r="E11" s="49" t="inlineStr">
        <is>
          <t>↓</t>
        </is>
      </c>
      <c r="F11" s="15" t="inlineStr">
        <is>
          <t>🔴 رئيسي</t>
        </is>
      </c>
      <c r="G11" s="59" t="n">
        <v>0.04</v>
      </c>
      <c r="H11" s="62" t="n">
        <v>30</v>
      </c>
      <c r="I11" s="22" t="inlineStr">
        <is>
          <t>≤ 30 يوم</t>
        </is>
      </c>
      <c r="J11" s="73" t="inlineStr">
        <is>
          <t>الاستدامة</t>
        </is>
      </c>
      <c r="K11" s="11" t="inlineStr">
        <is>
          <t>جودة التشغيل</t>
        </is>
      </c>
      <c r="L11" s="15" t="inlineStr">
        <is>
          <t>مالي</t>
        </is>
      </c>
      <c r="M11" s="63" t="n">
        <v>26.2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74" t="inlineStr">
        <is>
          <t>مجموع أيام «أيام تحصيل شركاء الامتياز» ÷ عدد الحالات</t>
        </is>
      </c>
      <c r="Q11" s="74" t="inlineStr">
        <is>
          <t>نظام المحاسبة / ERP (D365)</t>
        </is>
      </c>
      <c r="R11" s="15" t="inlineStr">
        <is>
          <t>شهري</t>
        </is>
      </c>
    </row>
    <row r="12" ht="26" customHeight="1">
      <c r="A12" s="20" t="n">
        <v>9</v>
      </c>
      <c r="B12" s="21" t="inlineStr">
        <is>
          <t>الأداء المالي</t>
        </is>
      </c>
      <c r="C12" s="21" t="inlineStr">
        <is>
          <t>إجمالي المستحقات المتأخرة (+30 يوم)</t>
        </is>
      </c>
      <c r="D12" s="49" t="inlineStr">
        <is>
          <t>ر.س</t>
        </is>
      </c>
      <c r="E12" s="49" t="inlineStr">
        <is>
          <t>↓</t>
        </is>
      </c>
      <c r="F12" s="15" t="inlineStr">
        <is>
          <t>🟠 مهم</t>
        </is>
      </c>
      <c r="G12" s="59" t="n">
        <v>0.03</v>
      </c>
      <c r="H12" s="49" t="inlineStr"/>
      <c r="I12" s="22" t="inlineStr">
        <is>
          <t>تراجع مستمر</t>
        </is>
      </c>
      <c r="J12" s="73" t="inlineStr">
        <is>
          <t>الاستدامة</t>
        </is>
      </c>
      <c r="K12" s="11" t="inlineStr">
        <is>
          <t>جودة التشغيل</t>
        </is>
      </c>
      <c r="L12" s="15" t="inlineStr">
        <is>
          <t>مالي</t>
        </is>
      </c>
      <c r="M12" s="66" t="n"/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74" t="inlineStr">
        <is>
          <t>مجموع قيمة «المستحقات المتأخرة» بالريال خلال الفترة</t>
        </is>
      </c>
      <c r="Q12" s="74" t="inlineStr">
        <is>
          <t>نظام المحاسبة / ERP (D365)</t>
        </is>
      </c>
      <c r="R12" s="15" t="inlineStr">
        <is>
          <t>شهري</t>
        </is>
      </c>
    </row>
    <row r="13" ht="26" customHeight="1">
      <c r="A13" s="20" t="n">
        <v>10</v>
      </c>
      <c r="B13" s="21" t="inlineStr">
        <is>
          <t>الأداء المالي</t>
        </is>
      </c>
      <c r="C13" s="21" t="inlineStr">
        <is>
          <t>نسبة الشركاء الملتزمين بمواعيد السداد</t>
        </is>
      </c>
      <c r="D13" s="49" t="inlineStr">
        <is>
          <t>%</t>
        </is>
      </c>
      <c r="E13" s="49" t="inlineStr">
        <is>
          <t>↑</t>
        </is>
      </c>
      <c r="F13" s="15" t="inlineStr">
        <is>
          <t>🟠 مهم</t>
        </is>
      </c>
      <c r="G13" s="59" t="n">
        <v>0.03</v>
      </c>
      <c r="H13" s="59" t="n">
        <v>0.9</v>
      </c>
      <c r="I13" s="22" t="inlineStr">
        <is>
          <t>90%+</t>
        </is>
      </c>
      <c r="J13" s="73" t="inlineStr">
        <is>
          <t>الاستدامة</t>
        </is>
      </c>
      <c r="K13" s="11" t="inlineStr">
        <is>
          <t>جودة التشغيل</t>
        </is>
      </c>
      <c r="L13" s="15" t="inlineStr">
        <is>
          <t>مالي</t>
        </is>
      </c>
      <c r="M13" s="60" t="n">
        <v>0.705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74" t="inlineStr">
        <is>
          <t>قيمة/عدد المتحقّق من «الشركاء الملتزمين بمواعيد السداد» ÷ الإجمالي المستهدف لنفس البند × 100٪</t>
        </is>
      </c>
      <c r="Q13" s="74" t="inlineStr">
        <is>
          <t>نظام المحاسبة / ERP (D365)</t>
        </is>
      </c>
      <c r="R13" s="15" t="inlineStr">
        <is>
          <t>شهري</t>
        </is>
      </c>
    </row>
    <row r="14" ht="26" customHeight="1">
      <c r="A14" s="20" t="n">
        <v>11</v>
      </c>
      <c r="B14" s="21" t="inlineStr">
        <is>
          <t>الأداء المالي</t>
        </is>
      </c>
      <c r="C14" s="21" t="inlineStr">
        <is>
          <t>معدل دوران رأس المال (أيام الدورة)</t>
        </is>
      </c>
      <c r="D14" s="49" t="inlineStr">
        <is>
          <t>يوم</t>
        </is>
      </c>
      <c r="E14" s="49" t="inlineStr">
        <is>
          <t>↓</t>
        </is>
      </c>
      <c r="F14" s="15" t="inlineStr">
        <is>
          <t>🟠 مهم</t>
        </is>
      </c>
      <c r="G14" s="59" t="n">
        <v>0.03</v>
      </c>
      <c r="H14" s="62" t="n">
        <v>5</v>
      </c>
      <c r="I14" s="22" t="inlineStr">
        <is>
          <t>≤ 5 أيام</t>
        </is>
      </c>
      <c r="J14" s="73" t="inlineStr">
        <is>
          <t>الاستدامة</t>
        </is>
      </c>
      <c r="K14" s="11" t="inlineStr">
        <is>
          <t>جودة التشغيل</t>
        </is>
      </c>
      <c r="L14" s="15" t="inlineStr">
        <is>
          <t>مالي</t>
        </is>
      </c>
      <c r="M14" s="63" t="n">
        <v>4.329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74" t="inlineStr">
        <is>
          <t>عدد حالات «دوران رأس المال» خلال الفترة ÷ إجمالي الحالات القابلة للقياس × 100٪</t>
        </is>
      </c>
      <c r="Q14" s="74" t="inlineStr">
        <is>
          <t>نظام الموارد البشرية (HRMS)</t>
        </is>
      </c>
      <c r="R14" s="15" t="inlineStr">
        <is>
          <t>شهري</t>
        </is>
      </c>
    </row>
    <row r="15" ht="26" customHeight="1">
      <c r="A15" s="20" t="n">
        <v>12</v>
      </c>
      <c r="B15" s="21" t="inlineStr">
        <is>
          <t>التشغيل والجودة</t>
        </is>
      </c>
      <c r="C15" s="21" t="inlineStr">
        <is>
          <t>نسبة جاهزية محطات الامتياز (صفر انقطاع)</t>
        </is>
      </c>
      <c r="D15" s="49" t="inlineStr">
        <is>
          <t>%</t>
        </is>
      </c>
      <c r="E15" s="49" t="inlineStr">
        <is>
          <t>↑</t>
        </is>
      </c>
      <c r="F15" s="15" t="inlineStr">
        <is>
          <t>🔴 رئيسي</t>
        </is>
      </c>
      <c r="G15" s="59" t="n">
        <v>0.04</v>
      </c>
      <c r="H15" s="59" t="n">
        <v>0.99</v>
      </c>
      <c r="I15" s="22" t="inlineStr">
        <is>
          <t>99%+</t>
        </is>
      </c>
      <c r="J15" s="73" t="inlineStr">
        <is>
          <t>الاستدامة</t>
        </is>
      </c>
      <c r="K15" s="11" t="inlineStr">
        <is>
          <t>جودة التشغيل</t>
        </is>
      </c>
      <c r="L15" s="15" t="inlineStr">
        <is>
          <t>العمليات الداخلية</t>
        </is>
      </c>
      <c r="M15" s="60" t="n">
        <v>1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محقق",IF($N15&gt;=0.97,"🟡 قريب","🔴 تحت الهدف")))</f>
        <v/>
      </c>
      <c r="P15" s="74" t="inlineStr">
        <is>
          <t>قيمة/عدد المتحقّق من «جاهزية محطات الامتياز» ÷ الإجمالي المستهدف لنفس البند × 100٪</t>
        </is>
      </c>
      <c r="Q15" s="74" t="inlineStr">
        <is>
          <t>نظام إدارة الجودة (QMS)</t>
        </is>
      </c>
      <c r="R15" s="15" t="inlineStr">
        <is>
          <t>شهري</t>
        </is>
      </c>
    </row>
    <row r="16" ht="26" customHeight="1">
      <c r="A16" s="20" t="n">
        <v>13</v>
      </c>
      <c r="B16" s="21" t="inlineStr">
        <is>
          <t>التشغيل والجودة</t>
        </is>
      </c>
      <c r="C16" s="21" t="inlineStr">
        <is>
          <t>عدد حالات انقطاع الوقود الموثّقة</t>
        </is>
      </c>
      <c r="D16" s="49" t="inlineStr">
        <is>
          <t>حالة</t>
        </is>
      </c>
      <c r="E16" s="49" t="inlineStr">
        <is>
          <t>↓</t>
        </is>
      </c>
      <c r="F16" s="15" t="inlineStr">
        <is>
          <t>🔴 رئيسي</t>
        </is>
      </c>
      <c r="G16" s="59" t="n">
        <v>0.04</v>
      </c>
      <c r="H16" s="55" t="n">
        <v>0</v>
      </c>
      <c r="I16" s="22" t="inlineStr">
        <is>
          <t>0 حالة</t>
        </is>
      </c>
      <c r="J16" s="73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56" t="n"/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74" t="inlineStr">
        <is>
          <t>إجمالي عدد «حالات انقطاع الوقود الموثّقة» المُسجّلة خلال الفترة</t>
        </is>
      </c>
      <c r="Q16" s="74" t="inlineStr">
        <is>
          <t>نظام إدارة الجودة (QMS)</t>
        </is>
      </c>
      <c r="R16" s="15" t="inlineStr">
        <is>
          <t>شهري</t>
        </is>
      </c>
    </row>
    <row r="17" ht="26" customHeight="1">
      <c r="A17" s="20" t="n">
        <v>14</v>
      </c>
      <c r="B17" s="21" t="inlineStr">
        <is>
          <t>التشغيل والجودة</t>
        </is>
      </c>
      <c r="C17" s="21" t="inlineStr">
        <is>
          <t>نسبة إغلاق ملاحظات الجودة الميدانية</t>
        </is>
      </c>
      <c r="D17" s="49" t="inlineStr">
        <is>
          <t>%</t>
        </is>
      </c>
      <c r="E17" s="49" t="inlineStr">
        <is>
          <t>↑</t>
        </is>
      </c>
      <c r="F17" s="15" t="inlineStr">
        <is>
          <t>🟠 مهم</t>
        </is>
      </c>
      <c r="G17" s="59" t="n">
        <v>0.03</v>
      </c>
      <c r="H17" s="59" t="n">
        <v>0.95</v>
      </c>
      <c r="I17" s="22" t="inlineStr">
        <is>
          <t>95%+</t>
        </is>
      </c>
      <c r="J17" s="73" t="inlineStr">
        <is>
          <t>الاستدامة</t>
        </is>
      </c>
      <c r="K17" s="11" t="inlineStr">
        <is>
          <t>جودة التشغيل</t>
        </is>
      </c>
      <c r="L17" s="15" t="inlineStr">
        <is>
          <t>العمليات الداخلية</t>
        </is>
      </c>
      <c r="M17" s="60" t="n">
        <v>0.879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74" t="inlineStr">
        <is>
          <t>قيمة/عدد المتحقّق من «إغلاق ملاحظات الجودة الميدانية» ÷ الإجمالي المستهدف لنفس البند × 100٪</t>
        </is>
      </c>
      <c r="Q17" s="74" t="inlineStr">
        <is>
          <t>نظام إدارة الجودة (QMS)</t>
        </is>
      </c>
      <c r="R17" s="15" t="inlineStr">
        <is>
          <t>شهري</t>
        </is>
      </c>
    </row>
    <row r="18" ht="26" customHeight="1">
      <c r="A18" s="20" t="n">
        <v>15</v>
      </c>
      <c r="B18" s="21" t="inlineStr">
        <is>
          <t>التشغيل والجودة</t>
        </is>
      </c>
      <c r="C18" s="21" t="inlineStr">
        <is>
          <t>متوسط درجة تقييم جودة المحطة (قائمة التحقق)</t>
        </is>
      </c>
      <c r="D18" s="49" t="inlineStr">
        <is>
          <t>درجة/100</t>
        </is>
      </c>
      <c r="E18" s="49" t="inlineStr">
        <is>
          <t>↑</t>
        </is>
      </c>
      <c r="F18" s="15" t="inlineStr">
        <is>
          <t>🔴 رئيسي</t>
        </is>
      </c>
      <c r="G18" s="59" t="n">
        <v>0.04</v>
      </c>
      <c r="H18" s="62" t="n">
        <v>85</v>
      </c>
      <c r="I18" s="22" t="inlineStr">
        <is>
          <t>85+</t>
        </is>
      </c>
      <c r="J18" s="73" t="inlineStr">
        <is>
          <t>الاستدامة</t>
        </is>
      </c>
      <c r="K18" s="11" t="inlineStr">
        <is>
          <t>جودة التشغيل</t>
        </is>
      </c>
      <c r="L18" s="15" t="inlineStr">
        <is>
          <t>العمليات الداخلية</t>
        </is>
      </c>
      <c r="M18" s="63" t="n">
        <v>78.8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محقق",IF($N18&gt;=0.85,"🟡 قريب","🔴 تحت الهدف")))</f>
        <v/>
      </c>
      <c r="P18" s="74" t="inlineStr">
        <is>
          <t>مجموع قيم «درجة تقييم جودة المحطة» ÷ عدد المفردات المقيسة</t>
        </is>
      </c>
      <c r="Q18" s="74" t="inlineStr">
        <is>
          <t>نظام إدارة الجودة (QMS)</t>
        </is>
      </c>
      <c r="R18" s="15" t="inlineStr">
        <is>
          <t>شهري</t>
        </is>
      </c>
    </row>
    <row r="19" ht="26" customHeight="1">
      <c r="A19" s="20" t="n">
        <v>16</v>
      </c>
      <c r="B19" s="21" t="inlineStr">
        <is>
          <t>التشغيل والجودة</t>
        </is>
      </c>
      <c r="C19" s="21" t="inlineStr">
        <is>
          <t>نسبة تنفيذ الزيارات الميدانية المجدولة</t>
        </is>
      </c>
      <c r="D19" s="49" t="inlineStr">
        <is>
          <t>%</t>
        </is>
      </c>
      <c r="E19" s="49" t="inlineStr">
        <is>
          <t>↑</t>
        </is>
      </c>
      <c r="F19" s="15" t="inlineStr">
        <is>
          <t>🟠 مهم</t>
        </is>
      </c>
      <c r="G19" s="59" t="n">
        <v>0.03</v>
      </c>
      <c r="H19" s="59" t="n">
        <v>1</v>
      </c>
      <c r="I19" s="22" t="inlineStr">
        <is>
          <t>100%</t>
        </is>
      </c>
      <c r="J19" s="73" t="inlineStr">
        <is>
          <t>الاستدامة</t>
        </is>
      </c>
      <c r="K19" s="11" t="inlineStr">
        <is>
          <t>جودة التشغيل</t>
        </is>
      </c>
      <c r="L19" s="15" t="inlineStr">
        <is>
          <t>العمليات الداخلية</t>
        </is>
      </c>
      <c r="M19" s="60" t="n">
        <v>1.034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محقق",IF($N19&gt;=0.85,"🟡 قريب","🔴 تحت الهدف")))</f>
        <v/>
      </c>
      <c r="P19" s="74" t="inlineStr">
        <is>
          <t>قيمة/عدد المتحقّق من «تنفيذ الزيارات الميدانية المجدولة» ÷ الإجمالي المستهدف لنفس البند × 100٪</t>
        </is>
      </c>
      <c r="Q19" s="74" t="inlineStr">
        <is>
          <t>نظام إدارة الجودة (QMS)</t>
        </is>
      </c>
      <c r="R19" s="15" t="inlineStr">
        <is>
          <t>شهري</t>
        </is>
      </c>
    </row>
    <row r="20" ht="26" customHeight="1">
      <c r="A20" s="20" t="n">
        <v>17</v>
      </c>
      <c r="B20" s="21" t="inlineStr">
        <is>
          <t>التشغيل والجودة</t>
        </is>
      </c>
      <c r="C20" s="21" t="inlineStr">
        <is>
          <t>نسبة المحطات المستوفية لمعايير السلامة</t>
        </is>
      </c>
      <c r="D20" s="49" t="inlineStr">
        <is>
          <t>%</t>
        </is>
      </c>
      <c r="E20" s="49" t="inlineStr">
        <is>
          <t>↑</t>
        </is>
      </c>
      <c r="F20" s="15" t="inlineStr">
        <is>
          <t>🔴 رئيسي</t>
        </is>
      </c>
      <c r="G20" s="59" t="n">
        <v>0.04</v>
      </c>
      <c r="H20" s="59" t="n">
        <v>1</v>
      </c>
      <c r="I20" s="22" t="inlineStr">
        <is>
          <t>100%</t>
        </is>
      </c>
      <c r="J20" s="73" t="inlineStr">
        <is>
          <t>الاستدامة</t>
        </is>
      </c>
      <c r="K20" s="11" t="inlineStr">
        <is>
          <t>جودة التشغيل</t>
        </is>
      </c>
      <c r="L20" s="15" t="inlineStr">
        <is>
          <t>العمليات الداخلية</t>
        </is>
      </c>
      <c r="M20" s="60" t="n">
        <v>0.911</v>
      </c>
      <c r="N20" s="10">
        <f>IF($H20="","",IF($M20="","",MIN(1,IF($H20=0,IF($M20&lt;=0,1,0),IF($E20="↓",IFERROR($H20/$M20,0),IFERROR($M20/$H20,0))))))</f>
        <v/>
      </c>
      <c r="O20" s="20">
        <f>IF($N20="","⏳ بانتظار هدف",IF($N20&gt;=1.0,"✅ محقق",IF($N20&gt;=0.97,"🟡 قريب","🔴 تحت الهدف")))</f>
        <v/>
      </c>
      <c r="P20" s="74" t="inlineStr">
        <is>
          <t>قيمة/عدد المتحقّق من «المحطات المستوفية لمعايير السلامة» ÷ الإجمالي المستهدف لنفس البند × 100٪</t>
        </is>
      </c>
      <c r="Q20" s="74" t="inlineStr">
        <is>
          <t>نظام إدارة الجودة (QMS)</t>
        </is>
      </c>
      <c r="R20" s="15" t="inlineStr">
        <is>
          <t>شهري</t>
        </is>
      </c>
    </row>
    <row r="21" ht="26" customHeight="1">
      <c r="A21" s="20" t="n">
        <v>18</v>
      </c>
      <c r="B21" s="21" t="inlineStr">
        <is>
          <t>التشغيل والجودة</t>
        </is>
      </c>
      <c r="C21" s="21" t="inlineStr">
        <is>
          <t>متوسط وقت معالجة البلاغات التشغيلية</t>
        </is>
      </c>
      <c r="D21" s="49" t="inlineStr">
        <is>
          <t>ساعة</t>
        </is>
      </c>
      <c r="E21" s="49" t="inlineStr">
        <is>
          <t>↓</t>
        </is>
      </c>
      <c r="F21" s="15" t="inlineStr">
        <is>
          <t>🟠 مهم</t>
        </is>
      </c>
      <c r="G21" s="59" t="n">
        <v>0.03</v>
      </c>
      <c r="H21" s="62" t="n">
        <v>24</v>
      </c>
      <c r="I21" s="22" t="inlineStr">
        <is>
          <t>≤ 24 ساعة</t>
        </is>
      </c>
      <c r="J21" s="73" t="inlineStr">
        <is>
          <t>الاستدامة</t>
        </is>
      </c>
      <c r="K21" s="11" t="inlineStr">
        <is>
          <t>جودة التشغيل</t>
        </is>
      </c>
      <c r="L21" s="15" t="inlineStr">
        <is>
          <t>العمليات الداخلية</t>
        </is>
      </c>
      <c r="M21" s="63" t="n">
        <v>26.2</v>
      </c>
      <c r="N21" s="10">
        <f>IF($H21="","",IF($M21="","",MIN(1,IF($H21=0,IF($M21&lt;=0,1,0),IF($E21="↓",IFERROR($H21/$M21,0),IFERROR($M21/$H21,0))))))</f>
        <v/>
      </c>
      <c r="O21" s="20">
        <f>IF($N21="","⏳ بانتظار هدف",IF($N21&gt;=1.0,"✅ محقق",IF($N21&gt;=0.85,"🟡 قريب","🔴 تحت الهدف")))</f>
        <v/>
      </c>
      <c r="P21" s="74" t="inlineStr">
        <is>
          <t>مجموع ساعات «وقت معالجة البلاغات التشغيلية» ÷ عدد الحالات المغلقة</t>
        </is>
      </c>
      <c r="Q21" s="74" t="inlineStr">
        <is>
          <t>نظام إدارة الجودة (QMS)</t>
        </is>
      </c>
      <c r="R21" s="15" t="inlineStr">
        <is>
          <t>شهري</t>
        </is>
      </c>
    </row>
    <row r="22" ht="26" customHeight="1">
      <c r="A22" s="20" t="n">
        <v>19</v>
      </c>
      <c r="B22" s="21" t="inlineStr">
        <is>
          <t>التشغيل والجودة</t>
        </is>
      </c>
      <c r="C22" s="21" t="inlineStr">
        <is>
          <t>نسبة أتمتة محطات الامتياز</t>
        </is>
      </c>
      <c r="D22" s="49" t="inlineStr">
        <is>
          <t>%</t>
        </is>
      </c>
      <c r="E22" s="49" t="inlineStr">
        <is>
          <t>↑</t>
        </is>
      </c>
      <c r="F22" s="15" t="inlineStr">
        <is>
          <t>🔴 رئيسي</t>
        </is>
      </c>
      <c r="G22" s="59" t="n">
        <v>0.04</v>
      </c>
      <c r="H22" s="59" t="n">
        <v>0.9</v>
      </c>
      <c r="I22" s="22" t="inlineStr">
        <is>
          <t>90%</t>
        </is>
      </c>
      <c r="J22" s="73" t="inlineStr">
        <is>
          <t>الابتكار</t>
        </is>
      </c>
      <c r="K22" s="11" t="inlineStr">
        <is>
          <t>التحول التقني</t>
        </is>
      </c>
      <c r="L22" s="15" t="inlineStr">
        <is>
          <t>التعلّم والنمو</t>
        </is>
      </c>
      <c r="M22" s="60" t="n">
        <v>0.674</v>
      </c>
      <c r="N22" s="10">
        <f>IF($H22="","",IF($M22="","",MIN(1,IF($H22=0,IF($M22&lt;=0,1,0),IF($E22="↓",IFERROR($H22/$M22,0),IFERROR($M22/$H22,0))))))</f>
        <v/>
      </c>
      <c r="O22" s="20">
        <f>IF($N22="","⏳ بانتظار هدف",IF($N22&gt;=1.0,"✅ محقق",IF($N22&gt;=0.85,"🟡 قريب","🔴 تحت الهدف")))</f>
        <v/>
      </c>
      <c r="P22" s="74" t="inlineStr">
        <is>
          <t>قيمة/عدد المتحقّق من «أتمتة محطات الامتياز» ÷ الإجمالي المستهدف لنفس البند × 100٪</t>
        </is>
      </c>
      <c r="Q22" s="74" t="inlineStr">
        <is>
          <t>مكتب إدارة المشاريع (PMO)</t>
        </is>
      </c>
      <c r="R22" s="15" t="inlineStr">
        <is>
          <t>شهري</t>
        </is>
      </c>
    </row>
    <row r="23" ht="26" customHeight="1">
      <c r="A23" s="20" t="n">
        <v>20</v>
      </c>
      <c r="B23" s="21" t="inlineStr">
        <is>
          <t>التشغيل والجودة</t>
        </is>
      </c>
      <c r="C23" s="21" t="inlineStr">
        <is>
          <t>نسبة تطبيق المعيار الشامل داخل المحطات</t>
        </is>
      </c>
      <c r="D23" s="49" t="inlineStr">
        <is>
          <t>%</t>
        </is>
      </c>
      <c r="E23" s="49" t="inlineStr">
        <is>
          <t>↑</t>
        </is>
      </c>
      <c r="F23" s="15" t="inlineStr">
        <is>
          <t>🟡 متابعة</t>
        </is>
      </c>
      <c r="G23" s="59" t="n">
        <v>0.01</v>
      </c>
      <c r="H23" s="59" t="n">
        <v>0.3</v>
      </c>
      <c r="I23" s="22" t="inlineStr">
        <is>
          <t>30%</t>
        </is>
      </c>
      <c r="J23" s="73" t="inlineStr">
        <is>
          <t>الابتكار</t>
        </is>
      </c>
      <c r="K23" s="11" t="inlineStr">
        <is>
          <t>التحول التقني</t>
        </is>
      </c>
      <c r="L23" s="15" t="inlineStr">
        <is>
          <t>التعلّم والنمو</t>
        </is>
      </c>
      <c r="M23" s="60" t="n">
        <v>0.299</v>
      </c>
      <c r="N23" s="10">
        <f>IF($H23="","",IF($M23="","",MIN(1,IF($H23=0,IF($M23&lt;=0,1,0),IF($E23="↓",IFERROR($H23/$M23,0),IFERROR($M23/$H23,0))))))</f>
        <v/>
      </c>
      <c r="O23" s="20">
        <f>IF($N23="","⏳ بانتظار هدف",IF($N23&gt;=1.0,"✅ محقق",IF($N23&gt;=0.85,"🟡 قريب","🔴 تحت الهدف")))</f>
        <v/>
      </c>
      <c r="P23" s="74" t="inlineStr">
        <is>
          <t>قيمة/عدد المتحقّق من «تطبيق المعيار الشامل داخل المحطات» ÷ الإجمالي المستهدف لنفس البند × 100٪</t>
        </is>
      </c>
      <c r="Q23" s="74" t="inlineStr">
        <is>
          <t>نظام إدارة الجودة (QMS)</t>
        </is>
      </c>
      <c r="R23" s="15" t="inlineStr">
        <is>
          <t>شهري</t>
        </is>
      </c>
    </row>
    <row r="24" ht="26" customHeight="1">
      <c r="A24" s="20" t="n">
        <v>21</v>
      </c>
      <c r="B24" s="21" t="inlineStr">
        <is>
          <t>الهوية والتسويق</t>
        </is>
      </c>
      <c r="C24" s="21" t="inlineStr">
        <is>
          <t>نسبة التزام المحطات بالهوية المؤسسية</t>
        </is>
      </c>
      <c r="D24" s="49" t="inlineStr">
        <is>
          <t>%</t>
        </is>
      </c>
      <c r="E24" s="49" t="inlineStr">
        <is>
          <t>↑</t>
        </is>
      </c>
      <c r="F24" s="15" t="inlineStr">
        <is>
          <t>🔴 رئيسي</t>
        </is>
      </c>
      <c r="G24" s="59" t="n">
        <v>0.04</v>
      </c>
      <c r="H24" s="59" t="n">
        <v>0.55</v>
      </c>
      <c r="I24" s="22" t="inlineStr">
        <is>
          <t>55%</t>
        </is>
      </c>
      <c r="J24" s="73" t="inlineStr">
        <is>
          <t>الابتكار</t>
        </is>
      </c>
      <c r="K24" s="11" t="inlineStr">
        <is>
          <t>تطوير التصاميم والهوية</t>
        </is>
      </c>
      <c r="L24" s="15" t="inlineStr">
        <is>
          <t>التعلّم والنمو</t>
        </is>
      </c>
      <c r="M24" s="60" t="n">
        <v>0.44</v>
      </c>
      <c r="N24" s="10">
        <f>IF($H24="","",IF($M24="","",MIN(1,IF($H24=0,IF($M24&lt;=0,1,0),IF($E24="↓",IFERROR($H24/$M24,0),IFERROR($M24/$H24,0))))))</f>
        <v/>
      </c>
      <c r="O24" s="20">
        <f>IF($N24="","⏳ بانتظار هدف",IF($N24&gt;=1.0,"✅ محقق",IF($N24&gt;=0.85,"🟡 قريب","🔴 تحت الهدف")))</f>
        <v/>
      </c>
      <c r="P24" s="74" t="inlineStr">
        <is>
          <t>قيمة/عدد المتحقّق من «التزام المحطات بالهوية المؤسسية» ÷ الإجمالي المستهدف لنفس البند × 100٪</t>
        </is>
      </c>
      <c r="Q24" s="74" t="inlineStr">
        <is>
          <t>نظام تشغيل المحطات</t>
        </is>
      </c>
      <c r="R24" s="15" t="inlineStr">
        <is>
          <t>شهري</t>
        </is>
      </c>
    </row>
    <row r="25" ht="26" customHeight="1">
      <c r="A25" s="20" t="n">
        <v>22</v>
      </c>
      <c r="B25" s="21" t="inlineStr">
        <is>
          <t>تجربة العملاء والشركاء</t>
        </is>
      </c>
      <c r="C25" s="21" t="inlineStr">
        <is>
          <t>متوسط تقييم المحطات على خرائط قوقل</t>
        </is>
      </c>
      <c r="D25" s="49" t="inlineStr">
        <is>
          <t>نجمة/5</t>
        </is>
      </c>
      <c r="E25" s="49" t="inlineStr">
        <is>
          <t>↑</t>
        </is>
      </c>
      <c r="F25" s="15" t="inlineStr">
        <is>
          <t>🔴 رئيسي</t>
        </is>
      </c>
      <c r="G25" s="59" t="n">
        <v>0.04</v>
      </c>
      <c r="H25" s="62" t="n">
        <v>4.7</v>
      </c>
      <c r="I25" s="22" t="inlineStr">
        <is>
          <t>≥ 4.7 نجمة</t>
        </is>
      </c>
      <c r="J25" s="73" t="inlineStr">
        <is>
          <t>الاستدامة</t>
        </is>
      </c>
      <c r="K25" s="11" t="inlineStr">
        <is>
          <t>تعزيز تجربة العملاء</t>
        </is>
      </c>
      <c r="L25" s="15" t="inlineStr">
        <is>
          <t>العملاء</t>
        </is>
      </c>
      <c r="M25" s="63" t="n">
        <v>3.474</v>
      </c>
      <c r="N25" s="10">
        <f>IF($H25="","",IF($M25="","",MIN(1,IF($H25=0,IF($M25&lt;=0,1,0),IF($E25="↓",IFERROR($H25/$M25,0),IFERROR($M25/$H25,0))))))</f>
        <v/>
      </c>
      <c r="O25" s="20">
        <f>IF($N25="","⏳ بانتظار هدف",IF($N25&gt;=1.0,"✅ محقق",IF($N25&gt;=0.85,"🟡 قريب","🔴 تحت الهدف")))</f>
        <v/>
      </c>
      <c r="P25" s="74" t="inlineStr">
        <is>
          <t>مجموع قيم «تقييم المحطات على خرائط قوقل» ÷ عدد المفردات المقيسة</t>
        </is>
      </c>
      <c r="Q25" s="74" t="inlineStr">
        <is>
          <t>تقييمات خرائط قوقل</t>
        </is>
      </c>
      <c r="R25" s="15" t="inlineStr">
        <is>
          <t>شهري</t>
        </is>
      </c>
    </row>
    <row r="26" ht="26" customHeight="1">
      <c r="A26" s="20" t="n">
        <v>23</v>
      </c>
      <c r="B26" s="21" t="inlineStr">
        <is>
          <t>تجربة العملاء والشركاء</t>
        </is>
      </c>
      <c r="C26" s="21" t="inlineStr">
        <is>
          <t>معدل رضا شركاء الامتياز (CSAT)</t>
        </is>
      </c>
      <c r="D26" s="49" t="inlineStr">
        <is>
          <t>%</t>
        </is>
      </c>
      <c r="E26" s="49" t="inlineStr">
        <is>
          <t>↑</t>
        </is>
      </c>
      <c r="F26" s="15" t="inlineStr">
        <is>
          <t>🔴 رئيسي</t>
        </is>
      </c>
      <c r="G26" s="59" t="n">
        <v>0.04</v>
      </c>
      <c r="H26" s="59" t="n">
        <v>0.9</v>
      </c>
      <c r="I26" s="22" t="inlineStr">
        <is>
          <t>90%+</t>
        </is>
      </c>
      <c r="J26" s="73" t="inlineStr">
        <is>
          <t>الاستدامة</t>
        </is>
      </c>
      <c r="K26" s="11" t="inlineStr">
        <is>
          <t>تعزيز تجربة العملاء</t>
        </is>
      </c>
      <c r="L26" s="15" t="inlineStr">
        <is>
          <t>العملاء</t>
        </is>
      </c>
      <c r="M26" s="60" t="n">
        <v>0.837</v>
      </c>
      <c r="N26" s="10">
        <f>IF($H26="","",IF($M26="","",MIN(1,IF($H26=0,IF($M26&lt;=0,1,0),IF($E26="↓",IFERROR($H26/$M26,0),IFERROR($M26/$H26,0))))))</f>
        <v/>
      </c>
      <c r="O26" s="20">
        <f>IF($N26="","⏳ بانتظار هدف",IF($N26&gt;=0.9,"✅ محقق",IF($N26&gt;=0.75,"🟡 قريب","🔴 تحت الهدف")))</f>
        <v/>
      </c>
      <c r="P26" s="74" t="inlineStr">
        <is>
          <t>عدد حالات «رضا شركاء الامتياز» خلال الفترة ÷ إجمالي الحالات القابلة للقياس × 100٪</t>
        </is>
      </c>
      <c r="Q26" s="74" t="inlineStr">
        <is>
          <t>استبيان دوري</t>
        </is>
      </c>
      <c r="R26" s="15" t="inlineStr">
        <is>
          <t>ربعي</t>
        </is>
      </c>
    </row>
    <row r="27" ht="26" customHeight="1">
      <c r="A27" s="20" t="n">
        <v>24</v>
      </c>
      <c r="B27" s="21" t="inlineStr">
        <is>
          <t>تجربة العملاء والشركاء</t>
        </is>
      </c>
      <c r="C27" s="21" t="inlineStr">
        <is>
          <t>نسبة حل الشكاوى خلال المدة المحددة</t>
        </is>
      </c>
      <c r="D27" s="49" t="inlineStr">
        <is>
          <t>%</t>
        </is>
      </c>
      <c r="E27" s="49" t="inlineStr">
        <is>
          <t>↑</t>
        </is>
      </c>
      <c r="F27" s="15" t="inlineStr">
        <is>
          <t>🟠 مهم</t>
        </is>
      </c>
      <c r="G27" s="59" t="n">
        <v>0.03</v>
      </c>
      <c r="H27" s="59" t="n">
        <v>0.95</v>
      </c>
      <c r="I27" s="22" t="inlineStr">
        <is>
          <t>95%+</t>
        </is>
      </c>
      <c r="J27" s="73" t="inlineStr">
        <is>
          <t>الاستدامة</t>
        </is>
      </c>
      <c r="K27" s="11" t="inlineStr">
        <is>
          <t>تعزيز تجربة العملاء</t>
        </is>
      </c>
      <c r="L27" s="15" t="inlineStr">
        <is>
          <t>العملاء</t>
        </is>
      </c>
      <c r="M27" s="60" t="n">
        <v>0.922</v>
      </c>
      <c r="N27" s="10">
        <f>IF($H27="","",IF($M27="","",MIN(1,IF($H27=0,IF($M27&lt;=0,1,0),IF($E27="↓",IFERROR($H27/$M27,0),IFERROR($M27/$H27,0))))))</f>
        <v/>
      </c>
      <c r="O27" s="20">
        <f>IF($N27="","⏳ بانتظار هدف",IF($N27&gt;=1.0,"✅ محقق",IF($N27&gt;=0.85,"🟡 قريب","🔴 تحت الهدف")))</f>
        <v/>
      </c>
      <c r="P27" s="74" t="inlineStr">
        <is>
          <t>قيمة/عدد المتحقّق من «حل الشكاوى خلال المدة المحددة» ÷ الإجمالي المستهدف لنفس البند × 100٪</t>
        </is>
      </c>
      <c r="Q27" s="74" t="inlineStr">
        <is>
          <t>سجلات الإدارة</t>
        </is>
      </c>
      <c r="R27" s="15" t="inlineStr">
        <is>
          <t>شهري</t>
        </is>
      </c>
    </row>
    <row r="28" ht="26" customHeight="1">
      <c r="A28" s="20" t="n">
        <v>25</v>
      </c>
      <c r="B28" s="21" t="inlineStr">
        <is>
          <t>تجربة العملاء والشركاء</t>
        </is>
      </c>
      <c r="C28" s="21" t="inlineStr">
        <is>
          <t>نسبة انخفاض الشكاوى التشغيلية والإدارية</t>
        </is>
      </c>
      <c r="D28" s="49" t="inlineStr">
        <is>
          <t>%</t>
        </is>
      </c>
      <c r="E28" s="49" t="inlineStr">
        <is>
          <t>↑</t>
        </is>
      </c>
      <c r="F28" s="15" t="inlineStr">
        <is>
          <t>🟠 مهم</t>
        </is>
      </c>
      <c r="G28" s="59" t="n">
        <v>0.03</v>
      </c>
      <c r="H28" s="59" t="n">
        <v>0.3</v>
      </c>
      <c r="I28" s="22" t="inlineStr">
        <is>
          <t>≥ 30%</t>
        </is>
      </c>
      <c r="J28" s="73" t="inlineStr">
        <is>
          <t>الاستدامة</t>
        </is>
      </c>
      <c r="K28" s="11" t="inlineStr">
        <is>
          <t>تعزيز تجربة العملاء</t>
        </is>
      </c>
      <c r="L28" s="15" t="inlineStr">
        <is>
          <t>العملاء</t>
        </is>
      </c>
      <c r="M28" s="60" t="n">
        <v>0.274</v>
      </c>
      <c r="N28" s="10">
        <f>IF($H28="","",IF($M28="","",MIN(1,IF($H28=0,IF($M28&lt;=0,1,0),IF($E28="↓",IFERROR($H28/$M28,0),IFERROR($M28/$H28,0))))))</f>
        <v/>
      </c>
      <c r="O28" s="20">
        <f>IF($N28="","⏳ بانتظار هدف",IF($N28&gt;=1.0,"✅ محقق",IF($N28&gt;=0.85,"🟡 قريب","🔴 تحت الهدف")))</f>
        <v/>
      </c>
      <c r="P28" s="74" t="inlineStr">
        <is>
          <t>قيمة/عدد المتحقّق من «انخفاض الشكاوى التشغيلية والإدارية» ÷ الإجمالي المستهدف لنفس البند × 100٪</t>
        </is>
      </c>
      <c r="Q28" s="74" t="inlineStr">
        <is>
          <t>سجلات الإدارة</t>
        </is>
      </c>
      <c r="R28" s="15" t="inlineStr">
        <is>
          <t>شهري</t>
        </is>
      </c>
    </row>
    <row r="29" ht="26" customHeight="1">
      <c r="A29" s="20" t="n">
        <v>26</v>
      </c>
      <c r="B29" s="21" t="inlineStr">
        <is>
          <t>استدامة الشراكة والامتثال</t>
        </is>
      </c>
      <c r="C29" s="21" t="inlineStr">
        <is>
          <t>نسبة استدامة أصحاب الامتياز (Retention)</t>
        </is>
      </c>
      <c r="D29" s="49" t="inlineStr">
        <is>
          <t>%</t>
        </is>
      </c>
      <c r="E29" s="49" t="inlineStr">
        <is>
          <t>↑</t>
        </is>
      </c>
      <c r="F29" s="15" t="inlineStr">
        <is>
          <t>🟠 مهم</t>
        </is>
      </c>
      <c r="G29" s="59" t="n">
        <v>0.03</v>
      </c>
      <c r="H29" s="59" t="n">
        <v>0.9</v>
      </c>
      <c r="I29" s="22" t="inlineStr">
        <is>
          <t>90%</t>
        </is>
      </c>
      <c r="J29" s="73" t="inlineStr">
        <is>
          <t>الاستدامة</t>
        </is>
      </c>
      <c r="K29" s="11" t="inlineStr">
        <is>
          <t>تعزيز تجربة العملاء</t>
        </is>
      </c>
      <c r="L29" s="15" t="inlineStr">
        <is>
          <t>العمليات الداخلية</t>
        </is>
      </c>
      <c r="M29" s="60" t="n">
        <v>0.853</v>
      </c>
      <c r="N29" s="10">
        <f>IF($H29="","",IF($M29="","",MIN(1,IF($H29=0,IF($M29&lt;=0,1,0),IF($E29="↓",IFERROR($H29/$M29,0),IFERROR($M29/$H29,0))))))</f>
        <v/>
      </c>
      <c r="O29" s="20">
        <f>IF($N29="","⏳ بانتظار هدف",IF($N29&gt;=1.0,"✅ محقق",IF($N29&gt;=0.85,"🟡 قريب","🔴 تحت الهدف")))</f>
        <v/>
      </c>
      <c r="P29" s="74" t="inlineStr">
        <is>
          <t>قيمة/عدد المتحقّق من «استدامة أصحاب الامتياز» ÷ الإجمالي المستهدف لنفس البند × 100٪</t>
        </is>
      </c>
      <c r="Q29" s="74" t="inlineStr">
        <is>
          <t>نظام إدارة الجودة (QMS)</t>
        </is>
      </c>
      <c r="R29" s="15" t="inlineStr">
        <is>
          <t>شهري</t>
        </is>
      </c>
    </row>
    <row r="30" ht="26" customHeight="1">
      <c r="A30" s="20" t="n">
        <v>27</v>
      </c>
      <c r="B30" s="21" t="inlineStr">
        <is>
          <t>استدامة الشراكة والامتثال</t>
        </is>
      </c>
      <c r="C30" s="21" t="inlineStr">
        <is>
          <t>نسبة زيادة عدد أصحاب الامتياز</t>
        </is>
      </c>
      <c r="D30" s="49" t="inlineStr">
        <is>
          <t>%</t>
        </is>
      </c>
      <c r="E30" s="49" t="inlineStr">
        <is>
          <t>↑</t>
        </is>
      </c>
      <c r="F30" s="15" t="inlineStr">
        <is>
          <t>🟠 مهم</t>
        </is>
      </c>
      <c r="G30" s="59" t="n">
        <v>0.02</v>
      </c>
      <c r="H30" s="59" t="n">
        <v>1</v>
      </c>
      <c r="I30" s="22" t="inlineStr">
        <is>
          <t>100% نمو</t>
        </is>
      </c>
      <c r="J30" s="73" t="inlineStr">
        <is>
          <t>الاستدامة</t>
        </is>
      </c>
      <c r="K30" s="11" t="inlineStr">
        <is>
          <t>تعزيز تجربة العملاء</t>
        </is>
      </c>
      <c r="L30" s="15" t="inlineStr">
        <is>
          <t>العمليات الداخلية</t>
        </is>
      </c>
      <c r="M30" s="60" t="n">
        <v>0.8100000000000001</v>
      </c>
      <c r="N30" s="10">
        <f>IF($H30="","",IF($M30="","",MIN(1,IF($H30=0,IF($M30&lt;=0,1,0),IF($E30="↓",IFERROR($H30/$M30,0),IFERROR($M30/$H30,0))))))</f>
        <v/>
      </c>
      <c r="O30" s="20">
        <f>IF($N30="","⏳ بانتظار هدف",IF($N30&gt;=1.0,"✅ محقق",IF($N30&gt;=0.85,"🟡 قريب","🔴 تحت الهدف")))</f>
        <v/>
      </c>
      <c r="P30" s="74" t="inlineStr">
        <is>
          <t>قيمة/عدد المتحقّق من «زيادة عدد أصحاب الامتياز» ÷ الإجمالي المستهدف لنفس البند × 100٪</t>
        </is>
      </c>
      <c r="Q30" s="74" t="inlineStr">
        <is>
          <t>نظام إدارة الجودة (QMS)</t>
        </is>
      </c>
      <c r="R30" s="15" t="inlineStr">
        <is>
          <t>شهري</t>
        </is>
      </c>
    </row>
    <row r="31" ht="26" customHeight="1">
      <c r="A31" s="20" t="n">
        <v>28</v>
      </c>
      <c r="B31" s="21" t="inlineStr">
        <is>
          <t>استدامة الشراكة والامتثال</t>
        </is>
      </c>
      <c r="C31" s="21" t="inlineStr">
        <is>
          <t>متوسط مدة إغلاق عقد الامتياز</t>
        </is>
      </c>
      <c r="D31" s="49" t="inlineStr">
        <is>
          <t>أسبوع</t>
        </is>
      </c>
      <c r="E31" s="49" t="inlineStr">
        <is>
          <t>↓</t>
        </is>
      </c>
      <c r="F31" s="15" t="inlineStr">
        <is>
          <t>🔴 رئيسي</t>
        </is>
      </c>
      <c r="G31" s="59" t="n">
        <v>0.04</v>
      </c>
      <c r="H31" s="62" t="n">
        <v>1</v>
      </c>
      <c r="I31" s="22" t="inlineStr">
        <is>
          <t>≤ أسبوع</t>
        </is>
      </c>
      <c r="J31" s="73" t="inlineStr">
        <is>
          <t>النمو</t>
        </is>
      </c>
      <c r="K31" s="11" t="inlineStr">
        <is>
          <t>الامتياز التجاري</t>
        </is>
      </c>
      <c r="L31" s="15" t="inlineStr">
        <is>
          <t>العمليات الداخلية</t>
        </is>
      </c>
      <c r="M31" s="63" t="n">
        <v>0.899</v>
      </c>
      <c r="N31" s="10">
        <f>IF($H31="","",IF($M31="","",MIN(1,IF($H31=0,IF($M31&lt;=0,1,0),IF($E31="↓",IFERROR($H31/$M31,0),IFERROR($M31/$H31,0))))))</f>
        <v/>
      </c>
      <c r="O31" s="20">
        <f>IF($N31="","⏳ بانتظار هدف",IF($N31&gt;=1.0,"✅ محقق",IF($N31&gt;=0.85,"🟡 قريب","🔴 تحت الهدف")))</f>
        <v/>
      </c>
      <c r="P31" s="74" t="inlineStr">
        <is>
          <t>مجموع قيم «مدة إغلاق عقد الامتياز» ÷ عدد المفردات المقيسة</t>
        </is>
      </c>
      <c r="Q31" s="74" t="inlineStr">
        <is>
          <t>نظام إدارة الجودة (QMS)</t>
        </is>
      </c>
      <c r="R31" s="15" t="inlineStr">
        <is>
          <t>شهري</t>
        </is>
      </c>
    </row>
    <row r="32" ht="26" customHeight="1">
      <c r="A32" s="20" t="n">
        <v>29</v>
      </c>
      <c r="B32" s="21" t="inlineStr">
        <is>
          <t>الأداء المالي</t>
        </is>
      </c>
      <c r="C32" s="21" t="inlineStr">
        <is>
          <t>نسبة التحصيل خلال 5 أيام عمل</t>
        </is>
      </c>
      <c r="D32" s="49" t="inlineStr">
        <is>
          <t>%</t>
        </is>
      </c>
      <c r="E32" s="49" t="inlineStr">
        <is>
          <t>↑</t>
        </is>
      </c>
      <c r="F32" s="15" t="inlineStr">
        <is>
          <t>🔴 رئيسي</t>
        </is>
      </c>
      <c r="G32" s="59" t="n">
        <v>0.04</v>
      </c>
      <c r="H32" s="59" t="n">
        <v>0.9</v>
      </c>
      <c r="I32" s="22" t="inlineStr">
        <is>
          <t>≥ 90%</t>
        </is>
      </c>
      <c r="J32" s="73" t="inlineStr">
        <is>
          <t>الاستدامة</t>
        </is>
      </c>
      <c r="K32" s="11" t="inlineStr">
        <is>
          <t>الامتياز التجاري</t>
        </is>
      </c>
      <c r="L32" s="15" t="inlineStr">
        <is>
          <t>مالي</t>
        </is>
      </c>
      <c r="M32" s="60" t="n">
        <v>0.652</v>
      </c>
      <c r="N32" s="10">
        <f>IF($H32="","",IF($M32="","",MIN(1,IF($H32=0,IF($M32&lt;=0,1,0),IF($E32="↓",IFERROR($H32/$M32,0),IFERROR($M32/$H32,0))))))</f>
        <v/>
      </c>
      <c r="O32" s="20">
        <f>IF($N32="","⏳ بانتظار هدف",IF($N32&gt;=1.0,"✅ محقق",IF($N32&gt;=0.85,"🟡 قريب","🔴 تحت الهدف")))</f>
        <v/>
      </c>
      <c r="P32" s="74" t="inlineStr">
        <is>
          <t>قيمة/عدد المتحقّق من «التحصيل خلال 5 أيام عمل» ÷ الإجمالي المستهدف لنفس البند × 100٪</t>
        </is>
      </c>
      <c r="Q32" s="74" t="inlineStr">
        <is>
          <t>نظام المحاسبة / ERP (D365)</t>
        </is>
      </c>
      <c r="R32" s="15" t="inlineStr">
        <is>
          <t>شهري</t>
        </is>
      </c>
    </row>
  </sheetData>
  <autoFilter ref="A3:R32"/>
  <mergeCells count="2">
    <mergeCell ref="A2:R2"/>
    <mergeCell ref="A1:R1"/>
  </mergeCells>
  <dataValidations count="1">
    <dataValidation sqref="M4 M5 M6 M7 M8 M9 M10 M11 M12 M13 M14 M15 M16 M17 M18 M19 M20 M21 M22 M23 M24 M25 M26 M27 M28 M29 M30 M31 M32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R7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التشغيل والمحطات · مؤشرات الأداء 2026</t>
        </is>
      </c>
    </row>
    <row r="2">
      <c r="A2" s="72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21" t="inlineStr">
        <is>
          <t>النمو</t>
        </is>
      </c>
      <c r="C4" s="21" t="inlineStr">
        <is>
          <t>عدد المحطات المشغّلة (تراكمي)</t>
        </is>
      </c>
      <c r="D4" s="49" t="inlineStr">
        <is>
          <t>محطة</t>
        </is>
      </c>
      <c r="E4" s="49" t="inlineStr">
        <is>
          <t>↑</t>
        </is>
      </c>
      <c r="F4" s="15" t="inlineStr">
        <is>
          <t>🔴 رئيسي</t>
        </is>
      </c>
      <c r="G4" s="59" t="n">
        <v>0.34</v>
      </c>
      <c r="H4" s="55" t="n">
        <v>85</v>
      </c>
      <c r="I4" s="22" t="inlineStr">
        <is>
          <t>85 محطة</t>
        </is>
      </c>
      <c r="J4" s="73" t="inlineStr">
        <is>
          <t>النمو</t>
        </is>
      </c>
      <c r="K4" s="11" t="inlineStr">
        <is>
          <t>التوسع في المواقع</t>
        </is>
      </c>
      <c r="L4" s="15" t="inlineStr">
        <is>
          <t>العمليات الداخلية</t>
        </is>
      </c>
      <c r="M4" s="56" t="n">
        <v>78.5</v>
      </c>
      <c r="N4" s="10">
        <f>IF($H4="","",IF($M4="","",MIN(1,IF($H4=0,IF($M4&lt;=0,1,0),IF($E4="↓",IFERROR($H4/$M4,0),IFERROR($M4/$H4,0))))))</f>
        <v/>
      </c>
      <c r="O4" s="20">
        <f>IF($N4="","⏳ بانتظار هدف",IF($N4&gt;=1.0,"✅ محقق",IF($N4&gt;=0.85,"🟡 قريب","🔴 تحت الهدف")))</f>
        <v/>
      </c>
      <c r="P4" s="74" t="inlineStr">
        <is>
          <t>إجمالي عدد «المحطات المشغّلة» تراكمياً حتى نهاية الفترة</t>
        </is>
      </c>
      <c r="Q4" s="74" t="inlineStr">
        <is>
          <t>نظام تشغيل المحطات</t>
        </is>
      </c>
      <c r="R4" s="15" t="inlineStr">
        <is>
          <t>شهري</t>
        </is>
      </c>
    </row>
    <row r="5" ht="26" customHeight="1">
      <c r="A5" s="20" t="n">
        <v>2</v>
      </c>
      <c r="B5" s="21" t="inlineStr">
        <is>
          <t>الربحية</t>
        </is>
      </c>
      <c r="C5" s="21" t="inlineStr">
        <is>
          <t>نمو مبيعات الوقود مقارنة بالعام السابق</t>
        </is>
      </c>
      <c r="D5" s="49" t="inlineStr">
        <is>
          <t>%</t>
        </is>
      </c>
      <c r="E5" s="49" t="inlineStr">
        <is>
          <t>↑</t>
        </is>
      </c>
      <c r="F5" s="15" t="inlineStr">
        <is>
          <t>🔴 رئيسي</t>
        </is>
      </c>
      <c r="G5" s="59" t="n">
        <v>0.33</v>
      </c>
      <c r="H5" s="59" t="n">
        <v>0.1</v>
      </c>
      <c r="I5" s="22" t="inlineStr">
        <is>
          <t>≥ 10%</t>
        </is>
      </c>
      <c r="J5" s="73" t="inlineStr">
        <is>
          <t>النمو</t>
        </is>
      </c>
      <c r="K5" s="11" t="inlineStr">
        <is>
          <t>زيادة وصول العملاء</t>
        </is>
      </c>
      <c r="L5" s="15" t="inlineStr">
        <is>
          <t>مالي</t>
        </is>
      </c>
      <c r="M5" s="60" t="n">
        <v>0.09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74" t="inlineStr">
        <is>
          <t>القيمة المتحقّقة من «نمو مبيعات الوقود مقارنة بالعام السابق» ÷ المستهدف × 100٪</t>
        </is>
      </c>
      <c r="Q5" s="74" t="inlineStr">
        <is>
          <t>نظام المحاسبة / ERP (D365)</t>
        </is>
      </c>
      <c r="R5" s="15" t="inlineStr">
        <is>
          <t>شهري</t>
        </is>
      </c>
    </row>
    <row r="6" ht="26" customHeight="1">
      <c r="A6" s="20" t="n">
        <v>3</v>
      </c>
      <c r="B6" s="21" t="inlineStr">
        <is>
          <t>تجربة العميل</t>
        </is>
      </c>
      <c r="C6" s="21" t="inlineStr">
        <is>
          <t>نسبة انخفاض الشكاوى مقارنة بالعام السابق</t>
        </is>
      </c>
      <c r="D6" s="49" t="inlineStr">
        <is>
          <t>%</t>
        </is>
      </c>
      <c r="E6" s="49" t="inlineStr">
        <is>
          <t>↑</t>
        </is>
      </c>
      <c r="F6" s="15" t="inlineStr">
        <is>
          <t>🟠 مهم</t>
        </is>
      </c>
      <c r="G6" s="59" t="n">
        <v>0.22</v>
      </c>
      <c r="H6" s="59" t="n">
        <v>0.2</v>
      </c>
      <c r="I6" s="22" t="inlineStr">
        <is>
          <t>≥ 20%</t>
        </is>
      </c>
      <c r="J6" s="73" t="inlineStr">
        <is>
          <t>الاستدامة</t>
        </is>
      </c>
      <c r="K6" s="11" t="inlineStr">
        <is>
          <t>تعزيز تجربة العملاء</t>
        </is>
      </c>
      <c r="L6" s="15" t="inlineStr">
        <is>
          <t>العملاء</t>
        </is>
      </c>
      <c r="M6" s="60" t="n">
        <v>0.163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74" t="inlineStr">
        <is>
          <t>قيمة/عدد المتحقّق من «انخفاض الشكاوى مقارنة بالعام السابق» ÷ الإجمالي المستهدف لنفس البند × 100٪</t>
        </is>
      </c>
      <c r="Q6" s="74" t="inlineStr">
        <is>
          <t>سجلات الإدارة</t>
        </is>
      </c>
      <c r="R6" s="15" t="inlineStr">
        <is>
          <t>شهري</t>
        </is>
      </c>
    </row>
    <row r="7" ht="26" customHeight="1">
      <c r="A7" s="20" t="n">
        <v>4</v>
      </c>
      <c r="B7" s="21" t="inlineStr">
        <is>
          <t>الجودة</t>
        </is>
      </c>
      <c r="C7" s="21" t="inlineStr">
        <is>
          <t>تطبيق المعيار الشامل في المحطات</t>
        </is>
      </c>
      <c r="D7" s="49" t="inlineStr">
        <is>
          <t>%</t>
        </is>
      </c>
      <c r="E7" s="49" t="inlineStr">
        <is>
          <t>↑</t>
        </is>
      </c>
      <c r="F7" s="15" t="inlineStr">
        <is>
          <t>🟡 متابعة</t>
        </is>
      </c>
      <c r="G7" s="59" t="n">
        <v>0.11</v>
      </c>
      <c r="H7" s="59" t="n">
        <v>0.8</v>
      </c>
      <c r="I7" s="22" t="inlineStr">
        <is>
          <t>≥ 80%</t>
        </is>
      </c>
      <c r="J7" s="73" t="inlineStr">
        <is>
          <t>الابتكار</t>
        </is>
      </c>
      <c r="K7" s="11" t="inlineStr">
        <is>
          <t>التحول التقني</t>
        </is>
      </c>
      <c r="L7" s="15" t="inlineStr">
        <is>
          <t>التعلّم والنمو</t>
        </is>
      </c>
      <c r="M7" s="60" t="n">
        <v>0.787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74" t="inlineStr">
        <is>
          <t>القيمة المتحقّقة من «تطبيق المعيار الشامل في المحطات» ÷ المستهدف × 100٪</t>
        </is>
      </c>
      <c r="Q7" s="74" t="inlineStr">
        <is>
          <t>نظام إدارة الجودة (QMS)</t>
        </is>
      </c>
      <c r="R7" s="15" t="inlineStr">
        <is>
          <t>شهري</t>
        </is>
      </c>
    </row>
  </sheetData>
  <autoFilter ref="A3:R7"/>
  <mergeCells count="2">
    <mergeCell ref="A2:R2"/>
    <mergeCell ref="A1:R1"/>
  </mergeCells>
  <dataValidations count="1">
    <dataValidation sqref="M4 M5 M6 M7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R8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الاستثمار · مؤشرات الأداء 2026</t>
        </is>
      </c>
    </row>
    <row r="2">
      <c r="A2" s="72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21" t="inlineStr">
        <is>
          <t>الفرص والنمو</t>
        </is>
      </c>
      <c r="C4" s="21" t="inlineStr">
        <is>
          <t>عدد فرص الاستثمار</t>
        </is>
      </c>
      <c r="D4" s="49" t="inlineStr">
        <is>
          <t>فرصة</t>
        </is>
      </c>
      <c r="E4" s="49" t="inlineStr">
        <is>
          <t>↑</t>
        </is>
      </c>
      <c r="F4" s="15" t="inlineStr">
        <is>
          <t>🟠 مهم</t>
        </is>
      </c>
      <c r="G4" s="59" t="n">
        <v>0.14</v>
      </c>
      <c r="H4" s="55" t="n">
        <v>20</v>
      </c>
      <c r="I4" s="22" t="inlineStr">
        <is>
          <t>≥ 20 فرصة</t>
        </is>
      </c>
      <c r="J4" s="73" t="inlineStr">
        <is>
          <t>النمو</t>
        </is>
      </c>
      <c r="K4" s="11" t="inlineStr">
        <is>
          <t>التوسع في المواقع</t>
        </is>
      </c>
      <c r="L4" s="15" t="inlineStr">
        <is>
          <t>العمليات الداخلية</t>
        </is>
      </c>
      <c r="M4" s="56" t="n">
        <v>21</v>
      </c>
      <c r="N4" s="10">
        <f>IF($H4="","",IF($M4="","",MIN(1,IF($H4=0,IF($M4&lt;=0,1,0),IF($E4="↓",IFERROR($H4/$M4,0),IFERROR($M4/$H4,0))))))</f>
        <v/>
      </c>
      <c r="O4" s="20">
        <f>IF($N4="","⏳ بانتظار هدف",IF($N4&gt;=1.0,"✅ محقق",IF($N4&gt;=0.85,"🟡 قريب","🔴 تحت الهدف")))</f>
        <v/>
      </c>
      <c r="P4" s="74" t="inlineStr">
        <is>
          <t>إجمالي عدد «فرص الاستثمار» المُسجّلة خلال الفترة</t>
        </is>
      </c>
      <c r="Q4" s="74" t="inlineStr">
        <is>
          <t>نظام إدارة العقود (CRM)</t>
        </is>
      </c>
      <c r="R4" s="15" t="inlineStr">
        <is>
          <t>شهري</t>
        </is>
      </c>
    </row>
    <row r="5" ht="26" customHeight="1">
      <c r="A5" s="20" t="n">
        <v>2</v>
      </c>
      <c r="B5" s="21" t="inlineStr">
        <is>
          <t>الربحية وجودة الموقع</t>
        </is>
      </c>
      <c r="C5" s="21" t="inlineStr">
        <is>
          <t>نسبة المواقع المشغّلة ذات العائد المجدي</t>
        </is>
      </c>
      <c r="D5" s="49" t="inlineStr">
        <is>
          <t>%</t>
        </is>
      </c>
      <c r="E5" s="49" t="inlineStr">
        <is>
          <t>↑</t>
        </is>
      </c>
      <c r="F5" s="15" t="inlineStr">
        <is>
          <t>🔴 رئيسي</t>
        </is>
      </c>
      <c r="G5" s="59" t="n">
        <v>0.22</v>
      </c>
      <c r="H5" s="59" t="n">
        <v>0.8</v>
      </c>
      <c r="I5" s="22" t="inlineStr">
        <is>
          <t>≥ 80%</t>
        </is>
      </c>
      <c r="J5" s="73" t="inlineStr">
        <is>
          <t>الاستدامة</t>
        </is>
      </c>
      <c r="K5" s="11" t="inlineStr">
        <is>
          <t>التوسع في المواقع</t>
        </is>
      </c>
      <c r="L5" s="15" t="inlineStr">
        <is>
          <t>مالي</t>
        </is>
      </c>
      <c r="M5" s="60" t="n">
        <v>0.748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74" t="inlineStr">
        <is>
          <t>قيمة/عدد المتحقّق من «المواقع المشغّلة ذات العائد المجدي» ÷ الإجمالي المستهدف لنفس البند × 100٪</t>
        </is>
      </c>
      <c r="Q5" s="74" t="inlineStr">
        <is>
          <t>نظام المحاسبة / ERP (D365)</t>
        </is>
      </c>
      <c r="R5" s="15" t="inlineStr">
        <is>
          <t>شهري</t>
        </is>
      </c>
    </row>
    <row r="6" ht="26" customHeight="1">
      <c r="A6" s="20" t="n">
        <v>3</v>
      </c>
      <c r="B6" s="21" t="inlineStr">
        <is>
          <t>جودة التعاقد</t>
        </is>
      </c>
      <c r="C6" s="21" t="inlineStr">
        <is>
          <t>مدى رضا المستثمرين وشركاء الاستثمار</t>
        </is>
      </c>
      <c r="D6" s="49" t="inlineStr">
        <is>
          <t>%</t>
        </is>
      </c>
      <c r="E6" s="49" t="inlineStr">
        <is>
          <t>↑</t>
        </is>
      </c>
      <c r="F6" s="15" t="inlineStr">
        <is>
          <t>🔴 رئيسي</t>
        </is>
      </c>
      <c r="G6" s="59" t="n">
        <v>0.22</v>
      </c>
      <c r="H6" s="59" t="n">
        <v>0.8</v>
      </c>
      <c r="I6" s="22" t="inlineStr">
        <is>
          <t>≥ 80%</t>
        </is>
      </c>
      <c r="J6" s="73" t="inlineStr">
        <is>
          <t>الاستدامة</t>
        </is>
      </c>
      <c r="K6" s="11" t="inlineStr">
        <is>
          <t>تعزيز تجربة العملاء</t>
        </is>
      </c>
      <c r="L6" s="15" t="inlineStr">
        <is>
          <t>العملاء</t>
        </is>
      </c>
      <c r="M6" s="60" t="n">
        <v>0.786</v>
      </c>
      <c r="N6" s="10">
        <f>IF($H6="","",IF($M6="","",MIN(1,IF($H6=0,IF($M6&lt;=0,1,0),IF($E6="↓",IFERROR($H6/$M6,0),IFERROR($M6/$H6,0))))))</f>
        <v/>
      </c>
      <c r="O6" s="20">
        <f>IF($N6="","⏳ بانتظار هدف",IF($N6&gt;=0.9,"✅ محقق",IF($N6&gt;=0.75,"🟡 قريب","🔴 تحت الهدف")))</f>
        <v/>
      </c>
      <c r="P6" s="74" t="inlineStr">
        <is>
          <t>القيمة المتحقّقة من «مدى رضا المستثمرين وشركاء الاستثمار» ÷ المستهدف × 100٪</t>
        </is>
      </c>
      <c r="Q6" s="74" t="inlineStr">
        <is>
          <t>استبيان دوري</t>
        </is>
      </c>
      <c r="R6" s="15" t="inlineStr">
        <is>
          <t>ربعي</t>
        </is>
      </c>
    </row>
    <row r="7" ht="26" customHeight="1">
      <c r="A7" s="20" t="n">
        <v>4</v>
      </c>
      <c r="B7" s="21" t="inlineStr">
        <is>
          <t>كفاءة الدورة</t>
        </is>
      </c>
      <c r="C7" s="21" t="inlineStr">
        <is>
          <t>متوسط مدة إغلاق عقد الاستثمار</t>
        </is>
      </c>
      <c r="D7" s="49" t="inlineStr">
        <is>
          <t>أسبوع</t>
        </is>
      </c>
      <c r="E7" s="49" t="inlineStr">
        <is>
          <t>↓</t>
        </is>
      </c>
      <c r="F7" s="15" t="inlineStr">
        <is>
          <t>🔴 رئيسي</t>
        </is>
      </c>
      <c r="G7" s="59" t="n">
        <v>0.21</v>
      </c>
      <c r="H7" s="62" t="n">
        <v>1</v>
      </c>
      <c r="I7" s="22" t="inlineStr">
        <is>
          <t>≤ أسبوع</t>
        </is>
      </c>
      <c r="J7" s="73" t="inlineStr">
        <is>
          <t>النمو</t>
        </is>
      </c>
      <c r="K7" s="11" t="inlineStr">
        <is>
          <t>التوسع في المواقع</t>
        </is>
      </c>
      <c r="L7" s="15" t="inlineStr">
        <is>
          <t>العمليات الداخلية</t>
        </is>
      </c>
      <c r="M7" s="63" t="n">
        <v>0.912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74" t="inlineStr">
        <is>
          <t>مجموع قيم «مدة إغلاق عقد الاستثمار» ÷ عدد المفردات المقيسة</t>
        </is>
      </c>
      <c r="Q7" s="74" t="inlineStr">
        <is>
          <t>نظام إدارة العقود (CRM)</t>
        </is>
      </c>
      <c r="R7" s="15" t="inlineStr">
        <is>
          <t>شهري</t>
        </is>
      </c>
    </row>
    <row r="8" ht="26" customHeight="1">
      <c r="A8" s="20" t="n">
        <v>5</v>
      </c>
      <c r="B8" s="21" t="inlineStr">
        <is>
          <t>التوسع الإقليمي</t>
        </is>
      </c>
      <c r="C8" s="21" t="inlineStr">
        <is>
          <t>عدد العقود التي تغطي المناطق الـ13</t>
        </is>
      </c>
      <c r="D8" s="49" t="inlineStr">
        <is>
          <t>عقد</t>
        </is>
      </c>
      <c r="E8" s="49" t="inlineStr">
        <is>
          <t>↑</t>
        </is>
      </c>
      <c r="F8" s="15" t="inlineStr">
        <is>
          <t>🔴 رئيسي</t>
        </is>
      </c>
      <c r="G8" s="59" t="n">
        <v>0.21</v>
      </c>
      <c r="H8" s="55" t="n">
        <v>13</v>
      </c>
      <c r="I8" s="22" t="inlineStr">
        <is>
          <t>≥ 13 عقد</t>
        </is>
      </c>
      <c r="J8" s="73" t="inlineStr">
        <is>
          <t>النمو</t>
        </is>
      </c>
      <c r="K8" s="11" t="inlineStr">
        <is>
          <t>زيادة وصول العملاء</t>
        </is>
      </c>
      <c r="L8" s="15" t="inlineStr">
        <is>
          <t>العمليات الداخلية</t>
        </is>
      </c>
      <c r="M8" s="56" t="n">
        <v>12.1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74" t="inlineStr">
        <is>
          <t>إجمالي عدد «العقود التي تغطي المناطق الـ13» تراكمياً حتى نهاية الفترة</t>
        </is>
      </c>
      <c r="Q8" s="74" t="inlineStr">
        <is>
          <t>نظام إدارة العقود (CRM)</t>
        </is>
      </c>
      <c r="R8" s="15" t="inlineStr">
        <is>
          <t>شهري</t>
        </is>
      </c>
    </row>
  </sheetData>
  <autoFilter ref="A3:R8"/>
  <mergeCells count="2">
    <mergeCell ref="A2:R2"/>
    <mergeCell ref="A1:R1"/>
  </mergeCells>
  <dataValidations count="1">
    <dataValidation sqref="M4 M5 M6 M7 M8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R7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العقار · مؤشرات الأداء 2026</t>
        </is>
      </c>
    </row>
    <row r="2">
      <c r="A2" s="72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21" t="inlineStr">
        <is>
          <t>التأجير</t>
        </is>
      </c>
      <c r="C4" s="21" t="inlineStr">
        <is>
          <t>نسبة إشغال الوحدات</t>
        </is>
      </c>
      <c r="D4" s="49" t="inlineStr">
        <is>
          <t>%</t>
        </is>
      </c>
      <c r="E4" s="49" t="inlineStr">
        <is>
          <t>↑</t>
        </is>
      </c>
      <c r="F4" s="15" t="inlineStr">
        <is>
          <t>🟠 مهم</t>
        </is>
      </c>
      <c r="G4" s="59" t="n">
        <v>0.2</v>
      </c>
      <c r="H4" s="59" t="n">
        <v>0.6</v>
      </c>
      <c r="I4" s="22" t="inlineStr">
        <is>
          <t>≥ 60%</t>
        </is>
      </c>
      <c r="J4" s="73" t="inlineStr">
        <is>
          <t>الاستدامة</t>
        </is>
      </c>
      <c r="K4" s="11" t="inlineStr">
        <is>
          <t>منظومة التأجير</t>
        </is>
      </c>
      <c r="L4" s="15" t="inlineStr">
        <is>
          <t>العمليات الداخلية</t>
        </is>
      </c>
      <c r="M4" s="60" t="n">
        <v>0.545</v>
      </c>
      <c r="N4" s="10">
        <f>IF($H4="","",IF($M4="","",MIN(1,IF($H4=0,IF($M4&lt;=0,1,0),IF($E4="↓",IFERROR($H4/$M4,0),IFERROR($M4/$H4,0))))))</f>
        <v/>
      </c>
      <c r="O4" s="20">
        <f>IF($N4="","⏳ بانتظار هدف",IF($N4&gt;=1.0,"✅ محقق",IF($N4&gt;=0.85,"🟡 قريب","🔴 تحت الهدف")))</f>
        <v/>
      </c>
      <c r="P4" s="74" t="inlineStr">
        <is>
          <t>قيمة/عدد المتحقّق من «إشغال الوحدات» ÷ الإجمالي المستهدف لنفس البند × 100٪</t>
        </is>
      </c>
      <c r="Q4" s="74" t="inlineStr">
        <is>
          <t>نظام إدارة العقود (CRM)</t>
        </is>
      </c>
      <c r="R4" s="15" t="inlineStr">
        <is>
          <t>شهري</t>
        </is>
      </c>
    </row>
    <row r="5" ht="26" customHeight="1">
      <c r="A5" s="20" t="n">
        <v>2</v>
      </c>
      <c r="B5" s="21" t="inlineStr">
        <is>
          <t>التأجير</t>
        </is>
      </c>
      <c r="C5" s="21" t="inlineStr">
        <is>
          <t>زيادة عدد العلامات التجارية</t>
        </is>
      </c>
      <c r="D5" s="49" t="inlineStr">
        <is>
          <t>علامة</t>
        </is>
      </c>
      <c r="E5" s="49" t="inlineStr">
        <is>
          <t>↑</t>
        </is>
      </c>
      <c r="F5" s="15" t="inlineStr">
        <is>
          <t>🟠 مهم</t>
        </is>
      </c>
      <c r="G5" s="59" t="n">
        <v>0.2</v>
      </c>
      <c r="H5" s="55" t="n">
        <v>246</v>
      </c>
      <c r="I5" s="22" t="inlineStr">
        <is>
          <t>246 علامة</t>
        </is>
      </c>
      <c r="J5" s="73" t="inlineStr">
        <is>
          <t>الاستدامة</t>
        </is>
      </c>
      <c r="K5" s="11" t="inlineStr">
        <is>
          <t>منظومة التأجير</t>
        </is>
      </c>
      <c r="L5" s="15" t="inlineStr">
        <is>
          <t>العمليات الداخلية</t>
        </is>
      </c>
      <c r="M5" s="56" t="n">
        <v>202.6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74" t="inlineStr">
        <is>
          <t>إجمالي عدد «زيادة عدد العلامات التجارية» المُسجّل خلال الفترة</t>
        </is>
      </c>
      <c r="Q5" s="74" t="inlineStr">
        <is>
          <t>نظام إدارة العقود (CRM)</t>
        </is>
      </c>
      <c r="R5" s="15" t="inlineStr">
        <is>
          <t>شهري</t>
        </is>
      </c>
    </row>
    <row r="6" ht="26" customHeight="1">
      <c r="A6" s="20" t="n">
        <v>3</v>
      </c>
      <c r="B6" s="21" t="inlineStr">
        <is>
          <t>الجودة والاستدامة</t>
        </is>
      </c>
      <c r="C6" s="21" t="inlineStr">
        <is>
          <t>معدل رضا المستأجرين (استبيان ربعي)</t>
        </is>
      </c>
      <c r="D6" s="49" t="inlineStr">
        <is>
          <t>%</t>
        </is>
      </c>
      <c r="E6" s="49" t="inlineStr">
        <is>
          <t>↑</t>
        </is>
      </c>
      <c r="F6" s="15" t="inlineStr">
        <is>
          <t>🔴 رئيسي</t>
        </is>
      </c>
      <c r="G6" s="59" t="n">
        <v>0.3</v>
      </c>
      <c r="H6" s="59" t="n">
        <v>0.9</v>
      </c>
      <c r="I6" s="22" t="inlineStr">
        <is>
          <t>≥ 90%</t>
        </is>
      </c>
      <c r="J6" s="73" t="inlineStr">
        <is>
          <t>الاستدامة</t>
        </is>
      </c>
      <c r="K6" s="11" t="inlineStr">
        <is>
          <t>تعزيز تجربة العملاء</t>
        </is>
      </c>
      <c r="L6" s="15" t="inlineStr">
        <is>
          <t>العملاء</t>
        </is>
      </c>
      <c r="M6" s="60" t="n">
        <v>0.894</v>
      </c>
      <c r="N6" s="10">
        <f>IF($H6="","",IF($M6="","",MIN(1,IF($H6=0,IF($M6&lt;=0,1,0),IF($E6="↓",IFERROR($H6/$M6,0),IFERROR($M6/$H6,0))))))</f>
        <v/>
      </c>
      <c r="O6" s="20">
        <f>IF($N6="","⏳ بانتظار هدف",IF($N6&gt;=0.9,"✅ محقق",IF($N6&gt;=0.75,"🟡 قريب","🔴 تحت الهدف")))</f>
        <v/>
      </c>
      <c r="P6" s="74" t="inlineStr">
        <is>
          <t>عدد حالات «رضا المستأجرين» خلال الفترة ÷ إجمالي الحالات القابلة للقياس × 100٪</t>
        </is>
      </c>
      <c r="Q6" s="74" t="inlineStr">
        <is>
          <t>استبيان دوري</t>
        </is>
      </c>
      <c r="R6" s="15" t="inlineStr">
        <is>
          <t>ربعي</t>
        </is>
      </c>
    </row>
    <row r="7" ht="26" customHeight="1">
      <c r="A7" s="20" t="n">
        <v>4</v>
      </c>
      <c r="B7" s="21" t="inlineStr">
        <is>
          <t>الإدارة</t>
        </is>
      </c>
      <c r="C7" s="21" t="inlineStr">
        <is>
          <t>نسبة تحصيل الإيجارات</t>
        </is>
      </c>
      <c r="D7" s="49" t="inlineStr">
        <is>
          <t>%</t>
        </is>
      </c>
      <c r="E7" s="49" t="inlineStr">
        <is>
          <t>↑</t>
        </is>
      </c>
      <c r="F7" s="15" t="inlineStr">
        <is>
          <t>🔴 رئيسي</t>
        </is>
      </c>
      <c r="G7" s="59" t="n">
        <v>0.3</v>
      </c>
      <c r="H7" s="59" t="n">
        <v>0.95</v>
      </c>
      <c r="I7" s="22" t="inlineStr">
        <is>
          <t>≥ 95%</t>
        </is>
      </c>
      <c r="J7" s="73" t="inlineStr">
        <is>
          <t>الاستدامة</t>
        </is>
      </c>
      <c r="K7" s="11" t="inlineStr">
        <is>
          <t>منظومة التأجير</t>
        </is>
      </c>
      <c r="L7" s="15" t="inlineStr">
        <is>
          <t>مالي</t>
        </is>
      </c>
      <c r="M7" s="60" t="n">
        <v>0.805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74" t="inlineStr">
        <is>
          <t>قيمة/عدد المتحقّق من «تحصيل الإيجارات» ÷ الإجمالي المستهدف لنفس البند × 100٪</t>
        </is>
      </c>
      <c r="Q7" s="74" t="inlineStr">
        <is>
          <t>نظام المحاسبة / ERP (D365)</t>
        </is>
      </c>
      <c r="R7" s="15" t="inlineStr">
        <is>
          <t>شهري</t>
        </is>
      </c>
    </row>
  </sheetData>
  <autoFilter ref="A3:R7"/>
  <mergeCells count="2">
    <mergeCell ref="A2:R2"/>
    <mergeCell ref="A1:R1"/>
  </mergeCells>
  <dataValidations count="1">
    <dataValidation sqref="M4 M5 M6 M7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R6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إدارة المشاريع · مؤشرات الأداء 2026</t>
        </is>
      </c>
    </row>
    <row r="2">
      <c r="A2" s="72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21" t="inlineStr">
        <is>
          <t>تنفيذ المشاريع</t>
        </is>
      </c>
      <c r="C4" s="21" t="inlineStr">
        <is>
          <t>نسبة إنجاز محفظة المشاريع</t>
        </is>
      </c>
      <c r="D4" s="49" t="inlineStr">
        <is>
          <t>%</t>
        </is>
      </c>
      <c r="E4" s="49" t="inlineStr">
        <is>
          <t>↑</t>
        </is>
      </c>
      <c r="F4" s="15" t="inlineStr">
        <is>
          <t>🔴 رئيسي</t>
        </is>
      </c>
      <c r="G4" s="59" t="n">
        <v>0.38</v>
      </c>
      <c r="H4" s="59" t="n">
        <v>0.7</v>
      </c>
      <c r="I4" s="22" t="inlineStr">
        <is>
          <t>≥ 70%</t>
        </is>
      </c>
      <c r="J4" s="73" t="inlineStr">
        <is>
          <t>النمو</t>
        </is>
      </c>
      <c r="K4" s="11" t="inlineStr">
        <is>
          <t>التوسع في المواقع</t>
        </is>
      </c>
      <c r="L4" s="15" t="inlineStr">
        <is>
          <t>العمليات الداخلية</t>
        </is>
      </c>
      <c r="M4" s="60" t="n">
        <v>0.607</v>
      </c>
      <c r="N4" s="10">
        <f>IF($H4="","",IF($M4="","",MIN(1,IF($H4=0,IF($M4&lt;=0,1,0),IF($E4="↓",IFERROR($H4/$M4,0),IFERROR($M4/$H4,0))))))</f>
        <v/>
      </c>
      <c r="O4" s="20">
        <f>IF($N4="","⏳ بانتظار هدف",IF($N4&gt;=1.0,"✅ محقق",IF($N4&gt;=0.85,"🟡 قريب","🔴 تحت الهدف")))</f>
        <v/>
      </c>
      <c r="P4" s="74" t="inlineStr">
        <is>
          <t>قيمة/عدد المتحقّق من «إنجاز محفظة المشاريع» ÷ الإجمالي المستهدف لنفس البند × 100٪</t>
        </is>
      </c>
      <c r="Q4" s="74" t="inlineStr">
        <is>
          <t>نظام إدارة المشاريع (PMO/Primavera)</t>
        </is>
      </c>
      <c r="R4" s="15" t="inlineStr">
        <is>
          <t>شهري</t>
        </is>
      </c>
    </row>
    <row r="5" ht="26" customHeight="1">
      <c r="A5" s="20" t="n">
        <v>2</v>
      </c>
      <c r="B5" s="21" t="inlineStr">
        <is>
          <t>تنفيذ المشاريع</t>
        </is>
      </c>
      <c r="C5" s="21" t="inlineStr">
        <is>
          <t>نسبة تسليم المحطات في الموعد المخطط</t>
        </is>
      </c>
      <c r="D5" s="49" t="inlineStr">
        <is>
          <t>%</t>
        </is>
      </c>
      <c r="E5" s="49" t="inlineStr">
        <is>
          <t>↑</t>
        </is>
      </c>
      <c r="F5" s="15" t="inlineStr">
        <is>
          <t>🔴 رئيسي</t>
        </is>
      </c>
      <c r="G5" s="59" t="n">
        <v>0.37</v>
      </c>
      <c r="H5" s="59" t="n">
        <v>0.8</v>
      </c>
      <c r="I5" s="22" t="inlineStr">
        <is>
          <t>≥ 80%</t>
        </is>
      </c>
      <c r="J5" s="73" t="inlineStr">
        <is>
          <t>النمو</t>
        </is>
      </c>
      <c r="K5" s="11" t="inlineStr">
        <is>
          <t>التوسع في المواقع</t>
        </is>
      </c>
      <c r="L5" s="15" t="inlineStr">
        <is>
          <t>العمليات الداخلية</t>
        </is>
      </c>
      <c r="M5" s="60" t="n">
        <v>0.805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74" t="inlineStr">
        <is>
          <t>قيمة/عدد المتحقّق من «تسليم المحطات في الموعد المخطط» ÷ الإجمالي المستهدف لنفس البند × 100٪</t>
        </is>
      </c>
      <c r="Q5" s="74" t="inlineStr">
        <is>
          <t>نظام إدارة المشاريع (PMO/Primavera)</t>
        </is>
      </c>
      <c r="R5" s="15" t="inlineStr">
        <is>
          <t>شهري</t>
        </is>
      </c>
    </row>
    <row r="6" ht="26" customHeight="1">
      <c r="A6" s="20" t="n">
        <v>3</v>
      </c>
      <c r="B6" s="21" t="inlineStr">
        <is>
          <t>التصاميم وأوامر التغيير</t>
        </is>
      </c>
      <c r="C6" s="21" t="inlineStr">
        <is>
          <t>متوسط مدة إغلاق قائمة الملاحظات النهائية</t>
        </is>
      </c>
      <c r="D6" s="49" t="inlineStr">
        <is>
          <t>يوم</t>
        </is>
      </c>
      <c r="E6" s="49" t="inlineStr">
        <is>
          <t>↓</t>
        </is>
      </c>
      <c r="F6" s="15" t="inlineStr">
        <is>
          <t>🟠 مهم</t>
        </is>
      </c>
      <c r="G6" s="59" t="n">
        <v>0.25</v>
      </c>
      <c r="H6" s="62" t="n">
        <v>30</v>
      </c>
      <c r="I6" s="22" t="inlineStr">
        <is>
          <t>≤ 30 يوم</t>
        </is>
      </c>
      <c r="J6" s="73" t="inlineStr">
        <is>
          <t>الاستدامة</t>
        </is>
      </c>
      <c r="K6" s="11" t="inlineStr">
        <is>
          <t>جودة التشغيل</t>
        </is>
      </c>
      <c r="L6" s="15" t="inlineStr">
        <is>
          <t>العمليات الداخلية</t>
        </is>
      </c>
      <c r="M6" s="63" t="n">
        <v>32.4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74" t="inlineStr">
        <is>
          <t>مجموع أيام «مدة إغلاق قائمة الملاحظات النهائية» ÷ عدد الحالات</t>
        </is>
      </c>
      <c r="Q6" s="74" t="inlineStr">
        <is>
          <t>نظام إدارة المشاريع (PMO/Primavera)</t>
        </is>
      </c>
      <c r="R6" s="15" t="inlineStr">
        <is>
          <t>شهري</t>
        </is>
      </c>
    </row>
  </sheetData>
  <autoFilter ref="A3:R6"/>
  <mergeCells count="2">
    <mergeCell ref="A2:R2"/>
    <mergeCell ref="A1:R1"/>
  </mergeCells>
  <dataValidations count="1">
    <dataValidation sqref="M4 M5 M6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R7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سلاسل الإمداد · مؤشرات الأداء 2026</t>
        </is>
      </c>
    </row>
    <row r="2">
      <c r="A2" s="72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21" t="inlineStr">
        <is>
          <t>خدمة العميل والتوفّر</t>
        </is>
      </c>
      <c r="C4" s="21" t="inlineStr">
        <is>
          <t>عدد انقطاعات الوقود في المحطات</t>
        </is>
      </c>
      <c r="D4" s="49" t="inlineStr">
        <is>
          <t>انقطاع</t>
        </is>
      </c>
      <c r="E4" s="49" t="inlineStr">
        <is>
          <t>↓</t>
        </is>
      </c>
      <c r="F4" s="15" t="inlineStr">
        <is>
          <t>🔴 رئيسي</t>
        </is>
      </c>
      <c r="G4" s="59" t="n">
        <v>0.3</v>
      </c>
      <c r="H4" s="55" t="n">
        <v>0</v>
      </c>
      <c r="I4" s="22" t="inlineStr">
        <is>
          <t>صفر انقطاع</t>
        </is>
      </c>
      <c r="J4" s="73" t="inlineStr">
        <is>
          <t>الاستدامة</t>
        </is>
      </c>
      <c r="K4" s="11" t="inlineStr">
        <is>
          <t>جودة التشغيل</t>
        </is>
      </c>
      <c r="L4" s="15" t="inlineStr">
        <is>
          <t>العمليات الداخلية</t>
        </is>
      </c>
      <c r="M4" s="56" t="n"/>
      <c r="N4" s="10">
        <f>IF($H4="","",IF($M4="","",MIN(1,IF($H4=0,IF($M4&lt;=0,1,0),IF($E4="↓",IFERROR($H4/$M4,0),IFERROR($M4/$H4,0))))))</f>
        <v/>
      </c>
      <c r="O4" s="20">
        <f>IF($N4="","⏳ بانتظار هدف",IF($N4&gt;=1.0,"✅ محقق",IF($N4&gt;=0.85,"🟡 قريب","🔴 تحت الهدف")))</f>
        <v/>
      </c>
      <c r="P4" s="74" t="inlineStr">
        <is>
          <t>إجمالي عدد «انقطاعات الوقود في المحطات» المُسجّلة خلال الفترة</t>
        </is>
      </c>
      <c r="Q4" s="74" t="inlineStr">
        <is>
          <t>نظام سلاسل الإمداد والمخزون (WMS/ERP)</t>
        </is>
      </c>
      <c r="R4" s="15" t="inlineStr">
        <is>
          <t>شهري</t>
        </is>
      </c>
    </row>
    <row r="5" ht="26" customHeight="1">
      <c r="A5" s="20" t="n">
        <v>2</v>
      </c>
      <c r="B5" s="21" t="inlineStr">
        <is>
          <t>المشتريات</t>
        </is>
      </c>
      <c r="C5" s="21" t="inlineStr">
        <is>
          <t>نسبة إنجاز أوامر الشراء</t>
        </is>
      </c>
      <c r="D5" s="49" t="inlineStr">
        <is>
          <t>%</t>
        </is>
      </c>
      <c r="E5" s="49" t="inlineStr">
        <is>
          <t>↑</t>
        </is>
      </c>
      <c r="F5" s="15" t="inlineStr">
        <is>
          <t>🟠 مهم</t>
        </is>
      </c>
      <c r="G5" s="59" t="n">
        <v>0.2</v>
      </c>
      <c r="H5" s="59" t="n">
        <v>0.95</v>
      </c>
      <c r="I5" s="22" t="inlineStr">
        <is>
          <t>≥ 95%</t>
        </is>
      </c>
      <c r="J5" s="73" t="inlineStr">
        <is>
          <t>الاستدامة</t>
        </is>
      </c>
      <c r="K5" s="11" t="inlineStr">
        <is>
          <t>جودة التشغيل</t>
        </is>
      </c>
      <c r="L5" s="15" t="inlineStr">
        <is>
          <t>العمليات الداخلية</t>
        </is>
      </c>
      <c r="M5" s="60" t="n">
        <v>0.8100000000000001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74" t="inlineStr">
        <is>
          <t>قيمة/عدد المتحقّق من «إنجاز أوامر الشراء» ÷ الإجمالي المستهدف لنفس البند × 100٪</t>
        </is>
      </c>
      <c r="Q5" s="74" t="inlineStr">
        <is>
          <t>نظام سلاسل الإمداد والمخزون (WMS/ERP)</t>
        </is>
      </c>
      <c r="R5" s="15" t="inlineStr">
        <is>
          <t>شهري</t>
        </is>
      </c>
    </row>
    <row r="6" ht="26" customHeight="1">
      <c r="A6" s="20" t="n">
        <v>3</v>
      </c>
      <c r="B6" s="21" t="inlineStr">
        <is>
          <t>الموردون</t>
        </is>
      </c>
      <c r="C6" s="21" t="inlineStr">
        <is>
          <t>مستوى رضا الموردين</t>
        </is>
      </c>
      <c r="D6" s="49" t="inlineStr">
        <is>
          <t>%</t>
        </is>
      </c>
      <c r="E6" s="49" t="inlineStr">
        <is>
          <t>↑</t>
        </is>
      </c>
      <c r="F6" s="15" t="inlineStr">
        <is>
          <t>🔴 رئيسي</t>
        </is>
      </c>
      <c r="G6" s="59" t="n">
        <v>0.3</v>
      </c>
      <c r="H6" s="59" t="n">
        <v>0.85</v>
      </c>
      <c r="I6" s="22" t="inlineStr">
        <is>
          <t>≥ 85%</t>
        </is>
      </c>
      <c r="J6" s="73" t="inlineStr">
        <is>
          <t>الاستدامة</t>
        </is>
      </c>
      <c r="K6" s="11" t="inlineStr">
        <is>
          <t>تعزيز تجربة العملاء</t>
        </is>
      </c>
      <c r="L6" s="15" t="inlineStr">
        <is>
          <t>العملاء</t>
        </is>
      </c>
      <c r="M6" s="60" t="n">
        <v>0.663</v>
      </c>
      <c r="N6" s="10">
        <f>IF($H6="","",IF($M6="","",MIN(1,IF($H6=0,IF($M6&lt;=0,1,0),IF($E6="↓",IFERROR($H6/$M6,0),IFERROR($M6/$H6,0))))))</f>
        <v/>
      </c>
      <c r="O6" s="20">
        <f>IF($N6="","⏳ بانتظار هدف",IF($N6&gt;=0.9,"✅ محقق",IF($N6&gt;=0.75,"🟡 قريب","🔴 تحت الهدف")))</f>
        <v/>
      </c>
      <c r="P6" s="74" t="inlineStr">
        <is>
          <t>القيمة المتحقّقة من «مستوى رضا الموردين» ÷ المستهدف × 100٪</t>
        </is>
      </c>
      <c r="Q6" s="74" t="inlineStr">
        <is>
          <t>نظام سلاسل الإمداد والمخزون (WMS/ERP)</t>
        </is>
      </c>
      <c r="R6" s="15" t="inlineStr">
        <is>
          <t>ربعي</t>
        </is>
      </c>
    </row>
    <row r="7" ht="26" customHeight="1">
      <c r="A7" s="20" t="n">
        <v>4</v>
      </c>
      <c r="B7" s="21" t="inlineStr">
        <is>
          <t>النقل والأسطول</t>
        </is>
      </c>
      <c r="C7" s="21" t="inlineStr">
        <is>
          <t>نسبة نقليات أسطول درب</t>
        </is>
      </c>
      <c r="D7" s="49" t="inlineStr">
        <is>
          <t>%</t>
        </is>
      </c>
      <c r="E7" s="49" t="inlineStr">
        <is>
          <t>↑</t>
        </is>
      </c>
      <c r="F7" s="15" t="inlineStr">
        <is>
          <t>🟠 مهم</t>
        </is>
      </c>
      <c r="G7" s="59" t="n">
        <v>0.2</v>
      </c>
      <c r="H7" s="59" t="n">
        <v>0.3</v>
      </c>
      <c r="I7" s="22" t="inlineStr">
        <is>
          <t>≥ 30%</t>
        </is>
      </c>
      <c r="J7" s="73" t="inlineStr">
        <is>
          <t>الاستدامة</t>
        </is>
      </c>
      <c r="K7" s="11" t="inlineStr">
        <is>
          <t>جودة التشغيل</t>
        </is>
      </c>
      <c r="L7" s="15" t="inlineStr">
        <is>
          <t>العمليات الداخلية</t>
        </is>
      </c>
      <c r="M7" s="60" t="n">
        <v>0.293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74" t="inlineStr">
        <is>
          <t>قيمة/عدد المتحقّق من «نقليات أسطول درب» ÷ الإجمالي المستهدف لنفس البند × 100٪</t>
        </is>
      </c>
      <c r="Q7" s="74" t="inlineStr">
        <is>
          <t>نظام سلاسل الإمداد والمخزون (WMS/ERP)</t>
        </is>
      </c>
      <c r="R7" s="15" t="inlineStr">
        <is>
          <t>شهري</t>
        </is>
      </c>
    </row>
  </sheetData>
  <autoFilter ref="A3:R7"/>
  <mergeCells count="2">
    <mergeCell ref="A2:R2"/>
    <mergeCell ref="A1:R1"/>
  </mergeCells>
  <dataValidations count="1">
    <dataValidation sqref="M4 M5 M6 M7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R5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الصيانة والأتمتة · مؤشرات الأداء 2026</t>
        </is>
      </c>
    </row>
    <row r="2">
      <c r="A2" s="72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21" t="inlineStr">
        <is>
          <t>جاهزية الأصول</t>
        </is>
      </c>
      <c r="C4" s="21" t="inlineStr">
        <is>
          <t>نسبة تنفيذ الصيانة الوقائية في موعدها</t>
        </is>
      </c>
      <c r="D4" s="49" t="inlineStr">
        <is>
          <t>%</t>
        </is>
      </c>
      <c r="E4" s="49" t="inlineStr">
        <is>
          <t>↑</t>
        </is>
      </c>
      <c r="F4" s="15" t="inlineStr">
        <is>
          <t>🟠 مهم</t>
        </is>
      </c>
      <c r="G4" s="59" t="n">
        <v>0.5</v>
      </c>
      <c r="H4" s="59" t="n">
        <v>0.95</v>
      </c>
      <c r="I4" s="22" t="inlineStr">
        <is>
          <t>≥ 95%</t>
        </is>
      </c>
      <c r="J4" s="73" t="inlineStr">
        <is>
          <t>الاستدامة</t>
        </is>
      </c>
      <c r="K4" s="11" t="inlineStr">
        <is>
          <t>جودة التشغيل</t>
        </is>
      </c>
      <c r="L4" s="15" t="inlineStr">
        <is>
          <t>العمليات الداخلية</t>
        </is>
      </c>
      <c r="M4" s="60" t="n">
        <v>0.973</v>
      </c>
      <c r="N4" s="10">
        <f>IF($H4="","",IF($M4="","",MIN(1,IF($H4=0,IF($M4&lt;=0,1,0),IF($E4="↓",IFERROR($H4/$M4,0),IFERROR($M4/$H4,0))))))</f>
        <v/>
      </c>
      <c r="O4" s="20">
        <f>IF($N4="","⏳ بانتظار هدف",IF($N4&gt;=1.0,"✅ محقق",IF($N4&gt;=0.85,"🟡 قريب","🔴 تحت الهدف")))</f>
        <v/>
      </c>
      <c r="P4" s="74" t="inlineStr">
        <is>
          <t>قيمة/عدد المتحقّق من «تنفيذ الصيانة الوقائية في موعدها» ÷ الإجمالي المستهدف لنفس البند × 100٪</t>
        </is>
      </c>
      <c r="Q4" s="74" t="inlineStr">
        <is>
          <t>نظام إدارة الصيانة (CMMS) وأنظمة الأتمتة (SCADA)</t>
        </is>
      </c>
      <c r="R4" s="15" t="inlineStr">
        <is>
          <t>شهري</t>
        </is>
      </c>
    </row>
    <row r="5" ht="26" customHeight="1">
      <c r="A5" s="20" t="n">
        <v>2</v>
      </c>
      <c r="B5" s="21" t="inlineStr">
        <is>
          <t>الاستجابة والإصلاح</t>
        </is>
      </c>
      <c r="C5" s="21" t="inlineStr">
        <is>
          <t>معدل تكرار الأعطال</t>
        </is>
      </c>
      <c r="D5" s="49" t="inlineStr">
        <is>
          <t>%</t>
        </is>
      </c>
      <c r="E5" s="49" t="inlineStr">
        <is>
          <t>↓</t>
        </is>
      </c>
      <c r="F5" s="15" t="inlineStr">
        <is>
          <t>🟠 مهم</t>
        </is>
      </c>
      <c r="G5" s="59" t="n">
        <v>0.5</v>
      </c>
      <c r="H5" s="59" t="n">
        <v>0.05</v>
      </c>
      <c r="I5" s="22" t="inlineStr">
        <is>
          <t>≤ 5%</t>
        </is>
      </c>
      <c r="J5" s="73" t="inlineStr">
        <is>
          <t>الاستدامة</t>
        </is>
      </c>
      <c r="K5" s="11" t="inlineStr">
        <is>
          <t>جودة التشغيل</t>
        </is>
      </c>
      <c r="L5" s="15" t="inlineStr">
        <is>
          <t>العمليات الداخلية</t>
        </is>
      </c>
      <c r="M5" s="60" t="n">
        <v>0.045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74" t="inlineStr">
        <is>
          <t>عدد الأعطال المتكررة لنفس الأصل وبنفس السبب ÷ إجمالي عدد الأعطال × 100</t>
        </is>
      </c>
      <c r="Q5" s="74" t="inlineStr">
        <is>
          <t>نظام إدارة الصيانة (CMMS) وأنظمة الأتمتة (SCADA)</t>
        </is>
      </c>
      <c r="R5" s="15" t="inlineStr">
        <is>
          <t>شهري</t>
        </is>
      </c>
    </row>
  </sheetData>
  <autoFilter ref="A3:R5"/>
  <mergeCells count="2">
    <mergeCell ref="A2:R2"/>
    <mergeCell ref="A1:R1"/>
  </mergeCells>
  <dataValidations count="1">
    <dataValidation sqref="M4 M5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R5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التقنية الرقمية · مؤشرات الأداء 2026</t>
        </is>
      </c>
    </row>
    <row r="2">
      <c r="A2" s="72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21" t="inlineStr">
        <is>
          <t>توفّر واستقرار الأنظمة</t>
        </is>
      </c>
      <c r="C4" s="21" t="inlineStr">
        <is>
          <t>نسبة استقرار التشغيل التقني للمحطات</t>
        </is>
      </c>
      <c r="D4" s="49" t="inlineStr">
        <is>
          <t>%</t>
        </is>
      </c>
      <c r="E4" s="49" t="inlineStr">
        <is>
          <t>↑</t>
        </is>
      </c>
      <c r="F4" s="15" t="inlineStr">
        <is>
          <t>🔴 رئيسي</t>
        </is>
      </c>
      <c r="G4" s="59" t="n">
        <v>0.5</v>
      </c>
      <c r="H4" s="59" t="n">
        <v>0.99</v>
      </c>
      <c r="I4" s="22" t="inlineStr">
        <is>
          <t>≥ 99%</t>
        </is>
      </c>
      <c r="J4" s="73" t="inlineStr">
        <is>
          <t>الابتكار</t>
        </is>
      </c>
      <c r="K4" s="11" t="inlineStr">
        <is>
          <t>التحول التقني</t>
        </is>
      </c>
      <c r="L4" s="15" t="inlineStr">
        <is>
          <t>العمليات الداخلية</t>
        </is>
      </c>
      <c r="M4" s="60" t="n">
        <v>0.8</v>
      </c>
      <c r="N4" s="10">
        <f>IF($H4="","",IF($M4="","",MIN(1,IF($H4=0,IF($M4&lt;=0,1,0),IF($E4="↓",IFERROR($H4/$M4,0),IFERROR($M4/$H4,0))))))</f>
        <v/>
      </c>
      <c r="O4" s="20">
        <f>IF($N4="","⏳ بانتظار هدف",IF($N4&gt;=1.0,"✅ محقق",IF($N4&gt;=0.85,"🟡 قريب","🔴 تحت الهدف")))</f>
        <v/>
      </c>
      <c r="P4" s="74" t="inlineStr">
        <is>
          <t>يقيس استقرار الأنظمة والخدمات التقنية في المحطات، والتأكد من عدم وجود أعطال مؤثرة على البيع، المخزون، الربط، التقارير، أو متابعة التشغيل، مثل POS وCashIn وATG والشبكة والإنترنت بالمحطة.</t>
        </is>
      </c>
      <c r="Q4" s="74" t="inlineStr">
        <is>
          <t>أنظمة تقنية المعلومات (ERP/ITSM/SIEM)</t>
        </is>
      </c>
      <c r="R4" s="15" t="inlineStr">
        <is>
          <t>شهري</t>
        </is>
      </c>
    </row>
    <row r="5" ht="26" customHeight="1">
      <c r="A5" s="20" t="n">
        <v>2</v>
      </c>
      <c r="B5" s="21" t="inlineStr">
        <is>
          <t>المشاريع التقنية</t>
        </is>
      </c>
      <c r="C5" s="21" t="inlineStr">
        <is>
          <t>نسبة إنجاز مشاريع التحول الرقمي والمشاريع التقنية حسب الخطة</t>
        </is>
      </c>
      <c r="D5" s="49" t="inlineStr">
        <is>
          <t>%</t>
        </is>
      </c>
      <c r="E5" s="49" t="inlineStr">
        <is>
          <t>↑</t>
        </is>
      </c>
      <c r="F5" s="15" t="inlineStr">
        <is>
          <t>🟠 مهم</t>
        </is>
      </c>
      <c r="G5" s="59" t="n">
        <v>0.5</v>
      </c>
      <c r="H5" s="59" t="n">
        <v>0.9</v>
      </c>
      <c r="I5" s="22" t="inlineStr">
        <is>
          <t>≥ 90%</t>
        </is>
      </c>
      <c r="J5" s="73" t="inlineStr">
        <is>
          <t>الابتكار</t>
        </is>
      </c>
      <c r="K5" s="11" t="inlineStr">
        <is>
          <t>التحول التقني</t>
        </is>
      </c>
      <c r="L5" s="15" t="inlineStr">
        <is>
          <t>التعلّم والنمو</t>
        </is>
      </c>
      <c r="M5" s="60" t="n">
        <v>0.89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74" t="inlineStr">
        <is>
          <t>يقيس مدى إنجاز محفظة مشاريع التحول الرقمي والمشاريع التقنية وفق الخطة الزمنية والأولويات المعتمدة.</t>
        </is>
      </c>
      <c r="Q5" s="74" t="inlineStr">
        <is>
          <t>أنظمة تقنية المعلومات (ERP/ITSM/SIEM)</t>
        </is>
      </c>
      <c r="R5" s="15" t="inlineStr">
        <is>
          <t>شهري</t>
        </is>
      </c>
    </row>
  </sheetData>
  <autoFilter ref="A3:R5"/>
  <mergeCells count="2">
    <mergeCell ref="A2:R2"/>
    <mergeCell ref="A1:R1"/>
  </mergeCells>
  <dataValidations count="1">
    <dataValidation sqref="M4 M5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R8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الموارد البشرية · مؤشرات الأداء 2026</t>
        </is>
      </c>
    </row>
    <row r="2">
      <c r="A2" s="72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21" t="inlineStr">
        <is>
          <t>الامتثال والالتزام</t>
        </is>
      </c>
      <c r="C4" s="21" t="inlineStr">
        <is>
          <t>نسبة الالتزام بنظام العمل واللوائح وخطة القوى العاملة المعتمدة</t>
        </is>
      </c>
      <c r="D4" s="49" t="inlineStr">
        <is>
          <t>%</t>
        </is>
      </c>
      <c r="E4" s="49" t="inlineStr">
        <is>
          <t>↑</t>
        </is>
      </c>
      <c r="F4" s="15" t="inlineStr">
        <is>
          <t>🟠 مهم</t>
        </is>
      </c>
      <c r="G4" s="59" t="n">
        <v>0.28</v>
      </c>
      <c r="H4" s="59" t="n">
        <v>1</v>
      </c>
      <c r="I4" s="22" t="inlineStr">
        <is>
          <t>100%</t>
        </is>
      </c>
      <c r="J4" s="73" t="inlineStr">
        <is>
          <t>الاستدامة</t>
        </is>
      </c>
      <c r="K4" s="11" t="inlineStr">
        <is>
          <t>الاستثمار في الموظفين</t>
        </is>
      </c>
      <c r="L4" s="15" t="inlineStr">
        <is>
          <t>العمليات الداخلية</t>
        </is>
      </c>
      <c r="M4" s="60" t="n">
        <v>1.016</v>
      </c>
      <c r="N4" s="10">
        <f>IF($H4="","",IF($M4="","",MIN(1,IF($H4=0,IF($M4&lt;=0,1,0),IF($E4="↓",IFERROR($H4/$M4,0),IFERROR($M4/$H4,0))))))</f>
        <v/>
      </c>
      <c r="O4" s="20">
        <f>IF($N4="","⏳ بانتظار هدف",IF($N4&gt;=1.0,"✅ محقق",IF($N4&gt;=0.85,"🟡 قريب","🔴 تحت الهدف")))</f>
        <v/>
      </c>
      <c r="P4" s="74" t="inlineStr">
        <is>
          <t>يقيس الالتزام بنظام العمل واللائحة الداخلية، وعدم تنفيذ أي توظيف أو استحداث أو تعديل وظيفي خارج الهيكل أو خطة القوى العاملة أو الصلاحيات المعتمدة.</t>
        </is>
      </c>
      <c r="Q4" s="74" t="inlineStr">
        <is>
          <t>نظام الموارد البشرية (HRMS)</t>
        </is>
      </c>
      <c r="R4" s="15" t="inlineStr">
        <is>
          <t>شهري</t>
        </is>
      </c>
    </row>
    <row r="5" ht="26" customHeight="1">
      <c r="A5" s="20" t="n">
        <v>2</v>
      </c>
      <c r="B5" s="21" t="inlineStr">
        <is>
          <t>الاستقرار والتطوير</t>
        </is>
      </c>
      <c r="C5" s="21" t="inlineStr">
        <is>
          <t>نسبة تنفيذ برامج التدريب والتأهيل المعتمدة</t>
        </is>
      </c>
      <c r="D5" s="49" t="inlineStr">
        <is>
          <t>%</t>
        </is>
      </c>
      <c r="E5" s="49" t="inlineStr">
        <is>
          <t>↑</t>
        </is>
      </c>
      <c r="F5" s="15" t="inlineStr">
        <is>
          <t>🟠 مهم</t>
        </is>
      </c>
      <c r="G5" s="59" t="n">
        <v>0.15</v>
      </c>
      <c r="H5" s="59" t="n">
        <v>0.9</v>
      </c>
      <c r="I5" s="22" t="inlineStr">
        <is>
          <t>≥ 90%</t>
        </is>
      </c>
      <c r="J5" s="73" t="inlineStr">
        <is>
          <t>الاستدامة</t>
        </is>
      </c>
      <c r="K5" s="11" t="inlineStr">
        <is>
          <t>الاستثمار في الموظفين</t>
        </is>
      </c>
      <c r="L5" s="15" t="inlineStr">
        <is>
          <t>التعلّم والنمو</t>
        </is>
      </c>
      <c r="M5" s="60" t="n">
        <v>0.6899999999999999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74" t="inlineStr">
        <is>
          <t>يقيس مدى تنفيذ برامج التدريب والتأهيل، خصوصًا التدريب المرتبط بعمالة المحطات، السلامة، خدمة العملاء، والمهارات الوظيفية الأساسية.</t>
        </is>
      </c>
      <c r="Q5" s="74" t="inlineStr">
        <is>
          <t>نظام الموارد البشرية (HRMS)</t>
        </is>
      </c>
      <c r="R5" s="15" t="inlineStr">
        <is>
          <t>شهري</t>
        </is>
      </c>
    </row>
    <row r="6" ht="26" customHeight="1">
      <c r="A6" s="20" t="n">
        <v>3</v>
      </c>
      <c r="B6" s="21" t="inlineStr">
        <is>
          <t>الاستقرار والتطوير</t>
        </is>
      </c>
      <c r="C6" s="21" t="inlineStr">
        <is>
          <t>معدل دوران الموظفين</t>
        </is>
      </c>
      <c r="D6" s="49" t="inlineStr">
        <is>
          <t>%</t>
        </is>
      </c>
      <c r="E6" s="49" t="inlineStr">
        <is>
          <t>↓</t>
        </is>
      </c>
      <c r="F6" s="15" t="inlineStr">
        <is>
          <t>🟠 مهم</t>
        </is>
      </c>
      <c r="G6" s="59" t="n">
        <v>0.15</v>
      </c>
      <c r="H6" s="59" t="n">
        <v>0.1</v>
      </c>
      <c r="I6" s="22" t="inlineStr">
        <is>
          <t>≤ 10%</t>
        </is>
      </c>
      <c r="J6" s="73" t="inlineStr">
        <is>
          <t>الاستدامة</t>
        </is>
      </c>
      <c r="K6" s="11" t="inlineStr">
        <is>
          <t>الاستثمار في الموظفين</t>
        </is>
      </c>
      <c r="L6" s="15" t="inlineStr">
        <is>
          <t>التعلّم والنمو</t>
        </is>
      </c>
      <c r="M6" s="60" t="n">
        <v>0.097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74" t="inlineStr">
        <is>
          <t>يقيس نسبة مغادرة الموظفين مقارنة بمتوسط عدد الموظفين خلال الفترة، ويساعد في كشف مشاكل الاستقرار الوظيفي أو بيئة العمل أو جودة التوظيف.</t>
        </is>
      </c>
      <c r="Q6" s="74" t="inlineStr">
        <is>
          <t>نظام الموارد البشرية (HRMS)</t>
        </is>
      </c>
      <c r="R6" s="15" t="inlineStr">
        <is>
          <t>شهري</t>
        </is>
      </c>
    </row>
    <row r="7" ht="26" customHeight="1">
      <c r="A7" s="20" t="n">
        <v>4</v>
      </c>
      <c r="B7" s="21" t="inlineStr">
        <is>
          <t>الاستقطاب</t>
        </is>
      </c>
      <c r="C7" s="21" t="inlineStr">
        <is>
          <t>متوسط مدة إغلاق الشواغر المعتمدة</t>
        </is>
      </c>
      <c r="D7" s="49" t="inlineStr">
        <is>
          <t>يوم</t>
        </is>
      </c>
      <c r="E7" s="49" t="inlineStr">
        <is>
          <t>↓</t>
        </is>
      </c>
      <c r="F7" s="15" t="inlineStr">
        <is>
          <t>🟠 مهم</t>
        </is>
      </c>
      <c r="G7" s="59" t="n">
        <v>0.21</v>
      </c>
      <c r="H7" s="62" t="n">
        <v>30</v>
      </c>
      <c r="I7" s="22" t="inlineStr">
        <is>
          <t>≤ 30 يوم</t>
        </is>
      </c>
      <c r="J7" s="73" t="inlineStr">
        <is>
          <t>الاستدامة</t>
        </is>
      </c>
      <c r="K7" s="11" t="inlineStr">
        <is>
          <t>الاستثمار في الموظفين</t>
        </is>
      </c>
      <c r="L7" s="15" t="inlineStr">
        <is>
          <t>العمليات الداخلية</t>
        </is>
      </c>
      <c r="M7" s="63" t="n">
        <v>33.5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74" t="inlineStr">
        <is>
          <t>يقيس متوسط المدة من تاريخ اعتماد الاحتياج الوظيفي حتى قبول المرشح أو مباشرته، بما يعكس سرعة الاستقطاب وتلبية احتياج الإدارات.</t>
        </is>
      </c>
      <c r="Q7" s="74" t="inlineStr">
        <is>
          <t>نظام الموارد البشرية (HRMS)</t>
        </is>
      </c>
      <c r="R7" s="15" t="inlineStr">
        <is>
          <t>شهري</t>
        </is>
      </c>
    </row>
    <row r="8" ht="26" customHeight="1">
      <c r="A8" s="20" t="n">
        <v>5</v>
      </c>
      <c r="B8" s="21" t="inlineStr">
        <is>
          <t>التكلفة والرواتب</t>
        </is>
      </c>
      <c r="C8" s="21" t="inlineStr">
        <is>
          <t>نسبة دقة الرواتب والمستحقات الشهرية</t>
        </is>
      </c>
      <c r="D8" s="49" t="inlineStr">
        <is>
          <t>%</t>
        </is>
      </c>
      <c r="E8" s="49" t="inlineStr">
        <is>
          <t>↑</t>
        </is>
      </c>
      <c r="F8" s="15" t="inlineStr">
        <is>
          <t>🔴 رئيسي</t>
        </is>
      </c>
      <c r="G8" s="59" t="n">
        <v>0.21</v>
      </c>
      <c r="H8" s="59" t="n">
        <v>0.995</v>
      </c>
      <c r="I8" s="22" t="inlineStr">
        <is>
          <t>≥ 99.5%</t>
        </is>
      </c>
      <c r="J8" s="73" t="inlineStr">
        <is>
          <t>الاستدامة</t>
        </is>
      </c>
      <c r="K8" s="11" t="inlineStr">
        <is>
          <t>الاستثمار في الموظفين</t>
        </is>
      </c>
      <c r="L8" s="15" t="inlineStr">
        <is>
          <t>مالي</t>
        </is>
      </c>
      <c r="M8" s="60" t="n">
        <v>0.888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74" t="inlineStr">
        <is>
          <t>يقيس مدى خلو الرواتب والمستحقات من الأخطاء أو التأخير، مثل الرواتب، البدلات، الخصومات، الإجازات، نهاية الخدمة، التأمينات، والعمل الإضافي.</t>
        </is>
      </c>
      <c r="Q8" s="74" t="inlineStr">
        <is>
          <t>نظام الرواتب (Payroll) / حماية الأجور</t>
        </is>
      </c>
      <c r="R8" s="15" t="inlineStr">
        <is>
          <t>شهري</t>
        </is>
      </c>
    </row>
  </sheetData>
  <autoFilter ref="A3:R8"/>
  <mergeCells count="2">
    <mergeCell ref="A2:R2"/>
    <mergeCell ref="A1:R1"/>
  </mergeCells>
  <dataValidations count="1">
    <dataValidation sqref="M4 M5 M6 M7 M8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R8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التسويق · مؤشرات الأداء 2026</t>
        </is>
      </c>
    </row>
    <row r="2">
      <c r="A2" s="72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21" t="inlineStr">
        <is>
          <t>الإدارة العامة</t>
        </is>
      </c>
      <c r="C4" s="21" t="inlineStr">
        <is>
          <t>الوصول الكلي (Total Reach)</t>
        </is>
      </c>
      <c r="D4" s="49" t="inlineStr">
        <is>
          <t>وصول</t>
        </is>
      </c>
      <c r="E4" s="49" t="inlineStr">
        <is>
          <t>↑</t>
        </is>
      </c>
      <c r="F4" s="15" t="inlineStr">
        <is>
          <t>🔴 رئيسي</t>
        </is>
      </c>
      <c r="G4" s="59" t="n">
        <v>0.25</v>
      </c>
      <c r="H4" s="55" t="n">
        <v>50000000</v>
      </c>
      <c r="I4" s="22" t="inlineStr">
        <is>
          <t>50م وصول</t>
        </is>
      </c>
      <c r="J4" s="73" t="inlineStr">
        <is>
          <t>النمو</t>
        </is>
      </c>
      <c r="K4" s="11" t="inlineStr">
        <is>
          <t>زيادة وصول العملاء</t>
        </is>
      </c>
      <c r="L4" s="15" t="inlineStr">
        <is>
          <t>العملاء</t>
        </is>
      </c>
      <c r="M4" s="56" t="n">
        <v>5000000</v>
      </c>
      <c r="N4" s="10">
        <f>IF($H4="","",IF($M4="","",MIN(1,IF($H4=0,IF($M4&lt;=0,1,0),IF($E4="↓",IFERROR($H4/$M4,0),IFERROR($M4/$H4,0))))))</f>
        <v/>
      </c>
      <c r="O4" s="20">
        <f>IF($N4="","⏳ بانتظار هدف",IF($N4&gt;=0.9,"✅ محقق",IF($N4&gt;=0.75,"🟡 قريب","🔴 تحت الهدف")))</f>
        <v/>
      </c>
      <c r="P4" s="74" t="inlineStr">
        <is>
          <t>إجمالي عدد «الوصول الكلي» المُسجّل خلال الفترة</t>
        </is>
      </c>
      <c r="Q4" s="74" t="inlineStr">
        <is>
          <t>أنظمة التسويق الرقمي / تانكي</t>
        </is>
      </c>
      <c r="R4" s="15" t="inlineStr">
        <is>
          <t>شهري</t>
        </is>
      </c>
    </row>
    <row r="5" ht="26" customHeight="1">
      <c r="A5" s="20" t="n">
        <v>2</v>
      </c>
      <c r="B5" s="21" t="inlineStr">
        <is>
          <t>خدمة العملاء والدعم</t>
        </is>
      </c>
      <c r="C5" s="21" t="inlineStr">
        <is>
          <t>معدل خفض الشكاوى</t>
        </is>
      </c>
      <c r="D5" s="49" t="inlineStr">
        <is>
          <t>%</t>
        </is>
      </c>
      <c r="E5" s="49" t="inlineStr">
        <is>
          <t>↑</t>
        </is>
      </c>
      <c r="F5" s="15" t="inlineStr">
        <is>
          <t>🟠 مهم</t>
        </is>
      </c>
      <c r="G5" s="59" t="n">
        <v>0.17</v>
      </c>
      <c r="H5" s="59" t="n">
        <v>0.3</v>
      </c>
      <c r="I5" s="22" t="inlineStr">
        <is>
          <t>≥ 30%</t>
        </is>
      </c>
      <c r="J5" s="73" t="inlineStr">
        <is>
          <t>الاستدامة</t>
        </is>
      </c>
      <c r="K5" s="11" t="inlineStr">
        <is>
          <t>تعزيز تجربة العملاء</t>
        </is>
      </c>
      <c r="L5" s="15" t="inlineStr">
        <is>
          <t>العملاء</t>
        </is>
      </c>
      <c r="M5" s="60" t="n">
        <v>0.21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74" t="inlineStr">
        <is>
          <t>عدد حالات «خفض الشكاوى» خلال الفترة ÷ إجمالي الحالات القابلة للقياس × 100٪</t>
        </is>
      </c>
      <c r="Q5" s="74" t="inlineStr">
        <is>
          <t>سجلات الإدارة</t>
        </is>
      </c>
      <c r="R5" s="15" t="inlineStr">
        <is>
          <t>شهري</t>
        </is>
      </c>
    </row>
    <row r="6" ht="26" customHeight="1">
      <c r="A6" s="20" t="n">
        <v>3</v>
      </c>
      <c r="B6" s="21" t="inlineStr">
        <is>
          <t>الدعاية والإعلان</t>
        </is>
      </c>
      <c r="C6" s="21" t="inlineStr">
        <is>
          <t>نسبة التزام الهوية البصرية</t>
        </is>
      </c>
      <c r="D6" s="49" t="inlineStr">
        <is>
          <t>%</t>
        </is>
      </c>
      <c r="E6" s="49" t="inlineStr">
        <is>
          <t>↑</t>
        </is>
      </c>
      <c r="F6" s="15" t="inlineStr">
        <is>
          <t>🔴 رئيسي</t>
        </is>
      </c>
      <c r="G6" s="59" t="n">
        <v>0.25</v>
      </c>
      <c r="H6" s="59" t="n">
        <v>1</v>
      </c>
      <c r="I6" s="22" t="inlineStr">
        <is>
          <t>100%</t>
        </is>
      </c>
      <c r="J6" s="73" t="inlineStr">
        <is>
          <t>الابتكار</t>
        </is>
      </c>
      <c r="K6" s="11" t="inlineStr">
        <is>
          <t>تطوير التصاميم والهوية</t>
        </is>
      </c>
      <c r="L6" s="15" t="inlineStr">
        <is>
          <t>التعلّم والنمو</t>
        </is>
      </c>
      <c r="M6" s="60" t="n">
        <v>0.1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74" t="inlineStr">
        <is>
          <t>قيمة/عدد المتحقّق من «التزام الهوية البصرية» ÷ الإجمالي المستهدف لنفس البند × 100٪</t>
        </is>
      </c>
      <c r="Q6" s="74" t="inlineStr">
        <is>
          <t>سجلات الإدارة</t>
        </is>
      </c>
      <c r="R6" s="15" t="inlineStr">
        <is>
          <t>شهري</t>
        </is>
      </c>
    </row>
    <row r="7" ht="26" customHeight="1">
      <c r="A7" s="20" t="n">
        <v>4</v>
      </c>
      <c r="B7" s="21" t="inlineStr">
        <is>
          <t>تطبيق تانكي</t>
        </is>
      </c>
      <c r="C7" s="21" t="inlineStr">
        <is>
          <t>عدد تنزيلات التطبيق</t>
        </is>
      </c>
      <c r="D7" s="49" t="inlineStr">
        <is>
          <t>تنزيل</t>
        </is>
      </c>
      <c r="E7" s="49" t="inlineStr">
        <is>
          <t>↑</t>
        </is>
      </c>
      <c r="F7" s="15" t="inlineStr">
        <is>
          <t>🟠 مهم</t>
        </is>
      </c>
      <c r="G7" s="59" t="n">
        <v>0.17</v>
      </c>
      <c r="H7" s="55" t="n">
        <v>100000</v>
      </c>
      <c r="I7" s="22" t="inlineStr">
        <is>
          <t>≥ 100 ألف تنزيل</t>
        </is>
      </c>
      <c r="J7" s="73" t="inlineStr">
        <is>
          <t>الابتكار</t>
        </is>
      </c>
      <c r="K7" s="11" t="inlineStr">
        <is>
          <t>تطبيق «تانكي»</t>
        </is>
      </c>
      <c r="L7" s="15" t="inlineStr">
        <is>
          <t>التعلّم والنمو</t>
        </is>
      </c>
      <c r="M7" s="56" t="n">
        <v>78204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74" t="inlineStr">
        <is>
          <t>إجمالي عدد «تنزيلات التطبيق» المُسجّلة خلال الفترة</t>
        </is>
      </c>
      <c r="Q7" s="74" t="inlineStr">
        <is>
          <t>أنظمة التسويق الرقمي / تانكي</t>
        </is>
      </c>
      <c r="R7" s="15" t="inlineStr">
        <is>
          <t>شهري</t>
        </is>
      </c>
    </row>
    <row r="8" ht="26" customHeight="1">
      <c r="A8" s="20" t="n">
        <v>5</v>
      </c>
      <c r="B8" s="21" t="inlineStr">
        <is>
          <t>تطبيق تانكي</t>
        </is>
      </c>
      <c r="C8" s="21" t="inlineStr">
        <is>
          <t>عدد شراكات التطبيق</t>
        </is>
      </c>
      <c r="D8" s="49" t="inlineStr">
        <is>
          <t>شراكة</t>
        </is>
      </c>
      <c r="E8" s="49" t="inlineStr">
        <is>
          <t>↑</t>
        </is>
      </c>
      <c r="F8" s="15" t="inlineStr">
        <is>
          <t>🟠 مهم</t>
        </is>
      </c>
      <c r="G8" s="59" t="n">
        <v>0.16</v>
      </c>
      <c r="H8" s="55" t="n">
        <v>10</v>
      </c>
      <c r="I8" s="22" t="inlineStr">
        <is>
          <t>≥ 10 شراكات</t>
        </is>
      </c>
      <c r="J8" s="73" t="inlineStr">
        <is>
          <t>الابتكار</t>
        </is>
      </c>
      <c r="K8" s="11" t="inlineStr">
        <is>
          <t>تطبيق «تانكي»</t>
        </is>
      </c>
      <c r="L8" s="15" t="inlineStr">
        <is>
          <t>العمليات الداخلية</t>
        </is>
      </c>
      <c r="M8" s="56" t="n">
        <v>7.8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74" t="inlineStr">
        <is>
          <t>إجمالي عدد «شراكات التطبيق» المُسجّلة خلال الفترة</t>
        </is>
      </c>
      <c r="Q8" s="74" t="inlineStr">
        <is>
          <t>أنظمة التسويق الرقمي / تانكي</t>
        </is>
      </c>
      <c r="R8" s="15" t="inlineStr">
        <is>
          <t>شهري</t>
        </is>
      </c>
    </row>
  </sheetData>
  <autoFilter ref="A3:R8"/>
  <mergeCells count="2">
    <mergeCell ref="A2:R2"/>
    <mergeCell ref="A1:R1"/>
  </mergeCells>
  <dataValidations count="1">
    <dataValidation sqref="M4 M5 M6 M7 M8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R18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الجودة · مؤشرات الأداء 2026</t>
        </is>
      </c>
    </row>
    <row r="2">
      <c r="A2" s="72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75" t="n"/>
      <c r="C4" s="75" t="n"/>
      <c r="D4" s="51" t="n"/>
      <c r="E4" s="51" t="n"/>
      <c r="F4" s="51" t="n"/>
      <c r="G4" s="60" t="n"/>
      <c r="H4" s="51" t="n"/>
      <c r="I4" s="51" t="n"/>
      <c r="J4" s="51" t="n"/>
      <c r="K4" s="51" t="n"/>
      <c r="L4" s="51" t="n"/>
      <c r="M4" s="51" t="n"/>
      <c r="N4" s="10">
        <f>IF($H4="","",IF($M4="","",MIN(1,IF($H4=0,IF($M4&lt;=0,1,0),IF($E4="↓",IFERROR($H4/$M4,0),IFERROR($M4/$H4,0))))))</f>
        <v/>
      </c>
      <c r="O4" s="20">
        <f>IF($N4="","⏳ بانتظار هدف",IF($N4&gt;=1.0,"✅ محقق",IF($N4&gt;=0.85,"🟡 قريب","🔴 تحت الهدف")))</f>
        <v/>
      </c>
      <c r="P4" s="75" t="n"/>
      <c r="Q4" s="75" t="n"/>
      <c r="R4" s="51" t="n"/>
    </row>
    <row r="5" ht="26" customHeight="1">
      <c r="A5" s="20" t="n">
        <v>2</v>
      </c>
      <c r="B5" s="75" t="n"/>
      <c r="C5" s="75" t="n"/>
      <c r="D5" s="51" t="n"/>
      <c r="E5" s="51" t="n"/>
      <c r="F5" s="51" t="n"/>
      <c r="G5" s="60" t="n"/>
      <c r="H5" s="51" t="n"/>
      <c r="I5" s="51" t="n"/>
      <c r="J5" s="51" t="n"/>
      <c r="K5" s="51" t="n"/>
      <c r="L5" s="51" t="n"/>
      <c r="M5" s="51" t="n"/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75" t="n"/>
      <c r="Q5" s="75" t="n"/>
      <c r="R5" s="51" t="n"/>
    </row>
    <row r="6" ht="26" customHeight="1">
      <c r="A6" s="20" t="n">
        <v>3</v>
      </c>
      <c r="B6" s="75" t="n"/>
      <c r="C6" s="75" t="n"/>
      <c r="D6" s="51" t="n"/>
      <c r="E6" s="51" t="n"/>
      <c r="F6" s="51" t="n"/>
      <c r="G6" s="60" t="n"/>
      <c r="H6" s="51" t="n"/>
      <c r="I6" s="51" t="n"/>
      <c r="J6" s="51" t="n"/>
      <c r="K6" s="51" t="n"/>
      <c r="L6" s="51" t="n"/>
      <c r="M6" s="51" t="n"/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75" t="n"/>
      <c r="Q6" s="75" t="n"/>
      <c r="R6" s="51" t="n"/>
    </row>
    <row r="7" ht="26" customHeight="1">
      <c r="A7" s="20" t="n">
        <v>4</v>
      </c>
      <c r="B7" s="75" t="n"/>
      <c r="C7" s="75" t="n"/>
      <c r="D7" s="51" t="n"/>
      <c r="E7" s="51" t="n"/>
      <c r="F7" s="51" t="n"/>
      <c r="G7" s="60" t="n"/>
      <c r="H7" s="51" t="n"/>
      <c r="I7" s="51" t="n"/>
      <c r="J7" s="51" t="n"/>
      <c r="K7" s="51" t="n"/>
      <c r="L7" s="51" t="n"/>
      <c r="M7" s="51" t="n"/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75" t="n"/>
      <c r="Q7" s="75" t="n"/>
      <c r="R7" s="51" t="n"/>
    </row>
    <row r="8" ht="26" customHeight="1">
      <c r="A8" s="20" t="n">
        <v>5</v>
      </c>
      <c r="B8" s="75" t="n"/>
      <c r="C8" s="75" t="n"/>
      <c r="D8" s="51" t="n"/>
      <c r="E8" s="51" t="n"/>
      <c r="F8" s="51" t="n"/>
      <c r="G8" s="60" t="n"/>
      <c r="H8" s="51" t="n"/>
      <c r="I8" s="51" t="n"/>
      <c r="J8" s="51" t="n"/>
      <c r="K8" s="51" t="n"/>
      <c r="L8" s="51" t="n"/>
      <c r="M8" s="51" t="n"/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75" t="n"/>
      <c r="Q8" s="75" t="n"/>
      <c r="R8" s="51" t="n"/>
    </row>
    <row r="9" ht="26" customHeight="1">
      <c r="A9" s="20" t="n">
        <v>6</v>
      </c>
      <c r="B9" s="75" t="n"/>
      <c r="C9" s="75" t="n"/>
      <c r="D9" s="51" t="n"/>
      <c r="E9" s="51" t="n"/>
      <c r="F9" s="51" t="n"/>
      <c r="G9" s="60" t="n"/>
      <c r="H9" s="51" t="n"/>
      <c r="I9" s="51" t="n"/>
      <c r="J9" s="51" t="n"/>
      <c r="K9" s="51" t="n"/>
      <c r="L9" s="51" t="n"/>
      <c r="M9" s="51" t="n"/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75" t="n"/>
      <c r="Q9" s="75" t="n"/>
      <c r="R9" s="51" t="n"/>
    </row>
    <row r="10" ht="26" customHeight="1">
      <c r="A10" s="20" t="n">
        <v>7</v>
      </c>
      <c r="B10" s="75" t="n"/>
      <c r="C10" s="75" t="n"/>
      <c r="D10" s="51" t="n"/>
      <c r="E10" s="51" t="n"/>
      <c r="F10" s="51" t="n"/>
      <c r="G10" s="60" t="n"/>
      <c r="H10" s="51" t="n"/>
      <c r="I10" s="51" t="n"/>
      <c r="J10" s="51" t="n"/>
      <c r="K10" s="51" t="n"/>
      <c r="L10" s="51" t="n"/>
      <c r="M10" s="51" t="n"/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75" t="n"/>
      <c r="Q10" s="75" t="n"/>
      <c r="R10" s="51" t="n"/>
    </row>
    <row r="11" ht="26" customHeight="1">
      <c r="A11" s="20" t="n">
        <v>8</v>
      </c>
      <c r="B11" s="75" t="n"/>
      <c r="C11" s="75" t="n"/>
      <c r="D11" s="51" t="n"/>
      <c r="E11" s="51" t="n"/>
      <c r="F11" s="51" t="n"/>
      <c r="G11" s="60" t="n"/>
      <c r="H11" s="51" t="n"/>
      <c r="I11" s="51" t="n"/>
      <c r="J11" s="51" t="n"/>
      <c r="K11" s="51" t="n"/>
      <c r="L11" s="51" t="n"/>
      <c r="M11" s="51" t="n"/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75" t="n"/>
      <c r="Q11" s="75" t="n"/>
      <c r="R11" s="51" t="n"/>
    </row>
    <row r="12" ht="26" customHeight="1">
      <c r="A12" s="20" t="n">
        <v>9</v>
      </c>
      <c r="B12" s="75" t="n"/>
      <c r="C12" s="75" t="n"/>
      <c r="D12" s="51" t="n"/>
      <c r="E12" s="51" t="n"/>
      <c r="F12" s="51" t="n"/>
      <c r="G12" s="60" t="n"/>
      <c r="H12" s="51" t="n"/>
      <c r="I12" s="51" t="n"/>
      <c r="J12" s="51" t="n"/>
      <c r="K12" s="51" t="n"/>
      <c r="L12" s="51" t="n"/>
      <c r="M12" s="51" t="n"/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75" t="n"/>
      <c r="Q12" s="75" t="n"/>
      <c r="R12" s="51" t="n"/>
    </row>
    <row r="13" ht="26" customHeight="1">
      <c r="A13" s="20" t="n">
        <v>10</v>
      </c>
      <c r="B13" s="75" t="n"/>
      <c r="C13" s="75" t="n"/>
      <c r="D13" s="51" t="n"/>
      <c r="E13" s="51" t="n"/>
      <c r="F13" s="51" t="n"/>
      <c r="G13" s="60" t="n"/>
      <c r="H13" s="51" t="n"/>
      <c r="I13" s="51" t="n"/>
      <c r="J13" s="51" t="n"/>
      <c r="K13" s="51" t="n"/>
      <c r="L13" s="51" t="n"/>
      <c r="M13" s="51" t="n"/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75" t="n"/>
      <c r="Q13" s="75" t="n"/>
      <c r="R13" s="51" t="n"/>
    </row>
    <row r="14" ht="26" customHeight="1">
      <c r="A14" s="20" t="n">
        <v>11</v>
      </c>
      <c r="B14" s="75" t="n"/>
      <c r="C14" s="75" t="n"/>
      <c r="D14" s="51" t="n"/>
      <c r="E14" s="51" t="n"/>
      <c r="F14" s="51" t="n"/>
      <c r="G14" s="60" t="n"/>
      <c r="H14" s="51" t="n"/>
      <c r="I14" s="51" t="n"/>
      <c r="J14" s="51" t="n"/>
      <c r="K14" s="51" t="n"/>
      <c r="L14" s="51" t="n"/>
      <c r="M14" s="51" t="n"/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75" t="n"/>
      <c r="Q14" s="75" t="n"/>
      <c r="R14" s="51" t="n"/>
    </row>
    <row r="15" ht="26" customHeight="1">
      <c r="A15" s="20" t="n">
        <v>12</v>
      </c>
      <c r="B15" s="75" t="n"/>
      <c r="C15" s="75" t="n"/>
      <c r="D15" s="51" t="n"/>
      <c r="E15" s="51" t="n"/>
      <c r="F15" s="51" t="n"/>
      <c r="G15" s="60" t="n"/>
      <c r="H15" s="51" t="n"/>
      <c r="I15" s="51" t="n"/>
      <c r="J15" s="51" t="n"/>
      <c r="K15" s="51" t="n"/>
      <c r="L15" s="51" t="n"/>
      <c r="M15" s="51" t="n"/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75" t="n"/>
      <c r="Q15" s="75" t="n"/>
      <c r="R15" s="51" t="n"/>
    </row>
    <row r="16" ht="26" customHeight="1">
      <c r="A16" s="20" t="n">
        <v>13</v>
      </c>
      <c r="B16" s="75" t="n"/>
      <c r="C16" s="75" t="n"/>
      <c r="D16" s="51" t="n"/>
      <c r="E16" s="51" t="n"/>
      <c r="F16" s="51" t="n"/>
      <c r="G16" s="60" t="n"/>
      <c r="H16" s="51" t="n"/>
      <c r="I16" s="51" t="n"/>
      <c r="J16" s="51" t="n"/>
      <c r="K16" s="51" t="n"/>
      <c r="L16" s="51" t="n"/>
      <c r="M16" s="51" t="n"/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75" t="n"/>
      <c r="Q16" s="75" t="n"/>
      <c r="R16" s="51" t="n"/>
    </row>
    <row r="17" ht="26" customHeight="1">
      <c r="A17" s="20" t="n">
        <v>14</v>
      </c>
      <c r="B17" s="75" t="n"/>
      <c r="C17" s="75" t="n"/>
      <c r="D17" s="51" t="n"/>
      <c r="E17" s="51" t="n"/>
      <c r="F17" s="51" t="n"/>
      <c r="G17" s="60" t="n"/>
      <c r="H17" s="51" t="n"/>
      <c r="I17" s="51" t="n"/>
      <c r="J17" s="51" t="n"/>
      <c r="K17" s="51" t="n"/>
      <c r="L17" s="51" t="n"/>
      <c r="M17" s="51" t="n"/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75" t="n"/>
      <c r="Q17" s="75" t="n"/>
      <c r="R17" s="51" t="n"/>
    </row>
    <row r="18" ht="26" customHeight="1">
      <c r="A18" s="20" t="n">
        <v>15</v>
      </c>
      <c r="B18" s="75" t="n"/>
      <c r="C18" s="75" t="n"/>
      <c r="D18" s="51" t="n"/>
      <c r="E18" s="51" t="n"/>
      <c r="F18" s="51" t="n"/>
      <c r="G18" s="60" t="n"/>
      <c r="H18" s="51" t="n"/>
      <c r="I18" s="51" t="n"/>
      <c r="J18" s="51" t="n"/>
      <c r="K18" s="51" t="n"/>
      <c r="L18" s="51" t="n"/>
      <c r="M18" s="51" t="n"/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محقق",IF($N18&gt;=0.85,"🟡 قريب","🔴 تحت الهدف")))</f>
        <v/>
      </c>
      <c r="P18" s="75" t="n"/>
      <c r="Q18" s="75" t="n"/>
      <c r="R18" s="51" t="n"/>
    </row>
  </sheetData>
  <autoFilter ref="A3:R18"/>
  <mergeCells count="2">
    <mergeCell ref="A2:R2"/>
    <mergeCell ref="A1:R1"/>
  </mergeCells>
  <dataValidations count="1">
    <dataValidation sqref="M4 M5 M6 M7 M8 M9 M10 M11 M12 M13 M14 M15 M16 M17 M18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R6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الإدارة القانونية · مؤشرات الأداء 2026</t>
        </is>
      </c>
    </row>
    <row r="2">
      <c r="A2" s="72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21" t="inlineStr">
        <is>
          <t>أعمال العقود</t>
        </is>
      </c>
      <c r="C4" s="21" t="inlineStr">
        <is>
          <t>نسبة العقود المُراجَعة قانونياً قبل التوقيع</t>
        </is>
      </c>
      <c r="D4" s="49" t="inlineStr">
        <is>
          <t>%</t>
        </is>
      </c>
      <c r="E4" s="49" t="inlineStr">
        <is>
          <t>↑</t>
        </is>
      </c>
      <c r="F4" s="15" t="inlineStr">
        <is>
          <t>🔴 رئيسي</t>
        </is>
      </c>
      <c r="G4" s="59" t="n">
        <v>0.38</v>
      </c>
      <c r="H4" s="59" t="n">
        <v>1</v>
      </c>
      <c r="I4" s="22" t="inlineStr">
        <is>
          <t>100%</t>
        </is>
      </c>
      <c r="J4" s="73" t="inlineStr">
        <is>
          <t>الاستدامة</t>
        </is>
      </c>
      <c r="K4" s="11" t="inlineStr">
        <is>
          <t>جودة التشغيل</t>
        </is>
      </c>
      <c r="L4" s="15" t="inlineStr">
        <is>
          <t>العمليات الداخلية</t>
        </is>
      </c>
      <c r="M4" s="60" t="n">
        <v>1.013</v>
      </c>
      <c r="N4" s="10">
        <f>IF($H4="","",IF($M4="","",MIN(1,IF($H4=0,IF($M4&lt;=0,1,0),IF($E4="↓",IFERROR($H4/$M4,0),IFERROR($M4/$H4,0))))))</f>
        <v/>
      </c>
      <c r="O4" s="20">
        <f>IF($N4="","⏳ بانتظار هدف",IF($N4&gt;=1.0,"✅ محقق",IF($N4&gt;=0.85,"🟡 قريب","🔴 تحت الهدف")))</f>
        <v/>
      </c>
      <c r="P4" s="74" t="inlineStr">
        <is>
          <t>قيمة/عدد المتحقّق من «العقود المُراجَعة قانونياً قبل التوقيع» ÷ الإجمالي المستهدف لنفس البند × 100٪</t>
        </is>
      </c>
      <c r="Q4" s="74" t="inlineStr">
        <is>
          <t>نظام إدارة العقود (CRM)</t>
        </is>
      </c>
      <c r="R4" s="15" t="inlineStr">
        <is>
          <t>شهري</t>
        </is>
      </c>
    </row>
    <row r="5" ht="26" customHeight="1">
      <c r="A5" s="20" t="n">
        <v>2</v>
      </c>
      <c r="B5" s="21" t="inlineStr">
        <is>
          <t>أعمال القضايا</t>
        </is>
      </c>
      <c r="C5" s="21" t="inlineStr">
        <is>
          <t>نسبة القضايا المُغلقة لصالح الشركة</t>
        </is>
      </c>
      <c r="D5" s="49" t="inlineStr">
        <is>
          <t>%</t>
        </is>
      </c>
      <c r="E5" s="49" t="inlineStr">
        <is>
          <t>↑</t>
        </is>
      </c>
      <c r="F5" s="15" t="inlineStr">
        <is>
          <t>🟠 مهم</t>
        </is>
      </c>
      <c r="G5" s="59" t="n">
        <v>0.25</v>
      </c>
      <c r="H5" s="59" t="n">
        <v>0.8</v>
      </c>
      <c r="I5" s="22" t="inlineStr">
        <is>
          <t>≥ 80%</t>
        </is>
      </c>
      <c r="J5" s="73" t="inlineStr">
        <is>
          <t>الاستدامة</t>
        </is>
      </c>
      <c r="K5" s="11" t="inlineStr">
        <is>
          <t>جودة التشغيل</t>
        </is>
      </c>
      <c r="L5" s="15" t="inlineStr">
        <is>
          <t>العمليات الداخلية</t>
        </is>
      </c>
      <c r="M5" s="60" t="n">
        <v>0.664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74" t="inlineStr">
        <is>
          <t>قيمة/عدد المتحقّق من «القضايا المُغلقة لصالح الشركة» ÷ الإجمالي المستهدف لنفس البند × 100٪</t>
        </is>
      </c>
      <c r="Q5" s="74" t="inlineStr">
        <is>
          <t>نظام إدارة القضايا والتحقيقات</t>
        </is>
      </c>
      <c r="R5" s="15" t="inlineStr">
        <is>
          <t>شهري</t>
        </is>
      </c>
    </row>
    <row r="6" ht="26" customHeight="1">
      <c r="A6" s="20" t="n">
        <v>3</v>
      </c>
      <c r="B6" s="21" t="inlineStr">
        <is>
          <t>الاستشارات القانونية</t>
        </is>
      </c>
      <c r="C6" s="21" t="inlineStr">
        <is>
          <t>مستوى رضا الإدارات عن الدعم القانوني</t>
        </is>
      </c>
      <c r="D6" s="49" t="inlineStr">
        <is>
          <t>%</t>
        </is>
      </c>
      <c r="E6" s="49" t="inlineStr">
        <is>
          <t>↑</t>
        </is>
      </c>
      <c r="F6" s="15" t="inlineStr">
        <is>
          <t>🔴 رئيسي</t>
        </is>
      </c>
      <c r="G6" s="59" t="n">
        <v>0.37</v>
      </c>
      <c r="H6" s="59" t="n">
        <v>0.85</v>
      </c>
      <c r="I6" s="22" t="inlineStr">
        <is>
          <t>≥ 85%</t>
        </is>
      </c>
      <c r="J6" s="73" t="inlineStr">
        <is>
          <t>الاستدامة</t>
        </is>
      </c>
      <c r="K6" s="11" t="inlineStr">
        <is>
          <t>جودة التشغيل</t>
        </is>
      </c>
      <c r="L6" s="15" t="inlineStr">
        <is>
          <t>العملاء</t>
        </is>
      </c>
      <c r="M6" s="60" t="n">
        <v>0.674</v>
      </c>
      <c r="N6" s="10">
        <f>IF($H6="","",IF($M6="","",MIN(1,IF($H6=0,IF($M6&lt;=0,1,0),IF($E6="↓",IFERROR($H6/$M6,0),IFERROR($M6/$H6,0))))))</f>
        <v/>
      </c>
      <c r="O6" s="20">
        <f>IF($N6="","⏳ بانتظار هدف",IF($N6&gt;=0.9,"✅ محقق",IF($N6&gt;=0.75,"🟡 قريب","🔴 تحت الهدف")))</f>
        <v/>
      </c>
      <c r="P6" s="74" t="inlineStr">
        <is>
          <t>القيمة المتحقّقة من «مستوى رضا الإدارات عن الدعم القانوني» ÷ المستهدف × 100٪</t>
        </is>
      </c>
      <c r="Q6" s="74" t="inlineStr">
        <is>
          <t>استبيان دوري</t>
        </is>
      </c>
      <c r="R6" s="15" t="inlineStr">
        <is>
          <t>ربعي</t>
        </is>
      </c>
    </row>
  </sheetData>
  <autoFilter ref="A3:R6"/>
  <mergeCells count="2">
    <mergeCell ref="A2:R2"/>
    <mergeCell ref="A1:R1"/>
  </mergeCells>
  <dataValidations count="1">
    <dataValidation sqref="M4 M5 M6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R9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الإدارة المالية · مؤشرات الأداء 2026</t>
        </is>
      </c>
    </row>
    <row r="2">
      <c r="A2" s="72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21" t="inlineStr">
        <is>
          <t>المالية الاستراتيجية</t>
        </is>
      </c>
      <c r="C4" s="21" t="inlineStr">
        <is>
          <t>نمو الإيرادات السنوي</t>
        </is>
      </c>
      <c r="D4" s="49" t="inlineStr">
        <is>
          <t>%</t>
        </is>
      </c>
      <c r="E4" s="49" t="inlineStr">
        <is>
          <t>↑</t>
        </is>
      </c>
      <c r="F4" s="15" t="inlineStr">
        <is>
          <t>🔴 رئيسي</t>
        </is>
      </c>
      <c r="G4" s="59" t="n">
        <v>0.22</v>
      </c>
      <c r="H4" s="59" t="n">
        <v>0.2</v>
      </c>
      <c r="I4" s="22" t="inlineStr">
        <is>
          <t>≥ 20%</t>
        </is>
      </c>
      <c r="J4" s="73" t="inlineStr">
        <is>
          <t>النمو</t>
        </is>
      </c>
      <c r="K4" s="11" t="inlineStr">
        <is>
          <t>زيادة وصول العملاء</t>
        </is>
      </c>
      <c r="L4" s="15" t="inlineStr">
        <is>
          <t>مالي</t>
        </is>
      </c>
      <c r="M4" s="60" t="n">
        <v>0.169</v>
      </c>
      <c r="N4" s="10">
        <f>IF($H4="","",IF($M4="","",MIN(1,IF($H4=0,IF($M4&lt;=0,1,0),IF($E4="↓",IFERROR($H4/$M4,0),IFERROR($M4/$H4,0))))))</f>
        <v/>
      </c>
      <c r="O4" s="20">
        <f>IF($N4="","⏳ بانتظار هدف",IF($N4&gt;=1.0,"✅ محقق",IF($N4&gt;=0.85,"🟡 قريب","🔴 تحت الهدف")))</f>
        <v/>
      </c>
      <c r="P4" s="74" t="inlineStr">
        <is>
          <t>القيمة المتحقّقة من «نمو الإيرادات السنوي» ÷ المستهدف × 100٪</t>
        </is>
      </c>
      <c r="Q4" s="74" t="inlineStr">
        <is>
          <t>نظام المحاسبة / ERP (D365)</t>
        </is>
      </c>
      <c r="R4" s="15" t="inlineStr">
        <is>
          <t>ربعي</t>
        </is>
      </c>
    </row>
    <row r="5" ht="26" customHeight="1">
      <c r="A5" s="20" t="n">
        <v>2</v>
      </c>
      <c r="B5" s="21" t="inlineStr">
        <is>
          <t>المالية الاستراتيجية</t>
        </is>
      </c>
      <c r="C5" s="21" t="inlineStr">
        <is>
          <t>نسبة التدفق النقدي التشغيلي</t>
        </is>
      </c>
      <c r="D5" s="49" t="inlineStr">
        <is>
          <t>نسبة</t>
        </is>
      </c>
      <c r="E5" s="49" t="inlineStr">
        <is>
          <t>↑</t>
        </is>
      </c>
      <c r="F5" s="15" t="inlineStr">
        <is>
          <t>🟠 مهم</t>
        </is>
      </c>
      <c r="G5" s="59" t="n">
        <v>0.14</v>
      </c>
      <c r="H5" s="62" t="n">
        <v>1</v>
      </c>
      <c r="I5" s="22" t="inlineStr">
        <is>
          <t>&gt; 1</t>
        </is>
      </c>
      <c r="J5" s="73" t="inlineStr">
        <is>
          <t>الاستدامة</t>
        </is>
      </c>
      <c r="K5" s="11" t="inlineStr">
        <is>
          <t>جودة التشغيل</t>
        </is>
      </c>
      <c r="L5" s="15" t="inlineStr">
        <is>
          <t>العمليات الداخلية</t>
        </is>
      </c>
      <c r="M5" s="63" t="n">
        <v>0.902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74" t="inlineStr">
        <is>
          <t>قيمة/عدد المتحقّق من «التدفق النقدي التشغيلي» ÷ الإجمالي المستهدف لنفس البند × 100٪</t>
        </is>
      </c>
      <c r="Q5" s="74" t="inlineStr">
        <is>
          <t>نظام المحاسبة / ERP (D365)</t>
        </is>
      </c>
      <c r="R5" s="15" t="inlineStr">
        <is>
          <t>شهري</t>
        </is>
      </c>
    </row>
    <row r="6" ht="26" customHeight="1">
      <c r="A6" s="20" t="n">
        <v>3</v>
      </c>
      <c r="B6" s="21" t="inlineStr">
        <is>
          <t>الذمم المدينة</t>
        </is>
      </c>
      <c r="C6" s="21" t="inlineStr">
        <is>
          <t>نسبة التحصيل العام (الشركة)</t>
        </is>
      </c>
      <c r="D6" s="49" t="inlineStr">
        <is>
          <t>%</t>
        </is>
      </c>
      <c r="E6" s="49" t="inlineStr">
        <is>
          <t>↑</t>
        </is>
      </c>
      <c r="F6" s="15" t="inlineStr">
        <is>
          <t>🔴 رئيسي</t>
        </is>
      </c>
      <c r="G6" s="59" t="n">
        <v>0.22</v>
      </c>
      <c r="H6" s="59" t="n">
        <v>0.95</v>
      </c>
      <c r="I6" s="22" t="inlineStr">
        <is>
          <t>≥ 95%</t>
        </is>
      </c>
      <c r="J6" s="73" t="inlineStr">
        <is>
          <t>الاستدامة</t>
        </is>
      </c>
      <c r="K6" s="11" t="inlineStr">
        <is>
          <t>جودة التشغيل</t>
        </is>
      </c>
      <c r="L6" s="15" t="inlineStr">
        <is>
          <t>مالي</t>
        </is>
      </c>
      <c r="M6" s="60" t="n">
        <v>0.699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74" t="inlineStr">
        <is>
          <t>قيمة/عدد المتحقّق من «التحصيل العام» ÷ الإجمالي المستهدف لنفس البند × 100٪</t>
        </is>
      </c>
      <c r="Q6" s="74" t="inlineStr">
        <is>
          <t>نظام المحاسبة / ERP (D365)</t>
        </is>
      </c>
      <c r="R6" s="15" t="inlineStr">
        <is>
          <t>شهري</t>
        </is>
      </c>
    </row>
    <row r="7" ht="26" customHeight="1">
      <c r="A7" s="20" t="n">
        <v>4</v>
      </c>
      <c r="B7" s="21" t="inlineStr">
        <is>
          <t>الخزينة</t>
        </is>
      </c>
      <c r="C7" s="21" t="inlineStr">
        <is>
          <t>دقة التنبؤ النقدي</t>
        </is>
      </c>
      <c r="D7" s="49" t="inlineStr">
        <is>
          <t>%</t>
        </is>
      </c>
      <c r="E7" s="49" t="inlineStr">
        <is>
          <t>↑</t>
        </is>
      </c>
      <c r="F7" s="15" t="inlineStr">
        <is>
          <t>🟠 مهم</t>
        </is>
      </c>
      <c r="G7" s="59" t="n">
        <v>0.14</v>
      </c>
      <c r="H7" s="59" t="n">
        <v>0.9</v>
      </c>
      <c r="I7" s="22" t="inlineStr">
        <is>
          <t>±10%</t>
        </is>
      </c>
      <c r="J7" s="73" t="inlineStr">
        <is>
          <t>الاستدامة</t>
        </is>
      </c>
      <c r="K7" s="11" t="inlineStr">
        <is>
          <t>جودة التشغيل</t>
        </is>
      </c>
      <c r="L7" s="15" t="inlineStr">
        <is>
          <t>العمليات الداخلية</t>
        </is>
      </c>
      <c r="M7" s="60" t="n">
        <v>0.9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74" t="inlineStr">
        <is>
          <t>القيمة المتحقّقة من «دقة التنبؤ النقدي» ÷ المستهدف × 100٪</t>
        </is>
      </c>
      <c r="Q7" s="74" t="inlineStr">
        <is>
          <t>نظام المحاسبة / ERP (D365)</t>
        </is>
      </c>
      <c r="R7" s="15" t="inlineStr">
        <is>
          <t>شهري</t>
        </is>
      </c>
    </row>
    <row r="8" ht="26" customHeight="1">
      <c r="A8" s="20" t="n">
        <v>5</v>
      </c>
      <c r="B8" s="21" t="inlineStr">
        <is>
          <t>صناعة الوقود</t>
        </is>
      </c>
      <c r="C8" s="21" t="inlineStr">
        <is>
          <t>دقة تسوية أرامكو</t>
        </is>
      </c>
      <c r="D8" s="49" t="inlineStr">
        <is>
          <t>%</t>
        </is>
      </c>
      <c r="E8" s="49" t="inlineStr">
        <is>
          <t>↑</t>
        </is>
      </c>
      <c r="F8" s="15" t="inlineStr">
        <is>
          <t>🟠 مهم</t>
        </is>
      </c>
      <c r="G8" s="59" t="n">
        <v>0.14</v>
      </c>
      <c r="H8" s="59" t="n">
        <v>1</v>
      </c>
      <c r="I8" s="22" t="inlineStr">
        <is>
          <t>100%</t>
        </is>
      </c>
      <c r="J8" s="73" t="inlineStr">
        <is>
          <t>الاستدامة</t>
        </is>
      </c>
      <c r="K8" s="11" t="inlineStr">
        <is>
          <t>جودة التشغيل</t>
        </is>
      </c>
      <c r="L8" s="15" t="inlineStr">
        <is>
          <t>العمليات الداخلية</t>
        </is>
      </c>
      <c r="M8" s="60" t="n">
        <v>0.76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محقق",IF($N8&gt;=0.97,"🟡 قريب","🔴 تحت الهدف")))</f>
        <v/>
      </c>
      <c r="P8" s="74" t="inlineStr">
        <is>
          <t>القيمة المتحقّقة من «دقة تسوية أرامكو» ÷ المستهدف × 100٪</t>
        </is>
      </c>
      <c r="Q8" s="74" t="inlineStr">
        <is>
          <t>نظام تشغيل المحطات</t>
        </is>
      </c>
      <c r="R8" s="15" t="inlineStr">
        <is>
          <t>شهري</t>
        </is>
      </c>
    </row>
    <row r="9" ht="26" customHeight="1">
      <c r="A9" s="20" t="n">
        <v>6</v>
      </c>
      <c r="B9" s="21" t="inlineStr">
        <is>
          <t>الموازنة والتقارير</t>
        </is>
      </c>
      <c r="C9" s="21" t="inlineStr">
        <is>
          <t>انحراف الموازنة</t>
        </is>
      </c>
      <c r="D9" s="49" t="inlineStr">
        <is>
          <t>%</t>
        </is>
      </c>
      <c r="E9" s="49" t="inlineStr">
        <is>
          <t>↓</t>
        </is>
      </c>
      <c r="F9" s="15" t="inlineStr">
        <is>
          <t>🟠 مهم</t>
        </is>
      </c>
      <c r="G9" s="59" t="n">
        <v>0.14</v>
      </c>
      <c r="H9" s="59" t="n">
        <v>0.1</v>
      </c>
      <c r="I9" s="22" t="inlineStr">
        <is>
          <t>≤ ±10%</t>
        </is>
      </c>
      <c r="J9" s="73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60" t="n">
        <v>0.101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74" t="inlineStr">
        <is>
          <t>القيمة المتحقّقة من «انحراف الموازنة» ÷ المستهدف × 100٪</t>
        </is>
      </c>
      <c r="Q9" s="74" t="inlineStr">
        <is>
          <t>نظام المحاسبة / ERP (D365)</t>
        </is>
      </c>
      <c r="R9" s="15" t="inlineStr">
        <is>
          <t>ربعي</t>
        </is>
      </c>
    </row>
  </sheetData>
  <autoFilter ref="A3:R9"/>
  <mergeCells count="2">
    <mergeCell ref="A2:R2"/>
    <mergeCell ref="A1:R1"/>
  </mergeCells>
  <dataValidations count="1">
    <dataValidation sqref="M4 M5 M6 M7 M8 M9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H65"/>
  <sheetViews>
    <sheetView showGridLines="0" rightToLeft="1" workbookViewId="0">
      <selection activeCell="A1" sqref="A1"/>
    </sheetView>
  </sheetViews>
  <sheetFormatPr baseColWidth="8" defaultRowHeight="15"/>
  <cols>
    <col width="4" customWidth="1" min="1" max="1"/>
    <col width="20" customWidth="1" min="2" max="2"/>
    <col width="40" customWidth="1" min="3" max="3"/>
    <col width="10" customWidth="1" min="4" max="4"/>
    <col width="12" customWidth="1" min="5" max="5"/>
    <col width="10" customWidth="1" min="6" max="6"/>
    <col width="14" customWidth="1" min="7" max="7"/>
    <col width="30" customWidth="1" min="8" max="8"/>
  </cols>
  <sheetData>
    <row r="1" ht="24" customHeight="1">
      <c r="A1" s="34" t="inlineStr">
        <is>
          <t>سجل مشاريع الشركة — لكل إدارة مشاريعها (نسبة الإنجاز = المنجز ÷ الكمية)</t>
        </is>
      </c>
    </row>
    <row r="2">
      <c r="A2" s="2" t="inlineStr">
        <is>
          <t>#</t>
        </is>
      </c>
      <c r="B2" s="2" t="inlineStr">
        <is>
          <t>الإدارة</t>
        </is>
      </c>
      <c r="C2" s="2" t="inlineStr">
        <is>
          <t>المشروع</t>
        </is>
      </c>
      <c r="D2" s="2" t="inlineStr">
        <is>
          <t>الكمية</t>
        </is>
      </c>
      <c r="E2" s="2" t="inlineStr">
        <is>
          <t>نوع الكمية</t>
        </is>
      </c>
      <c r="F2" s="2" t="inlineStr">
        <is>
          <t>المنجز</t>
        </is>
      </c>
      <c r="G2" s="2" t="inlineStr">
        <is>
          <t>نسبة الإنجاز</t>
        </is>
      </c>
      <c r="H2" s="2" t="inlineStr">
        <is>
          <t>المؤشر المرتبط</t>
        </is>
      </c>
    </row>
    <row r="3">
      <c r="A3" s="19" t="inlineStr">
        <is>
          <t>▾ مشاريع إدارة التقنية</t>
        </is>
      </c>
    </row>
    <row r="4" ht="22" customHeight="1">
      <c r="A4" s="20" t="n">
        <v>1</v>
      </c>
      <c r="B4" s="23" t="inlineStr">
        <is>
          <t>إدارة التقنية</t>
        </is>
      </c>
      <c r="C4" s="21" t="inlineStr">
        <is>
          <t>نظام أتمتة الكاش (Cash-In)</t>
        </is>
      </c>
      <c r="D4" s="49" t="n">
        <v>164</v>
      </c>
      <c r="E4" s="49" t="inlineStr">
        <is>
          <t>محطة</t>
        </is>
      </c>
      <c r="F4" s="51" t="n">
        <v>59</v>
      </c>
      <c r="G4" s="10">
        <f>IFERROR(F4/D4,0)</f>
        <v/>
      </c>
      <c r="H4" s="76" t="inlineStr">
        <is>
          <t>نسبة إنجاز محفظة مشاريع التحول الرقمي</t>
        </is>
      </c>
    </row>
    <row r="5" ht="22" customHeight="1">
      <c r="A5" s="20" t="n">
        <v>2</v>
      </c>
      <c r="B5" s="23" t="inlineStr">
        <is>
          <t>إدارة التقنية</t>
        </is>
      </c>
      <c r="C5" s="21" t="inlineStr">
        <is>
          <t>D365 FNO — المرحلة الأولى</t>
        </is>
      </c>
      <c r="D5" s="49" t="n">
        <v>5</v>
      </c>
      <c r="E5" s="49" t="inlineStr">
        <is>
          <t>وحدة</t>
        </is>
      </c>
      <c r="F5" s="51" t="n">
        <v>3.5</v>
      </c>
      <c r="G5" s="10">
        <f>IFERROR(F5/D5,0)</f>
        <v/>
      </c>
      <c r="H5" s="76" t="inlineStr">
        <is>
          <t>نسبة إنجاز محفظة مشاريع التحول الرقمي</t>
        </is>
      </c>
    </row>
    <row r="6" ht="22" customHeight="1">
      <c r="A6" s="20" t="n">
        <v>3</v>
      </c>
      <c r="B6" s="23" t="inlineStr">
        <is>
          <t>إدارة التقنية</t>
        </is>
      </c>
      <c r="C6" s="21" t="inlineStr">
        <is>
          <t>D365 FNO — المرحلة الثانية</t>
        </is>
      </c>
      <c r="D6" s="49" t="n">
        <v>4</v>
      </c>
      <c r="E6" s="49" t="inlineStr">
        <is>
          <t>وحدة</t>
        </is>
      </c>
      <c r="F6" s="51" t="n">
        <v>0</v>
      </c>
      <c r="G6" s="10">
        <f>IFERROR(F6/D6,0)</f>
        <v/>
      </c>
      <c r="H6" s="76" t="inlineStr">
        <is>
          <t>نسبة إنجاز محفظة مشاريع التحول الرقمي</t>
        </is>
      </c>
    </row>
    <row r="7" ht="22" customHeight="1">
      <c r="A7" s="20" t="n">
        <v>4</v>
      </c>
      <c r="B7" s="23" t="inlineStr">
        <is>
          <t>إدارة التقنية</t>
        </is>
      </c>
      <c r="C7" s="21" t="inlineStr">
        <is>
          <t>D365 FNO — المرحلة الثالثة</t>
        </is>
      </c>
      <c r="D7" s="49" t="n">
        <v>2</v>
      </c>
      <c r="E7" s="49" t="inlineStr">
        <is>
          <t>وحدة</t>
        </is>
      </c>
      <c r="F7" s="51" t="n">
        <v>0</v>
      </c>
      <c r="G7" s="10">
        <f>IFERROR(F7/D7,0)</f>
        <v/>
      </c>
      <c r="H7" s="76" t="inlineStr">
        <is>
          <t>نسبة إنجاز محفظة مشاريع التحول الرقمي</t>
        </is>
      </c>
    </row>
    <row r="8" ht="22" customHeight="1">
      <c r="A8" s="20" t="n">
        <v>5</v>
      </c>
      <c r="B8" s="23" t="inlineStr">
        <is>
          <t>إدارة التقنية</t>
        </is>
      </c>
      <c r="C8" s="21" t="inlineStr">
        <is>
          <t>تطبيق الامتياز مع واثق</t>
        </is>
      </c>
      <c r="D8" s="49" t="n">
        <v>1</v>
      </c>
      <c r="E8" s="49" t="inlineStr">
        <is>
          <t>تطبيق</t>
        </is>
      </c>
      <c r="F8" s="51" t="n">
        <v>0</v>
      </c>
      <c r="G8" s="10">
        <f>IFERROR(F8/D8,0)</f>
        <v/>
      </c>
      <c r="H8" s="76" t="inlineStr">
        <is>
          <t>نسبة إنجاز محفظة مشاريع التحول الرقمي</t>
        </is>
      </c>
    </row>
    <row r="9" ht="22" customHeight="1">
      <c r="A9" s="20" t="n">
        <v>6</v>
      </c>
      <c r="B9" s="23" t="inlineStr">
        <is>
          <t>إدارة التقنية</t>
        </is>
      </c>
      <c r="C9" s="21" t="inlineStr">
        <is>
          <t>ربط المحطات بوزارة الطاقة (ATJ)</t>
        </is>
      </c>
      <c r="D9" s="49" t="n">
        <v>164</v>
      </c>
      <c r="E9" s="49" t="inlineStr">
        <is>
          <t>محطة</t>
        </is>
      </c>
      <c r="F9" s="51" t="n">
        <v>0</v>
      </c>
      <c r="G9" s="10">
        <f>IFERROR(F9/D9,0)</f>
        <v/>
      </c>
      <c r="H9" s="76" t="inlineStr">
        <is>
          <t>نسبة إنجاز محفظة مشاريع التحول الرقمي</t>
        </is>
      </c>
    </row>
    <row r="10" ht="22" customHeight="1">
      <c r="A10" s="20" t="n">
        <v>7</v>
      </c>
      <c r="B10" s="23" t="inlineStr">
        <is>
          <t>إدارة التقنية</t>
        </is>
      </c>
      <c r="C10" s="21" t="inlineStr">
        <is>
          <t>ربط الكاميرات بالمركز الرئيسي</t>
        </is>
      </c>
      <c r="D10" s="49" t="n">
        <v>164</v>
      </c>
      <c r="E10" s="49" t="inlineStr">
        <is>
          <t>محطة</t>
        </is>
      </c>
      <c r="F10" s="51" t="n">
        <v>0</v>
      </c>
      <c r="G10" s="10">
        <f>IFERROR(F10/D10,0)</f>
        <v/>
      </c>
      <c r="H10" s="76" t="inlineStr">
        <is>
          <t>نسبة إنجاز محفظة مشاريع التحول الرقمي</t>
        </is>
      </c>
    </row>
    <row r="11" ht="22" customHeight="1">
      <c r="A11" s="20" t="n">
        <v>8</v>
      </c>
      <c r="B11" s="23" t="inlineStr">
        <is>
          <t>إدارة التقنية</t>
        </is>
      </c>
      <c r="C11" s="21" t="inlineStr">
        <is>
          <t>تطبيق الولاء (تانكي) في المحطات</t>
        </is>
      </c>
      <c r="D11" s="49" t="n">
        <v>164</v>
      </c>
      <c r="E11" s="49" t="inlineStr">
        <is>
          <t>محطة</t>
        </is>
      </c>
      <c r="F11" s="51" t="n">
        <v>0</v>
      </c>
      <c r="G11" s="10">
        <f>IFERROR(F11/D11,0)</f>
        <v/>
      </c>
      <c r="H11" s="76" t="inlineStr">
        <is>
          <t>نسبة إنجاز محفظة مشاريع التحول الرقمي</t>
        </is>
      </c>
    </row>
    <row r="12" ht="22" customHeight="1">
      <c r="A12" s="20" t="n">
        <v>9</v>
      </c>
      <c r="B12" s="23" t="inlineStr">
        <is>
          <t>إدارة التقنية</t>
        </is>
      </c>
      <c r="C12" s="21" t="inlineStr">
        <is>
          <t>منصة Tatin السحابية</t>
        </is>
      </c>
      <c r="D12" s="49" t="n">
        <v>164</v>
      </c>
      <c r="E12" s="49" t="inlineStr">
        <is>
          <t>محطة</t>
        </is>
      </c>
      <c r="F12" s="51" t="n">
        <v>2</v>
      </c>
      <c r="G12" s="10">
        <f>IFERROR(F12/D12,0)</f>
        <v/>
      </c>
      <c r="H12" s="76" t="inlineStr">
        <is>
          <t>نسبة إنجاز محفظة مشاريع التحول الرقمي</t>
        </is>
      </c>
    </row>
    <row r="13" ht="22" customHeight="1">
      <c r="A13" s="20" t="n">
        <v>10</v>
      </c>
      <c r="B13" s="23" t="inlineStr">
        <is>
          <t>إدارة التقنية</t>
        </is>
      </c>
      <c r="C13" s="21" t="inlineStr">
        <is>
          <t>إدارة العمليات بالذكاء الاصطناعي</t>
        </is>
      </c>
      <c r="D13" s="49" t="n">
        <v>164</v>
      </c>
      <c r="E13" s="49" t="inlineStr">
        <is>
          <t>محطة</t>
        </is>
      </c>
      <c r="F13" s="51" t="n">
        <v>0</v>
      </c>
      <c r="G13" s="10">
        <f>IFERROR(F13/D13,0)</f>
        <v/>
      </c>
      <c r="H13" s="76" t="inlineStr">
        <is>
          <t>نسبة إنجاز محفظة مشاريع التحول الرقمي</t>
        </is>
      </c>
    </row>
    <row r="14">
      <c r="A14" s="77" t="inlineStr">
        <is>
          <t>▾ مشاريع الإدارة التنفيذية</t>
        </is>
      </c>
    </row>
    <row r="15">
      <c r="A15" s="30" t="n"/>
      <c r="B15" s="23" t="inlineStr">
        <is>
          <t>الإدارة التنفيذية</t>
        </is>
      </c>
      <c r="C15" s="78" t="n"/>
      <c r="D15" s="78" t="n"/>
      <c r="E15" s="78" t="n"/>
      <c r="F15" s="78" t="n"/>
      <c r="G15" s="10">
        <f>IFERROR(F15/D15,0)</f>
        <v/>
      </c>
      <c r="H15" s="30" t="n"/>
    </row>
    <row r="16">
      <c r="A16" s="30" t="n"/>
      <c r="B16" s="23" t="inlineStr">
        <is>
          <t>الإدارة التنفيذية</t>
        </is>
      </c>
      <c r="C16" s="78" t="n"/>
      <c r="D16" s="78" t="n"/>
      <c r="E16" s="78" t="n"/>
      <c r="F16" s="78" t="n"/>
      <c r="G16" s="10">
        <f>IFERROR(F16/D16,0)</f>
        <v/>
      </c>
      <c r="H16" s="30" t="n"/>
    </row>
    <row r="17">
      <c r="A17" s="30" t="n"/>
      <c r="B17" s="23" t="inlineStr">
        <is>
          <t>الإدارة التنفيذية</t>
        </is>
      </c>
      <c r="C17" s="78" t="n"/>
      <c r="D17" s="78" t="n"/>
      <c r="E17" s="78" t="n"/>
      <c r="F17" s="78" t="n"/>
      <c r="G17" s="10">
        <f>IFERROR(F17/D17,0)</f>
        <v/>
      </c>
      <c r="H17" s="30" t="n"/>
    </row>
    <row r="18">
      <c r="A18" s="77" t="inlineStr">
        <is>
          <t>▾ مشاريع الامتياز التجاري</t>
        </is>
      </c>
    </row>
    <row r="19">
      <c r="A19" s="30" t="n"/>
      <c r="B19" s="23" t="inlineStr">
        <is>
          <t>الامتياز التجاري</t>
        </is>
      </c>
      <c r="C19" s="78" t="n"/>
      <c r="D19" s="78" t="n"/>
      <c r="E19" s="78" t="n"/>
      <c r="F19" s="78" t="n"/>
      <c r="G19" s="10">
        <f>IFERROR(F19/D19,0)</f>
        <v/>
      </c>
      <c r="H19" s="30" t="n"/>
    </row>
    <row r="20">
      <c r="A20" s="30" t="n"/>
      <c r="B20" s="23" t="inlineStr">
        <is>
          <t>الامتياز التجاري</t>
        </is>
      </c>
      <c r="C20" s="78" t="n"/>
      <c r="D20" s="78" t="n"/>
      <c r="E20" s="78" t="n"/>
      <c r="F20" s="78" t="n"/>
      <c r="G20" s="10">
        <f>IFERROR(F20/D20,0)</f>
        <v/>
      </c>
      <c r="H20" s="30" t="n"/>
    </row>
    <row r="21">
      <c r="A21" s="30" t="n"/>
      <c r="B21" s="23" t="inlineStr">
        <is>
          <t>الامتياز التجاري</t>
        </is>
      </c>
      <c r="C21" s="78" t="n"/>
      <c r="D21" s="78" t="n"/>
      <c r="E21" s="78" t="n"/>
      <c r="F21" s="78" t="n"/>
      <c r="G21" s="10">
        <f>IFERROR(F21/D21,0)</f>
        <v/>
      </c>
      <c r="H21" s="30" t="n"/>
    </row>
    <row r="22">
      <c r="A22" s="77" t="inlineStr">
        <is>
          <t>▾ مشاريع التشغيل والمحطات</t>
        </is>
      </c>
    </row>
    <row r="23">
      <c r="A23" s="30" t="n"/>
      <c r="B23" s="23" t="inlineStr">
        <is>
          <t>التشغيل والمحطات</t>
        </is>
      </c>
      <c r="C23" s="78" t="n"/>
      <c r="D23" s="78" t="n"/>
      <c r="E23" s="78" t="n"/>
      <c r="F23" s="78" t="n"/>
      <c r="G23" s="10">
        <f>IFERROR(F23/D23,0)</f>
        <v/>
      </c>
      <c r="H23" s="30" t="n"/>
    </row>
    <row r="24">
      <c r="A24" s="30" t="n"/>
      <c r="B24" s="23" t="inlineStr">
        <is>
          <t>التشغيل والمحطات</t>
        </is>
      </c>
      <c r="C24" s="78" t="n"/>
      <c r="D24" s="78" t="n"/>
      <c r="E24" s="78" t="n"/>
      <c r="F24" s="78" t="n"/>
      <c r="G24" s="10">
        <f>IFERROR(F24/D24,0)</f>
        <v/>
      </c>
      <c r="H24" s="30" t="n"/>
    </row>
    <row r="25">
      <c r="A25" s="30" t="n"/>
      <c r="B25" s="23" t="inlineStr">
        <is>
          <t>التشغيل والمحطات</t>
        </is>
      </c>
      <c r="C25" s="78" t="n"/>
      <c r="D25" s="78" t="n"/>
      <c r="E25" s="78" t="n"/>
      <c r="F25" s="78" t="n"/>
      <c r="G25" s="10">
        <f>IFERROR(F25/D25,0)</f>
        <v/>
      </c>
      <c r="H25" s="30" t="n"/>
    </row>
    <row r="26">
      <c r="A26" s="77" t="inlineStr">
        <is>
          <t>▾ مشاريع الاستثمار</t>
        </is>
      </c>
    </row>
    <row r="27">
      <c r="A27" s="30" t="n"/>
      <c r="B27" s="23" t="inlineStr">
        <is>
          <t>الاستثمار</t>
        </is>
      </c>
      <c r="C27" s="78" t="n"/>
      <c r="D27" s="78" t="n"/>
      <c r="E27" s="78" t="n"/>
      <c r="F27" s="78" t="n"/>
      <c r="G27" s="10">
        <f>IFERROR(F27/D27,0)</f>
        <v/>
      </c>
      <c r="H27" s="30" t="n"/>
    </row>
    <row r="28">
      <c r="A28" s="30" t="n"/>
      <c r="B28" s="23" t="inlineStr">
        <is>
          <t>الاستثمار</t>
        </is>
      </c>
      <c r="C28" s="78" t="n"/>
      <c r="D28" s="78" t="n"/>
      <c r="E28" s="78" t="n"/>
      <c r="F28" s="78" t="n"/>
      <c r="G28" s="10">
        <f>IFERROR(F28/D28,0)</f>
        <v/>
      </c>
      <c r="H28" s="30" t="n"/>
    </row>
    <row r="29">
      <c r="A29" s="30" t="n"/>
      <c r="B29" s="23" t="inlineStr">
        <is>
          <t>الاستثمار</t>
        </is>
      </c>
      <c r="C29" s="78" t="n"/>
      <c r="D29" s="78" t="n"/>
      <c r="E29" s="78" t="n"/>
      <c r="F29" s="78" t="n"/>
      <c r="G29" s="10">
        <f>IFERROR(F29/D29,0)</f>
        <v/>
      </c>
      <c r="H29" s="30" t="n"/>
    </row>
    <row r="30">
      <c r="A30" s="77" t="inlineStr">
        <is>
          <t>▾ مشاريع العقار</t>
        </is>
      </c>
    </row>
    <row r="31">
      <c r="A31" s="30" t="n"/>
      <c r="B31" s="23" t="inlineStr">
        <is>
          <t>العقار</t>
        </is>
      </c>
      <c r="C31" s="78" t="n"/>
      <c r="D31" s="78" t="n"/>
      <c r="E31" s="78" t="n"/>
      <c r="F31" s="78" t="n"/>
      <c r="G31" s="10">
        <f>IFERROR(F31/D31,0)</f>
        <v/>
      </c>
      <c r="H31" s="30" t="n"/>
    </row>
    <row r="32">
      <c r="A32" s="30" t="n"/>
      <c r="B32" s="23" t="inlineStr">
        <is>
          <t>العقار</t>
        </is>
      </c>
      <c r="C32" s="78" t="n"/>
      <c r="D32" s="78" t="n"/>
      <c r="E32" s="78" t="n"/>
      <c r="F32" s="78" t="n"/>
      <c r="G32" s="10">
        <f>IFERROR(F32/D32,0)</f>
        <v/>
      </c>
      <c r="H32" s="30" t="n"/>
    </row>
    <row r="33">
      <c r="A33" s="30" t="n"/>
      <c r="B33" s="23" t="inlineStr">
        <is>
          <t>العقار</t>
        </is>
      </c>
      <c r="C33" s="78" t="n"/>
      <c r="D33" s="78" t="n"/>
      <c r="E33" s="78" t="n"/>
      <c r="F33" s="78" t="n"/>
      <c r="G33" s="10">
        <f>IFERROR(F33/D33,0)</f>
        <v/>
      </c>
      <c r="H33" s="30" t="n"/>
    </row>
    <row r="34">
      <c r="A34" s="77" t="inlineStr">
        <is>
          <t>▾ مشاريع إدارة المشاريع</t>
        </is>
      </c>
    </row>
    <row r="35">
      <c r="A35" s="30" t="n"/>
      <c r="B35" s="23" t="inlineStr">
        <is>
          <t>إدارة المشاريع</t>
        </is>
      </c>
      <c r="C35" s="78" t="n"/>
      <c r="D35" s="78" t="n"/>
      <c r="E35" s="78" t="n"/>
      <c r="F35" s="78" t="n"/>
      <c r="G35" s="10">
        <f>IFERROR(F35/D35,0)</f>
        <v/>
      </c>
      <c r="H35" s="30" t="n"/>
    </row>
    <row r="36">
      <c r="A36" s="30" t="n"/>
      <c r="B36" s="23" t="inlineStr">
        <is>
          <t>إدارة المشاريع</t>
        </is>
      </c>
      <c r="C36" s="78" t="n"/>
      <c r="D36" s="78" t="n"/>
      <c r="E36" s="78" t="n"/>
      <c r="F36" s="78" t="n"/>
      <c r="G36" s="10">
        <f>IFERROR(F36/D36,0)</f>
        <v/>
      </c>
      <c r="H36" s="30" t="n"/>
    </row>
    <row r="37">
      <c r="A37" s="30" t="n"/>
      <c r="B37" s="23" t="inlineStr">
        <is>
          <t>إدارة المشاريع</t>
        </is>
      </c>
      <c r="C37" s="78" t="n"/>
      <c r="D37" s="78" t="n"/>
      <c r="E37" s="78" t="n"/>
      <c r="F37" s="78" t="n"/>
      <c r="G37" s="10">
        <f>IFERROR(F37/D37,0)</f>
        <v/>
      </c>
      <c r="H37" s="30" t="n"/>
    </row>
    <row r="38">
      <c r="A38" s="77" t="inlineStr">
        <is>
          <t>▾ مشاريع سلاسل الإمداد</t>
        </is>
      </c>
    </row>
    <row r="39">
      <c r="A39" s="30" t="n"/>
      <c r="B39" s="23" t="inlineStr">
        <is>
          <t>سلاسل الإمداد</t>
        </is>
      </c>
      <c r="C39" s="78" t="n"/>
      <c r="D39" s="78" t="n"/>
      <c r="E39" s="78" t="n"/>
      <c r="F39" s="78" t="n"/>
      <c r="G39" s="10">
        <f>IFERROR(F39/D39,0)</f>
        <v/>
      </c>
      <c r="H39" s="30" t="n"/>
    </row>
    <row r="40">
      <c r="A40" s="30" t="n"/>
      <c r="B40" s="23" t="inlineStr">
        <is>
          <t>سلاسل الإمداد</t>
        </is>
      </c>
      <c r="C40" s="78" t="n"/>
      <c r="D40" s="78" t="n"/>
      <c r="E40" s="78" t="n"/>
      <c r="F40" s="78" t="n"/>
      <c r="G40" s="10">
        <f>IFERROR(F40/D40,0)</f>
        <v/>
      </c>
      <c r="H40" s="30" t="n"/>
    </row>
    <row r="41">
      <c r="A41" s="30" t="n"/>
      <c r="B41" s="23" t="inlineStr">
        <is>
          <t>سلاسل الإمداد</t>
        </is>
      </c>
      <c r="C41" s="78" t="n"/>
      <c r="D41" s="78" t="n"/>
      <c r="E41" s="78" t="n"/>
      <c r="F41" s="78" t="n"/>
      <c r="G41" s="10">
        <f>IFERROR(F41/D41,0)</f>
        <v/>
      </c>
      <c r="H41" s="30" t="n"/>
    </row>
    <row r="42">
      <c r="A42" s="77" t="inlineStr">
        <is>
          <t>▾ مشاريع الصيانة والأتمتة</t>
        </is>
      </c>
    </row>
    <row r="43">
      <c r="A43" s="30" t="n"/>
      <c r="B43" s="23" t="inlineStr">
        <is>
          <t>الصيانة والأتمتة</t>
        </is>
      </c>
      <c r="C43" s="78" t="n"/>
      <c r="D43" s="78" t="n"/>
      <c r="E43" s="78" t="n"/>
      <c r="F43" s="78" t="n"/>
      <c r="G43" s="10">
        <f>IFERROR(F43/D43,0)</f>
        <v/>
      </c>
      <c r="H43" s="30" t="n"/>
    </row>
    <row r="44">
      <c r="A44" s="30" t="n"/>
      <c r="B44" s="23" t="inlineStr">
        <is>
          <t>الصيانة والأتمتة</t>
        </is>
      </c>
      <c r="C44" s="78" t="n"/>
      <c r="D44" s="78" t="n"/>
      <c r="E44" s="78" t="n"/>
      <c r="F44" s="78" t="n"/>
      <c r="G44" s="10">
        <f>IFERROR(F44/D44,0)</f>
        <v/>
      </c>
      <c r="H44" s="30" t="n"/>
    </row>
    <row r="45">
      <c r="A45" s="30" t="n"/>
      <c r="B45" s="23" t="inlineStr">
        <is>
          <t>الصيانة والأتمتة</t>
        </is>
      </c>
      <c r="C45" s="78" t="n"/>
      <c r="D45" s="78" t="n"/>
      <c r="E45" s="78" t="n"/>
      <c r="F45" s="78" t="n"/>
      <c r="G45" s="10">
        <f>IFERROR(F45/D45,0)</f>
        <v/>
      </c>
      <c r="H45" s="30" t="n"/>
    </row>
    <row r="46">
      <c r="A46" s="77" t="inlineStr">
        <is>
          <t>▾ مشاريع الموارد البشرية</t>
        </is>
      </c>
    </row>
    <row r="47">
      <c r="A47" s="30" t="n"/>
      <c r="B47" s="23" t="inlineStr">
        <is>
          <t>الموارد البشرية</t>
        </is>
      </c>
      <c r="C47" s="78" t="n"/>
      <c r="D47" s="78" t="n"/>
      <c r="E47" s="78" t="n"/>
      <c r="F47" s="78" t="n"/>
      <c r="G47" s="10">
        <f>IFERROR(F47/D47,0)</f>
        <v/>
      </c>
      <c r="H47" s="30" t="n"/>
    </row>
    <row r="48">
      <c r="A48" s="30" t="n"/>
      <c r="B48" s="23" t="inlineStr">
        <is>
          <t>الموارد البشرية</t>
        </is>
      </c>
      <c r="C48" s="78" t="n"/>
      <c r="D48" s="78" t="n"/>
      <c r="E48" s="78" t="n"/>
      <c r="F48" s="78" t="n"/>
      <c r="G48" s="10">
        <f>IFERROR(F48/D48,0)</f>
        <v/>
      </c>
      <c r="H48" s="30" t="n"/>
    </row>
    <row r="49">
      <c r="A49" s="30" t="n"/>
      <c r="B49" s="23" t="inlineStr">
        <is>
          <t>الموارد البشرية</t>
        </is>
      </c>
      <c r="C49" s="78" t="n"/>
      <c r="D49" s="78" t="n"/>
      <c r="E49" s="78" t="n"/>
      <c r="F49" s="78" t="n"/>
      <c r="G49" s="10">
        <f>IFERROR(F49/D49,0)</f>
        <v/>
      </c>
      <c r="H49" s="30" t="n"/>
    </row>
    <row r="50">
      <c r="A50" s="77" t="inlineStr">
        <is>
          <t>▾ مشاريع التسويق</t>
        </is>
      </c>
    </row>
    <row r="51">
      <c r="A51" s="30" t="n"/>
      <c r="B51" s="23" t="inlineStr">
        <is>
          <t>التسويق</t>
        </is>
      </c>
      <c r="C51" s="78" t="n"/>
      <c r="D51" s="78" t="n"/>
      <c r="E51" s="78" t="n"/>
      <c r="F51" s="78" t="n"/>
      <c r="G51" s="10">
        <f>IFERROR(F51/D51,0)</f>
        <v/>
      </c>
      <c r="H51" s="30" t="n"/>
    </row>
    <row r="52">
      <c r="A52" s="30" t="n"/>
      <c r="B52" s="23" t="inlineStr">
        <is>
          <t>التسويق</t>
        </is>
      </c>
      <c r="C52" s="78" t="n"/>
      <c r="D52" s="78" t="n"/>
      <c r="E52" s="78" t="n"/>
      <c r="F52" s="78" t="n"/>
      <c r="G52" s="10">
        <f>IFERROR(F52/D52,0)</f>
        <v/>
      </c>
      <c r="H52" s="30" t="n"/>
    </row>
    <row r="53">
      <c r="A53" s="30" t="n"/>
      <c r="B53" s="23" t="inlineStr">
        <is>
          <t>التسويق</t>
        </is>
      </c>
      <c r="C53" s="78" t="n"/>
      <c r="D53" s="78" t="n"/>
      <c r="E53" s="78" t="n"/>
      <c r="F53" s="78" t="n"/>
      <c r="G53" s="10">
        <f>IFERROR(F53/D53,0)</f>
        <v/>
      </c>
      <c r="H53" s="30" t="n"/>
    </row>
    <row r="54">
      <c r="A54" s="77" t="inlineStr">
        <is>
          <t>▾ مشاريع الجودة</t>
        </is>
      </c>
    </row>
    <row r="55">
      <c r="A55" s="30" t="n"/>
      <c r="B55" s="23" t="inlineStr">
        <is>
          <t>الجودة</t>
        </is>
      </c>
      <c r="C55" s="78" t="n"/>
      <c r="D55" s="78" t="n"/>
      <c r="E55" s="78" t="n"/>
      <c r="F55" s="78" t="n"/>
      <c r="G55" s="10">
        <f>IFERROR(F55/D55,0)</f>
        <v/>
      </c>
      <c r="H55" s="30" t="n"/>
    </row>
    <row r="56">
      <c r="A56" s="30" t="n"/>
      <c r="B56" s="23" t="inlineStr">
        <is>
          <t>الجودة</t>
        </is>
      </c>
      <c r="C56" s="78" t="n"/>
      <c r="D56" s="78" t="n"/>
      <c r="E56" s="78" t="n"/>
      <c r="F56" s="78" t="n"/>
      <c r="G56" s="10">
        <f>IFERROR(F56/D56,0)</f>
        <v/>
      </c>
      <c r="H56" s="30" t="n"/>
    </row>
    <row r="57">
      <c r="A57" s="30" t="n"/>
      <c r="B57" s="23" t="inlineStr">
        <is>
          <t>الجودة</t>
        </is>
      </c>
      <c r="C57" s="78" t="n"/>
      <c r="D57" s="78" t="n"/>
      <c r="E57" s="78" t="n"/>
      <c r="F57" s="78" t="n"/>
      <c r="G57" s="10">
        <f>IFERROR(F57/D57,0)</f>
        <v/>
      </c>
      <c r="H57" s="30" t="n"/>
    </row>
    <row r="58">
      <c r="A58" s="77" t="inlineStr">
        <is>
          <t>▾ مشاريع الإدارة القانونية</t>
        </is>
      </c>
    </row>
    <row r="59">
      <c r="A59" s="30" t="n"/>
      <c r="B59" s="23" t="inlineStr">
        <is>
          <t>الإدارة القانونية</t>
        </is>
      </c>
      <c r="C59" s="78" t="n"/>
      <c r="D59" s="78" t="n"/>
      <c r="E59" s="78" t="n"/>
      <c r="F59" s="78" t="n"/>
      <c r="G59" s="10">
        <f>IFERROR(F59/D59,0)</f>
        <v/>
      </c>
      <c r="H59" s="30" t="n"/>
    </row>
    <row r="60">
      <c r="A60" s="30" t="n"/>
      <c r="B60" s="23" t="inlineStr">
        <is>
          <t>الإدارة القانونية</t>
        </is>
      </c>
      <c r="C60" s="78" t="n"/>
      <c r="D60" s="78" t="n"/>
      <c r="E60" s="78" t="n"/>
      <c r="F60" s="78" t="n"/>
      <c r="G60" s="10">
        <f>IFERROR(F60/D60,0)</f>
        <v/>
      </c>
      <c r="H60" s="30" t="n"/>
    </row>
    <row r="61">
      <c r="A61" s="30" t="n"/>
      <c r="B61" s="23" t="inlineStr">
        <is>
          <t>الإدارة القانونية</t>
        </is>
      </c>
      <c r="C61" s="78" t="n"/>
      <c r="D61" s="78" t="n"/>
      <c r="E61" s="78" t="n"/>
      <c r="F61" s="78" t="n"/>
      <c r="G61" s="10">
        <f>IFERROR(F61/D61,0)</f>
        <v/>
      </c>
      <c r="H61" s="30" t="n"/>
    </row>
    <row r="62">
      <c r="A62" s="77" t="inlineStr">
        <is>
          <t>▾ مشاريع الإدارة المالية</t>
        </is>
      </c>
    </row>
    <row r="63">
      <c r="A63" s="30" t="n"/>
      <c r="B63" s="23" t="inlineStr">
        <is>
          <t>الإدارة المالية</t>
        </is>
      </c>
      <c r="C63" s="78" t="n"/>
      <c r="D63" s="78" t="n"/>
      <c r="E63" s="78" t="n"/>
      <c r="F63" s="78" t="n"/>
      <c r="G63" s="10">
        <f>IFERROR(F63/D63,0)</f>
        <v/>
      </c>
      <c r="H63" s="30" t="n"/>
    </row>
    <row r="64">
      <c r="A64" s="30" t="n"/>
      <c r="B64" s="23" t="inlineStr">
        <is>
          <t>الإدارة المالية</t>
        </is>
      </c>
      <c r="C64" s="78" t="n"/>
      <c r="D64" s="78" t="n"/>
      <c r="E64" s="78" t="n"/>
      <c r="F64" s="78" t="n"/>
      <c r="G64" s="10">
        <f>IFERROR(F64/D64,0)</f>
        <v/>
      </c>
      <c r="H64" s="30" t="n"/>
    </row>
    <row r="65">
      <c r="A65" s="30" t="n"/>
      <c r="B65" s="23" t="inlineStr">
        <is>
          <t>الإدارة المالية</t>
        </is>
      </c>
      <c r="C65" s="78" t="n"/>
      <c r="D65" s="78" t="n"/>
      <c r="E65" s="78" t="n"/>
      <c r="F65" s="78" t="n"/>
      <c r="G65" s="10">
        <f>IFERROR(F65/D65,0)</f>
        <v/>
      </c>
      <c r="H65" s="30" t="n"/>
    </row>
  </sheetData>
  <mergeCells count="15">
    <mergeCell ref="A18:H18"/>
    <mergeCell ref="A50:H50"/>
    <mergeCell ref="A62:H62"/>
    <mergeCell ref="A3:H3"/>
    <mergeCell ref="A26:H26"/>
    <mergeCell ref="A30:H30"/>
    <mergeCell ref="A38:H38"/>
    <mergeCell ref="A54:H54"/>
    <mergeCell ref="A42:H42"/>
    <mergeCell ref="A14:H14"/>
    <mergeCell ref="A1:H1"/>
    <mergeCell ref="A46:H46"/>
    <mergeCell ref="A58:H58"/>
    <mergeCell ref="A22:H22"/>
    <mergeCell ref="A34:H34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98"/>
  <sheetViews>
    <sheetView showGridLines="0" rightToLeft="1" workbookViewId="0">
      <selection activeCell="A1" sqref="A1"/>
    </sheetView>
  </sheetViews>
  <sheetFormatPr baseColWidth="8" defaultRowHeight="15"/>
  <cols>
    <col width="4" customWidth="1" min="1" max="1"/>
    <col width="20" customWidth="1" min="2" max="2"/>
    <col width="42" customWidth="1" min="3" max="3"/>
    <col width="16" customWidth="1" min="4" max="4"/>
    <col width="24" customWidth="1" min="5" max="5"/>
    <col width="16" customWidth="1" min="6" max="6"/>
    <col width="12" customWidth="1" min="7" max="7"/>
    <col width="14" customWidth="1" min="8" max="8"/>
    <col width="10" customWidth="1" min="9" max="9"/>
  </cols>
  <sheetData>
    <row r="1">
      <c r="A1" s="18" t="inlineStr">
        <is>
          <t>#</t>
        </is>
      </c>
      <c r="B1" s="18" t="inlineStr">
        <is>
          <t>الإدارة</t>
        </is>
      </c>
      <c r="C1" s="18" t="inlineStr">
        <is>
          <t>المؤشر</t>
        </is>
      </c>
      <c r="D1" s="18" t="inlineStr">
        <is>
          <t>الركيزة</t>
        </is>
      </c>
      <c r="E1" s="18" t="inlineStr">
        <is>
          <t>المشروع</t>
        </is>
      </c>
      <c r="F1" s="18" t="inlineStr">
        <is>
          <t>منظور BSC</t>
        </is>
      </c>
      <c r="G1" s="18" t="inlineStr">
        <is>
          <t>نسبة التحقيق</t>
        </is>
      </c>
      <c r="H1" s="18" t="inlineStr">
        <is>
          <t>الحالة</t>
        </is>
      </c>
      <c r="I1" s="18" t="inlineStr">
        <is>
          <t>الوزن</t>
        </is>
      </c>
      <c r="J1" s="18" t="inlineStr">
        <is>
          <t>و×ن</t>
        </is>
      </c>
      <c r="K1" s="18" t="inlineStr">
        <is>
          <t>الوزن المتاح</t>
        </is>
      </c>
    </row>
    <row r="2">
      <c r="A2" s="15" t="n">
        <v>1</v>
      </c>
      <c r="B2" s="13" t="inlineStr">
        <is>
          <t>الإدارة التنفيذية</t>
        </is>
      </c>
      <c r="C2" s="13">
        <f>'الإدارة التنفيذية'!C4</f>
        <v/>
      </c>
      <c r="D2" s="15">
        <f>'الإدارة التنفيذية'!J4</f>
        <v/>
      </c>
      <c r="E2" s="13">
        <f>'الإدارة التنفيذية'!K4</f>
        <v/>
      </c>
      <c r="F2" s="15">
        <f>'الإدارة التنفيذية'!L4</f>
        <v/>
      </c>
      <c r="G2" s="50">
        <f>'الإدارة التنفيذية'!N4</f>
        <v/>
      </c>
      <c r="H2" s="15">
        <f>'الإدارة التنفيذية'!O4</f>
        <v/>
      </c>
      <c r="I2" s="24">
        <f>'الإدارة التنفيذية'!G4</f>
        <v/>
      </c>
      <c r="J2" s="15">
        <f>IF($G2="",0,$G2*$I2)</f>
        <v/>
      </c>
      <c r="K2" s="15">
        <f>IF($G2="",0,$I2)</f>
        <v/>
      </c>
    </row>
    <row r="3">
      <c r="A3" s="15" t="n">
        <v>2</v>
      </c>
      <c r="B3" s="13" t="inlineStr">
        <is>
          <t>الإدارة التنفيذية</t>
        </is>
      </c>
      <c r="C3" s="13">
        <f>'الإدارة التنفيذية'!C5</f>
        <v/>
      </c>
      <c r="D3" s="15">
        <f>'الإدارة التنفيذية'!J5</f>
        <v/>
      </c>
      <c r="E3" s="13">
        <f>'الإدارة التنفيذية'!K5</f>
        <v/>
      </c>
      <c r="F3" s="15">
        <f>'الإدارة التنفيذية'!L5</f>
        <v/>
      </c>
      <c r="G3" s="50">
        <f>'الإدارة التنفيذية'!N5</f>
        <v/>
      </c>
      <c r="H3" s="15">
        <f>'الإدارة التنفيذية'!O5</f>
        <v/>
      </c>
      <c r="I3" s="24">
        <f>'الإدارة التنفيذية'!G5</f>
        <v/>
      </c>
      <c r="J3" s="15">
        <f>IF($G3="",0,$G3*$I3)</f>
        <v/>
      </c>
      <c r="K3" s="15">
        <f>IF($G3="",0,$I3)</f>
        <v/>
      </c>
    </row>
    <row r="4">
      <c r="A4" s="15" t="n">
        <v>3</v>
      </c>
      <c r="B4" s="13" t="inlineStr">
        <is>
          <t>الإدارة التنفيذية</t>
        </is>
      </c>
      <c r="C4" s="13">
        <f>'الإدارة التنفيذية'!C6</f>
        <v/>
      </c>
      <c r="D4" s="15">
        <f>'الإدارة التنفيذية'!J6</f>
        <v/>
      </c>
      <c r="E4" s="13">
        <f>'الإدارة التنفيذية'!K6</f>
        <v/>
      </c>
      <c r="F4" s="15">
        <f>'الإدارة التنفيذية'!L6</f>
        <v/>
      </c>
      <c r="G4" s="50">
        <f>'الإدارة التنفيذية'!N6</f>
        <v/>
      </c>
      <c r="H4" s="15">
        <f>'الإدارة التنفيذية'!O6</f>
        <v/>
      </c>
      <c r="I4" s="24">
        <f>'الإدارة التنفيذية'!G6</f>
        <v/>
      </c>
      <c r="J4" s="15">
        <f>IF($G4="",0,$G4*$I4)</f>
        <v/>
      </c>
      <c r="K4" s="15">
        <f>IF($G4="",0,$I4)</f>
        <v/>
      </c>
    </row>
    <row r="5">
      <c r="A5" s="15" t="n">
        <v>4</v>
      </c>
      <c r="B5" s="13" t="inlineStr">
        <is>
          <t>الإدارة التنفيذية</t>
        </is>
      </c>
      <c r="C5" s="13">
        <f>'الإدارة التنفيذية'!C7</f>
        <v/>
      </c>
      <c r="D5" s="15">
        <f>'الإدارة التنفيذية'!J7</f>
        <v/>
      </c>
      <c r="E5" s="13">
        <f>'الإدارة التنفيذية'!K7</f>
        <v/>
      </c>
      <c r="F5" s="15">
        <f>'الإدارة التنفيذية'!L7</f>
        <v/>
      </c>
      <c r="G5" s="50">
        <f>'الإدارة التنفيذية'!N7</f>
        <v/>
      </c>
      <c r="H5" s="15">
        <f>'الإدارة التنفيذية'!O7</f>
        <v/>
      </c>
      <c r="I5" s="24">
        <f>'الإدارة التنفيذية'!G7</f>
        <v/>
      </c>
      <c r="J5" s="15">
        <f>IF($G5="",0,$G5*$I5)</f>
        <v/>
      </c>
      <c r="K5" s="15">
        <f>IF($G5="",0,$I5)</f>
        <v/>
      </c>
    </row>
    <row r="6">
      <c r="A6" s="15" t="n">
        <v>5</v>
      </c>
      <c r="B6" s="13" t="inlineStr">
        <is>
          <t>الإدارة التنفيذية</t>
        </is>
      </c>
      <c r="C6" s="13">
        <f>'الإدارة التنفيذية'!C8</f>
        <v/>
      </c>
      <c r="D6" s="15">
        <f>'الإدارة التنفيذية'!J8</f>
        <v/>
      </c>
      <c r="E6" s="13">
        <f>'الإدارة التنفيذية'!K8</f>
        <v/>
      </c>
      <c r="F6" s="15">
        <f>'الإدارة التنفيذية'!L8</f>
        <v/>
      </c>
      <c r="G6" s="50">
        <f>'الإدارة التنفيذية'!N8</f>
        <v/>
      </c>
      <c r="H6" s="15">
        <f>'الإدارة التنفيذية'!O8</f>
        <v/>
      </c>
      <c r="I6" s="24">
        <f>'الإدارة التنفيذية'!G8</f>
        <v/>
      </c>
      <c r="J6" s="15">
        <f>IF($G6="",0,$G6*$I6)</f>
        <v/>
      </c>
      <c r="K6" s="15">
        <f>IF($G6="",0,$I6)</f>
        <v/>
      </c>
    </row>
    <row r="7">
      <c r="A7" s="15" t="n">
        <v>6</v>
      </c>
      <c r="B7" s="13" t="inlineStr">
        <is>
          <t>الإدارة التنفيذية</t>
        </is>
      </c>
      <c r="C7" s="13">
        <f>'الإدارة التنفيذية'!C9</f>
        <v/>
      </c>
      <c r="D7" s="15">
        <f>'الإدارة التنفيذية'!J9</f>
        <v/>
      </c>
      <c r="E7" s="13">
        <f>'الإدارة التنفيذية'!K9</f>
        <v/>
      </c>
      <c r="F7" s="15">
        <f>'الإدارة التنفيذية'!L9</f>
        <v/>
      </c>
      <c r="G7" s="50">
        <f>'الإدارة التنفيذية'!N9</f>
        <v/>
      </c>
      <c r="H7" s="15">
        <f>'الإدارة التنفيذية'!O9</f>
        <v/>
      </c>
      <c r="I7" s="24">
        <f>'الإدارة التنفيذية'!G9</f>
        <v/>
      </c>
      <c r="J7" s="15">
        <f>IF($G7="",0,$G7*$I7)</f>
        <v/>
      </c>
      <c r="K7" s="15">
        <f>IF($G7="",0,$I7)</f>
        <v/>
      </c>
    </row>
    <row r="8">
      <c r="A8" s="15" t="n">
        <v>7</v>
      </c>
      <c r="B8" s="13" t="inlineStr">
        <is>
          <t>الإدارة التنفيذية</t>
        </is>
      </c>
      <c r="C8" s="13">
        <f>'الإدارة التنفيذية'!C10</f>
        <v/>
      </c>
      <c r="D8" s="15">
        <f>'الإدارة التنفيذية'!J10</f>
        <v/>
      </c>
      <c r="E8" s="13">
        <f>'الإدارة التنفيذية'!K10</f>
        <v/>
      </c>
      <c r="F8" s="15">
        <f>'الإدارة التنفيذية'!L10</f>
        <v/>
      </c>
      <c r="G8" s="50">
        <f>'الإدارة التنفيذية'!N10</f>
        <v/>
      </c>
      <c r="H8" s="15">
        <f>'الإدارة التنفيذية'!O10</f>
        <v/>
      </c>
      <c r="I8" s="24">
        <f>'الإدارة التنفيذية'!G10</f>
        <v/>
      </c>
      <c r="J8" s="15">
        <f>IF($G8="",0,$G8*$I8)</f>
        <v/>
      </c>
      <c r="K8" s="15">
        <f>IF($G8="",0,$I8)</f>
        <v/>
      </c>
    </row>
    <row r="9">
      <c r="A9" s="15" t="n">
        <v>8</v>
      </c>
      <c r="B9" s="13" t="inlineStr">
        <is>
          <t>الإدارة التنفيذية</t>
        </is>
      </c>
      <c r="C9" s="13">
        <f>'الإدارة التنفيذية'!C11</f>
        <v/>
      </c>
      <c r="D9" s="15">
        <f>'الإدارة التنفيذية'!J11</f>
        <v/>
      </c>
      <c r="E9" s="13">
        <f>'الإدارة التنفيذية'!K11</f>
        <v/>
      </c>
      <c r="F9" s="15">
        <f>'الإدارة التنفيذية'!L11</f>
        <v/>
      </c>
      <c r="G9" s="50">
        <f>'الإدارة التنفيذية'!N11</f>
        <v/>
      </c>
      <c r="H9" s="15">
        <f>'الإدارة التنفيذية'!O11</f>
        <v/>
      </c>
      <c r="I9" s="24">
        <f>'الإدارة التنفيذية'!G11</f>
        <v/>
      </c>
      <c r="J9" s="15">
        <f>IF($G9="",0,$G9*$I9)</f>
        <v/>
      </c>
      <c r="K9" s="15">
        <f>IF($G9="",0,$I9)</f>
        <v/>
      </c>
    </row>
    <row r="10">
      <c r="A10" s="15" t="n">
        <v>9</v>
      </c>
      <c r="B10" s="13" t="inlineStr">
        <is>
          <t>الإدارة التنفيذية</t>
        </is>
      </c>
      <c r="C10" s="13">
        <f>'الإدارة التنفيذية'!C12</f>
        <v/>
      </c>
      <c r="D10" s="15">
        <f>'الإدارة التنفيذية'!J12</f>
        <v/>
      </c>
      <c r="E10" s="13">
        <f>'الإدارة التنفيذية'!K12</f>
        <v/>
      </c>
      <c r="F10" s="15">
        <f>'الإدارة التنفيذية'!L12</f>
        <v/>
      </c>
      <c r="G10" s="50">
        <f>'الإدارة التنفيذية'!N12</f>
        <v/>
      </c>
      <c r="H10" s="15">
        <f>'الإدارة التنفيذية'!O12</f>
        <v/>
      </c>
      <c r="I10" s="24">
        <f>'الإدارة التنفيذية'!G12</f>
        <v/>
      </c>
      <c r="J10" s="15">
        <f>IF($G10="",0,$G10*$I10)</f>
        <v/>
      </c>
      <c r="K10" s="15">
        <f>IF($G10="",0,$I10)</f>
        <v/>
      </c>
    </row>
    <row r="11">
      <c r="A11" s="15" t="n">
        <v>10</v>
      </c>
      <c r="B11" s="13" t="inlineStr">
        <is>
          <t>الإدارة التنفيذية</t>
        </is>
      </c>
      <c r="C11" s="13">
        <f>'الإدارة التنفيذية'!C13</f>
        <v/>
      </c>
      <c r="D11" s="15">
        <f>'الإدارة التنفيذية'!J13</f>
        <v/>
      </c>
      <c r="E11" s="13">
        <f>'الإدارة التنفيذية'!K13</f>
        <v/>
      </c>
      <c r="F11" s="15">
        <f>'الإدارة التنفيذية'!L13</f>
        <v/>
      </c>
      <c r="G11" s="50">
        <f>'الإدارة التنفيذية'!N13</f>
        <v/>
      </c>
      <c r="H11" s="15">
        <f>'الإدارة التنفيذية'!O13</f>
        <v/>
      </c>
      <c r="I11" s="24">
        <f>'الإدارة التنفيذية'!G13</f>
        <v/>
      </c>
      <c r="J11" s="15">
        <f>IF($G11="",0,$G11*$I11)</f>
        <v/>
      </c>
      <c r="K11" s="15">
        <f>IF($G11="",0,$I11)</f>
        <v/>
      </c>
    </row>
    <row r="12">
      <c r="A12" s="15" t="n">
        <v>11</v>
      </c>
      <c r="B12" s="13" t="inlineStr">
        <is>
          <t>الامتياز التجاري</t>
        </is>
      </c>
      <c r="C12" s="13">
        <f>'الامتياز التجاري'!C4</f>
        <v/>
      </c>
      <c r="D12" s="15">
        <f>'الامتياز التجاري'!J4</f>
        <v/>
      </c>
      <c r="E12" s="13">
        <f>'الامتياز التجاري'!K4</f>
        <v/>
      </c>
      <c r="F12" s="15">
        <f>'الامتياز التجاري'!L4</f>
        <v/>
      </c>
      <c r="G12" s="50">
        <f>'الامتياز التجاري'!N4</f>
        <v/>
      </c>
      <c r="H12" s="15">
        <f>'الامتياز التجاري'!O4</f>
        <v/>
      </c>
      <c r="I12" s="24">
        <f>'الامتياز التجاري'!G4</f>
        <v/>
      </c>
      <c r="J12" s="15">
        <f>IF($G12="",0,$G12*$I12)</f>
        <v/>
      </c>
      <c r="K12" s="15">
        <f>IF($G12="",0,$I12)</f>
        <v/>
      </c>
    </row>
    <row r="13">
      <c r="A13" s="15" t="n">
        <v>12</v>
      </c>
      <c r="B13" s="13" t="inlineStr">
        <is>
          <t>الامتياز التجاري</t>
        </is>
      </c>
      <c r="C13" s="13">
        <f>'الامتياز التجاري'!C5</f>
        <v/>
      </c>
      <c r="D13" s="15">
        <f>'الامتياز التجاري'!J5</f>
        <v/>
      </c>
      <c r="E13" s="13">
        <f>'الامتياز التجاري'!K5</f>
        <v/>
      </c>
      <c r="F13" s="15">
        <f>'الامتياز التجاري'!L5</f>
        <v/>
      </c>
      <c r="G13" s="50">
        <f>'الامتياز التجاري'!N5</f>
        <v/>
      </c>
      <c r="H13" s="15">
        <f>'الامتياز التجاري'!O5</f>
        <v/>
      </c>
      <c r="I13" s="24">
        <f>'الامتياز التجاري'!G5</f>
        <v/>
      </c>
      <c r="J13" s="15">
        <f>IF($G13="",0,$G13*$I13)</f>
        <v/>
      </c>
      <c r="K13" s="15">
        <f>IF($G13="",0,$I13)</f>
        <v/>
      </c>
    </row>
    <row r="14">
      <c r="A14" s="15" t="n">
        <v>13</v>
      </c>
      <c r="B14" s="13" t="inlineStr">
        <is>
          <t>الامتياز التجاري</t>
        </is>
      </c>
      <c r="C14" s="13">
        <f>'الامتياز التجاري'!C6</f>
        <v/>
      </c>
      <c r="D14" s="15">
        <f>'الامتياز التجاري'!J6</f>
        <v/>
      </c>
      <c r="E14" s="13">
        <f>'الامتياز التجاري'!K6</f>
        <v/>
      </c>
      <c r="F14" s="15">
        <f>'الامتياز التجاري'!L6</f>
        <v/>
      </c>
      <c r="G14" s="50">
        <f>'الامتياز التجاري'!N6</f>
        <v/>
      </c>
      <c r="H14" s="15">
        <f>'الامتياز التجاري'!O6</f>
        <v/>
      </c>
      <c r="I14" s="24">
        <f>'الامتياز التجاري'!G6</f>
        <v/>
      </c>
      <c r="J14" s="15">
        <f>IF($G14="",0,$G14*$I14)</f>
        <v/>
      </c>
      <c r="K14" s="15">
        <f>IF($G14="",0,$I14)</f>
        <v/>
      </c>
    </row>
    <row r="15">
      <c r="A15" s="15" t="n">
        <v>14</v>
      </c>
      <c r="B15" s="13" t="inlineStr">
        <is>
          <t>الامتياز التجاري</t>
        </is>
      </c>
      <c r="C15" s="13">
        <f>'الامتياز التجاري'!C7</f>
        <v/>
      </c>
      <c r="D15" s="15">
        <f>'الامتياز التجاري'!J7</f>
        <v/>
      </c>
      <c r="E15" s="13">
        <f>'الامتياز التجاري'!K7</f>
        <v/>
      </c>
      <c r="F15" s="15">
        <f>'الامتياز التجاري'!L7</f>
        <v/>
      </c>
      <c r="G15" s="50">
        <f>'الامتياز التجاري'!N7</f>
        <v/>
      </c>
      <c r="H15" s="15">
        <f>'الامتياز التجاري'!O7</f>
        <v/>
      </c>
      <c r="I15" s="24">
        <f>'الامتياز التجاري'!G7</f>
        <v/>
      </c>
      <c r="J15" s="15">
        <f>IF($G15="",0,$G15*$I15)</f>
        <v/>
      </c>
      <c r="K15" s="15">
        <f>IF($G15="",0,$I15)</f>
        <v/>
      </c>
    </row>
    <row r="16">
      <c r="A16" s="15" t="n">
        <v>15</v>
      </c>
      <c r="B16" s="13" t="inlineStr">
        <is>
          <t>الامتياز التجاري</t>
        </is>
      </c>
      <c r="C16" s="13">
        <f>'الامتياز التجاري'!C8</f>
        <v/>
      </c>
      <c r="D16" s="15">
        <f>'الامتياز التجاري'!J8</f>
        <v/>
      </c>
      <c r="E16" s="13">
        <f>'الامتياز التجاري'!K8</f>
        <v/>
      </c>
      <c r="F16" s="15">
        <f>'الامتياز التجاري'!L8</f>
        <v/>
      </c>
      <c r="G16" s="50">
        <f>'الامتياز التجاري'!N8</f>
        <v/>
      </c>
      <c r="H16" s="15">
        <f>'الامتياز التجاري'!O8</f>
        <v/>
      </c>
      <c r="I16" s="24">
        <f>'الامتياز التجاري'!G8</f>
        <v/>
      </c>
      <c r="J16" s="15">
        <f>IF($G16="",0,$G16*$I16)</f>
        <v/>
      </c>
      <c r="K16" s="15">
        <f>IF($G16="",0,$I16)</f>
        <v/>
      </c>
    </row>
    <row r="17">
      <c r="A17" s="15" t="n">
        <v>16</v>
      </c>
      <c r="B17" s="13" t="inlineStr">
        <is>
          <t>الامتياز التجاري</t>
        </is>
      </c>
      <c r="C17" s="13">
        <f>'الامتياز التجاري'!C9</f>
        <v/>
      </c>
      <c r="D17" s="15">
        <f>'الامتياز التجاري'!J9</f>
        <v/>
      </c>
      <c r="E17" s="13">
        <f>'الامتياز التجاري'!K9</f>
        <v/>
      </c>
      <c r="F17" s="15">
        <f>'الامتياز التجاري'!L9</f>
        <v/>
      </c>
      <c r="G17" s="50">
        <f>'الامتياز التجاري'!N9</f>
        <v/>
      </c>
      <c r="H17" s="15">
        <f>'الامتياز التجاري'!O9</f>
        <v/>
      </c>
      <c r="I17" s="24">
        <f>'الامتياز التجاري'!G9</f>
        <v/>
      </c>
      <c r="J17" s="15">
        <f>IF($G17="",0,$G17*$I17)</f>
        <v/>
      </c>
      <c r="K17" s="15">
        <f>IF($G17="",0,$I17)</f>
        <v/>
      </c>
    </row>
    <row r="18">
      <c r="A18" s="15" t="n">
        <v>17</v>
      </c>
      <c r="B18" s="13" t="inlineStr">
        <is>
          <t>الامتياز التجاري</t>
        </is>
      </c>
      <c r="C18" s="13">
        <f>'الامتياز التجاري'!C10</f>
        <v/>
      </c>
      <c r="D18" s="15">
        <f>'الامتياز التجاري'!J10</f>
        <v/>
      </c>
      <c r="E18" s="13">
        <f>'الامتياز التجاري'!K10</f>
        <v/>
      </c>
      <c r="F18" s="15">
        <f>'الامتياز التجاري'!L10</f>
        <v/>
      </c>
      <c r="G18" s="50">
        <f>'الامتياز التجاري'!N10</f>
        <v/>
      </c>
      <c r="H18" s="15">
        <f>'الامتياز التجاري'!O10</f>
        <v/>
      </c>
      <c r="I18" s="24">
        <f>'الامتياز التجاري'!G10</f>
        <v/>
      </c>
      <c r="J18" s="15">
        <f>IF($G18="",0,$G18*$I18)</f>
        <v/>
      </c>
      <c r="K18" s="15">
        <f>IF($G18="",0,$I18)</f>
        <v/>
      </c>
    </row>
    <row r="19">
      <c r="A19" s="15" t="n">
        <v>18</v>
      </c>
      <c r="B19" s="13" t="inlineStr">
        <is>
          <t>الامتياز التجاري</t>
        </is>
      </c>
      <c r="C19" s="13">
        <f>'الامتياز التجاري'!C11</f>
        <v/>
      </c>
      <c r="D19" s="15">
        <f>'الامتياز التجاري'!J11</f>
        <v/>
      </c>
      <c r="E19" s="13">
        <f>'الامتياز التجاري'!K11</f>
        <v/>
      </c>
      <c r="F19" s="15">
        <f>'الامتياز التجاري'!L11</f>
        <v/>
      </c>
      <c r="G19" s="50">
        <f>'الامتياز التجاري'!N11</f>
        <v/>
      </c>
      <c r="H19" s="15">
        <f>'الامتياز التجاري'!O11</f>
        <v/>
      </c>
      <c r="I19" s="24">
        <f>'الامتياز التجاري'!G11</f>
        <v/>
      </c>
      <c r="J19" s="15">
        <f>IF($G19="",0,$G19*$I19)</f>
        <v/>
      </c>
      <c r="K19" s="15">
        <f>IF($G19="",0,$I19)</f>
        <v/>
      </c>
    </row>
    <row r="20">
      <c r="A20" s="15" t="n">
        <v>19</v>
      </c>
      <c r="B20" s="13" t="inlineStr">
        <is>
          <t>الامتياز التجاري</t>
        </is>
      </c>
      <c r="C20" s="13">
        <f>'الامتياز التجاري'!C12</f>
        <v/>
      </c>
      <c r="D20" s="15">
        <f>'الامتياز التجاري'!J12</f>
        <v/>
      </c>
      <c r="E20" s="13">
        <f>'الامتياز التجاري'!K12</f>
        <v/>
      </c>
      <c r="F20" s="15">
        <f>'الامتياز التجاري'!L12</f>
        <v/>
      </c>
      <c r="G20" s="50">
        <f>'الامتياز التجاري'!N12</f>
        <v/>
      </c>
      <c r="H20" s="15">
        <f>'الامتياز التجاري'!O12</f>
        <v/>
      </c>
      <c r="I20" s="24">
        <f>'الامتياز التجاري'!G12</f>
        <v/>
      </c>
      <c r="J20" s="15">
        <f>IF($G20="",0,$G20*$I20)</f>
        <v/>
      </c>
      <c r="K20" s="15">
        <f>IF($G20="",0,$I20)</f>
        <v/>
      </c>
    </row>
    <row r="21">
      <c r="A21" s="15" t="n">
        <v>20</v>
      </c>
      <c r="B21" s="13" t="inlineStr">
        <is>
          <t>الامتياز التجاري</t>
        </is>
      </c>
      <c r="C21" s="13">
        <f>'الامتياز التجاري'!C13</f>
        <v/>
      </c>
      <c r="D21" s="15">
        <f>'الامتياز التجاري'!J13</f>
        <v/>
      </c>
      <c r="E21" s="13">
        <f>'الامتياز التجاري'!K13</f>
        <v/>
      </c>
      <c r="F21" s="15">
        <f>'الامتياز التجاري'!L13</f>
        <v/>
      </c>
      <c r="G21" s="50">
        <f>'الامتياز التجاري'!N13</f>
        <v/>
      </c>
      <c r="H21" s="15">
        <f>'الامتياز التجاري'!O13</f>
        <v/>
      </c>
      <c r="I21" s="24">
        <f>'الامتياز التجاري'!G13</f>
        <v/>
      </c>
      <c r="J21" s="15">
        <f>IF($G21="",0,$G21*$I21)</f>
        <v/>
      </c>
      <c r="K21" s="15">
        <f>IF($G21="",0,$I21)</f>
        <v/>
      </c>
    </row>
    <row r="22">
      <c r="A22" s="15" t="n">
        <v>21</v>
      </c>
      <c r="B22" s="13" t="inlineStr">
        <is>
          <t>الامتياز التجاري</t>
        </is>
      </c>
      <c r="C22" s="13">
        <f>'الامتياز التجاري'!C14</f>
        <v/>
      </c>
      <c r="D22" s="15">
        <f>'الامتياز التجاري'!J14</f>
        <v/>
      </c>
      <c r="E22" s="13">
        <f>'الامتياز التجاري'!K14</f>
        <v/>
      </c>
      <c r="F22" s="15">
        <f>'الامتياز التجاري'!L14</f>
        <v/>
      </c>
      <c r="G22" s="50">
        <f>'الامتياز التجاري'!N14</f>
        <v/>
      </c>
      <c r="H22" s="15">
        <f>'الامتياز التجاري'!O14</f>
        <v/>
      </c>
      <c r="I22" s="24">
        <f>'الامتياز التجاري'!G14</f>
        <v/>
      </c>
      <c r="J22" s="15">
        <f>IF($G22="",0,$G22*$I22)</f>
        <v/>
      </c>
      <c r="K22" s="15">
        <f>IF($G22="",0,$I22)</f>
        <v/>
      </c>
    </row>
    <row r="23">
      <c r="A23" s="15" t="n">
        <v>22</v>
      </c>
      <c r="B23" s="13" t="inlineStr">
        <is>
          <t>الامتياز التجاري</t>
        </is>
      </c>
      <c r="C23" s="13">
        <f>'الامتياز التجاري'!C15</f>
        <v/>
      </c>
      <c r="D23" s="15">
        <f>'الامتياز التجاري'!J15</f>
        <v/>
      </c>
      <c r="E23" s="13">
        <f>'الامتياز التجاري'!K15</f>
        <v/>
      </c>
      <c r="F23" s="15">
        <f>'الامتياز التجاري'!L15</f>
        <v/>
      </c>
      <c r="G23" s="50">
        <f>'الامتياز التجاري'!N15</f>
        <v/>
      </c>
      <c r="H23" s="15">
        <f>'الامتياز التجاري'!O15</f>
        <v/>
      </c>
      <c r="I23" s="24">
        <f>'الامتياز التجاري'!G15</f>
        <v/>
      </c>
      <c r="J23" s="15">
        <f>IF($G23="",0,$G23*$I23)</f>
        <v/>
      </c>
      <c r="K23" s="15">
        <f>IF($G23="",0,$I23)</f>
        <v/>
      </c>
    </row>
    <row r="24">
      <c r="A24" s="15" t="n">
        <v>23</v>
      </c>
      <c r="B24" s="13" t="inlineStr">
        <is>
          <t>الامتياز التجاري</t>
        </is>
      </c>
      <c r="C24" s="13">
        <f>'الامتياز التجاري'!C16</f>
        <v/>
      </c>
      <c r="D24" s="15">
        <f>'الامتياز التجاري'!J16</f>
        <v/>
      </c>
      <c r="E24" s="13">
        <f>'الامتياز التجاري'!K16</f>
        <v/>
      </c>
      <c r="F24" s="15">
        <f>'الامتياز التجاري'!L16</f>
        <v/>
      </c>
      <c r="G24" s="50">
        <f>'الامتياز التجاري'!N16</f>
        <v/>
      </c>
      <c r="H24" s="15">
        <f>'الامتياز التجاري'!O16</f>
        <v/>
      </c>
      <c r="I24" s="24">
        <f>'الامتياز التجاري'!G16</f>
        <v/>
      </c>
      <c r="J24" s="15">
        <f>IF($G24="",0,$G24*$I24)</f>
        <v/>
      </c>
      <c r="K24" s="15">
        <f>IF($G24="",0,$I24)</f>
        <v/>
      </c>
    </row>
    <row r="25">
      <c r="A25" s="15" t="n">
        <v>24</v>
      </c>
      <c r="B25" s="13" t="inlineStr">
        <is>
          <t>الامتياز التجاري</t>
        </is>
      </c>
      <c r="C25" s="13">
        <f>'الامتياز التجاري'!C17</f>
        <v/>
      </c>
      <c r="D25" s="15">
        <f>'الامتياز التجاري'!J17</f>
        <v/>
      </c>
      <c r="E25" s="13">
        <f>'الامتياز التجاري'!K17</f>
        <v/>
      </c>
      <c r="F25" s="15">
        <f>'الامتياز التجاري'!L17</f>
        <v/>
      </c>
      <c r="G25" s="50">
        <f>'الامتياز التجاري'!N17</f>
        <v/>
      </c>
      <c r="H25" s="15">
        <f>'الامتياز التجاري'!O17</f>
        <v/>
      </c>
      <c r="I25" s="24">
        <f>'الامتياز التجاري'!G17</f>
        <v/>
      </c>
      <c r="J25" s="15">
        <f>IF($G25="",0,$G25*$I25)</f>
        <v/>
      </c>
      <c r="K25" s="15">
        <f>IF($G25="",0,$I25)</f>
        <v/>
      </c>
    </row>
    <row r="26">
      <c r="A26" s="15" t="n">
        <v>25</v>
      </c>
      <c r="B26" s="13" t="inlineStr">
        <is>
          <t>الامتياز التجاري</t>
        </is>
      </c>
      <c r="C26" s="13">
        <f>'الامتياز التجاري'!C18</f>
        <v/>
      </c>
      <c r="D26" s="15">
        <f>'الامتياز التجاري'!J18</f>
        <v/>
      </c>
      <c r="E26" s="13">
        <f>'الامتياز التجاري'!K18</f>
        <v/>
      </c>
      <c r="F26" s="15">
        <f>'الامتياز التجاري'!L18</f>
        <v/>
      </c>
      <c r="G26" s="50">
        <f>'الامتياز التجاري'!N18</f>
        <v/>
      </c>
      <c r="H26" s="15">
        <f>'الامتياز التجاري'!O18</f>
        <v/>
      </c>
      <c r="I26" s="24">
        <f>'الامتياز التجاري'!G18</f>
        <v/>
      </c>
      <c r="J26" s="15">
        <f>IF($G26="",0,$G26*$I26)</f>
        <v/>
      </c>
      <c r="K26" s="15">
        <f>IF($G26="",0,$I26)</f>
        <v/>
      </c>
    </row>
    <row r="27">
      <c r="A27" s="15" t="n">
        <v>26</v>
      </c>
      <c r="B27" s="13" t="inlineStr">
        <is>
          <t>الامتياز التجاري</t>
        </is>
      </c>
      <c r="C27" s="13">
        <f>'الامتياز التجاري'!C19</f>
        <v/>
      </c>
      <c r="D27" s="15">
        <f>'الامتياز التجاري'!J19</f>
        <v/>
      </c>
      <c r="E27" s="13">
        <f>'الامتياز التجاري'!K19</f>
        <v/>
      </c>
      <c r="F27" s="15">
        <f>'الامتياز التجاري'!L19</f>
        <v/>
      </c>
      <c r="G27" s="50">
        <f>'الامتياز التجاري'!N19</f>
        <v/>
      </c>
      <c r="H27" s="15">
        <f>'الامتياز التجاري'!O19</f>
        <v/>
      </c>
      <c r="I27" s="24">
        <f>'الامتياز التجاري'!G19</f>
        <v/>
      </c>
      <c r="J27" s="15">
        <f>IF($G27="",0,$G27*$I27)</f>
        <v/>
      </c>
      <c r="K27" s="15">
        <f>IF($G27="",0,$I27)</f>
        <v/>
      </c>
    </row>
    <row r="28">
      <c r="A28" s="15" t="n">
        <v>27</v>
      </c>
      <c r="B28" s="13" t="inlineStr">
        <is>
          <t>الامتياز التجاري</t>
        </is>
      </c>
      <c r="C28" s="13">
        <f>'الامتياز التجاري'!C20</f>
        <v/>
      </c>
      <c r="D28" s="15">
        <f>'الامتياز التجاري'!J20</f>
        <v/>
      </c>
      <c r="E28" s="13">
        <f>'الامتياز التجاري'!K20</f>
        <v/>
      </c>
      <c r="F28" s="15">
        <f>'الامتياز التجاري'!L20</f>
        <v/>
      </c>
      <c r="G28" s="50">
        <f>'الامتياز التجاري'!N20</f>
        <v/>
      </c>
      <c r="H28" s="15">
        <f>'الامتياز التجاري'!O20</f>
        <v/>
      </c>
      <c r="I28" s="24">
        <f>'الامتياز التجاري'!G20</f>
        <v/>
      </c>
      <c r="J28" s="15">
        <f>IF($G28="",0,$G28*$I28)</f>
        <v/>
      </c>
      <c r="K28" s="15">
        <f>IF($G28="",0,$I28)</f>
        <v/>
      </c>
    </row>
    <row r="29">
      <c r="A29" s="15" t="n">
        <v>28</v>
      </c>
      <c r="B29" s="13" t="inlineStr">
        <is>
          <t>الامتياز التجاري</t>
        </is>
      </c>
      <c r="C29" s="13">
        <f>'الامتياز التجاري'!C21</f>
        <v/>
      </c>
      <c r="D29" s="15">
        <f>'الامتياز التجاري'!J21</f>
        <v/>
      </c>
      <c r="E29" s="13">
        <f>'الامتياز التجاري'!K21</f>
        <v/>
      </c>
      <c r="F29" s="15">
        <f>'الامتياز التجاري'!L21</f>
        <v/>
      </c>
      <c r="G29" s="50">
        <f>'الامتياز التجاري'!N21</f>
        <v/>
      </c>
      <c r="H29" s="15">
        <f>'الامتياز التجاري'!O21</f>
        <v/>
      </c>
      <c r="I29" s="24">
        <f>'الامتياز التجاري'!G21</f>
        <v/>
      </c>
      <c r="J29" s="15">
        <f>IF($G29="",0,$G29*$I29)</f>
        <v/>
      </c>
      <c r="K29" s="15">
        <f>IF($G29="",0,$I29)</f>
        <v/>
      </c>
    </row>
    <row r="30">
      <c r="A30" s="15" t="n">
        <v>29</v>
      </c>
      <c r="B30" s="13" t="inlineStr">
        <is>
          <t>الامتياز التجاري</t>
        </is>
      </c>
      <c r="C30" s="13">
        <f>'الامتياز التجاري'!C22</f>
        <v/>
      </c>
      <c r="D30" s="15">
        <f>'الامتياز التجاري'!J22</f>
        <v/>
      </c>
      <c r="E30" s="13">
        <f>'الامتياز التجاري'!K22</f>
        <v/>
      </c>
      <c r="F30" s="15">
        <f>'الامتياز التجاري'!L22</f>
        <v/>
      </c>
      <c r="G30" s="50">
        <f>'الامتياز التجاري'!N22</f>
        <v/>
      </c>
      <c r="H30" s="15">
        <f>'الامتياز التجاري'!O22</f>
        <v/>
      </c>
      <c r="I30" s="24">
        <f>'الامتياز التجاري'!G22</f>
        <v/>
      </c>
      <c r="J30" s="15">
        <f>IF($G30="",0,$G30*$I30)</f>
        <v/>
      </c>
      <c r="K30" s="15">
        <f>IF($G30="",0,$I30)</f>
        <v/>
      </c>
    </row>
    <row r="31">
      <c r="A31" s="15" t="n">
        <v>30</v>
      </c>
      <c r="B31" s="13" t="inlineStr">
        <is>
          <t>الامتياز التجاري</t>
        </is>
      </c>
      <c r="C31" s="13">
        <f>'الامتياز التجاري'!C23</f>
        <v/>
      </c>
      <c r="D31" s="15">
        <f>'الامتياز التجاري'!J23</f>
        <v/>
      </c>
      <c r="E31" s="13">
        <f>'الامتياز التجاري'!K23</f>
        <v/>
      </c>
      <c r="F31" s="15">
        <f>'الامتياز التجاري'!L23</f>
        <v/>
      </c>
      <c r="G31" s="50">
        <f>'الامتياز التجاري'!N23</f>
        <v/>
      </c>
      <c r="H31" s="15">
        <f>'الامتياز التجاري'!O23</f>
        <v/>
      </c>
      <c r="I31" s="24">
        <f>'الامتياز التجاري'!G23</f>
        <v/>
      </c>
      <c r="J31" s="15">
        <f>IF($G31="",0,$G31*$I31)</f>
        <v/>
      </c>
      <c r="K31" s="15">
        <f>IF($G31="",0,$I31)</f>
        <v/>
      </c>
    </row>
    <row r="32">
      <c r="A32" s="15" t="n">
        <v>31</v>
      </c>
      <c r="B32" s="13" t="inlineStr">
        <is>
          <t>الامتياز التجاري</t>
        </is>
      </c>
      <c r="C32" s="13">
        <f>'الامتياز التجاري'!C24</f>
        <v/>
      </c>
      <c r="D32" s="15">
        <f>'الامتياز التجاري'!J24</f>
        <v/>
      </c>
      <c r="E32" s="13">
        <f>'الامتياز التجاري'!K24</f>
        <v/>
      </c>
      <c r="F32" s="15">
        <f>'الامتياز التجاري'!L24</f>
        <v/>
      </c>
      <c r="G32" s="50">
        <f>'الامتياز التجاري'!N24</f>
        <v/>
      </c>
      <c r="H32" s="15">
        <f>'الامتياز التجاري'!O24</f>
        <v/>
      </c>
      <c r="I32" s="24">
        <f>'الامتياز التجاري'!G24</f>
        <v/>
      </c>
      <c r="J32" s="15">
        <f>IF($G32="",0,$G32*$I32)</f>
        <v/>
      </c>
      <c r="K32" s="15">
        <f>IF($G32="",0,$I32)</f>
        <v/>
      </c>
    </row>
    <row r="33">
      <c r="A33" s="15" t="n">
        <v>32</v>
      </c>
      <c r="B33" s="13" t="inlineStr">
        <is>
          <t>الامتياز التجاري</t>
        </is>
      </c>
      <c r="C33" s="13">
        <f>'الامتياز التجاري'!C25</f>
        <v/>
      </c>
      <c r="D33" s="15">
        <f>'الامتياز التجاري'!J25</f>
        <v/>
      </c>
      <c r="E33" s="13">
        <f>'الامتياز التجاري'!K25</f>
        <v/>
      </c>
      <c r="F33" s="15">
        <f>'الامتياز التجاري'!L25</f>
        <v/>
      </c>
      <c r="G33" s="50">
        <f>'الامتياز التجاري'!N25</f>
        <v/>
      </c>
      <c r="H33" s="15">
        <f>'الامتياز التجاري'!O25</f>
        <v/>
      </c>
      <c r="I33" s="24">
        <f>'الامتياز التجاري'!G25</f>
        <v/>
      </c>
      <c r="J33" s="15">
        <f>IF($G33="",0,$G33*$I33)</f>
        <v/>
      </c>
      <c r="K33" s="15">
        <f>IF($G33="",0,$I33)</f>
        <v/>
      </c>
    </row>
    <row r="34">
      <c r="A34" s="15" t="n">
        <v>33</v>
      </c>
      <c r="B34" s="13" t="inlineStr">
        <is>
          <t>الامتياز التجاري</t>
        </is>
      </c>
      <c r="C34" s="13">
        <f>'الامتياز التجاري'!C26</f>
        <v/>
      </c>
      <c r="D34" s="15">
        <f>'الامتياز التجاري'!J26</f>
        <v/>
      </c>
      <c r="E34" s="13">
        <f>'الامتياز التجاري'!K26</f>
        <v/>
      </c>
      <c r="F34" s="15">
        <f>'الامتياز التجاري'!L26</f>
        <v/>
      </c>
      <c r="G34" s="50">
        <f>'الامتياز التجاري'!N26</f>
        <v/>
      </c>
      <c r="H34" s="15">
        <f>'الامتياز التجاري'!O26</f>
        <v/>
      </c>
      <c r="I34" s="24">
        <f>'الامتياز التجاري'!G26</f>
        <v/>
      </c>
      <c r="J34" s="15">
        <f>IF($G34="",0,$G34*$I34)</f>
        <v/>
      </c>
      <c r="K34" s="15">
        <f>IF($G34="",0,$I34)</f>
        <v/>
      </c>
    </row>
    <row r="35">
      <c r="A35" s="15" t="n">
        <v>34</v>
      </c>
      <c r="B35" s="13" t="inlineStr">
        <is>
          <t>الامتياز التجاري</t>
        </is>
      </c>
      <c r="C35" s="13">
        <f>'الامتياز التجاري'!C27</f>
        <v/>
      </c>
      <c r="D35" s="15">
        <f>'الامتياز التجاري'!J27</f>
        <v/>
      </c>
      <c r="E35" s="13">
        <f>'الامتياز التجاري'!K27</f>
        <v/>
      </c>
      <c r="F35" s="15">
        <f>'الامتياز التجاري'!L27</f>
        <v/>
      </c>
      <c r="G35" s="50">
        <f>'الامتياز التجاري'!N27</f>
        <v/>
      </c>
      <c r="H35" s="15">
        <f>'الامتياز التجاري'!O27</f>
        <v/>
      </c>
      <c r="I35" s="24">
        <f>'الامتياز التجاري'!G27</f>
        <v/>
      </c>
      <c r="J35" s="15">
        <f>IF($G35="",0,$G35*$I35)</f>
        <v/>
      </c>
      <c r="K35" s="15">
        <f>IF($G35="",0,$I35)</f>
        <v/>
      </c>
    </row>
    <row r="36">
      <c r="A36" s="15" t="n">
        <v>35</v>
      </c>
      <c r="B36" s="13" t="inlineStr">
        <is>
          <t>الامتياز التجاري</t>
        </is>
      </c>
      <c r="C36" s="13">
        <f>'الامتياز التجاري'!C28</f>
        <v/>
      </c>
      <c r="D36" s="15">
        <f>'الامتياز التجاري'!J28</f>
        <v/>
      </c>
      <c r="E36" s="13">
        <f>'الامتياز التجاري'!K28</f>
        <v/>
      </c>
      <c r="F36" s="15">
        <f>'الامتياز التجاري'!L28</f>
        <v/>
      </c>
      <c r="G36" s="50">
        <f>'الامتياز التجاري'!N28</f>
        <v/>
      </c>
      <c r="H36" s="15">
        <f>'الامتياز التجاري'!O28</f>
        <v/>
      </c>
      <c r="I36" s="24">
        <f>'الامتياز التجاري'!G28</f>
        <v/>
      </c>
      <c r="J36" s="15">
        <f>IF($G36="",0,$G36*$I36)</f>
        <v/>
      </c>
      <c r="K36" s="15">
        <f>IF($G36="",0,$I36)</f>
        <v/>
      </c>
    </row>
    <row r="37">
      <c r="A37" s="15" t="n">
        <v>36</v>
      </c>
      <c r="B37" s="13" t="inlineStr">
        <is>
          <t>الامتياز التجاري</t>
        </is>
      </c>
      <c r="C37" s="13">
        <f>'الامتياز التجاري'!C29</f>
        <v/>
      </c>
      <c r="D37" s="15">
        <f>'الامتياز التجاري'!J29</f>
        <v/>
      </c>
      <c r="E37" s="13">
        <f>'الامتياز التجاري'!K29</f>
        <v/>
      </c>
      <c r="F37" s="15">
        <f>'الامتياز التجاري'!L29</f>
        <v/>
      </c>
      <c r="G37" s="50">
        <f>'الامتياز التجاري'!N29</f>
        <v/>
      </c>
      <c r="H37" s="15">
        <f>'الامتياز التجاري'!O29</f>
        <v/>
      </c>
      <c r="I37" s="24">
        <f>'الامتياز التجاري'!G29</f>
        <v/>
      </c>
      <c r="J37" s="15">
        <f>IF($G37="",0,$G37*$I37)</f>
        <v/>
      </c>
      <c r="K37" s="15">
        <f>IF($G37="",0,$I37)</f>
        <v/>
      </c>
    </row>
    <row r="38">
      <c r="A38" s="15" t="n">
        <v>37</v>
      </c>
      <c r="B38" s="13" t="inlineStr">
        <is>
          <t>الامتياز التجاري</t>
        </is>
      </c>
      <c r="C38" s="13">
        <f>'الامتياز التجاري'!C30</f>
        <v/>
      </c>
      <c r="D38" s="15">
        <f>'الامتياز التجاري'!J30</f>
        <v/>
      </c>
      <c r="E38" s="13">
        <f>'الامتياز التجاري'!K30</f>
        <v/>
      </c>
      <c r="F38" s="15">
        <f>'الامتياز التجاري'!L30</f>
        <v/>
      </c>
      <c r="G38" s="50">
        <f>'الامتياز التجاري'!N30</f>
        <v/>
      </c>
      <c r="H38" s="15">
        <f>'الامتياز التجاري'!O30</f>
        <v/>
      </c>
      <c r="I38" s="24">
        <f>'الامتياز التجاري'!G30</f>
        <v/>
      </c>
      <c r="J38" s="15">
        <f>IF($G38="",0,$G38*$I38)</f>
        <v/>
      </c>
      <c r="K38" s="15">
        <f>IF($G38="",0,$I38)</f>
        <v/>
      </c>
    </row>
    <row r="39">
      <c r="A39" s="15" t="n">
        <v>38</v>
      </c>
      <c r="B39" s="13" t="inlineStr">
        <is>
          <t>الامتياز التجاري</t>
        </is>
      </c>
      <c r="C39" s="13">
        <f>'الامتياز التجاري'!C31</f>
        <v/>
      </c>
      <c r="D39" s="15">
        <f>'الامتياز التجاري'!J31</f>
        <v/>
      </c>
      <c r="E39" s="13">
        <f>'الامتياز التجاري'!K31</f>
        <v/>
      </c>
      <c r="F39" s="15">
        <f>'الامتياز التجاري'!L31</f>
        <v/>
      </c>
      <c r="G39" s="50">
        <f>'الامتياز التجاري'!N31</f>
        <v/>
      </c>
      <c r="H39" s="15">
        <f>'الامتياز التجاري'!O31</f>
        <v/>
      </c>
      <c r="I39" s="24">
        <f>'الامتياز التجاري'!G31</f>
        <v/>
      </c>
      <c r="J39" s="15">
        <f>IF($G39="",0,$G39*$I39)</f>
        <v/>
      </c>
      <c r="K39" s="15">
        <f>IF($G39="",0,$I39)</f>
        <v/>
      </c>
    </row>
    <row r="40">
      <c r="A40" s="15" t="n">
        <v>39</v>
      </c>
      <c r="B40" s="13" t="inlineStr">
        <is>
          <t>الامتياز التجاري</t>
        </is>
      </c>
      <c r="C40" s="13">
        <f>'الامتياز التجاري'!C32</f>
        <v/>
      </c>
      <c r="D40" s="15">
        <f>'الامتياز التجاري'!J32</f>
        <v/>
      </c>
      <c r="E40" s="13">
        <f>'الامتياز التجاري'!K32</f>
        <v/>
      </c>
      <c r="F40" s="15">
        <f>'الامتياز التجاري'!L32</f>
        <v/>
      </c>
      <c r="G40" s="50">
        <f>'الامتياز التجاري'!N32</f>
        <v/>
      </c>
      <c r="H40" s="15">
        <f>'الامتياز التجاري'!O32</f>
        <v/>
      </c>
      <c r="I40" s="24">
        <f>'الامتياز التجاري'!G32</f>
        <v/>
      </c>
      <c r="J40" s="15">
        <f>IF($G40="",0,$G40*$I40)</f>
        <v/>
      </c>
      <c r="K40" s="15">
        <f>IF($G40="",0,$I40)</f>
        <v/>
      </c>
    </row>
    <row r="41">
      <c r="A41" s="15" t="n">
        <v>40</v>
      </c>
      <c r="B41" s="13" t="inlineStr">
        <is>
          <t>التشغيل والمحطات</t>
        </is>
      </c>
      <c r="C41" s="13">
        <f>'التشغيل والمحطات'!C4</f>
        <v/>
      </c>
      <c r="D41" s="15">
        <f>'التشغيل والمحطات'!J4</f>
        <v/>
      </c>
      <c r="E41" s="13">
        <f>'التشغيل والمحطات'!K4</f>
        <v/>
      </c>
      <c r="F41" s="15">
        <f>'التشغيل والمحطات'!L4</f>
        <v/>
      </c>
      <c r="G41" s="50">
        <f>'التشغيل والمحطات'!N4</f>
        <v/>
      </c>
      <c r="H41" s="15">
        <f>'التشغيل والمحطات'!O4</f>
        <v/>
      </c>
      <c r="I41" s="24">
        <f>'التشغيل والمحطات'!G4</f>
        <v/>
      </c>
      <c r="J41" s="15">
        <f>IF($G41="",0,$G41*$I41)</f>
        <v/>
      </c>
      <c r="K41" s="15">
        <f>IF($G41="",0,$I41)</f>
        <v/>
      </c>
    </row>
    <row r="42">
      <c r="A42" s="15" t="n">
        <v>41</v>
      </c>
      <c r="B42" s="13" t="inlineStr">
        <is>
          <t>التشغيل والمحطات</t>
        </is>
      </c>
      <c r="C42" s="13">
        <f>'التشغيل والمحطات'!C5</f>
        <v/>
      </c>
      <c r="D42" s="15">
        <f>'التشغيل والمحطات'!J5</f>
        <v/>
      </c>
      <c r="E42" s="13">
        <f>'التشغيل والمحطات'!K5</f>
        <v/>
      </c>
      <c r="F42" s="15">
        <f>'التشغيل والمحطات'!L5</f>
        <v/>
      </c>
      <c r="G42" s="50">
        <f>'التشغيل والمحطات'!N5</f>
        <v/>
      </c>
      <c r="H42" s="15">
        <f>'التشغيل والمحطات'!O5</f>
        <v/>
      </c>
      <c r="I42" s="24">
        <f>'التشغيل والمحطات'!G5</f>
        <v/>
      </c>
      <c r="J42" s="15">
        <f>IF($G42="",0,$G42*$I42)</f>
        <v/>
      </c>
      <c r="K42" s="15">
        <f>IF($G42="",0,$I42)</f>
        <v/>
      </c>
    </row>
    <row r="43">
      <c r="A43" s="15" t="n">
        <v>42</v>
      </c>
      <c r="B43" s="13" t="inlineStr">
        <is>
          <t>التشغيل والمحطات</t>
        </is>
      </c>
      <c r="C43" s="13">
        <f>'التشغيل والمحطات'!C6</f>
        <v/>
      </c>
      <c r="D43" s="15">
        <f>'التشغيل والمحطات'!J6</f>
        <v/>
      </c>
      <c r="E43" s="13">
        <f>'التشغيل والمحطات'!K6</f>
        <v/>
      </c>
      <c r="F43" s="15">
        <f>'التشغيل والمحطات'!L6</f>
        <v/>
      </c>
      <c r="G43" s="50">
        <f>'التشغيل والمحطات'!N6</f>
        <v/>
      </c>
      <c r="H43" s="15">
        <f>'التشغيل والمحطات'!O6</f>
        <v/>
      </c>
      <c r="I43" s="24">
        <f>'التشغيل والمحطات'!G6</f>
        <v/>
      </c>
      <c r="J43" s="15">
        <f>IF($G43="",0,$G43*$I43)</f>
        <v/>
      </c>
      <c r="K43" s="15">
        <f>IF($G43="",0,$I43)</f>
        <v/>
      </c>
    </row>
    <row r="44">
      <c r="A44" s="15" t="n">
        <v>43</v>
      </c>
      <c r="B44" s="13" t="inlineStr">
        <is>
          <t>التشغيل والمحطات</t>
        </is>
      </c>
      <c r="C44" s="13">
        <f>'التشغيل والمحطات'!C7</f>
        <v/>
      </c>
      <c r="D44" s="15">
        <f>'التشغيل والمحطات'!J7</f>
        <v/>
      </c>
      <c r="E44" s="13">
        <f>'التشغيل والمحطات'!K7</f>
        <v/>
      </c>
      <c r="F44" s="15">
        <f>'التشغيل والمحطات'!L7</f>
        <v/>
      </c>
      <c r="G44" s="50">
        <f>'التشغيل والمحطات'!N7</f>
        <v/>
      </c>
      <c r="H44" s="15">
        <f>'التشغيل والمحطات'!O7</f>
        <v/>
      </c>
      <c r="I44" s="24">
        <f>'التشغيل والمحطات'!G7</f>
        <v/>
      </c>
      <c r="J44" s="15">
        <f>IF($G44="",0,$G44*$I44)</f>
        <v/>
      </c>
      <c r="K44" s="15">
        <f>IF($G44="",0,$I44)</f>
        <v/>
      </c>
    </row>
    <row r="45">
      <c r="A45" s="15" t="n">
        <v>44</v>
      </c>
      <c r="B45" s="13" t="inlineStr">
        <is>
          <t>الاستثمار</t>
        </is>
      </c>
      <c r="C45" s="13">
        <f>'الاستثمار'!C4</f>
        <v/>
      </c>
      <c r="D45" s="15">
        <f>'الاستثمار'!J4</f>
        <v/>
      </c>
      <c r="E45" s="13">
        <f>'الاستثمار'!K4</f>
        <v/>
      </c>
      <c r="F45" s="15">
        <f>'الاستثمار'!L4</f>
        <v/>
      </c>
      <c r="G45" s="50">
        <f>'الاستثمار'!N4</f>
        <v/>
      </c>
      <c r="H45" s="15">
        <f>'الاستثمار'!O4</f>
        <v/>
      </c>
      <c r="I45" s="24">
        <f>'الاستثمار'!G4</f>
        <v/>
      </c>
      <c r="J45" s="15">
        <f>IF($G45="",0,$G45*$I45)</f>
        <v/>
      </c>
      <c r="K45" s="15">
        <f>IF($G45="",0,$I45)</f>
        <v/>
      </c>
    </row>
    <row r="46">
      <c r="A46" s="15" t="n">
        <v>45</v>
      </c>
      <c r="B46" s="13" t="inlineStr">
        <is>
          <t>الاستثمار</t>
        </is>
      </c>
      <c r="C46" s="13">
        <f>'الاستثمار'!C5</f>
        <v/>
      </c>
      <c r="D46" s="15">
        <f>'الاستثمار'!J5</f>
        <v/>
      </c>
      <c r="E46" s="13">
        <f>'الاستثمار'!K5</f>
        <v/>
      </c>
      <c r="F46" s="15">
        <f>'الاستثمار'!L5</f>
        <v/>
      </c>
      <c r="G46" s="50">
        <f>'الاستثمار'!N5</f>
        <v/>
      </c>
      <c r="H46" s="15">
        <f>'الاستثمار'!O5</f>
        <v/>
      </c>
      <c r="I46" s="24">
        <f>'الاستثمار'!G5</f>
        <v/>
      </c>
      <c r="J46" s="15">
        <f>IF($G46="",0,$G46*$I46)</f>
        <v/>
      </c>
      <c r="K46" s="15">
        <f>IF($G46="",0,$I46)</f>
        <v/>
      </c>
    </row>
    <row r="47">
      <c r="A47" s="15" t="n">
        <v>46</v>
      </c>
      <c r="B47" s="13" t="inlineStr">
        <is>
          <t>الاستثمار</t>
        </is>
      </c>
      <c r="C47" s="13">
        <f>'الاستثمار'!C6</f>
        <v/>
      </c>
      <c r="D47" s="15">
        <f>'الاستثمار'!J6</f>
        <v/>
      </c>
      <c r="E47" s="13">
        <f>'الاستثمار'!K6</f>
        <v/>
      </c>
      <c r="F47" s="15">
        <f>'الاستثمار'!L6</f>
        <v/>
      </c>
      <c r="G47" s="50">
        <f>'الاستثمار'!N6</f>
        <v/>
      </c>
      <c r="H47" s="15">
        <f>'الاستثمار'!O6</f>
        <v/>
      </c>
      <c r="I47" s="24">
        <f>'الاستثمار'!G6</f>
        <v/>
      </c>
      <c r="J47" s="15">
        <f>IF($G47="",0,$G47*$I47)</f>
        <v/>
      </c>
      <c r="K47" s="15">
        <f>IF($G47="",0,$I47)</f>
        <v/>
      </c>
    </row>
    <row r="48">
      <c r="A48" s="15" t="n">
        <v>47</v>
      </c>
      <c r="B48" s="13" t="inlineStr">
        <is>
          <t>الاستثمار</t>
        </is>
      </c>
      <c r="C48" s="13">
        <f>'الاستثمار'!C7</f>
        <v/>
      </c>
      <c r="D48" s="15">
        <f>'الاستثمار'!J7</f>
        <v/>
      </c>
      <c r="E48" s="13">
        <f>'الاستثمار'!K7</f>
        <v/>
      </c>
      <c r="F48" s="15">
        <f>'الاستثمار'!L7</f>
        <v/>
      </c>
      <c r="G48" s="50">
        <f>'الاستثمار'!N7</f>
        <v/>
      </c>
      <c r="H48" s="15">
        <f>'الاستثمار'!O7</f>
        <v/>
      </c>
      <c r="I48" s="24">
        <f>'الاستثمار'!G7</f>
        <v/>
      </c>
      <c r="J48" s="15">
        <f>IF($G48="",0,$G48*$I48)</f>
        <v/>
      </c>
      <c r="K48" s="15">
        <f>IF($G48="",0,$I48)</f>
        <v/>
      </c>
    </row>
    <row r="49">
      <c r="A49" s="15" t="n">
        <v>48</v>
      </c>
      <c r="B49" s="13" t="inlineStr">
        <is>
          <t>الاستثمار</t>
        </is>
      </c>
      <c r="C49" s="13">
        <f>'الاستثمار'!C8</f>
        <v/>
      </c>
      <c r="D49" s="15">
        <f>'الاستثمار'!J8</f>
        <v/>
      </c>
      <c r="E49" s="13">
        <f>'الاستثمار'!K8</f>
        <v/>
      </c>
      <c r="F49" s="15">
        <f>'الاستثمار'!L8</f>
        <v/>
      </c>
      <c r="G49" s="50">
        <f>'الاستثمار'!N8</f>
        <v/>
      </c>
      <c r="H49" s="15">
        <f>'الاستثمار'!O8</f>
        <v/>
      </c>
      <c r="I49" s="24">
        <f>'الاستثمار'!G8</f>
        <v/>
      </c>
      <c r="J49" s="15">
        <f>IF($G49="",0,$G49*$I49)</f>
        <v/>
      </c>
      <c r="K49" s="15">
        <f>IF($G49="",0,$I49)</f>
        <v/>
      </c>
    </row>
    <row r="50">
      <c r="A50" s="15" t="n">
        <v>49</v>
      </c>
      <c r="B50" s="13" t="inlineStr">
        <is>
          <t>العقار</t>
        </is>
      </c>
      <c r="C50" s="13">
        <f>'العقار'!C4</f>
        <v/>
      </c>
      <c r="D50" s="15">
        <f>'العقار'!J4</f>
        <v/>
      </c>
      <c r="E50" s="13">
        <f>'العقار'!K4</f>
        <v/>
      </c>
      <c r="F50" s="15">
        <f>'العقار'!L4</f>
        <v/>
      </c>
      <c r="G50" s="50">
        <f>'العقار'!N4</f>
        <v/>
      </c>
      <c r="H50" s="15">
        <f>'العقار'!O4</f>
        <v/>
      </c>
      <c r="I50" s="24">
        <f>'العقار'!G4</f>
        <v/>
      </c>
      <c r="J50" s="15">
        <f>IF($G50="",0,$G50*$I50)</f>
        <v/>
      </c>
      <c r="K50" s="15">
        <f>IF($G50="",0,$I50)</f>
        <v/>
      </c>
    </row>
    <row r="51">
      <c r="A51" s="15" t="n">
        <v>50</v>
      </c>
      <c r="B51" s="13" t="inlineStr">
        <is>
          <t>العقار</t>
        </is>
      </c>
      <c r="C51" s="13">
        <f>'العقار'!C5</f>
        <v/>
      </c>
      <c r="D51" s="15">
        <f>'العقار'!J5</f>
        <v/>
      </c>
      <c r="E51" s="13">
        <f>'العقار'!K5</f>
        <v/>
      </c>
      <c r="F51" s="15">
        <f>'العقار'!L5</f>
        <v/>
      </c>
      <c r="G51" s="50">
        <f>'العقار'!N5</f>
        <v/>
      </c>
      <c r="H51" s="15">
        <f>'العقار'!O5</f>
        <v/>
      </c>
      <c r="I51" s="24">
        <f>'العقار'!G5</f>
        <v/>
      </c>
      <c r="J51" s="15">
        <f>IF($G51="",0,$G51*$I51)</f>
        <v/>
      </c>
      <c r="K51" s="15">
        <f>IF($G51="",0,$I51)</f>
        <v/>
      </c>
    </row>
    <row r="52">
      <c r="A52" s="15" t="n">
        <v>51</v>
      </c>
      <c r="B52" s="13" t="inlineStr">
        <is>
          <t>العقار</t>
        </is>
      </c>
      <c r="C52" s="13">
        <f>'العقار'!C6</f>
        <v/>
      </c>
      <c r="D52" s="15">
        <f>'العقار'!J6</f>
        <v/>
      </c>
      <c r="E52" s="13">
        <f>'العقار'!K6</f>
        <v/>
      </c>
      <c r="F52" s="15">
        <f>'العقار'!L6</f>
        <v/>
      </c>
      <c r="G52" s="50">
        <f>'العقار'!N6</f>
        <v/>
      </c>
      <c r="H52" s="15">
        <f>'العقار'!O6</f>
        <v/>
      </c>
      <c r="I52" s="24">
        <f>'العقار'!G6</f>
        <v/>
      </c>
      <c r="J52" s="15">
        <f>IF($G52="",0,$G52*$I52)</f>
        <v/>
      </c>
      <c r="K52" s="15">
        <f>IF($G52="",0,$I52)</f>
        <v/>
      </c>
    </row>
    <row r="53">
      <c r="A53" s="15" t="n">
        <v>52</v>
      </c>
      <c r="B53" s="13" t="inlineStr">
        <is>
          <t>العقار</t>
        </is>
      </c>
      <c r="C53" s="13">
        <f>'العقار'!C7</f>
        <v/>
      </c>
      <c r="D53" s="15">
        <f>'العقار'!J7</f>
        <v/>
      </c>
      <c r="E53" s="13">
        <f>'العقار'!K7</f>
        <v/>
      </c>
      <c r="F53" s="15">
        <f>'العقار'!L7</f>
        <v/>
      </c>
      <c r="G53" s="50">
        <f>'العقار'!N7</f>
        <v/>
      </c>
      <c r="H53" s="15">
        <f>'العقار'!O7</f>
        <v/>
      </c>
      <c r="I53" s="24">
        <f>'العقار'!G7</f>
        <v/>
      </c>
      <c r="J53" s="15">
        <f>IF($G53="",0,$G53*$I53)</f>
        <v/>
      </c>
      <c r="K53" s="15">
        <f>IF($G53="",0,$I53)</f>
        <v/>
      </c>
    </row>
    <row r="54">
      <c r="A54" s="15" t="n">
        <v>53</v>
      </c>
      <c r="B54" s="13" t="inlineStr">
        <is>
          <t>إدارة المشاريع</t>
        </is>
      </c>
      <c r="C54" s="13">
        <f>'إدارة المشاريع'!C4</f>
        <v/>
      </c>
      <c r="D54" s="15">
        <f>'إدارة المشاريع'!J4</f>
        <v/>
      </c>
      <c r="E54" s="13">
        <f>'إدارة المشاريع'!K4</f>
        <v/>
      </c>
      <c r="F54" s="15">
        <f>'إدارة المشاريع'!L4</f>
        <v/>
      </c>
      <c r="G54" s="50">
        <f>'إدارة المشاريع'!N4</f>
        <v/>
      </c>
      <c r="H54" s="15">
        <f>'إدارة المشاريع'!O4</f>
        <v/>
      </c>
      <c r="I54" s="24">
        <f>'إدارة المشاريع'!G4</f>
        <v/>
      </c>
      <c r="J54" s="15">
        <f>IF($G54="",0,$G54*$I54)</f>
        <v/>
      </c>
      <c r="K54" s="15">
        <f>IF($G54="",0,$I54)</f>
        <v/>
      </c>
    </row>
    <row r="55">
      <c r="A55" s="15" t="n">
        <v>54</v>
      </c>
      <c r="B55" s="13" t="inlineStr">
        <is>
          <t>إدارة المشاريع</t>
        </is>
      </c>
      <c r="C55" s="13">
        <f>'إدارة المشاريع'!C5</f>
        <v/>
      </c>
      <c r="D55" s="15">
        <f>'إدارة المشاريع'!J5</f>
        <v/>
      </c>
      <c r="E55" s="13">
        <f>'إدارة المشاريع'!K5</f>
        <v/>
      </c>
      <c r="F55" s="15">
        <f>'إدارة المشاريع'!L5</f>
        <v/>
      </c>
      <c r="G55" s="50">
        <f>'إدارة المشاريع'!N5</f>
        <v/>
      </c>
      <c r="H55" s="15">
        <f>'إدارة المشاريع'!O5</f>
        <v/>
      </c>
      <c r="I55" s="24">
        <f>'إدارة المشاريع'!G5</f>
        <v/>
      </c>
      <c r="J55" s="15">
        <f>IF($G55="",0,$G55*$I55)</f>
        <v/>
      </c>
      <c r="K55" s="15">
        <f>IF($G55="",0,$I55)</f>
        <v/>
      </c>
    </row>
    <row r="56">
      <c r="A56" s="15" t="n">
        <v>55</v>
      </c>
      <c r="B56" s="13" t="inlineStr">
        <is>
          <t>إدارة المشاريع</t>
        </is>
      </c>
      <c r="C56" s="13">
        <f>'إدارة المشاريع'!C6</f>
        <v/>
      </c>
      <c r="D56" s="15">
        <f>'إدارة المشاريع'!J6</f>
        <v/>
      </c>
      <c r="E56" s="13">
        <f>'إدارة المشاريع'!K6</f>
        <v/>
      </c>
      <c r="F56" s="15">
        <f>'إدارة المشاريع'!L6</f>
        <v/>
      </c>
      <c r="G56" s="50">
        <f>'إدارة المشاريع'!N6</f>
        <v/>
      </c>
      <c r="H56" s="15">
        <f>'إدارة المشاريع'!O6</f>
        <v/>
      </c>
      <c r="I56" s="24">
        <f>'إدارة المشاريع'!G6</f>
        <v/>
      </c>
      <c r="J56" s="15">
        <f>IF($G56="",0,$G56*$I56)</f>
        <v/>
      </c>
      <c r="K56" s="15">
        <f>IF($G56="",0,$I56)</f>
        <v/>
      </c>
    </row>
    <row r="57">
      <c r="A57" s="15" t="n">
        <v>56</v>
      </c>
      <c r="B57" s="13" t="inlineStr">
        <is>
          <t>سلاسل الإمداد</t>
        </is>
      </c>
      <c r="C57" s="13">
        <f>'سلاسل الإمداد'!C4</f>
        <v/>
      </c>
      <c r="D57" s="15">
        <f>'سلاسل الإمداد'!J4</f>
        <v/>
      </c>
      <c r="E57" s="13">
        <f>'سلاسل الإمداد'!K4</f>
        <v/>
      </c>
      <c r="F57" s="15">
        <f>'سلاسل الإمداد'!L4</f>
        <v/>
      </c>
      <c r="G57" s="50">
        <f>'سلاسل الإمداد'!N4</f>
        <v/>
      </c>
      <c r="H57" s="15">
        <f>'سلاسل الإمداد'!O4</f>
        <v/>
      </c>
      <c r="I57" s="24">
        <f>'سلاسل الإمداد'!G4</f>
        <v/>
      </c>
      <c r="J57" s="15">
        <f>IF($G57="",0,$G57*$I57)</f>
        <v/>
      </c>
      <c r="K57" s="15">
        <f>IF($G57="",0,$I57)</f>
        <v/>
      </c>
    </row>
    <row r="58">
      <c r="A58" s="15" t="n">
        <v>57</v>
      </c>
      <c r="B58" s="13" t="inlineStr">
        <is>
          <t>سلاسل الإمداد</t>
        </is>
      </c>
      <c r="C58" s="13">
        <f>'سلاسل الإمداد'!C5</f>
        <v/>
      </c>
      <c r="D58" s="15">
        <f>'سلاسل الإمداد'!J5</f>
        <v/>
      </c>
      <c r="E58" s="13">
        <f>'سلاسل الإمداد'!K5</f>
        <v/>
      </c>
      <c r="F58" s="15">
        <f>'سلاسل الإمداد'!L5</f>
        <v/>
      </c>
      <c r="G58" s="50">
        <f>'سلاسل الإمداد'!N5</f>
        <v/>
      </c>
      <c r="H58" s="15">
        <f>'سلاسل الإمداد'!O5</f>
        <v/>
      </c>
      <c r="I58" s="24">
        <f>'سلاسل الإمداد'!G5</f>
        <v/>
      </c>
      <c r="J58" s="15">
        <f>IF($G58="",0,$G58*$I58)</f>
        <v/>
      </c>
      <c r="K58" s="15">
        <f>IF($G58="",0,$I58)</f>
        <v/>
      </c>
    </row>
    <row r="59">
      <c r="A59" s="15" t="n">
        <v>58</v>
      </c>
      <c r="B59" s="13" t="inlineStr">
        <is>
          <t>سلاسل الإمداد</t>
        </is>
      </c>
      <c r="C59" s="13">
        <f>'سلاسل الإمداد'!C6</f>
        <v/>
      </c>
      <c r="D59" s="15">
        <f>'سلاسل الإمداد'!J6</f>
        <v/>
      </c>
      <c r="E59" s="13">
        <f>'سلاسل الإمداد'!K6</f>
        <v/>
      </c>
      <c r="F59" s="15">
        <f>'سلاسل الإمداد'!L6</f>
        <v/>
      </c>
      <c r="G59" s="50">
        <f>'سلاسل الإمداد'!N6</f>
        <v/>
      </c>
      <c r="H59" s="15">
        <f>'سلاسل الإمداد'!O6</f>
        <v/>
      </c>
      <c r="I59" s="24">
        <f>'سلاسل الإمداد'!G6</f>
        <v/>
      </c>
      <c r="J59" s="15">
        <f>IF($G59="",0,$G59*$I59)</f>
        <v/>
      </c>
      <c r="K59" s="15">
        <f>IF($G59="",0,$I59)</f>
        <v/>
      </c>
    </row>
    <row r="60">
      <c r="A60" s="15" t="n">
        <v>59</v>
      </c>
      <c r="B60" s="13" t="inlineStr">
        <is>
          <t>سلاسل الإمداد</t>
        </is>
      </c>
      <c r="C60" s="13">
        <f>'سلاسل الإمداد'!C7</f>
        <v/>
      </c>
      <c r="D60" s="15">
        <f>'سلاسل الإمداد'!J7</f>
        <v/>
      </c>
      <c r="E60" s="13">
        <f>'سلاسل الإمداد'!K7</f>
        <v/>
      </c>
      <c r="F60" s="15">
        <f>'سلاسل الإمداد'!L7</f>
        <v/>
      </c>
      <c r="G60" s="50">
        <f>'سلاسل الإمداد'!N7</f>
        <v/>
      </c>
      <c r="H60" s="15">
        <f>'سلاسل الإمداد'!O7</f>
        <v/>
      </c>
      <c r="I60" s="24">
        <f>'سلاسل الإمداد'!G7</f>
        <v/>
      </c>
      <c r="J60" s="15">
        <f>IF($G60="",0,$G60*$I60)</f>
        <v/>
      </c>
      <c r="K60" s="15">
        <f>IF($G60="",0,$I60)</f>
        <v/>
      </c>
    </row>
    <row r="61">
      <c r="A61" s="15" t="n">
        <v>60</v>
      </c>
      <c r="B61" s="13" t="inlineStr">
        <is>
          <t>الصيانة والأتمتة</t>
        </is>
      </c>
      <c r="C61" s="13">
        <f>'الصيانة والأتمتة'!C4</f>
        <v/>
      </c>
      <c r="D61" s="15">
        <f>'الصيانة والأتمتة'!J4</f>
        <v/>
      </c>
      <c r="E61" s="13">
        <f>'الصيانة والأتمتة'!K4</f>
        <v/>
      </c>
      <c r="F61" s="15">
        <f>'الصيانة والأتمتة'!L4</f>
        <v/>
      </c>
      <c r="G61" s="50">
        <f>'الصيانة والأتمتة'!N4</f>
        <v/>
      </c>
      <c r="H61" s="15">
        <f>'الصيانة والأتمتة'!O4</f>
        <v/>
      </c>
      <c r="I61" s="24">
        <f>'الصيانة والأتمتة'!G4</f>
        <v/>
      </c>
      <c r="J61" s="15">
        <f>IF($G61="",0,$G61*$I61)</f>
        <v/>
      </c>
      <c r="K61" s="15">
        <f>IF($G61="",0,$I61)</f>
        <v/>
      </c>
    </row>
    <row r="62">
      <c r="A62" s="15" t="n">
        <v>61</v>
      </c>
      <c r="B62" s="13" t="inlineStr">
        <is>
          <t>الصيانة والأتمتة</t>
        </is>
      </c>
      <c r="C62" s="13">
        <f>'الصيانة والأتمتة'!C5</f>
        <v/>
      </c>
      <c r="D62" s="15">
        <f>'الصيانة والأتمتة'!J5</f>
        <v/>
      </c>
      <c r="E62" s="13">
        <f>'الصيانة والأتمتة'!K5</f>
        <v/>
      </c>
      <c r="F62" s="15">
        <f>'الصيانة والأتمتة'!L5</f>
        <v/>
      </c>
      <c r="G62" s="50">
        <f>'الصيانة والأتمتة'!N5</f>
        <v/>
      </c>
      <c r="H62" s="15">
        <f>'الصيانة والأتمتة'!O5</f>
        <v/>
      </c>
      <c r="I62" s="24">
        <f>'الصيانة والأتمتة'!G5</f>
        <v/>
      </c>
      <c r="J62" s="15">
        <f>IF($G62="",0,$G62*$I62)</f>
        <v/>
      </c>
      <c r="K62" s="15">
        <f>IF($G62="",0,$I62)</f>
        <v/>
      </c>
    </row>
    <row r="63">
      <c r="A63" s="15" t="n">
        <v>62</v>
      </c>
      <c r="B63" s="13" t="inlineStr">
        <is>
          <t>التقنية الرقمية</t>
        </is>
      </c>
      <c r="C63" s="13">
        <f>'التقنية الرقمية'!C4</f>
        <v/>
      </c>
      <c r="D63" s="15">
        <f>'التقنية الرقمية'!J4</f>
        <v/>
      </c>
      <c r="E63" s="13">
        <f>'التقنية الرقمية'!K4</f>
        <v/>
      </c>
      <c r="F63" s="15">
        <f>'التقنية الرقمية'!L4</f>
        <v/>
      </c>
      <c r="G63" s="50">
        <f>'التقنية الرقمية'!N4</f>
        <v/>
      </c>
      <c r="H63" s="15">
        <f>'التقنية الرقمية'!O4</f>
        <v/>
      </c>
      <c r="I63" s="24">
        <f>'التقنية الرقمية'!G4</f>
        <v/>
      </c>
      <c r="J63" s="15">
        <f>IF($G63="",0,$G63*$I63)</f>
        <v/>
      </c>
      <c r="K63" s="15">
        <f>IF($G63="",0,$I63)</f>
        <v/>
      </c>
    </row>
    <row r="64">
      <c r="A64" s="15" t="n">
        <v>63</v>
      </c>
      <c r="B64" s="13" t="inlineStr">
        <is>
          <t>التقنية الرقمية</t>
        </is>
      </c>
      <c r="C64" s="13">
        <f>'التقنية الرقمية'!C5</f>
        <v/>
      </c>
      <c r="D64" s="15">
        <f>'التقنية الرقمية'!J5</f>
        <v/>
      </c>
      <c r="E64" s="13">
        <f>'التقنية الرقمية'!K5</f>
        <v/>
      </c>
      <c r="F64" s="15">
        <f>'التقنية الرقمية'!L5</f>
        <v/>
      </c>
      <c r="G64" s="50">
        <f>'التقنية الرقمية'!N5</f>
        <v/>
      </c>
      <c r="H64" s="15">
        <f>'التقنية الرقمية'!O5</f>
        <v/>
      </c>
      <c r="I64" s="24">
        <f>'التقنية الرقمية'!G5</f>
        <v/>
      </c>
      <c r="J64" s="15">
        <f>IF($G64="",0,$G64*$I64)</f>
        <v/>
      </c>
      <c r="K64" s="15">
        <f>IF($G64="",0,$I64)</f>
        <v/>
      </c>
    </row>
    <row r="65">
      <c r="A65" s="15" t="n">
        <v>64</v>
      </c>
      <c r="B65" s="13" t="inlineStr">
        <is>
          <t>الموارد البشرية</t>
        </is>
      </c>
      <c r="C65" s="13">
        <f>'الموارد البشرية'!C4</f>
        <v/>
      </c>
      <c r="D65" s="15">
        <f>'الموارد البشرية'!J4</f>
        <v/>
      </c>
      <c r="E65" s="13">
        <f>'الموارد البشرية'!K4</f>
        <v/>
      </c>
      <c r="F65" s="15">
        <f>'الموارد البشرية'!L4</f>
        <v/>
      </c>
      <c r="G65" s="50">
        <f>'الموارد البشرية'!N4</f>
        <v/>
      </c>
      <c r="H65" s="15">
        <f>'الموارد البشرية'!O4</f>
        <v/>
      </c>
      <c r="I65" s="24">
        <f>'الموارد البشرية'!G4</f>
        <v/>
      </c>
      <c r="J65" s="15">
        <f>IF($G65="",0,$G65*$I65)</f>
        <v/>
      </c>
      <c r="K65" s="15">
        <f>IF($G65="",0,$I65)</f>
        <v/>
      </c>
    </row>
    <row r="66">
      <c r="A66" s="15" t="n">
        <v>65</v>
      </c>
      <c r="B66" s="13" t="inlineStr">
        <is>
          <t>الموارد البشرية</t>
        </is>
      </c>
      <c r="C66" s="13">
        <f>'الموارد البشرية'!C5</f>
        <v/>
      </c>
      <c r="D66" s="15">
        <f>'الموارد البشرية'!J5</f>
        <v/>
      </c>
      <c r="E66" s="13">
        <f>'الموارد البشرية'!K5</f>
        <v/>
      </c>
      <c r="F66" s="15">
        <f>'الموارد البشرية'!L5</f>
        <v/>
      </c>
      <c r="G66" s="50">
        <f>'الموارد البشرية'!N5</f>
        <v/>
      </c>
      <c r="H66" s="15">
        <f>'الموارد البشرية'!O5</f>
        <v/>
      </c>
      <c r="I66" s="24">
        <f>'الموارد البشرية'!G5</f>
        <v/>
      </c>
      <c r="J66" s="15">
        <f>IF($G66="",0,$G66*$I66)</f>
        <v/>
      </c>
      <c r="K66" s="15">
        <f>IF($G66="",0,$I66)</f>
        <v/>
      </c>
    </row>
    <row r="67">
      <c r="A67" s="15" t="n">
        <v>66</v>
      </c>
      <c r="B67" s="13" t="inlineStr">
        <is>
          <t>الموارد البشرية</t>
        </is>
      </c>
      <c r="C67" s="13">
        <f>'الموارد البشرية'!C6</f>
        <v/>
      </c>
      <c r="D67" s="15">
        <f>'الموارد البشرية'!J6</f>
        <v/>
      </c>
      <c r="E67" s="13">
        <f>'الموارد البشرية'!K6</f>
        <v/>
      </c>
      <c r="F67" s="15">
        <f>'الموارد البشرية'!L6</f>
        <v/>
      </c>
      <c r="G67" s="50">
        <f>'الموارد البشرية'!N6</f>
        <v/>
      </c>
      <c r="H67" s="15">
        <f>'الموارد البشرية'!O6</f>
        <v/>
      </c>
      <c r="I67" s="24">
        <f>'الموارد البشرية'!G6</f>
        <v/>
      </c>
      <c r="J67" s="15">
        <f>IF($G67="",0,$G67*$I67)</f>
        <v/>
      </c>
      <c r="K67" s="15">
        <f>IF($G67="",0,$I67)</f>
        <v/>
      </c>
    </row>
    <row r="68">
      <c r="A68" s="15" t="n">
        <v>67</v>
      </c>
      <c r="B68" s="13" t="inlineStr">
        <is>
          <t>الموارد البشرية</t>
        </is>
      </c>
      <c r="C68" s="13">
        <f>'الموارد البشرية'!C7</f>
        <v/>
      </c>
      <c r="D68" s="15">
        <f>'الموارد البشرية'!J7</f>
        <v/>
      </c>
      <c r="E68" s="13">
        <f>'الموارد البشرية'!K7</f>
        <v/>
      </c>
      <c r="F68" s="15">
        <f>'الموارد البشرية'!L7</f>
        <v/>
      </c>
      <c r="G68" s="50">
        <f>'الموارد البشرية'!N7</f>
        <v/>
      </c>
      <c r="H68" s="15">
        <f>'الموارد البشرية'!O7</f>
        <v/>
      </c>
      <c r="I68" s="24">
        <f>'الموارد البشرية'!G7</f>
        <v/>
      </c>
      <c r="J68" s="15">
        <f>IF($G68="",0,$G68*$I68)</f>
        <v/>
      </c>
      <c r="K68" s="15">
        <f>IF($G68="",0,$I68)</f>
        <v/>
      </c>
    </row>
    <row r="69">
      <c r="A69" s="15" t="n">
        <v>68</v>
      </c>
      <c r="B69" s="13" t="inlineStr">
        <is>
          <t>الموارد البشرية</t>
        </is>
      </c>
      <c r="C69" s="13">
        <f>'الموارد البشرية'!C8</f>
        <v/>
      </c>
      <c r="D69" s="15">
        <f>'الموارد البشرية'!J8</f>
        <v/>
      </c>
      <c r="E69" s="13">
        <f>'الموارد البشرية'!K8</f>
        <v/>
      </c>
      <c r="F69" s="15">
        <f>'الموارد البشرية'!L8</f>
        <v/>
      </c>
      <c r="G69" s="50">
        <f>'الموارد البشرية'!N8</f>
        <v/>
      </c>
      <c r="H69" s="15">
        <f>'الموارد البشرية'!O8</f>
        <v/>
      </c>
      <c r="I69" s="24">
        <f>'الموارد البشرية'!G8</f>
        <v/>
      </c>
      <c r="J69" s="15">
        <f>IF($G69="",0,$G69*$I69)</f>
        <v/>
      </c>
      <c r="K69" s="15">
        <f>IF($G69="",0,$I69)</f>
        <v/>
      </c>
    </row>
    <row r="70">
      <c r="A70" s="15" t="n">
        <v>69</v>
      </c>
      <c r="B70" s="13" t="inlineStr">
        <is>
          <t>التسويق</t>
        </is>
      </c>
      <c r="C70" s="13">
        <f>'التسويق'!C4</f>
        <v/>
      </c>
      <c r="D70" s="15">
        <f>'التسويق'!J4</f>
        <v/>
      </c>
      <c r="E70" s="13">
        <f>'التسويق'!K4</f>
        <v/>
      </c>
      <c r="F70" s="15">
        <f>'التسويق'!L4</f>
        <v/>
      </c>
      <c r="G70" s="50">
        <f>'التسويق'!N4</f>
        <v/>
      </c>
      <c r="H70" s="15">
        <f>'التسويق'!O4</f>
        <v/>
      </c>
      <c r="I70" s="24">
        <f>'التسويق'!G4</f>
        <v/>
      </c>
      <c r="J70" s="15">
        <f>IF($G70="",0,$G70*$I70)</f>
        <v/>
      </c>
      <c r="K70" s="15">
        <f>IF($G70="",0,$I70)</f>
        <v/>
      </c>
    </row>
    <row r="71">
      <c r="A71" s="15" t="n">
        <v>70</v>
      </c>
      <c r="B71" s="13" t="inlineStr">
        <is>
          <t>التسويق</t>
        </is>
      </c>
      <c r="C71" s="13">
        <f>'التسويق'!C5</f>
        <v/>
      </c>
      <c r="D71" s="15">
        <f>'التسويق'!J5</f>
        <v/>
      </c>
      <c r="E71" s="13">
        <f>'التسويق'!K5</f>
        <v/>
      </c>
      <c r="F71" s="15">
        <f>'التسويق'!L5</f>
        <v/>
      </c>
      <c r="G71" s="50">
        <f>'التسويق'!N5</f>
        <v/>
      </c>
      <c r="H71" s="15">
        <f>'التسويق'!O5</f>
        <v/>
      </c>
      <c r="I71" s="24">
        <f>'التسويق'!G5</f>
        <v/>
      </c>
      <c r="J71" s="15">
        <f>IF($G71="",0,$G71*$I71)</f>
        <v/>
      </c>
      <c r="K71" s="15">
        <f>IF($G71="",0,$I71)</f>
        <v/>
      </c>
    </row>
    <row r="72">
      <c r="A72" s="15" t="n">
        <v>71</v>
      </c>
      <c r="B72" s="13" t="inlineStr">
        <is>
          <t>التسويق</t>
        </is>
      </c>
      <c r="C72" s="13">
        <f>'التسويق'!C6</f>
        <v/>
      </c>
      <c r="D72" s="15">
        <f>'التسويق'!J6</f>
        <v/>
      </c>
      <c r="E72" s="13">
        <f>'التسويق'!K6</f>
        <v/>
      </c>
      <c r="F72" s="15">
        <f>'التسويق'!L6</f>
        <v/>
      </c>
      <c r="G72" s="50">
        <f>'التسويق'!N6</f>
        <v/>
      </c>
      <c r="H72" s="15">
        <f>'التسويق'!O6</f>
        <v/>
      </c>
      <c r="I72" s="24">
        <f>'التسويق'!G6</f>
        <v/>
      </c>
      <c r="J72" s="15">
        <f>IF($G72="",0,$G72*$I72)</f>
        <v/>
      </c>
      <c r="K72" s="15">
        <f>IF($G72="",0,$I72)</f>
        <v/>
      </c>
    </row>
    <row r="73">
      <c r="A73" s="15" t="n">
        <v>72</v>
      </c>
      <c r="B73" s="13" t="inlineStr">
        <is>
          <t>التسويق</t>
        </is>
      </c>
      <c r="C73" s="13">
        <f>'التسويق'!C7</f>
        <v/>
      </c>
      <c r="D73" s="15">
        <f>'التسويق'!J7</f>
        <v/>
      </c>
      <c r="E73" s="13">
        <f>'التسويق'!K7</f>
        <v/>
      </c>
      <c r="F73" s="15">
        <f>'التسويق'!L7</f>
        <v/>
      </c>
      <c r="G73" s="50">
        <f>'التسويق'!N7</f>
        <v/>
      </c>
      <c r="H73" s="15">
        <f>'التسويق'!O7</f>
        <v/>
      </c>
      <c r="I73" s="24">
        <f>'التسويق'!G7</f>
        <v/>
      </c>
      <c r="J73" s="15">
        <f>IF($G73="",0,$G73*$I73)</f>
        <v/>
      </c>
      <c r="K73" s="15">
        <f>IF($G73="",0,$I73)</f>
        <v/>
      </c>
    </row>
    <row r="74">
      <c r="A74" s="15" t="n">
        <v>73</v>
      </c>
      <c r="B74" s="13" t="inlineStr">
        <is>
          <t>التسويق</t>
        </is>
      </c>
      <c r="C74" s="13">
        <f>'التسويق'!C8</f>
        <v/>
      </c>
      <c r="D74" s="15">
        <f>'التسويق'!J8</f>
        <v/>
      </c>
      <c r="E74" s="13">
        <f>'التسويق'!K8</f>
        <v/>
      </c>
      <c r="F74" s="15">
        <f>'التسويق'!L8</f>
        <v/>
      </c>
      <c r="G74" s="50">
        <f>'التسويق'!N8</f>
        <v/>
      </c>
      <c r="H74" s="15">
        <f>'التسويق'!O8</f>
        <v/>
      </c>
      <c r="I74" s="24">
        <f>'التسويق'!G8</f>
        <v/>
      </c>
      <c r="J74" s="15">
        <f>IF($G74="",0,$G74*$I74)</f>
        <v/>
      </c>
      <c r="K74" s="15">
        <f>IF($G74="",0,$I74)</f>
        <v/>
      </c>
    </row>
    <row r="75">
      <c r="A75" s="15" t="n">
        <v>74</v>
      </c>
      <c r="B75" s="13" t="inlineStr">
        <is>
          <t>الجودة</t>
        </is>
      </c>
      <c r="C75" s="13">
        <f>'الجودة'!C4</f>
        <v/>
      </c>
      <c r="D75" s="15">
        <f>'الجودة'!J4</f>
        <v/>
      </c>
      <c r="E75" s="13">
        <f>'الجودة'!K4</f>
        <v/>
      </c>
      <c r="F75" s="15">
        <f>'الجودة'!L4</f>
        <v/>
      </c>
      <c r="G75" s="50">
        <f>'الجودة'!N4</f>
        <v/>
      </c>
      <c r="H75" s="15">
        <f>'الجودة'!O4</f>
        <v/>
      </c>
      <c r="I75" s="24">
        <f>'الجودة'!G4</f>
        <v/>
      </c>
      <c r="J75" s="15">
        <f>IF($G75="",0,$G75*$I75)</f>
        <v/>
      </c>
      <c r="K75" s="15">
        <f>IF($G75="",0,$I75)</f>
        <v/>
      </c>
    </row>
    <row r="76">
      <c r="A76" s="15" t="n">
        <v>75</v>
      </c>
      <c r="B76" s="13" t="inlineStr">
        <is>
          <t>الجودة</t>
        </is>
      </c>
      <c r="C76" s="13">
        <f>'الجودة'!C5</f>
        <v/>
      </c>
      <c r="D76" s="15">
        <f>'الجودة'!J5</f>
        <v/>
      </c>
      <c r="E76" s="13">
        <f>'الجودة'!K5</f>
        <v/>
      </c>
      <c r="F76" s="15">
        <f>'الجودة'!L5</f>
        <v/>
      </c>
      <c r="G76" s="50">
        <f>'الجودة'!N5</f>
        <v/>
      </c>
      <c r="H76" s="15">
        <f>'الجودة'!O5</f>
        <v/>
      </c>
      <c r="I76" s="24">
        <f>'الجودة'!G5</f>
        <v/>
      </c>
      <c r="J76" s="15">
        <f>IF($G76="",0,$G76*$I76)</f>
        <v/>
      </c>
      <c r="K76" s="15">
        <f>IF($G76="",0,$I76)</f>
        <v/>
      </c>
    </row>
    <row r="77">
      <c r="A77" s="15" t="n">
        <v>76</v>
      </c>
      <c r="B77" s="13" t="inlineStr">
        <is>
          <t>الجودة</t>
        </is>
      </c>
      <c r="C77" s="13">
        <f>'الجودة'!C6</f>
        <v/>
      </c>
      <c r="D77" s="15">
        <f>'الجودة'!J6</f>
        <v/>
      </c>
      <c r="E77" s="13">
        <f>'الجودة'!K6</f>
        <v/>
      </c>
      <c r="F77" s="15">
        <f>'الجودة'!L6</f>
        <v/>
      </c>
      <c r="G77" s="50">
        <f>'الجودة'!N6</f>
        <v/>
      </c>
      <c r="H77" s="15">
        <f>'الجودة'!O6</f>
        <v/>
      </c>
      <c r="I77" s="24">
        <f>'الجودة'!G6</f>
        <v/>
      </c>
      <c r="J77" s="15">
        <f>IF($G77="",0,$G77*$I77)</f>
        <v/>
      </c>
      <c r="K77" s="15">
        <f>IF($G77="",0,$I77)</f>
        <v/>
      </c>
    </row>
    <row r="78">
      <c r="A78" s="15" t="n">
        <v>77</v>
      </c>
      <c r="B78" s="13" t="inlineStr">
        <is>
          <t>الجودة</t>
        </is>
      </c>
      <c r="C78" s="13">
        <f>'الجودة'!C7</f>
        <v/>
      </c>
      <c r="D78" s="15">
        <f>'الجودة'!J7</f>
        <v/>
      </c>
      <c r="E78" s="13">
        <f>'الجودة'!K7</f>
        <v/>
      </c>
      <c r="F78" s="15">
        <f>'الجودة'!L7</f>
        <v/>
      </c>
      <c r="G78" s="50">
        <f>'الجودة'!N7</f>
        <v/>
      </c>
      <c r="H78" s="15">
        <f>'الجودة'!O7</f>
        <v/>
      </c>
      <c r="I78" s="24">
        <f>'الجودة'!G7</f>
        <v/>
      </c>
      <c r="J78" s="15">
        <f>IF($G78="",0,$G78*$I78)</f>
        <v/>
      </c>
      <c r="K78" s="15">
        <f>IF($G78="",0,$I78)</f>
        <v/>
      </c>
    </row>
    <row r="79">
      <c r="A79" s="15" t="n">
        <v>78</v>
      </c>
      <c r="B79" s="13" t="inlineStr">
        <is>
          <t>الجودة</t>
        </is>
      </c>
      <c r="C79" s="13">
        <f>'الجودة'!C8</f>
        <v/>
      </c>
      <c r="D79" s="15">
        <f>'الجودة'!J8</f>
        <v/>
      </c>
      <c r="E79" s="13">
        <f>'الجودة'!K8</f>
        <v/>
      </c>
      <c r="F79" s="15">
        <f>'الجودة'!L8</f>
        <v/>
      </c>
      <c r="G79" s="50">
        <f>'الجودة'!N8</f>
        <v/>
      </c>
      <c r="H79" s="15">
        <f>'الجودة'!O8</f>
        <v/>
      </c>
      <c r="I79" s="24">
        <f>'الجودة'!G8</f>
        <v/>
      </c>
      <c r="J79" s="15">
        <f>IF($G79="",0,$G79*$I79)</f>
        <v/>
      </c>
      <c r="K79" s="15">
        <f>IF($G79="",0,$I79)</f>
        <v/>
      </c>
    </row>
    <row r="80">
      <c r="A80" s="15" t="n">
        <v>79</v>
      </c>
      <c r="B80" s="13" t="inlineStr">
        <is>
          <t>الجودة</t>
        </is>
      </c>
      <c r="C80" s="13">
        <f>'الجودة'!C9</f>
        <v/>
      </c>
      <c r="D80" s="15">
        <f>'الجودة'!J9</f>
        <v/>
      </c>
      <c r="E80" s="13">
        <f>'الجودة'!K9</f>
        <v/>
      </c>
      <c r="F80" s="15">
        <f>'الجودة'!L9</f>
        <v/>
      </c>
      <c r="G80" s="50">
        <f>'الجودة'!N9</f>
        <v/>
      </c>
      <c r="H80" s="15">
        <f>'الجودة'!O9</f>
        <v/>
      </c>
      <c r="I80" s="24">
        <f>'الجودة'!G9</f>
        <v/>
      </c>
      <c r="J80" s="15">
        <f>IF($G80="",0,$G80*$I80)</f>
        <v/>
      </c>
      <c r="K80" s="15">
        <f>IF($G80="",0,$I80)</f>
        <v/>
      </c>
    </row>
    <row r="81">
      <c r="A81" s="15" t="n">
        <v>80</v>
      </c>
      <c r="B81" s="13" t="inlineStr">
        <is>
          <t>الجودة</t>
        </is>
      </c>
      <c r="C81" s="13">
        <f>'الجودة'!C10</f>
        <v/>
      </c>
      <c r="D81" s="15">
        <f>'الجودة'!J10</f>
        <v/>
      </c>
      <c r="E81" s="13">
        <f>'الجودة'!K10</f>
        <v/>
      </c>
      <c r="F81" s="15">
        <f>'الجودة'!L10</f>
        <v/>
      </c>
      <c r="G81" s="50">
        <f>'الجودة'!N10</f>
        <v/>
      </c>
      <c r="H81" s="15">
        <f>'الجودة'!O10</f>
        <v/>
      </c>
      <c r="I81" s="24">
        <f>'الجودة'!G10</f>
        <v/>
      </c>
      <c r="J81" s="15">
        <f>IF($G81="",0,$G81*$I81)</f>
        <v/>
      </c>
      <c r="K81" s="15">
        <f>IF($G81="",0,$I81)</f>
        <v/>
      </c>
    </row>
    <row r="82">
      <c r="A82" s="15" t="n">
        <v>81</v>
      </c>
      <c r="B82" s="13" t="inlineStr">
        <is>
          <t>الجودة</t>
        </is>
      </c>
      <c r="C82" s="13">
        <f>'الجودة'!C11</f>
        <v/>
      </c>
      <c r="D82" s="15">
        <f>'الجودة'!J11</f>
        <v/>
      </c>
      <c r="E82" s="13">
        <f>'الجودة'!K11</f>
        <v/>
      </c>
      <c r="F82" s="15">
        <f>'الجودة'!L11</f>
        <v/>
      </c>
      <c r="G82" s="50">
        <f>'الجودة'!N11</f>
        <v/>
      </c>
      <c r="H82" s="15">
        <f>'الجودة'!O11</f>
        <v/>
      </c>
      <c r="I82" s="24">
        <f>'الجودة'!G11</f>
        <v/>
      </c>
      <c r="J82" s="15">
        <f>IF($G82="",0,$G82*$I82)</f>
        <v/>
      </c>
      <c r="K82" s="15">
        <f>IF($G82="",0,$I82)</f>
        <v/>
      </c>
    </row>
    <row r="83">
      <c r="A83" s="15" t="n">
        <v>82</v>
      </c>
      <c r="B83" s="13" t="inlineStr">
        <is>
          <t>الجودة</t>
        </is>
      </c>
      <c r="C83" s="13">
        <f>'الجودة'!C12</f>
        <v/>
      </c>
      <c r="D83" s="15">
        <f>'الجودة'!J12</f>
        <v/>
      </c>
      <c r="E83" s="13">
        <f>'الجودة'!K12</f>
        <v/>
      </c>
      <c r="F83" s="15">
        <f>'الجودة'!L12</f>
        <v/>
      </c>
      <c r="G83" s="50">
        <f>'الجودة'!N12</f>
        <v/>
      </c>
      <c r="H83" s="15">
        <f>'الجودة'!O12</f>
        <v/>
      </c>
      <c r="I83" s="24">
        <f>'الجودة'!G12</f>
        <v/>
      </c>
      <c r="J83" s="15">
        <f>IF($G83="",0,$G83*$I83)</f>
        <v/>
      </c>
      <c r="K83" s="15">
        <f>IF($G83="",0,$I83)</f>
        <v/>
      </c>
    </row>
    <row r="84">
      <c r="A84" s="15" t="n">
        <v>83</v>
      </c>
      <c r="B84" s="13" t="inlineStr">
        <is>
          <t>الجودة</t>
        </is>
      </c>
      <c r="C84" s="13">
        <f>'الجودة'!C13</f>
        <v/>
      </c>
      <c r="D84" s="15">
        <f>'الجودة'!J13</f>
        <v/>
      </c>
      <c r="E84" s="13">
        <f>'الجودة'!K13</f>
        <v/>
      </c>
      <c r="F84" s="15">
        <f>'الجودة'!L13</f>
        <v/>
      </c>
      <c r="G84" s="50">
        <f>'الجودة'!N13</f>
        <v/>
      </c>
      <c r="H84" s="15">
        <f>'الجودة'!O13</f>
        <v/>
      </c>
      <c r="I84" s="24">
        <f>'الجودة'!G13</f>
        <v/>
      </c>
      <c r="J84" s="15">
        <f>IF($G84="",0,$G84*$I84)</f>
        <v/>
      </c>
      <c r="K84" s="15">
        <f>IF($G84="",0,$I84)</f>
        <v/>
      </c>
    </row>
    <row r="85">
      <c r="A85" s="15" t="n">
        <v>84</v>
      </c>
      <c r="B85" s="13" t="inlineStr">
        <is>
          <t>الجودة</t>
        </is>
      </c>
      <c r="C85" s="13">
        <f>'الجودة'!C14</f>
        <v/>
      </c>
      <c r="D85" s="15">
        <f>'الجودة'!J14</f>
        <v/>
      </c>
      <c r="E85" s="13">
        <f>'الجودة'!K14</f>
        <v/>
      </c>
      <c r="F85" s="15">
        <f>'الجودة'!L14</f>
        <v/>
      </c>
      <c r="G85" s="50">
        <f>'الجودة'!N14</f>
        <v/>
      </c>
      <c r="H85" s="15">
        <f>'الجودة'!O14</f>
        <v/>
      </c>
      <c r="I85" s="24">
        <f>'الجودة'!G14</f>
        <v/>
      </c>
      <c r="J85" s="15">
        <f>IF($G85="",0,$G85*$I85)</f>
        <v/>
      </c>
      <c r="K85" s="15">
        <f>IF($G85="",0,$I85)</f>
        <v/>
      </c>
    </row>
    <row r="86">
      <c r="A86" s="15" t="n">
        <v>85</v>
      </c>
      <c r="B86" s="13" t="inlineStr">
        <is>
          <t>الجودة</t>
        </is>
      </c>
      <c r="C86" s="13">
        <f>'الجودة'!C15</f>
        <v/>
      </c>
      <c r="D86" s="15">
        <f>'الجودة'!J15</f>
        <v/>
      </c>
      <c r="E86" s="13">
        <f>'الجودة'!K15</f>
        <v/>
      </c>
      <c r="F86" s="15">
        <f>'الجودة'!L15</f>
        <v/>
      </c>
      <c r="G86" s="50">
        <f>'الجودة'!N15</f>
        <v/>
      </c>
      <c r="H86" s="15">
        <f>'الجودة'!O15</f>
        <v/>
      </c>
      <c r="I86" s="24">
        <f>'الجودة'!G15</f>
        <v/>
      </c>
      <c r="J86" s="15">
        <f>IF($G86="",0,$G86*$I86)</f>
        <v/>
      </c>
      <c r="K86" s="15">
        <f>IF($G86="",0,$I86)</f>
        <v/>
      </c>
    </row>
    <row r="87">
      <c r="A87" s="15" t="n">
        <v>86</v>
      </c>
      <c r="B87" s="13" t="inlineStr">
        <is>
          <t>الجودة</t>
        </is>
      </c>
      <c r="C87" s="13">
        <f>'الجودة'!C16</f>
        <v/>
      </c>
      <c r="D87" s="15">
        <f>'الجودة'!J16</f>
        <v/>
      </c>
      <c r="E87" s="13">
        <f>'الجودة'!K16</f>
        <v/>
      </c>
      <c r="F87" s="15">
        <f>'الجودة'!L16</f>
        <v/>
      </c>
      <c r="G87" s="50">
        <f>'الجودة'!N16</f>
        <v/>
      </c>
      <c r="H87" s="15">
        <f>'الجودة'!O16</f>
        <v/>
      </c>
      <c r="I87" s="24">
        <f>'الجودة'!G16</f>
        <v/>
      </c>
      <c r="J87" s="15">
        <f>IF($G87="",0,$G87*$I87)</f>
        <v/>
      </c>
      <c r="K87" s="15">
        <f>IF($G87="",0,$I87)</f>
        <v/>
      </c>
    </row>
    <row r="88">
      <c r="A88" s="15" t="n">
        <v>87</v>
      </c>
      <c r="B88" s="13" t="inlineStr">
        <is>
          <t>الجودة</t>
        </is>
      </c>
      <c r="C88" s="13">
        <f>'الجودة'!C17</f>
        <v/>
      </c>
      <c r="D88" s="15">
        <f>'الجودة'!J17</f>
        <v/>
      </c>
      <c r="E88" s="13">
        <f>'الجودة'!K17</f>
        <v/>
      </c>
      <c r="F88" s="15">
        <f>'الجودة'!L17</f>
        <v/>
      </c>
      <c r="G88" s="50">
        <f>'الجودة'!N17</f>
        <v/>
      </c>
      <c r="H88" s="15">
        <f>'الجودة'!O17</f>
        <v/>
      </c>
      <c r="I88" s="24">
        <f>'الجودة'!G17</f>
        <v/>
      </c>
      <c r="J88" s="15">
        <f>IF($G88="",0,$G88*$I88)</f>
        <v/>
      </c>
      <c r="K88" s="15">
        <f>IF($G88="",0,$I88)</f>
        <v/>
      </c>
    </row>
    <row r="89">
      <c r="A89" s="15" t="n">
        <v>88</v>
      </c>
      <c r="B89" s="13" t="inlineStr">
        <is>
          <t>الجودة</t>
        </is>
      </c>
      <c r="C89" s="13">
        <f>'الجودة'!C18</f>
        <v/>
      </c>
      <c r="D89" s="15">
        <f>'الجودة'!J18</f>
        <v/>
      </c>
      <c r="E89" s="13">
        <f>'الجودة'!K18</f>
        <v/>
      </c>
      <c r="F89" s="15">
        <f>'الجودة'!L18</f>
        <v/>
      </c>
      <c r="G89" s="50">
        <f>'الجودة'!N18</f>
        <v/>
      </c>
      <c r="H89" s="15">
        <f>'الجودة'!O18</f>
        <v/>
      </c>
      <c r="I89" s="24">
        <f>'الجودة'!G18</f>
        <v/>
      </c>
      <c r="J89" s="15">
        <f>IF($G89="",0,$G89*$I89)</f>
        <v/>
      </c>
      <c r="K89" s="15">
        <f>IF($G89="",0,$I89)</f>
        <v/>
      </c>
    </row>
    <row r="90">
      <c r="A90" s="15" t="n">
        <v>89</v>
      </c>
      <c r="B90" s="13" t="inlineStr">
        <is>
          <t>الإدارة القانونية</t>
        </is>
      </c>
      <c r="C90" s="13">
        <f>'الإدارة القانونية'!C4</f>
        <v/>
      </c>
      <c r="D90" s="15">
        <f>'الإدارة القانونية'!J4</f>
        <v/>
      </c>
      <c r="E90" s="13">
        <f>'الإدارة القانونية'!K4</f>
        <v/>
      </c>
      <c r="F90" s="15">
        <f>'الإدارة القانونية'!L4</f>
        <v/>
      </c>
      <c r="G90" s="50">
        <f>'الإدارة القانونية'!N4</f>
        <v/>
      </c>
      <c r="H90" s="15">
        <f>'الإدارة القانونية'!O4</f>
        <v/>
      </c>
      <c r="I90" s="24">
        <f>'الإدارة القانونية'!G4</f>
        <v/>
      </c>
      <c r="J90" s="15">
        <f>IF($G90="",0,$G90*$I90)</f>
        <v/>
      </c>
      <c r="K90" s="15">
        <f>IF($G90="",0,$I90)</f>
        <v/>
      </c>
    </row>
    <row r="91">
      <c r="A91" s="15" t="n">
        <v>90</v>
      </c>
      <c r="B91" s="13" t="inlineStr">
        <is>
          <t>الإدارة القانونية</t>
        </is>
      </c>
      <c r="C91" s="13">
        <f>'الإدارة القانونية'!C5</f>
        <v/>
      </c>
      <c r="D91" s="15">
        <f>'الإدارة القانونية'!J5</f>
        <v/>
      </c>
      <c r="E91" s="13">
        <f>'الإدارة القانونية'!K5</f>
        <v/>
      </c>
      <c r="F91" s="15">
        <f>'الإدارة القانونية'!L5</f>
        <v/>
      </c>
      <c r="G91" s="50">
        <f>'الإدارة القانونية'!N5</f>
        <v/>
      </c>
      <c r="H91" s="15">
        <f>'الإدارة القانونية'!O5</f>
        <v/>
      </c>
      <c r="I91" s="24">
        <f>'الإدارة القانونية'!G5</f>
        <v/>
      </c>
      <c r="J91" s="15">
        <f>IF($G91="",0,$G91*$I91)</f>
        <v/>
      </c>
      <c r="K91" s="15">
        <f>IF($G91="",0,$I91)</f>
        <v/>
      </c>
    </row>
    <row r="92">
      <c r="A92" s="15" t="n">
        <v>91</v>
      </c>
      <c r="B92" s="13" t="inlineStr">
        <is>
          <t>الإدارة القانونية</t>
        </is>
      </c>
      <c r="C92" s="13">
        <f>'الإدارة القانونية'!C6</f>
        <v/>
      </c>
      <c r="D92" s="15">
        <f>'الإدارة القانونية'!J6</f>
        <v/>
      </c>
      <c r="E92" s="13">
        <f>'الإدارة القانونية'!K6</f>
        <v/>
      </c>
      <c r="F92" s="15">
        <f>'الإدارة القانونية'!L6</f>
        <v/>
      </c>
      <c r="G92" s="50">
        <f>'الإدارة القانونية'!N6</f>
        <v/>
      </c>
      <c r="H92" s="15">
        <f>'الإدارة القانونية'!O6</f>
        <v/>
      </c>
      <c r="I92" s="24">
        <f>'الإدارة القانونية'!G6</f>
        <v/>
      </c>
      <c r="J92" s="15">
        <f>IF($G92="",0,$G92*$I92)</f>
        <v/>
      </c>
      <c r="K92" s="15">
        <f>IF($G92="",0,$I92)</f>
        <v/>
      </c>
    </row>
    <row r="93">
      <c r="A93" s="15" t="n">
        <v>92</v>
      </c>
      <c r="B93" s="13" t="inlineStr">
        <is>
          <t>الإدارة المالية</t>
        </is>
      </c>
      <c r="C93" s="13">
        <f>'الإدارة المالية'!C4</f>
        <v/>
      </c>
      <c r="D93" s="15">
        <f>'الإدارة المالية'!J4</f>
        <v/>
      </c>
      <c r="E93" s="13">
        <f>'الإدارة المالية'!K4</f>
        <v/>
      </c>
      <c r="F93" s="15">
        <f>'الإدارة المالية'!L4</f>
        <v/>
      </c>
      <c r="G93" s="50">
        <f>'الإدارة المالية'!N4</f>
        <v/>
      </c>
      <c r="H93" s="15">
        <f>'الإدارة المالية'!O4</f>
        <v/>
      </c>
      <c r="I93" s="24">
        <f>'الإدارة المالية'!G4</f>
        <v/>
      </c>
      <c r="J93" s="15">
        <f>IF($G93="",0,$G93*$I93)</f>
        <v/>
      </c>
      <c r="K93" s="15">
        <f>IF($G93="",0,$I93)</f>
        <v/>
      </c>
    </row>
    <row r="94">
      <c r="A94" s="15" t="n">
        <v>93</v>
      </c>
      <c r="B94" s="13" t="inlineStr">
        <is>
          <t>الإدارة المالية</t>
        </is>
      </c>
      <c r="C94" s="13">
        <f>'الإدارة المالية'!C5</f>
        <v/>
      </c>
      <c r="D94" s="15">
        <f>'الإدارة المالية'!J5</f>
        <v/>
      </c>
      <c r="E94" s="13">
        <f>'الإدارة المالية'!K5</f>
        <v/>
      </c>
      <c r="F94" s="15">
        <f>'الإدارة المالية'!L5</f>
        <v/>
      </c>
      <c r="G94" s="50">
        <f>'الإدارة المالية'!N5</f>
        <v/>
      </c>
      <c r="H94" s="15">
        <f>'الإدارة المالية'!O5</f>
        <v/>
      </c>
      <c r="I94" s="24">
        <f>'الإدارة المالية'!G5</f>
        <v/>
      </c>
      <c r="J94" s="15">
        <f>IF($G94="",0,$G94*$I94)</f>
        <v/>
      </c>
      <c r="K94" s="15">
        <f>IF($G94="",0,$I94)</f>
        <v/>
      </c>
    </row>
    <row r="95">
      <c r="A95" s="15" t="n">
        <v>94</v>
      </c>
      <c r="B95" s="13" t="inlineStr">
        <is>
          <t>الإدارة المالية</t>
        </is>
      </c>
      <c r="C95" s="13">
        <f>'الإدارة المالية'!C6</f>
        <v/>
      </c>
      <c r="D95" s="15">
        <f>'الإدارة المالية'!J6</f>
        <v/>
      </c>
      <c r="E95" s="13">
        <f>'الإدارة المالية'!K6</f>
        <v/>
      </c>
      <c r="F95" s="15">
        <f>'الإدارة المالية'!L6</f>
        <v/>
      </c>
      <c r="G95" s="50">
        <f>'الإدارة المالية'!N6</f>
        <v/>
      </c>
      <c r="H95" s="15">
        <f>'الإدارة المالية'!O6</f>
        <v/>
      </c>
      <c r="I95" s="24">
        <f>'الإدارة المالية'!G6</f>
        <v/>
      </c>
      <c r="J95" s="15">
        <f>IF($G95="",0,$G95*$I95)</f>
        <v/>
      </c>
      <c r="K95" s="15">
        <f>IF($G95="",0,$I95)</f>
        <v/>
      </c>
    </row>
    <row r="96">
      <c r="A96" s="15" t="n">
        <v>95</v>
      </c>
      <c r="B96" s="13" t="inlineStr">
        <is>
          <t>الإدارة المالية</t>
        </is>
      </c>
      <c r="C96" s="13">
        <f>'الإدارة المالية'!C7</f>
        <v/>
      </c>
      <c r="D96" s="15">
        <f>'الإدارة المالية'!J7</f>
        <v/>
      </c>
      <c r="E96" s="13">
        <f>'الإدارة المالية'!K7</f>
        <v/>
      </c>
      <c r="F96" s="15">
        <f>'الإدارة المالية'!L7</f>
        <v/>
      </c>
      <c r="G96" s="50">
        <f>'الإدارة المالية'!N7</f>
        <v/>
      </c>
      <c r="H96" s="15">
        <f>'الإدارة المالية'!O7</f>
        <v/>
      </c>
      <c r="I96" s="24">
        <f>'الإدارة المالية'!G7</f>
        <v/>
      </c>
      <c r="J96" s="15">
        <f>IF($G96="",0,$G96*$I96)</f>
        <v/>
      </c>
      <c r="K96" s="15">
        <f>IF($G96="",0,$I96)</f>
        <v/>
      </c>
    </row>
    <row r="97">
      <c r="A97" s="15" t="n">
        <v>96</v>
      </c>
      <c r="B97" s="13" t="inlineStr">
        <is>
          <t>الإدارة المالية</t>
        </is>
      </c>
      <c r="C97" s="13">
        <f>'الإدارة المالية'!C8</f>
        <v/>
      </c>
      <c r="D97" s="15">
        <f>'الإدارة المالية'!J8</f>
        <v/>
      </c>
      <c r="E97" s="13">
        <f>'الإدارة المالية'!K8</f>
        <v/>
      </c>
      <c r="F97" s="15">
        <f>'الإدارة المالية'!L8</f>
        <v/>
      </c>
      <c r="G97" s="50">
        <f>'الإدارة المالية'!N8</f>
        <v/>
      </c>
      <c r="H97" s="15">
        <f>'الإدارة المالية'!O8</f>
        <v/>
      </c>
      <c r="I97" s="24">
        <f>'الإدارة المالية'!G8</f>
        <v/>
      </c>
      <c r="J97" s="15">
        <f>IF($G97="",0,$G97*$I97)</f>
        <v/>
      </c>
      <c r="K97" s="15">
        <f>IF($G97="",0,$I97)</f>
        <v/>
      </c>
    </row>
    <row r="98">
      <c r="A98" s="15" t="n">
        <v>97</v>
      </c>
      <c r="B98" s="13" t="inlineStr">
        <is>
          <t>الإدارة المالية</t>
        </is>
      </c>
      <c r="C98" s="13">
        <f>'الإدارة المالية'!C9</f>
        <v/>
      </c>
      <c r="D98" s="15">
        <f>'الإدارة المالية'!J9</f>
        <v/>
      </c>
      <c r="E98" s="13">
        <f>'الإدارة المالية'!K9</f>
        <v/>
      </c>
      <c r="F98" s="15">
        <f>'الإدارة المالية'!L9</f>
        <v/>
      </c>
      <c r="G98" s="50">
        <f>'الإدارة المالية'!N9</f>
        <v/>
      </c>
      <c r="H98" s="15">
        <f>'الإدارة المالية'!O9</f>
        <v/>
      </c>
      <c r="I98" s="24">
        <f>'الإدارة المالية'!G9</f>
        <v/>
      </c>
      <c r="J98" s="15">
        <f>IF($G98="",0,$G98*$I98)</f>
        <v/>
      </c>
      <c r="K98" s="15">
        <f>IF($G98="",0,$I98)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2026-07-28T08:02:30Z</dcterms:created>
  <dcterms:modified xmlns:dcterms="http://purl.org/dc/terms/" xmlns:xsi="http://www.w3.org/2001/XMLSchema-instance" xsi:type="dcterms:W3CDTF">2026-07-28T08:02:31Z</dcterms:modified>
</cp:coreProperties>
</file>