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الانحراف'!$A$2:$M$54</definedName>
    <definedName name="_xlnm._FilterDatabase" localSheetId="6" hidden="1">'التتبّع الشهري'!$A$3:$X$93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المؤشرات'!$A$2:$N$92</definedName>
    <definedName name="_xlnm._FilterDatabase" localSheetId="11" hidden="1">'الإدارة التنفيذية'!$A$3:$R$6</definedName>
    <definedName name="_xlnm._FilterDatabase" localSheetId="12" hidden="1">'الامتياز التجاري'!$A$3:$R$32</definedName>
    <definedName name="_xlnm._FilterDatabase" localSheetId="13" hidden="1">'التشغيل والمحطات'!$A$3:$R$7</definedName>
    <definedName name="_xlnm._FilterDatabase" localSheetId="14" hidden="1">'الاستثمار'!$A$3:$R$8</definedName>
    <definedName name="_xlnm._FilterDatabase" localSheetId="15" hidden="1">'العقار'!$A$3:$R$7</definedName>
    <definedName name="_xlnm._FilterDatabase" localSheetId="16" hidden="1">'إدارة المشاريع'!$A$3:$R$6</definedName>
    <definedName name="_xlnm._FilterDatabase" localSheetId="17" hidden="1">'سلاسل الإمداد'!$A$3:$R$7</definedName>
    <definedName name="_xlnm._FilterDatabase" localSheetId="18" hidden="1">'الصيانة والأتمتة'!$A$3:$R$5</definedName>
    <definedName name="_xlnm._FilterDatabase" localSheetId="19" hidden="1">'التقنية الرقمية'!$A$3:$R$5</definedName>
    <definedName name="_xlnm._FilterDatabase" localSheetId="20" hidden="1">'الموارد البشرية'!$A$3:$R$8</definedName>
    <definedName name="_xlnm._FilterDatabase" localSheetId="21" hidden="1">'التسويق'!$A$3:$R$8</definedName>
    <definedName name="_xlnm._FilterDatabase" localSheetId="22" hidden="1">'الجودة'!$A$3:$R$18</definedName>
    <definedName name="_xlnm._FilterDatabase" localSheetId="23" hidden="1">'الإدارة القانونية'!$A$3:$R$6</definedName>
    <definedName name="_xlnm._FilterDatabase" localSheetId="24" hidden="1">'الإدارة المالية'!$A$3:$R$9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2EAD6B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6" fillId="5" borderId="1" applyAlignment="1" applyProtection="1" pivotButton="0" quotePrefix="0" xfId="0">
      <alignment horizontal="right" vertical="center" wrapText="1"/>
      <protection locked="0" hidden="0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المؤشرات'!$G$2:$G$91,'قاعدة المؤشرات'!$D$2:$D$91,"النمو"),"—")</f>
        <v/>
      </c>
      <c r="D8" s="11" t="inlineStr">
        <is>
          <t>الوصول الكلي (Total Reach)</t>
        </is>
      </c>
      <c r="E8" s="7" t="n"/>
      <c r="F8" s="12" t="n">
        <v>0.1</v>
      </c>
    </row>
    <row r="9">
      <c r="B9" s="9" t="inlineStr">
        <is>
          <t>الابتكار</t>
        </is>
      </c>
      <c r="C9" s="10">
        <f>IFERROR(AVERAGEIFS('قاعدة المؤشرات'!$G$2:$G$91,'قاعدة المؤشرات'!$D$2:$D$91,"الابتكار"),"—")</f>
        <v/>
      </c>
      <c r="D9" s="11" t="inlineStr">
        <is>
          <t>نسبة التزام الهوية البصرية</t>
        </is>
      </c>
      <c r="E9" s="7" t="n"/>
      <c r="F9" s="12" t="n">
        <v>0.1</v>
      </c>
    </row>
    <row r="10">
      <c r="B10" s="9" t="inlineStr">
        <is>
          <t>الاستدامة</t>
        </is>
      </c>
      <c r="C10" s="10">
        <f>IFERROR(AVERAGEIFS('قاعدة المؤشرات'!$G$2:$G$91,'قاعدة المؤشرات'!$D$2:$D$91,"الاستدامة"),"—")</f>
        <v/>
      </c>
      <c r="D10" s="11" t="inlineStr">
        <is>
          <t>معدل خفض الشكاوى</t>
        </is>
      </c>
      <c r="E10" s="7" t="n"/>
      <c r="F10" s="12" t="n">
        <v>0.7</v>
      </c>
    </row>
    <row r="11">
      <c r="D11" s="11" t="inlineStr">
        <is>
          <t>نسبة التحصيل خلال 5 أيام عمل</t>
        </is>
      </c>
      <c r="E11" s="7" t="n"/>
      <c r="F11" s="12" t="n">
        <v>0.7244444444444444</v>
      </c>
    </row>
    <row r="12">
      <c r="D12" s="11" t="inlineStr">
        <is>
          <t>عدد محطات الامتياز المشغّلة (تراكمي)</t>
        </is>
      </c>
      <c r="E12" s="7" t="n"/>
      <c r="F12" s="12" t="n">
        <v>0.7333333333333333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19" t="inlineStr">
        <is>
          <t>▾ الامتياز التجاري · وزن الإدارة 14%</t>
        </is>
      </c>
    </row>
    <row r="8" ht="22" customHeight="1">
      <c r="A8" s="20" t="n">
        <v>1</v>
      </c>
      <c r="B8" s="21">
        <f>'الامتياز التجاري'!C4</f>
        <v/>
      </c>
      <c r="C8" s="22">
        <f>'الامتياز التجاري'!I4</f>
        <v/>
      </c>
      <c r="D8" s="23">
        <f>'الامتياز التجاري'!M4</f>
        <v/>
      </c>
      <c r="E8" s="10">
        <f>'الامتياز التجاري'!N4</f>
        <v/>
      </c>
      <c r="F8" s="20">
        <f>'الامتياز التجاري'!O4</f>
        <v/>
      </c>
      <c r="G8" s="24">
        <f>'الامتياز التجاري'!G4</f>
        <v/>
      </c>
    </row>
    <row r="9" ht="22" customHeight="1">
      <c r="A9" s="20" t="n">
        <v>2</v>
      </c>
      <c r="B9" s="21">
        <f>'الامتياز التجاري'!C5</f>
        <v/>
      </c>
      <c r="C9" s="22">
        <f>'الامتياز التجاري'!I5</f>
        <v/>
      </c>
      <c r="D9" s="23">
        <f>'الامتياز التجاري'!M5</f>
        <v/>
      </c>
      <c r="E9" s="10">
        <f>'الامتياز التجاري'!N5</f>
        <v/>
      </c>
      <c r="F9" s="20">
        <f>'الامتياز التجاري'!O5</f>
        <v/>
      </c>
      <c r="G9" s="24">
        <f>'الامتياز التجاري'!G5</f>
        <v/>
      </c>
    </row>
    <row r="10" ht="22" customHeight="1">
      <c r="A10" s="20" t="n">
        <v>3</v>
      </c>
      <c r="B10" s="21">
        <f>'الامتياز التجاري'!C6</f>
        <v/>
      </c>
      <c r="C10" s="22">
        <f>'الامتياز التجاري'!I6</f>
        <v/>
      </c>
      <c r="D10" s="23">
        <f>'الامتياز التجاري'!M6</f>
        <v/>
      </c>
      <c r="E10" s="10">
        <f>'الامتياز التجاري'!N6</f>
        <v/>
      </c>
      <c r="F10" s="20">
        <f>'الامتياز التجاري'!O6</f>
        <v/>
      </c>
      <c r="G10" s="24">
        <f>'الامتياز التجاري'!G6</f>
        <v/>
      </c>
    </row>
    <row r="11" ht="22" customHeight="1">
      <c r="A11" s="20" t="n">
        <v>4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5</v>
      </c>
      <c r="B12" s="21">
        <f>'الامتياز التجاري'!C10</f>
        <v/>
      </c>
      <c r="C12" s="22">
        <f>'الامتياز التجاري'!I10</f>
        <v/>
      </c>
      <c r="D12" s="23">
        <f>'الامتياز التجاري'!M10</f>
        <v/>
      </c>
      <c r="E12" s="10">
        <f>'الامتياز التجاري'!N10</f>
        <v/>
      </c>
      <c r="F12" s="20">
        <f>'الامتياز التجاري'!O10</f>
        <v/>
      </c>
      <c r="G12" s="24">
        <f>'الامتياز التجاري'!G10</f>
        <v/>
      </c>
    </row>
    <row r="13" ht="22" customHeight="1">
      <c r="A13" s="19" t="inlineStr">
        <is>
          <t>▾ التشغيل والمحطات · وزن الإدارة 12%</t>
        </is>
      </c>
    </row>
    <row r="14" ht="22" customHeight="1">
      <c r="A14" s="20" t="n">
        <v>1</v>
      </c>
      <c r="B14" s="21">
        <f>'التشغيل والمحطات'!C4</f>
        <v/>
      </c>
      <c r="C14" s="22">
        <f>'التشغيل والمحطات'!I4</f>
        <v/>
      </c>
      <c r="D14" s="23">
        <f>'التشغيل والمحطات'!M4</f>
        <v/>
      </c>
      <c r="E14" s="10">
        <f>'التشغيل والمحطات'!N4</f>
        <v/>
      </c>
      <c r="F14" s="20">
        <f>'التشغيل والمحطات'!O4</f>
        <v/>
      </c>
      <c r="G14" s="24">
        <f>'التشغيل والمحطات'!G4</f>
        <v/>
      </c>
    </row>
    <row r="15" ht="22" customHeight="1">
      <c r="A15" s="20" t="n">
        <v>2</v>
      </c>
      <c r="B15" s="21">
        <f>'التشغيل والمحطات'!C5</f>
        <v/>
      </c>
      <c r="C15" s="22">
        <f>'التشغيل والمحطات'!I5</f>
        <v/>
      </c>
      <c r="D15" s="23">
        <f>'التشغيل والمحطات'!M5</f>
        <v/>
      </c>
      <c r="E15" s="10">
        <f>'التشغيل والمحطات'!N5</f>
        <v/>
      </c>
      <c r="F15" s="20">
        <f>'التشغيل والمحطات'!O5</f>
        <v/>
      </c>
      <c r="G15" s="24">
        <f>'التشغيل والمحطات'!G5</f>
        <v/>
      </c>
    </row>
    <row r="16" ht="22" customHeight="1">
      <c r="A16" s="20" t="n">
        <v>3</v>
      </c>
      <c r="B16" s="21">
        <f>'التشغيل والمحطات'!C6</f>
        <v/>
      </c>
      <c r="C16" s="22">
        <f>'التشغيل والمحطات'!I6</f>
        <v/>
      </c>
      <c r="D16" s="23">
        <f>'التشغيل والمحطات'!M6</f>
        <v/>
      </c>
      <c r="E16" s="10">
        <f>'التشغيل والمحطات'!N6</f>
        <v/>
      </c>
      <c r="F16" s="20">
        <f>'التشغيل والمحطات'!O6</f>
        <v/>
      </c>
      <c r="G16" s="24">
        <f>'التشغيل والمحطات'!G6</f>
        <v/>
      </c>
    </row>
    <row r="17" ht="22" customHeight="1">
      <c r="A17" s="20" t="n">
        <v>4</v>
      </c>
      <c r="B17" s="21">
        <f>'التشغيل والمحطات'!C7</f>
        <v/>
      </c>
      <c r="C17" s="22">
        <f>'التشغيل والمحطات'!I7</f>
        <v/>
      </c>
      <c r="D17" s="23">
        <f>'التشغيل والمحطات'!M7</f>
        <v/>
      </c>
      <c r="E17" s="10">
        <f>'التشغيل والمحطات'!N7</f>
        <v/>
      </c>
      <c r="F17" s="20">
        <f>'التشغيل والمحطات'!O7</f>
        <v/>
      </c>
      <c r="G17" s="24">
        <f>'التشغيل والمحطات'!G7</f>
        <v/>
      </c>
    </row>
    <row r="18" ht="22" customHeight="1">
      <c r="A18" s="19" t="inlineStr">
        <is>
          <t>▾ الاستثمار · وزن الإدارة 11%</t>
        </is>
      </c>
    </row>
    <row r="19" ht="22" customHeight="1">
      <c r="A19" s="20" t="n">
        <v>1</v>
      </c>
      <c r="B19" s="21">
        <f>'الاستثمار'!C5</f>
        <v/>
      </c>
      <c r="C19" s="22">
        <f>'الاستثمار'!I5</f>
        <v/>
      </c>
      <c r="D19" s="23">
        <f>'الاستثمار'!M5</f>
        <v/>
      </c>
      <c r="E19" s="10">
        <f>'الاستثمار'!N5</f>
        <v/>
      </c>
      <c r="F19" s="20">
        <f>'الاستثمار'!O5</f>
        <v/>
      </c>
      <c r="G19" s="24">
        <f>'الاستثمار'!G5</f>
        <v/>
      </c>
    </row>
    <row r="20" ht="22" customHeight="1">
      <c r="A20" s="20" t="n">
        <v>2</v>
      </c>
      <c r="B20" s="21">
        <f>'الاستثمار'!C6</f>
        <v/>
      </c>
      <c r="C20" s="22">
        <f>'الاستثمار'!I6</f>
        <v/>
      </c>
      <c r="D20" s="23">
        <f>'الاستثمار'!M6</f>
        <v/>
      </c>
      <c r="E20" s="10">
        <f>'الاستثمار'!N6</f>
        <v/>
      </c>
      <c r="F20" s="20">
        <f>'الاستثمار'!O6</f>
        <v/>
      </c>
      <c r="G20" s="24">
        <f>'الاستثمار'!G6</f>
        <v/>
      </c>
    </row>
    <row r="21" ht="22" customHeight="1">
      <c r="A21" s="20" t="n">
        <v>3</v>
      </c>
      <c r="B21" s="21">
        <f>'الاستثمار'!C7</f>
        <v/>
      </c>
      <c r="C21" s="22">
        <f>'الاستثمار'!I7</f>
        <v/>
      </c>
      <c r="D21" s="23">
        <f>'الاستثمار'!M7</f>
        <v/>
      </c>
      <c r="E21" s="10">
        <f>'الاستثمار'!N7</f>
        <v/>
      </c>
      <c r="F21" s="20">
        <f>'الاستثمار'!O7</f>
        <v/>
      </c>
      <c r="G21" s="24">
        <f>'الاستثمار'!G7</f>
        <v/>
      </c>
    </row>
    <row r="22" ht="22" customHeight="1">
      <c r="A22" s="20" t="n">
        <v>4</v>
      </c>
      <c r="B22" s="21">
        <f>'الاستثمار'!C8</f>
        <v/>
      </c>
      <c r="C22" s="22">
        <f>'الاستثمار'!I8</f>
        <v/>
      </c>
      <c r="D22" s="23">
        <f>'الاستثمار'!M8</f>
        <v/>
      </c>
      <c r="E22" s="10">
        <f>'الاستثمار'!N8</f>
        <v/>
      </c>
      <c r="F22" s="20">
        <f>'الاستثمار'!O8</f>
        <v/>
      </c>
      <c r="G22" s="24">
        <f>'الاستثمار'!G8</f>
        <v/>
      </c>
    </row>
    <row r="23" ht="22" customHeight="1">
      <c r="A23" s="20" t="n">
        <v>5</v>
      </c>
      <c r="B23" s="21">
        <f>'الاستثمار'!C4</f>
        <v/>
      </c>
      <c r="C23" s="22">
        <f>'الاستثمار'!I4</f>
        <v/>
      </c>
      <c r="D23" s="23">
        <f>'الاستثمار'!M4</f>
        <v/>
      </c>
      <c r="E23" s="10">
        <f>'الاستثمار'!N4</f>
        <v/>
      </c>
      <c r="F23" s="20">
        <f>'الاستثمار'!O4</f>
        <v/>
      </c>
      <c r="G23" s="24">
        <f>'الاستثمار'!G4</f>
        <v/>
      </c>
    </row>
    <row r="24" ht="22" customHeight="1">
      <c r="A24" s="19" t="inlineStr">
        <is>
          <t>▾ العقار · وزن الإدارة 9%</t>
        </is>
      </c>
    </row>
    <row r="25" ht="22" customHeight="1">
      <c r="A25" s="20" t="n">
        <v>1</v>
      </c>
      <c r="B25" s="21">
        <f>'العقار'!C6</f>
        <v/>
      </c>
      <c r="C25" s="22">
        <f>'العقار'!I6</f>
        <v/>
      </c>
      <c r="D25" s="23">
        <f>'العقار'!M6</f>
        <v/>
      </c>
      <c r="E25" s="10">
        <f>'العقار'!N6</f>
        <v/>
      </c>
      <c r="F25" s="20">
        <f>'العقار'!O6</f>
        <v/>
      </c>
      <c r="G25" s="24">
        <f>'العقار'!G6</f>
        <v/>
      </c>
    </row>
    <row r="26" ht="22" customHeight="1">
      <c r="A26" s="20" t="n">
        <v>2</v>
      </c>
      <c r="B26" s="21">
        <f>'العقار'!C7</f>
        <v/>
      </c>
      <c r="C26" s="22">
        <f>'العقار'!I7</f>
        <v/>
      </c>
      <c r="D26" s="23">
        <f>'العقار'!M7</f>
        <v/>
      </c>
      <c r="E26" s="10">
        <f>'العقار'!N7</f>
        <v/>
      </c>
      <c r="F26" s="20">
        <f>'العقار'!O7</f>
        <v/>
      </c>
      <c r="G26" s="24">
        <f>'العقار'!G7</f>
        <v/>
      </c>
    </row>
    <row r="27" ht="22" customHeight="1">
      <c r="A27" s="20" t="n">
        <v>3</v>
      </c>
      <c r="B27" s="21">
        <f>'العقار'!C4</f>
        <v/>
      </c>
      <c r="C27" s="22">
        <f>'العقار'!I4</f>
        <v/>
      </c>
      <c r="D27" s="23">
        <f>'العقار'!M4</f>
        <v/>
      </c>
      <c r="E27" s="10">
        <f>'العقار'!N4</f>
        <v/>
      </c>
      <c r="F27" s="20">
        <f>'العقار'!O4</f>
        <v/>
      </c>
      <c r="G27" s="24">
        <f>'العقار'!G4</f>
        <v/>
      </c>
    </row>
    <row r="28" ht="22" customHeight="1">
      <c r="A28" s="20" t="n">
        <v>4</v>
      </c>
      <c r="B28" s="21">
        <f>'العقار'!C5</f>
        <v/>
      </c>
      <c r="C28" s="22">
        <f>'العقار'!I5</f>
        <v/>
      </c>
      <c r="D28" s="23">
        <f>'العقار'!M5</f>
        <v/>
      </c>
      <c r="E28" s="10">
        <f>'العقار'!N5</f>
        <v/>
      </c>
      <c r="F28" s="20">
        <f>'العقار'!O5</f>
        <v/>
      </c>
      <c r="G28" s="24">
        <f>'العقار'!G5</f>
        <v/>
      </c>
    </row>
    <row r="29" ht="22" customHeight="1">
      <c r="A29" s="19" t="inlineStr">
        <is>
          <t>▾ إدارة المشاريع · وزن الإدارة 8%</t>
        </is>
      </c>
    </row>
    <row r="30" ht="22" customHeight="1">
      <c r="A30" s="20" t="n">
        <v>1</v>
      </c>
      <c r="B30" s="21">
        <f>'إدارة المشاريع'!C4</f>
        <v/>
      </c>
      <c r="C30" s="22">
        <f>'إدارة المشاريع'!I4</f>
        <v/>
      </c>
      <c r="D30" s="23">
        <f>'إدارة المشاريع'!M4</f>
        <v/>
      </c>
      <c r="E30" s="10">
        <f>'إدارة المشاريع'!N4</f>
        <v/>
      </c>
      <c r="F30" s="20">
        <f>'إدارة المشاريع'!O4</f>
        <v/>
      </c>
      <c r="G30" s="24">
        <f>'إدارة المشاريع'!G4</f>
        <v/>
      </c>
    </row>
    <row r="31" ht="22" customHeight="1">
      <c r="A31" s="20" t="n">
        <v>2</v>
      </c>
      <c r="B31" s="21">
        <f>'إدارة المشاريع'!C5</f>
        <v/>
      </c>
      <c r="C31" s="22">
        <f>'إدارة المشاريع'!I5</f>
        <v/>
      </c>
      <c r="D31" s="23">
        <f>'إدارة المشاريع'!M5</f>
        <v/>
      </c>
      <c r="E31" s="10">
        <f>'إدارة المشاريع'!N5</f>
        <v/>
      </c>
      <c r="F31" s="20">
        <f>'إدارة المشاريع'!O5</f>
        <v/>
      </c>
      <c r="G31" s="24">
        <f>'إدارة المشاريع'!G5</f>
        <v/>
      </c>
    </row>
    <row r="32" ht="22" customHeight="1">
      <c r="A32" s="20" t="n">
        <v>3</v>
      </c>
      <c r="B32" s="21">
        <f>'إدارة المشاريع'!C6</f>
        <v/>
      </c>
      <c r="C32" s="22">
        <f>'إدارة المشاريع'!I6</f>
        <v/>
      </c>
      <c r="D32" s="23">
        <f>'إدارة المشاريع'!M6</f>
        <v/>
      </c>
      <c r="E32" s="10">
        <f>'إدارة المشاريع'!N6</f>
        <v/>
      </c>
      <c r="F32" s="20">
        <f>'إدارة المشاريع'!O6</f>
        <v/>
      </c>
      <c r="G32" s="24">
        <f>'إدارة المشاريع'!G6</f>
        <v/>
      </c>
    </row>
    <row r="33" ht="22" customHeight="1">
      <c r="A33" s="19" t="inlineStr">
        <is>
          <t>▾ سلاسل الإمداد · وزن الإدارة 10%</t>
        </is>
      </c>
    </row>
    <row r="34" ht="22" customHeight="1">
      <c r="A34" s="20" t="n">
        <v>1</v>
      </c>
      <c r="B34" s="21">
        <f>'سلاسل الإمداد'!C4</f>
        <v/>
      </c>
      <c r="C34" s="22">
        <f>'سلاسل الإمداد'!I4</f>
        <v/>
      </c>
      <c r="D34" s="23">
        <f>'سلاسل الإمداد'!M4</f>
        <v/>
      </c>
      <c r="E34" s="10">
        <f>'سلاسل الإمداد'!N4</f>
        <v/>
      </c>
      <c r="F34" s="20">
        <f>'سلاسل الإمداد'!O4</f>
        <v/>
      </c>
      <c r="G34" s="24">
        <f>'سلاسل الإمداد'!G4</f>
        <v/>
      </c>
    </row>
    <row r="35" ht="22" customHeight="1">
      <c r="A35" s="20" t="n">
        <v>2</v>
      </c>
      <c r="B35" s="21">
        <f>'سلاسل الإمداد'!C6</f>
        <v/>
      </c>
      <c r="C35" s="22">
        <f>'سلاسل الإمداد'!I6</f>
        <v/>
      </c>
      <c r="D35" s="23">
        <f>'سلاسل الإمداد'!M6</f>
        <v/>
      </c>
      <c r="E35" s="10">
        <f>'سلاسل الإمداد'!N6</f>
        <v/>
      </c>
      <c r="F35" s="20">
        <f>'سلاسل الإمداد'!O6</f>
        <v/>
      </c>
      <c r="G35" s="24">
        <f>'سلاسل الإمداد'!G6</f>
        <v/>
      </c>
    </row>
    <row r="36" ht="22" customHeight="1">
      <c r="A36" s="20" t="n">
        <v>3</v>
      </c>
      <c r="B36" s="21">
        <f>'سلاسل الإمداد'!C5</f>
        <v/>
      </c>
      <c r="C36" s="22">
        <f>'سلاسل الإمداد'!I5</f>
        <v/>
      </c>
      <c r="D36" s="23">
        <f>'سلاسل الإمداد'!M5</f>
        <v/>
      </c>
      <c r="E36" s="10">
        <f>'سلاسل الإمداد'!N5</f>
        <v/>
      </c>
      <c r="F36" s="20">
        <f>'سلاسل الإمداد'!O5</f>
        <v/>
      </c>
      <c r="G36" s="24">
        <f>'سلاسل الإمداد'!G5</f>
        <v/>
      </c>
    </row>
    <row r="37" ht="22" customHeight="1">
      <c r="A37" s="20" t="n">
        <v>4</v>
      </c>
      <c r="B37" s="21">
        <f>'سلاسل الإمداد'!C7</f>
        <v/>
      </c>
      <c r="C37" s="22">
        <f>'سلاسل الإمداد'!I7</f>
        <v/>
      </c>
      <c r="D37" s="23">
        <f>'سلاسل الإمداد'!M7</f>
        <v/>
      </c>
      <c r="E37" s="10">
        <f>'سلاسل الإمداد'!N7</f>
        <v/>
      </c>
      <c r="F37" s="20">
        <f>'سلاسل الإمداد'!O7</f>
        <v/>
      </c>
      <c r="G37" s="24">
        <f>'سلاسل الإمداد'!G7</f>
        <v/>
      </c>
    </row>
    <row r="38" ht="22" customHeight="1">
      <c r="A38" s="19" t="inlineStr">
        <is>
          <t>▾ الصيانة والأتمتة · وزن الإدارة 7%</t>
        </is>
      </c>
    </row>
    <row r="39" ht="22" customHeight="1">
      <c r="A39" s="20" t="n">
        <v>1</v>
      </c>
      <c r="B39" s="21">
        <f>'الصيانة والأتمتة'!C4</f>
        <v/>
      </c>
      <c r="C39" s="22">
        <f>'الصيانة والأتمتة'!I4</f>
        <v/>
      </c>
      <c r="D39" s="23">
        <f>'الصيانة والأتمتة'!M4</f>
        <v/>
      </c>
      <c r="E39" s="10">
        <f>'الصيانة والأتمتة'!N4</f>
        <v/>
      </c>
      <c r="F39" s="20">
        <f>'الصيانة والأتمتة'!O4</f>
        <v/>
      </c>
      <c r="G39" s="24">
        <f>'الصيانة والأتمتة'!G4</f>
        <v/>
      </c>
    </row>
    <row r="40" ht="22" customHeight="1">
      <c r="A40" s="20" t="n">
        <v>2</v>
      </c>
      <c r="B40" s="21">
        <f>'الصيانة والأتمتة'!C5</f>
        <v/>
      </c>
      <c r="C40" s="22">
        <f>'الصيانة والأتمتة'!I5</f>
        <v/>
      </c>
      <c r="D40" s="23">
        <f>'الصيانة والأتمتة'!M5</f>
        <v/>
      </c>
      <c r="E40" s="10">
        <f>'الصيانة والأتمتة'!N5</f>
        <v/>
      </c>
      <c r="F40" s="20">
        <f>'الصيانة والأتمتة'!O5</f>
        <v/>
      </c>
      <c r="G40" s="24">
        <f>'الصيانة والأتمتة'!G5</f>
        <v/>
      </c>
    </row>
    <row r="41" ht="22" customHeight="1">
      <c r="A41" s="19" t="inlineStr">
        <is>
          <t>▾ التقنية الرقمية · وزن الإدارة 4%</t>
        </is>
      </c>
    </row>
    <row r="42" ht="22" customHeight="1">
      <c r="A42" s="20" t="n">
        <v>1</v>
      </c>
      <c r="B42" s="21">
        <f>'التقنية الرقمية'!C4</f>
        <v/>
      </c>
      <c r="C42" s="22">
        <f>'التقنية الرقمية'!I4</f>
        <v/>
      </c>
      <c r="D42" s="23">
        <f>'التقنية الرقمية'!M4</f>
        <v/>
      </c>
      <c r="E42" s="10">
        <f>'التقنية الرقمية'!N4</f>
        <v/>
      </c>
      <c r="F42" s="20">
        <f>'التقنية الرقمية'!O4</f>
        <v/>
      </c>
      <c r="G42" s="24">
        <f>'التقنية الرقمية'!G4</f>
        <v/>
      </c>
    </row>
    <row r="43" ht="22" customHeight="1">
      <c r="A43" s="20" t="n">
        <v>2</v>
      </c>
      <c r="B43" s="21">
        <f>'التقنية الرقمية'!C5</f>
        <v/>
      </c>
      <c r="C43" s="22">
        <f>'التقنية الرقمية'!I5</f>
        <v/>
      </c>
      <c r="D43" s="23">
        <f>'التقنية الرقمية'!M5</f>
        <v/>
      </c>
      <c r="E43" s="10">
        <f>'التقنية الرقمية'!N5</f>
        <v/>
      </c>
      <c r="F43" s="20">
        <f>'التقنية الرقمية'!O5</f>
        <v/>
      </c>
      <c r="G43" s="24">
        <f>'التقنية الرقمية'!G5</f>
        <v/>
      </c>
    </row>
    <row r="44" ht="22" customHeight="1">
      <c r="A44" s="19" t="inlineStr">
        <is>
          <t>▾ الموارد البشرية · وزن الإدارة 4%</t>
        </is>
      </c>
    </row>
    <row r="45" ht="22" customHeight="1">
      <c r="A45" s="20" t="n">
        <v>1</v>
      </c>
      <c r="B45" s="21">
        <f>'الموارد البشرية'!C4</f>
        <v/>
      </c>
      <c r="C45" s="22">
        <f>'الموارد البشرية'!I4</f>
        <v/>
      </c>
      <c r="D45" s="23">
        <f>'الموارد البشرية'!M4</f>
        <v/>
      </c>
      <c r="E45" s="10">
        <f>'الموارد البشرية'!N4</f>
        <v/>
      </c>
      <c r="F45" s="20">
        <f>'الموارد البشرية'!O4</f>
        <v/>
      </c>
      <c r="G45" s="24">
        <f>'الموارد البشرية'!G4</f>
        <v/>
      </c>
    </row>
    <row r="46" ht="22" customHeight="1">
      <c r="A46" s="20" t="n">
        <v>2</v>
      </c>
      <c r="B46" s="21">
        <f>'الموارد البشرية'!C7</f>
        <v/>
      </c>
      <c r="C46" s="22">
        <f>'الموارد البشرية'!I7</f>
        <v/>
      </c>
      <c r="D46" s="23">
        <f>'الموارد البشرية'!M7</f>
        <v/>
      </c>
      <c r="E46" s="10">
        <f>'الموارد البشرية'!N7</f>
        <v/>
      </c>
      <c r="F46" s="20">
        <f>'الموارد البشرية'!O7</f>
        <v/>
      </c>
      <c r="G46" s="24">
        <f>'الموارد البشرية'!G7</f>
        <v/>
      </c>
    </row>
    <row r="47" ht="22" customHeight="1">
      <c r="A47" s="20" t="n">
        <v>3</v>
      </c>
      <c r="B47" s="21">
        <f>'الموارد البشرية'!C8</f>
        <v/>
      </c>
      <c r="C47" s="22">
        <f>'الموارد البشرية'!I8</f>
        <v/>
      </c>
      <c r="D47" s="23">
        <f>'الموارد البشرية'!M8</f>
        <v/>
      </c>
      <c r="E47" s="10">
        <f>'الموارد البشرية'!N8</f>
        <v/>
      </c>
      <c r="F47" s="20">
        <f>'الموارد البشرية'!O8</f>
        <v/>
      </c>
      <c r="G47" s="24">
        <f>'الموارد البشرية'!G8</f>
        <v/>
      </c>
    </row>
    <row r="48" ht="22" customHeight="1">
      <c r="A48" s="20" t="n">
        <v>4</v>
      </c>
      <c r="B48" s="21">
        <f>'الموارد البشرية'!C5</f>
        <v/>
      </c>
      <c r="C48" s="22">
        <f>'الموارد البشرية'!I5</f>
        <v/>
      </c>
      <c r="D48" s="23">
        <f>'الموارد البشرية'!M5</f>
        <v/>
      </c>
      <c r="E48" s="10">
        <f>'الموارد البشرية'!N5</f>
        <v/>
      </c>
      <c r="F48" s="20">
        <f>'الموارد البشرية'!O5</f>
        <v/>
      </c>
      <c r="G48" s="24">
        <f>'الموارد البشرية'!G5</f>
        <v/>
      </c>
    </row>
    <row r="49" ht="22" customHeight="1">
      <c r="A49" s="20" t="n">
        <v>5</v>
      </c>
      <c r="B49" s="21">
        <f>'الموارد البشرية'!C6</f>
        <v/>
      </c>
      <c r="C49" s="22">
        <f>'الموارد البشرية'!I6</f>
        <v/>
      </c>
      <c r="D49" s="23">
        <f>'الموارد البشرية'!M6</f>
        <v/>
      </c>
      <c r="E49" s="10">
        <f>'الموارد البشرية'!N6</f>
        <v/>
      </c>
      <c r="F49" s="20">
        <f>'الموارد البشرية'!O6</f>
        <v/>
      </c>
      <c r="G49" s="24">
        <f>'الموارد البشرية'!G6</f>
        <v/>
      </c>
    </row>
    <row r="50" ht="22" customHeight="1">
      <c r="A50" s="19" t="inlineStr">
        <is>
          <t>▾ التسويق · وزن الإدارة 5%</t>
        </is>
      </c>
    </row>
    <row r="51" ht="22" customHeight="1">
      <c r="A51" s="20" t="n">
        <v>1</v>
      </c>
      <c r="B51" s="21">
        <f>'التسويق'!C4</f>
        <v/>
      </c>
      <c r="C51" s="22">
        <f>'التسويق'!I4</f>
        <v/>
      </c>
      <c r="D51" s="23">
        <f>'التسويق'!M4</f>
        <v/>
      </c>
      <c r="E51" s="10">
        <f>'التسويق'!N4</f>
        <v/>
      </c>
      <c r="F51" s="20">
        <f>'التسويق'!O4</f>
        <v/>
      </c>
      <c r="G51" s="24">
        <f>'التسويق'!G4</f>
        <v/>
      </c>
    </row>
    <row r="52" ht="22" customHeight="1">
      <c r="A52" s="20" t="n">
        <v>2</v>
      </c>
      <c r="B52" s="21">
        <f>'التسويق'!C6</f>
        <v/>
      </c>
      <c r="C52" s="22">
        <f>'التسويق'!I6</f>
        <v/>
      </c>
      <c r="D52" s="23">
        <f>'التسويق'!M6</f>
        <v/>
      </c>
      <c r="E52" s="10">
        <f>'التسويق'!N6</f>
        <v/>
      </c>
      <c r="F52" s="20">
        <f>'التسويق'!O6</f>
        <v/>
      </c>
      <c r="G52" s="24">
        <f>'التسويق'!G6</f>
        <v/>
      </c>
    </row>
    <row r="53" ht="22" customHeight="1">
      <c r="A53" s="20" t="n">
        <v>3</v>
      </c>
      <c r="B53" s="21">
        <f>'التسويق'!C5</f>
        <v/>
      </c>
      <c r="C53" s="22">
        <f>'التسويق'!I5</f>
        <v/>
      </c>
      <c r="D53" s="23">
        <f>'التسويق'!M5</f>
        <v/>
      </c>
      <c r="E53" s="10">
        <f>'التسويق'!N5</f>
        <v/>
      </c>
      <c r="F53" s="20">
        <f>'التسويق'!O5</f>
        <v/>
      </c>
      <c r="G53" s="24">
        <f>'التسويق'!G5</f>
        <v/>
      </c>
    </row>
    <row r="54" ht="22" customHeight="1">
      <c r="A54" s="20" t="n">
        <v>4</v>
      </c>
      <c r="B54" s="21">
        <f>'التسويق'!C7</f>
        <v/>
      </c>
      <c r="C54" s="22">
        <f>'التسويق'!I7</f>
        <v/>
      </c>
      <c r="D54" s="23">
        <f>'التسويق'!M7</f>
        <v/>
      </c>
      <c r="E54" s="10">
        <f>'التسويق'!N7</f>
        <v/>
      </c>
      <c r="F54" s="20">
        <f>'التسويق'!O7</f>
        <v/>
      </c>
      <c r="G54" s="24">
        <f>'التسويق'!G7</f>
        <v/>
      </c>
    </row>
    <row r="55" ht="22" customHeight="1">
      <c r="A55" s="20" t="n">
        <v>5</v>
      </c>
      <c r="B55" s="21">
        <f>'التسويق'!C8</f>
        <v/>
      </c>
      <c r="C55" s="22">
        <f>'التسويق'!I8</f>
        <v/>
      </c>
      <c r="D55" s="23">
        <f>'التسويق'!M8</f>
        <v/>
      </c>
      <c r="E55" s="10">
        <f>'التسويق'!N8</f>
        <v/>
      </c>
      <c r="F55" s="20">
        <f>'التسويق'!O8</f>
        <v/>
      </c>
      <c r="G55" s="24">
        <f>'التسويق'!G8</f>
        <v/>
      </c>
    </row>
    <row r="56" ht="22" customHeight="1">
      <c r="A56" s="19" t="inlineStr">
        <is>
          <t>▾ الجودة · وزن الإدارة 5%</t>
        </is>
      </c>
    </row>
    <row r="57" ht="22" customHeight="1">
      <c r="A57" s="20" t="n">
        <v>1</v>
      </c>
      <c r="B57" s="21">
        <f>'الجودة'!C4</f>
        <v/>
      </c>
      <c r="C57" s="22">
        <f>'الجودة'!I4</f>
        <v/>
      </c>
      <c r="D57" s="23">
        <f>'الجودة'!M4</f>
        <v/>
      </c>
      <c r="E57" s="10">
        <f>'الجودة'!N4</f>
        <v/>
      </c>
      <c r="F57" s="20">
        <f>'الجودة'!O4</f>
        <v/>
      </c>
      <c r="G57" s="24">
        <f>'الجودة'!G4</f>
        <v/>
      </c>
    </row>
    <row r="58" ht="22" customHeight="1">
      <c r="A58" s="20" t="n">
        <v>2</v>
      </c>
      <c r="B58" s="21">
        <f>'الجودة'!C5</f>
        <v/>
      </c>
      <c r="C58" s="22">
        <f>'الجودة'!I5</f>
        <v/>
      </c>
      <c r="D58" s="23">
        <f>'الجودة'!M5</f>
        <v/>
      </c>
      <c r="E58" s="10">
        <f>'الجودة'!N5</f>
        <v/>
      </c>
      <c r="F58" s="20">
        <f>'الجودة'!O5</f>
        <v/>
      </c>
      <c r="G58" s="24">
        <f>'الجودة'!G5</f>
        <v/>
      </c>
    </row>
    <row r="59" ht="22" customHeight="1">
      <c r="A59" s="20" t="n">
        <v>3</v>
      </c>
      <c r="B59" s="21">
        <f>'الجودة'!C6</f>
        <v/>
      </c>
      <c r="C59" s="22">
        <f>'الجودة'!I6</f>
        <v/>
      </c>
      <c r="D59" s="23">
        <f>'الجودة'!M6</f>
        <v/>
      </c>
      <c r="E59" s="10">
        <f>'الجودة'!N6</f>
        <v/>
      </c>
      <c r="F59" s="20">
        <f>'الجودة'!O6</f>
        <v/>
      </c>
      <c r="G59" s="24">
        <f>'الجودة'!G6</f>
        <v/>
      </c>
    </row>
    <row r="60" ht="22" customHeight="1">
      <c r="A60" s="20" t="n">
        <v>4</v>
      </c>
      <c r="B60" s="21">
        <f>'الجودة'!C7</f>
        <v/>
      </c>
      <c r="C60" s="22">
        <f>'الجودة'!I7</f>
        <v/>
      </c>
      <c r="D60" s="23">
        <f>'الجودة'!M7</f>
        <v/>
      </c>
      <c r="E60" s="10">
        <f>'الجودة'!N7</f>
        <v/>
      </c>
      <c r="F60" s="20">
        <f>'الجودة'!O7</f>
        <v/>
      </c>
      <c r="G60" s="24">
        <f>'الجودة'!G7</f>
        <v/>
      </c>
    </row>
    <row r="61" ht="22" customHeight="1">
      <c r="A61" s="20" t="n">
        <v>5</v>
      </c>
      <c r="B61" s="21">
        <f>'الجودة'!C8</f>
        <v/>
      </c>
      <c r="C61" s="22">
        <f>'الجودة'!I8</f>
        <v/>
      </c>
      <c r="D61" s="23">
        <f>'الجودة'!M8</f>
        <v/>
      </c>
      <c r="E61" s="10">
        <f>'الجودة'!N8</f>
        <v/>
      </c>
      <c r="F61" s="20">
        <f>'الجودة'!O8</f>
        <v/>
      </c>
      <c r="G61" s="24">
        <f>'الجودة'!G8</f>
        <v/>
      </c>
    </row>
    <row r="62" ht="22" customHeight="1">
      <c r="A62" s="19" t="inlineStr">
        <is>
          <t>▾ الإدارة القانونية · وزن الإدارة 3%</t>
        </is>
      </c>
    </row>
    <row r="63" ht="22" customHeight="1">
      <c r="A63" s="20" t="n">
        <v>1</v>
      </c>
      <c r="B63" s="21">
        <f>'الإدارة القانونية'!C4</f>
        <v/>
      </c>
      <c r="C63" s="22">
        <f>'الإدارة القانونية'!I4</f>
        <v/>
      </c>
      <c r="D63" s="23">
        <f>'الإدارة القانونية'!M4</f>
        <v/>
      </c>
      <c r="E63" s="10">
        <f>'الإدارة القانونية'!N4</f>
        <v/>
      </c>
      <c r="F63" s="20">
        <f>'الإدارة القانونية'!O4</f>
        <v/>
      </c>
      <c r="G63" s="24">
        <f>'الإدارة القانونية'!G4</f>
        <v/>
      </c>
    </row>
    <row r="64" ht="22" customHeight="1">
      <c r="A64" s="20" t="n">
        <v>2</v>
      </c>
      <c r="B64" s="21">
        <f>'الإدارة القانونية'!C6</f>
        <v/>
      </c>
      <c r="C64" s="22">
        <f>'الإدارة القانونية'!I6</f>
        <v/>
      </c>
      <c r="D64" s="23">
        <f>'الإدارة القانونية'!M6</f>
        <v/>
      </c>
      <c r="E64" s="10">
        <f>'الإدارة القانونية'!N6</f>
        <v/>
      </c>
      <c r="F64" s="20">
        <f>'الإدارة القانونية'!O6</f>
        <v/>
      </c>
      <c r="G64" s="24">
        <f>'الإدارة القانونية'!G6</f>
        <v/>
      </c>
    </row>
    <row r="65" ht="22" customHeight="1">
      <c r="A65" s="20" t="n">
        <v>3</v>
      </c>
      <c r="B65" s="21">
        <f>'الإدارة القانونية'!C5</f>
        <v/>
      </c>
      <c r="C65" s="22">
        <f>'الإدارة القانونية'!I5</f>
        <v/>
      </c>
      <c r="D65" s="23">
        <f>'الإدارة القانونية'!M5</f>
        <v/>
      </c>
      <c r="E65" s="10">
        <f>'الإدارة القانونية'!N5</f>
        <v/>
      </c>
      <c r="F65" s="20">
        <f>'الإدارة القانونية'!O5</f>
        <v/>
      </c>
      <c r="G65" s="24">
        <f>'الإدارة القانونية'!G5</f>
        <v/>
      </c>
    </row>
    <row r="66" ht="22" customHeight="1">
      <c r="A66" s="19" t="inlineStr">
        <is>
          <t>▾ الإدارة المالية · وزن الإدارة 8%</t>
        </is>
      </c>
    </row>
    <row r="67" ht="22" customHeight="1">
      <c r="A67" s="20" t="n">
        <v>1</v>
      </c>
      <c r="B67" s="21">
        <f>'الإدارة المالية'!C4</f>
        <v/>
      </c>
      <c r="C67" s="22">
        <f>'الإدارة المالية'!I4</f>
        <v/>
      </c>
      <c r="D67" s="23">
        <f>'الإدارة المالية'!M4</f>
        <v/>
      </c>
      <c r="E67" s="10">
        <f>'الإدارة المالية'!N4</f>
        <v/>
      </c>
      <c r="F67" s="20">
        <f>'الإدارة المالية'!O4</f>
        <v/>
      </c>
      <c r="G67" s="24">
        <f>'الإدارة المالية'!G4</f>
        <v/>
      </c>
    </row>
    <row r="68" ht="22" customHeight="1">
      <c r="A68" s="20" t="n">
        <v>2</v>
      </c>
      <c r="B68" s="21">
        <f>'الإدارة المالية'!C6</f>
        <v/>
      </c>
      <c r="C68" s="22">
        <f>'الإدارة المالية'!I6</f>
        <v/>
      </c>
      <c r="D68" s="23">
        <f>'الإدارة المالية'!M6</f>
        <v/>
      </c>
      <c r="E68" s="10">
        <f>'الإدارة المالية'!N6</f>
        <v/>
      </c>
      <c r="F68" s="20">
        <f>'الإدارة المالية'!O6</f>
        <v/>
      </c>
      <c r="G68" s="24">
        <f>'الإدارة المالية'!G6</f>
        <v/>
      </c>
    </row>
    <row r="69" ht="22" customHeight="1">
      <c r="A69" s="20" t="n">
        <v>3</v>
      </c>
      <c r="B69" s="21">
        <f>'الإدارة المالية'!C5</f>
        <v/>
      </c>
      <c r="C69" s="22">
        <f>'الإدارة المالية'!I5</f>
        <v/>
      </c>
      <c r="D69" s="23">
        <f>'الإدارة المالية'!M5</f>
        <v/>
      </c>
      <c r="E69" s="10">
        <f>'الإدارة المالية'!N5</f>
        <v/>
      </c>
      <c r="F69" s="20">
        <f>'الإدارة المالية'!O5</f>
        <v/>
      </c>
      <c r="G69" s="24">
        <f>'الإدارة المالية'!G5</f>
        <v/>
      </c>
    </row>
    <row r="70" ht="22" customHeight="1">
      <c r="A70" s="20" t="n">
        <v>4</v>
      </c>
      <c r="B70" s="21">
        <f>'الإدارة المالية'!C7</f>
        <v/>
      </c>
      <c r="C70" s="22">
        <f>'الإدارة المالية'!I7</f>
        <v/>
      </c>
      <c r="D70" s="23">
        <f>'الإدارة المالية'!M7</f>
        <v/>
      </c>
      <c r="E70" s="10">
        <f>'الإدارة المالية'!N7</f>
        <v/>
      </c>
      <c r="F70" s="20">
        <f>'الإدارة المالية'!O7</f>
        <v/>
      </c>
      <c r="G70" s="24">
        <f>'الإدارة المالية'!G7</f>
        <v/>
      </c>
    </row>
    <row r="71" ht="22" customHeight="1">
      <c r="A71" s="20" t="n">
        <v>5</v>
      </c>
      <c r="B71" s="21">
        <f>'الإدارة المالية'!C8</f>
        <v/>
      </c>
      <c r="C71" s="22">
        <f>'الإدارة المالية'!I8</f>
        <v/>
      </c>
      <c r="D71" s="23">
        <f>'الإدارة المالية'!M8</f>
        <v/>
      </c>
      <c r="E71" s="10">
        <f>'الإدارة المالية'!N8</f>
        <v/>
      </c>
      <c r="F71" s="20">
        <f>'الإدارة المالية'!O8</f>
        <v/>
      </c>
      <c r="G71" s="24">
        <f>'الإدارة المالية'!G8</f>
        <v/>
      </c>
    </row>
  </sheetData>
  <mergeCells count="15">
    <mergeCell ref="A13:G13"/>
    <mergeCell ref="A66:G66"/>
    <mergeCell ref="A44:G44"/>
    <mergeCell ref="A1:G1"/>
    <mergeCell ref="A18:G18"/>
    <mergeCell ref="A56:G56"/>
    <mergeCell ref="A3:G3"/>
    <mergeCell ref="A50:G50"/>
    <mergeCell ref="A62:G62"/>
    <mergeCell ref="A24:G24"/>
    <mergeCell ref="A38:G38"/>
    <mergeCell ref="A29:G29"/>
    <mergeCell ref="A7:G7"/>
    <mergeCell ref="A41:G41"/>
    <mergeCell ref="A33:G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المؤشرات'!$E$2:$E$91,"التوسع في المواقع")</f>
        <v/>
      </c>
      <c r="E19" s="10">
        <f>IFERROR(AVERAGEIFS('قاعدة المؤشرات'!$G$2:$G$91,'قاعدة المؤشرات'!$E$2:$E$91,"التوسع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المؤشرات'!$E$2:$E$91,"الامتياز التجاري")</f>
        <v/>
      </c>
      <c r="E20" s="10">
        <f>IFERROR(AVERAGEIFS('قاعدة المؤشرات'!$G$2:$G$91,'قاعدة المؤشرات'!$E$2:$E$91,"الامتياز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المؤشرات'!$E$2:$E$91,"زيادة وصول العملاء")</f>
        <v/>
      </c>
      <c r="E21" s="10">
        <f>IFERROR(AVERAGEIFS('قاعدة المؤشرات'!$G$2:$G$91,'قاعدة المؤشرات'!$E$2:$E$91,"زيادة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المؤشرات'!$E$2:$E$91,"إطلاق مشاريع جديدة")</f>
        <v/>
      </c>
      <c r="E22" s="10">
        <f>IFERROR(AVERAGEIFS('قاعدة المؤشرات'!$G$2:$G$91,'قاعدة المؤشرات'!$E$2:$E$91,"إطلاق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المؤشرات'!$E$2:$E$91,"تطوير التصاميم والهوية")</f>
        <v/>
      </c>
      <c r="E23" s="10">
        <f>IFERROR(AVERAGEIFS('قاعدة المؤشرات'!$G$2:$G$91,'قاعدة المؤشرات'!$E$2:$E$91,"تطوير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المؤشرات'!$E$2:$E$91,"التحول التقني")</f>
        <v/>
      </c>
      <c r="E24" s="10">
        <f>IFERROR(AVERAGEIFS('قاعدة المؤشرات'!$G$2:$G$91,'قاعدة المؤشرات'!$E$2:$E$91,"التحول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المؤشرات'!$E$2:$E$91,"ساحات درب")</f>
        <v/>
      </c>
      <c r="E25" s="10">
        <f>IFERROR(AVERAGEIFS('قاعدة المؤشرات'!$G$2:$G$91,'قاعدة المؤشرات'!$E$2:$E$91,"ساحات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المؤشرات'!$E$2:$E$91,"تطبيق «تانكي»")</f>
        <v/>
      </c>
      <c r="E26" s="10">
        <f>IFERROR(AVERAGEIFS('قاعدة المؤشرات'!$G$2:$G$91,'قاعدة المؤشرات'!$E$2:$E$91,"تطبيق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المؤشرات'!$E$2:$E$91,"تعزيز تجربة العملاء")</f>
        <v/>
      </c>
      <c r="E27" s="10">
        <f>IFERROR(AVERAGEIFS('قاعدة المؤشرات'!$G$2:$G$91,'قاعدة المؤشرات'!$E$2:$E$91,"تعزيز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المؤشرات'!$E$2:$E$91,"جودة التشغيل")</f>
        <v/>
      </c>
      <c r="E28" s="10">
        <f>IFERROR(AVERAGEIFS('قاعدة المؤشرات'!$G$2:$G$91,'قاعدة المؤشرات'!$E$2:$E$91,"جودة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المؤشرات'!$E$2:$E$91,"منظومة التأجير")</f>
        <v/>
      </c>
      <c r="E29" s="10">
        <f>IFERROR(AVERAGEIFS('قاعدة المؤشرات'!$G$2:$G$91,'قاعدة المؤشرات'!$E$2:$E$91,"منظومة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المؤشرات'!$E$2:$E$91,"الاستثمار في الموظفين")</f>
        <v/>
      </c>
      <c r="E30" s="10">
        <f>IFERROR(AVERAGEIFS('قاعدة المؤشرات'!$G$2:$G$91,'قاعدة المؤشرات'!$E$2:$E$91,"الاستثمار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المؤشرات'!$G$2:$G$91,'قاعدة المؤشرات'!$F$2:$F$91,"مالي"),"—")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المؤشرات'!$G$2:$G$91,'قاعدة المؤشرات'!$E$2:$E$91,"زيادة وصول العملاء"),"—")</f>
        <v/>
      </c>
      <c r="E10" s="40">
        <f>IFERROR(AVERAGEIFS('قاعدة المؤشرات'!$G$2:$G$91,'قاعدة المؤشرات'!$E$2:$E$91,"تعزيز تجربة العملاء"),"—")</f>
        <v/>
      </c>
      <c r="H10" s="40">
        <f>IFERROR(AVERAGEIFS('قاعدة المؤشرات'!$G$2:$G$91,'قاعدة المؤشرات'!$E$2:$E$91,"تطبيق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المؤشرات'!$G$2:$G$91,'قاعدة المؤشرات'!$E$2:$E$91,"التوسع في المواقع"),"—")</f>
        <v/>
      </c>
      <c r="D14" s="42">
        <f>IFERROR(AVERAGEIFS('قاعدة المؤشرات'!$G$2:$G$91,'قاعدة المؤشرات'!$E$2:$E$91,"الامتياز التجاري"),"—")</f>
        <v/>
      </c>
      <c r="F14" s="42">
        <f>IFERROR(AVERAGEIFS('قاعدة المؤشرات'!$G$2:$G$91,'قاعدة المؤشرات'!$E$2:$E$91,"منظومة التأجير"),"—")</f>
        <v/>
      </c>
      <c r="H14" s="42">
        <f>IFERROR(AVERAGEIFS('قاعدة المؤشرات'!$G$2:$G$91,'قاعدة المؤشرات'!$E$2:$E$91,"ساحات درب"),"—")</f>
        <v/>
      </c>
      <c r="J14" s="42">
        <f>IFERROR(AVERAGEIFS('قاعدة المؤشرات'!$G$2:$G$91,'قاعدة المؤشرات'!$E$2:$E$91,"جودة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المؤشرات'!$G$2:$G$91,'قاعدة المؤشرات'!$E$2:$E$91,"الاستثمار في الموظفين"),"—")</f>
        <v/>
      </c>
      <c r="D18" s="44">
        <f>IFERROR(AVERAGEIFS('قاعدة المؤشرات'!$G$2:$G$91,'قاعدة المؤشرات'!$E$2:$E$91,"التحول التقني"),"—")</f>
        <v/>
      </c>
      <c r="F18" s="44">
        <f>IFERROR(AVERAGEIFS('قاعدة المؤشرات'!$G$2:$G$91,'قاعدة المؤشرات'!$E$2:$E$91,"إطلاق مشاريع جديدة"),"—")</f>
        <v/>
      </c>
      <c r="H18" s="44">
        <f>IFERROR(AVERAGEIFS('قاعدة المؤشرات'!$G$2:$G$91,'قاعدة المؤشرات'!$E$2:$E$91,"تطوير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المؤشرات'!$H$2:$H$91,"✅ محقق",'قاعدة المؤشرات'!$B$2:$B$91,"&lt;&gt;الإدارة التنفيذية")</f>
        <v/>
      </c>
      <c r="D5" s="5">
        <f>COUNTIFS('قاعدة المؤشرات'!$H$2:$H$91,"🟡 قريب",'قاعدة المؤشرات'!$B$2:$B$91,"&lt;&gt;الإدارة التنفيذية")</f>
        <v/>
      </c>
      <c r="E5" s="5">
        <f>COUNTIFS('قاعدة المؤشرات'!$H$2:$H$91,"🔴 تحت الهدف",'قاعدة المؤشرات'!$B$2:$B$91,"&lt;&gt;الإدارة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المؤشرات'!$B$2:$B$91,"الإدارة التنفيذية",'قاعدة المؤشرات'!$J$2:$J$91)/SUMIF('قاعدة المؤشرات'!$B$2:$B$91,"الإدارة التنفيذية",'قاعدة المؤشرات'!$K$2:$K$91),"—")</f>
        <v/>
      </c>
      <c r="D9" s="9" t="inlineStr">
        <is>
          <t>النمو</t>
        </is>
      </c>
      <c r="E9" s="10">
        <f>IFERROR(AVERAGEIFS('قاعدة المؤشرات'!$G$2:$G$91,'قاعدة المؤشرات'!$D$2:$D$91,"النمو"),"—")</f>
        <v/>
      </c>
      <c r="H9" s="15">
        <f>IFERROR(SUMIF('قاعدة المؤشرات'!$B$2:$B$91,"الإدارة التنفيذية",'قاعدة المؤشرات'!$J$2:$J$91)/SUMIF('قاعدة المؤشرات'!$B$2:$B$91,"الإدارة التنفيذية",'قاعدة المؤشرات'!$K$2:$K$91),0)</f>
        <v/>
      </c>
      <c r="I9" s="15" t="n">
        <v>0</v>
      </c>
      <c r="J9" s="15">
        <f>IF(SUMIF('قاعدة المؤشرات'!$B$2:$B$91,"الإدارة التنفيذية",'قاعدة المؤشرات'!$K$2:$K$91)=0,0,1)</f>
        <v/>
      </c>
    </row>
    <row r="10">
      <c r="B10" s="9" t="inlineStr">
        <is>
          <t>الامتياز التجاري</t>
        </is>
      </c>
      <c r="C10" s="10">
        <f>IFERROR(SUMIF('قاعدة المؤشرات'!$B$2:$B$91,"الامتياز التجاري",'قاعدة المؤشرات'!$J$2:$J$91)/SUMIF('قاعدة المؤشرات'!$B$2:$B$91,"الامتياز التجاري",'قاعدة المؤشرات'!$K$2:$K$91),"—")</f>
        <v/>
      </c>
      <c r="D10" s="9" t="inlineStr">
        <is>
          <t>الابتكار</t>
        </is>
      </c>
      <c r="E10" s="10">
        <f>IFERROR(AVERAGEIFS('قاعدة المؤشرات'!$G$2:$G$91,'قاعدة المؤشرات'!$D$2:$D$91,"الابتكار"),"—")</f>
        <v/>
      </c>
      <c r="H10" s="15">
        <f>IFERROR(SUMIF('قاعدة المؤشرات'!$B$2:$B$91,"الامتياز التجاري",'قاعدة المؤشرات'!$J$2:$J$91)/SUMIF('قاعدة المؤشرات'!$B$2:$B$91,"الامتياز التجاري",'قاعدة المؤشرات'!$K$2:$K$91),0)</f>
        <v/>
      </c>
      <c r="I10" s="15" t="n">
        <v>0.14</v>
      </c>
      <c r="J10" s="15">
        <f>IF(SUMIF('قاعدة المؤشرات'!$B$2:$B$91,"الامتياز التجاري",'قاعدة المؤشرات'!$K$2:$K$91)=0,0,1)</f>
        <v/>
      </c>
    </row>
    <row r="11">
      <c r="B11" s="9" t="inlineStr">
        <is>
          <t>التشغيل والمحطات</t>
        </is>
      </c>
      <c r="C11" s="10">
        <f>IFERROR(SUMIF('قاعدة المؤشرات'!$B$2:$B$91,"التشغيل والمحطات",'قاعدة المؤشرات'!$J$2:$J$91)/SUMIF('قاعدة المؤشرات'!$B$2:$B$91,"التشغيل والمحطات",'قاعدة المؤشرات'!$K$2:$K$91),"—")</f>
        <v/>
      </c>
      <c r="D11" s="9" t="inlineStr">
        <is>
          <t>الاستدامة</t>
        </is>
      </c>
      <c r="E11" s="10">
        <f>IFERROR(AVERAGEIFS('قاعدة المؤشرات'!$G$2:$G$91,'قاعدة المؤشرات'!$D$2:$D$91,"الاستدامة"),"—")</f>
        <v/>
      </c>
      <c r="H11" s="15">
        <f>IFERROR(SUMIF('قاعدة المؤشرات'!$B$2:$B$91,"التشغيل والمحطات",'قاعدة المؤشرات'!$J$2:$J$91)/SUMIF('قاعدة المؤشرات'!$B$2:$B$91,"التشغيل والمحطات",'قاعدة المؤشرات'!$K$2:$K$91),0)</f>
        <v/>
      </c>
      <c r="I11" s="15" t="n">
        <v>0.12</v>
      </c>
      <c r="J11" s="15">
        <f>IF(SUMIF('قاعدة المؤشرات'!$B$2:$B$91,"التشغيل والمحطات",'قاعدة المؤشرات'!$K$2:$K$91)=0,0,1)</f>
        <v/>
      </c>
    </row>
    <row r="12">
      <c r="B12" s="9" t="inlineStr">
        <is>
          <t>الاستثمار</t>
        </is>
      </c>
      <c r="C12" s="10">
        <f>IFERROR(SUMIF('قاعدة المؤشرات'!$B$2:$B$91,"الاستثمار",'قاعدة المؤشرات'!$J$2:$J$91)/SUMIF('قاعدة المؤشرات'!$B$2:$B$91,"الاستثمار",'قاعدة المؤشرات'!$K$2:$K$91),"—")</f>
        <v/>
      </c>
      <c r="H12" s="15">
        <f>IFERROR(SUMIF('قاعدة المؤشرات'!$B$2:$B$91,"الاستثمار",'قاعدة المؤشرات'!$J$2:$J$91)/SUMIF('قاعدة المؤشرات'!$B$2:$B$91,"الاستثمار",'قاعدة المؤشرات'!$K$2:$K$91),0)</f>
        <v/>
      </c>
      <c r="I12" s="15" t="n">
        <v>0.11</v>
      </c>
      <c r="J12" s="15">
        <f>IF(SUMIF('قاعدة المؤشرات'!$B$2:$B$91,"الاستثمار",'قاعدة المؤشرات'!$K$2:$K$91)=0,0,1)</f>
        <v/>
      </c>
    </row>
    <row r="13">
      <c r="B13" s="9" t="inlineStr">
        <is>
          <t>العقار</t>
        </is>
      </c>
      <c r="C13" s="10">
        <f>IFERROR(SUMIF('قاعدة المؤشرات'!$B$2:$B$91,"العقار",'قاعدة المؤشرات'!$J$2:$J$91)/SUMIF('قاعدة المؤشرات'!$B$2:$B$91,"العقار",'قاعدة المؤشرات'!$K$2:$K$91),"—")</f>
        <v/>
      </c>
      <c r="D13" s="46" t="inlineStr">
        <is>
          <t>حسب منظور BSC</t>
        </is>
      </c>
      <c r="E13" s="7" t="n"/>
      <c r="H13" s="15">
        <f>IFERROR(SUMIF('قاعدة المؤشرات'!$B$2:$B$91,"العقار",'قاعدة المؤشرات'!$J$2:$J$91)/SUMIF('قاعدة المؤشرات'!$B$2:$B$91,"العقار",'قاعدة المؤشرات'!$K$2:$K$91),0)</f>
        <v/>
      </c>
      <c r="I13" s="15" t="n">
        <v>0.09</v>
      </c>
      <c r="J13" s="15">
        <f>IF(SUMIF('قاعدة المؤشرات'!$B$2:$B$91,"العقار",'قاعدة المؤشرات'!$K$2:$K$91)=0,0,1)</f>
        <v/>
      </c>
    </row>
    <row r="14">
      <c r="B14" s="9" t="inlineStr">
        <is>
          <t>إدارة المشاريع</t>
        </is>
      </c>
      <c r="C14" s="10">
        <f>IFERROR(SUMIF('قاعدة المؤشرات'!$B$2:$B$91,"إدارة المشاريع",'قاعدة المؤشرات'!$J$2:$J$91)/SUMIF('قاعدة المؤشرات'!$B$2:$B$91,"إدارة المشاريع",'قاعدة المؤشرات'!$K$2:$K$91),"—")</f>
        <v/>
      </c>
      <c r="D14" s="9" t="inlineStr">
        <is>
          <t>مالي</t>
        </is>
      </c>
      <c r="E14" s="10">
        <f>IFERROR(AVERAGEIFS('قاعدة المؤشرات'!$G$2:$G$91,'قاعدة المؤشرات'!$F$2:$F$91,"مالي"),"—")</f>
        <v/>
      </c>
      <c r="H14" s="15">
        <f>IFERROR(SUMIF('قاعدة المؤشرات'!$B$2:$B$91,"إدارة المشاريع",'قاعدة المؤشرات'!$J$2:$J$91)/SUMIF('قاعدة المؤشرات'!$B$2:$B$91,"إدارة المشاريع",'قاعدة المؤشرات'!$K$2:$K$91),0)</f>
        <v/>
      </c>
      <c r="I14" s="15" t="n">
        <v>0.08</v>
      </c>
      <c r="J14" s="15">
        <f>IF(SUMIF('قاعدة المؤشرات'!$B$2:$B$91,"إدارة المشاريع",'قاعدة المؤشرات'!$K$2:$K$91)=0,0,1)</f>
        <v/>
      </c>
    </row>
    <row r="15">
      <c r="B15" s="9" t="inlineStr">
        <is>
          <t>سلاسل الإمداد</t>
        </is>
      </c>
      <c r="C15" s="10">
        <f>IFERROR(SUMIF('قاعدة المؤشرات'!$B$2:$B$91,"سلاسل الإمداد",'قاعدة المؤشرات'!$J$2:$J$91)/SUMIF('قاعدة المؤشرات'!$B$2:$B$91,"سلاسل الإمداد",'قاعدة المؤشرات'!$K$2:$K$91),"—")</f>
        <v/>
      </c>
      <c r="D15" s="9" t="inlineStr">
        <is>
          <t>العملاء</t>
        </is>
      </c>
      <c r="E15" s="10">
        <f>IFERROR(AVERAGEIFS('قاعدة المؤشرات'!$G$2:$G$91,'قاعدة المؤشرات'!$F$2:$F$91,"العملاء"),"—")</f>
        <v/>
      </c>
      <c r="H15" s="15">
        <f>IFERROR(SUMIF('قاعدة المؤشرات'!$B$2:$B$91,"سلاسل الإمداد",'قاعدة المؤشرات'!$J$2:$J$91)/SUMIF('قاعدة المؤشرات'!$B$2:$B$91,"سلاسل الإمداد",'قاعدة المؤشرات'!$K$2:$K$91),0)</f>
        <v/>
      </c>
      <c r="I15" s="15" t="n">
        <v>0.1</v>
      </c>
      <c r="J15" s="15">
        <f>IF(SUMIF('قاعدة المؤشرات'!$B$2:$B$91,"سلاسل الإمداد",'قاعدة المؤشرات'!$K$2:$K$91)=0,0,1)</f>
        <v/>
      </c>
    </row>
    <row r="16">
      <c r="B16" s="9" t="inlineStr">
        <is>
          <t>الصيانة والأتمتة</t>
        </is>
      </c>
      <c r="C16" s="10">
        <f>IFERROR(SUMIF('قاعدة المؤشرات'!$B$2:$B$91,"الصيانة والأتمتة",'قاعدة المؤشرات'!$J$2:$J$91)/SUMIF('قاعدة المؤشرات'!$B$2:$B$91,"الصيانة والأتمتة",'قاعدة المؤشرات'!$K$2:$K$91),"—")</f>
        <v/>
      </c>
      <c r="D16" s="9" t="inlineStr">
        <is>
          <t>العمليات الداخلية</t>
        </is>
      </c>
      <c r="E16" s="10">
        <f>IFERROR(AVERAGEIFS('قاعدة المؤشرات'!$G$2:$G$91,'قاعدة المؤشرات'!$F$2:$F$91,"العمليات الداخلية"),"—")</f>
        <v/>
      </c>
      <c r="H16" s="15">
        <f>IFERROR(SUMIF('قاعدة المؤشرات'!$B$2:$B$91,"الصيانة والأتمتة",'قاعدة المؤشرات'!$J$2:$J$91)/SUMIF('قاعدة المؤشرات'!$B$2:$B$91,"الصيانة والأتمتة",'قاعدة المؤشرات'!$K$2:$K$91),0)</f>
        <v/>
      </c>
      <c r="I16" s="15" t="n">
        <v>0.07000000000000001</v>
      </c>
      <c r="J16" s="15">
        <f>IF(SUMIF('قاعدة المؤشرات'!$B$2:$B$91,"الصيانة والأتمتة",'قاعدة المؤشرات'!$K$2:$K$91)=0,0,1)</f>
        <v/>
      </c>
    </row>
    <row r="17">
      <c r="B17" s="9" t="inlineStr">
        <is>
          <t>التقنية الرقمية</t>
        </is>
      </c>
      <c r="C17" s="10">
        <f>IFERROR(SUMIF('قاعدة المؤشرات'!$B$2:$B$91,"التقنية الرقمية",'قاعدة المؤشرات'!$J$2:$J$91)/SUMIF('قاعدة المؤشرات'!$B$2:$B$91,"التقنية الرقمية",'قاعدة المؤشرات'!$K$2:$K$91),"—")</f>
        <v/>
      </c>
      <c r="D17" s="9" t="inlineStr">
        <is>
          <t>التعلّم والنمو</t>
        </is>
      </c>
      <c r="E17" s="10">
        <f>IFERROR(AVERAGEIFS('قاعدة المؤشرات'!$G$2:$G$91,'قاعدة المؤشرات'!$F$2:$F$91,"التعلّم والنمو"),"—")</f>
        <v/>
      </c>
      <c r="H17" s="15">
        <f>IFERROR(SUMIF('قاعدة المؤشرات'!$B$2:$B$91,"التقنية الرقمية",'قاعدة المؤشرات'!$J$2:$J$91)/SUMIF('قاعدة المؤشرات'!$B$2:$B$91,"التقنية الرقمية",'قاعدة المؤشرات'!$K$2:$K$91),0)</f>
        <v/>
      </c>
      <c r="I17" s="15" t="n">
        <v>0.04</v>
      </c>
      <c r="J17" s="15">
        <f>IF(SUMIF('قاعدة المؤشرات'!$B$2:$B$91,"التقنية الرقمية",'قاعدة المؤشرات'!$K$2:$K$91)=0,0,1)</f>
        <v/>
      </c>
    </row>
    <row r="18">
      <c r="B18" s="9" t="inlineStr">
        <is>
          <t>الموارد البشرية</t>
        </is>
      </c>
      <c r="C18" s="10">
        <f>IFERROR(SUMIF('قاعدة المؤشرات'!$B$2:$B$91,"الموارد البشرية",'قاعدة المؤشرات'!$J$2:$J$91)/SUMIF('قاعدة المؤشرات'!$B$2:$B$91,"الموارد البشرية",'قاعدة المؤشرات'!$K$2:$K$91),"—")</f>
        <v/>
      </c>
      <c r="H18" s="15">
        <f>IFERROR(SUMIF('قاعدة المؤشرات'!$B$2:$B$91,"الموارد البشرية",'قاعدة المؤشرات'!$J$2:$J$91)/SUMIF('قاعدة المؤشرات'!$B$2:$B$91,"الموارد البشرية",'قاعدة المؤشرات'!$K$2:$K$91),0)</f>
        <v/>
      </c>
      <c r="I18" s="15" t="n">
        <v>0.04</v>
      </c>
      <c r="J18" s="15">
        <f>IF(SUMIF('قاعدة المؤشرات'!$B$2:$B$91,"الموارد البشرية",'قاعدة المؤشرات'!$K$2:$K$91)=0,0,1)</f>
        <v/>
      </c>
    </row>
    <row r="19">
      <c r="B19" s="9" t="inlineStr">
        <is>
          <t>التسويق</t>
        </is>
      </c>
      <c r="C19" s="10">
        <f>IFERROR(SUMIF('قاعدة المؤشرات'!$B$2:$B$91,"التسويق",'قاعدة المؤشرات'!$J$2:$J$91)/SUMIF('قاعدة المؤشرات'!$B$2:$B$91,"التسويق",'قاعدة المؤشرات'!$K$2:$K$91),"—")</f>
        <v/>
      </c>
      <c r="H19" s="15">
        <f>IFERROR(SUMIF('قاعدة المؤشرات'!$B$2:$B$91,"التسويق",'قاعدة المؤشرات'!$J$2:$J$91)/SUMIF('قاعدة المؤشرات'!$B$2:$B$91,"التسويق",'قاعدة المؤشرات'!$K$2:$K$91),0)</f>
        <v/>
      </c>
      <c r="I19" s="15" t="n">
        <v>0.05</v>
      </c>
      <c r="J19" s="15">
        <f>IF(SUMIF('قاعدة المؤشرات'!$B$2:$B$91,"التسويق",'قاعدة المؤشرات'!$K$2:$K$91)=0,0,1)</f>
        <v/>
      </c>
    </row>
    <row r="20">
      <c r="B20" s="9" t="inlineStr">
        <is>
          <t>الجودة</t>
        </is>
      </c>
      <c r="C20" s="10">
        <f>IFERROR(SUMIF('قاعدة المؤشرات'!$B$2:$B$91,"الجودة",'قاعدة المؤشرات'!$J$2:$J$91)/SUMIF('قاعدة المؤشرات'!$B$2:$B$91,"الجودة",'قاعدة المؤشرات'!$K$2:$K$91),"—")</f>
        <v/>
      </c>
      <c r="H20" s="15">
        <f>IFERROR(SUMIF('قاعدة المؤشرات'!$B$2:$B$91,"الجودة",'قاعدة المؤشرات'!$J$2:$J$91)/SUMIF('قاعدة المؤشرات'!$B$2:$B$91,"الجودة",'قاعدة المؤشرات'!$K$2:$K$91),0)</f>
        <v/>
      </c>
      <c r="I20" s="15" t="n">
        <v>0.05</v>
      </c>
      <c r="J20" s="15">
        <f>IF(SUMIF('قاعدة المؤشرات'!$B$2:$B$91,"الجودة",'قاعدة المؤشرات'!$K$2:$K$91)=0,0,1)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المؤشرات'!$B$2:$B$91,"الإدارة القانونية",'قاعدة المؤشرات'!$J$2:$J$91)/SUMIF('قاعدة المؤشرات'!$B$2:$B$91,"الإدارة القانونية",'قاعدة المؤشرات'!$K$2:$K$91),"—")</f>
        <v/>
      </c>
      <c r="H21" s="15">
        <f>IFERROR(SUMIF('قاعدة المؤشرات'!$B$2:$B$91,"الإدارة القانونية",'قاعدة المؤشرات'!$J$2:$J$91)/SUMIF('قاعدة المؤشرات'!$B$2:$B$91,"الإدارة القانونية",'قاعدة المؤشرات'!$K$2:$K$91),0)</f>
        <v/>
      </c>
      <c r="I21" s="15" t="n">
        <v>0.03</v>
      </c>
      <c r="J21" s="15">
        <f>IF(SUMIF('قاعدة المؤشرات'!$B$2:$B$91,"الإدارة القانونية",'قاعدة المؤشرات'!$K$2:$K$91)=0,0,1)</f>
        <v/>
      </c>
    </row>
    <row r="22">
      <c r="B22" s="9" t="inlineStr">
        <is>
          <t>الإدارة المالية</t>
        </is>
      </c>
      <c r="C22" s="10">
        <f>IFERROR(SUMIF('قاعدة المؤشرات'!$B$2:$B$91,"الإدارة المالية",'قاعدة المؤشرات'!$J$2:$J$91)/SUMIF('قاعدة المؤشرات'!$B$2:$B$91,"الإدارة المالية",'قاعدة المؤشرات'!$K$2:$K$91),"—")</f>
        <v/>
      </c>
      <c r="H22" s="15">
        <f>IFERROR(SUMIF('قاعدة المؤشرات'!$B$2:$B$91,"الإدارة المالية",'قاعدة المؤشرات'!$J$2:$J$91)/SUMIF('قاعدة المؤشرات'!$B$2:$B$91,"الإدارة المالية",'قاعدة المؤشرات'!$K$2:$K$91),0)</f>
        <v/>
      </c>
      <c r="I22" s="15" t="n">
        <v>0.08</v>
      </c>
      <c r="J22" s="15">
        <f>IF(SUMIF('قاعدة المؤشرات'!$B$2:$B$91,"الإدارة المالية",'قاعدة المؤشرات'!$K$2:$K$91)=0,0,1)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الوصول الكلي (Total Reach)</t>
        </is>
      </c>
      <c r="D3" s="49" t="n">
        <v>5000000</v>
      </c>
      <c r="E3" s="49" t="n">
        <v>50000000</v>
      </c>
      <c r="F3" s="50" t="n">
        <v>0.1</v>
      </c>
      <c r="G3" s="12" t="n">
        <v>0.9</v>
      </c>
      <c r="H3" s="49" t="n">
        <v>5000000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نسبة التزام الهوية البصرية</t>
        </is>
      </c>
      <c r="D4" s="49" t="n">
        <v>0.1</v>
      </c>
      <c r="E4" s="49" t="n">
        <v>1</v>
      </c>
      <c r="F4" s="50" t="n">
        <v>0.1</v>
      </c>
      <c r="G4" s="12" t="n">
        <v>0.9</v>
      </c>
      <c r="H4" s="49" t="n">
        <v>0.1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معدل خفض الشكاوى</t>
        </is>
      </c>
      <c r="D5" s="49" t="n">
        <v>0.21</v>
      </c>
      <c r="E5" s="49" t="n">
        <v>0.3</v>
      </c>
      <c r="F5" s="50" t="n">
        <v>0.7</v>
      </c>
      <c r="G5" s="12" t="n">
        <v>0.3</v>
      </c>
      <c r="H5" s="49" t="n">
        <v>0.21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الامتياز التجاري</t>
        </is>
      </c>
      <c r="C6" s="21" t="inlineStr">
        <is>
          <t>نسبة التحصيل خلال 5 أيام عمل</t>
        </is>
      </c>
      <c r="D6" s="49" t="n">
        <v>0.652</v>
      </c>
      <c r="E6" s="49" t="n">
        <v>0.9</v>
      </c>
      <c r="F6" s="50" t="n">
        <v>0.7244444444444444</v>
      </c>
      <c r="G6" s="12" t="n">
        <v>0.2755555555555556</v>
      </c>
      <c r="H6" s="49" t="n">
        <v>0.652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الامتياز</t>
        </is>
      </c>
      <c r="M6" s="51" t="n"/>
    </row>
    <row r="7">
      <c r="A7" s="15" t="n">
        <v>5</v>
      </c>
      <c r="B7" s="13" t="inlineStr">
        <is>
          <t>الامتياز التجاري</t>
        </is>
      </c>
      <c r="C7" s="21" t="inlineStr">
        <is>
          <t>عدد محطات الامتياز المشغّلة (تراكمي)</t>
        </is>
      </c>
      <c r="D7" s="49" t="n">
        <v>110</v>
      </c>
      <c r="E7" s="49" t="n">
        <v>150</v>
      </c>
      <c r="F7" s="50" t="n">
        <v>0.7333333333333333</v>
      </c>
      <c r="G7" s="12" t="n">
        <v>0.2666666666666667</v>
      </c>
      <c r="H7" s="49" t="n">
        <v>110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الامتياز</t>
        </is>
      </c>
      <c r="M7" s="51" t="n"/>
    </row>
    <row r="8">
      <c r="A8" s="15" t="n">
        <v>6</v>
      </c>
      <c r="B8" s="13" t="inlineStr">
        <is>
          <t>الإدارة المالية</t>
        </is>
      </c>
      <c r="C8" s="21" t="inlineStr">
        <is>
          <t>نسبة التحصيل العام (الشركة)</t>
        </is>
      </c>
      <c r="D8" s="49" t="n">
        <v>0.699</v>
      </c>
      <c r="E8" s="49" t="n">
        <v>0.95</v>
      </c>
      <c r="F8" s="50" t="n">
        <v>0.7357894736842105</v>
      </c>
      <c r="G8" s="12" t="n">
        <v>0.2642105263157895</v>
      </c>
      <c r="H8" s="49" t="n">
        <v>0.699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المالي</t>
        </is>
      </c>
      <c r="M8" s="51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متوسط تقييم المحطات على خرائط قوقل</t>
        </is>
      </c>
      <c r="D9" s="49" t="n">
        <v>3.474</v>
      </c>
      <c r="E9" s="49" t="n">
        <v>4.7</v>
      </c>
      <c r="F9" s="50" t="n">
        <v>0.7391489361702128</v>
      </c>
      <c r="G9" s="12" t="n">
        <v>0.2608510638297872</v>
      </c>
      <c r="H9" s="49" t="n">
        <v>3.474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1" t="n"/>
    </row>
    <row r="10">
      <c r="A10" s="15" t="n">
        <v>8</v>
      </c>
      <c r="B10" s="13" t="inlineStr">
        <is>
          <t>الامتياز التجاري</t>
        </is>
      </c>
      <c r="C10" s="21" t="inlineStr">
        <is>
          <t>نسبة أتمتة محطات الامتياز</t>
        </is>
      </c>
      <c r="D10" s="49" t="n">
        <v>0.674</v>
      </c>
      <c r="E10" s="49" t="n">
        <v>0.9</v>
      </c>
      <c r="F10" s="50" t="n">
        <v>0.7488888888888889</v>
      </c>
      <c r="G10" s="12" t="n">
        <v>0.2511111111111111</v>
      </c>
      <c r="H10" s="49" t="n">
        <v>0.674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الامتياز</t>
        </is>
      </c>
      <c r="M10" s="51" t="n"/>
    </row>
    <row r="11">
      <c r="A11" s="15" t="n">
        <v>9</v>
      </c>
      <c r="B11" s="13" t="inlineStr">
        <is>
          <t>الإدارة المالية</t>
        </is>
      </c>
      <c r="C11" s="21" t="inlineStr">
        <is>
          <t>دقة تسوية أرامكو</t>
        </is>
      </c>
      <c r="D11" s="49" t="n">
        <v>0.76</v>
      </c>
      <c r="E11" s="49" t="n">
        <v>1</v>
      </c>
      <c r="F11" s="50" t="n">
        <v>0.76</v>
      </c>
      <c r="G11" s="12" t="n">
        <v>0.24</v>
      </c>
      <c r="H11" s="49" t="n">
        <v>0.76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المدير المالي</t>
        </is>
      </c>
      <c r="M11" s="51" t="n"/>
    </row>
    <row r="12">
      <c r="A12" s="15" t="n">
        <v>10</v>
      </c>
      <c r="B12" s="13" t="inlineStr">
        <is>
          <t>الموارد البشرية</t>
        </is>
      </c>
      <c r="C12" s="21" t="inlineStr">
        <is>
          <t>نسبة تنفيذ برامج التدريب والتأهيل المعتمدة</t>
        </is>
      </c>
      <c r="D12" s="49" t="n">
        <v>0.6899999999999999</v>
      </c>
      <c r="E12" s="49" t="n">
        <v>0.9</v>
      </c>
      <c r="F12" s="50" t="n">
        <v>0.7666666666666666</v>
      </c>
      <c r="G12" s="12" t="n">
        <v>0.2333333333333334</v>
      </c>
      <c r="H12" s="49" t="n">
        <v>0.6899999999999999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الموارد البشرية</t>
        </is>
      </c>
      <c r="M12" s="51" t="n"/>
    </row>
    <row r="13">
      <c r="A13" s="15" t="n">
        <v>11</v>
      </c>
      <c r="B13" s="13" t="inlineStr">
        <is>
          <t>الإدارة التنفيذية</t>
        </is>
      </c>
      <c r="C13" s="21" t="inlineStr">
        <is>
          <t>نسبة الالتزام بإطار الحوكمة المؤسسية والامتثال التنظيمي</t>
        </is>
      </c>
      <c r="D13" s="49" t="n">
        <v>0.729</v>
      </c>
      <c r="E13" s="49" t="n">
        <v>0.95</v>
      </c>
      <c r="F13" s="50" t="n">
        <v>0.7673684210526316</v>
      </c>
      <c r="G13" s="12" t="n">
        <v>0.2326315789473684</v>
      </c>
      <c r="H13" s="49" t="n">
        <v>0.729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الرئيس التنفيذي</t>
        </is>
      </c>
      <c r="M13" s="51" t="n"/>
    </row>
    <row r="14">
      <c r="A14" s="15" t="n">
        <v>12</v>
      </c>
      <c r="B14" s="13" t="inlineStr">
        <is>
          <t>سلاسل الإمداد</t>
        </is>
      </c>
      <c r="C14" s="21" t="inlineStr">
        <is>
          <t>مستوى رضا الموردين</t>
        </is>
      </c>
      <c r="D14" s="49" t="n">
        <v>0.663</v>
      </c>
      <c r="E14" s="49" t="n">
        <v>0.85</v>
      </c>
      <c r="F14" s="50" t="n">
        <v>0.78</v>
      </c>
      <c r="G14" s="12" t="n">
        <v>0.22</v>
      </c>
      <c r="H14" s="49" t="n">
        <v>0.663</v>
      </c>
      <c r="I14" s="15" t="inlineStr">
        <is>
          <t>🟡 قريب</t>
        </is>
      </c>
      <c r="J14" s="11" t="inlineStr">
        <is>
          <t>فجوة محدودة — متابعة.</t>
        </is>
      </c>
      <c r="K14" s="11" t="inlineStr">
        <is>
          <t>متابعة أسبوعية لإغلاق الفجوة.</t>
        </is>
      </c>
      <c r="L14" s="15" t="inlineStr">
        <is>
          <t>مدير سلاسل الإمداد</t>
        </is>
      </c>
      <c r="M14" s="51" t="n"/>
    </row>
    <row r="15">
      <c r="A15" s="15" t="n">
        <v>13</v>
      </c>
      <c r="B15" s="13" t="inlineStr">
        <is>
          <t>التسويق</t>
        </is>
      </c>
      <c r="C15" s="21" t="inlineStr">
        <is>
          <t>عدد شراكات التطبيق</t>
        </is>
      </c>
      <c r="D15" s="49" t="n">
        <v>7.8</v>
      </c>
      <c r="E15" s="49" t="n">
        <v>10</v>
      </c>
      <c r="F15" s="50" t="n">
        <v>0.78</v>
      </c>
      <c r="G15" s="12" t="n">
        <v>0.22</v>
      </c>
      <c r="H15" s="49" t="n">
        <v>15.6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التسويق</t>
        </is>
      </c>
      <c r="M15" s="51" t="n"/>
    </row>
    <row r="16">
      <c r="A16" s="15" t="n">
        <v>14</v>
      </c>
      <c r="B16" s="13" t="inlineStr">
        <is>
          <t>التسويق</t>
        </is>
      </c>
      <c r="C16" s="21" t="inlineStr">
        <is>
          <t>عدد تنزيلات التطبيق</t>
        </is>
      </c>
      <c r="D16" s="49" t="n">
        <v>78204</v>
      </c>
      <c r="E16" s="49" t="n">
        <v>100000</v>
      </c>
      <c r="F16" s="50" t="n">
        <v>0.78204</v>
      </c>
      <c r="G16" s="12" t="n">
        <v>0.21796</v>
      </c>
      <c r="H16" s="49" t="n">
        <v>156408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1" t="n"/>
    </row>
    <row r="17">
      <c r="A17" s="15" t="n">
        <v>15</v>
      </c>
      <c r="B17" s="13" t="inlineStr">
        <is>
          <t>الامتياز التجاري</t>
        </is>
      </c>
      <c r="C17" s="21" t="inlineStr">
        <is>
          <t>نسبة الشركاء الملتزمين بمواعيد السداد</t>
        </is>
      </c>
      <c r="D17" s="49" t="n">
        <v>0.705</v>
      </c>
      <c r="E17" s="49" t="n">
        <v>0.9</v>
      </c>
      <c r="F17" s="50" t="n">
        <v>0.7833333333333332</v>
      </c>
      <c r="G17" s="12" t="n">
        <v>0.2166666666666668</v>
      </c>
      <c r="H17" s="49" t="n">
        <v>0.705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الامتياز</t>
        </is>
      </c>
      <c r="M17" s="51" t="n"/>
    </row>
    <row r="18">
      <c r="A18" s="15" t="n">
        <v>16</v>
      </c>
      <c r="B18" s="13" t="inlineStr">
        <is>
          <t>الإدارة القانونية</t>
        </is>
      </c>
      <c r="C18" s="21" t="inlineStr">
        <is>
          <t>مستوى رضا الإدارات عن الدعم القانوني</t>
        </is>
      </c>
      <c r="D18" s="49" t="n">
        <v>0.674</v>
      </c>
      <c r="E18" s="49" t="n">
        <v>0.85</v>
      </c>
      <c r="F18" s="50" t="n">
        <v>0.7929411764705883</v>
      </c>
      <c r="G18" s="12" t="n">
        <v>0.2070588235294117</v>
      </c>
      <c r="H18" s="49" t="n">
        <v>0.674</v>
      </c>
      <c r="I18" s="15" t="inlineStr">
        <is>
          <t>🟡 قريب</t>
        </is>
      </c>
      <c r="J18" s="11" t="inlineStr">
        <is>
          <t>فجوة محدودة — متابعة.</t>
        </is>
      </c>
      <c r="K18" s="11" t="inlineStr">
        <is>
          <t>متابعة أسبوعية لإغلاق الفجوة.</t>
        </is>
      </c>
      <c r="L18" s="15" t="inlineStr">
        <is>
          <t>المدير القانوني</t>
        </is>
      </c>
      <c r="M18" s="51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التزام المحطات بالهوية المؤسسية</t>
        </is>
      </c>
      <c r="D19" s="49" t="n">
        <v>0.44</v>
      </c>
      <c r="E19" s="49" t="n">
        <v>0.55</v>
      </c>
      <c r="F19" s="50" t="n">
        <v>0.7999999999999999</v>
      </c>
      <c r="G19" s="12" t="n">
        <v>0.2000000000000001</v>
      </c>
      <c r="H19" s="49" t="n">
        <v>0.44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1" t="n"/>
    </row>
    <row r="20">
      <c r="A20" s="15" t="n">
        <v>18</v>
      </c>
      <c r="B20" s="13" t="inlineStr">
        <is>
          <t>الامتياز التجاري</t>
        </is>
      </c>
      <c r="C20" s="21" t="inlineStr">
        <is>
          <t>إجمالي مبيعات وقود محطات الامتياز</t>
        </is>
      </c>
      <c r="D20" s="49" t="n">
        <v>576630340</v>
      </c>
      <c r="E20" s="49" t="n">
        <v>718838077</v>
      </c>
      <c r="F20" s="50" t="n">
        <v>0.8021699996840874</v>
      </c>
      <c r="G20" s="12" t="n">
        <v>0.1978300003159126</v>
      </c>
      <c r="H20" s="49" t="n">
        <v>1153260680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الامتياز</t>
        </is>
      </c>
      <c r="M20" s="51" t="n"/>
    </row>
    <row r="21">
      <c r="A21" s="15" t="n">
        <v>19</v>
      </c>
      <c r="B21" s="13" t="inlineStr">
        <is>
          <t>التقنية الرقمية</t>
        </is>
      </c>
      <c r="C21" s="21" t="inlineStr">
        <is>
          <t>نسبة استقرار التشغيل التقني للمحطات</t>
        </is>
      </c>
      <c r="D21" s="49" t="n">
        <v>0.8</v>
      </c>
      <c r="E21" s="49" t="n">
        <v>0.99</v>
      </c>
      <c r="F21" s="50" t="n">
        <v>0.8080808080808082</v>
      </c>
      <c r="G21" s="12" t="n">
        <v>0.1919191919191918</v>
      </c>
      <c r="H21" s="49" t="n">
        <v>0.8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التقنية</t>
        </is>
      </c>
      <c r="M21" s="51" t="n"/>
    </row>
    <row r="22">
      <c r="A22" s="15" t="n">
        <v>20</v>
      </c>
      <c r="B22" s="13" t="inlineStr">
        <is>
          <t>الامتياز التجاري</t>
        </is>
      </c>
      <c r="C22" s="21" t="inlineStr">
        <is>
          <t>نسبة زيادة عدد أصحاب الامتياز</t>
        </is>
      </c>
      <c r="D22" s="49" t="n">
        <v>0.8100000000000001</v>
      </c>
      <c r="E22" s="49" t="n">
        <v>1</v>
      </c>
      <c r="F22" s="50" t="n">
        <v>0.8100000000000001</v>
      </c>
      <c r="G22" s="12" t="n">
        <v>0.1899999999999999</v>
      </c>
      <c r="H22" s="49" t="n">
        <v>0.8100000000000001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الامتياز</t>
        </is>
      </c>
      <c r="M22" s="51" t="n"/>
    </row>
    <row r="23">
      <c r="A23" s="15" t="n">
        <v>21</v>
      </c>
      <c r="B23" s="13" t="inlineStr">
        <is>
          <t>التشغيل والمحطات</t>
        </is>
      </c>
      <c r="C23" s="21" t="inlineStr">
        <is>
          <t>نسبة انخفاض الشكاوى مقارنة بالعام السابق</t>
        </is>
      </c>
      <c r="D23" s="49" t="n">
        <v>0.163</v>
      </c>
      <c r="E23" s="49" t="n">
        <v>0.2</v>
      </c>
      <c r="F23" s="50" t="n">
        <v>0.8149999999999999</v>
      </c>
      <c r="G23" s="12" t="n">
        <v>0.1850000000000001</v>
      </c>
      <c r="H23" s="49" t="n">
        <v>0.163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التشغيل</t>
        </is>
      </c>
      <c r="M23" s="51" t="n"/>
    </row>
    <row r="24">
      <c r="A24" s="15" t="n">
        <v>22</v>
      </c>
      <c r="B24" s="13" t="inlineStr">
        <is>
          <t>العقار</t>
        </is>
      </c>
      <c r="C24" s="21" t="inlineStr">
        <is>
          <t>زيادة عدد العلامات التجارية</t>
        </is>
      </c>
      <c r="D24" s="49" t="n">
        <v>202.6</v>
      </c>
      <c r="E24" s="49" t="n">
        <v>246</v>
      </c>
      <c r="F24" s="50" t="n">
        <v>0.8235772357723578</v>
      </c>
      <c r="G24" s="12" t="n">
        <v>0.1764227642276422</v>
      </c>
      <c r="H24" s="49" t="n">
        <v>202.6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العقار</t>
        </is>
      </c>
      <c r="M24" s="51" t="n"/>
    </row>
    <row r="25">
      <c r="A25" s="15" t="n">
        <v>23</v>
      </c>
      <c r="B25" s="13" t="inlineStr">
        <is>
          <t>الإدارة القانونية</t>
        </is>
      </c>
      <c r="C25" s="21" t="inlineStr">
        <is>
          <t>نسبة القضايا المُغلقة لصالح الشركة</t>
        </is>
      </c>
      <c r="D25" s="49" t="n">
        <v>0.664</v>
      </c>
      <c r="E25" s="49" t="n">
        <v>0.8</v>
      </c>
      <c r="F25" s="50" t="n">
        <v>0.83</v>
      </c>
      <c r="G25" s="12" t="n">
        <v>0.17</v>
      </c>
      <c r="H25" s="49" t="n">
        <v>0.664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المدير القانوني</t>
        </is>
      </c>
      <c r="M25" s="51" t="n"/>
    </row>
    <row r="26">
      <c r="A26" s="15" t="n">
        <v>24</v>
      </c>
      <c r="B26" s="13" t="inlineStr">
        <is>
          <t>الإدارة المالية</t>
        </is>
      </c>
      <c r="C26" s="21" t="inlineStr">
        <is>
          <t>نمو الإيرادات السنوي</t>
        </is>
      </c>
      <c r="D26" s="49" t="n">
        <v>0.169</v>
      </c>
      <c r="E26" s="49" t="n">
        <v>0.2</v>
      </c>
      <c r="F26" s="50" t="n">
        <v>0.845</v>
      </c>
      <c r="G26" s="12" t="n">
        <v>0.155</v>
      </c>
      <c r="H26" s="49" t="n">
        <v>0.169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المالي</t>
        </is>
      </c>
      <c r="M26" s="51" t="n"/>
    </row>
    <row r="27">
      <c r="A27" s="15" t="n">
        <v>25</v>
      </c>
      <c r="B27" s="13" t="inlineStr">
        <is>
          <t>العقار</t>
        </is>
      </c>
      <c r="C27" s="21" t="inlineStr">
        <is>
          <t>نسبة تحصيل الإيجارات</t>
        </is>
      </c>
      <c r="D27" s="49" t="n">
        <v>0.805</v>
      </c>
      <c r="E27" s="49" t="n">
        <v>0.95</v>
      </c>
      <c r="F27" s="50" t="n">
        <v>0.8473684210526317</v>
      </c>
      <c r="G27" s="12" t="n">
        <v>0.1526315789473683</v>
      </c>
      <c r="H27" s="49" t="n">
        <v>0.805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العقار</t>
        </is>
      </c>
      <c r="M27" s="51" t="n"/>
    </row>
    <row r="28">
      <c r="A28" s="15" t="n">
        <v>26</v>
      </c>
      <c r="B28" s="13" t="inlineStr">
        <is>
          <t>سلاسل الإمداد</t>
        </is>
      </c>
      <c r="C28" s="21" t="inlineStr">
        <is>
          <t>نسبة إنجاز أوامر الشراء</t>
        </is>
      </c>
      <c r="D28" s="49" t="n">
        <v>0.8100000000000001</v>
      </c>
      <c r="E28" s="49" t="n">
        <v>0.95</v>
      </c>
      <c r="F28" s="50" t="n">
        <v>0.8526315789473685</v>
      </c>
      <c r="G28" s="12" t="n">
        <v>0.1473684210526315</v>
      </c>
      <c r="H28" s="49" t="n">
        <v>0.8100000000000001</v>
      </c>
      <c r="I28" s="15" t="inlineStr">
        <is>
          <t>🟡 قريب</t>
        </is>
      </c>
      <c r="J28" s="11" t="inlineStr">
        <is>
          <t>فجوة محدودة — متابعة.</t>
        </is>
      </c>
      <c r="K28" s="11" t="inlineStr">
        <is>
          <t>متابعة أسبوعية لإغلاق الفجوة.</t>
        </is>
      </c>
      <c r="L28" s="15" t="inlineStr">
        <is>
          <t>مدير سلاسل الإمداد</t>
        </is>
      </c>
      <c r="M28" s="51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التحصيل المالي من شركاء الامتياز</t>
        </is>
      </c>
      <c r="D29" s="49" t="n">
        <v>0.8120000000000001</v>
      </c>
      <c r="E29" s="49" t="n">
        <v>0.95</v>
      </c>
      <c r="F29" s="50" t="n">
        <v>0.8547368421052632</v>
      </c>
      <c r="G29" s="12" t="n">
        <v>0.1452631578947368</v>
      </c>
      <c r="H29" s="49" t="n">
        <v>0.8120000000000001</v>
      </c>
      <c r="I29" s="15" t="inlineStr">
        <is>
          <t>🟡 قريب</t>
        </is>
      </c>
      <c r="J29" s="11" t="inlineStr">
        <is>
          <t>فجوة محدودة — متابعة.</t>
        </is>
      </c>
      <c r="K29" s="11" t="inlineStr">
        <is>
          <t>متابعة أسبوعية لإغلاق الفجوة.</t>
        </is>
      </c>
      <c r="L29" s="15" t="inlineStr">
        <is>
          <t>مدير الامتياز</t>
        </is>
      </c>
      <c r="M29" s="51" t="n"/>
    </row>
    <row r="30">
      <c r="A30" s="15" t="n">
        <v>28</v>
      </c>
      <c r="B30" s="13" t="inlineStr">
        <is>
          <t>إدارة المشاريع</t>
        </is>
      </c>
      <c r="C30" s="21" t="inlineStr">
        <is>
          <t>نسبة إنجاز محفظة المشاريع</t>
        </is>
      </c>
      <c r="D30" s="49" t="n">
        <v>0.607</v>
      </c>
      <c r="E30" s="49" t="n">
        <v>0.7</v>
      </c>
      <c r="F30" s="50" t="n">
        <v>0.8671428571428572</v>
      </c>
      <c r="G30" s="12" t="n">
        <v>0.1328571428571428</v>
      </c>
      <c r="H30" s="49" t="n">
        <v>0.607</v>
      </c>
      <c r="I30" s="15" t="inlineStr">
        <is>
          <t>🟡 قريب</t>
        </is>
      </c>
      <c r="J30" s="11" t="inlineStr">
        <is>
          <t>فجوة محدودة — متابعة.</t>
        </is>
      </c>
      <c r="K30" s="11" t="inlineStr">
        <is>
          <t>متابعة أسبوعية لإغلاق الفجوة.</t>
        </is>
      </c>
      <c r="L30" s="15" t="inlineStr">
        <is>
          <t>مدير إدارة المشاريع</t>
        </is>
      </c>
      <c r="M30" s="51" t="n"/>
    </row>
    <row r="31">
      <c r="A31" s="15" t="n">
        <v>29</v>
      </c>
      <c r="B31" s="13" t="inlineStr">
        <is>
          <t>الامتياز التجاري</t>
        </is>
      </c>
      <c r="C31" s="21" t="inlineStr">
        <is>
          <t>رفع هامش الربحية للامتياز</t>
        </is>
      </c>
      <c r="D31" s="49" t="n">
        <v>1.564</v>
      </c>
      <c r="E31" s="49" t="n">
        <v>1.8</v>
      </c>
      <c r="F31" s="50" t="n">
        <v>0.8688888888888889</v>
      </c>
      <c r="G31" s="12" t="n">
        <v>0.1311111111111111</v>
      </c>
      <c r="H31" s="49" t="n">
        <v>1.564</v>
      </c>
      <c r="I31" s="15" t="inlineStr">
        <is>
          <t>🟡 قريب</t>
        </is>
      </c>
      <c r="J31" s="11" t="inlineStr">
        <is>
          <t>فجوة محدودة — متابعة.</t>
        </is>
      </c>
      <c r="K31" s="11" t="inlineStr">
        <is>
          <t>متابعة أسبوعية لإغلاق الفجوة.</t>
        </is>
      </c>
      <c r="L31" s="15" t="inlineStr">
        <is>
          <t>مدير الامتياز</t>
        </is>
      </c>
      <c r="M31" s="51" t="n"/>
    </row>
    <row r="32">
      <c r="A32" s="15" t="n">
        <v>30</v>
      </c>
      <c r="B32" s="13" t="inlineStr">
        <is>
          <t>الموارد البشرية</t>
        </is>
      </c>
      <c r="C32" s="21" t="inlineStr">
        <is>
          <t>نسبة دقة الرواتب والمستحقات الشهرية</t>
        </is>
      </c>
      <c r="D32" s="49" t="n">
        <v>0.888</v>
      </c>
      <c r="E32" s="49" t="n">
        <v>0.995</v>
      </c>
      <c r="F32" s="50" t="n">
        <v>0.892462311557789</v>
      </c>
      <c r="G32" s="12" t="n">
        <v>0.107537688442211</v>
      </c>
      <c r="H32" s="49" t="n">
        <v>0.888</v>
      </c>
      <c r="I32" s="15" t="inlineStr">
        <is>
          <t>🟡 قريب</t>
        </is>
      </c>
      <c r="J32" s="11" t="inlineStr">
        <is>
          <t>فجوة محدودة — متابعة.</t>
        </is>
      </c>
      <c r="K32" s="11" t="inlineStr">
        <is>
          <t>متابعة أسبوعية لإغلاق الفجوة.</t>
        </is>
      </c>
      <c r="L32" s="15" t="inlineStr">
        <is>
          <t>مدير الموارد البشرية</t>
        </is>
      </c>
      <c r="M32" s="51" t="n"/>
    </row>
    <row r="33">
      <c r="A33" s="15" t="n">
        <v>31</v>
      </c>
      <c r="B33" s="13" t="inlineStr">
        <is>
          <t>الموارد البشرية</t>
        </is>
      </c>
      <c r="C33" s="21" t="inlineStr">
        <is>
          <t>متوسط مدة إغلاق الشواغر المعتمدة</t>
        </is>
      </c>
      <c r="D33" s="49" t="n">
        <v>33.5</v>
      </c>
      <c r="E33" s="49" t="n">
        <v>30</v>
      </c>
      <c r="F33" s="50" t="n">
        <v>0.8955223880597015</v>
      </c>
      <c r="G33" s="12" t="n">
        <v>0.1044776119402985</v>
      </c>
      <c r="H33" s="49" t="n">
        <v>33.5</v>
      </c>
      <c r="I33" s="15" t="inlineStr">
        <is>
          <t>🟡 قريب</t>
        </is>
      </c>
      <c r="J33" s="11" t="inlineStr">
        <is>
          <t>فجوة محدودة — متابعة.</t>
        </is>
      </c>
      <c r="K33" s="11" t="inlineStr">
        <is>
          <t>متابعة أسبوعية لإغلاق الفجوة.</t>
        </is>
      </c>
      <c r="L33" s="15" t="inlineStr">
        <is>
          <t>مدير الموارد البشرية</t>
        </is>
      </c>
      <c r="M33" s="51" t="n"/>
    </row>
    <row r="34">
      <c r="A34" s="15" t="n">
        <v>32</v>
      </c>
      <c r="B34" s="13" t="inlineStr">
        <is>
          <t>التشغيل والمحطات</t>
        </is>
      </c>
      <c r="C34" s="21" t="inlineStr">
        <is>
          <t>نمو مبيعات الوقود مقارنة بالعام السابق</t>
        </is>
      </c>
      <c r="D34" s="49" t="n">
        <v>0.09</v>
      </c>
      <c r="E34" s="49" t="n">
        <v>0.1</v>
      </c>
      <c r="F34" s="50" t="n">
        <v>0.8999999999999999</v>
      </c>
      <c r="G34" s="12" t="n">
        <v>0.1000000000000001</v>
      </c>
      <c r="H34" s="49" t="n">
        <v>0.09</v>
      </c>
      <c r="I34" s="15" t="inlineStr">
        <is>
          <t>🟡 قريب</t>
        </is>
      </c>
      <c r="J34" s="11" t="inlineStr">
        <is>
          <t>فجوة محدودة — متابعة.</t>
        </is>
      </c>
      <c r="K34" s="11" t="inlineStr">
        <is>
          <t>متابعة أسبوعية لإغلاق الفجوة.</t>
        </is>
      </c>
      <c r="L34" s="15" t="inlineStr">
        <is>
          <t>مدير التشغيل</t>
        </is>
      </c>
      <c r="M34" s="51" t="n"/>
    </row>
    <row r="35">
      <c r="A35" s="15" t="n">
        <v>33</v>
      </c>
      <c r="B35" s="13" t="inlineStr">
        <is>
          <t>الإدارة المالية</t>
        </is>
      </c>
      <c r="C35" s="21" t="inlineStr">
        <is>
          <t>نسبة التدفق النقدي التشغيلي</t>
        </is>
      </c>
      <c r="D35" s="49" t="n">
        <v>0.902</v>
      </c>
      <c r="E35" s="49" t="n">
        <v>1</v>
      </c>
      <c r="F35" s="50" t="n">
        <v>0.902</v>
      </c>
      <c r="G35" s="12" t="n">
        <v>0.09799999999999998</v>
      </c>
      <c r="H35" s="49" t="n">
        <v>0.902</v>
      </c>
      <c r="I35" s="15" t="inlineStr">
        <is>
          <t>🟡 قريب</t>
        </is>
      </c>
      <c r="J35" s="11" t="inlineStr">
        <is>
          <t>فجوة محدودة — متابعة.</t>
        </is>
      </c>
      <c r="K35" s="11" t="inlineStr">
        <is>
          <t>متابعة أسبوعية لإغلاق الفجوة.</t>
        </is>
      </c>
      <c r="L35" s="15" t="inlineStr">
        <is>
          <t>المدير المالي</t>
        </is>
      </c>
      <c r="M35" s="51" t="n"/>
    </row>
    <row r="36">
      <c r="A36" s="15" t="n">
        <v>34</v>
      </c>
      <c r="B36" s="13" t="inlineStr">
        <is>
          <t>الإدارة التنفيذية</t>
        </is>
      </c>
      <c r="C36" s="21" t="inlineStr">
        <is>
          <t>نسبة إنجاز مشاريع الخارطة التنفيذية</t>
        </is>
      </c>
      <c r="D36" s="49" t="n">
        <v>0.906</v>
      </c>
      <c r="E36" s="49" t="n">
        <v>1</v>
      </c>
      <c r="F36" s="50" t="n">
        <v>0.906</v>
      </c>
      <c r="G36" s="12" t="n">
        <v>0.09399999999999997</v>
      </c>
      <c r="H36" s="49" t="n">
        <v>0.906</v>
      </c>
      <c r="I36" s="15" t="inlineStr">
        <is>
          <t>🟡 قريب</t>
        </is>
      </c>
      <c r="J36" s="11" t="inlineStr">
        <is>
          <t>فجوة محدودة — متابعة.</t>
        </is>
      </c>
      <c r="K36" s="11" t="inlineStr">
        <is>
          <t>متابعة أسبوعية لإغلاق الفجوة.</t>
        </is>
      </c>
      <c r="L36" s="15" t="inlineStr">
        <is>
          <t>الرئيس التنفيذي</t>
        </is>
      </c>
      <c r="M36" s="51" t="n"/>
    </row>
    <row r="37">
      <c r="A37" s="15" t="n">
        <v>35</v>
      </c>
      <c r="B37" s="13" t="inlineStr">
        <is>
          <t>العقار</t>
        </is>
      </c>
      <c r="C37" s="21" t="inlineStr">
        <is>
          <t>نسبة إشغال الوحدات</t>
        </is>
      </c>
      <c r="D37" s="49" t="n">
        <v>0.545</v>
      </c>
      <c r="E37" s="49" t="n">
        <v>0.6</v>
      </c>
      <c r="F37" s="50" t="n">
        <v>0.9083333333333334</v>
      </c>
      <c r="G37" s="12" t="n">
        <v>0.09166666666666656</v>
      </c>
      <c r="H37" s="49" t="n">
        <v>0.545</v>
      </c>
      <c r="I37" s="15" t="inlineStr">
        <is>
          <t>🟡 قريب</t>
        </is>
      </c>
      <c r="J37" s="11" t="inlineStr">
        <is>
          <t>فجوة محدودة — متابعة.</t>
        </is>
      </c>
      <c r="K37" s="11" t="inlineStr">
        <is>
          <t>متابعة أسبوعية لإغلاق الفجوة.</t>
        </is>
      </c>
      <c r="L37" s="15" t="inlineStr">
        <is>
          <t>مدير العقار</t>
        </is>
      </c>
      <c r="M37" s="51" t="n"/>
    </row>
    <row r="38">
      <c r="A38" s="15" t="n">
        <v>36</v>
      </c>
      <c r="B38" s="13" t="inlineStr">
        <is>
          <t>الامتياز التجاري</t>
        </is>
      </c>
      <c r="C38" s="21" t="inlineStr">
        <is>
          <t>نسبة المحطات المستوفية لمعايير السلامة</t>
        </is>
      </c>
      <c r="D38" s="49" t="n">
        <v>0.911</v>
      </c>
      <c r="E38" s="49" t="n">
        <v>1</v>
      </c>
      <c r="F38" s="50" t="n">
        <v>0.911</v>
      </c>
      <c r="G38" s="12" t="n">
        <v>0.08899999999999997</v>
      </c>
      <c r="H38" s="49" t="n">
        <v>0.911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الامتياز</t>
        </is>
      </c>
      <c r="M38" s="51" t="n"/>
    </row>
    <row r="39">
      <c r="A39" s="15" t="n">
        <v>37</v>
      </c>
      <c r="B39" s="13" t="inlineStr">
        <is>
          <t>الامتياز التجاري</t>
        </is>
      </c>
      <c r="C39" s="21" t="inlineStr">
        <is>
          <t>نسبة انخفاض الشكاوى التشغيلية والإدارية</t>
        </is>
      </c>
      <c r="D39" s="49" t="n">
        <v>0.274</v>
      </c>
      <c r="E39" s="49" t="n">
        <v>0.3</v>
      </c>
      <c r="F39" s="50" t="n">
        <v>0.9133333333333334</v>
      </c>
      <c r="G39" s="12" t="n">
        <v>0.08666666666666656</v>
      </c>
      <c r="H39" s="49" t="n">
        <v>0.274</v>
      </c>
      <c r="I39" s="15" t="inlineStr">
        <is>
          <t>🟡 قريب</t>
        </is>
      </c>
      <c r="J39" s="11" t="inlineStr">
        <is>
          <t>فجوة محدودة — متابعة.</t>
        </is>
      </c>
      <c r="K39" s="11" t="inlineStr">
        <is>
          <t>متابعة أسبوعية لإغلاق الفجوة.</t>
        </is>
      </c>
      <c r="L39" s="15" t="inlineStr">
        <is>
          <t>مدير الامتياز</t>
        </is>
      </c>
      <c r="M39" s="51" t="n"/>
    </row>
    <row r="40">
      <c r="A40" s="15" t="n">
        <v>38</v>
      </c>
      <c r="B40" s="13" t="inlineStr">
        <is>
          <t>الامتياز التجاري</t>
        </is>
      </c>
      <c r="C40" s="21" t="inlineStr">
        <is>
          <t>متوسط وقت معالجة البلاغات التشغيلية</t>
        </is>
      </c>
      <c r="D40" s="49" t="n">
        <v>26.2</v>
      </c>
      <c r="E40" s="49" t="n">
        <v>24</v>
      </c>
      <c r="F40" s="50" t="n">
        <v>0.916030534351145</v>
      </c>
      <c r="G40" s="12" t="n">
        <v>0.08396946564885499</v>
      </c>
      <c r="H40" s="49" t="n">
        <v>26.2</v>
      </c>
      <c r="I40" s="15" t="inlineStr">
        <is>
          <t>🟡 قريب</t>
        </is>
      </c>
      <c r="J40" s="11" t="inlineStr">
        <is>
          <t>فجوة محدودة — متابعة.</t>
        </is>
      </c>
      <c r="K40" s="11" t="inlineStr">
        <is>
          <t>متابعة أسبوعية لإغلاق الفجوة.</t>
        </is>
      </c>
      <c r="L40" s="15" t="inlineStr">
        <is>
          <t>مدير الامتياز</t>
        </is>
      </c>
      <c r="M40" s="51" t="n"/>
    </row>
    <row r="41">
      <c r="A41" s="15" t="n">
        <v>39</v>
      </c>
      <c r="B41" s="13" t="inlineStr">
        <is>
          <t>التشغيل والمحطات</t>
        </is>
      </c>
      <c r="C41" s="21" t="inlineStr">
        <is>
          <t>عدد المحطات المشغّلة (تراكمي)</t>
        </is>
      </c>
      <c r="D41" s="49" t="n">
        <v>78.5</v>
      </c>
      <c r="E41" s="49" t="n">
        <v>85</v>
      </c>
      <c r="F41" s="50" t="n">
        <v>0.9235294117647059</v>
      </c>
      <c r="G41" s="12" t="n">
        <v>0.07647058823529407</v>
      </c>
      <c r="H41" s="49" t="n">
        <v>78.5</v>
      </c>
      <c r="I41" s="15" t="inlineStr">
        <is>
          <t>🟡 قريب</t>
        </is>
      </c>
      <c r="J41" s="11" t="inlineStr">
        <is>
          <t>فجوة محدودة — متابعة.</t>
        </is>
      </c>
      <c r="K41" s="11" t="inlineStr">
        <is>
          <t>متابعة أسبوعية لإغلاق الفجوة.</t>
        </is>
      </c>
      <c r="L41" s="15" t="inlineStr">
        <is>
          <t>مدير التشغيل</t>
        </is>
      </c>
      <c r="M41" s="51" t="n"/>
    </row>
    <row r="42">
      <c r="A42" s="15" t="n">
        <v>40</v>
      </c>
      <c r="B42" s="13" t="inlineStr">
        <is>
          <t>الامتياز التجاري</t>
        </is>
      </c>
      <c r="C42" s="21" t="inlineStr">
        <is>
          <t>نسبة إغلاق ملاحظات الجودة الميدانية</t>
        </is>
      </c>
      <c r="D42" s="49" t="n">
        <v>0.879</v>
      </c>
      <c r="E42" s="49" t="n">
        <v>0.95</v>
      </c>
      <c r="F42" s="50" t="n">
        <v>0.9252631578947369</v>
      </c>
      <c r="G42" s="12" t="n">
        <v>0.0747368421052631</v>
      </c>
      <c r="H42" s="49" t="n">
        <v>0.879</v>
      </c>
      <c r="I42" s="15" t="inlineStr">
        <is>
          <t>🟡 قريب</t>
        </is>
      </c>
      <c r="J42" s="11" t="inlineStr">
        <is>
          <t>فجوة محدودة — متابعة.</t>
        </is>
      </c>
      <c r="K42" s="11" t="inlineStr">
        <is>
          <t>متابعة أسبوعية لإغلاق الفجوة.</t>
        </is>
      </c>
      <c r="L42" s="15" t="inlineStr">
        <is>
          <t>مدير الامتياز</t>
        </is>
      </c>
      <c r="M42" s="51" t="n"/>
    </row>
    <row r="43">
      <c r="A43" s="15" t="n">
        <v>41</v>
      </c>
      <c r="B43" s="13" t="inlineStr">
        <is>
          <t>إدارة المشاريع</t>
        </is>
      </c>
      <c r="C43" s="21" t="inlineStr">
        <is>
          <t>متوسط مدة إغلاق قائمة الملاحظات النهائية</t>
        </is>
      </c>
      <c r="D43" s="49" t="n">
        <v>32.4</v>
      </c>
      <c r="E43" s="49" t="n">
        <v>30</v>
      </c>
      <c r="F43" s="50" t="n">
        <v>0.9259259259259259</v>
      </c>
      <c r="G43" s="12" t="n">
        <v>0.07407407407407407</v>
      </c>
      <c r="H43" s="49" t="n">
        <v>32.4</v>
      </c>
      <c r="I43" s="15" t="inlineStr">
        <is>
          <t>🟡 قريب</t>
        </is>
      </c>
      <c r="J43" s="11" t="inlineStr">
        <is>
          <t>فجوة محدودة — متابعة.</t>
        </is>
      </c>
      <c r="K43" s="11" t="inlineStr">
        <is>
          <t>متابعة أسبوعية لإغلاق الفجوة.</t>
        </is>
      </c>
      <c r="L43" s="15" t="inlineStr">
        <is>
          <t>مدير إدارة المشاريع</t>
        </is>
      </c>
      <c r="M43" s="51" t="n"/>
    </row>
    <row r="44">
      <c r="A44" s="15" t="n">
        <v>42</v>
      </c>
      <c r="B44" s="13" t="inlineStr">
        <is>
          <t>الامتياز التجاري</t>
        </is>
      </c>
      <c r="C44" s="21" t="inlineStr">
        <is>
          <t>متوسط درجة تقييم جودة المحطة (قائمة التحقق)</t>
        </is>
      </c>
      <c r="D44" s="49" t="n">
        <v>78.8</v>
      </c>
      <c r="E44" s="49" t="n">
        <v>85</v>
      </c>
      <c r="F44" s="50" t="n">
        <v>0.9270588235294117</v>
      </c>
      <c r="G44" s="12" t="n">
        <v>0.07294117647058829</v>
      </c>
      <c r="H44" s="49" t="n">
        <v>78.8</v>
      </c>
      <c r="I44" s="15" t="inlineStr">
        <is>
          <t>🟡 قريب</t>
        </is>
      </c>
      <c r="J44" s="11" t="inlineStr">
        <is>
          <t>فجوة محدودة — متابعة.</t>
        </is>
      </c>
      <c r="K44" s="11" t="inlineStr">
        <is>
          <t>متابعة أسبوعية لإغلاق الفجوة.</t>
        </is>
      </c>
      <c r="L44" s="15" t="inlineStr">
        <is>
          <t>مدير الامتياز</t>
        </is>
      </c>
      <c r="M44" s="51" t="n"/>
    </row>
    <row r="45">
      <c r="A45" s="15" t="n">
        <v>43</v>
      </c>
      <c r="B45" s="13" t="inlineStr">
        <is>
          <t>الاستثمار</t>
        </is>
      </c>
      <c r="C45" s="21" t="inlineStr">
        <is>
          <t>عدد العقود التي تغطي المناطق الـ13</t>
        </is>
      </c>
      <c r="D45" s="49" t="n">
        <v>12.1</v>
      </c>
      <c r="E45" s="49" t="n">
        <v>13</v>
      </c>
      <c r="F45" s="50" t="n">
        <v>0.9307692307692308</v>
      </c>
      <c r="G45" s="12" t="n">
        <v>0.06923076923076921</v>
      </c>
      <c r="H45" s="49" t="n">
        <v>12.1</v>
      </c>
      <c r="I45" s="15" t="inlineStr">
        <is>
          <t>🟡 قريب</t>
        </is>
      </c>
      <c r="J45" s="11" t="inlineStr">
        <is>
          <t>فجوة محدودة — متابعة.</t>
        </is>
      </c>
      <c r="K45" s="11" t="inlineStr">
        <is>
          <t>متابعة أسبوعية لإغلاق الفجوة.</t>
        </is>
      </c>
      <c r="L45" s="15" t="inlineStr">
        <is>
          <t>مدير الاستثمار</t>
        </is>
      </c>
      <c r="M45" s="51" t="n"/>
    </row>
    <row r="46">
      <c r="A46" s="15" t="n">
        <v>44</v>
      </c>
      <c r="B46" s="13" t="inlineStr">
        <is>
          <t>الاستثمار</t>
        </is>
      </c>
      <c r="C46" s="21" t="inlineStr">
        <is>
          <t>نسبة المواقع المشغّلة ذات العائد المجدي</t>
        </is>
      </c>
      <c r="D46" s="49" t="n">
        <v>0.748</v>
      </c>
      <c r="E46" s="49" t="n">
        <v>0.8</v>
      </c>
      <c r="F46" s="50" t="n">
        <v>0.9349999999999999</v>
      </c>
      <c r="G46" s="12" t="n">
        <v>0.06500000000000006</v>
      </c>
      <c r="H46" s="49" t="n">
        <v>0.748</v>
      </c>
      <c r="I46" s="15" t="inlineStr">
        <is>
          <t>🟡 قريب</t>
        </is>
      </c>
      <c r="J46" s="11" t="inlineStr">
        <is>
          <t>فجوة محدودة — متابعة.</t>
        </is>
      </c>
      <c r="K46" s="11" t="inlineStr">
        <is>
          <t>متابعة أسبوعية لإغلاق الفجوة.</t>
        </is>
      </c>
      <c r="L46" s="15" t="inlineStr">
        <is>
          <t>مدير الاستثمار</t>
        </is>
      </c>
      <c r="M46" s="51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استدامة أصحاب الامتياز (Retention)</t>
        </is>
      </c>
      <c r="D47" s="49" t="n">
        <v>0.853</v>
      </c>
      <c r="E47" s="49" t="n">
        <v>0.9</v>
      </c>
      <c r="F47" s="50" t="n">
        <v>0.9477777777777777</v>
      </c>
      <c r="G47" s="12" t="n">
        <v>0.05222222222222228</v>
      </c>
      <c r="H47" s="49" t="n">
        <v>0.853</v>
      </c>
      <c r="I47" s="15" t="inlineStr">
        <is>
          <t>🟡 قريب</t>
        </is>
      </c>
      <c r="J47" s="11" t="inlineStr">
        <is>
          <t>فجوة محدودة — متابعة.</t>
        </is>
      </c>
      <c r="K47" s="11" t="inlineStr">
        <is>
          <t>متابعة أسبوعية لإغلاق الفجوة.</t>
        </is>
      </c>
      <c r="L47" s="15" t="inlineStr">
        <is>
          <t>مدير الامتياز</t>
        </is>
      </c>
      <c r="M47" s="51" t="n"/>
    </row>
    <row r="48">
      <c r="A48" s="15" t="n">
        <v>46</v>
      </c>
      <c r="B48" s="13" t="inlineStr">
        <is>
          <t>الامتياز التجاري</t>
        </is>
      </c>
      <c r="C48" s="21" t="inlineStr">
        <is>
          <t>عدد عقود الامتياز الجديدة الموقّعة</t>
        </is>
      </c>
      <c r="D48" s="49" t="n">
        <v>159.2</v>
      </c>
      <c r="E48" s="49" t="n">
        <v>167</v>
      </c>
      <c r="F48" s="50" t="n">
        <v>0.9532934131736527</v>
      </c>
      <c r="G48" s="12" t="n">
        <v>0.04670658682634732</v>
      </c>
      <c r="H48" s="49" t="n">
        <v>318.4</v>
      </c>
      <c r="I48" s="15" t="inlineStr">
        <is>
          <t>🟡 قريب</t>
        </is>
      </c>
      <c r="J48" s="11" t="inlineStr">
        <is>
          <t>فجوة محدودة — متابعة.</t>
        </is>
      </c>
      <c r="K48" s="11" t="inlineStr">
        <is>
          <t>متابعة أسبوعية لإغلاق الفجوة.</t>
        </is>
      </c>
      <c r="L48" s="15" t="inlineStr">
        <is>
          <t>مدير الامتياز</t>
        </is>
      </c>
      <c r="M48" s="51" t="n"/>
    </row>
    <row r="49">
      <c r="A49" s="15" t="n">
        <v>47</v>
      </c>
      <c r="B49" s="13" t="inlineStr">
        <is>
          <t>الامتياز التجاري</t>
        </is>
      </c>
      <c r="C49" s="21" t="inlineStr">
        <is>
          <t>نسبة حل الشكاوى خلال المدة المحددة</t>
        </is>
      </c>
      <c r="D49" s="49" t="n">
        <v>0.922</v>
      </c>
      <c r="E49" s="49" t="n">
        <v>0.95</v>
      </c>
      <c r="F49" s="50" t="n">
        <v>0.9705263157894738</v>
      </c>
      <c r="G49" s="12" t="n">
        <v>0.02947368421052621</v>
      </c>
      <c r="H49" s="49" t="n">
        <v>0.922</v>
      </c>
      <c r="I49" s="15" t="inlineStr">
        <is>
          <t>🟡 قريب</t>
        </is>
      </c>
      <c r="J49" s="11" t="inlineStr">
        <is>
          <t>فجوة محدودة — متابعة.</t>
        </is>
      </c>
      <c r="K49" s="11" t="inlineStr">
        <is>
          <t>متابعة أسبوعية لإغلاق الفجوة.</t>
        </is>
      </c>
      <c r="L49" s="15" t="inlineStr">
        <is>
          <t>مدير الامتياز</t>
        </is>
      </c>
      <c r="M49" s="51" t="n"/>
    </row>
    <row r="50">
      <c r="A50" s="15" t="n">
        <v>48</v>
      </c>
      <c r="B50" s="13" t="inlineStr">
        <is>
          <t>سلاسل الإمداد</t>
        </is>
      </c>
      <c r="C50" s="21" t="inlineStr">
        <is>
          <t>نسبة نقليات أسطول درب</t>
        </is>
      </c>
      <c r="D50" s="49" t="n">
        <v>0.293</v>
      </c>
      <c r="E50" s="49" t="n">
        <v>0.3</v>
      </c>
      <c r="F50" s="50" t="n">
        <v>0.9766666666666667</v>
      </c>
      <c r="G50" s="12" t="n">
        <v>0.02333333333333332</v>
      </c>
      <c r="H50" s="49" t="n">
        <v>0.293</v>
      </c>
      <c r="I50" s="15" t="inlineStr">
        <is>
          <t>🟡 قريب</t>
        </is>
      </c>
      <c r="J50" s="11" t="inlineStr">
        <is>
          <t>فجوة محدودة — متابعة.</t>
        </is>
      </c>
      <c r="K50" s="11" t="inlineStr">
        <is>
          <t>متابعة أسبوعية لإغلاق الفجوة.</t>
        </is>
      </c>
      <c r="L50" s="15" t="inlineStr">
        <is>
          <t>مدير سلاسل الإمداد</t>
        </is>
      </c>
      <c r="M50" s="51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تطبيق المعيار الشامل في المحطات</t>
        </is>
      </c>
      <c r="D51" s="49" t="n">
        <v>0.787</v>
      </c>
      <c r="E51" s="49" t="n">
        <v>0.8</v>
      </c>
      <c r="F51" s="50" t="n">
        <v>0.98375</v>
      </c>
      <c r="G51" s="12" t="n">
        <v>0.01624999999999999</v>
      </c>
      <c r="H51" s="49" t="n">
        <v>0.787</v>
      </c>
      <c r="I51" s="15" t="inlineStr">
        <is>
          <t>🟡 قريب</t>
        </is>
      </c>
      <c r="J51" s="11" t="inlineStr">
        <is>
          <t>فجوة محدودة — متابعة.</t>
        </is>
      </c>
      <c r="K51" s="11" t="inlineStr">
        <is>
          <t>متابعة أسبوعية لإغلاق الفجوة.</t>
        </is>
      </c>
      <c r="L51" s="15" t="inlineStr">
        <is>
          <t>مدير التشغيل</t>
        </is>
      </c>
      <c r="M51" s="51" t="n"/>
    </row>
    <row r="52">
      <c r="A52" s="15" t="n">
        <v>50</v>
      </c>
      <c r="B52" s="13" t="inlineStr">
        <is>
          <t>التقنية الرقمية</t>
        </is>
      </c>
      <c r="C52" s="21" t="inlineStr">
        <is>
          <t>نسبة إنجاز مشاريع التحول الرقمي والمشاريع التقنية حسب الخطة</t>
        </is>
      </c>
      <c r="D52" s="49" t="n">
        <v>0.89</v>
      </c>
      <c r="E52" s="49" t="n">
        <v>0.9</v>
      </c>
      <c r="F52" s="50" t="n">
        <v>0.9888888888888889</v>
      </c>
      <c r="G52" s="12" t="n">
        <v>0.01111111111111107</v>
      </c>
      <c r="H52" s="49" t="n">
        <v>0.89</v>
      </c>
      <c r="I52" s="15" t="inlineStr">
        <is>
          <t>🟡 قريب</t>
        </is>
      </c>
      <c r="J52" s="11" t="inlineStr">
        <is>
          <t>فجوة محدودة — متابعة.</t>
        </is>
      </c>
      <c r="K52" s="11" t="inlineStr">
        <is>
          <t>متابعة أسبوعية لإغلاق الفجوة.</t>
        </is>
      </c>
      <c r="L52" s="15" t="inlineStr">
        <is>
          <t>مدير التقنية</t>
        </is>
      </c>
      <c r="M52" s="51" t="n"/>
    </row>
    <row r="53">
      <c r="A53" s="15" t="n">
        <v>51</v>
      </c>
      <c r="B53" s="13" t="inlineStr">
        <is>
          <t>الإدارة المالية</t>
        </is>
      </c>
      <c r="C53" s="21" t="inlineStr">
        <is>
          <t>انحراف الموازنة</t>
        </is>
      </c>
      <c r="D53" s="49" t="n">
        <v>0.101</v>
      </c>
      <c r="E53" s="49" t="n">
        <v>0.1</v>
      </c>
      <c r="F53" s="50" t="n">
        <v>0.9900990099009901</v>
      </c>
      <c r="G53" s="12" t="n">
        <v>0.00990099009900991</v>
      </c>
      <c r="H53" s="49" t="n">
        <v>0.101</v>
      </c>
      <c r="I53" s="15" t="inlineStr">
        <is>
          <t>🟡 قريب</t>
        </is>
      </c>
      <c r="J53" s="11" t="inlineStr">
        <is>
          <t>فجوة محدودة — متابعة.</t>
        </is>
      </c>
      <c r="K53" s="11" t="inlineStr">
        <is>
          <t>متابعة أسبوعية لإغلاق الفجوة.</t>
        </is>
      </c>
      <c r="L53" s="15" t="inlineStr">
        <is>
          <t>المدير المالي</t>
        </is>
      </c>
      <c r="M53" s="51" t="n"/>
    </row>
    <row r="54">
      <c r="A54" s="15" t="n">
        <v>52</v>
      </c>
      <c r="B54" s="13" t="inlineStr">
        <is>
          <t>الامتياز التجاري</t>
        </is>
      </c>
      <c r="C54" s="21" t="inlineStr">
        <is>
          <t>نسبة تطبيق المعيار الشامل داخل المحطات</t>
        </is>
      </c>
      <c r="D54" s="49" t="n">
        <v>0.299</v>
      </c>
      <c r="E54" s="49" t="n">
        <v>0.3</v>
      </c>
      <c r="F54" s="50" t="n">
        <v>0.9966666666666667</v>
      </c>
      <c r="G54" s="12" t="n">
        <v>0.003333333333333299</v>
      </c>
      <c r="H54" s="49" t="n">
        <v>0.299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مدير الامتياز</t>
        </is>
      </c>
      <c r="M54" s="51" t="n"/>
    </row>
  </sheetData>
  <autoFilter ref="A2:M54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نسبة إنجاز مشاريع الخارطة التنفيذية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1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0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7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نسبة التحول الرقمي على مستوى الشركة</t>
        </is>
      </c>
      <c r="D5" s="15" t="inlineStr">
        <is>
          <t>شهري</t>
        </is>
      </c>
      <c r="E5" s="15" t="inlineStr">
        <is>
          <t>لقطة</t>
        </is>
      </c>
      <c r="F5" s="49" t="inlineStr">
        <is>
          <t>↑</t>
        </is>
      </c>
      <c r="G5" s="55" t="n">
        <v>0.9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0">
        <f>IFERROR(LOOKUP(2,1/($H5:$S5&lt;&gt;""),$H5:$S5),"")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7">
        <f>IF($G5="","",$G5)</f>
        <v/>
      </c>
      <c r="X5" s="54">
        <f>IF($U5="","—",IF($U5&gt;=0.85,"🟢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الالتزام بإطار الحوكمة المؤسسية والامتثال التنظيمي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5" t="n">
        <v>0.95</v>
      </c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محقق",IF($U6&gt;=0.97,"🟡 قريب","🔴 تحت الهدف")))</f>
        <v/>
      </c>
      <c r="W6" s="57">
        <f>IF($G6="","",$G6)</f>
        <v/>
      </c>
      <c r="X6" s="54">
        <f>IF($U6="","—",IF($U6&gt;=0.97,"🟢 على المسار","🟠 متأخّر"))</f>
        <v/>
      </c>
    </row>
    <row r="7" ht="22" customHeight="1">
      <c r="A7" s="54" t="n">
        <v>4</v>
      </c>
      <c r="B7" s="13" t="inlineStr">
        <is>
          <t>الامتياز التجاري</t>
        </is>
      </c>
      <c r="C7" s="11" t="inlineStr">
        <is>
          <t>عدد محطات الامتياز المشغّلة (تراكمي)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8" t="n">
        <v>150</v>
      </c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6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الامتياز التجاري</t>
        </is>
      </c>
      <c r="C8" s="11" t="inlineStr">
        <is>
          <t>عدد عقود الامتياز الجديدة الموقّعة</t>
        </is>
      </c>
      <c r="D8" s="15" t="inlineStr">
        <is>
          <t>شهري</t>
        </is>
      </c>
      <c r="E8" s="15" t="inlineStr">
        <is>
          <t>تراكمي</t>
        </is>
      </c>
      <c r="F8" s="49" t="inlineStr">
        <is>
          <t>↑</t>
        </is>
      </c>
      <c r="G8" s="58" t="n">
        <v>167</v>
      </c>
      <c r="H8" s="59" t="n"/>
      <c r="I8" s="59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  <c r="T8" s="60">
        <f>IF(COUNT($H8:$S8)=0,"",SUM($H8:$S8))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IF($G8="","",$G8*COUNT($H8:$S8)/12)</f>
        <v/>
      </c>
      <c r="X8" s="54">
        <f>IF($U8="","—",IF($U8&gt;=COUNT($H8:$S8)/12,"🟢 على المسار","🟠 متأخّر"))</f>
        <v/>
      </c>
    </row>
    <row r="9" ht="22" customHeight="1">
      <c r="A9" s="54" t="n">
        <v>6</v>
      </c>
      <c r="B9" s="13" t="inlineStr">
        <is>
          <t>الامتياز التجاري</t>
        </is>
      </c>
      <c r="C9" s="11" t="inlineStr">
        <is>
          <t>إجمالي مبيعات وقود محطات الامتياز</t>
        </is>
      </c>
      <c r="D9" s="15" t="inlineStr">
        <is>
          <t>شهري</t>
        </is>
      </c>
      <c r="E9" s="15" t="inlineStr">
        <is>
          <t>تراكمي</t>
        </is>
      </c>
      <c r="F9" s="49" t="inlineStr">
        <is>
          <t>↑</t>
        </is>
      </c>
      <c r="G9" s="58" t="n">
        <v>718838077</v>
      </c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60">
        <f>IF(COUNT($H9:$S9)=0,"",SUM($H9:$S9))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هدف",IF($U9&gt;=1.0,"✅ محقق",IF($U9&gt;=0.85,"🟡 قريب","🔴 تحت الهدف")))</f>
        <v/>
      </c>
      <c r="W9" s="61">
        <f>IF($G9="","",$G9*COUNT($H9:$S9)/12)</f>
        <v/>
      </c>
      <c r="X9" s="54">
        <f>IF($U9="","—",IF($U9&gt;=COUNT($H9:$S9)/12,"🟢 على المسار","🟠 متأخّر"))</f>
        <v/>
      </c>
    </row>
    <row r="10" ht="22" customHeight="1">
      <c r="A10" s="54" t="n">
        <v>7</v>
      </c>
      <c r="B10" s="13" t="inlineStr">
        <is>
          <t>الامتياز التجاري</t>
        </is>
      </c>
      <c r="C10" s="11" t="inlineStr">
        <is>
          <t>نسبة تأجير وحدات الامتياز</t>
        </is>
      </c>
      <c r="D10" s="15" t="inlineStr">
        <is>
          <t>شهري</t>
        </is>
      </c>
      <c r="E10" s="15" t="inlineStr">
        <is>
          <t>معدل</t>
        </is>
      </c>
      <c r="F10" s="49" t="inlineStr">
        <is>
          <t>↑</t>
        </is>
      </c>
      <c r="G10" s="55" t="n">
        <v>0.7</v>
      </c>
      <c r="H10" s="56" t="n"/>
      <c r="I10" s="56" t="n"/>
      <c r="J10" s="56" t="n"/>
      <c r="K10" s="56" t="n"/>
      <c r="L10" s="56" t="n"/>
      <c r="M10" s="56" t="n"/>
      <c r="N10" s="56" t="n"/>
      <c r="O10" s="56" t="n"/>
      <c r="P10" s="56" t="n"/>
      <c r="Q10" s="56" t="n"/>
      <c r="R10" s="56" t="n"/>
      <c r="S10" s="56" t="n"/>
      <c r="T10" s="50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هدف",IF($U10&gt;=1.0,"✅ محقق",IF($U10&gt;=0.85,"🟡 قريب","🔴 تحت الهدف")))</f>
        <v/>
      </c>
      <c r="W10" s="57">
        <f>IF($G10="","",$G10)</f>
        <v/>
      </c>
      <c r="X10" s="54">
        <f>IF($U10="","—",IF($U10&gt;=0.85,"🟢 على المسار","🟠 متأخّر"))</f>
        <v/>
      </c>
    </row>
    <row r="11" ht="22" customHeight="1">
      <c r="A11" s="54" t="n">
        <v>8</v>
      </c>
      <c r="B11" s="13" t="inlineStr">
        <is>
          <t>الامتياز التجاري</t>
        </is>
      </c>
      <c r="C11" s="11" t="inlineStr">
        <is>
          <t>إجمالي إيرادات إدارة الامتياز</t>
        </is>
      </c>
      <c r="D11" s="15" t="inlineStr">
        <is>
          <t>شهري</t>
        </is>
      </c>
      <c r="E11" s="15" t="inlineStr">
        <is>
          <t>تراكمي</t>
        </is>
      </c>
      <c r="F11" s="49" t="inlineStr">
        <is>
          <t>↑</t>
        </is>
      </c>
      <c r="G11" s="49" t="n"/>
      <c r="H11" s="62" t="n"/>
      <c r="I11" s="62" t="n"/>
      <c r="J11" s="62" t="n"/>
      <c r="K11" s="62" t="n"/>
      <c r="L11" s="62" t="n"/>
      <c r="M11" s="62" t="n"/>
      <c r="N11" s="62" t="n"/>
      <c r="O11" s="62" t="n"/>
      <c r="P11" s="62" t="n"/>
      <c r="Q11" s="62" t="n"/>
      <c r="R11" s="62" t="n"/>
      <c r="S11" s="62" t="n"/>
      <c r="T11" s="63">
        <f>IF(COUNT($H11:$S11)=0,"",SUM($H11:$S11))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4">
        <f>IF($G11="","",$G11*COUNT($H11:$S11)/12)</f>
        <v/>
      </c>
      <c r="X11" s="54">
        <f>IF($U11="","—",IF($U11&gt;=COUNT($H11:$S11)/12,"🟢 على المسار","🟠 متأخّر"))</f>
        <v/>
      </c>
    </row>
    <row r="12" ht="22" customHeight="1">
      <c r="A12" s="54" t="n">
        <v>9</v>
      </c>
      <c r="B12" s="13" t="inlineStr">
        <is>
          <t>الامتياز التجاري</t>
        </is>
      </c>
      <c r="C12" s="11" t="inlineStr">
        <is>
          <t>رفع هامش الربحية للامتياز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65" t="n">
        <v>1.8</v>
      </c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7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محقق",IF($U12&gt;=0.85,"🟡 قريب","🔴 تحت الهدف")))</f>
        <v/>
      </c>
      <c r="W12" s="68">
        <f>IF($G12="","",$G12)</f>
        <v/>
      </c>
      <c r="X12" s="54">
        <f>IF($U12="","—",IF($U12&gt;=0.85,"🟢 على المسار","🟠 متأخّر"))</f>
        <v/>
      </c>
    </row>
    <row r="13" ht="22" customHeight="1">
      <c r="A13" s="54" t="n">
        <v>10</v>
      </c>
      <c r="B13" s="13" t="inlineStr">
        <is>
          <t>الامتياز التجاري</t>
        </is>
      </c>
      <c r="C13" s="11" t="inlineStr">
        <is>
          <t>نسبة التحصيل المالي من شركاء الامتياز</t>
        </is>
      </c>
      <c r="D13" s="15" t="inlineStr">
        <is>
          <t>شهري</t>
        </is>
      </c>
      <c r="E13" s="15" t="inlineStr">
        <is>
          <t>معدل</t>
        </is>
      </c>
      <c r="F13" s="49" t="inlineStr">
        <is>
          <t>↑</t>
        </is>
      </c>
      <c r="G13" s="55" t="n">
        <v>0.95</v>
      </c>
      <c r="H13" s="56" t="n"/>
      <c r="I13" s="56" t="n"/>
      <c r="J13" s="56" t="n"/>
      <c r="K13" s="56" t="n"/>
      <c r="L13" s="56" t="n"/>
      <c r="M13" s="56" t="n"/>
      <c r="N13" s="56" t="n"/>
      <c r="O13" s="56" t="n"/>
      <c r="P13" s="56" t="n"/>
      <c r="Q13" s="56" t="n"/>
      <c r="R13" s="56" t="n"/>
      <c r="S13" s="56" t="n"/>
      <c r="T13" s="50">
        <f>IF(COUNT($H13:$S13)=0,"",SUM($H13:$S13)/COUNT($H13:$S13))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57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متوسط أيام تحصيل شركاء الامتياز (DSO)</t>
        </is>
      </c>
      <c r="D14" s="15" t="inlineStr">
        <is>
          <t>شهري</t>
        </is>
      </c>
      <c r="E14" s="15" t="inlineStr">
        <is>
          <t>معدل</t>
        </is>
      </c>
      <c r="F14" s="49" t="inlineStr">
        <is>
          <t>↓</t>
        </is>
      </c>
      <c r="G14" s="65" t="n">
        <v>30</v>
      </c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7">
        <f>IF(COUNT($H14:$S14)=0,"",SUM($H14:$S14)/COUNT($H14:$S14))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6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إجمالي المستحقات المتأخرة (+30 يوم)</t>
        </is>
      </c>
      <c r="D15" s="15" t="inlineStr">
        <is>
          <t>شهري</t>
        </is>
      </c>
      <c r="E15" s="15" t="inlineStr">
        <is>
          <t>لقطة</t>
        </is>
      </c>
      <c r="F15" s="49" t="inlineStr">
        <is>
          <t>↓</t>
        </is>
      </c>
      <c r="G15" s="49" t="n"/>
      <c r="H15" s="62" t="n"/>
      <c r="I15" s="62" t="n"/>
      <c r="J15" s="62" t="n"/>
      <c r="K15" s="62" t="n"/>
      <c r="L15" s="62" t="n"/>
      <c r="M15" s="62" t="n"/>
      <c r="N15" s="62" t="n"/>
      <c r="O15" s="62" t="n"/>
      <c r="P15" s="62" t="n"/>
      <c r="Q15" s="62" t="n"/>
      <c r="R15" s="62" t="n"/>
      <c r="S15" s="62" t="n"/>
      <c r="T15" s="63">
        <f>IFERROR(LOOKUP(2,1/($H15:$S15&lt;&gt;""),$H15:$S15),"")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64">
        <f>IF($G15="","",$G15)</f>
        <v/>
      </c>
      <c r="X15" s="54">
        <f>IF($U15="","—",IF($U15&gt;=0.85,"🟢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نسبة الشركاء الملتزمين بمواعيد السداد</t>
        </is>
      </c>
      <c r="D16" s="15" t="inlineStr">
        <is>
          <t>شهري</t>
        </is>
      </c>
      <c r="E16" s="15" t="inlineStr">
        <is>
          <t>معدل</t>
        </is>
      </c>
      <c r="F16" s="49" t="inlineStr">
        <is>
          <t>↑</t>
        </is>
      </c>
      <c r="G16" s="55" t="n">
        <v>0.9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0">
        <f>IF(COUNT($H16:$S16)=0,"",SUM($H16:$S16)/COUNT($H16:$S16))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7">
        <f>IF($G16="","",$G16)</f>
        <v/>
      </c>
      <c r="X16" s="54">
        <f>IF($U16="","—",IF($U16&gt;=0.85,"🟢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معدل دوران رأس المال (أيام الدورة)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↓</t>
        </is>
      </c>
      <c r="G17" s="65" t="n">
        <v>5</v>
      </c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7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8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نسبة جاهزية محطات الامتياز (صفر انقطاع)</t>
        </is>
      </c>
      <c r="D18" s="15" t="inlineStr">
        <is>
          <t>شهري</t>
        </is>
      </c>
      <c r="E18" s="15" t="inlineStr">
        <is>
          <t>معدل</t>
        </is>
      </c>
      <c r="F18" s="49" t="inlineStr">
        <is>
          <t>↑</t>
        </is>
      </c>
      <c r="G18" s="55" t="n">
        <v>0.99</v>
      </c>
      <c r="H18" s="56" t="n"/>
      <c r="I18" s="56" t="n"/>
      <c r="J18" s="56" t="n"/>
      <c r="K18" s="56" t="n"/>
      <c r="L18" s="56" t="n"/>
      <c r="M18" s="56" t="n"/>
      <c r="N18" s="56" t="n"/>
      <c r="O18" s="56" t="n"/>
      <c r="P18" s="56" t="n"/>
      <c r="Q18" s="56" t="n"/>
      <c r="R18" s="56" t="n"/>
      <c r="S18" s="56" t="n"/>
      <c r="T18" s="50">
        <f>IF(COUNT($H18:$S18)=0,"",SUM($H18:$S18)/COUNT($H18:$S18))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محقق",IF($U18&gt;=0.97,"🟡 قريب","🔴 تحت الهدف")))</f>
        <v/>
      </c>
      <c r="W18" s="57">
        <f>IF($G18="","",$G18)</f>
        <v/>
      </c>
      <c r="X18" s="54">
        <f>IF($U18="","—",IF($U18&gt;=0.97,"🟢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عدد حالات انقطاع الوقود الموثّقة</t>
        </is>
      </c>
      <c r="D19" s="15" t="inlineStr">
        <is>
          <t>شهري</t>
        </is>
      </c>
      <c r="E19" s="15" t="inlineStr">
        <is>
          <t>تراكمي</t>
        </is>
      </c>
      <c r="F19" s="49" t="inlineStr">
        <is>
          <t>↓</t>
        </is>
      </c>
      <c r="G19" s="58" t="n">
        <v>0</v>
      </c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60">
        <f>IF(COUNT($H19:$S19)=0,"",SUM($H19:$S19))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1">
        <f>IF($G19="","",$G19*COUNT($H19:$S19)/12)</f>
        <v/>
      </c>
      <c r="X19" s="54">
        <f>IF($U19="","—",IF($U19&gt;=COUNT($H19:$S19)/12,"🟢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نسبة إغلاق ملاحظات الجودة الميدانية</t>
        </is>
      </c>
      <c r="D20" s="15" t="inlineStr">
        <is>
          <t>شهري</t>
        </is>
      </c>
      <c r="E20" s="15" t="inlineStr">
        <is>
          <t>معدل</t>
        </is>
      </c>
      <c r="F20" s="49" t="inlineStr">
        <is>
          <t>↑</t>
        </is>
      </c>
      <c r="G20" s="55" t="n">
        <v>0.95</v>
      </c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0">
        <f>IF(COUNT($H20:$S20)=0,"",SUM($H20:$S20)/COUNT($H20:$S20))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57">
        <f>IF($G20="","",$G20)</f>
        <v/>
      </c>
      <c r="X20" s="54">
        <f>IF($U20="","—",IF($U20&gt;=0.85,"🟢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متوسط درجة تقييم جودة المحطة (قائمة التحقق)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↑</t>
        </is>
      </c>
      <c r="G21" s="65" t="n">
        <v>85</v>
      </c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7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8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نسبة تنفيذ الزيارات الميدانية المجدولة</t>
        </is>
      </c>
      <c r="D22" s="15" t="inlineStr">
        <is>
          <t>شهري</t>
        </is>
      </c>
      <c r="E22" s="15" t="inlineStr">
        <is>
          <t>معدل</t>
        </is>
      </c>
      <c r="F22" s="49" t="inlineStr">
        <is>
          <t>↑</t>
        </is>
      </c>
      <c r="G22" s="55" t="n">
        <v>1</v>
      </c>
      <c r="H22" s="56" t="n"/>
      <c r="I22" s="56" t="n"/>
      <c r="J22" s="56" t="n"/>
      <c r="K22" s="56" t="n"/>
      <c r="L22" s="56" t="n"/>
      <c r="M22" s="56" t="n"/>
      <c r="N22" s="56" t="n"/>
      <c r="O22" s="56" t="n"/>
      <c r="P22" s="56" t="n"/>
      <c r="Q22" s="56" t="n"/>
      <c r="R22" s="56" t="n"/>
      <c r="S22" s="56" t="n"/>
      <c r="T22" s="50">
        <f>IF(COUNT($H22:$S22)=0,"",SUM($H22:$S22)/COUNT($H22:$S22))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57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نسبة المحطات المستوفية لمعايير السلامة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↑</t>
        </is>
      </c>
      <c r="G23" s="55" t="n">
        <v>1</v>
      </c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0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محقق",IF($U23&gt;=0.97,"🟡 قريب","🔴 تحت الهدف")))</f>
        <v/>
      </c>
      <c r="W23" s="57">
        <f>IF($G23="","",$G23)</f>
        <v/>
      </c>
      <c r="X23" s="54">
        <f>IF($U23="","—",IF($U23&gt;=0.97,"🟢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متوسط وقت معالجة البلاغات التشغيلية</t>
        </is>
      </c>
      <c r="D24" s="15" t="inlineStr">
        <is>
          <t>شهري</t>
        </is>
      </c>
      <c r="E24" s="15" t="inlineStr">
        <is>
          <t>معدل</t>
        </is>
      </c>
      <c r="F24" s="49" t="inlineStr">
        <is>
          <t>↓</t>
        </is>
      </c>
      <c r="G24" s="65" t="n">
        <v>24</v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7">
        <f>IF(COUNT($H24:$S24)=0,"",SUM($H24:$S24)/COUNT($H24:$S24))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8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أتمتة محطات الامتياز</t>
        </is>
      </c>
      <c r="D25" s="15" t="inlineStr">
        <is>
          <t>شهري</t>
        </is>
      </c>
      <c r="E25" s="15" t="inlineStr">
        <is>
          <t>لقطة</t>
        </is>
      </c>
      <c r="F25" s="49" t="inlineStr">
        <is>
          <t>↑</t>
        </is>
      </c>
      <c r="G25" s="55" t="n">
        <v>0.9</v>
      </c>
      <c r="H25" s="56" t="n"/>
      <c r="I25" s="56" t="n"/>
      <c r="J25" s="56" t="n"/>
      <c r="K25" s="56" t="n"/>
      <c r="L25" s="56" t="n"/>
      <c r="M25" s="56" t="n"/>
      <c r="N25" s="56" t="n"/>
      <c r="O25" s="56" t="n"/>
      <c r="P25" s="56" t="n"/>
      <c r="Q25" s="56" t="n"/>
      <c r="R25" s="56" t="n"/>
      <c r="S25" s="56" t="n"/>
      <c r="T25" s="50">
        <f>IFERROR(LOOKUP(2,1/($H25:$S25&lt;&gt;""),$H25:$S25),"")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محقق",IF($U25&gt;=0.85,"🟡 قريب","🔴 تحت الهدف")))</f>
        <v/>
      </c>
      <c r="W25" s="57">
        <f>IF($G25="","",$G25)</f>
        <v/>
      </c>
      <c r="X25" s="54">
        <f>IF($U25="","—",IF($U25&gt;=0.85,"🟢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نسبة تطبيق المعيار الشامل داخل المحطات</t>
        </is>
      </c>
      <c r="D26" s="15" t="inlineStr">
        <is>
          <t>شهري</t>
        </is>
      </c>
      <c r="E26" s="15" t="inlineStr">
        <is>
          <t>لقطة</t>
        </is>
      </c>
      <c r="F26" s="49" t="inlineStr">
        <is>
          <t>↑</t>
        </is>
      </c>
      <c r="G26" s="55" t="n">
        <v>0.3</v>
      </c>
      <c r="H26" s="56" t="n"/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0">
        <f>IFERROR(LOOKUP(2,1/($H26:$S26&lt;&gt;""),$H26:$S26),"")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57">
        <f>IF($G26="","",$G26)</f>
        <v/>
      </c>
      <c r="X26" s="54">
        <f>IF($U26="","—",IF($U26&gt;=0.85,"🟢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التزام المحطات بالهوية المؤسسية</t>
        </is>
      </c>
      <c r="D27" s="15" t="inlineStr">
        <is>
          <t>شهري</t>
        </is>
      </c>
      <c r="E27" s="15" t="inlineStr">
        <is>
          <t>لقطة</t>
        </is>
      </c>
      <c r="F27" s="49" t="inlineStr">
        <is>
          <t>↑</t>
        </is>
      </c>
      <c r="G27" s="55" t="n">
        <v>0.55</v>
      </c>
      <c r="H27" s="56" t="n"/>
      <c r="I27" s="56" t="n"/>
      <c r="J27" s="56" t="n"/>
      <c r="K27" s="56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0">
        <f>IFERROR(LOOKUP(2,1/($H27:$S27&lt;&gt;""),$H27:$S27),"")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محقق",IF($U27&gt;=0.85,"🟡 قريب","🔴 تحت الهدف")))</f>
        <v/>
      </c>
      <c r="W27" s="57">
        <f>IF($G27="","",$G27)</f>
        <v/>
      </c>
      <c r="X27" s="54">
        <f>IF($U27="","—",IF($U27&gt;=0.85,"🟢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متوسط تقييم المحطات على خرائط قوقل</t>
        </is>
      </c>
      <c r="D28" s="15" t="inlineStr">
        <is>
          <t>شهري</t>
        </is>
      </c>
      <c r="E28" s="15" t="inlineStr">
        <is>
          <t>معدل</t>
        </is>
      </c>
      <c r="F28" s="49" t="inlineStr">
        <is>
          <t>↑</t>
        </is>
      </c>
      <c r="G28" s="65" t="n">
        <v>4.7</v>
      </c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7">
        <f>IF(COUNT($H28:$S28)=0,"",SUM($H28:$S28)/COUNT($H28:$S28))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68">
        <f>IF($G28="","",$G28)</f>
        <v/>
      </c>
      <c r="X28" s="54">
        <f>IF($U28="","—",IF($U28&gt;=0.85,"🟢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معدل رضا شركاء الامتياز (CSAT)</t>
        </is>
      </c>
      <c r="D29" s="15" t="inlineStr">
        <is>
          <t>ربعي</t>
        </is>
      </c>
      <c r="E29" s="15" t="inlineStr">
        <is>
          <t>معدل</t>
        </is>
      </c>
      <c r="F29" s="49" t="inlineStr">
        <is>
          <t>↑</t>
        </is>
      </c>
      <c r="G29" s="55" t="n">
        <v>0.9</v>
      </c>
      <c r="H29" s="56" t="n"/>
      <c r="I29" s="56" t="n"/>
      <c r="J29" s="56" t="n"/>
      <c r="K29" s="56" t="n"/>
      <c r="L29" s="56" t="n"/>
      <c r="M29" s="56" t="n"/>
      <c r="N29" s="56" t="n"/>
      <c r="O29" s="56" t="n"/>
      <c r="P29" s="56" t="n"/>
      <c r="Q29" s="56" t="n"/>
      <c r="R29" s="56" t="n"/>
      <c r="S29" s="56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هدف",IF($U29&gt;=0.9,"✅ محقق",IF($U29&gt;=0.75,"🟡 قريب","🔴 تحت الهدف")))</f>
        <v/>
      </c>
      <c r="W29" s="57">
        <f>IF($G29="","",$G29)</f>
        <v/>
      </c>
      <c r="X29" s="54">
        <f>IF($U29="","—",IF($U29&gt;=0.75,"🟢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نسبة حل الشكاوى خلال المدة المحددة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55" t="n">
        <v>0.95</v>
      </c>
      <c r="H30" s="56" t="n"/>
      <c r="I30" s="56" t="n"/>
      <c r="J30" s="56" t="n"/>
      <c r="K30" s="56" t="n"/>
      <c r="L30" s="56" t="n"/>
      <c r="M30" s="56" t="n"/>
      <c r="N30" s="56" t="n"/>
      <c r="O30" s="56" t="n"/>
      <c r="P30" s="56" t="n"/>
      <c r="Q30" s="56" t="n"/>
      <c r="R30" s="56" t="n"/>
      <c r="S30" s="56" t="n"/>
      <c r="T30" s="50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محقق",IF($U30&gt;=0.85,"🟡 قريب","🔴 تحت الهدف")))</f>
        <v/>
      </c>
      <c r="W30" s="57">
        <f>IF($G30="","",$G30)</f>
        <v/>
      </c>
      <c r="X30" s="54">
        <f>IF($U30="","—",IF($U30&gt;=0.85,"🟢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نسبة انخفاض الشكاوى التشغيلية والإدارية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↑</t>
        </is>
      </c>
      <c r="G31" s="55" t="n">
        <v>0.3</v>
      </c>
      <c r="H31" s="56" t="n"/>
      <c r="I31" s="56" t="n"/>
      <c r="J31" s="56" t="n"/>
      <c r="K31" s="56" t="n"/>
      <c r="L31" s="56" t="n"/>
      <c r="M31" s="56" t="n"/>
      <c r="N31" s="56" t="n"/>
      <c r="O31" s="56" t="n"/>
      <c r="P31" s="56" t="n"/>
      <c r="Q31" s="56" t="n"/>
      <c r="R31" s="56" t="n"/>
      <c r="S31" s="56" t="n"/>
      <c r="T31" s="50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57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استدامة أصحاب الامتياز (Retention)</t>
        </is>
      </c>
      <c r="D32" s="15" t="inlineStr">
        <is>
          <t>شهري</t>
        </is>
      </c>
      <c r="E32" s="15" t="inlineStr">
        <is>
          <t>لقطة</t>
        </is>
      </c>
      <c r="F32" s="49" t="inlineStr">
        <is>
          <t>↑</t>
        </is>
      </c>
      <c r="G32" s="55" t="n">
        <v>0.9</v>
      </c>
      <c r="H32" s="56" t="n"/>
      <c r="I32" s="56" t="n"/>
      <c r="J32" s="56" t="n"/>
      <c r="K32" s="56" t="n"/>
      <c r="L32" s="56" t="n"/>
      <c r="M32" s="56" t="n"/>
      <c r="N32" s="56" t="n"/>
      <c r="O32" s="56" t="n"/>
      <c r="P32" s="56" t="n"/>
      <c r="Q32" s="56" t="n"/>
      <c r="R32" s="56" t="n"/>
      <c r="S32" s="56" t="n"/>
      <c r="T32" s="50">
        <f>IFERROR(LOOKUP(2,1/($H32:$S32&lt;&gt;""),$H32:$S32),"")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محقق",IF($U32&gt;=0.85,"🟡 قريب","🔴 تحت الهدف")))</f>
        <v/>
      </c>
      <c r="W32" s="57">
        <f>IF($G32="","",$G32)</f>
        <v/>
      </c>
      <c r="X32" s="54">
        <f>IF($U32="","—",IF($U32&gt;=0.85,"🟢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نسبة زيادة عدد أصحاب الامتياز</t>
        </is>
      </c>
      <c r="D33" s="15" t="inlineStr">
        <is>
          <t>شهري</t>
        </is>
      </c>
      <c r="E33" s="15" t="inlineStr">
        <is>
          <t>لقطة</t>
        </is>
      </c>
      <c r="F33" s="49" t="inlineStr">
        <is>
          <t>↑</t>
        </is>
      </c>
      <c r="G33" s="55" t="n">
        <v>1</v>
      </c>
      <c r="H33" s="56" t="n"/>
      <c r="I33" s="56" t="n"/>
      <c r="J33" s="56" t="n"/>
      <c r="K33" s="56" t="n"/>
      <c r="L33" s="56" t="n"/>
      <c r="M33" s="56" t="n"/>
      <c r="N33" s="56" t="n"/>
      <c r="O33" s="56" t="n"/>
      <c r="P33" s="56" t="n"/>
      <c r="Q33" s="56" t="n"/>
      <c r="R33" s="56" t="n"/>
      <c r="S33" s="56" t="n"/>
      <c r="T33" s="50">
        <f>IFERROR(LOOKUP(2,1/($H33:$S33&lt;&gt;""),$H33:$S33),"")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57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متوسط مدة إغلاق عقد الامتياز</t>
        </is>
      </c>
      <c r="D34" s="15" t="inlineStr">
        <is>
          <t>شهري</t>
        </is>
      </c>
      <c r="E34" s="15" t="inlineStr">
        <is>
          <t>معدل</t>
        </is>
      </c>
      <c r="F34" s="49" t="inlineStr">
        <is>
          <t>↓</t>
        </is>
      </c>
      <c r="G34" s="65" t="n">
        <v>1</v>
      </c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7">
        <f>IF(COUNT($H34:$S34)=0,"",SUM($H34:$S34)/COUNT($H34:$S34))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8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نسبة التحصيل خلال 5 أيام عمل</t>
        </is>
      </c>
      <c r="D35" s="15" t="inlineStr">
        <is>
          <t>شهري</t>
        </is>
      </c>
      <c r="E35" s="15" t="inlineStr">
        <is>
          <t>معدل</t>
        </is>
      </c>
      <c r="F35" s="49" t="inlineStr">
        <is>
          <t>↑</t>
        </is>
      </c>
      <c r="G35" s="55" t="n">
        <v>0.9</v>
      </c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0">
        <f>IF(COUNT($H35:$S35)=0,"",SUM($H35:$S35)/COUNT($H35:$S35))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57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التشغيل والمحطات</t>
        </is>
      </c>
      <c r="C36" s="11" t="inlineStr">
        <is>
          <t>عدد المحطات المشغّلة (تراكمي)</t>
        </is>
      </c>
      <c r="D36" s="15" t="inlineStr">
        <is>
          <t>شهري</t>
        </is>
      </c>
      <c r="E36" s="15" t="inlineStr">
        <is>
          <t>لقطة</t>
        </is>
      </c>
      <c r="F36" s="49" t="inlineStr">
        <is>
          <t>↑</t>
        </is>
      </c>
      <c r="G36" s="58" t="n">
        <v>85</v>
      </c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60">
        <f>IFERROR(LOOKUP(2,1/($H36:$S36&lt;&gt;""),$H36:$S36),"")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هدف",IF($U36&gt;=1.0,"✅ محقق",IF($U36&gt;=0.85,"🟡 قريب","🔴 تحت الهدف")))</f>
        <v/>
      </c>
      <c r="W36" s="61">
        <f>IF($G36="","",$G36)</f>
        <v/>
      </c>
      <c r="X36" s="54">
        <f>IF($U36="","—",IF($U36&gt;=0.85,"🟢 على المسار","🟠 متأخّر"))</f>
        <v/>
      </c>
    </row>
    <row r="37" ht="22" customHeight="1">
      <c r="A37" s="54" t="n">
        <v>34</v>
      </c>
      <c r="B37" s="13" t="inlineStr">
        <is>
          <t>التشغيل والمحطات</t>
        </is>
      </c>
      <c r="C37" s="11" t="inlineStr">
        <is>
          <t>نمو مبيعات الوقود مقارنة بالعام السابق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55" t="n">
        <v>0.1</v>
      </c>
      <c r="H37" s="56" t="n"/>
      <c r="I37" s="56" t="n"/>
      <c r="J37" s="56" t="n"/>
      <c r="K37" s="56" t="n"/>
      <c r="L37" s="56" t="n"/>
      <c r="M37" s="56" t="n"/>
      <c r="N37" s="56" t="n"/>
      <c r="O37" s="56" t="n"/>
      <c r="P37" s="56" t="n"/>
      <c r="Q37" s="56" t="n"/>
      <c r="R37" s="56" t="n"/>
      <c r="S37" s="56" t="n"/>
      <c r="T37" s="50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57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التشغيل والمحطات</t>
        </is>
      </c>
      <c r="C38" s="11" t="inlineStr">
        <is>
          <t>نسبة انخفاض الشكاوى مقارنة بالعام السابق</t>
        </is>
      </c>
      <c r="D38" s="15" t="inlineStr">
        <is>
          <t>شهري</t>
        </is>
      </c>
      <c r="E38" s="15" t="inlineStr">
        <is>
          <t>معدل</t>
        </is>
      </c>
      <c r="F38" s="49" t="inlineStr">
        <is>
          <t>↑</t>
        </is>
      </c>
      <c r="G38" s="55" t="n">
        <v>0.2</v>
      </c>
      <c r="H38" s="56" t="n"/>
      <c r="I38" s="56" t="n"/>
      <c r="J38" s="56" t="n"/>
      <c r="K38" s="56" t="n"/>
      <c r="L38" s="56" t="n"/>
      <c r="M38" s="56" t="n"/>
      <c r="N38" s="56" t="n"/>
      <c r="O38" s="56" t="n"/>
      <c r="P38" s="56" t="n"/>
      <c r="Q38" s="56" t="n"/>
      <c r="R38" s="56" t="n"/>
      <c r="S38" s="56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هدف",IF($U38&gt;=1.0,"✅ محقق",IF($U38&gt;=0.85,"🟡 قريب","🔴 تحت الهدف")))</f>
        <v/>
      </c>
      <c r="W38" s="57">
        <f>IF($G38="","",$G38)</f>
        <v/>
      </c>
      <c r="X38" s="54">
        <f>IF($U38="","—",IF($U38&gt;=0.85,"🟢 على المسار","🟠 متأخّر"))</f>
        <v/>
      </c>
    </row>
    <row r="39" ht="22" customHeight="1">
      <c r="A39" s="54" t="n">
        <v>36</v>
      </c>
      <c r="B39" s="13" t="inlineStr">
        <is>
          <t>التشغيل والمحطات</t>
        </is>
      </c>
      <c r="C39" s="11" t="inlineStr">
        <is>
          <t>تطبيق المعيار الشامل في المحطات</t>
        </is>
      </c>
      <c r="D39" s="15" t="inlineStr">
        <is>
          <t>شهري</t>
        </is>
      </c>
      <c r="E39" s="15" t="inlineStr">
        <is>
          <t>لقطة</t>
        </is>
      </c>
      <c r="F39" s="49" t="inlineStr">
        <is>
          <t>↑</t>
        </is>
      </c>
      <c r="G39" s="55" t="n">
        <v>0.8</v>
      </c>
      <c r="H39" s="56" t="n"/>
      <c r="I39" s="56" t="n"/>
      <c r="J39" s="56" t="n"/>
      <c r="K39" s="56" t="n"/>
      <c r="L39" s="56" t="n"/>
      <c r="M39" s="56" t="n"/>
      <c r="N39" s="56" t="n"/>
      <c r="O39" s="56" t="n"/>
      <c r="P39" s="56" t="n"/>
      <c r="Q39" s="56" t="n"/>
      <c r="R39" s="56" t="n"/>
      <c r="S39" s="56" t="n"/>
      <c r="T39" s="50">
        <f>IFERROR(LOOKUP(2,1/($H39:$S39&lt;&gt;""),$H39:$S39),"")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57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الاستثمار</t>
        </is>
      </c>
      <c r="C40" s="11" t="inlineStr">
        <is>
          <t>عدد فرص الاستثمار</t>
        </is>
      </c>
      <c r="D40" s="15" t="inlineStr">
        <is>
          <t>شهري</t>
        </is>
      </c>
      <c r="E40" s="15" t="inlineStr">
        <is>
          <t>تراكمي</t>
        </is>
      </c>
      <c r="F40" s="49" t="inlineStr">
        <is>
          <t>↑</t>
        </is>
      </c>
      <c r="G40" s="58" t="n">
        <v>20</v>
      </c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60">
        <f>IF(COUNT($H40:$S40)=0,"",SUM($H40:$S40))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IF($G40="","",$G40*COUNT($H40:$S40)/12)</f>
        <v/>
      </c>
      <c r="X40" s="54">
        <f>IF($U40="","—",IF($U40&gt;=COUNT($H40:$S40)/12,"🟢 على المسار","🟠 متأخّر"))</f>
        <v/>
      </c>
    </row>
    <row r="41" ht="22" customHeight="1">
      <c r="A41" s="54" t="n">
        <v>38</v>
      </c>
      <c r="B41" s="13" t="inlineStr">
        <is>
          <t>الاستثمار</t>
        </is>
      </c>
      <c r="C41" s="11" t="inlineStr">
        <is>
          <t>نسبة المواقع المشغّلة ذات العائد المجدي</t>
        </is>
      </c>
      <c r="D41" s="15" t="inlineStr">
        <is>
          <t>شهري</t>
        </is>
      </c>
      <c r="E41" s="15" t="inlineStr">
        <is>
          <t>معدل</t>
        </is>
      </c>
      <c r="F41" s="49" t="inlineStr">
        <is>
          <t>↑</t>
        </is>
      </c>
      <c r="G41" s="55" t="n">
        <v>0.8</v>
      </c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0">
        <f>IF(COUNT($H41:$S41)=0,"",SUM($H41:$S41)/COUNT($H41:$S41))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57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الاستثمار</t>
        </is>
      </c>
      <c r="C42" s="11" t="inlineStr">
        <is>
          <t>مدى رضا المستثمرين وشركاء الاستثمار</t>
        </is>
      </c>
      <c r="D42" s="15" t="inlineStr">
        <is>
          <t>ربعي</t>
        </is>
      </c>
      <c r="E42" s="15" t="inlineStr">
        <is>
          <t>معدل</t>
        </is>
      </c>
      <c r="F42" s="49" t="inlineStr">
        <is>
          <t>↑</t>
        </is>
      </c>
      <c r="G42" s="55" t="n">
        <v>0.8</v>
      </c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50">
        <f>IF(COUNT($H42:$S42)=0,"",SUM($H42:$S42)/COUNT($H42:$S42))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هدف",IF($U42&gt;=0.9,"✅ محقق",IF($U42&gt;=0.75,"🟡 قريب","🔴 تحت الهدف")))</f>
        <v/>
      </c>
      <c r="W42" s="57">
        <f>IF($G42="","",$G42)</f>
        <v/>
      </c>
      <c r="X42" s="54">
        <f>IF($U42="","—",IF($U42&gt;=0.75,"🟢 على المسار","🟠 متأخّر"))</f>
        <v/>
      </c>
    </row>
    <row r="43" ht="22" customHeight="1">
      <c r="A43" s="54" t="n">
        <v>40</v>
      </c>
      <c r="B43" s="13" t="inlineStr">
        <is>
          <t>الاستثمار</t>
        </is>
      </c>
      <c r="C43" s="11" t="inlineStr">
        <is>
          <t>متوسط مدة إغلاق عقد الاستثمار</t>
        </is>
      </c>
      <c r="D43" s="15" t="inlineStr">
        <is>
          <t>شهري</t>
        </is>
      </c>
      <c r="E43" s="15" t="inlineStr">
        <is>
          <t>معدل</t>
        </is>
      </c>
      <c r="F43" s="49" t="inlineStr">
        <is>
          <t>↓</t>
        </is>
      </c>
      <c r="G43" s="65" t="n">
        <v>1</v>
      </c>
      <c r="H43" s="66" t="n"/>
      <c r="I43" s="66" t="n"/>
      <c r="J43" s="66" t="n"/>
      <c r="K43" s="66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7">
        <f>IF(COUNT($H43:$S43)=0,"",SUM($H43:$S43)/COUNT($H43:$S43))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68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الاستثمار</t>
        </is>
      </c>
      <c r="C44" s="11" t="inlineStr">
        <is>
          <t>عدد العقود التي تغطي المناطق الـ13</t>
        </is>
      </c>
      <c r="D44" s="15" t="inlineStr">
        <is>
          <t>شهري</t>
        </is>
      </c>
      <c r="E44" s="15" t="inlineStr">
        <is>
          <t>لقطة</t>
        </is>
      </c>
      <c r="F44" s="49" t="inlineStr">
        <is>
          <t>↑</t>
        </is>
      </c>
      <c r="G44" s="58" t="n">
        <v>13</v>
      </c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60">
        <f>IFERROR(LOOKUP(2,1/($H44:$S44&lt;&gt;""),$H44:$S44),"")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61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العقار</t>
        </is>
      </c>
      <c r="C45" s="11" t="inlineStr">
        <is>
          <t>نسبة إشغال الوحدات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5" t="n">
        <v>0.6</v>
      </c>
      <c r="H45" s="56" t="n"/>
      <c r="I45" s="56" t="n"/>
      <c r="J45" s="56" t="n"/>
      <c r="K45" s="56" t="n"/>
      <c r="L45" s="56" t="n"/>
      <c r="M45" s="56" t="n"/>
      <c r="N45" s="56" t="n"/>
      <c r="O45" s="56" t="n"/>
      <c r="P45" s="56" t="n"/>
      <c r="Q45" s="56" t="n"/>
      <c r="R45" s="56" t="n"/>
      <c r="S45" s="56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57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العقار</t>
        </is>
      </c>
      <c r="C46" s="11" t="inlineStr">
        <is>
          <t>زيادة عدد العلامات التجارية</t>
        </is>
      </c>
      <c r="D46" s="15" t="inlineStr">
        <is>
          <t>شهري</t>
        </is>
      </c>
      <c r="E46" s="15" t="inlineStr">
        <is>
          <t>لقطة</t>
        </is>
      </c>
      <c r="F46" s="49" t="inlineStr">
        <is>
          <t>↑</t>
        </is>
      </c>
      <c r="G46" s="58" t="n">
        <v>246</v>
      </c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60">
        <f>IFERROR(LOOKUP(2,1/($H46:$S46&lt;&gt;""),$H46:$S46),"")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العقار</t>
        </is>
      </c>
      <c r="C47" s="11" t="inlineStr">
        <is>
          <t>معدل رضا المستأجرين (استبيان ربعي)</t>
        </is>
      </c>
      <c r="D47" s="15" t="inlineStr">
        <is>
          <t>ربعي</t>
        </is>
      </c>
      <c r="E47" s="15" t="inlineStr">
        <is>
          <t>معدل</t>
        </is>
      </c>
      <c r="F47" s="49" t="inlineStr">
        <is>
          <t>↑</t>
        </is>
      </c>
      <c r="G47" s="55" t="n">
        <v>0.9</v>
      </c>
      <c r="H47" s="56" t="n"/>
      <c r="I47" s="56" t="n"/>
      <c r="J47" s="56" t="n"/>
      <c r="K47" s="56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0">
        <f>IF(COUNT($H47:$S47)=0,"",SUM($H47:$S47)/COUNT($H47:$S47))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هدف",IF($U47&gt;=0.9,"✅ محقق",IF($U47&gt;=0.75,"🟡 قريب","🔴 تحت الهدف")))</f>
        <v/>
      </c>
      <c r="W47" s="57">
        <f>IF($G47="","",$G47)</f>
        <v/>
      </c>
      <c r="X47" s="54">
        <f>IF($U47="","—",IF($U47&gt;=0.75,"🟢 على المسار","🟠 متأخّر"))</f>
        <v/>
      </c>
    </row>
    <row r="48" ht="22" customHeight="1">
      <c r="A48" s="54" t="n">
        <v>45</v>
      </c>
      <c r="B48" s="13" t="inlineStr">
        <is>
          <t>العقار</t>
        </is>
      </c>
      <c r="C48" s="11" t="inlineStr">
        <is>
          <t>نسبة تحصيل الإيجارات</t>
        </is>
      </c>
      <c r="D48" s="15" t="inlineStr">
        <is>
          <t>شهري</t>
        </is>
      </c>
      <c r="E48" s="15" t="inlineStr">
        <is>
          <t>معدل</t>
        </is>
      </c>
      <c r="F48" s="49" t="inlineStr">
        <is>
          <t>↑</t>
        </is>
      </c>
      <c r="G48" s="55" t="n">
        <v>0.95</v>
      </c>
      <c r="H48" s="56" t="n"/>
      <c r="I48" s="56" t="n"/>
      <c r="J48" s="56" t="n"/>
      <c r="K48" s="56" t="n"/>
      <c r="L48" s="56" t="n"/>
      <c r="M48" s="56" t="n"/>
      <c r="N48" s="56" t="n"/>
      <c r="O48" s="56" t="n"/>
      <c r="P48" s="56" t="n"/>
      <c r="Q48" s="56" t="n"/>
      <c r="R48" s="56" t="n"/>
      <c r="S48" s="56" t="n"/>
      <c r="T48" s="50">
        <f>IF(COUNT($H48:$S48)=0,"",SUM($H48:$S48)/COUNT($H48:$S48))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محقق",IF($U48&gt;=0.85,"🟡 قريب","🔴 تحت الهدف")))</f>
        <v/>
      </c>
      <c r="W48" s="57">
        <f>IF($G48="","",$G48)</f>
        <v/>
      </c>
      <c r="X48" s="54">
        <f>IF($U48="","—",IF($U48&gt;=0.85,"🟢 على المسار","🟠 متأخّر"))</f>
        <v/>
      </c>
    </row>
    <row r="49" ht="22" customHeight="1">
      <c r="A49" s="54" t="n">
        <v>46</v>
      </c>
      <c r="B49" s="13" t="inlineStr">
        <is>
          <t>إدارة المشاريع</t>
        </is>
      </c>
      <c r="C49" s="11" t="inlineStr">
        <is>
          <t>نسبة إنجاز محفظة المشاريع</t>
        </is>
      </c>
      <c r="D49" s="15" t="inlineStr">
        <is>
          <t>شهري</t>
        </is>
      </c>
      <c r="E49" s="15" t="inlineStr">
        <is>
          <t>معدل</t>
        </is>
      </c>
      <c r="F49" s="49" t="inlineStr">
        <is>
          <t>↑</t>
        </is>
      </c>
      <c r="G49" s="55" t="n">
        <v>0.7</v>
      </c>
      <c r="H49" s="56" t="n"/>
      <c r="I49" s="56" t="n"/>
      <c r="J49" s="56" t="n"/>
      <c r="K49" s="56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0">
        <f>IF(COUNT($H49:$S49)=0,"",SUM($H49:$S49)/COUNT($H49:$S49))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هدف",IF($U49&gt;=1.0,"✅ محقق",IF($U49&gt;=0.85,"🟡 قريب","🔴 تحت الهدف")))</f>
        <v/>
      </c>
      <c r="W49" s="57">
        <f>IF($G49="","",$G49)</f>
        <v/>
      </c>
      <c r="X49" s="54">
        <f>IF($U49="","—",IF($U49&gt;=0.85,"🟢 على المسار","🟠 متأخّر"))</f>
        <v/>
      </c>
    </row>
    <row r="50" ht="22" customHeight="1">
      <c r="A50" s="54" t="n">
        <v>47</v>
      </c>
      <c r="B50" s="13" t="inlineStr">
        <is>
          <t>إدارة المشاريع</t>
        </is>
      </c>
      <c r="C50" s="11" t="inlineStr">
        <is>
          <t>نسبة تسليم المحطات في الموعد المخطط</t>
        </is>
      </c>
      <c r="D50" s="15" t="inlineStr">
        <is>
          <t>شهري</t>
        </is>
      </c>
      <c r="E50" s="15" t="inlineStr">
        <is>
          <t>معدل</t>
        </is>
      </c>
      <c r="F50" s="49" t="inlineStr">
        <is>
          <t>↑</t>
        </is>
      </c>
      <c r="G50" s="55" t="n">
        <v>0.8</v>
      </c>
      <c r="H50" s="56" t="n"/>
      <c r="I50" s="56" t="n"/>
      <c r="J50" s="56" t="n"/>
      <c r="K50" s="56" t="n"/>
      <c r="L50" s="56" t="n"/>
      <c r="M50" s="56" t="n"/>
      <c r="N50" s="56" t="n"/>
      <c r="O50" s="56" t="n"/>
      <c r="P50" s="56" t="n"/>
      <c r="Q50" s="56" t="n"/>
      <c r="R50" s="56" t="n"/>
      <c r="S50" s="56" t="n"/>
      <c r="T50" s="50">
        <f>IF(COUNT($H50:$S50)=0,"",SUM($H50:$S50)/COUNT($H50:$S50))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57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إدارة المشاريع</t>
        </is>
      </c>
      <c r="C51" s="11" t="inlineStr">
        <is>
          <t>متوسط مدة إغلاق قائمة الملاحظات النهائية</t>
        </is>
      </c>
      <c r="D51" s="15" t="inlineStr">
        <is>
          <t>شهري</t>
        </is>
      </c>
      <c r="E51" s="15" t="inlineStr">
        <is>
          <t>معدل</t>
        </is>
      </c>
      <c r="F51" s="49" t="inlineStr">
        <is>
          <t>↓</t>
        </is>
      </c>
      <c r="G51" s="65" t="n">
        <v>30</v>
      </c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7">
        <f>IF(COUNT($H51:$S51)=0,"",SUM($H51:$S51)/COUNT($H51:$S51))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68">
        <f>IF($G51="","",$G51)</f>
        <v/>
      </c>
      <c r="X51" s="54">
        <f>IF($U51="","—",IF($U51&gt;=0.85,"🟢 على المسار","🟠 متأخّر"))</f>
        <v/>
      </c>
    </row>
    <row r="52" ht="22" customHeight="1">
      <c r="A52" s="54" t="n">
        <v>49</v>
      </c>
      <c r="B52" s="13" t="inlineStr">
        <is>
          <t>سلاسل الإمداد</t>
        </is>
      </c>
      <c r="C52" s="11" t="inlineStr">
        <is>
          <t>عدد انقطاعات الوقود في المحطات</t>
        </is>
      </c>
      <c r="D52" s="15" t="inlineStr">
        <is>
          <t>شهري</t>
        </is>
      </c>
      <c r="E52" s="15" t="inlineStr">
        <is>
          <t>تراكمي</t>
        </is>
      </c>
      <c r="F52" s="49" t="inlineStr">
        <is>
          <t>↓</t>
        </is>
      </c>
      <c r="G52" s="58" t="n">
        <v>0</v>
      </c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60">
        <f>IF(COUNT($H52:$S52)=0,"",SUM($H52:$S52))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61">
        <f>IF($G52="","",$G52*COUNT($H52:$S52)/12)</f>
        <v/>
      </c>
      <c r="X52" s="54">
        <f>IF($U52="","—",IF($U52&gt;=COUNT($H52:$S52)/12,"🟢 على المسار","🟠 متأخّر"))</f>
        <v/>
      </c>
    </row>
    <row r="53" ht="22" customHeight="1">
      <c r="A53" s="54" t="n">
        <v>50</v>
      </c>
      <c r="B53" s="13" t="inlineStr">
        <is>
          <t>سلاسل الإمداد</t>
        </is>
      </c>
      <c r="C53" s="11" t="inlineStr">
        <is>
          <t>نسبة إنجاز أوامر الشراء</t>
        </is>
      </c>
      <c r="D53" s="15" t="inlineStr">
        <is>
          <t>شهري</t>
        </is>
      </c>
      <c r="E53" s="15" t="inlineStr">
        <is>
          <t>معدل</t>
        </is>
      </c>
      <c r="F53" s="49" t="inlineStr">
        <is>
          <t>↑</t>
        </is>
      </c>
      <c r="G53" s="55" t="n">
        <v>0.95</v>
      </c>
      <c r="H53" s="56" t="n"/>
      <c r="I53" s="56" t="n"/>
      <c r="J53" s="56" t="n"/>
      <c r="K53" s="56" t="n"/>
      <c r="L53" s="56" t="n"/>
      <c r="M53" s="56" t="n"/>
      <c r="N53" s="56" t="n"/>
      <c r="O53" s="56" t="n"/>
      <c r="P53" s="56" t="n"/>
      <c r="Q53" s="56" t="n"/>
      <c r="R53" s="56" t="n"/>
      <c r="S53" s="56" t="n"/>
      <c r="T53" s="50">
        <f>IF(COUNT($H53:$S53)=0,"",SUM($H53:$S53)/COUNT($H53:$S53))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57">
        <f>IF($G53="","",$G53)</f>
        <v/>
      </c>
      <c r="X53" s="54">
        <f>IF($U53="","—",IF($U53&gt;=0.85,"🟢 على المسار","🟠 متأخّر"))</f>
        <v/>
      </c>
    </row>
    <row r="54" ht="22" customHeight="1">
      <c r="A54" s="54" t="n">
        <v>51</v>
      </c>
      <c r="B54" s="13" t="inlineStr">
        <is>
          <t>سلاسل الإمداد</t>
        </is>
      </c>
      <c r="C54" s="11" t="inlineStr">
        <is>
          <t>مستوى رضا الموردين</t>
        </is>
      </c>
      <c r="D54" s="15" t="inlineStr">
        <is>
          <t>ربعي</t>
        </is>
      </c>
      <c r="E54" s="15" t="inlineStr">
        <is>
          <t>معدل</t>
        </is>
      </c>
      <c r="F54" s="49" t="inlineStr">
        <is>
          <t>↑</t>
        </is>
      </c>
      <c r="G54" s="55" t="n">
        <v>0.85</v>
      </c>
      <c r="H54" s="56" t="n"/>
      <c r="I54" s="56" t="n"/>
      <c r="J54" s="56" t="n"/>
      <c r="K54" s="56" t="n"/>
      <c r="L54" s="56" t="n"/>
      <c r="M54" s="56" t="n"/>
      <c r="N54" s="56" t="n"/>
      <c r="O54" s="56" t="n"/>
      <c r="P54" s="56" t="n"/>
      <c r="Q54" s="56" t="n"/>
      <c r="R54" s="56" t="n"/>
      <c r="S54" s="56" t="n"/>
      <c r="T54" s="50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هدف",IF($U54&gt;=0.9,"✅ محقق",IF($U54&gt;=0.75,"🟡 قريب","🔴 تحت الهدف")))</f>
        <v/>
      </c>
      <c r="W54" s="57">
        <f>IF($G54="","",$G54)</f>
        <v/>
      </c>
      <c r="X54" s="54">
        <f>IF($U54="","—",IF($U54&gt;=0.75,"🟢 على المسار","🟠 متأخّر"))</f>
        <v/>
      </c>
    </row>
    <row r="55" ht="22" customHeight="1">
      <c r="A55" s="54" t="n">
        <v>52</v>
      </c>
      <c r="B55" s="13" t="inlineStr">
        <is>
          <t>سلاسل الإمداد</t>
        </is>
      </c>
      <c r="C55" s="11" t="inlineStr">
        <is>
          <t>نسبة نقليات أسطول درب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↑</t>
        </is>
      </c>
      <c r="G55" s="55" t="n">
        <v>0.3</v>
      </c>
      <c r="H55" s="56" t="n"/>
      <c r="I55" s="56" t="n"/>
      <c r="J55" s="56" t="n"/>
      <c r="K55" s="56" t="n"/>
      <c r="L55" s="56" t="n"/>
      <c r="M55" s="56" t="n"/>
      <c r="N55" s="56" t="n"/>
      <c r="O55" s="56" t="n"/>
      <c r="P55" s="56" t="n"/>
      <c r="Q55" s="56" t="n"/>
      <c r="R55" s="56" t="n"/>
      <c r="S55" s="56" t="n"/>
      <c r="T55" s="50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محقق",IF($U55&gt;=0.85,"🟡 قريب","🔴 تحت الهدف")))</f>
        <v/>
      </c>
      <c r="W55" s="57">
        <f>IF($G55="","",$G55)</f>
        <v/>
      </c>
      <c r="X55" s="54">
        <f>IF($U55="","—",IF($U55&gt;=0.85,"🟢 على المسار","🟠 متأخّر"))</f>
        <v/>
      </c>
    </row>
    <row r="56" ht="22" customHeight="1">
      <c r="A56" s="54" t="n">
        <v>53</v>
      </c>
      <c r="B56" s="13" t="inlineStr">
        <is>
          <t>الصيانة والأتمتة</t>
        </is>
      </c>
      <c r="C56" s="11" t="inlineStr">
        <is>
          <t>نسبة تنفيذ الصيانة الوقائية في موعدها</t>
        </is>
      </c>
      <c r="D56" s="15" t="inlineStr">
        <is>
          <t>شهري</t>
        </is>
      </c>
      <c r="E56" s="15" t="inlineStr">
        <is>
          <t>معدل</t>
        </is>
      </c>
      <c r="F56" s="49" t="inlineStr">
        <is>
          <t>↑</t>
        </is>
      </c>
      <c r="G56" s="55" t="n">
        <v>0.95</v>
      </c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50">
        <f>IF(COUNT($H56:$S56)=0,"",SUM($H56:$S56)/COUNT($H56:$S56))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محقق",IF($U56&gt;=0.85,"🟡 قريب","🔴 تحت الهدف")))</f>
        <v/>
      </c>
      <c r="W56" s="57">
        <f>IF($G56="","",$G56)</f>
        <v/>
      </c>
      <c r="X56" s="54">
        <f>IF($U56="","—",IF($U56&gt;=0.85,"🟢 على المسار","🟠 متأخّر"))</f>
        <v/>
      </c>
    </row>
    <row r="57" ht="22" customHeight="1">
      <c r="A57" s="54" t="n">
        <v>54</v>
      </c>
      <c r="B57" s="13" t="inlineStr">
        <is>
          <t>الصيانة والأتمتة</t>
        </is>
      </c>
      <c r="C57" s="11" t="inlineStr">
        <is>
          <t>معدل تكرار الأعطال</t>
        </is>
      </c>
      <c r="D57" s="15" t="inlineStr">
        <is>
          <t>شهري</t>
        </is>
      </c>
      <c r="E57" s="15" t="inlineStr">
        <is>
          <t>معدل</t>
        </is>
      </c>
      <c r="F57" s="49" t="inlineStr">
        <is>
          <t>↓</t>
        </is>
      </c>
      <c r="G57" s="55" t="n">
        <v>0.05</v>
      </c>
      <c r="H57" s="56" t="n"/>
      <c r="I57" s="56" t="n"/>
      <c r="J57" s="56" t="n"/>
      <c r="K57" s="56" t="n"/>
      <c r="L57" s="56" t="n"/>
      <c r="M57" s="56" t="n"/>
      <c r="N57" s="56" t="n"/>
      <c r="O57" s="56" t="n"/>
      <c r="P57" s="56" t="n"/>
      <c r="Q57" s="56" t="n"/>
      <c r="R57" s="56" t="n"/>
      <c r="S57" s="56" t="n"/>
      <c r="T57" s="50">
        <f>IF(COUNT($H57:$S57)=0,"",SUM($H57:$S57)/COUNT($H57:$S57))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محقق",IF($U57&gt;=0.85,"🟡 قريب","🔴 تحت الهدف")))</f>
        <v/>
      </c>
      <c r="W57" s="57">
        <f>IF($G57="","",$G57)</f>
        <v/>
      </c>
      <c r="X57" s="54">
        <f>IF($U57="","—",IF($U57&gt;=0.85,"🟢 على المسار","🟠 متأخّر"))</f>
        <v/>
      </c>
    </row>
    <row r="58" ht="22" customHeight="1">
      <c r="A58" s="54" t="n">
        <v>55</v>
      </c>
      <c r="B58" s="13" t="inlineStr">
        <is>
          <t>التقنية الرقمية</t>
        </is>
      </c>
      <c r="C58" s="11" t="inlineStr">
        <is>
          <t>نسبة استقرار التشغيل التقني للمحطات</t>
        </is>
      </c>
      <c r="D58" s="15" t="inlineStr">
        <is>
          <t>شهري</t>
        </is>
      </c>
      <c r="E58" s="15" t="inlineStr">
        <is>
          <t>معدل</t>
        </is>
      </c>
      <c r="F58" s="49" t="inlineStr">
        <is>
          <t>↑</t>
        </is>
      </c>
      <c r="G58" s="55" t="n">
        <v>0.99</v>
      </c>
      <c r="H58" s="56" t="n"/>
      <c r="I58" s="56" t="n"/>
      <c r="J58" s="56" t="n"/>
      <c r="K58" s="56" t="n"/>
      <c r="L58" s="56" t="n"/>
      <c r="M58" s="56" t="n"/>
      <c r="N58" s="56" t="n"/>
      <c r="O58" s="56" t="n"/>
      <c r="P58" s="56" t="n"/>
      <c r="Q58" s="56" t="n"/>
      <c r="R58" s="56" t="n"/>
      <c r="S58" s="56" t="n"/>
      <c r="T58" s="50">
        <f>IF(COUNT($H58:$S58)=0,"",SUM($H58:$S58)/COUNT($H58:$S58))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محقق",IF($U58&gt;=0.85,"🟡 قريب","🔴 تحت الهدف")))</f>
        <v/>
      </c>
      <c r="W58" s="57">
        <f>IF($G58="","",$G58)</f>
        <v/>
      </c>
      <c r="X58" s="54">
        <f>IF($U58="","—",IF($U58&gt;=0.85,"🟢 على المسار","🟠 متأخّر"))</f>
        <v/>
      </c>
    </row>
    <row r="59" ht="22" customHeight="1">
      <c r="A59" s="54" t="n">
        <v>56</v>
      </c>
      <c r="B59" s="13" t="inlineStr">
        <is>
          <t>التقنية الرقمية</t>
        </is>
      </c>
      <c r="C59" s="11" t="inlineStr">
        <is>
          <t>نسبة إنجاز مشاريع التحول الرقمي والمشاريع التقنية حسب الخطة</t>
        </is>
      </c>
      <c r="D59" s="15" t="inlineStr">
        <is>
          <t>شهري</t>
        </is>
      </c>
      <c r="E59" s="15" t="inlineStr">
        <is>
          <t>معدل</t>
        </is>
      </c>
      <c r="F59" s="49" t="inlineStr">
        <is>
          <t>↑</t>
        </is>
      </c>
      <c r="G59" s="55" t="n">
        <v>0.9</v>
      </c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Q59" s="56" t="n"/>
      <c r="R59" s="56" t="n"/>
      <c r="S59" s="56" t="n"/>
      <c r="T59" s="50">
        <f>IF(COUNT($H59:$S59)=0,"",SUM($H59:$S59)/COUNT($H59:$S59))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57">
        <f>IF($G59="","",$G59)</f>
        <v/>
      </c>
      <c r="X59" s="54">
        <f>IF($U59="","—",IF($U59&gt;=0.85,"🟢 على المسار","🟠 متأخّر"))</f>
        <v/>
      </c>
    </row>
    <row r="60" ht="22" customHeight="1">
      <c r="A60" s="54" t="n">
        <v>57</v>
      </c>
      <c r="B60" s="13" t="inlineStr">
        <is>
          <t>الموارد البشرية</t>
        </is>
      </c>
      <c r="C60" s="11" t="inlineStr">
        <is>
          <t>نسبة الالتزام بنظام العمل واللوائح وخطة القوى العاملة المعتمدة</t>
        </is>
      </c>
      <c r="D60" s="15" t="inlineStr">
        <is>
          <t>شهري</t>
        </is>
      </c>
      <c r="E60" s="15" t="inlineStr">
        <is>
          <t>معدل</t>
        </is>
      </c>
      <c r="F60" s="49" t="inlineStr">
        <is>
          <t>↑</t>
        </is>
      </c>
      <c r="G60" s="55" t="n">
        <v>1</v>
      </c>
      <c r="H60" s="56" t="n"/>
      <c r="I60" s="56" t="n"/>
      <c r="J60" s="56" t="n"/>
      <c r="K60" s="56" t="n"/>
      <c r="L60" s="56" t="n"/>
      <c r="M60" s="56" t="n"/>
      <c r="N60" s="56" t="n"/>
      <c r="O60" s="56" t="n"/>
      <c r="P60" s="56" t="n"/>
      <c r="Q60" s="56" t="n"/>
      <c r="R60" s="56" t="n"/>
      <c r="S60" s="56" t="n"/>
      <c r="T60" s="50">
        <f>IF(COUNT($H60:$S60)=0,"",SUM($H60:$S60)/COUNT($H60:$S60))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57">
        <f>IF($G60="","",$G60)</f>
        <v/>
      </c>
      <c r="X60" s="54">
        <f>IF($U60="","—",IF($U60&gt;=0.85,"🟢 على المسار","🟠 متأخّر"))</f>
        <v/>
      </c>
    </row>
    <row r="61" ht="22" customHeight="1">
      <c r="A61" s="54" t="n">
        <v>58</v>
      </c>
      <c r="B61" s="13" t="inlineStr">
        <is>
          <t>الموارد البشرية</t>
        </is>
      </c>
      <c r="C61" s="11" t="inlineStr">
        <is>
          <t>نسبة تنفيذ برامج التدريب والتأهيل المعتمدة</t>
        </is>
      </c>
      <c r="D61" s="15" t="inlineStr">
        <is>
          <t>شهري</t>
        </is>
      </c>
      <c r="E61" s="15" t="inlineStr">
        <is>
          <t>معدل</t>
        </is>
      </c>
      <c r="F61" s="49" t="inlineStr">
        <is>
          <t>↑</t>
        </is>
      </c>
      <c r="G61" s="55" t="n">
        <v>0.9</v>
      </c>
      <c r="H61" s="56" t="n"/>
      <c r="I61" s="56" t="n"/>
      <c r="J61" s="56" t="n"/>
      <c r="K61" s="56" t="n"/>
      <c r="L61" s="56" t="n"/>
      <c r="M61" s="56" t="n"/>
      <c r="N61" s="56" t="n"/>
      <c r="O61" s="56" t="n"/>
      <c r="P61" s="56" t="n"/>
      <c r="Q61" s="56" t="n"/>
      <c r="R61" s="56" t="n"/>
      <c r="S61" s="56" t="n"/>
      <c r="T61" s="50">
        <f>IF(COUNT($H61:$S61)=0,"",SUM($H61:$S61)/COUNT($H61:$S61))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هدف",IF($U61&gt;=1.0,"✅ محقق",IF($U61&gt;=0.85,"🟡 قريب","🔴 تحت الهدف")))</f>
        <v/>
      </c>
      <c r="W61" s="57">
        <f>IF($G61="","",$G61)</f>
        <v/>
      </c>
      <c r="X61" s="54">
        <f>IF($U61="","—",IF($U61&gt;=0.85,"🟢 على المسار","🟠 متأخّر"))</f>
        <v/>
      </c>
    </row>
    <row r="62" ht="22" customHeight="1">
      <c r="A62" s="54" t="n">
        <v>59</v>
      </c>
      <c r="B62" s="13" t="inlineStr">
        <is>
          <t>الموارد البشرية</t>
        </is>
      </c>
      <c r="C62" s="11" t="inlineStr">
        <is>
          <t>معدل دوران الموظفين</t>
        </is>
      </c>
      <c r="D62" s="15" t="inlineStr">
        <is>
          <t>شهري</t>
        </is>
      </c>
      <c r="E62" s="15" t="inlineStr">
        <is>
          <t>معدل</t>
        </is>
      </c>
      <c r="F62" s="49" t="inlineStr">
        <is>
          <t>↓</t>
        </is>
      </c>
      <c r="G62" s="55" t="n">
        <v>0.1</v>
      </c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0">
        <f>IF(COUNT($H62:$S62)=0,"",SUM($H62:$S62)/COUNT($H62:$S62))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57">
        <f>IF($G62="","",$G62)</f>
        <v/>
      </c>
      <c r="X62" s="54">
        <f>IF($U62="","—",IF($U62&gt;=0.85,"🟢 على المسار","🟠 متأخّر"))</f>
        <v/>
      </c>
    </row>
    <row r="63" ht="22" customHeight="1">
      <c r="A63" s="54" t="n">
        <v>60</v>
      </c>
      <c r="B63" s="13" t="inlineStr">
        <is>
          <t>الموارد البشرية</t>
        </is>
      </c>
      <c r="C63" s="11" t="inlineStr">
        <is>
          <t>متوسط مدة إغلاق الشواغر المعتمدة</t>
        </is>
      </c>
      <c r="D63" s="15" t="inlineStr">
        <is>
          <t>شهري</t>
        </is>
      </c>
      <c r="E63" s="15" t="inlineStr">
        <is>
          <t>معدل</t>
        </is>
      </c>
      <c r="F63" s="49" t="inlineStr">
        <is>
          <t>↓</t>
        </is>
      </c>
      <c r="G63" s="65" t="n">
        <v>30</v>
      </c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7">
        <f>IF(COUNT($H63:$S63)=0,"",SUM($H63:$S63)/COUNT($H63:$S63))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محقق",IF($U63&gt;=0.85,"🟡 قريب","🔴 تحت الهدف")))</f>
        <v/>
      </c>
      <c r="W63" s="68">
        <f>IF($G63="","",$G63)</f>
        <v/>
      </c>
      <c r="X63" s="54">
        <f>IF($U63="","—",IF($U63&gt;=0.85,"🟢 على المسار","🟠 متأخّر"))</f>
        <v/>
      </c>
    </row>
    <row r="64" ht="22" customHeight="1">
      <c r="A64" s="54" t="n">
        <v>61</v>
      </c>
      <c r="B64" s="13" t="inlineStr">
        <is>
          <t>الموارد البشرية</t>
        </is>
      </c>
      <c r="C64" s="11" t="inlineStr">
        <is>
          <t>نسبة دقة الرواتب والمستحقات الشهرية</t>
        </is>
      </c>
      <c r="D64" s="15" t="inlineStr">
        <is>
          <t>شهري</t>
        </is>
      </c>
      <c r="E64" s="15" t="inlineStr">
        <is>
          <t>معدل</t>
        </is>
      </c>
      <c r="F64" s="49" t="inlineStr">
        <is>
          <t>↑</t>
        </is>
      </c>
      <c r="G64" s="55" t="n">
        <v>0.995</v>
      </c>
      <c r="H64" s="56" t="n"/>
      <c r="I64" s="56" t="n"/>
      <c r="J64" s="56" t="n"/>
      <c r="K64" s="56" t="n"/>
      <c r="L64" s="56" t="n"/>
      <c r="M64" s="56" t="n"/>
      <c r="N64" s="56" t="n"/>
      <c r="O64" s="56" t="n"/>
      <c r="P64" s="56" t="n"/>
      <c r="Q64" s="56" t="n"/>
      <c r="R64" s="56" t="n"/>
      <c r="S64" s="56" t="n"/>
      <c r="T64" s="50">
        <f>IF(COUNT($H64:$S64)=0,"",SUM($H64:$S64)/COUNT($H64:$S64))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57">
        <f>IF($G64="","",$G64)</f>
        <v/>
      </c>
      <c r="X64" s="54">
        <f>IF($U64="","—",IF($U64&gt;=0.85,"🟢 على المسار","🟠 متأخّر"))</f>
        <v/>
      </c>
    </row>
    <row r="65" ht="22" customHeight="1">
      <c r="A65" s="54" t="n">
        <v>62</v>
      </c>
      <c r="B65" s="13" t="inlineStr">
        <is>
          <t>التسويق</t>
        </is>
      </c>
      <c r="C65" s="11" t="inlineStr">
        <is>
          <t>الوصول الكلي (Total Reach)</t>
        </is>
      </c>
      <c r="D65" s="15" t="inlineStr">
        <is>
          <t>شهري</t>
        </is>
      </c>
      <c r="E65" s="15" t="inlineStr">
        <is>
          <t>لقطة</t>
        </is>
      </c>
      <c r="F65" s="49" t="inlineStr">
        <is>
          <t>↑</t>
        </is>
      </c>
      <c r="G65" s="58" t="n">
        <v>50000000</v>
      </c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60">
        <f>IFERROR(LOOKUP(2,1/($H65:$S65&lt;&gt;""),$H65:$S65),"")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هدف",IF($U65&gt;=0.9,"✅ محقق",IF($U65&gt;=0.75,"🟡 قريب","🔴 تحت الهدف")))</f>
        <v/>
      </c>
      <c r="W65" s="61">
        <f>IF($G65="","",$G65)</f>
        <v/>
      </c>
      <c r="X65" s="54">
        <f>IF($U65="","—",IF($U65&gt;=0.75,"🟢 على المسار","🟠 متأخّر"))</f>
        <v/>
      </c>
    </row>
    <row r="66" ht="22" customHeight="1">
      <c r="A66" s="54" t="n">
        <v>63</v>
      </c>
      <c r="B66" s="13" t="inlineStr">
        <is>
          <t>التسويق</t>
        </is>
      </c>
      <c r="C66" s="11" t="inlineStr">
        <is>
          <t>معدل خفض الشكاوى</t>
        </is>
      </c>
      <c r="D66" s="15" t="inlineStr">
        <is>
          <t>شهري</t>
        </is>
      </c>
      <c r="E66" s="15" t="inlineStr">
        <is>
          <t>معدل</t>
        </is>
      </c>
      <c r="F66" s="49" t="inlineStr">
        <is>
          <t>↑</t>
        </is>
      </c>
      <c r="G66" s="55" t="n">
        <v>0.3</v>
      </c>
      <c r="H66" s="56" t="n"/>
      <c r="I66" s="56" t="n"/>
      <c r="J66" s="56" t="n"/>
      <c r="K66" s="56" t="n"/>
      <c r="L66" s="56" t="n"/>
      <c r="M66" s="56" t="n"/>
      <c r="N66" s="56" t="n"/>
      <c r="O66" s="56" t="n"/>
      <c r="P66" s="56" t="n"/>
      <c r="Q66" s="56" t="n"/>
      <c r="R66" s="56" t="n"/>
      <c r="S66" s="56" t="n"/>
      <c r="T66" s="50">
        <f>IF(COUNT($H66:$S66)=0,"",SUM($H66:$S66)/COUNT($H66:$S66))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57">
        <f>IF($G66="","",$G66)</f>
        <v/>
      </c>
      <c r="X66" s="54">
        <f>IF($U66="","—",IF($U66&gt;=0.85,"🟢 على المسار","🟠 متأخّر"))</f>
        <v/>
      </c>
    </row>
    <row r="67" ht="22" customHeight="1">
      <c r="A67" s="54" t="n">
        <v>64</v>
      </c>
      <c r="B67" s="13" t="inlineStr">
        <is>
          <t>التسويق</t>
        </is>
      </c>
      <c r="C67" s="11" t="inlineStr">
        <is>
          <t>نسبة التزام الهوية البصرية</t>
        </is>
      </c>
      <c r="D67" s="15" t="inlineStr">
        <is>
          <t>شهري</t>
        </is>
      </c>
      <c r="E67" s="15" t="inlineStr">
        <is>
          <t>لقطة</t>
        </is>
      </c>
      <c r="F67" s="49" t="inlineStr">
        <is>
          <t>↑</t>
        </is>
      </c>
      <c r="G67" s="55" t="n">
        <v>1</v>
      </c>
      <c r="H67" s="56" t="n"/>
      <c r="I67" s="56" t="n"/>
      <c r="J67" s="56" t="n"/>
      <c r="K67" s="56" t="n"/>
      <c r="L67" s="56" t="n"/>
      <c r="M67" s="56" t="n"/>
      <c r="N67" s="56" t="n"/>
      <c r="O67" s="56" t="n"/>
      <c r="P67" s="56" t="n"/>
      <c r="Q67" s="56" t="n"/>
      <c r="R67" s="56" t="n"/>
      <c r="S67" s="56" t="n"/>
      <c r="T67" s="50">
        <f>IFERROR(LOOKUP(2,1/($H67:$S67&lt;&gt;""),$H67:$S67),"")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هدف",IF($U67&gt;=1.0,"✅ محقق",IF($U67&gt;=0.85,"🟡 قريب","🔴 تحت الهدف")))</f>
        <v/>
      </c>
      <c r="W67" s="57">
        <f>IF($G67="","",$G67)</f>
        <v/>
      </c>
      <c r="X67" s="54">
        <f>IF($U67="","—",IF($U67&gt;=0.85,"🟢 على المسار","🟠 متأخّر"))</f>
        <v/>
      </c>
    </row>
    <row r="68" ht="22" customHeight="1">
      <c r="A68" s="54" t="n">
        <v>65</v>
      </c>
      <c r="B68" s="13" t="inlineStr">
        <is>
          <t>التسويق</t>
        </is>
      </c>
      <c r="C68" s="11" t="inlineStr">
        <is>
          <t>عدد تنزيلات التطبيق</t>
        </is>
      </c>
      <c r="D68" s="15" t="inlineStr">
        <is>
          <t>شهري</t>
        </is>
      </c>
      <c r="E68" s="15" t="inlineStr">
        <is>
          <t>تراكمي</t>
        </is>
      </c>
      <c r="F68" s="49" t="inlineStr">
        <is>
          <t>↑</t>
        </is>
      </c>
      <c r="G68" s="58" t="n">
        <v>100000</v>
      </c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60">
        <f>IF(COUNT($H68:$S68)=0,"",SUM($H68:$S68))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هدف",IF($U68&gt;=1.0,"✅ محقق",IF($U68&gt;=0.85,"🟡 قريب","🔴 تحت الهدف")))</f>
        <v/>
      </c>
      <c r="W68" s="61">
        <f>IF($G68="","",$G68*COUNT($H68:$S68)/12)</f>
        <v/>
      </c>
      <c r="X68" s="54">
        <f>IF($U68="","—",IF($U68&gt;=COUNT($H68:$S68)/12,"🟢 على المسار","🟠 متأخّر"))</f>
        <v/>
      </c>
    </row>
    <row r="69" ht="22" customHeight="1">
      <c r="A69" s="54" t="n">
        <v>66</v>
      </c>
      <c r="B69" s="13" t="inlineStr">
        <is>
          <t>التسويق</t>
        </is>
      </c>
      <c r="C69" s="11" t="inlineStr">
        <is>
          <t>عدد شراكات التطبيق</t>
        </is>
      </c>
      <c r="D69" s="15" t="inlineStr">
        <is>
          <t>شهري</t>
        </is>
      </c>
      <c r="E69" s="15" t="inlineStr">
        <is>
          <t>تراكمي</t>
        </is>
      </c>
      <c r="F69" s="49" t="inlineStr">
        <is>
          <t>↑</t>
        </is>
      </c>
      <c r="G69" s="58" t="n">
        <v>10</v>
      </c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60">
        <f>IF(COUNT($H69:$S69)=0,"",SUM($H69:$S69))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1">
        <f>IF($G69="","",$G69*COUNT($H69:$S69)/12)</f>
        <v/>
      </c>
      <c r="X69" s="54">
        <f>IF($U69="","—",IF($U69&gt;=COUNT($H69:$S69)/12,"🟢 على المسار","🟠 متأخّر"))</f>
        <v/>
      </c>
    </row>
    <row r="70" ht="22" customHeight="1">
      <c r="A70" s="54" t="n">
        <v>67</v>
      </c>
      <c r="B70" s="13" t="inlineStr">
        <is>
          <t>الجودة</t>
        </is>
      </c>
      <c r="C70" s="11" t="inlineStr"/>
      <c r="D70" s="15" t="inlineStr">
        <is>
          <t>شهري</t>
        </is>
      </c>
      <c r="E70" s="15" t="inlineStr">
        <is>
          <t>معدل</t>
        </is>
      </c>
      <c r="F70" s="49" t="inlineStr">
        <is>
          <t>↑</t>
        </is>
      </c>
      <c r="G70" s="49" t="n"/>
      <c r="H70" s="56" t="n"/>
      <c r="I70" s="56" t="n"/>
      <c r="J70" s="56" t="n"/>
      <c r="K70" s="56" t="n"/>
      <c r="L70" s="56" t="n"/>
      <c r="M70" s="56" t="n"/>
      <c r="N70" s="56" t="n"/>
      <c r="O70" s="56" t="n"/>
      <c r="P70" s="56" t="n"/>
      <c r="Q70" s="56" t="n"/>
      <c r="R70" s="56" t="n"/>
      <c r="S70" s="56" t="n"/>
      <c r="T70" s="50">
        <f>IF(COUNT($H70:$S70)=0,"",SUM($H70:$S70)/COUNT($H70:$S70))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هدف",IF($U70&gt;=1.0,"✅ محقق",IF($U70&gt;=0.85,"🟡 قريب","🔴 تحت الهدف")))</f>
        <v/>
      </c>
      <c r="W70" s="57">
        <f>IF($G70="","",$G70)</f>
        <v/>
      </c>
      <c r="X70" s="54">
        <f>IF($U70="","—",IF($U70&gt;=0.85,"🟢 على المسار","🟠 متأخّر"))</f>
        <v/>
      </c>
    </row>
    <row r="71" ht="22" customHeight="1">
      <c r="A71" s="54" t="n">
        <v>68</v>
      </c>
      <c r="B71" s="13" t="inlineStr">
        <is>
          <t>الجودة</t>
        </is>
      </c>
      <c r="C71" s="11" t="inlineStr"/>
      <c r="D71" s="15" t="inlineStr">
        <is>
          <t>شهري</t>
        </is>
      </c>
      <c r="E71" s="15" t="inlineStr">
        <is>
          <t>معدل</t>
        </is>
      </c>
      <c r="F71" s="49" t="inlineStr">
        <is>
          <t>↑</t>
        </is>
      </c>
      <c r="G71" s="49" t="n"/>
      <c r="H71" s="56" t="n"/>
      <c r="I71" s="56" t="n"/>
      <c r="J71" s="56" t="n"/>
      <c r="K71" s="56" t="n"/>
      <c r="L71" s="56" t="n"/>
      <c r="M71" s="56" t="n"/>
      <c r="N71" s="56" t="n"/>
      <c r="O71" s="56" t="n"/>
      <c r="P71" s="56" t="n"/>
      <c r="Q71" s="56" t="n"/>
      <c r="R71" s="56" t="n"/>
      <c r="S71" s="56" t="n"/>
      <c r="T71" s="50">
        <f>IF(COUNT($H71:$S71)=0,"",SUM($H71:$S71)/COUNT($H71:$S71))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محقق",IF($U71&gt;=0.85,"🟡 قريب","🔴 تحت الهدف")))</f>
        <v/>
      </c>
      <c r="W71" s="57">
        <f>IF($G71="","",$G71)</f>
        <v/>
      </c>
      <c r="X71" s="54">
        <f>IF($U71="","—",IF($U71&gt;=0.85,"🟢 على المسار","🟠 متأخّر"))</f>
        <v/>
      </c>
    </row>
    <row r="72" ht="22" customHeight="1">
      <c r="A72" s="54" t="n">
        <v>69</v>
      </c>
      <c r="B72" s="13" t="inlineStr">
        <is>
          <t>الجودة</t>
        </is>
      </c>
      <c r="C72" s="11" t="inlineStr"/>
      <c r="D72" s="15" t="inlineStr">
        <is>
          <t>شهري</t>
        </is>
      </c>
      <c r="E72" s="15" t="inlineStr">
        <is>
          <t>معدل</t>
        </is>
      </c>
      <c r="F72" s="49" t="inlineStr">
        <is>
          <t>↑</t>
        </is>
      </c>
      <c r="G72" s="49" t="n"/>
      <c r="H72" s="56" t="n"/>
      <c r="I72" s="56" t="n"/>
      <c r="J72" s="56" t="n"/>
      <c r="K72" s="56" t="n"/>
      <c r="L72" s="56" t="n"/>
      <c r="M72" s="56" t="n"/>
      <c r="N72" s="56" t="n"/>
      <c r="O72" s="56" t="n"/>
      <c r="P72" s="56" t="n"/>
      <c r="Q72" s="56" t="n"/>
      <c r="R72" s="56" t="n"/>
      <c r="S72" s="56" t="n"/>
      <c r="T72" s="50">
        <f>IF(COUNT($H72:$S72)=0,"",SUM($H72:$S72)/COUNT($H72:$S72))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هدف",IF($U72&gt;=1.0,"✅ محقق",IF($U72&gt;=0.85,"🟡 قريب","🔴 تحت الهدف")))</f>
        <v/>
      </c>
      <c r="W72" s="57">
        <f>IF($G72="","",$G72)</f>
        <v/>
      </c>
      <c r="X72" s="54">
        <f>IF($U72="","—",IF($U72&gt;=0.85,"🟢 على المسار","🟠 متأخّر"))</f>
        <v/>
      </c>
    </row>
    <row r="73" ht="22" customHeight="1">
      <c r="A73" s="54" t="n">
        <v>70</v>
      </c>
      <c r="B73" s="13" t="inlineStr">
        <is>
          <t>الجودة</t>
        </is>
      </c>
      <c r="C73" s="11" t="inlineStr"/>
      <c r="D73" s="15" t="inlineStr">
        <is>
          <t>شهري</t>
        </is>
      </c>
      <c r="E73" s="15" t="inlineStr">
        <is>
          <t>معدل</t>
        </is>
      </c>
      <c r="F73" s="49" t="inlineStr">
        <is>
          <t>↑</t>
        </is>
      </c>
      <c r="G73" s="49" t="n"/>
      <c r="H73" s="56" t="n"/>
      <c r="I73" s="56" t="n"/>
      <c r="J73" s="56" t="n"/>
      <c r="K73" s="56" t="n"/>
      <c r="L73" s="56" t="n"/>
      <c r="M73" s="56" t="n"/>
      <c r="N73" s="56" t="n"/>
      <c r="O73" s="56" t="n"/>
      <c r="P73" s="56" t="n"/>
      <c r="Q73" s="56" t="n"/>
      <c r="R73" s="56" t="n"/>
      <c r="S73" s="56" t="n"/>
      <c r="T73" s="50">
        <f>IF(COUNT($H73:$S73)=0,"",SUM($H73:$S73)/COUNT($H73:$S73))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57">
        <f>IF($G73="","",$G73)</f>
        <v/>
      </c>
      <c r="X73" s="54">
        <f>IF($U73="","—",IF($U73&gt;=0.85,"🟢 على المسار","🟠 متأخّر"))</f>
        <v/>
      </c>
    </row>
    <row r="74" ht="22" customHeight="1">
      <c r="A74" s="54" t="n">
        <v>71</v>
      </c>
      <c r="B74" s="13" t="inlineStr">
        <is>
          <t>الجودة</t>
        </is>
      </c>
      <c r="C74" s="11" t="inlineStr"/>
      <c r="D74" s="15" t="inlineStr">
        <is>
          <t>شهري</t>
        </is>
      </c>
      <c r="E74" s="15" t="inlineStr">
        <is>
          <t>معدل</t>
        </is>
      </c>
      <c r="F74" s="49" t="inlineStr">
        <is>
          <t>↑</t>
        </is>
      </c>
      <c r="G74" s="49" t="n"/>
      <c r="H74" s="56" t="n"/>
      <c r="I74" s="56" t="n"/>
      <c r="J74" s="56" t="n"/>
      <c r="K74" s="56" t="n"/>
      <c r="L74" s="56" t="n"/>
      <c r="M74" s="56" t="n"/>
      <c r="N74" s="56" t="n"/>
      <c r="O74" s="56" t="n"/>
      <c r="P74" s="56" t="n"/>
      <c r="Q74" s="56" t="n"/>
      <c r="R74" s="56" t="n"/>
      <c r="S74" s="56" t="n"/>
      <c r="T74" s="50">
        <f>IF(COUNT($H74:$S74)=0,"",SUM($H74:$S74)/COUNT($H74:$S74))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هدف",IF($U74&gt;=1.0,"✅ محقق",IF($U74&gt;=0.85,"🟡 قريب","🔴 تحت الهدف")))</f>
        <v/>
      </c>
      <c r="W74" s="57">
        <f>IF($G74="","",$G74)</f>
        <v/>
      </c>
      <c r="X74" s="54">
        <f>IF($U74="","—",IF($U74&gt;=0.85,"🟢 على المسار","🟠 متأخّر"))</f>
        <v/>
      </c>
    </row>
    <row r="75" ht="22" customHeight="1">
      <c r="A75" s="54" t="n">
        <v>72</v>
      </c>
      <c r="B75" s="13" t="inlineStr">
        <is>
          <t>الجودة</t>
        </is>
      </c>
      <c r="C75" s="11" t="inlineStr"/>
      <c r="D75" s="15" t="inlineStr">
        <is>
          <t>شهري</t>
        </is>
      </c>
      <c r="E75" s="15" t="inlineStr">
        <is>
          <t>معدل</t>
        </is>
      </c>
      <c r="F75" s="49" t="inlineStr">
        <is>
          <t>↑</t>
        </is>
      </c>
      <c r="G75" s="49" t="n"/>
      <c r="H75" s="56" t="n"/>
      <c r="I75" s="56" t="n"/>
      <c r="J75" s="56" t="n"/>
      <c r="K75" s="56" t="n"/>
      <c r="L75" s="56" t="n"/>
      <c r="M75" s="56" t="n"/>
      <c r="N75" s="56" t="n"/>
      <c r="O75" s="56" t="n"/>
      <c r="P75" s="56" t="n"/>
      <c r="Q75" s="56" t="n"/>
      <c r="R75" s="56" t="n"/>
      <c r="S75" s="56" t="n"/>
      <c r="T75" s="50">
        <f>IF(COUNT($H75:$S75)=0,"",SUM($H75:$S75)/COUNT($H75:$S75))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هدف",IF($U75&gt;=1.0,"✅ محقق",IF($U75&gt;=0.85,"🟡 قريب","🔴 تحت الهدف")))</f>
        <v/>
      </c>
      <c r="W75" s="57">
        <f>IF($G75="","",$G75)</f>
        <v/>
      </c>
      <c r="X75" s="54">
        <f>IF($U75="","—",IF($U75&gt;=0.85,"🟢 على المسار","🟠 متأخّر"))</f>
        <v/>
      </c>
    </row>
    <row r="76" ht="22" customHeight="1">
      <c r="A76" s="54" t="n">
        <v>73</v>
      </c>
      <c r="B76" s="13" t="inlineStr">
        <is>
          <t>الجودة</t>
        </is>
      </c>
      <c r="C76" s="11" t="inlineStr"/>
      <c r="D76" s="15" t="inlineStr">
        <is>
          <t>شهري</t>
        </is>
      </c>
      <c r="E76" s="15" t="inlineStr">
        <is>
          <t>معدل</t>
        </is>
      </c>
      <c r="F76" s="49" t="inlineStr">
        <is>
          <t>↑</t>
        </is>
      </c>
      <c r="G76" s="49" t="n"/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0">
        <f>IF(COUNT($H76:$S76)=0,"",SUM($H76:$S76)/COUNT($H76:$S76))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هدف",IF($U76&gt;=1.0,"✅ محقق",IF($U76&gt;=0.85,"🟡 قريب","🔴 تحت الهدف")))</f>
        <v/>
      </c>
      <c r="W76" s="57">
        <f>IF($G76="","",$G76)</f>
        <v/>
      </c>
      <c r="X76" s="54">
        <f>IF($U76="","—",IF($U76&gt;=0.85,"🟢 على المسار","🟠 متأخّر"))</f>
        <v/>
      </c>
    </row>
    <row r="77" ht="22" customHeight="1">
      <c r="A77" s="54" t="n">
        <v>74</v>
      </c>
      <c r="B77" s="13" t="inlineStr">
        <is>
          <t>الجودة</t>
        </is>
      </c>
      <c r="C77" s="11" t="inlineStr"/>
      <c r="D77" s="15" t="inlineStr">
        <is>
          <t>شهري</t>
        </is>
      </c>
      <c r="E77" s="15" t="inlineStr">
        <is>
          <t>معدل</t>
        </is>
      </c>
      <c r="F77" s="49" t="inlineStr">
        <is>
          <t>↑</t>
        </is>
      </c>
      <c r="G77" s="49" t="n"/>
      <c r="H77" s="56" t="n"/>
      <c r="I77" s="56" t="n"/>
      <c r="J77" s="56" t="n"/>
      <c r="K77" s="56" t="n"/>
      <c r="L77" s="56" t="n"/>
      <c r="M77" s="56" t="n"/>
      <c r="N77" s="56" t="n"/>
      <c r="O77" s="56" t="n"/>
      <c r="P77" s="56" t="n"/>
      <c r="Q77" s="56" t="n"/>
      <c r="R77" s="56" t="n"/>
      <c r="S77" s="56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محقق",IF($U77&gt;=0.85,"🟡 قريب","🔴 تحت الهدف")))</f>
        <v/>
      </c>
      <c r="W77" s="57">
        <f>IF($G77="","",$G77)</f>
        <v/>
      </c>
      <c r="X77" s="54">
        <f>IF($U77="","—",IF($U77&gt;=0.85,"🟢 على المسار","🟠 متأخّر"))</f>
        <v/>
      </c>
    </row>
    <row r="78" ht="22" customHeight="1">
      <c r="A78" s="54" t="n">
        <v>75</v>
      </c>
      <c r="B78" s="13" t="inlineStr">
        <is>
          <t>الجودة</t>
        </is>
      </c>
      <c r="C78" s="11" t="inlineStr"/>
      <c r="D78" s="15" t="inlineStr">
        <is>
          <t>شهري</t>
        </is>
      </c>
      <c r="E78" s="15" t="inlineStr">
        <is>
          <t>معدل</t>
        </is>
      </c>
      <c r="F78" s="49" t="inlineStr">
        <is>
          <t>↑</t>
        </is>
      </c>
      <c r="G78" s="49" t="n"/>
      <c r="H78" s="56" t="n"/>
      <c r="I78" s="56" t="n"/>
      <c r="J78" s="56" t="n"/>
      <c r="K78" s="56" t="n"/>
      <c r="L78" s="56" t="n"/>
      <c r="M78" s="56" t="n"/>
      <c r="N78" s="56" t="n"/>
      <c r="O78" s="56" t="n"/>
      <c r="P78" s="56" t="n"/>
      <c r="Q78" s="56" t="n"/>
      <c r="R78" s="56" t="n"/>
      <c r="S78" s="56" t="n"/>
      <c r="T78" s="50">
        <f>IF(COUNT($H78:$S78)=0,"",SUM($H78:$S78)/COUNT($H78:$S78))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محقق",IF($U78&gt;=0.85,"🟡 قريب","🔴 تحت الهدف")))</f>
        <v/>
      </c>
      <c r="W78" s="57">
        <f>IF($G78="","",$G78)</f>
        <v/>
      </c>
      <c r="X78" s="54">
        <f>IF($U78="","—",IF($U78&gt;=0.85,"🟢 على المسار","🟠 متأخّر"))</f>
        <v/>
      </c>
    </row>
    <row r="79" ht="22" customHeight="1">
      <c r="A79" s="54" t="n">
        <v>76</v>
      </c>
      <c r="B79" s="13" t="inlineStr">
        <is>
          <t>الجودة</t>
        </is>
      </c>
      <c r="C79" s="11" t="inlineStr"/>
      <c r="D79" s="15" t="inlineStr">
        <is>
          <t>شهري</t>
        </is>
      </c>
      <c r="E79" s="15" t="inlineStr">
        <is>
          <t>معدل</t>
        </is>
      </c>
      <c r="F79" s="49" t="inlineStr">
        <is>
          <t>↑</t>
        </is>
      </c>
      <c r="G79" s="49" t="n"/>
      <c r="H79" s="56" t="n"/>
      <c r="I79" s="56" t="n"/>
      <c r="J79" s="56" t="n"/>
      <c r="K79" s="56" t="n"/>
      <c r="L79" s="56" t="n"/>
      <c r="M79" s="56" t="n"/>
      <c r="N79" s="56" t="n"/>
      <c r="O79" s="56" t="n"/>
      <c r="P79" s="56" t="n"/>
      <c r="Q79" s="56" t="n"/>
      <c r="R79" s="56" t="n"/>
      <c r="S79" s="56" t="n"/>
      <c r="T79" s="50">
        <f>IF(COUNT($H79:$S79)=0,"",SUM($H79:$S79)/COUNT($H79:$S79))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هدف",IF($U79&gt;=1.0,"✅ محقق",IF($U79&gt;=0.85,"🟡 قريب","🔴 تحت الهدف")))</f>
        <v/>
      </c>
      <c r="W79" s="57">
        <f>IF($G79="","",$G79)</f>
        <v/>
      </c>
      <c r="X79" s="54">
        <f>IF($U79="","—",IF($U79&gt;=0.85,"🟢 على المسار","🟠 متأخّر"))</f>
        <v/>
      </c>
    </row>
    <row r="80" ht="22" customHeight="1">
      <c r="A80" s="54" t="n">
        <v>77</v>
      </c>
      <c r="B80" s="13" t="inlineStr">
        <is>
          <t>الجودة</t>
        </is>
      </c>
      <c r="C80" s="11" t="inlineStr"/>
      <c r="D80" s="15" t="inlineStr">
        <is>
          <t>شهري</t>
        </is>
      </c>
      <c r="E80" s="15" t="inlineStr">
        <is>
          <t>معدل</t>
        </is>
      </c>
      <c r="F80" s="49" t="inlineStr">
        <is>
          <t>↑</t>
        </is>
      </c>
      <c r="G80" s="49" t="n"/>
      <c r="H80" s="56" t="n"/>
      <c r="I80" s="56" t="n"/>
      <c r="J80" s="56" t="n"/>
      <c r="K80" s="56" t="n"/>
      <c r="L80" s="56" t="n"/>
      <c r="M80" s="56" t="n"/>
      <c r="N80" s="56" t="n"/>
      <c r="O80" s="56" t="n"/>
      <c r="P80" s="56" t="n"/>
      <c r="Q80" s="56" t="n"/>
      <c r="R80" s="56" t="n"/>
      <c r="S80" s="56" t="n"/>
      <c r="T80" s="50">
        <f>IF(COUNT($H80:$S80)=0,"",SUM($H80:$S80)/COUNT($H80:$S80))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هدف",IF($U80&gt;=1.0,"✅ محقق",IF($U80&gt;=0.85,"🟡 قريب","🔴 تحت الهدف")))</f>
        <v/>
      </c>
      <c r="W80" s="57">
        <f>IF($G80="","",$G80)</f>
        <v/>
      </c>
      <c r="X80" s="54">
        <f>IF($U80="","—",IF($U80&gt;=0.85,"🟢 على المسار","🟠 متأخّر"))</f>
        <v/>
      </c>
    </row>
    <row r="81" ht="22" customHeight="1">
      <c r="A81" s="54" t="n">
        <v>78</v>
      </c>
      <c r="B81" s="13" t="inlineStr">
        <is>
          <t>الجودة</t>
        </is>
      </c>
      <c r="C81" s="11" t="inlineStr"/>
      <c r="D81" s="15" t="inlineStr">
        <is>
          <t>شهري</t>
        </is>
      </c>
      <c r="E81" s="15" t="inlineStr">
        <is>
          <t>معدل</t>
        </is>
      </c>
      <c r="F81" s="49" t="inlineStr">
        <is>
          <t>↑</t>
        </is>
      </c>
      <c r="G81" s="49" t="n"/>
      <c r="H81" s="56" t="n"/>
      <c r="I81" s="56" t="n"/>
      <c r="J81" s="56" t="n"/>
      <c r="K81" s="56" t="n"/>
      <c r="L81" s="56" t="n"/>
      <c r="M81" s="56" t="n"/>
      <c r="N81" s="56" t="n"/>
      <c r="O81" s="56" t="n"/>
      <c r="P81" s="56" t="n"/>
      <c r="Q81" s="56" t="n"/>
      <c r="R81" s="56" t="n"/>
      <c r="S81" s="56" t="n"/>
      <c r="T81" s="50">
        <f>IF(COUNT($H81:$S81)=0,"",SUM($H81:$S81)/COUNT($H81:$S81))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هدف",IF($U81&gt;=1.0,"✅ محقق",IF($U81&gt;=0.85,"🟡 قريب","🔴 تحت الهدف")))</f>
        <v/>
      </c>
      <c r="W81" s="57">
        <f>IF($G81="","",$G81)</f>
        <v/>
      </c>
      <c r="X81" s="54">
        <f>IF($U81="","—",IF($U81&gt;=0.85,"🟢 على المسار","🟠 متأخّر"))</f>
        <v/>
      </c>
    </row>
    <row r="82" ht="22" customHeight="1">
      <c r="A82" s="54" t="n">
        <v>79</v>
      </c>
      <c r="B82" s="13" t="inlineStr">
        <is>
          <t>الجودة</t>
        </is>
      </c>
      <c r="C82" s="11" t="inlineStr"/>
      <c r="D82" s="15" t="inlineStr">
        <is>
          <t>شهري</t>
        </is>
      </c>
      <c r="E82" s="15" t="inlineStr">
        <is>
          <t>معدل</t>
        </is>
      </c>
      <c r="F82" s="49" t="inlineStr">
        <is>
          <t>↑</t>
        </is>
      </c>
      <c r="G82" s="49" t="n"/>
      <c r="H82" s="56" t="n"/>
      <c r="I82" s="56" t="n"/>
      <c r="J82" s="56" t="n"/>
      <c r="K82" s="56" t="n"/>
      <c r="L82" s="56" t="n"/>
      <c r="M82" s="56" t="n"/>
      <c r="N82" s="56" t="n"/>
      <c r="O82" s="56" t="n"/>
      <c r="P82" s="56" t="n"/>
      <c r="Q82" s="56" t="n"/>
      <c r="R82" s="56" t="n"/>
      <c r="S82" s="56" t="n"/>
      <c r="T82" s="50">
        <f>IF(COUNT($H82:$S82)=0,"",SUM($H82:$S82)/COUNT($H82:$S82))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هدف",IF($U82&gt;=1.0,"✅ محقق",IF($U82&gt;=0.85,"🟡 قريب","🔴 تحت الهدف")))</f>
        <v/>
      </c>
      <c r="W82" s="57">
        <f>IF($G82="","",$G82)</f>
        <v/>
      </c>
      <c r="X82" s="54">
        <f>IF($U82="","—",IF($U82&gt;=0.85,"🟢 على المسار","🟠 متأخّر"))</f>
        <v/>
      </c>
    </row>
    <row r="83" ht="22" customHeight="1">
      <c r="A83" s="54" t="n">
        <v>80</v>
      </c>
      <c r="B83" s="13" t="inlineStr">
        <is>
          <t>الجودة</t>
        </is>
      </c>
      <c r="C83" s="11" t="inlineStr"/>
      <c r="D83" s="15" t="inlineStr">
        <is>
          <t>شهري</t>
        </is>
      </c>
      <c r="E83" s="15" t="inlineStr">
        <is>
          <t>معدل</t>
        </is>
      </c>
      <c r="F83" s="49" t="inlineStr">
        <is>
          <t>↑</t>
        </is>
      </c>
      <c r="G83" s="49" t="n"/>
      <c r="H83" s="56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0">
        <f>IF(COUNT($H83:$S83)=0,"",SUM($H83:$S83)/COUNT($H83:$S83))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محقق",IF($U83&gt;=0.85,"🟡 قريب","🔴 تحت الهدف")))</f>
        <v/>
      </c>
      <c r="W83" s="57">
        <f>IF($G83="","",$G83)</f>
        <v/>
      </c>
      <c r="X83" s="54">
        <f>IF($U83="","—",IF($U83&gt;=0.85,"🟢 على المسار","🟠 متأخّر"))</f>
        <v/>
      </c>
    </row>
    <row r="84" ht="22" customHeight="1">
      <c r="A84" s="54" t="n">
        <v>81</v>
      </c>
      <c r="B84" s="13" t="inlineStr">
        <is>
          <t>الجودة</t>
        </is>
      </c>
      <c r="C84" s="11" t="inlineStr"/>
      <c r="D84" s="15" t="inlineStr">
        <is>
          <t>شهري</t>
        </is>
      </c>
      <c r="E84" s="15" t="inlineStr">
        <is>
          <t>معدل</t>
        </is>
      </c>
      <c r="F84" s="49" t="inlineStr">
        <is>
          <t>↑</t>
        </is>
      </c>
      <c r="G84" s="49" t="n"/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0">
        <f>IF(COUNT($H84:$S84)=0,"",SUM($H84:$S84)/COUNT($H84:$S84))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هدف",IF($U84&gt;=1.0,"✅ محقق",IF($U84&gt;=0.85,"🟡 قريب","🔴 تحت الهدف")))</f>
        <v/>
      </c>
      <c r="W84" s="57">
        <f>IF($G84="","",$G84)</f>
        <v/>
      </c>
      <c r="X84" s="54">
        <f>IF($U84="","—",IF($U84&gt;=0.85,"🟢 على المسار","🟠 متأخّر"))</f>
        <v/>
      </c>
    </row>
    <row r="85" ht="22" customHeight="1">
      <c r="A85" s="54" t="n">
        <v>82</v>
      </c>
      <c r="B85" s="13" t="inlineStr">
        <is>
          <t>الإدارة القانونية</t>
        </is>
      </c>
      <c r="C85" s="11" t="inlineStr">
        <is>
          <t>نسبة العقود المُراجَعة قانونياً قبل التوقيع</t>
        </is>
      </c>
      <c r="D85" s="15" t="inlineStr">
        <is>
          <t>شهري</t>
        </is>
      </c>
      <c r="E85" s="15" t="inlineStr">
        <is>
          <t>معدل</t>
        </is>
      </c>
      <c r="F85" s="49" t="inlineStr">
        <is>
          <t>↑</t>
        </is>
      </c>
      <c r="G85" s="55" t="n">
        <v>1</v>
      </c>
      <c r="H85" s="56" t="n"/>
      <c r="I85" s="56" t="n"/>
      <c r="J85" s="56" t="n"/>
      <c r="K85" s="56" t="n"/>
      <c r="L85" s="56" t="n"/>
      <c r="M85" s="56" t="n"/>
      <c r="N85" s="56" t="n"/>
      <c r="O85" s="56" t="n"/>
      <c r="P85" s="56" t="n"/>
      <c r="Q85" s="56" t="n"/>
      <c r="R85" s="56" t="n"/>
      <c r="S85" s="56" t="n"/>
      <c r="T85" s="50">
        <f>IF(COUNT($H85:$S85)=0,"",SUM($H85:$S85)/COUNT($H85:$S85))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محقق",IF($U85&gt;=0.85,"🟡 قريب","🔴 تحت الهدف")))</f>
        <v/>
      </c>
      <c r="W85" s="57">
        <f>IF($G85="","",$G85)</f>
        <v/>
      </c>
      <c r="X85" s="54">
        <f>IF($U85="","—",IF($U85&gt;=0.85,"🟢 على المسار","🟠 متأخّر"))</f>
        <v/>
      </c>
    </row>
    <row r="86" ht="22" customHeight="1">
      <c r="A86" s="54" t="n">
        <v>83</v>
      </c>
      <c r="B86" s="13" t="inlineStr">
        <is>
          <t>الإدارة القانونية</t>
        </is>
      </c>
      <c r="C86" s="11" t="inlineStr">
        <is>
          <t>نسبة القضايا المُغلقة لصالح الشركة</t>
        </is>
      </c>
      <c r="D86" s="15" t="inlineStr">
        <is>
          <t>شهري</t>
        </is>
      </c>
      <c r="E86" s="15" t="inlineStr">
        <is>
          <t>معدل</t>
        </is>
      </c>
      <c r="F86" s="49" t="inlineStr">
        <is>
          <t>↑</t>
        </is>
      </c>
      <c r="G86" s="55" t="n">
        <v>0.8</v>
      </c>
      <c r="H86" s="56" t="n"/>
      <c r="I86" s="56" t="n"/>
      <c r="J86" s="56" t="n"/>
      <c r="K86" s="56" t="n"/>
      <c r="L86" s="56" t="n"/>
      <c r="M86" s="56" t="n"/>
      <c r="N86" s="56" t="n"/>
      <c r="O86" s="56" t="n"/>
      <c r="P86" s="56" t="n"/>
      <c r="Q86" s="56" t="n"/>
      <c r="R86" s="56" t="n"/>
      <c r="S86" s="56" t="n"/>
      <c r="T86" s="50">
        <f>IF(COUNT($H86:$S86)=0,"",SUM($H86:$S86)/COUNT($H86:$S86))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هدف",IF($U86&gt;=1.0,"✅ محقق",IF($U86&gt;=0.85,"🟡 قريب","🔴 تحت الهدف")))</f>
        <v/>
      </c>
      <c r="W86" s="57">
        <f>IF($G86="","",$G86)</f>
        <v/>
      </c>
      <c r="X86" s="54">
        <f>IF($U86="","—",IF($U86&gt;=0.85,"🟢 على المسار","🟠 متأخّر"))</f>
        <v/>
      </c>
    </row>
    <row r="87" ht="22" customHeight="1">
      <c r="A87" s="54" t="n">
        <v>84</v>
      </c>
      <c r="B87" s="13" t="inlineStr">
        <is>
          <t>الإدارة القانونية</t>
        </is>
      </c>
      <c r="C87" s="11" t="inlineStr">
        <is>
          <t>مستوى رضا الإدارات عن الدعم القانوني</t>
        </is>
      </c>
      <c r="D87" s="15" t="inlineStr">
        <is>
          <t>ربعي</t>
        </is>
      </c>
      <c r="E87" s="15" t="inlineStr">
        <is>
          <t>معدل</t>
        </is>
      </c>
      <c r="F87" s="49" t="inlineStr">
        <is>
          <t>↑</t>
        </is>
      </c>
      <c r="G87" s="55" t="n">
        <v>0.85</v>
      </c>
      <c r="H87" s="56" t="n"/>
      <c r="I87" s="56" t="n"/>
      <c r="J87" s="56" t="n"/>
      <c r="K87" s="56" t="n"/>
      <c r="L87" s="56" t="n"/>
      <c r="M87" s="56" t="n"/>
      <c r="N87" s="56" t="n"/>
      <c r="O87" s="56" t="n"/>
      <c r="P87" s="56" t="n"/>
      <c r="Q87" s="56" t="n"/>
      <c r="R87" s="56" t="n"/>
      <c r="S87" s="56" t="n"/>
      <c r="T87" s="50">
        <f>IF(COUNT($H87:$S87)=0,"",SUM($H87:$S87)/COUNT($H87:$S87))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هدف",IF($U87&gt;=0.9,"✅ محقق",IF($U87&gt;=0.75,"🟡 قريب","🔴 تحت الهدف")))</f>
        <v/>
      </c>
      <c r="W87" s="57">
        <f>IF($G87="","",$G87)</f>
        <v/>
      </c>
      <c r="X87" s="54">
        <f>IF($U87="","—",IF($U87&gt;=0.75,"🟢 على المسار","🟠 متأخّر"))</f>
        <v/>
      </c>
    </row>
    <row r="88" ht="22" customHeight="1">
      <c r="A88" s="54" t="n">
        <v>85</v>
      </c>
      <c r="B88" s="13" t="inlineStr">
        <is>
          <t>الإدارة المالية</t>
        </is>
      </c>
      <c r="C88" s="11" t="inlineStr">
        <is>
          <t>نمو الإيرادات السنوي</t>
        </is>
      </c>
      <c r="D88" s="15" t="inlineStr">
        <is>
          <t>ربعي</t>
        </is>
      </c>
      <c r="E88" s="15" t="inlineStr">
        <is>
          <t>معدل</t>
        </is>
      </c>
      <c r="F88" s="49" t="inlineStr">
        <is>
          <t>↑</t>
        </is>
      </c>
      <c r="G88" s="55" t="n">
        <v>0.2</v>
      </c>
      <c r="H88" s="56" t="n"/>
      <c r="I88" s="56" t="n"/>
      <c r="J88" s="56" t="n"/>
      <c r="K88" s="56" t="n"/>
      <c r="L88" s="56" t="n"/>
      <c r="M88" s="56" t="n"/>
      <c r="N88" s="56" t="n"/>
      <c r="O88" s="56" t="n"/>
      <c r="P88" s="56" t="n"/>
      <c r="Q88" s="56" t="n"/>
      <c r="R88" s="56" t="n"/>
      <c r="S88" s="56" t="n"/>
      <c r="T88" s="50">
        <f>IF(COUNT($H88:$S88)=0,"",SUM($H88:$S88)/COUNT($H88:$S88))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محقق",IF($U88&gt;=0.85,"🟡 قريب","🔴 تحت الهدف")))</f>
        <v/>
      </c>
      <c r="W88" s="57">
        <f>IF($G88="","",$G88)</f>
        <v/>
      </c>
      <c r="X88" s="54">
        <f>IF($U88="","—",IF($U88&gt;=0.85,"🟢 على المسار","🟠 متأخّر"))</f>
        <v/>
      </c>
    </row>
    <row r="89" ht="22" customHeight="1">
      <c r="A89" s="54" t="n">
        <v>86</v>
      </c>
      <c r="B89" s="13" t="inlineStr">
        <is>
          <t>الإدارة المالية</t>
        </is>
      </c>
      <c r="C89" s="11" t="inlineStr">
        <is>
          <t>نسبة التدفق النقدي التشغيلي</t>
        </is>
      </c>
      <c r="D89" s="15" t="inlineStr">
        <is>
          <t>شهري</t>
        </is>
      </c>
      <c r="E89" s="15" t="inlineStr">
        <is>
          <t>معدل</t>
        </is>
      </c>
      <c r="F89" s="49" t="inlineStr">
        <is>
          <t>↑</t>
        </is>
      </c>
      <c r="G89" s="65" t="n">
        <v>1</v>
      </c>
      <c r="H89" s="66" t="n"/>
      <c r="I89" s="66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7">
        <f>IF(COUNT($H89:$S89)=0,"",SUM($H89:$S89)/COUNT($H89:$S89))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هدف",IF($U89&gt;=1.0,"✅ محقق",IF($U89&gt;=0.85,"🟡 قريب","🔴 تحت الهدف")))</f>
        <v/>
      </c>
      <c r="W89" s="68">
        <f>IF($G89="","",$G89)</f>
        <v/>
      </c>
      <c r="X89" s="54">
        <f>IF($U89="","—",IF($U89&gt;=0.85,"🟢 على المسار","🟠 متأخّر"))</f>
        <v/>
      </c>
    </row>
    <row r="90" ht="22" customHeight="1">
      <c r="A90" s="54" t="n">
        <v>87</v>
      </c>
      <c r="B90" s="13" t="inlineStr">
        <is>
          <t>الإدارة المالية</t>
        </is>
      </c>
      <c r="C90" s="11" t="inlineStr">
        <is>
          <t>نسبة التحصيل العام (الشركة)</t>
        </is>
      </c>
      <c r="D90" s="15" t="inlineStr">
        <is>
          <t>شهري</t>
        </is>
      </c>
      <c r="E90" s="15" t="inlineStr">
        <is>
          <t>معدل</t>
        </is>
      </c>
      <c r="F90" s="49" t="inlineStr">
        <is>
          <t>↑</t>
        </is>
      </c>
      <c r="G90" s="55" t="n">
        <v>0.95</v>
      </c>
      <c r="H90" s="56" t="n"/>
      <c r="I90" s="56" t="n"/>
      <c r="J90" s="56" t="n"/>
      <c r="K90" s="56" t="n"/>
      <c r="L90" s="56" t="n"/>
      <c r="M90" s="56" t="n"/>
      <c r="N90" s="56" t="n"/>
      <c r="O90" s="56" t="n"/>
      <c r="P90" s="56" t="n"/>
      <c r="Q90" s="56" t="n"/>
      <c r="R90" s="56" t="n"/>
      <c r="S90" s="56" t="n"/>
      <c r="T90" s="50">
        <f>IF(COUNT($H90:$S90)=0,"",SUM($H90:$S90)/COUNT($H90:$S90))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محقق",IF($U90&gt;=0.85,"🟡 قريب","🔴 تحت الهدف")))</f>
        <v/>
      </c>
      <c r="W90" s="57">
        <f>IF($G90="","",$G90)</f>
        <v/>
      </c>
      <c r="X90" s="54">
        <f>IF($U90="","—",IF($U90&gt;=0.85,"🟢 على المسار","🟠 متأخّر"))</f>
        <v/>
      </c>
    </row>
    <row r="91" ht="22" customHeight="1">
      <c r="A91" s="54" t="n">
        <v>88</v>
      </c>
      <c r="B91" s="13" t="inlineStr">
        <is>
          <t>الإدارة المالية</t>
        </is>
      </c>
      <c r="C91" s="11" t="inlineStr">
        <is>
          <t>دقة التنبؤ النقدي</t>
        </is>
      </c>
      <c r="D91" s="15" t="inlineStr">
        <is>
          <t>شهري</t>
        </is>
      </c>
      <c r="E91" s="15" t="inlineStr">
        <is>
          <t>معدل</t>
        </is>
      </c>
      <c r="F91" s="49" t="inlineStr">
        <is>
          <t>↑</t>
        </is>
      </c>
      <c r="G91" s="55" t="n">
        <v>0.9</v>
      </c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0">
        <f>IF(COUNT($H91:$S91)=0,"",SUM($H91:$S91)/COUNT($H91:$S91))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هدف",IF($U91&gt;=1.0,"✅ محقق",IF($U91&gt;=0.85,"🟡 قريب","🔴 تحت الهدف")))</f>
        <v/>
      </c>
      <c r="W91" s="57">
        <f>IF($G91="","",$G91)</f>
        <v/>
      </c>
      <c r="X91" s="54">
        <f>IF($U91="","—",IF($U91&gt;=0.85,"🟢 على المسار","🟠 متأخّر"))</f>
        <v/>
      </c>
    </row>
    <row r="92" ht="22" customHeight="1">
      <c r="A92" s="54" t="n">
        <v>89</v>
      </c>
      <c r="B92" s="13" t="inlineStr">
        <is>
          <t>الإدارة المالية</t>
        </is>
      </c>
      <c r="C92" s="11" t="inlineStr">
        <is>
          <t>دقة تسوية أرامكو</t>
        </is>
      </c>
      <c r="D92" s="15" t="inlineStr">
        <is>
          <t>شهري</t>
        </is>
      </c>
      <c r="E92" s="15" t="inlineStr">
        <is>
          <t>معدل</t>
        </is>
      </c>
      <c r="F92" s="49" t="inlineStr">
        <is>
          <t>↑</t>
        </is>
      </c>
      <c r="G92" s="55" t="n">
        <v>1</v>
      </c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50">
        <f>IF(COUNT($H92:$S92)=0,"",SUM($H92:$S92)/COUNT($H92:$S92))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هدف",IF($U92&gt;=1.0,"✅ محقق",IF($U92&gt;=0.97,"🟡 قريب","🔴 تحت الهدف")))</f>
        <v/>
      </c>
      <c r="W92" s="57">
        <f>IF($G92="","",$G92)</f>
        <v/>
      </c>
      <c r="X92" s="54">
        <f>IF($U92="","—",IF($U92&gt;=0.97,"🟢 على المسار","🟠 متأخّر"))</f>
        <v/>
      </c>
    </row>
    <row r="93" ht="22" customHeight="1">
      <c r="A93" s="54" t="n">
        <v>90</v>
      </c>
      <c r="B93" s="13" t="inlineStr">
        <is>
          <t>الإدارة المالية</t>
        </is>
      </c>
      <c r="C93" s="11" t="inlineStr">
        <is>
          <t>انحراف الموازنة</t>
        </is>
      </c>
      <c r="D93" s="15" t="inlineStr">
        <is>
          <t>ربعي</t>
        </is>
      </c>
      <c r="E93" s="15" t="inlineStr">
        <is>
          <t>معدل</t>
        </is>
      </c>
      <c r="F93" s="49" t="inlineStr">
        <is>
          <t>↓</t>
        </is>
      </c>
      <c r="G93" s="55" t="n">
        <v>0.1</v>
      </c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0">
        <f>IF(COUNT($H93:$S93)=0,"",SUM($H93:$S93)/COUNT($H93:$S93))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محقق",IF($U93&gt;=0.85,"🟡 قريب","🔴 تحت الهدف")))</f>
        <v/>
      </c>
      <c r="W93" s="57">
        <f>IF($G93="","",$G93)</f>
        <v/>
      </c>
      <c r="X93" s="54">
        <f>IF($U93="","—",IF($U93&gt;=0.85,"🟢 على المسار","🟠 متأخّر"))</f>
        <v/>
      </c>
    </row>
  </sheetData>
  <autoFilter ref="A3:X93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3</v>
      </c>
      <c r="D5" s="70" t="n">
        <v>1</v>
      </c>
      <c r="E5" s="15" t="n">
        <v>1</v>
      </c>
      <c r="F5" s="15" t="n">
        <v>1</v>
      </c>
      <c r="G5" s="15" t="n">
        <v>1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0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4</v>
      </c>
      <c r="D7" s="70" t="n">
        <v>1</v>
      </c>
      <c r="E7" s="15" t="n">
        <v>2</v>
      </c>
      <c r="F7" s="15" t="n">
        <v>1</v>
      </c>
      <c r="G7" s="15" t="n">
        <v>1</v>
      </c>
    </row>
    <row r="8">
      <c r="A8" s="15" t="n">
        <v>4</v>
      </c>
      <c r="B8" s="13" t="inlineStr">
        <is>
          <t>الاستثمار</t>
        </is>
      </c>
      <c r="C8" s="15" t="n">
        <v>5</v>
      </c>
      <c r="D8" s="70" t="n">
        <v>1</v>
      </c>
      <c r="E8" s="15" t="n">
        <v>3</v>
      </c>
      <c r="F8" s="15" t="n">
        <v>2</v>
      </c>
      <c r="G8" s="15" t="n">
        <v>0</v>
      </c>
    </row>
    <row r="9">
      <c r="A9" s="15" t="n">
        <v>5</v>
      </c>
      <c r="B9" s="13" t="inlineStr">
        <is>
          <t>العقار</t>
        </is>
      </c>
      <c r="C9" s="15" t="n">
        <v>4</v>
      </c>
      <c r="D9" s="70" t="n">
        <v>1</v>
      </c>
      <c r="E9" s="15" t="n">
        <v>3</v>
      </c>
      <c r="F9" s="15" t="n">
        <v>1</v>
      </c>
      <c r="G9" s="15" t="n">
        <v>0</v>
      </c>
    </row>
    <row r="10">
      <c r="A10" s="15" t="n">
        <v>6</v>
      </c>
      <c r="B10" s="13" t="inlineStr">
        <is>
          <t>إدارة المشاريع</t>
        </is>
      </c>
      <c r="C10" s="15" t="n">
        <v>3</v>
      </c>
      <c r="D10" s="70" t="n">
        <v>1</v>
      </c>
      <c r="E10" s="15" t="n">
        <v>2</v>
      </c>
      <c r="F10" s="15" t="n">
        <v>0</v>
      </c>
      <c r="G10" s="15" t="n">
        <v>1</v>
      </c>
    </row>
    <row r="11">
      <c r="A11" s="15" t="n">
        <v>7</v>
      </c>
      <c r="B11" s="13" t="inlineStr">
        <is>
          <t>سلاسل الإمداد</t>
        </is>
      </c>
      <c r="C11" s="15" t="n">
        <v>4</v>
      </c>
      <c r="D11" s="70" t="n">
        <v>1</v>
      </c>
      <c r="E11" s="15" t="n">
        <v>1</v>
      </c>
      <c r="F11" s="15" t="n">
        <v>1</v>
      </c>
      <c r="G11" s="15" t="n">
        <v>2</v>
      </c>
    </row>
    <row r="12">
      <c r="A12" s="15" t="n">
        <v>8</v>
      </c>
      <c r="B12" s="13" t="inlineStr">
        <is>
          <t>الصيانة والأتمتة</t>
        </is>
      </c>
      <c r="C12" s="15" t="n">
        <v>2</v>
      </c>
      <c r="D12" s="70" t="n">
        <v>1</v>
      </c>
      <c r="E12" s="15" t="n">
        <v>0</v>
      </c>
      <c r="F12" s="15" t="n">
        <v>1</v>
      </c>
      <c r="G12" s="15" t="n">
        <v>1</v>
      </c>
    </row>
    <row r="13">
      <c r="A13" s="15" t="n">
        <v>9</v>
      </c>
      <c r="B13" s="13" t="inlineStr">
        <is>
          <t>التقنية الرقمية</t>
        </is>
      </c>
      <c r="C13" s="15" t="n">
        <v>2</v>
      </c>
      <c r="D13" s="70" t="n">
        <v>1</v>
      </c>
      <c r="E13" s="15" t="n">
        <v>0</v>
      </c>
      <c r="F13" s="15" t="n">
        <v>0</v>
      </c>
      <c r="G13" s="15" t="n">
        <v>2</v>
      </c>
    </row>
    <row r="14">
      <c r="A14" s="15" t="n">
        <v>10</v>
      </c>
      <c r="B14" s="13" t="inlineStr">
        <is>
          <t>الموارد البشرية</t>
        </is>
      </c>
      <c r="C14" s="15" t="n">
        <v>5</v>
      </c>
      <c r="D14" s="70" t="n">
        <v>1</v>
      </c>
      <c r="E14" s="15" t="n">
        <v>3</v>
      </c>
      <c r="F14" s="15" t="n">
        <v>1</v>
      </c>
      <c r="G14" s="15" t="n">
        <v>1</v>
      </c>
    </row>
    <row r="15">
      <c r="A15" s="15" t="n">
        <v>11</v>
      </c>
      <c r="B15" s="13" t="inlineStr">
        <is>
          <t>التسويق</t>
        </is>
      </c>
      <c r="C15" s="15" t="n">
        <v>5</v>
      </c>
      <c r="D15" s="70" t="n">
        <v>1</v>
      </c>
      <c r="E15" s="15" t="n">
        <v>3</v>
      </c>
      <c r="F15" s="15" t="n">
        <v>2</v>
      </c>
      <c r="G15" s="15" t="n">
        <v>0</v>
      </c>
    </row>
    <row r="16">
      <c r="A16" s="15" t="n">
        <v>12</v>
      </c>
      <c r="B16" s="13" t="inlineStr">
        <is>
          <t>الجودة</t>
        </is>
      </c>
      <c r="C16" s="15" t="n">
        <v>15</v>
      </c>
      <c r="D16" s="70" t="n">
        <v>1</v>
      </c>
      <c r="E16" s="15" t="n">
        <v>0</v>
      </c>
      <c r="F16" s="15" t="n">
        <v>0</v>
      </c>
      <c r="G16" s="15" t="n">
        <v>15</v>
      </c>
    </row>
    <row r="17">
      <c r="A17" s="15" t="n">
        <v>13</v>
      </c>
      <c r="B17" s="13" t="inlineStr">
        <is>
          <t>الإدارة القانونية</t>
        </is>
      </c>
      <c r="C17" s="15" t="n">
        <v>3</v>
      </c>
      <c r="D17" s="70" t="n">
        <v>1</v>
      </c>
      <c r="E17" s="15" t="n">
        <v>1</v>
      </c>
      <c r="F17" s="15" t="n">
        <v>0</v>
      </c>
      <c r="G17" s="15" t="n">
        <v>2</v>
      </c>
    </row>
    <row r="18">
      <c r="A18" s="15" t="n">
        <v>14</v>
      </c>
      <c r="B18" s="13" t="inlineStr">
        <is>
          <t>الإدارة المالية</t>
        </is>
      </c>
      <c r="C18" s="15" t="n">
        <v>6</v>
      </c>
      <c r="D18" s="70" t="n">
        <v>1</v>
      </c>
      <c r="E18" s="15" t="n">
        <v>4</v>
      </c>
      <c r="F18" s="15" t="n">
        <v>0</v>
      </c>
      <c r="G18" s="15" t="n">
        <v>2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15</v>
      </c>
      <c r="D22" s="24" t="n">
        <v>0.167</v>
      </c>
    </row>
    <row r="23">
      <c r="A23" s="15" t="n">
        <v>2</v>
      </c>
      <c r="B23" s="13" t="inlineStr">
        <is>
          <t>العملاء</t>
        </is>
      </c>
      <c r="C23" s="15" t="n">
        <v>11</v>
      </c>
      <c r="D23" s="24" t="n">
        <v>0.122</v>
      </c>
    </row>
    <row r="24">
      <c r="A24" s="15" t="n">
        <v>3</v>
      </c>
      <c r="B24" s="13" t="inlineStr">
        <is>
          <t>العمليات الداخلية</t>
        </is>
      </c>
      <c r="C24" s="15" t="n">
        <v>54</v>
      </c>
      <c r="D24" s="24" t="n">
        <v>0.6</v>
      </c>
    </row>
    <row r="25">
      <c r="A25" s="15" t="n">
        <v>4</v>
      </c>
      <c r="B25" s="13" t="inlineStr">
        <is>
          <t>التعلّم والنمو</t>
        </is>
      </c>
      <c r="C25" s="15" t="n">
        <v>10</v>
      </c>
      <c r="D25" s="24" t="n">
        <v>0.111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7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5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5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6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0</v>
      </c>
      <c r="E35" s="15" t="inlineStr">
        <is>
          <t>🔴 فجوة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11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42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4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5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نسبة إنجاز مشاريع الخارطة التنفيذية</t>
        </is>
      </c>
      <c r="D3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3" s="11" t="inlineStr">
        <is>
          <t>(المتحقّق ÷ الإجمالي) × 100٪</t>
        </is>
      </c>
      <c r="F3" s="15" t="inlineStr">
        <is>
          <t>⚙️ نشاط</t>
        </is>
      </c>
      <c r="G3" s="11" t="inlineStr">
        <is>
          <t>الابتكار · إطلاق مشاريع جديدة</t>
        </is>
      </c>
      <c r="H3" s="15" t="inlineStr">
        <is>
          <t>العمليات الداخلية</t>
        </is>
      </c>
      <c r="I3" s="55" t="n">
        <v>0.34</v>
      </c>
      <c r="J3" s="15" t="inlineStr">
        <is>
          <t>الرئيس التنفيذي</t>
        </is>
      </c>
      <c r="K3" s="11" t="inlineStr">
        <is>
          <t>سجلات الإدارة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نسبة التحول الرقمي على مستوى الشركة</t>
        </is>
      </c>
      <c r="D4" s="71" t="inlineStr">
        <is>
          <t>يقيس نسبة التحول الرقمي على مستوى الشركة ضمن محور «الابتكار»، ويعكس مساهمة الإدارة في ركيزة الابتكار.</t>
        </is>
      </c>
      <c r="E4" s="11" t="inlineStr">
        <is>
          <t>(المتحقّق ÷ الإجمالي) × 100٪</t>
        </is>
      </c>
      <c r="F4" s="15" t="inlineStr">
        <is>
          <t>🔧 تشغيلي</t>
        </is>
      </c>
      <c r="G4" s="11" t="inlineStr">
        <is>
          <t>الابتكار · التحول التقني</t>
        </is>
      </c>
      <c r="H4" s="15" t="inlineStr">
        <is>
          <t>التعلّم والنمو</t>
        </is>
      </c>
      <c r="I4" s="55" t="n">
        <v>0.33</v>
      </c>
      <c r="J4" s="15" t="inlineStr">
        <is>
          <t>الرئيس التنفيذي</t>
        </is>
      </c>
      <c r="K4" s="11" t="inlineStr">
        <is>
          <t>سجلات الإدارة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الالتزام بإطار الحوكمة المؤسسية والامتثال التنظيمي</t>
        </is>
      </c>
      <c r="D5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الاستدامة · جودة التشغيل</t>
        </is>
      </c>
      <c r="H5" s="15" t="inlineStr">
        <is>
          <t>العمليات الداخلية</t>
        </is>
      </c>
      <c r="I5" s="55" t="n">
        <v>0.33</v>
      </c>
      <c r="J5" s="15" t="inlineStr">
        <is>
          <t>الرئيس التنفيذي</t>
        </is>
      </c>
      <c r="K5" s="11" t="inlineStr">
        <is>
          <t>نظام إدارة الجودة (QMS)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الامتياز التجاري</t>
        </is>
      </c>
      <c r="C6" s="21" t="inlineStr">
        <is>
          <t>عدد محطات الامتياز المشغّلة (تراكمي)</t>
        </is>
      </c>
      <c r="D6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6" s="11" t="inlineStr">
        <is>
          <t>إجمالي العدد خلال الفترة</t>
        </is>
      </c>
      <c r="F6" s="15" t="inlineStr">
        <is>
          <t>⚙️ نشاط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55" t="n">
        <v>0.04</v>
      </c>
      <c r="J6" s="15" t="inlineStr">
        <is>
          <t>مدير الامتياز</t>
        </is>
      </c>
      <c r="K6" s="11" t="inlineStr">
        <is>
          <t>نظام إدارة العقود (CRM)</t>
        </is>
      </c>
      <c r="L6" s="15" t="inlineStr">
        <is>
          <t>شهري</t>
        </is>
      </c>
      <c r="M6" s="15" t="inlineStr">
        <is>
          <t>مدير الامتياز</t>
        </is>
      </c>
      <c r="N6" s="51" t="n"/>
    </row>
    <row r="7" ht="30" customHeight="1">
      <c r="A7" s="15" t="n">
        <v>5</v>
      </c>
      <c r="B7" s="13" t="inlineStr">
        <is>
          <t>الامتياز التجاري</t>
        </is>
      </c>
      <c r="C7" s="21" t="inlineStr">
        <is>
          <t>عدد عقود الامتياز الجديدة الموقّعة</t>
        </is>
      </c>
      <c r="D7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7" s="11" t="inlineStr">
        <is>
          <t>إجمالي العدد خلال الفترة</t>
        </is>
      </c>
      <c r="F7" s="15" t="inlineStr">
        <is>
          <t>⚙️ نشاط</t>
        </is>
      </c>
      <c r="G7" s="11" t="inlineStr">
        <is>
          <t>النمو · الامتياز التجاري</t>
        </is>
      </c>
      <c r="H7" s="15" t="inlineStr">
        <is>
          <t>العمليات الداخلية</t>
        </is>
      </c>
      <c r="I7" s="55" t="n">
        <v>0.04</v>
      </c>
      <c r="J7" s="15" t="inlineStr">
        <is>
          <t>مدير الامتياز</t>
        </is>
      </c>
      <c r="K7" s="11" t="inlineStr">
        <is>
          <t>نظام إدارة العقود (CRM)</t>
        </is>
      </c>
      <c r="L7" s="15" t="inlineStr">
        <is>
          <t>شهري</t>
        </is>
      </c>
      <c r="M7" s="15" t="inlineStr">
        <is>
          <t>مدير الامتياز</t>
        </is>
      </c>
      <c r="N7" s="51" t="n"/>
    </row>
    <row r="8" ht="30" customHeight="1">
      <c r="A8" s="15" t="n">
        <v>6</v>
      </c>
      <c r="B8" s="13" t="inlineStr">
        <is>
          <t>الامتياز التجاري</t>
        </is>
      </c>
      <c r="C8" s="21" t="inlineStr">
        <is>
          <t>إجمالي مبيعات وقود محطات الامتياز</t>
        </is>
      </c>
      <c r="D8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8" s="11" t="inlineStr">
        <is>
          <t>إجمالي العدد خلال الفترة</t>
        </is>
      </c>
      <c r="F8" s="15" t="inlineStr">
        <is>
          <t>🎯 نتيجة</t>
        </is>
      </c>
      <c r="G8" s="11" t="inlineStr">
        <is>
          <t>النمو · زيادة وصول العملاء</t>
        </is>
      </c>
      <c r="H8" s="15" t="inlineStr">
        <is>
          <t>مالي</t>
        </is>
      </c>
      <c r="I8" s="55" t="n">
        <v>0.04</v>
      </c>
      <c r="J8" s="15" t="inlineStr">
        <is>
          <t>مدير الامتياز</t>
        </is>
      </c>
      <c r="K8" s="11" t="inlineStr">
        <is>
          <t>نظام إدارة العقود (CRM)</t>
        </is>
      </c>
      <c r="L8" s="15" t="inlineStr">
        <is>
          <t>شهري</t>
        </is>
      </c>
      <c r="M8" s="15" t="inlineStr">
        <is>
          <t>مدير الامتياز</t>
        </is>
      </c>
      <c r="N8" s="51" t="n"/>
    </row>
    <row r="9" ht="30" customHeight="1">
      <c r="A9" s="15" t="n">
        <v>7</v>
      </c>
      <c r="B9" s="13" t="inlineStr">
        <is>
          <t>الامتياز التجاري</t>
        </is>
      </c>
      <c r="C9" s="21" t="inlineStr">
        <is>
          <t>نسبة تأجير وحدات الامتياز</t>
        </is>
      </c>
      <c r="D9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🔧 تشغيلي</t>
        </is>
      </c>
      <c r="G9" s="11" t="inlineStr">
        <is>
          <t>الاستدامة · منظومة التأجير</t>
        </is>
      </c>
      <c r="H9" s="15" t="inlineStr">
        <is>
          <t>العمليات الداخلية</t>
        </is>
      </c>
      <c r="I9" s="55" t="n">
        <v>0.03</v>
      </c>
      <c r="J9" s="15" t="inlineStr">
        <is>
          <t>مدير الامتياز</t>
        </is>
      </c>
      <c r="K9" s="11" t="inlineStr">
        <is>
          <t>نظام إدارة العقود (CRM)</t>
        </is>
      </c>
      <c r="L9" s="15" t="inlineStr">
        <is>
          <t>شهري</t>
        </is>
      </c>
      <c r="M9" s="15" t="inlineStr">
        <is>
          <t>مدير الامتياز</t>
        </is>
      </c>
      <c r="N9" s="51" t="n"/>
    </row>
    <row r="10" ht="30" customHeight="1">
      <c r="A10" s="15" t="n">
        <v>8</v>
      </c>
      <c r="B10" s="13" t="inlineStr">
        <is>
          <t>الامتياز التجاري</t>
        </is>
      </c>
      <c r="C10" s="21" t="inlineStr">
        <is>
          <t>إجمالي إيرادات إدارة الامتياز</t>
        </is>
      </c>
      <c r="D10" s="71" t="inlineStr">
        <is>
          <t>يقيس إجمالي إيرادات إدارة الامتياز ضمن محور «الأداء المالي»، ويعكس مساهمة الإدارة في ركيزة النمو.</t>
        </is>
      </c>
      <c r="E10" s="11" t="inlineStr">
        <is>
          <t>إجمالي القيمة (ر.س) خلال الفترة</t>
        </is>
      </c>
      <c r="F10" s="15" t="inlineStr">
        <is>
          <t>🎯 نتيجة</t>
        </is>
      </c>
      <c r="G10" s="11" t="inlineStr">
        <is>
          <t>النمو · الامتياز التجاري</t>
        </is>
      </c>
      <c r="H10" s="15" t="inlineStr">
        <is>
          <t>مالي</t>
        </is>
      </c>
      <c r="I10" s="55" t="n">
        <v>0.04</v>
      </c>
      <c r="J10" s="15" t="inlineStr">
        <is>
          <t>مدير الامتياز</t>
        </is>
      </c>
      <c r="K10" s="11" t="inlineStr">
        <is>
          <t>نظام المحاسبة / ERP (D365)</t>
        </is>
      </c>
      <c r="L10" s="15" t="inlineStr">
        <is>
          <t>شهري</t>
        </is>
      </c>
      <c r="M10" s="15" t="inlineStr">
        <is>
          <t>الإدارة المالية</t>
        </is>
      </c>
      <c r="N10" s="51" t="n"/>
    </row>
    <row r="11" ht="30" customHeight="1">
      <c r="A11" s="15" t="n">
        <v>9</v>
      </c>
      <c r="B11" s="13" t="inlineStr">
        <is>
          <t>الامتياز التجاري</t>
        </is>
      </c>
      <c r="C11" s="21" t="inlineStr">
        <is>
          <t>رفع هامش الربحية للامتياز</t>
        </is>
      </c>
      <c r="D11" s="71" t="inlineStr">
        <is>
          <t>يقيس رفع هامش الربحية للامتياز ضمن محور «الأداء المالي»، ويعكس مساهمة الإدارة في ركيزة النمو.</t>
        </is>
      </c>
      <c r="E11" s="11" t="inlineStr">
        <is>
          <t>إجمالي العدد خلال الفترة</t>
        </is>
      </c>
      <c r="F11" s="15" t="inlineStr">
        <is>
          <t>🎯 نتيجة</t>
        </is>
      </c>
      <c r="G11" s="11" t="inlineStr">
        <is>
          <t>النمو · الامتياز التجاري</t>
        </is>
      </c>
      <c r="H11" s="15" t="inlineStr">
        <is>
          <t>مالي</t>
        </is>
      </c>
      <c r="I11" s="55" t="n">
        <v>0.03</v>
      </c>
      <c r="J11" s="15" t="inlineStr">
        <is>
          <t>مدير الامتياز</t>
        </is>
      </c>
      <c r="K11" s="11" t="inlineStr">
        <is>
          <t>نظام المحاسبة / ERP (D365)</t>
        </is>
      </c>
      <c r="L11" s="15" t="inlineStr">
        <is>
          <t>شهري</t>
        </is>
      </c>
      <c r="M11" s="15" t="inlineStr">
        <is>
          <t>الإدارة المالية</t>
        </is>
      </c>
      <c r="N11" s="51" t="n"/>
    </row>
    <row r="12" ht="30" customHeight="1">
      <c r="A12" s="15" t="n">
        <v>10</v>
      </c>
      <c r="B12" s="13" t="inlineStr">
        <is>
          <t>الامتياز التجاري</t>
        </is>
      </c>
      <c r="C12" s="21" t="inlineStr">
        <is>
          <t>نسبة التحصيل المالي من شركاء الامتياز</t>
        </is>
      </c>
      <c r="D12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مالي</t>
        </is>
      </c>
      <c r="I12" s="55" t="n">
        <v>0.04</v>
      </c>
      <c r="J12" s="15" t="inlineStr">
        <is>
          <t>مدير الامتياز</t>
        </is>
      </c>
      <c r="K12" s="11" t="inlineStr">
        <is>
          <t>نظام المحاسبة / ERP (D365)</t>
        </is>
      </c>
      <c r="L12" s="15" t="inlineStr">
        <is>
          <t>شهري</t>
        </is>
      </c>
      <c r="M12" s="15" t="inlineStr">
        <is>
          <t>الإدارة المالية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متوسط أيام تحصيل شركاء الامتياز (DSO)</t>
        </is>
      </c>
      <c r="D13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13" s="11" t="inlineStr">
        <is>
          <t>متوسط يوم خلال الفترة</t>
        </is>
      </c>
      <c r="F13" s="15" t="inlineStr">
        <is>
          <t>🎯 نتيجة</t>
        </is>
      </c>
      <c r="G13" s="11" t="inlineStr">
        <is>
          <t>الاستدامة · جودة التشغيل</t>
        </is>
      </c>
      <c r="H13" s="15" t="inlineStr">
        <is>
          <t>مالي</t>
        </is>
      </c>
      <c r="I13" s="55" t="n">
        <v>0.04</v>
      </c>
      <c r="J13" s="15" t="inlineStr">
        <is>
          <t>مدير الامتياز</t>
        </is>
      </c>
      <c r="K13" s="11" t="inlineStr">
        <is>
          <t>نظام المحاسبة / ERP (D365)</t>
        </is>
      </c>
      <c r="L13" s="15" t="inlineStr">
        <is>
          <t>شهري</t>
        </is>
      </c>
      <c r="M13" s="15" t="inlineStr">
        <is>
          <t>الإدارة المالية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إجمالي المستحقات المتأخرة (+30 يوم)</t>
        </is>
      </c>
      <c r="D14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14" s="11" t="inlineStr">
        <is>
          <t>إجمالي القيمة (ر.س) خلال الفترة</t>
        </is>
      </c>
      <c r="F14" s="15" t="inlineStr">
        <is>
          <t>🔧 تشغيلي</t>
        </is>
      </c>
      <c r="G14" s="11" t="inlineStr">
        <is>
          <t>الاستدامة · جودة التشغيل</t>
        </is>
      </c>
      <c r="H14" s="15" t="inlineStr">
        <is>
          <t>مالي</t>
        </is>
      </c>
      <c r="I14" s="55" t="n">
        <v>0.03</v>
      </c>
      <c r="J14" s="15" t="inlineStr">
        <is>
          <t>مدير الامتياز</t>
        </is>
      </c>
      <c r="K14" s="11" t="inlineStr">
        <is>
          <t>نظام المحاسبة / ERP (D365)</t>
        </is>
      </c>
      <c r="L14" s="15" t="inlineStr">
        <is>
          <t>شهري</t>
        </is>
      </c>
      <c r="M14" s="15" t="inlineStr">
        <is>
          <t>الإدارة المالية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نسبة الشركاء الملتزمين بمواعيد السداد</t>
        </is>
      </c>
      <c r="D15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15" s="11" t="inlineStr">
        <is>
          <t>(المتحقّق ÷ الإجمالي) × 100٪</t>
        </is>
      </c>
      <c r="F15" s="15" t="inlineStr">
        <is>
          <t>🔧 تشغيلي</t>
        </is>
      </c>
      <c r="G15" s="11" t="inlineStr">
        <is>
          <t>الاستدامة · جودة التشغيل</t>
        </is>
      </c>
      <c r="H15" s="15" t="inlineStr">
        <is>
          <t>مالي</t>
        </is>
      </c>
      <c r="I15" s="55" t="n">
        <v>0.03</v>
      </c>
      <c r="J15" s="15" t="inlineStr">
        <is>
          <t>مدير الامتياز</t>
        </is>
      </c>
      <c r="K15" s="11" t="inlineStr">
        <is>
          <t>نظام المحاسبة / ERP (D365)</t>
        </is>
      </c>
      <c r="L15" s="15" t="inlineStr">
        <is>
          <t>شهري</t>
        </is>
      </c>
      <c r="M15" s="15" t="inlineStr">
        <is>
          <t>الإدارة المالية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معدل دوران رأس المال (أيام الدورة)</t>
        </is>
      </c>
      <c r="D16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16" s="11" t="inlineStr">
        <is>
          <t>متوسط يوم خلال الفترة</t>
        </is>
      </c>
      <c r="F16" s="15" t="inlineStr">
        <is>
          <t>🔧 تشغيلي</t>
        </is>
      </c>
      <c r="G16" s="11" t="inlineStr">
        <is>
          <t>الاستدامة · جودة التشغيل</t>
        </is>
      </c>
      <c r="H16" s="15" t="inlineStr">
        <is>
          <t>مالي</t>
        </is>
      </c>
      <c r="I16" s="55" t="n">
        <v>0.03</v>
      </c>
      <c r="J16" s="15" t="inlineStr">
        <is>
          <t>مدير الامتياز</t>
        </is>
      </c>
      <c r="K16" s="11" t="inlineStr">
        <is>
          <t>نظام الموارد البشرية (HRMS)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نسبة جاهزية محطات الامتياز (صفر انقطاع)</t>
        </is>
      </c>
      <c r="D17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17" s="11" t="inlineStr">
        <is>
          <t>(المتحقّق ÷ الإجمالي) × 100٪</t>
        </is>
      </c>
      <c r="F17" s="15" t="inlineStr">
        <is>
          <t>🎯 نتيجة</t>
        </is>
      </c>
      <c r="G17" s="11" t="inlineStr">
        <is>
          <t>الاستدامة · جودة التشغيل</t>
        </is>
      </c>
      <c r="H17" s="15" t="inlineStr">
        <is>
          <t>العمليات الداخلية</t>
        </is>
      </c>
      <c r="I17" s="55" t="n">
        <v>0.04</v>
      </c>
      <c r="J17" s="15" t="inlineStr">
        <is>
          <t>مدير الامتياز</t>
        </is>
      </c>
      <c r="K17" s="11" t="inlineStr">
        <is>
          <t>نظام إدارة الجودة (QMS)</t>
        </is>
      </c>
      <c r="L17" s="15" t="inlineStr">
        <is>
          <t>شهري</t>
        </is>
      </c>
      <c r="M17" s="15" t="inlineStr">
        <is>
          <t>مدير الامتياز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عدد حالات انقطاع الوقود الموثّقة</t>
        </is>
      </c>
      <c r="D18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18" s="11" t="inlineStr">
        <is>
          <t>إجمالي العدد خلال الفترة</t>
        </is>
      </c>
      <c r="F18" s="15" t="inlineStr">
        <is>
          <t>⚙️ نشاط</t>
        </is>
      </c>
      <c r="G18" s="11" t="inlineStr">
        <is>
          <t>الاستدامة · جودة التشغيل</t>
        </is>
      </c>
      <c r="H18" s="15" t="inlineStr">
        <is>
          <t>العمليات الداخلية</t>
        </is>
      </c>
      <c r="I18" s="55" t="n">
        <v>0.04</v>
      </c>
      <c r="J18" s="15" t="inlineStr">
        <is>
          <t>مدير الامتياز</t>
        </is>
      </c>
      <c r="K18" s="11" t="inlineStr">
        <is>
          <t>نظام إدارة الجودة (QMS)</t>
        </is>
      </c>
      <c r="L18" s="15" t="inlineStr">
        <is>
          <t>شهري</t>
        </is>
      </c>
      <c r="M18" s="15" t="inlineStr">
        <is>
          <t>مدير الامتياز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إغلاق ملاحظات الجودة الميدانية</t>
        </is>
      </c>
      <c r="D19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العمليات الداخلية</t>
        </is>
      </c>
      <c r="I19" s="55" t="n">
        <v>0.03</v>
      </c>
      <c r="J19" s="15" t="inlineStr">
        <is>
          <t>مدير الامتياز</t>
        </is>
      </c>
      <c r="K19" s="11" t="inlineStr">
        <is>
          <t>نظام إدارة الجودة (QMS)</t>
        </is>
      </c>
      <c r="L19" s="15" t="inlineStr">
        <is>
          <t>شهري</t>
        </is>
      </c>
      <c r="M19" s="15" t="inlineStr">
        <is>
          <t>مدير الامتياز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درجة تقييم جودة المحطة (قائمة التحقق)</t>
        </is>
      </c>
      <c r="D20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العمليات الداخلية</t>
        </is>
      </c>
      <c r="I20" s="55" t="n">
        <v>0.04</v>
      </c>
      <c r="J20" s="15" t="inlineStr">
        <is>
          <t>مدير الامتياز</t>
        </is>
      </c>
      <c r="K20" s="11" t="inlineStr">
        <is>
          <t>نظام إدارة الجودة (QMS)</t>
        </is>
      </c>
      <c r="L20" s="15" t="inlineStr">
        <is>
          <t>شهري</t>
        </is>
      </c>
      <c r="M20" s="15" t="inlineStr">
        <is>
          <t>مدير الامتياز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نسبة تنفيذ الزيارات الميدانية المجدولة</t>
        </is>
      </c>
      <c r="D21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⚙️ نشاط</t>
        </is>
      </c>
      <c r="G21" s="11" t="inlineStr">
        <is>
          <t>الاستدامة · جودة التشغيل</t>
        </is>
      </c>
      <c r="H21" s="15" t="inlineStr">
        <is>
          <t>العمليات الداخلية</t>
        </is>
      </c>
      <c r="I21" s="55" t="n">
        <v>0.03</v>
      </c>
      <c r="J21" s="15" t="inlineStr">
        <is>
          <t>مدير الامتياز</t>
        </is>
      </c>
      <c r="K21" s="11" t="inlineStr">
        <is>
          <t>نظام إدارة الجودة (QMS)</t>
        </is>
      </c>
      <c r="L21" s="15" t="inlineStr">
        <is>
          <t>شهري</t>
        </is>
      </c>
      <c r="M21" s="15" t="inlineStr">
        <is>
          <t>مدير الامتياز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المحطات المستوفية لمعايير السلامة</t>
        </is>
      </c>
      <c r="D22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العمليات الداخلية</t>
        </is>
      </c>
      <c r="I22" s="55" t="n">
        <v>0.04</v>
      </c>
      <c r="J22" s="15" t="inlineStr">
        <is>
          <t>مدير الامتياز</t>
        </is>
      </c>
      <c r="K22" s="11" t="inlineStr">
        <is>
          <t>نظام إدارة الجودة (QMS)</t>
        </is>
      </c>
      <c r="L22" s="15" t="inlineStr">
        <is>
          <t>شهري</t>
        </is>
      </c>
      <c r="M22" s="15" t="inlineStr">
        <is>
          <t>مدير الامتياز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متوسط وقت معالجة البلاغات التشغيلية</t>
        </is>
      </c>
      <c r="D23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3" s="11" t="inlineStr">
        <is>
          <t>متوسط ساعة خلال الفترة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55" t="n">
        <v>0.03</v>
      </c>
      <c r="J23" s="15" t="inlineStr">
        <is>
          <t>مدير الامتياز</t>
        </is>
      </c>
      <c r="K23" s="11" t="inlineStr">
        <is>
          <t>نظام إدارة الجودة (QMS)</t>
        </is>
      </c>
      <c r="L23" s="15" t="inlineStr">
        <is>
          <t>شهري</t>
        </is>
      </c>
      <c r="M23" s="15" t="inlineStr">
        <is>
          <t>مدير الامتياز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أتمتة محطات الامتياز</t>
        </is>
      </c>
      <c r="D24" s="71" t="inlineStr">
        <is>
          <t>يقيس نسبة أتمتة محطات الامتياز ضمن محور «التشغيل والجودة»، ويعكس مساهمة الإدارة في ركيزة الابتكار.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الابتكار · التحول التقني</t>
        </is>
      </c>
      <c r="H24" s="15" t="inlineStr">
        <is>
          <t>التعلّم والنمو</t>
        </is>
      </c>
      <c r="I24" s="55" t="n">
        <v>0.04</v>
      </c>
      <c r="J24" s="15" t="inlineStr">
        <is>
          <t>مدير الامتياز</t>
        </is>
      </c>
      <c r="K24" s="11" t="inlineStr">
        <is>
          <t>مكتب إدارة المشاريع (PMO)</t>
        </is>
      </c>
      <c r="L24" s="15" t="inlineStr">
        <is>
          <t>شهري</t>
        </is>
      </c>
      <c r="M24" s="15" t="inlineStr">
        <is>
          <t>مدير الامتياز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نسبة تطبيق المعيار الشامل داخل المحطات</t>
        </is>
      </c>
      <c r="D25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25" s="11" t="inlineStr">
        <is>
          <t>(المتحقّق ÷ الإجمالي) × 100٪</t>
        </is>
      </c>
      <c r="F25" s="15" t="inlineStr">
        <is>
          <t>🔧 تشغيلي</t>
        </is>
      </c>
      <c r="G25" s="11" t="inlineStr">
        <is>
          <t>الابتكار · التحول التقني</t>
        </is>
      </c>
      <c r="H25" s="15" t="inlineStr">
        <is>
          <t>التعلّم والنمو</t>
        </is>
      </c>
      <c r="I25" s="55" t="n">
        <v>0.01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التزام المحطات بالهوية المؤسسية</t>
        </is>
      </c>
      <c r="D26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الابتكار · تطوير التصاميم والهوية</t>
        </is>
      </c>
      <c r="H26" s="15" t="inlineStr">
        <is>
          <t>التعلّم والنمو</t>
        </is>
      </c>
      <c r="I26" s="55" t="n">
        <v>0.04</v>
      </c>
      <c r="J26" s="15" t="inlineStr">
        <is>
          <t>مدير الامتياز</t>
        </is>
      </c>
      <c r="K26" s="11" t="inlineStr">
        <is>
          <t>نظام تشغيل المحطات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تقييم المحطات على خرائط قوقل</t>
        </is>
      </c>
      <c r="D27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27" s="11" t="inlineStr">
        <is>
          <t>متوسط التقييم (من 5)</t>
        </is>
      </c>
      <c r="F27" s="15" t="inlineStr">
        <is>
          <t>🎯 نتيجة</t>
        </is>
      </c>
      <c r="G27" s="11" t="inlineStr">
        <is>
          <t>الاستدامة · تعزيز تجربة العملاء</t>
        </is>
      </c>
      <c r="H27" s="15" t="inlineStr">
        <is>
          <t>العملاء</t>
        </is>
      </c>
      <c r="I27" s="55" t="n">
        <v>0.04</v>
      </c>
      <c r="J27" s="15" t="inlineStr">
        <is>
          <t>مدير الامتياز</t>
        </is>
      </c>
      <c r="K27" s="11" t="inlineStr">
        <is>
          <t>تقييمات خرائط قوقل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معدل رضا شركاء الامتياز (CSAT)</t>
        </is>
      </c>
      <c r="D28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تعزيز تجربة العملاء</t>
        </is>
      </c>
      <c r="H28" s="15" t="inlineStr">
        <is>
          <t>العملاء</t>
        </is>
      </c>
      <c r="I28" s="55" t="n">
        <v>0.04</v>
      </c>
      <c r="J28" s="15" t="inlineStr">
        <is>
          <t>مدير الامتياز</t>
        </is>
      </c>
      <c r="K28" s="11" t="inlineStr">
        <is>
          <t>استبيان دوري</t>
        </is>
      </c>
      <c r="L28" s="15" t="inlineStr">
        <is>
          <t>ربعي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حل الشكاوى خلال المدة المحددة</t>
        </is>
      </c>
      <c r="D29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تعزيز تجربة العملاء</t>
        </is>
      </c>
      <c r="H29" s="15" t="inlineStr">
        <is>
          <t>العملاء</t>
        </is>
      </c>
      <c r="I29" s="55" t="n">
        <v>0.03</v>
      </c>
      <c r="J29" s="15" t="inlineStr">
        <is>
          <t>مدير الامتياز</t>
        </is>
      </c>
      <c r="K29" s="11" t="inlineStr">
        <is>
          <t>سجلات الإدارة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انخفاض الشكاوى التشغيلية والإدارية</t>
        </is>
      </c>
      <c r="D30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🎯 نتيجة</t>
        </is>
      </c>
      <c r="G30" s="11" t="inlineStr">
        <is>
          <t>الاستدامة · تعزيز تجربة العملاء</t>
        </is>
      </c>
      <c r="H30" s="15" t="inlineStr">
        <is>
          <t>العملاء</t>
        </is>
      </c>
      <c r="I30" s="55" t="n">
        <v>0.03</v>
      </c>
      <c r="J30" s="15" t="inlineStr">
        <is>
          <t>مدير الامتياز</t>
        </is>
      </c>
      <c r="K30" s="11" t="inlineStr">
        <is>
          <t>سجلات الإدارة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استدامة أصحاب الامتياز (Retention)</t>
        </is>
      </c>
      <c r="D31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تعزيز تجربة العملاء</t>
        </is>
      </c>
      <c r="H31" s="15" t="inlineStr">
        <is>
          <t>العمليات الداخلية</t>
        </is>
      </c>
      <c r="I31" s="55" t="n">
        <v>0.03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زيادة عدد أصحاب الامتياز</t>
        </is>
      </c>
      <c r="D32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2" s="11" t="inlineStr">
        <is>
          <t>(المتحقّق ÷ الإجمالي) × 100٪</t>
        </is>
      </c>
      <c r="F32" s="15" t="inlineStr">
        <is>
          <t>⚙️ نشاط</t>
        </is>
      </c>
      <c r="G32" s="11" t="inlineStr">
        <is>
          <t>الاستدامة · تعزيز تجربة العملاء</t>
        </is>
      </c>
      <c r="H32" s="15" t="inlineStr">
        <is>
          <t>العمليات الداخلية</t>
        </is>
      </c>
      <c r="I32" s="55" t="n">
        <v>0.02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متوسط مدة إغلاق عقد الامتياز</t>
        </is>
      </c>
      <c r="D33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3" s="11" t="inlineStr">
        <is>
          <t>متوسط أسبوع خلال الفترة</t>
        </is>
      </c>
      <c r="F33" s="15" t="inlineStr">
        <is>
          <t>🎯 نتيجة</t>
        </is>
      </c>
      <c r="G33" s="11" t="inlineStr">
        <is>
          <t>النمو · الامتياز التجاري</t>
        </is>
      </c>
      <c r="H33" s="15" t="inlineStr">
        <is>
          <t>العمليات الداخلية</t>
        </is>
      </c>
      <c r="I33" s="55" t="n">
        <v>0.04</v>
      </c>
      <c r="J33" s="15" t="inlineStr">
        <is>
          <t>مدير الامتياز</t>
        </is>
      </c>
      <c r="K33" s="11" t="inlineStr">
        <is>
          <t>نظام إدارة الجودة (QMS)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التحصيل خلال 5 أيام عمل</t>
        </is>
      </c>
      <c r="D34" s="71" t="inlineStr">
        <is>
          <t>يقيس نسبة التحصيل خلال 5 أيام عمل ضمن محور «الأداء المالي»،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الامتياز التجاري</t>
        </is>
      </c>
      <c r="H34" s="15" t="inlineStr">
        <is>
          <t>مالي</t>
        </is>
      </c>
      <c r="I34" s="55" t="n">
        <v>0.04</v>
      </c>
      <c r="J34" s="15" t="inlineStr">
        <is>
          <t>مدير الامتياز</t>
        </is>
      </c>
      <c r="K34" s="11" t="inlineStr">
        <is>
          <t>نظام المحاسبة / ERP (D365)</t>
        </is>
      </c>
      <c r="L34" s="15" t="inlineStr">
        <is>
          <t>شهري</t>
        </is>
      </c>
      <c r="M34" s="15" t="inlineStr">
        <is>
          <t>الإدارة المالية</t>
        </is>
      </c>
      <c r="N34" s="51" t="n"/>
    </row>
    <row r="35" ht="30" customHeight="1">
      <c r="A35" s="15" t="n">
        <v>33</v>
      </c>
      <c r="B35" s="13" t="inlineStr">
        <is>
          <t>التشغيل والمحطات</t>
        </is>
      </c>
      <c r="C35" s="21" t="inlineStr">
        <is>
          <t>عدد المحطات المشغّلة (تراكمي)</t>
        </is>
      </c>
      <c r="D35" s="71" t="inlineStr">
        <is>
          <t>يقيس عدد المحطات المشغّلة (تراكمي) ضمن محور «النمو»، ويعكس مساهمة الإدارة في ركيزة النمو.</t>
        </is>
      </c>
      <c r="E35" s="11" t="inlineStr">
        <is>
          <t>إجمالي العدد خلال الفترة</t>
        </is>
      </c>
      <c r="F35" s="15" t="inlineStr">
        <is>
          <t>⚙️ نشاط</t>
        </is>
      </c>
      <c r="G35" s="11" t="inlineStr">
        <is>
          <t>النمو · التوسع في المواقع</t>
        </is>
      </c>
      <c r="H35" s="15" t="inlineStr">
        <is>
          <t>العمليات الداخلية</t>
        </is>
      </c>
      <c r="I35" s="55" t="n">
        <v>0.34</v>
      </c>
      <c r="J35" s="15" t="inlineStr">
        <is>
          <t>مدير التشغيل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التشغيل</t>
        </is>
      </c>
      <c r="N35" s="51" t="n"/>
    </row>
    <row r="36" ht="30" customHeight="1">
      <c r="A36" s="15" t="n">
        <v>34</v>
      </c>
      <c r="B36" s="13" t="inlineStr">
        <is>
          <t>التشغيل والمحطات</t>
        </is>
      </c>
      <c r="C36" s="21" t="inlineStr">
        <is>
          <t>نمو مبيعات الوقود مقارنة بالعام السابق</t>
        </is>
      </c>
      <c r="D36" s="71" t="inlineStr">
        <is>
          <t>يقيس نمو مبيعات الوقود مقارنة بالعام السابق ضمن محور «الربحية»، ويعكس مساهمة الإدارة في ركيزة النمو.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النمو · زيادة وصول العملاء</t>
        </is>
      </c>
      <c r="H36" s="15" t="inlineStr">
        <is>
          <t>مالي</t>
        </is>
      </c>
      <c r="I36" s="55" t="n">
        <v>0.33</v>
      </c>
      <c r="J36" s="15" t="inlineStr">
        <is>
          <t>مدير التشغيل</t>
        </is>
      </c>
      <c r="K36" s="11" t="inlineStr">
        <is>
          <t>نظام المحاسبة / ERP (D365)</t>
        </is>
      </c>
      <c r="L36" s="15" t="inlineStr">
        <is>
          <t>شهري</t>
        </is>
      </c>
      <c r="M36" s="15" t="inlineStr">
        <is>
          <t>الإدارة المالية</t>
        </is>
      </c>
      <c r="N36" s="51" t="n"/>
    </row>
    <row r="37" ht="30" customHeight="1">
      <c r="A37" s="15" t="n">
        <v>35</v>
      </c>
      <c r="B37" s="13" t="inlineStr">
        <is>
          <t>التشغيل والمحطات</t>
        </is>
      </c>
      <c r="C37" s="21" t="inlineStr">
        <is>
          <t>نسبة انخفاض الشكاوى مقارنة بالعام السابق</t>
        </is>
      </c>
      <c r="D37" s="71" t="inlineStr">
        <is>
          <t>يقيس نسبة انخفاض الشكاوى مقارنة بالعام السابق ضمن محور «تجربة العميل»،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5" t="n">
        <v>0.22</v>
      </c>
      <c r="J37" s="15" t="inlineStr">
        <is>
          <t>مدير التشغيل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التشغيل</t>
        </is>
      </c>
      <c r="N37" s="51" t="n"/>
    </row>
    <row r="38" ht="30" customHeight="1">
      <c r="A38" s="15" t="n">
        <v>36</v>
      </c>
      <c r="B38" s="13" t="inlineStr">
        <is>
          <t>التشغيل والمحطات</t>
        </is>
      </c>
      <c r="C38" s="21" t="inlineStr">
        <is>
          <t>تطبيق المعيار الشامل في المحطات</t>
        </is>
      </c>
      <c r="D38" s="71" t="inlineStr">
        <is>
          <t>يقيس تطبيق المعيار الشامل في المحطات ضمن محور «الجودة»، ويعكس مساهمة الإدارة في ركيزة الابتكار.</t>
        </is>
      </c>
      <c r="E38" s="11" t="inlineStr">
        <is>
          <t>(المتحقّق ÷ الإجمالي) × 100٪</t>
        </is>
      </c>
      <c r="F38" s="15" t="inlineStr">
        <is>
          <t>🔧 تشغيلي</t>
        </is>
      </c>
      <c r="G38" s="11" t="inlineStr">
        <is>
          <t>الابتكار · التحول التقني</t>
        </is>
      </c>
      <c r="H38" s="15" t="inlineStr">
        <is>
          <t>التعلّم والنمو</t>
        </is>
      </c>
      <c r="I38" s="55" t="n">
        <v>0.11</v>
      </c>
      <c r="J38" s="15" t="inlineStr">
        <is>
          <t>مدير التشغيل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التشغيل</t>
        </is>
      </c>
      <c r="N38" s="51" t="n"/>
    </row>
    <row r="39" ht="30" customHeight="1">
      <c r="A39" s="15" t="n">
        <v>37</v>
      </c>
      <c r="B39" s="13" t="inlineStr">
        <is>
          <t>الاستثمار</t>
        </is>
      </c>
      <c r="C39" s="21" t="inlineStr">
        <is>
          <t>عدد فرص الاستثمار</t>
        </is>
      </c>
      <c r="D39" s="71" t="inlineStr">
        <is>
          <t>يقيس عدد فرص الاستثمار ضمن محور «الفرص والنمو»، ويعكس مساهمة الإدارة في ركيزة النمو.</t>
        </is>
      </c>
      <c r="E39" s="11" t="inlineStr">
        <is>
          <t>إجمالي العدد خلال الفترة</t>
        </is>
      </c>
      <c r="F39" s="15" t="inlineStr">
        <is>
          <t>⚙️ نشاط</t>
        </is>
      </c>
      <c r="G39" s="11" t="inlineStr">
        <is>
          <t>النمو · التوسع في المواقع</t>
        </is>
      </c>
      <c r="H39" s="15" t="inlineStr">
        <is>
          <t>العمليات الداخلية</t>
        </is>
      </c>
      <c r="I39" s="55" t="n">
        <v>0.14</v>
      </c>
      <c r="J39" s="15" t="inlineStr">
        <is>
          <t>مدير الاستثمار</t>
        </is>
      </c>
      <c r="K39" s="11" t="inlineStr">
        <is>
          <t>نظام إدارة العقود (CRM)</t>
        </is>
      </c>
      <c r="L39" s="15" t="inlineStr">
        <is>
          <t>شهري</t>
        </is>
      </c>
      <c r="M39" s="15" t="inlineStr">
        <is>
          <t>مدير الاستثمار</t>
        </is>
      </c>
      <c r="N39" s="51" t="n"/>
    </row>
    <row r="40" ht="30" customHeight="1">
      <c r="A40" s="15" t="n">
        <v>38</v>
      </c>
      <c r="B40" s="13" t="inlineStr">
        <is>
          <t>الاستثمار</t>
        </is>
      </c>
      <c r="C40" s="21" t="inlineStr">
        <is>
          <t>نسبة المواقع المشغّلة ذات العائد المجدي</t>
        </is>
      </c>
      <c r="D40" s="71" t="inlineStr">
        <is>
          <t>يقيس نسبة المواقع المشغّلة ذات العائد المجدي ضمن محور «الربحية وجودة الموقع»،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التوسع في المواقع</t>
        </is>
      </c>
      <c r="H40" s="15" t="inlineStr">
        <is>
          <t>مالي</t>
        </is>
      </c>
      <c r="I40" s="55" t="n">
        <v>0.22</v>
      </c>
      <c r="J40" s="15" t="inlineStr">
        <is>
          <t>مدير الاستثمار</t>
        </is>
      </c>
      <c r="K40" s="11" t="inlineStr">
        <is>
          <t>نظام المحاسبة / ERP (D365)</t>
        </is>
      </c>
      <c r="L40" s="15" t="inlineStr">
        <is>
          <t>شهري</t>
        </is>
      </c>
      <c r="M40" s="15" t="inlineStr">
        <is>
          <t>الإدارة المالية</t>
        </is>
      </c>
      <c r="N40" s="51" t="n"/>
    </row>
    <row r="41" ht="30" customHeight="1">
      <c r="A41" s="15" t="n">
        <v>39</v>
      </c>
      <c r="B41" s="13" t="inlineStr">
        <is>
          <t>الاستثمار</t>
        </is>
      </c>
      <c r="C41" s="21" t="inlineStr">
        <is>
          <t>مدى رضا المستثمرين وشركاء الاستثمار</t>
        </is>
      </c>
      <c r="D41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تعزيز تجربة العملاء</t>
        </is>
      </c>
      <c r="H41" s="15" t="inlineStr">
        <is>
          <t>العملاء</t>
        </is>
      </c>
      <c r="I41" s="55" t="n">
        <v>0.22</v>
      </c>
      <c r="J41" s="15" t="inlineStr">
        <is>
          <t>مدير الاستثمار</t>
        </is>
      </c>
      <c r="K41" s="11" t="inlineStr">
        <is>
          <t>استبيان دوري</t>
        </is>
      </c>
      <c r="L41" s="15" t="inlineStr">
        <is>
          <t>ربعي</t>
        </is>
      </c>
      <c r="M41" s="15" t="inlineStr">
        <is>
          <t>مدير الاستثمار</t>
        </is>
      </c>
      <c r="N41" s="51" t="n"/>
    </row>
    <row r="42" ht="30" customHeight="1">
      <c r="A42" s="15" t="n">
        <v>40</v>
      </c>
      <c r="B42" s="13" t="inlineStr">
        <is>
          <t>الاستثمار</t>
        </is>
      </c>
      <c r="C42" s="21" t="inlineStr">
        <is>
          <t>متوسط مدة إغلاق عقد الاستثمار</t>
        </is>
      </c>
      <c r="D42" s="71" t="inlineStr">
        <is>
          <t>يقيس متوسط مدة إغلاق عقد الاستثمار ضمن محور «كفاءة الدورة»،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55" t="n">
        <v>0.21</v>
      </c>
      <c r="J42" s="15" t="inlineStr">
        <is>
          <t>مدير الاستثمار</t>
        </is>
      </c>
      <c r="K42" s="11" t="inlineStr">
        <is>
          <t>نظام إدارة العقود (CRM)</t>
        </is>
      </c>
      <c r="L42" s="15" t="inlineStr">
        <is>
          <t>شهري</t>
        </is>
      </c>
      <c r="M42" s="15" t="inlineStr">
        <is>
          <t>مدير الاستثمار</t>
        </is>
      </c>
      <c r="N42" s="51" t="n"/>
    </row>
    <row r="43" ht="30" customHeight="1">
      <c r="A43" s="15" t="n">
        <v>41</v>
      </c>
      <c r="B43" s="13" t="inlineStr">
        <is>
          <t>الاستثمار</t>
        </is>
      </c>
      <c r="C43" s="21" t="inlineStr">
        <is>
          <t>عدد العقود التي تغطي المناطق الـ13</t>
        </is>
      </c>
      <c r="D43" s="71" t="inlineStr">
        <is>
          <t>يقيس عدد العقود التي تغطي المناطق الـ13 ضمن محور «التوسع الإقليمي»،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زيادة وصول العملاء</t>
        </is>
      </c>
      <c r="H43" s="15" t="inlineStr">
        <is>
          <t>العمليات الداخلية</t>
        </is>
      </c>
      <c r="I43" s="55" t="n">
        <v>0.21</v>
      </c>
      <c r="J43" s="15" t="inlineStr">
        <is>
          <t>مدير الاستثمار</t>
        </is>
      </c>
      <c r="K43" s="11" t="inlineStr">
        <is>
          <t>نظام إدارة العقود (CRM)</t>
        </is>
      </c>
      <c r="L43" s="15" t="inlineStr">
        <is>
          <t>شهري</t>
        </is>
      </c>
      <c r="M43" s="15" t="inlineStr">
        <is>
          <t>مدير الاستثمار</t>
        </is>
      </c>
      <c r="N43" s="51" t="n"/>
    </row>
    <row r="44" ht="30" customHeight="1">
      <c r="A44" s="15" t="n">
        <v>42</v>
      </c>
      <c r="B44" s="13" t="inlineStr">
        <is>
          <t>العقار</t>
        </is>
      </c>
      <c r="C44" s="21" t="inlineStr">
        <is>
          <t>نسبة إشغال الوحدات</t>
        </is>
      </c>
      <c r="D44" s="71" t="inlineStr">
        <is>
          <t>يقيس نسبة إشغال الوحدات ضمن محور «التأجير»،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منظومة التأجير</t>
        </is>
      </c>
      <c r="H44" s="15" t="inlineStr">
        <is>
          <t>العمليات الداخلية</t>
        </is>
      </c>
      <c r="I44" s="55" t="n">
        <v>0.2</v>
      </c>
      <c r="J44" s="15" t="inlineStr">
        <is>
          <t>مدير العقار</t>
        </is>
      </c>
      <c r="K44" s="11" t="inlineStr">
        <is>
          <t>نظام إدارة العقود (CRM)</t>
        </is>
      </c>
      <c r="L44" s="15" t="inlineStr">
        <is>
          <t>شهري</t>
        </is>
      </c>
      <c r="M44" s="15" t="inlineStr">
        <is>
          <t>مدير العقار</t>
        </is>
      </c>
      <c r="N44" s="51" t="n"/>
    </row>
    <row r="45" ht="30" customHeight="1">
      <c r="A45" s="15" t="n">
        <v>43</v>
      </c>
      <c r="B45" s="13" t="inlineStr">
        <is>
          <t>العقار</t>
        </is>
      </c>
      <c r="C45" s="21" t="inlineStr">
        <is>
          <t>زيادة عدد العلامات التجارية</t>
        </is>
      </c>
      <c r="D45" s="71" t="inlineStr">
        <is>
          <t>يقيس زيادة عدد العلامات التجارية ضمن محور «التأجير»، ويعكس مساهمة الإدارة في ركيزة الاستدامة.</t>
        </is>
      </c>
      <c r="E45" s="11" t="inlineStr">
        <is>
          <t>إجمالي العدد خلال الفترة</t>
        </is>
      </c>
      <c r="F45" s="15" t="inlineStr">
        <is>
          <t>⚙️ نشاط</t>
        </is>
      </c>
      <c r="G45" s="11" t="inlineStr">
        <is>
          <t>الاستدامة · منظومة التأجير</t>
        </is>
      </c>
      <c r="H45" s="15" t="inlineStr">
        <is>
          <t>العمليات الداخلية</t>
        </is>
      </c>
      <c r="I45" s="55" t="n">
        <v>0.2</v>
      </c>
      <c r="J45" s="15" t="inlineStr">
        <is>
          <t>مدير العقار</t>
        </is>
      </c>
      <c r="K45" s="11" t="inlineStr">
        <is>
          <t>نظام إدارة العقود (CRM)</t>
        </is>
      </c>
      <c r="L45" s="15" t="inlineStr">
        <is>
          <t>شهري</t>
        </is>
      </c>
      <c r="M45" s="15" t="inlineStr">
        <is>
          <t>مدير العقار</t>
        </is>
      </c>
      <c r="N45" s="51" t="n"/>
    </row>
    <row r="46" ht="30" customHeight="1">
      <c r="A46" s="15" t="n">
        <v>44</v>
      </c>
      <c r="B46" s="13" t="inlineStr">
        <is>
          <t>العقار</t>
        </is>
      </c>
      <c r="C46" s="21" t="inlineStr">
        <is>
          <t>معدل رضا المستأجرين (استبيان ربعي)</t>
        </is>
      </c>
      <c r="D46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الاستدامة · تعزيز تجربة العملاء</t>
        </is>
      </c>
      <c r="H46" s="15" t="inlineStr">
        <is>
          <t>العملاء</t>
        </is>
      </c>
      <c r="I46" s="55" t="n">
        <v>0.3</v>
      </c>
      <c r="J46" s="15" t="inlineStr">
        <is>
          <t>مدير العقار</t>
        </is>
      </c>
      <c r="K46" s="11" t="inlineStr">
        <is>
          <t>استبيان دوري</t>
        </is>
      </c>
      <c r="L46" s="15" t="inlineStr">
        <is>
          <t>ربعي</t>
        </is>
      </c>
      <c r="M46" s="15" t="inlineStr">
        <is>
          <t>مدير العقار</t>
        </is>
      </c>
      <c r="N46" s="51" t="n"/>
    </row>
    <row r="47" ht="30" customHeight="1">
      <c r="A47" s="15" t="n">
        <v>45</v>
      </c>
      <c r="B47" s="13" t="inlineStr">
        <is>
          <t>العقار</t>
        </is>
      </c>
      <c r="C47" s="21" t="inlineStr">
        <is>
          <t>نسبة تحصيل الإيجارات</t>
        </is>
      </c>
      <c r="D47" s="71" t="inlineStr">
        <is>
          <t>يقيس نسبة تحصيل الإيجارات ضمن محور «الإدارة»،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منظومة التأجير</t>
        </is>
      </c>
      <c r="H47" s="15" t="inlineStr">
        <is>
          <t>مالي</t>
        </is>
      </c>
      <c r="I47" s="55" t="n">
        <v>0.3</v>
      </c>
      <c r="J47" s="15" t="inlineStr">
        <is>
          <t>مدير العقار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1" t="n"/>
    </row>
    <row r="48" ht="30" customHeight="1">
      <c r="A48" s="15" t="n">
        <v>46</v>
      </c>
      <c r="B48" s="13" t="inlineStr">
        <is>
          <t>إدارة المشاريع</t>
        </is>
      </c>
      <c r="C48" s="21" t="inlineStr">
        <is>
          <t>نسبة إنجاز محفظة المشاريع</t>
        </is>
      </c>
      <c r="D48" s="71" t="inlineStr">
        <is>
          <t>يقيس نسبة إنجاز محفظة المشاريع ضمن محور «تنفيذ المشاريع»، ويعكس مساهمة الإدارة في ركيزة النمو.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النمو · التوسع في المواقع</t>
        </is>
      </c>
      <c r="H48" s="15" t="inlineStr">
        <is>
          <t>العمليات الداخلية</t>
        </is>
      </c>
      <c r="I48" s="55" t="n">
        <v>0.38</v>
      </c>
      <c r="J48" s="15" t="inlineStr">
        <is>
          <t>مدير إدارة المشاريع</t>
        </is>
      </c>
      <c r="K48" s="11" t="inlineStr">
        <is>
          <t>نظام إدارة المشاريع (PMO/Primavera)</t>
        </is>
      </c>
      <c r="L48" s="15" t="inlineStr">
        <is>
          <t>شهري</t>
        </is>
      </c>
      <c r="M48" s="15" t="inlineStr">
        <is>
          <t>مدير إدارة المشاريع</t>
        </is>
      </c>
      <c r="N48" s="51" t="n"/>
    </row>
    <row r="49" ht="30" customHeight="1">
      <c r="A49" s="15" t="n">
        <v>47</v>
      </c>
      <c r="B49" s="13" t="inlineStr">
        <is>
          <t>إدارة المشاريع</t>
        </is>
      </c>
      <c r="C49" s="21" t="inlineStr">
        <is>
          <t>نسبة تسليم المحطات في الموعد المخطط</t>
        </is>
      </c>
      <c r="D49" s="71" t="inlineStr">
        <is>
          <t>يقيس نسبة تسليم المحطات في الموعد المخطط ضمن محور «تنفيذ المشاريع»، ويعكس مساهمة الإدارة في ركيزة النمو.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النمو · التوسع في المواقع</t>
        </is>
      </c>
      <c r="H49" s="15" t="inlineStr">
        <is>
          <t>العمليات الداخلية</t>
        </is>
      </c>
      <c r="I49" s="55" t="n">
        <v>0.37</v>
      </c>
      <c r="J49" s="15" t="inlineStr">
        <is>
          <t>مدير إدارة المشاريع</t>
        </is>
      </c>
      <c r="K49" s="11" t="inlineStr">
        <is>
          <t>نظام إدارة المشاريع (PMO/Primavera)</t>
        </is>
      </c>
      <c r="L49" s="15" t="inlineStr">
        <is>
          <t>شهري</t>
        </is>
      </c>
      <c r="M49" s="15" t="inlineStr">
        <is>
          <t>مدير إدارة المشاريع</t>
        </is>
      </c>
      <c r="N49" s="51" t="n"/>
    </row>
    <row r="50" ht="30" customHeight="1">
      <c r="A50" s="15" t="n">
        <v>48</v>
      </c>
      <c r="B50" s="13" t="inlineStr">
        <is>
          <t>إدارة المشاريع</t>
        </is>
      </c>
      <c r="C50" s="21" t="inlineStr">
        <is>
          <t>متوسط مدة إغلاق قائمة الملاحظات النهائية</t>
        </is>
      </c>
      <c r="D50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50" s="11" t="inlineStr">
        <is>
          <t>متوسط يوم خلال الفترة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55" t="n">
        <v>0.25</v>
      </c>
      <c r="J50" s="15" t="inlineStr">
        <is>
          <t>مدير إدارة المشاريع</t>
        </is>
      </c>
      <c r="K50" s="11" t="inlineStr">
        <is>
          <t>نظام إدارة المشاريع (PMO/Primavera)</t>
        </is>
      </c>
      <c r="L50" s="15" t="inlineStr">
        <is>
          <t>شهري</t>
        </is>
      </c>
      <c r="M50" s="15" t="inlineStr">
        <is>
          <t>مدير إدارة المشاريع</t>
        </is>
      </c>
      <c r="N50" s="51" t="n"/>
    </row>
    <row r="51" ht="30" customHeight="1">
      <c r="A51" s="15" t="n">
        <v>49</v>
      </c>
      <c r="B51" s="13" t="inlineStr">
        <is>
          <t>سلاسل الإمداد</t>
        </is>
      </c>
      <c r="C51" s="21" t="inlineStr">
        <is>
          <t>عدد انقطاعات الوقود في المحطات</t>
        </is>
      </c>
      <c r="D51" s="71" t="inlineStr">
        <is>
          <t>يقيس عدد انقطاعات الوقود في المحطات ضمن محور «خدمة العميل والتوفّر»، ويعكس مساهمة الإدارة في ركيزة الاستدامة.</t>
        </is>
      </c>
      <c r="E51" s="11" t="inlineStr">
        <is>
          <t>إجمالي العدد خلال الفترة</t>
        </is>
      </c>
      <c r="F51" s="15" t="inlineStr">
        <is>
          <t>⚙️ نشاط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55" t="n">
        <v>0.3</v>
      </c>
      <c r="J51" s="15" t="inlineStr">
        <is>
          <t>مدير سلاسل الإمداد</t>
        </is>
      </c>
      <c r="K51" s="11" t="inlineStr">
        <is>
          <t>نظام سلاسل الإمداد والمخزون (WMS/ERP)</t>
        </is>
      </c>
      <c r="L51" s="15" t="inlineStr">
        <is>
          <t>شهري</t>
        </is>
      </c>
      <c r="M51" s="15" t="inlineStr">
        <is>
          <t>مدير سلاسل الإمداد</t>
        </is>
      </c>
      <c r="N51" s="51" t="n"/>
    </row>
    <row r="52" ht="30" customHeight="1">
      <c r="A52" s="15" t="n">
        <v>50</v>
      </c>
      <c r="B52" s="13" t="inlineStr">
        <is>
          <t>سلاسل الإمداد</t>
        </is>
      </c>
      <c r="C52" s="21" t="inlineStr">
        <is>
          <t>نسبة إنجاز أوامر الشراء</t>
        </is>
      </c>
      <c r="D52" s="71" t="inlineStr">
        <is>
          <t>يقيس نسبة إنجاز أوامر الشراء ضمن محور «المشتريات»،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🔧 تشغيلي</t>
        </is>
      </c>
      <c r="G52" s="11" t="inlineStr">
        <is>
          <t>الاستدامة · جودة التشغيل</t>
        </is>
      </c>
      <c r="H52" s="15" t="inlineStr">
        <is>
          <t>العمليات الداخلية</t>
        </is>
      </c>
      <c r="I52" s="55" t="n">
        <v>0.2</v>
      </c>
      <c r="J52" s="15" t="inlineStr">
        <is>
          <t>مدير سلاسل الإمداد</t>
        </is>
      </c>
      <c r="K52" s="11" t="inlineStr">
        <is>
          <t>نظام سلاسل الإمداد والمخزون (WMS/ERP)</t>
        </is>
      </c>
      <c r="L52" s="15" t="inlineStr">
        <is>
          <t>شهري</t>
        </is>
      </c>
      <c r="M52" s="15" t="inlineStr">
        <is>
          <t>مدير سلاسل الإمداد</t>
        </is>
      </c>
      <c r="N52" s="51" t="n"/>
    </row>
    <row r="53" ht="30" customHeight="1">
      <c r="A53" s="15" t="n">
        <v>51</v>
      </c>
      <c r="B53" s="13" t="inlineStr">
        <is>
          <t>سلاسل الإمداد</t>
        </is>
      </c>
      <c r="C53" s="21" t="inlineStr">
        <is>
          <t>مستوى رضا الموردين</t>
        </is>
      </c>
      <c r="D53" s="71" t="inlineStr">
        <is>
          <t>يقيس مستوى رضا الموردين ضمن محور «الموردون»،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5" t="n">
        <v>0.3</v>
      </c>
      <c r="J53" s="15" t="inlineStr">
        <is>
          <t>مدير سلاسل الإمداد</t>
        </is>
      </c>
      <c r="K53" s="11" t="inlineStr">
        <is>
          <t>نظام سلاسل الإمداد والمخزون (WMS/ERP)</t>
        </is>
      </c>
      <c r="L53" s="15" t="inlineStr">
        <is>
          <t>ربعي</t>
        </is>
      </c>
      <c r="M53" s="15" t="inlineStr">
        <is>
          <t>مدير سلاسل الإمداد</t>
        </is>
      </c>
      <c r="N53" s="51" t="n"/>
    </row>
    <row r="54" ht="30" customHeight="1">
      <c r="A54" s="15" t="n">
        <v>52</v>
      </c>
      <c r="B54" s="13" t="inlineStr">
        <is>
          <t>سلاسل الإمداد</t>
        </is>
      </c>
      <c r="C54" s="21" t="inlineStr">
        <is>
          <t>نسبة نقليات أسطول درب</t>
        </is>
      </c>
      <c r="D54" s="71" t="inlineStr">
        <is>
          <t>يقيس نسبة نقليات أسطول درب ضمن محور «النقل والأسطول»،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🔧 تشغيلي</t>
        </is>
      </c>
      <c r="G54" s="11" t="inlineStr">
        <is>
          <t>الاستدامة · جودة التشغيل</t>
        </is>
      </c>
      <c r="H54" s="15" t="inlineStr">
        <is>
          <t>العمليات الداخلية</t>
        </is>
      </c>
      <c r="I54" s="55" t="n">
        <v>0.2</v>
      </c>
      <c r="J54" s="15" t="inlineStr">
        <is>
          <t>مدير سلاسل الإمداد</t>
        </is>
      </c>
      <c r="K54" s="11" t="inlineStr">
        <is>
          <t>نظام سلاسل الإمداد والمخزون (WMS/ERP)</t>
        </is>
      </c>
      <c r="L54" s="15" t="inlineStr">
        <is>
          <t>شهري</t>
        </is>
      </c>
      <c r="M54" s="15" t="inlineStr">
        <is>
          <t>مدير سلاسل الإمداد</t>
        </is>
      </c>
      <c r="N54" s="51" t="n"/>
    </row>
    <row r="55" ht="30" customHeight="1">
      <c r="A55" s="15" t="n">
        <v>53</v>
      </c>
      <c r="B55" s="13" t="inlineStr">
        <is>
          <t>الصيانة والأتمتة</t>
        </is>
      </c>
      <c r="C55" s="21" t="inlineStr">
        <is>
          <t>نسبة تنفيذ الصيانة الوقائية في موعدها</t>
        </is>
      </c>
      <c r="D55" s="71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⚙️ نشاط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55" t="n">
        <v>0.5</v>
      </c>
      <c r="J55" s="15" t="inlineStr">
        <is>
          <t>مدير الصيانة والأتمتة</t>
        </is>
      </c>
      <c r="K55" s="11" t="inlineStr">
        <is>
          <t>نظام إدارة الصيانة (CMMS) وأنظمة الأتمتة (SCADA)</t>
        </is>
      </c>
      <c r="L55" s="15" t="inlineStr">
        <is>
          <t>شهري</t>
        </is>
      </c>
      <c r="M55" s="15" t="inlineStr">
        <is>
          <t>مدير الصيانة والأتمتة</t>
        </is>
      </c>
      <c r="N55" s="51" t="n"/>
    </row>
    <row r="56" ht="30" customHeight="1">
      <c r="A56" s="15" t="n">
        <v>54</v>
      </c>
      <c r="B56" s="13" t="inlineStr">
        <is>
          <t>الصيانة والأتمتة</t>
        </is>
      </c>
      <c r="C56" s="21" t="inlineStr">
        <is>
          <t>معدل تكرار الأعطال</t>
        </is>
      </c>
      <c r="D56" s="71" t="inlineStr">
        <is>
          <t>يقيس معدل تكرار الأعطال ضمن محور «الاستجابة والإصلاح»، ويعكس مساهمة الإدارة في ركيزة الاستدامة.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الاستدامة · جودة التشغيل</t>
        </is>
      </c>
      <c r="H56" s="15" t="inlineStr">
        <is>
          <t>العمليات الداخلية</t>
        </is>
      </c>
      <c r="I56" s="55" t="n">
        <v>0.5</v>
      </c>
      <c r="J56" s="15" t="inlineStr">
        <is>
          <t>مدير الصيانة والأتمتة</t>
        </is>
      </c>
      <c r="K56" s="11" t="inlineStr">
        <is>
          <t>نظام إدارة الصيانة (CMMS) وأنظمة الأتمتة (SCADA)</t>
        </is>
      </c>
      <c r="L56" s="15" t="inlineStr">
        <is>
          <t>شهري</t>
        </is>
      </c>
      <c r="M56" s="15" t="inlineStr">
        <is>
          <t>مدير الصيانة والأتمتة</t>
        </is>
      </c>
      <c r="N56" s="51" t="n"/>
    </row>
    <row r="57" ht="30" customHeight="1">
      <c r="A57" s="15" t="n">
        <v>55</v>
      </c>
      <c r="B57" s="13" t="inlineStr">
        <is>
          <t>التقنية الرقمية</t>
        </is>
      </c>
      <c r="C57" s="21" t="inlineStr">
        <is>
          <t>نسبة استقرار التشغيل التقني للمحطات</t>
        </is>
      </c>
      <c r="D57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57" s="11" t="inlineStr">
        <is>
          <t>(المتحقّق ÷ الإجمالي) × 100٪</t>
        </is>
      </c>
      <c r="F57" s="15" t="inlineStr">
        <is>
          <t>🔧 تشغيلي</t>
        </is>
      </c>
      <c r="G57" s="11" t="inlineStr">
        <is>
          <t>الابتكار · التحول التقني</t>
        </is>
      </c>
      <c r="H57" s="15" t="inlineStr">
        <is>
          <t>العمليات الداخلية</t>
        </is>
      </c>
      <c r="I57" s="55" t="n">
        <v>0.5</v>
      </c>
      <c r="J57" s="15" t="inlineStr">
        <is>
          <t>مدير التقنية</t>
        </is>
      </c>
      <c r="K57" s="11" t="inlineStr">
        <is>
          <t>أنظمة تقنية المعلومات (ERP/ITSM/SIEM)</t>
        </is>
      </c>
      <c r="L57" s="15" t="inlineStr">
        <is>
          <t>شهري</t>
        </is>
      </c>
      <c r="M57" s="15" t="inlineStr">
        <is>
          <t>مدير التقنية</t>
        </is>
      </c>
      <c r="N57" s="51" t="n"/>
    </row>
    <row r="58" ht="30" customHeight="1">
      <c r="A58" s="15" t="n">
        <v>56</v>
      </c>
      <c r="B58" s="13" t="inlineStr">
        <is>
          <t>التقنية الرقمية</t>
        </is>
      </c>
      <c r="C58" s="21" t="inlineStr">
        <is>
          <t>نسبة إنجاز مشاريع التحول الرقمي والمشاريع التقنية حسب الخطة</t>
        </is>
      </c>
      <c r="D58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الابتكار · التحول التقني</t>
        </is>
      </c>
      <c r="H58" s="15" t="inlineStr">
        <is>
          <t>التعلّم والنمو</t>
        </is>
      </c>
      <c r="I58" s="55" t="n">
        <v>0.5</v>
      </c>
      <c r="J58" s="15" t="inlineStr">
        <is>
          <t>مدير التقنية</t>
        </is>
      </c>
      <c r="K58" s="11" t="inlineStr">
        <is>
          <t>أنظمة تقنية المعلومات (ERP/ITSM/SIEM)</t>
        </is>
      </c>
      <c r="L58" s="15" t="inlineStr">
        <is>
          <t>شهري</t>
        </is>
      </c>
      <c r="M58" s="15" t="inlineStr">
        <is>
          <t>مدير التقنية</t>
        </is>
      </c>
      <c r="N58" s="51" t="n"/>
    </row>
    <row r="59" ht="30" customHeight="1">
      <c r="A59" s="15" t="n">
        <v>57</v>
      </c>
      <c r="B59" s="13" t="inlineStr">
        <is>
          <t>الموارد البشرية</t>
        </is>
      </c>
      <c r="C59" s="21" t="inlineStr">
        <is>
          <t>نسبة الالتزام بنظام العمل واللوائح وخطة القوى العاملة المعتمدة</t>
        </is>
      </c>
      <c r="D59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🎯 نتيجة</t>
        </is>
      </c>
      <c r="G59" s="11" t="inlineStr">
        <is>
          <t>الاستدامة · الاستثمار في الموظفين</t>
        </is>
      </c>
      <c r="H59" s="15" t="inlineStr">
        <is>
          <t>العمليات الداخلية</t>
        </is>
      </c>
      <c r="I59" s="55" t="n">
        <v>0.28</v>
      </c>
      <c r="J59" s="15" t="inlineStr">
        <is>
          <t>مدير الموارد البشرية</t>
        </is>
      </c>
      <c r="K59" s="11" t="inlineStr">
        <is>
          <t>نظام الموارد البشرية (HRMS)</t>
        </is>
      </c>
      <c r="L59" s="15" t="inlineStr">
        <is>
          <t>شهري</t>
        </is>
      </c>
      <c r="M59" s="15" t="inlineStr">
        <is>
          <t>مدير الموارد البشرية</t>
        </is>
      </c>
      <c r="N59" s="51" t="n"/>
    </row>
    <row r="60" ht="30" customHeight="1">
      <c r="A60" s="15" t="n">
        <v>58</v>
      </c>
      <c r="B60" s="13" t="inlineStr">
        <is>
          <t>الموارد البشرية</t>
        </is>
      </c>
      <c r="C60" s="21" t="inlineStr">
        <is>
          <t>نسبة تنفيذ برامج التدريب والتأهيل المعتمدة</t>
        </is>
      </c>
      <c r="D60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60" s="11" t="inlineStr">
        <is>
          <t>(المتحقّق ÷ الإجمالي) × 100٪</t>
        </is>
      </c>
      <c r="F60" s="15" t="inlineStr">
        <is>
          <t>⚙️ نشاط</t>
        </is>
      </c>
      <c r="G60" s="11" t="inlineStr">
        <is>
          <t>الاستدامة · الاستثمار في الموظفين</t>
        </is>
      </c>
      <c r="H60" s="15" t="inlineStr">
        <is>
          <t>التعلّم والنمو</t>
        </is>
      </c>
      <c r="I60" s="55" t="n">
        <v>0.15</v>
      </c>
      <c r="J60" s="15" t="inlineStr">
        <is>
          <t>مدير الموارد البشرية</t>
        </is>
      </c>
      <c r="K60" s="11" t="inlineStr">
        <is>
          <t>نظام الموارد البشرية (HRMS)</t>
        </is>
      </c>
      <c r="L60" s="15" t="inlineStr">
        <is>
          <t>شهري</t>
        </is>
      </c>
      <c r="M60" s="15" t="inlineStr">
        <is>
          <t>مدير الموارد البشرية</t>
        </is>
      </c>
      <c r="N60" s="51" t="n"/>
    </row>
    <row r="61" ht="30" customHeight="1">
      <c r="A61" s="15" t="n">
        <v>59</v>
      </c>
      <c r="B61" s="13" t="inlineStr">
        <is>
          <t>الموارد البشرية</t>
        </is>
      </c>
      <c r="C61" s="21" t="inlineStr">
        <is>
          <t>معدل دوران الموظفين</t>
        </is>
      </c>
      <c r="D61" s="71" t="inlineStr">
        <is>
          <t>يقيس معدل دوران الموظفين ضمن محور «الاستقرار والتطوير»، ويعكس مساهمة الإدارة في ركيزة الاستدامة.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الاستدامة · الاستثمار في الموظفين</t>
        </is>
      </c>
      <c r="H61" s="15" t="inlineStr">
        <is>
          <t>التعلّم والنمو</t>
        </is>
      </c>
      <c r="I61" s="55" t="n">
        <v>0.15</v>
      </c>
      <c r="J61" s="15" t="inlineStr">
        <is>
          <t>مدير الموارد البشرية</t>
        </is>
      </c>
      <c r="K61" s="11" t="inlineStr">
        <is>
          <t>نظام الموارد البشرية (HRMS)</t>
        </is>
      </c>
      <c r="L61" s="15" t="inlineStr">
        <is>
          <t>شهري</t>
        </is>
      </c>
      <c r="M61" s="15" t="inlineStr">
        <is>
          <t>مدير الموارد البشرية</t>
        </is>
      </c>
      <c r="N61" s="51" t="n"/>
    </row>
    <row r="62" ht="30" customHeight="1">
      <c r="A62" s="15" t="n">
        <v>60</v>
      </c>
      <c r="B62" s="13" t="inlineStr">
        <is>
          <t>الموارد البشرية</t>
        </is>
      </c>
      <c r="C62" s="21" t="inlineStr">
        <is>
          <t>متوسط مدة إغلاق الشواغر المعتمدة</t>
        </is>
      </c>
      <c r="D62" s="71" t="inlineStr">
        <is>
          <t>يقيس متوسط مدة إغلاق الشواغر المعتمدة ضمن محور «الاستقطاب»، ويعكس مساهمة الإدارة في ركيزة الاستدامة.</t>
        </is>
      </c>
      <c r="E62" s="11" t="inlineStr">
        <is>
          <t>متوسط يوم خلال الفترة</t>
        </is>
      </c>
      <c r="F62" s="15" t="inlineStr">
        <is>
          <t>🎯 نتيجة</t>
        </is>
      </c>
      <c r="G62" s="11" t="inlineStr">
        <is>
          <t>الاستدامة · الاستثمار في الموظفين</t>
        </is>
      </c>
      <c r="H62" s="15" t="inlineStr">
        <is>
          <t>العمليات الداخلية</t>
        </is>
      </c>
      <c r="I62" s="55" t="n">
        <v>0.21</v>
      </c>
      <c r="J62" s="15" t="inlineStr">
        <is>
          <t>مدير الموارد البشرية</t>
        </is>
      </c>
      <c r="K62" s="11" t="inlineStr">
        <is>
          <t>نظام الموارد البشرية (HRMS)</t>
        </is>
      </c>
      <c r="L62" s="15" t="inlineStr">
        <is>
          <t>شهري</t>
        </is>
      </c>
      <c r="M62" s="15" t="inlineStr">
        <is>
          <t>مدير الموارد البشرية</t>
        </is>
      </c>
      <c r="N62" s="51" t="n"/>
    </row>
    <row r="63" ht="30" customHeight="1">
      <c r="A63" s="15" t="n">
        <v>61</v>
      </c>
      <c r="B63" s="13" t="inlineStr">
        <is>
          <t>الموارد البشرية</t>
        </is>
      </c>
      <c r="C63" s="21" t="inlineStr">
        <is>
          <t>نسبة دقة الرواتب والمستحقات الشهرية</t>
        </is>
      </c>
      <c r="D63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🎯 نتيجة</t>
        </is>
      </c>
      <c r="G63" s="11" t="inlineStr">
        <is>
          <t>الاستدامة · الاستثمار في الموظفين</t>
        </is>
      </c>
      <c r="H63" s="15" t="inlineStr">
        <is>
          <t>مالي</t>
        </is>
      </c>
      <c r="I63" s="55" t="n">
        <v>0.21</v>
      </c>
      <c r="J63" s="15" t="inlineStr">
        <is>
          <t>مدير الموارد البشرية</t>
        </is>
      </c>
      <c r="K63" s="11" t="inlineStr">
        <is>
          <t>نظام الرواتب (Payroll) / حماية الأجور</t>
        </is>
      </c>
      <c r="L63" s="15" t="inlineStr">
        <is>
          <t>شهري</t>
        </is>
      </c>
      <c r="M63" s="15" t="inlineStr">
        <is>
          <t>مدير الموارد البشرية</t>
        </is>
      </c>
      <c r="N63" s="51" t="n"/>
    </row>
    <row r="64" ht="30" customHeight="1">
      <c r="A64" s="15" t="n">
        <v>62</v>
      </c>
      <c r="B64" s="13" t="inlineStr">
        <is>
          <t>التسويق</t>
        </is>
      </c>
      <c r="C64" s="21" t="inlineStr">
        <is>
          <t>الوصول الكلي (Total Reach)</t>
        </is>
      </c>
      <c r="D64" s="71" t="inlineStr">
        <is>
          <t>يقيس الوصول الكلي (Total Reach) ضمن محور «الإدارة العامة»،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🎯 نتيجة</t>
        </is>
      </c>
      <c r="G64" s="11" t="inlineStr">
        <is>
          <t>النمو · زيادة وصول العملاء</t>
        </is>
      </c>
      <c r="H64" s="15" t="inlineStr">
        <is>
          <t>العملاء</t>
        </is>
      </c>
      <c r="I64" s="55" t="n">
        <v>0.25</v>
      </c>
      <c r="J64" s="15" t="inlineStr">
        <is>
          <t>مدير التسويق</t>
        </is>
      </c>
      <c r="K64" s="11" t="inlineStr">
        <is>
          <t>أنظمة التسويق الرقمي / تانكي</t>
        </is>
      </c>
      <c r="L64" s="15" t="inlineStr">
        <is>
          <t>شهري</t>
        </is>
      </c>
      <c r="M64" s="15" t="inlineStr">
        <is>
          <t>مدير التسويق</t>
        </is>
      </c>
      <c r="N64" s="51" t="n"/>
    </row>
    <row r="65" ht="30" customHeight="1">
      <c r="A65" s="15" t="n">
        <v>63</v>
      </c>
      <c r="B65" s="13" t="inlineStr">
        <is>
          <t>التسويق</t>
        </is>
      </c>
      <c r="C65" s="21" t="inlineStr">
        <is>
          <t>معدل خفض الشكاوى</t>
        </is>
      </c>
      <c r="D65" s="71" t="inlineStr">
        <is>
          <t>يقيس معدل خفض الشكاوى ضمن محور «خدمة العملاء والدعم»،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تعزيز تجربة العملاء</t>
        </is>
      </c>
      <c r="H65" s="15" t="inlineStr">
        <is>
          <t>العملاء</t>
        </is>
      </c>
      <c r="I65" s="55" t="n">
        <v>0.17</v>
      </c>
      <c r="J65" s="15" t="inlineStr">
        <is>
          <t>مدير التسويق</t>
        </is>
      </c>
      <c r="K65" s="11" t="inlineStr">
        <is>
          <t>سجلات الإدارة</t>
        </is>
      </c>
      <c r="L65" s="15" t="inlineStr">
        <is>
          <t>شهري</t>
        </is>
      </c>
      <c r="M65" s="15" t="inlineStr">
        <is>
          <t>مدير التسويق</t>
        </is>
      </c>
      <c r="N65" s="51" t="n"/>
    </row>
    <row r="66" ht="30" customHeight="1">
      <c r="A66" s="15" t="n">
        <v>64</v>
      </c>
      <c r="B66" s="13" t="inlineStr">
        <is>
          <t>التسويق</t>
        </is>
      </c>
      <c r="C66" s="21" t="inlineStr">
        <is>
          <t>نسبة التزام الهوية البصرية</t>
        </is>
      </c>
      <c r="D66" s="71" t="inlineStr">
        <is>
          <t>يقيس نسبة التزام الهوية البصرية ضمن محور «الدعاية والإعلان»، ويعكس مساهمة الإدارة في ركيزة الابتكار.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الابتكار · تطوير التصاميم والهوية</t>
        </is>
      </c>
      <c r="H66" s="15" t="inlineStr">
        <is>
          <t>التعلّم والنمو</t>
        </is>
      </c>
      <c r="I66" s="55" t="n">
        <v>0.25</v>
      </c>
      <c r="J66" s="15" t="inlineStr">
        <is>
          <t>مدير التسويق</t>
        </is>
      </c>
      <c r="K66" s="11" t="inlineStr">
        <is>
          <t>سجلات الإدارة</t>
        </is>
      </c>
      <c r="L66" s="15" t="inlineStr">
        <is>
          <t>شهري</t>
        </is>
      </c>
      <c r="M66" s="15" t="inlineStr">
        <is>
          <t>مدير التسويق</t>
        </is>
      </c>
      <c r="N66" s="51" t="n"/>
    </row>
    <row r="67" ht="30" customHeight="1">
      <c r="A67" s="15" t="n">
        <v>65</v>
      </c>
      <c r="B67" s="13" t="inlineStr">
        <is>
          <t>التسويق</t>
        </is>
      </c>
      <c r="C67" s="21" t="inlineStr">
        <is>
          <t>عدد تنزيلات التطبيق</t>
        </is>
      </c>
      <c r="D67" s="71" t="inlineStr">
        <is>
          <t>يقيس عدد تنزيلات التطبيق ضمن محور «تطبيق تانكي»، ويعكس مساهمة الإدارة في ركيزة الابتكار.</t>
        </is>
      </c>
      <c r="E67" s="11" t="inlineStr">
        <is>
          <t>إجمالي العدد خلال الفترة</t>
        </is>
      </c>
      <c r="F67" s="15" t="inlineStr">
        <is>
          <t>⚙️ نشاط</t>
        </is>
      </c>
      <c r="G67" s="11" t="inlineStr">
        <is>
          <t>الابتكار · تطبيق «تانكي»</t>
        </is>
      </c>
      <c r="H67" s="15" t="inlineStr">
        <is>
          <t>التعلّم والنمو</t>
        </is>
      </c>
      <c r="I67" s="55" t="n">
        <v>0.17</v>
      </c>
      <c r="J67" s="15" t="inlineStr">
        <is>
          <t>مدير التسويق</t>
        </is>
      </c>
      <c r="K67" s="11" t="inlineStr">
        <is>
          <t>أنظمة التسويق الرقمي / تانكي</t>
        </is>
      </c>
      <c r="L67" s="15" t="inlineStr">
        <is>
          <t>شهري</t>
        </is>
      </c>
      <c r="M67" s="15" t="inlineStr">
        <is>
          <t>مدير التسويق</t>
        </is>
      </c>
      <c r="N67" s="51" t="n"/>
    </row>
    <row r="68" ht="30" customHeight="1">
      <c r="A68" s="15" t="n">
        <v>66</v>
      </c>
      <c r="B68" s="13" t="inlineStr">
        <is>
          <t>التسويق</t>
        </is>
      </c>
      <c r="C68" s="21" t="inlineStr">
        <is>
          <t>عدد شراكات التطبيق</t>
        </is>
      </c>
      <c r="D68" s="71" t="inlineStr">
        <is>
          <t>يقيس عدد شراكات التطبيق ضمن محور «تطبيق تانكي»، ويعكس مساهمة الإدارة في ركيزة الابتكار.</t>
        </is>
      </c>
      <c r="E68" s="11" t="inlineStr">
        <is>
          <t>إجمالي العدد خلال الفترة</t>
        </is>
      </c>
      <c r="F68" s="15" t="inlineStr">
        <is>
          <t>⚙️ نشاط</t>
        </is>
      </c>
      <c r="G68" s="11" t="inlineStr">
        <is>
          <t>الابتكار · تطبيق «تانكي»</t>
        </is>
      </c>
      <c r="H68" s="15" t="inlineStr">
        <is>
          <t>العمليات الداخلية</t>
        </is>
      </c>
      <c r="I68" s="55" t="n">
        <v>0.16</v>
      </c>
      <c r="J68" s="15" t="inlineStr">
        <is>
          <t>مدير التسويق</t>
        </is>
      </c>
      <c r="K68" s="11" t="inlineStr">
        <is>
          <t>أنظمة التسويق الرقمي / تانكي</t>
        </is>
      </c>
      <c r="L68" s="15" t="inlineStr">
        <is>
          <t>شهري</t>
        </is>
      </c>
      <c r="M68" s="15" t="inlineStr">
        <is>
          <t>مدير التسويق</t>
        </is>
      </c>
      <c r="N68" s="51" t="n"/>
    </row>
    <row r="69" ht="30" customHeight="1">
      <c r="A69" s="15" t="n">
        <v>67</v>
      </c>
      <c r="B69" s="13" t="inlineStr">
        <is>
          <t>الجودة</t>
        </is>
      </c>
      <c r="C69" s="21" t="inlineStr"/>
      <c r="D69" s="71" t="inlineStr">
        <is>
          <t>يقيس  ضمن محور «»، ويعكس مساهمة الإدارة في ركيزة الاستدامة.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الاستدامة · جودة التشغيل</t>
        </is>
      </c>
      <c r="H69" s="15" t="inlineStr">
        <is>
          <t>العمليات الداخلية</t>
        </is>
      </c>
      <c r="I69" s="55" t="n">
        <v>0.07000000000000001</v>
      </c>
      <c r="J69" s="15" t="inlineStr">
        <is>
          <t>مدير الجودة</t>
        </is>
      </c>
      <c r="K69" s="11" t="inlineStr">
        <is>
          <t>سجلات الإدارة</t>
        </is>
      </c>
      <c r="L69" s="15" t="inlineStr">
        <is>
          <t>شهري</t>
        </is>
      </c>
      <c r="M69" s="15" t="inlineStr">
        <is>
          <t>مدير الجودة</t>
        </is>
      </c>
      <c r="N69" s="51" t="n"/>
    </row>
    <row r="70" ht="30" customHeight="1">
      <c r="A70" s="15" t="n">
        <v>68</v>
      </c>
      <c r="B70" s="13" t="inlineStr">
        <is>
          <t>الجودة</t>
        </is>
      </c>
      <c r="C70" s="21" t="inlineStr"/>
      <c r="D70" s="71" t="inlineStr">
        <is>
          <t>يقيس  ضمن محور «»،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الاستدامة · جودة التشغيل</t>
        </is>
      </c>
      <c r="H70" s="15" t="inlineStr">
        <is>
          <t>العمليات الداخلية</t>
        </is>
      </c>
      <c r="I70" s="55" t="n">
        <v>0.07000000000000001</v>
      </c>
      <c r="J70" s="15" t="inlineStr">
        <is>
          <t>مدير الجودة</t>
        </is>
      </c>
      <c r="K70" s="11" t="inlineStr">
        <is>
          <t>سجلات الإدارة</t>
        </is>
      </c>
      <c r="L70" s="15" t="inlineStr">
        <is>
          <t>شهري</t>
        </is>
      </c>
      <c r="M70" s="15" t="inlineStr">
        <is>
          <t>مدير الجودة</t>
        </is>
      </c>
      <c r="N70" s="51" t="n"/>
    </row>
    <row r="71" ht="30" customHeight="1">
      <c r="A71" s="15" t="n">
        <v>69</v>
      </c>
      <c r="B71" s="13" t="inlineStr">
        <is>
          <t>الجودة</t>
        </is>
      </c>
      <c r="C71" s="21" t="inlineStr"/>
      <c r="D71" s="71" t="inlineStr">
        <is>
          <t>يقيس  ضمن محور «»، ويعكس مساهمة الإدارة في ركيزة الاستدامة.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الاستدامة · جودة التشغيل</t>
        </is>
      </c>
      <c r="H71" s="15" t="inlineStr">
        <is>
          <t>العمليات الداخلية</t>
        </is>
      </c>
      <c r="I71" s="55" t="n">
        <v>0.07000000000000001</v>
      </c>
      <c r="J71" s="15" t="inlineStr">
        <is>
          <t>مدير الجودة</t>
        </is>
      </c>
      <c r="K71" s="11" t="inlineStr">
        <is>
          <t>سجلات الإدارة</t>
        </is>
      </c>
      <c r="L71" s="15" t="inlineStr">
        <is>
          <t>شهري</t>
        </is>
      </c>
      <c r="M71" s="15" t="inlineStr">
        <is>
          <t>مدير الجودة</t>
        </is>
      </c>
      <c r="N71" s="51" t="n"/>
    </row>
    <row r="72" ht="30" customHeight="1">
      <c r="A72" s="15" t="n">
        <v>70</v>
      </c>
      <c r="B72" s="13" t="inlineStr">
        <is>
          <t>الجودة</t>
        </is>
      </c>
      <c r="C72" s="21" t="inlineStr"/>
      <c r="D72" s="71" t="inlineStr">
        <is>
          <t>يقيس  ضمن محور «»،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الاستدامة · جودة التشغيل</t>
        </is>
      </c>
      <c r="H72" s="15" t="inlineStr">
        <is>
          <t>العمليات الداخلية</t>
        </is>
      </c>
      <c r="I72" s="55" t="n">
        <v>0.07000000000000001</v>
      </c>
      <c r="J72" s="15" t="inlineStr">
        <is>
          <t>مدير الجودة</t>
        </is>
      </c>
      <c r="K72" s="11" t="inlineStr">
        <is>
          <t>سجلات الإدارة</t>
        </is>
      </c>
      <c r="L72" s="15" t="inlineStr">
        <is>
          <t>شهري</t>
        </is>
      </c>
      <c r="M72" s="15" t="inlineStr">
        <is>
          <t>مدير الجودة</t>
        </is>
      </c>
      <c r="N72" s="51" t="n"/>
    </row>
    <row r="73" ht="30" customHeight="1">
      <c r="A73" s="15" t="n">
        <v>71</v>
      </c>
      <c r="B73" s="13" t="inlineStr">
        <is>
          <t>الجودة</t>
        </is>
      </c>
      <c r="C73" s="21" t="inlineStr"/>
      <c r="D73" s="71" t="inlineStr">
        <is>
          <t>يقيس  ضمن محور «»،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الاستدامة · جودة التشغيل</t>
        </is>
      </c>
      <c r="H73" s="15" t="inlineStr">
        <is>
          <t>العمليات الداخلية</t>
        </is>
      </c>
      <c r="I73" s="55" t="n">
        <v>0.07000000000000001</v>
      </c>
      <c r="J73" s="15" t="inlineStr">
        <is>
          <t>مدير الجودة</t>
        </is>
      </c>
      <c r="K73" s="11" t="inlineStr">
        <is>
          <t>سجلات الإدارة</t>
        </is>
      </c>
      <c r="L73" s="15" t="inlineStr">
        <is>
          <t>شهري</t>
        </is>
      </c>
      <c r="M73" s="15" t="inlineStr">
        <is>
          <t>مدير الجودة</t>
        </is>
      </c>
      <c r="N73" s="51" t="n"/>
    </row>
    <row r="74" ht="30" customHeight="1">
      <c r="A74" s="15" t="n">
        <v>72</v>
      </c>
      <c r="B74" s="13" t="inlineStr">
        <is>
          <t>الجودة</t>
        </is>
      </c>
      <c r="C74" s="21" t="inlineStr"/>
      <c r="D74" s="71" t="inlineStr">
        <is>
          <t>يقيس  ضمن محور «»،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55" t="n">
        <v>0.07000000000000001</v>
      </c>
      <c r="J74" s="15" t="inlineStr">
        <is>
          <t>مدير الجودة</t>
        </is>
      </c>
      <c r="K74" s="11" t="inlineStr">
        <is>
          <t>سجلات الإدارة</t>
        </is>
      </c>
      <c r="L74" s="15" t="inlineStr">
        <is>
          <t>شهري</t>
        </is>
      </c>
      <c r="M74" s="15" t="inlineStr">
        <is>
          <t>مدير الجودة</t>
        </is>
      </c>
      <c r="N74" s="51" t="n"/>
    </row>
    <row r="75" ht="30" customHeight="1">
      <c r="A75" s="15" t="n">
        <v>73</v>
      </c>
      <c r="B75" s="13" t="inlineStr">
        <is>
          <t>الجودة</t>
        </is>
      </c>
      <c r="C75" s="21" t="inlineStr"/>
      <c r="D75" s="71" t="inlineStr">
        <is>
          <t>يقيس  ضمن محور «»،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55" t="n">
        <v>0.07000000000000001</v>
      </c>
      <c r="J75" s="15" t="inlineStr">
        <is>
          <t>مدير الجودة</t>
        </is>
      </c>
      <c r="K75" s="11" t="inlineStr">
        <is>
          <t>سجلات الإدارة</t>
        </is>
      </c>
      <c r="L75" s="15" t="inlineStr">
        <is>
          <t>شهري</t>
        </is>
      </c>
      <c r="M75" s="15" t="inlineStr">
        <is>
          <t>مدير الجودة</t>
        </is>
      </c>
      <c r="N75" s="51" t="n"/>
    </row>
    <row r="76" ht="30" customHeight="1">
      <c r="A76" s="15" t="n">
        <v>74</v>
      </c>
      <c r="B76" s="13" t="inlineStr">
        <is>
          <t>الجودة</t>
        </is>
      </c>
      <c r="C76" s="21" t="inlineStr"/>
      <c r="D76" s="71" t="inlineStr">
        <is>
          <t>يقيس  ضمن محور «»،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55" t="n">
        <v>0.07000000000000001</v>
      </c>
      <c r="J76" s="15" t="inlineStr">
        <is>
          <t>مدير الجودة</t>
        </is>
      </c>
      <c r="K76" s="11" t="inlineStr">
        <is>
          <t>سجلات الإدارة</t>
        </is>
      </c>
      <c r="L76" s="15" t="inlineStr">
        <is>
          <t>شهري</t>
        </is>
      </c>
      <c r="M76" s="15" t="inlineStr">
        <is>
          <t>مدير الجودة</t>
        </is>
      </c>
      <c r="N76" s="51" t="n"/>
    </row>
    <row r="77" ht="30" customHeight="1">
      <c r="A77" s="15" t="n">
        <v>75</v>
      </c>
      <c r="B77" s="13" t="inlineStr">
        <is>
          <t>الجودة</t>
        </is>
      </c>
      <c r="C77" s="21" t="inlineStr"/>
      <c r="D77" s="71" t="inlineStr">
        <is>
          <t>يقيس  ضمن محور «»،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55" t="n">
        <v>0.07000000000000001</v>
      </c>
      <c r="J77" s="15" t="inlineStr">
        <is>
          <t>مدير الجودة</t>
        </is>
      </c>
      <c r="K77" s="11" t="inlineStr">
        <is>
          <t>سجلات الإدارة</t>
        </is>
      </c>
      <c r="L77" s="15" t="inlineStr">
        <is>
          <t>شهري</t>
        </is>
      </c>
      <c r="M77" s="15" t="inlineStr">
        <is>
          <t>مدير الجودة</t>
        </is>
      </c>
      <c r="N77" s="51" t="n"/>
    </row>
    <row r="78" ht="30" customHeight="1">
      <c r="A78" s="15" t="n">
        <v>76</v>
      </c>
      <c r="B78" s="13" t="inlineStr">
        <is>
          <t>الجودة</t>
        </is>
      </c>
      <c r="C78" s="21" t="inlineStr"/>
      <c r="D78" s="71" t="inlineStr">
        <is>
          <t>يقيس  ضمن محور «»،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الاستدامة · جودة التشغيل</t>
        </is>
      </c>
      <c r="H78" s="15" t="inlineStr">
        <is>
          <t>العمليات الداخلية</t>
        </is>
      </c>
      <c r="I78" s="55" t="n">
        <v>0.07000000000000001</v>
      </c>
      <c r="J78" s="15" t="inlineStr">
        <is>
          <t>مدير الجودة</t>
        </is>
      </c>
      <c r="K78" s="11" t="inlineStr">
        <is>
          <t>سجلات الإدارة</t>
        </is>
      </c>
      <c r="L78" s="15" t="inlineStr">
        <is>
          <t>شهري</t>
        </is>
      </c>
      <c r="M78" s="15" t="inlineStr">
        <is>
          <t>مدير الجودة</t>
        </is>
      </c>
      <c r="N78" s="51" t="n"/>
    </row>
    <row r="79" ht="30" customHeight="1">
      <c r="A79" s="15" t="n">
        <v>77</v>
      </c>
      <c r="B79" s="13" t="inlineStr">
        <is>
          <t>الجودة</t>
        </is>
      </c>
      <c r="C79" s="21" t="inlineStr"/>
      <c r="D79" s="71" t="inlineStr">
        <is>
          <t>يقيس  ضمن محور «»،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🔧 تشغيلي</t>
        </is>
      </c>
      <c r="G79" s="11" t="inlineStr">
        <is>
          <t>الاستدامة · جودة التشغيل</t>
        </is>
      </c>
      <c r="H79" s="15" t="inlineStr">
        <is>
          <t>العمليات الداخلية</t>
        </is>
      </c>
      <c r="I79" s="55" t="n">
        <v>0.06</v>
      </c>
      <c r="J79" s="15" t="inlineStr">
        <is>
          <t>مدير الجودة</t>
        </is>
      </c>
      <c r="K79" s="11" t="inlineStr">
        <is>
          <t>سجلات الإدارة</t>
        </is>
      </c>
      <c r="L79" s="15" t="inlineStr">
        <is>
          <t>شهري</t>
        </is>
      </c>
      <c r="M79" s="15" t="inlineStr">
        <is>
          <t>مدير الجودة</t>
        </is>
      </c>
      <c r="N79" s="51" t="n"/>
    </row>
    <row r="80" ht="30" customHeight="1">
      <c r="A80" s="15" t="n">
        <v>78</v>
      </c>
      <c r="B80" s="13" t="inlineStr">
        <is>
          <t>الجودة</t>
        </is>
      </c>
      <c r="C80" s="21" t="inlineStr"/>
      <c r="D80" s="71" t="inlineStr">
        <is>
          <t>يقيس  ضمن محور «»،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🔧 تشغيلي</t>
        </is>
      </c>
      <c r="G80" s="11" t="inlineStr">
        <is>
          <t>الاستدامة · جودة التشغيل</t>
        </is>
      </c>
      <c r="H80" s="15" t="inlineStr">
        <is>
          <t>العمليات الداخلية</t>
        </is>
      </c>
      <c r="I80" s="55" t="n">
        <v>0.06</v>
      </c>
      <c r="J80" s="15" t="inlineStr">
        <is>
          <t>مدير الجودة</t>
        </is>
      </c>
      <c r="K80" s="11" t="inlineStr">
        <is>
          <t>سجلات الإدارة</t>
        </is>
      </c>
      <c r="L80" s="15" t="inlineStr">
        <is>
          <t>شهري</t>
        </is>
      </c>
      <c r="M80" s="15" t="inlineStr">
        <is>
          <t>مدير الجودة</t>
        </is>
      </c>
      <c r="N80" s="51" t="n"/>
    </row>
    <row r="81" ht="30" customHeight="1">
      <c r="A81" s="15" t="n">
        <v>79</v>
      </c>
      <c r="B81" s="13" t="inlineStr">
        <is>
          <t>الجودة</t>
        </is>
      </c>
      <c r="C81" s="21" t="inlineStr"/>
      <c r="D81" s="71" t="inlineStr">
        <is>
          <t>يقيس  ضمن محور «»،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🔧 تشغيلي</t>
        </is>
      </c>
      <c r="G81" s="11" t="inlineStr">
        <is>
          <t>الاستدامة · جودة التشغيل</t>
        </is>
      </c>
      <c r="H81" s="15" t="inlineStr">
        <is>
          <t>العمليات الداخلية</t>
        </is>
      </c>
      <c r="I81" s="55" t="n">
        <v>0.06</v>
      </c>
      <c r="J81" s="15" t="inlineStr">
        <is>
          <t>مدير الجودة</t>
        </is>
      </c>
      <c r="K81" s="11" t="inlineStr">
        <is>
          <t>سجلات الإدارة</t>
        </is>
      </c>
      <c r="L81" s="15" t="inlineStr">
        <is>
          <t>شهري</t>
        </is>
      </c>
      <c r="M81" s="15" t="inlineStr">
        <is>
          <t>مدير الجودة</t>
        </is>
      </c>
      <c r="N81" s="51" t="n"/>
    </row>
    <row r="82" ht="30" customHeight="1">
      <c r="A82" s="15" t="n">
        <v>80</v>
      </c>
      <c r="B82" s="13" t="inlineStr">
        <is>
          <t>الجودة</t>
        </is>
      </c>
      <c r="C82" s="21" t="inlineStr"/>
      <c r="D82" s="71" t="inlineStr">
        <is>
          <t>يقيس  ضمن محور «»،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55" t="n">
        <v>0.06</v>
      </c>
      <c r="J82" s="15" t="inlineStr">
        <is>
          <t>مدير الجودة</t>
        </is>
      </c>
      <c r="K82" s="11" t="inlineStr">
        <is>
          <t>سجلات الإدارة</t>
        </is>
      </c>
      <c r="L82" s="15" t="inlineStr">
        <is>
          <t>شهري</t>
        </is>
      </c>
      <c r="M82" s="15" t="inlineStr">
        <is>
          <t>مدير الجودة</t>
        </is>
      </c>
      <c r="N82" s="51" t="n"/>
    </row>
    <row r="83" ht="30" customHeight="1">
      <c r="A83" s="15" t="n">
        <v>81</v>
      </c>
      <c r="B83" s="13" t="inlineStr">
        <is>
          <t>الجودة</t>
        </is>
      </c>
      <c r="C83" s="21" t="inlineStr"/>
      <c r="D83" s="71" t="inlineStr">
        <is>
          <t>يقيس  ضمن محور «»،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🔧 تشغيلي</t>
        </is>
      </c>
      <c r="G83" s="11" t="inlineStr">
        <is>
          <t>الاستدامة · جودة التشغيل</t>
        </is>
      </c>
      <c r="H83" s="15" t="inlineStr">
        <is>
          <t>العمليات الداخلية</t>
        </is>
      </c>
      <c r="I83" s="55" t="n">
        <v>0.06</v>
      </c>
      <c r="J83" s="15" t="inlineStr">
        <is>
          <t>مدير الجودة</t>
        </is>
      </c>
      <c r="K83" s="11" t="inlineStr">
        <is>
          <t>سجلات الإدارة</t>
        </is>
      </c>
      <c r="L83" s="15" t="inlineStr">
        <is>
          <t>شهري</t>
        </is>
      </c>
      <c r="M83" s="15" t="inlineStr">
        <is>
          <t>مدير الجودة</t>
        </is>
      </c>
      <c r="N83" s="51" t="n"/>
    </row>
    <row r="84" ht="30" customHeight="1">
      <c r="A84" s="15" t="n">
        <v>82</v>
      </c>
      <c r="B84" s="13" t="inlineStr">
        <is>
          <t>الإدارة القانونية</t>
        </is>
      </c>
      <c r="C84" s="21" t="inlineStr">
        <is>
          <t>نسبة العقود المُراجَعة قانونياً قبل التوقيع</t>
        </is>
      </c>
      <c r="D84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🔧 تشغيلي</t>
        </is>
      </c>
      <c r="G84" s="11" t="inlineStr">
        <is>
          <t>الاستدامة · جودة التشغيل</t>
        </is>
      </c>
      <c r="H84" s="15" t="inlineStr">
        <is>
          <t>العمليات الداخلية</t>
        </is>
      </c>
      <c r="I84" s="55" t="n">
        <v>0.38</v>
      </c>
      <c r="J84" s="15" t="inlineStr">
        <is>
          <t>المدير القانوني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المدير القانوني</t>
        </is>
      </c>
      <c r="N84" s="51" t="n"/>
    </row>
    <row r="85" ht="30" customHeight="1">
      <c r="A85" s="15" t="n">
        <v>83</v>
      </c>
      <c r="B85" s="13" t="inlineStr">
        <is>
          <t>الإدارة القانونية</t>
        </is>
      </c>
      <c r="C85" s="21" t="inlineStr">
        <is>
          <t>نسبة القضايا المُغلقة لصالح الشركة</t>
        </is>
      </c>
      <c r="D85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🔧 تشغيلي</t>
        </is>
      </c>
      <c r="G85" s="11" t="inlineStr">
        <is>
          <t>الاستدامة · جودة التشغيل</t>
        </is>
      </c>
      <c r="H85" s="15" t="inlineStr">
        <is>
          <t>العمليات الداخلية</t>
        </is>
      </c>
      <c r="I85" s="55" t="n">
        <v>0.25</v>
      </c>
      <c r="J85" s="15" t="inlineStr">
        <is>
          <t>المدير القانوني</t>
        </is>
      </c>
      <c r="K85" s="11" t="inlineStr">
        <is>
          <t>نظام إدارة القضايا والتحقيقات</t>
        </is>
      </c>
      <c r="L85" s="15" t="inlineStr">
        <is>
          <t>شهري</t>
        </is>
      </c>
      <c r="M85" s="15" t="inlineStr">
        <is>
          <t>المدير القانوني</t>
        </is>
      </c>
      <c r="N85" s="51" t="n"/>
    </row>
    <row r="86" ht="30" customHeight="1">
      <c r="A86" s="15" t="n">
        <v>84</v>
      </c>
      <c r="B86" s="13" t="inlineStr">
        <is>
          <t>الإدارة القانونية</t>
        </is>
      </c>
      <c r="C86" s="21" t="inlineStr">
        <is>
          <t>مستوى رضا الإدارات عن الدعم القانوني</t>
        </is>
      </c>
      <c r="D86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جودة التشغيل</t>
        </is>
      </c>
      <c r="H86" s="15" t="inlineStr">
        <is>
          <t>العملاء</t>
        </is>
      </c>
      <c r="I86" s="55" t="n">
        <v>0.37</v>
      </c>
      <c r="J86" s="15" t="inlineStr">
        <is>
          <t>المدير القانوني</t>
        </is>
      </c>
      <c r="K86" s="11" t="inlineStr">
        <is>
          <t>استبيان دوري</t>
        </is>
      </c>
      <c r="L86" s="15" t="inlineStr">
        <is>
          <t>ربعي</t>
        </is>
      </c>
      <c r="M86" s="15" t="inlineStr">
        <is>
          <t>المدير القانوني</t>
        </is>
      </c>
      <c r="N86" s="51" t="n"/>
    </row>
    <row r="87" ht="30" customHeight="1">
      <c r="A87" s="15" t="n">
        <v>85</v>
      </c>
      <c r="B87" s="13" t="inlineStr">
        <is>
          <t>الإدارة المالية</t>
        </is>
      </c>
      <c r="C87" s="21" t="inlineStr">
        <is>
          <t>نمو الإيرادات السنوي</t>
        </is>
      </c>
      <c r="D87" s="71" t="inlineStr">
        <is>
          <t>يقيس نمو الإيرادات السنوي ضمن محور «المالية الاستراتيجية»، ويعكس مساهمة الإدارة في ركيزة النمو.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النمو · زيادة وصول العملاء</t>
        </is>
      </c>
      <c r="H87" s="15" t="inlineStr">
        <is>
          <t>مالي</t>
        </is>
      </c>
      <c r="I87" s="55" t="n">
        <v>0.22</v>
      </c>
      <c r="J87" s="15" t="inlineStr">
        <is>
          <t>المدير المالي</t>
        </is>
      </c>
      <c r="K87" s="11" t="inlineStr">
        <is>
          <t>نظام المحاسبة / ERP (D365)</t>
        </is>
      </c>
      <c r="L87" s="15" t="inlineStr">
        <is>
          <t>ربعي</t>
        </is>
      </c>
      <c r="M87" s="15" t="inlineStr">
        <is>
          <t>الإدارة المالية</t>
        </is>
      </c>
      <c r="N87" s="51" t="n"/>
    </row>
    <row r="88" ht="30" customHeight="1">
      <c r="A88" s="15" t="n">
        <v>86</v>
      </c>
      <c r="B88" s="13" t="inlineStr">
        <is>
          <t>الإدارة المالية</t>
        </is>
      </c>
      <c r="C88" s="21" t="inlineStr">
        <is>
          <t>نسبة التدفق النقدي التشغيلي</t>
        </is>
      </c>
      <c r="D88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الاستدامة · جودة التشغيل</t>
        </is>
      </c>
      <c r="H88" s="15" t="inlineStr">
        <is>
          <t>العمليات الداخلية</t>
        </is>
      </c>
      <c r="I88" s="55" t="n">
        <v>0.14</v>
      </c>
      <c r="J88" s="15" t="inlineStr">
        <is>
          <t>المدير المالي</t>
        </is>
      </c>
      <c r="K88" s="11" t="inlineStr">
        <is>
          <t>نظام المحاسبة / ERP (D365)</t>
        </is>
      </c>
      <c r="L88" s="15" t="inlineStr">
        <is>
          <t>شهري</t>
        </is>
      </c>
      <c r="M88" s="15" t="inlineStr">
        <is>
          <t>الإدارة المالية</t>
        </is>
      </c>
      <c r="N88" s="51" t="n"/>
    </row>
    <row r="89" ht="30" customHeight="1">
      <c r="A89" s="15" t="n">
        <v>87</v>
      </c>
      <c r="B89" s="13" t="inlineStr">
        <is>
          <t>الإدارة المالية</t>
        </is>
      </c>
      <c r="C89" s="21" t="inlineStr">
        <is>
          <t>نسبة التحصيل العام (الشركة)</t>
        </is>
      </c>
      <c r="D89" s="71" t="inlineStr">
        <is>
          <t>يقيس نسبة التحصيل العام (الشركة) ضمن محور «الذمم المدينة»،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🎯 نتيجة</t>
        </is>
      </c>
      <c r="G89" s="11" t="inlineStr">
        <is>
          <t>الاستدامة · جودة التشغيل</t>
        </is>
      </c>
      <c r="H89" s="15" t="inlineStr">
        <is>
          <t>مالي</t>
        </is>
      </c>
      <c r="I89" s="55" t="n">
        <v>0.22</v>
      </c>
      <c r="J89" s="15" t="inlineStr">
        <is>
          <t>المدير المالي</t>
        </is>
      </c>
      <c r="K89" s="11" t="inlineStr">
        <is>
          <t>نظام المحاسبة / ERP (D365)</t>
        </is>
      </c>
      <c r="L89" s="15" t="inlineStr">
        <is>
          <t>شهري</t>
        </is>
      </c>
      <c r="M89" s="15" t="inlineStr">
        <is>
          <t>الإدارة المالية</t>
        </is>
      </c>
      <c r="N89" s="51" t="n"/>
    </row>
    <row r="90" ht="30" customHeight="1">
      <c r="A90" s="15" t="n">
        <v>88</v>
      </c>
      <c r="B90" s="13" t="inlineStr">
        <is>
          <t>الإدارة المالية</t>
        </is>
      </c>
      <c r="C90" s="21" t="inlineStr">
        <is>
          <t>دقة التنبؤ النقدي</t>
        </is>
      </c>
      <c r="D90" s="71" t="inlineStr">
        <is>
          <t>يقيس دقة التنبؤ النقدي ضمن محور «الخزينة»،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55" t="n">
        <v>0.14</v>
      </c>
      <c r="J90" s="15" t="inlineStr">
        <is>
          <t>المدير المالي</t>
        </is>
      </c>
      <c r="K90" s="11" t="inlineStr">
        <is>
          <t>نظام المحاسبة / ERP (D365)</t>
        </is>
      </c>
      <c r="L90" s="15" t="inlineStr">
        <is>
          <t>شهري</t>
        </is>
      </c>
      <c r="M90" s="15" t="inlineStr">
        <is>
          <t>الإدارة المالية</t>
        </is>
      </c>
      <c r="N90" s="51" t="n"/>
    </row>
    <row r="91" ht="30" customHeight="1">
      <c r="A91" s="15" t="n">
        <v>89</v>
      </c>
      <c r="B91" s="13" t="inlineStr">
        <is>
          <t>الإدارة المالية</t>
        </is>
      </c>
      <c r="C91" s="21" t="inlineStr">
        <is>
          <t>دقة تسوية أرامكو</t>
        </is>
      </c>
      <c r="D91" s="71" t="inlineStr">
        <is>
          <t>يقيس دقة تسوية أرامكو ضمن محور «صناعة الوقود»،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55" t="n">
        <v>0.14</v>
      </c>
      <c r="J91" s="15" t="inlineStr">
        <is>
          <t>المدير المالي</t>
        </is>
      </c>
      <c r="K91" s="11" t="inlineStr">
        <is>
          <t>نظام تشغيل المحطات</t>
        </is>
      </c>
      <c r="L91" s="15" t="inlineStr">
        <is>
          <t>شهري</t>
        </is>
      </c>
      <c r="M91" s="15" t="inlineStr">
        <is>
          <t>المدير المالي</t>
        </is>
      </c>
      <c r="N91" s="51" t="n"/>
    </row>
    <row r="92" ht="30" customHeight="1">
      <c r="A92" s="15" t="n">
        <v>90</v>
      </c>
      <c r="B92" s="13" t="inlineStr">
        <is>
          <t>الإدارة المالية</t>
        </is>
      </c>
      <c r="C92" s="21" t="inlineStr">
        <is>
          <t>انحراف الموازنة</t>
        </is>
      </c>
      <c r="D92" s="71" t="inlineStr">
        <is>
          <t>يقيس انحراف الموازنة ضمن محور «الموازنة والتقارير»،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🔧 تشغيلي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55" t="n">
        <v>0.14</v>
      </c>
      <c r="J92" s="15" t="inlineStr">
        <is>
          <t>المدير المالي</t>
        </is>
      </c>
      <c r="K92" s="11" t="inlineStr">
        <is>
          <t>نظام المحاسبة / ERP (D365)</t>
        </is>
      </c>
      <c r="L92" s="15" t="inlineStr">
        <is>
          <t>ربعي</t>
        </is>
      </c>
      <c r="M92" s="15" t="inlineStr">
        <is>
          <t>الإدارة المالية</t>
        </is>
      </c>
      <c r="N92" s="51" t="n"/>
    </row>
  </sheetData>
  <autoFilter ref="A2:N92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الابتكار</t>
        </is>
      </c>
      <c r="C4" s="21" t="inlineStr">
        <is>
          <t>نسبة إنجاز مشاريع الخارطة التنفيذية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5" t="n">
        <v>0.34</v>
      </c>
      <c r="H4" s="55" t="n">
        <v>1</v>
      </c>
      <c r="I4" s="22" t="inlineStr">
        <is>
          <t>100%</t>
        </is>
      </c>
      <c r="J4" s="73" t="inlineStr">
        <is>
          <t>الابتكار</t>
        </is>
      </c>
      <c r="K4" s="11" t="inlineStr">
        <is>
          <t>إطلاق مشاريع جديدة</t>
        </is>
      </c>
      <c r="L4" s="15" t="inlineStr">
        <is>
          <t>العمليات الداخلية</t>
        </is>
      </c>
      <c r="M4" s="56" t="n">
        <v>0.906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«إنجاز مشاريع الخارطة التنفيذية» ÷ الإجمالي المستهدف لنفس البند × 100٪</t>
        </is>
      </c>
      <c r="Q4" s="74" t="inlineStr">
        <is>
          <t>سجلات الإدارة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الابتكار</t>
        </is>
      </c>
      <c r="C5" s="21" t="inlineStr">
        <is>
          <t>نسبة التحول الرقمي على مستوى الشركة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5" t="n">
        <v>0.33</v>
      </c>
      <c r="H5" s="55" t="n">
        <v>0.9</v>
      </c>
      <c r="I5" s="22" t="inlineStr">
        <is>
          <t>≥ 90%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56" t="n">
        <v>0.9389999999999999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«التحول الرقمي على مستوى الشركة» ÷ الإجمالي المستهدف لنفس البند × 100٪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الحوكمة</t>
        </is>
      </c>
      <c r="C6" s="21" t="inlineStr">
        <is>
          <t>نسبة الالتزام بإطار الحوكمة المؤسسية والامتثال التنظيمي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5" t="n">
        <v>0.33</v>
      </c>
      <c r="H6" s="55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6" t="n">
        <v>0.729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محقق",IF($N6&gt;=0.97,"🟡 قريب","🔴 تحت الهدف")))</f>
        <v/>
      </c>
      <c r="P6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</sheetData>
  <autoFilter ref="A3:R6"/>
  <mergeCells count="2">
    <mergeCell ref="A2:R2"/>
    <mergeCell ref="A1:R1"/>
  </mergeCells>
  <dataValidations count="1">
    <dataValidation sqref="M4 M5 M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5" t="n">
        <v>0.04</v>
      </c>
      <c r="H4" s="58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9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5" t="n">
        <v>0.04</v>
      </c>
      <c r="H5" s="58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9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5" t="n">
        <v>0.04</v>
      </c>
      <c r="H6" s="58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5" t="n">
        <v>0.03</v>
      </c>
      <c r="H7" s="55" t="n">
        <v>0.7</v>
      </c>
      <c r="I7" s="22" t="inlineStr">
        <is>
          <t>70%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56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«تأجير وحدات الامتياز»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49" t="inlineStr">
        <is>
          <t>ر.س</t>
        </is>
      </c>
      <c r="E8" s="49" t="inlineStr">
        <is>
          <t>↑</t>
        </is>
      </c>
      <c r="F8" s="15" t="inlineStr">
        <is>
          <t>🔴 رئيسي</t>
        </is>
      </c>
      <c r="G8" s="55" t="n">
        <v>0.04</v>
      </c>
      <c r="H8" s="49" t="inlineStr"/>
      <c r="I8" s="22" t="inlineStr">
        <is>
          <t>تصاعدي مستمر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2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قيمة «إيرادات إدارة الامتياز» بالريال خلال الفترة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49" t="inlineStr">
        <is>
          <t>هللة/لتر</t>
        </is>
      </c>
      <c r="E9" s="49" t="inlineStr">
        <is>
          <t>↑</t>
        </is>
      </c>
      <c r="F9" s="15" t="inlineStr">
        <is>
          <t>🟠 مهم</t>
        </is>
      </c>
      <c r="G9" s="55" t="n">
        <v>0.03</v>
      </c>
      <c r="H9" s="65" t="n">
        <v>1.8</v>
      </c>
      <c r="I9" s="22" t="inlineStr">
        <is>
          <t>+1.8 هللة/لتر</t>
        </is>
      </c>
      <c r="J9" s="73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6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لترات «رفع هامش الربحية للامتياز» خلال الفترة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5" t="n">
        <v>0.04</v>
      </c>
      <c r="H10" s="55" t="n">
        <v>0.95</v>
      </c>
      <c r="I10" s="22" t="inlineStr">
        <is>
          <t>95%+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56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«التحصيل المالي من شركاء الامتياز»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5" t="n">
        <v>0.04</v>
      </c>
      <c r="H11" s="65" t="n">
        <v>30</v>
      </c>
      <c r="I11" s="22" t="inlineStr">
        <is>
          <t>≤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6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تحصيل شركاء الامتياز»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49" t="inlineStr">
        <is>
          <t>ر.س</t>
        </is>
      </c>
      <c r="E12" s="49" t="inlineStr">
        <is>
          <t>↓</t>
        </is>
      </c>
      <c r="F12" s="15" t="inlineStr">
        <is>
          <t>🟠 مهم</t>
        </is>
      </c>
      <c r="G12" s="55" t="n">
        <v>0.03</v>
      </c>
      <c r="H12" s="49" t="inlineStr"/>
      <c r="I12" s="22" t="inlineStr">
        <is>
          <t>تراجع مستمر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2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قيمة «المستحقات المتأخرة» بالريال خلال الفترة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5" t="n">
        <v>0.03</v>
      </c>
      <c r="H13" s="55" t="n">
        <v>0.9</v>
      </c>
      <c r="I13" s="22" t="inlineStr">
        <is>
          <t>90%+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56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«الشركاء الملتزمين بمواعيد السداد»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5" t="n">
        <v>0.03</v>
      </c>
      <c r="H14" s="65" t="n">
        <v>5</v>
      </c>
      <c r="I14" s="22" t="inlineStr">
        <is>
          <t>≤ 5 أيام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6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عدد حالات «دوران رأس المال» خلال الفترة ÷ إجمالي الحالات القابلة للقياس × 100٪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5" t="n">
        <v>0.04</v>
      </c>
      <c r="H15" s="55" t="n">
        <v>0.99</v>
      </c>
      <c r="I15" s="22" t="inlineStr">
        <is>
          <t>99%+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6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«جاهزية محطات الامتياز»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49" t="inlineStr">
        <is>
          <t>حالة</t>
        </is>
      </c>
      <c r="E16" s="49" t="inlineStr">
        <is>
          <t>↓</t>
        </is>
      </c>
      <c r="F16" s="15" t="inlineStr">
        <is>
          <t>🔴 رئيسي</t>
        </is>
      </c>
      <c r="G16" s="55" t="n">
        <v>0.04</v>
      </c>
      <c r="H16" s="58" t="n">
        <v>0</v>
      </c>
      <c r="I16" s="22" t="inlineStr">
        <is>
          <t>0 حالة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إجمالي عدد «حالات انقطاع الوقود الموثّقة» المُسجّلة خلال الفترة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5" t="n">
        <v>0.03</v>
      </c>
      <c r="H17" s="55" t="n">
        <v>0.95</v>
      </c>
      <c r="I17" s="22" t="inlineStr">
        <is>
          <t>95%+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6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ملاحظات الجودة الميدانية»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49" t="inlineStr">
        <is>
          <t>درجة/100</t>
        </is>
      </c>
      <c r="E18" s="49" t="inlineStr">
        <is>
          <t>↑</t>
        </is>
      </c>
      <c r="F18" s="15" t="inlineStr">
        <is>
          <t>🔴 رئيسي</t>
        </is>
      </c>
      <c r="G18" s="55" t="n">
        <v>0.04</v>
      </c>
      <c r="H18" s="65" t="n">
        <v>85</v>
      </c>
      <c r="I18" s="22" t="inlineStr">
        <is>
          <t>85+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6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«درجة تقييم جودة المحطة» ÷ عدد المفردات المقيسة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5" t="n">
        <v>0.03</v>
      </c>
      <c r="H19" s="55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6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«تنفيذ الزيارات الميدانية المجدولة»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🔴 رئيسي</t>
        </is>
      </c>
      <c r="G20" s="55" t="n">
        <v>0.04</v>
      </c>
      <c r="H20" s="55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6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قيمة/عدد المتحقّق من «المحطات المستوفية لمعايير السلامة» ÷ الإجمالي المستهدف لنفس البند × 100٪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49" t="inlineStr">
        <is>
          <t>ساعة</t>
        </is>
      </c>
      <c r="E21" s="49" t="inlineStr">
        <is>
          <t>↓</t>
        </is>
      </c>
      <c r="F21" s="15" t="inlineStr">
        <is>
          <t>🟠 مهم</t>
        </is>
      </c>
      <c r="G21" s="55" t="n">
        <v>0.03</v>
      </c>
      <c r="H21" s="65" t="n">
        <v>24</v>
      </c>
      <c r="I21" s="22" t="inlineStr">
        <is>
          <t>≤ 24 ساعة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6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مجموع ساعات «وقت معالجة البلاغات التشغيلية» ÷ عدد الحالات المغلقة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5" t="n">
        <v>0.04</v>
      </c>
      <c r="H22" s="55" t="n">
        <v>0.9</v>
      </c>
      <c r="I22" s="22" t="inlineStr">
        <is>
          <t>90%</t>
        </is>
      </c>
      <c r="J22" s="73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56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«أتمتة محطات الامتياز» ÷ الإجمالي المستهدف لنفس البند × 100٪</t>
        </is>
      </c>
      <c r="Q22" s="74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🟡 متابعة</t>
        </is>
      </c>
      <c r="G23" s="55" t="n">
        <v>0.01</v>
      </c>
      <c r="H23" s="55" t="n">
        <v>0.3</v>
      </c>
      <c r="I23" s="22" t="inlineStr">
        <is>
          <t>30%</t>
        </is>
      </c>
      <c r="J23" s="73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56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«تطبيق المعيار الشامل داخل المحطات» ÷ الإجمالي المستهدف لنفس البند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5" t="n">
        <v>0.04</v>
      </c>
      <c r="H24" s="55" t="n">
        <v>0.55</v>
      </c>
      <c r="I24" s="22" t="inlineStr">
        <is>
          <t>55%</t>
        </is>
      </c>
      <c r="J24" s="73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56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«التزام المحطات بالهوية المؤسسية» ÷ الإجمالي المستهدف لنفس البند × 100٪</t>
        </is>
      </c>
      <c r="Q24" s="74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49" t="inlineStr">
        <is>
          <t>نجمة/5</t>
        </is>
      </c>
      <c r="E25" s="49" t="inlineStr">
        <is>
          <t>↑</t>
        </is>
      </c>
      <c r="F25" s="15" t="inlineStr">
        <is>
          <t>🔴 رئيسي</t>
        </is>
      </c>
      <c r="G25" s="55" t="n">
        <v>0.04</v>
      </c>
      <c r="H25" s="65" t="n">
        <v>4.7</v>
      </c>
      <c r="I25" s="22" t="inlineStr">
        <is>
          <t>≥ 4.7 نجمة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6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مجموع قيم «تقييم المحطات على خرائط قوقل» ÷ عدد المفردات المقيسة</t>
        </is>
      </c>
      <c r="Q25" s="74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5" t="n">
        <v>0.04</v>
      </c>
      <c r="H26" s="55" t="n">
        <v>0.9</v>
      </c>
      <c r="I26" s="22" t="inlineStr">
        <is>
          <t>90%+</t>
        </is>
      </c>
      <c r="J26" s="73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56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4" t="inlineStr">
        <is>
          <t>عدد حالات «رضا شركاء الامتياز» خلال الفترة ÷ إجمالي الحالات القابلة للقياس × 100٪</t>
        </is>
      </c>
      <c r="Q26" s="74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🟠 مهم</t>
        </is>
      </c>
      <c r="G27" s="55" t="n">
        <v>0.03</v>
      </c>
      <c r="H27" s="55" t="n">
        <v>0.95</v>
      </c>
      <c r="I27" s="22" t="inlineStr">
        <is>
          <t>95%+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56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«حل الشكاوى خلال المدة المحددة» ÷ الإجمالي المستهدف لنفس البند × 100٪</t>
        </is>
      </c>
      <c r="Q27" s="74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🟠 مهم</t>
        </is>
      </c>
      <c r="G28" s="55" t="n">
        <v>0.03</v>
      </c>
      <c r="H28" s="55" t="n">
        <v>0.3</v>
      </c>
      <c r="I28" s="22" t="inlineStr">
        <is>
          <t>≥ 30%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56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4" t="inlineStr">
        <is>
          <t>قيمة/عدد المتحقّق من «انخفاض الشكاوى التشغيلية والإدارية» ÷ الإجمالي المستهدف لنفس البند × 100٪</t>
        </is>
      </c>
      <c r="Q28" s="74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5" t="n">
        <v>0.03</v>
      </c>
      <c r="H29" s="55" t="n">
        <v>0.9</v>
      </c>
      <c r="I29" s="22" t="inlineStr">
        <is>
          <t>90%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56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«استدامة أصحاب الامتياز» ÷ الإجمالي المستهدف لنفس البند × 100٪</t>
        </is>
      </c>
      <c r="Q29" s="74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5" t="n">
        <v>0.02</v>
      </c>
      <c r="H30" s="55" t="n">
        <v>1</v>
      </c>
      <c r="I30" s="22" t="inlineStr">
        <is>
          <t>100% نمو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56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«زيادة عدد أصحاب الامتياز» ÷ الإجمالي المستهدف لنفس البند × 100٪</t>
        </is>
      </c>
      <c r="Q30" s="74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49" t="inlineStr">
        <is>
          <t>أسبوع</t>
        </is>
      </c>
      <c r="E31" s="49" t="inlineStr">
        <is>
          <t>↓</t>
        </is>
      </c>
      <c r="F31" s="15" t="inlineStr">
        <is>
          <t>🔴 رئيسي</t>
        </is>
      </c>
      <c r="G31" s="55" t="n">
        <v>0.04</v>
      </c>
      <c r="H31" s="65" t="n">
        <v>1</v>
      </c>
      <c r="I31" s="22" t="inlineStr">
        <is>
          <t>≤ أسبوع</t>
        </is>
      </c>
      <c r="J31" s="73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6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مجموع قيم «مدة إغلاق عقد الامتياز» ÷ عدد المفردات المقيسة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🔴 رئيسي</t>
        </is>
      </c>
      <c r="G32" s="55" t="n">
        <v>0.04</v>
      </c>
      <c r="H32" s="55" t="n">
        <v>0.9</v>
      </c>
      <c r="I32" s="22" t="inlineStr">
        <is>
          <t>≥ 90%</t>
        </is>
      </c>
      <c r="J32" s="73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56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«التحصيل خلال 5 أيام عمل» ÷ الإجمالي المستهدف لنفس البند × 100٪</t>
        </is>
      </c>
      <c r="Q32" s="74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5" t="n">
        <v>0.34</v>
      </c>
      <c r="H4" s="58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9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الوقود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5" t="n">
        <v>0.33</v>
      </c>
      <c r="H5" s="55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6" t="n">
        <v>0.09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الوقود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تجربة العميل</t>
        </is>
      </c>
      <c r="C6" s="21" t="inlineStr">
        <is>
          <t>نسبة انخفاض الشكاوى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5" t="n">
        <v>0.22</v>
      </c>
      <c r="H6" s="55" t="n">
        <v>0.2</v>
      </c>
      <c r="I6" s="22" t="inlineStr">
        <is>
          <t>≥ 20%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56" t="n">
        <v>0.163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«انخفاض الشكاوى مقارنة بالعام السابق»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الجودة</t>
        </is>
      </c>
      <c r="C7" s="21" t="inlineStr">
        <is>
          <t>تطبيق المعيار الشامل في المحطات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🟡 متابعة</t>
        </is>
      </c>
      <c r="G7" s="55" t="n">
        <v>0.11</v>
      </c>
      <c r="H7" s="55" t="n">
        <v>0.8</v>
      </c>
      <c r="I7" s="22" t="inlineStr">
        <is>
          <t>≥ 80%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56" t="n">
        <v>0.787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«تطبيق المعيار الشامل في المحطات» ÷ المستهدف × 100٪</t>
        </is>
      </c>
      <c r="Q7" s="74" t="inlineStr">
        <is>
          <t>نظام إدارة الجودة (QMS)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الفرص والنمو</t>
        </is>
      </c>
      <c r="C4" s="21" t="inlineStr">
        <is>
          <t>عدد فرص الاستثمار</t>
        </is>
      </c>
      <c r="D4" s="49" t="inlineStr">
        <is>
          <t>فرصة</t>
        </is>
      </c>
      <c r="E4" s="49" t="inlineStr">
        <is>
          <t>↑</t>
        </is>
      </c>
      <c r="F4" s="15" t="inlineStr">
        <is>
          <t>🟠 مهم</t>
        </is>
      </c>
      <c r="G4" s="55" t="n">
        <v>0.14</v>
      </c>
      <c r="H4" s="58" t="n">
        <v>20</v>
      </c>
      <c r="I4" s="22" t="inlineStr">
        <is>
          <t>≥ 20 فرصة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9" t="n">
        <v>21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«فرص الاستثمار» المُسجّلة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 وجودة الموقع</t>
        </is>
      </c>
      <c r="C5" s="21" t="inlineStr">
        <is>
          <t>نسبة المواقع المشغّلة ذات العائد المجدي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5" t="n">
        <v>0.22</v>
      </c>
      <c r="H5" s="55" t="n">
        <v>0.8</v>
      </c>
      <c r="I5" s="22" t="inlineStr">
        <is>
          <t>≥ 80%</t>
        </is>
      </c>
      <c r="J5" s="73" t="inlineStr">
        <is>
          <t>الاستدامة</t>
        </is>
      </c>
      <c r="K5" s="11" t="inlineStr">
        <is>
          <t>التوسع في المواقع</t>
        </is>
      </c>
      <c r="L5" s="15" t="inlineStr">
        <is>
          <t>مالي</t>
        </is>
      </c>
      <c r="M5" s="56" t="n">
        <v>0.748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«المواقع المشغّلة ذات العائد المجدي» ÷ الإجمالي المستهدف لنفس البند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جودة التعاقد</t>
        </is>
      </c>
      <c r="C6" s="21" t="inlineStr">
        <is>
          <t>مدى رضا المستثمرين وشركاء الاستثمار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5" t="n">
        <v>0.22</v>
      </c>
      <c r="H6" s="55" t="n">
        <v>0.8</v>
      </c>
      <c r="I6" s="22" t="inlineStr">
        <is>
          <t>≥ 80%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56" t="n">
        <v>0.786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«مدى رضا المستثمرين وشركاء الاستثمار» ÷ المستهدف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كفاءة الدورة</t>
        </is>
      </c>
      <c r="C7" s="21" t="inlineStr">
        <is>
          <t>متوسط مدة إغلاق عقد الاستثمار</t>
        </is>
      </c>
      <c r="D7" s="49" t="inlineStr">
        <is>
          <t>أسبوع</t>
        </is>
      </c>
      <c r="E7" s="49" t="inlineStr">
        <is>
          <t>↓</t>
        </is>
      </c>
      <c r="F7" s="15" t="inlineStr">
        <is>
          <t>🔴 رئيسي</t>
        </is>
      </c>
      <c r="G7" s="55" t="n">
        <v>0.21</v>
      </c>
      <c r="H7" s="65" t="n">
        <v>1</v>
      </c>
      <c r="I7" s="22" t="inlineStr">
        <is>
          <t>≤ أسبوع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6" t="n">
        <v>0.912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قيم «مدة إغلاق عقد الاستثمار» ÷ عدد المفردات المقيسة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التوسع الإقليمي</t>
        </is>
      </c>
      <c r="C8" s="21" t="inlineStr">
        <is>
          <t>عدد العقود التي تغطي المناطق الـ13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5" t="n">
        <v>0.21</v>
      </c>
      <c r="H8" s="58" t="n">
        <v>13</v>
      </c>
      <c r="I8" s="22" t="inlineStr">
        <is>
          <t>≥ 13 عقد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9" t="n">
        <v>12.1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«العقود التي تغطي المناطق الـ13» تراكمياً حتى نهاية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التأجير</t>
        </is>
      </c>
      <c r="C4" s="21" t="inlineStr">
        <is>
          <t>نسبة إشغال الوحدات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5" t="n">
        <v>0.2</v>
      </c>
      <c r="H4" s="55" t="n">
        <v>0.6</v>
      </c>
      <c r="I4" s="22" t="inlineStr">
        <is>
          <t>≥ 60%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العمليات الداخلية</t>
        </is>
      </c>
      <c r="M4" s="56" t="n">
        <v>0.545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«إشغال الوحدات»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التأجير</t>
        </is>
      </c>
      <c r="C5" s="21" t="inlineStr">
        <is>
          <t>زيادة عدد العلامات التجارية</t>
        </is>
      </c>
      <c r="D5" s="49" t="inlineStr">
        <is>
          <t>علامة</t>
        </is>
      </c>
      <c r="E5" s="49" t="inlineStr">
        <is>
          <t>↑</t>
        </is>
      </c>
      <c r="F5" s="15" t="inlineStr">
        <is>
          <t>🟠 مهم</t>
        </is>
      </c>
      <c r="G5" s="55" t="n">
        <v>0.2</v>
      </c>
      <c r="H5" s="58" t="n">
        <v>246</v>
      </c>
      <c r="I5" s="22" t="inlineStr">
        <is>
          <t>246 علامة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9" t="n">
        <v>202.6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«زيادة عدد العلامات التجارية» المُسجّل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الجودة والاستدامة</t>
        </is>
      </c>
      <c r="C6" s="21" t="inlineStr">
        <is>
          <t>معدل رضا المستأجرين (استبيان ربعي)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5" t="n">
        <v>0.3</v>
      </c>
      <c r="H6" s="55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56" t="n">
        <v>0.894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عدد حالات «رضا المستأجرين» خلال الفترة ÷ إجمالي الحالات القابلة للقياس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الإدارة</t>
        </is>
      </c>
      <c r="C7" s="21" t="inlineStr">
        <is>
          <t>نسبة تحصيل الإيجارات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5" t="n">
        <v>0.3</v>
      </c>
      <c r="H7" s="55" t="n">
        <v>0.95</v>
      </c>
      <c r="I7" s="22" t="inlineStr">
        <is>
          <t>≥ 95%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56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«تحصيل الإيجارات» ÷ الإجمالي المستهدف لنفس البند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تنفيذ المشاريع</t>
        </is>
      </c>
      <c r="C4" s="21" t="inlineStr">
        <is>
          <t>نسبة إنجاز محفظة المشاريع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5" t="n">
        <v>0.38</v>
      </c>
      <c r="H4" s="55" t="n">
        <v>0.7</v>
      </c>
      <c r="I4" s="22" t="inlineStr">
        <is>
          <t>≥ 70%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0.607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«إنجاز محفظة المشاريع» ÷ الإجمالي المستهدف لنفس البند × 100٪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تنفيذ المشاريع</t>
        </is>
      </c>
      <c r="C5" s="21" t="inlineStr">
        <is>
          <t>نسبة تسليم المحطات في الموعد المخطط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5" t="n">
        <v>0.37</v>
      </c>
      <c r="H5" s="55" t="n">
        <v>0.8</v>
      </c>
      <c r="I5" s="22" t="inlineStr">
        <is>
          <t>≥ 80%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6" t="n">
        <v>0.805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«تسليم المحطات في الموعد المخطط»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التصاميم وأوامر التغيير</t>
        </is>
      </c>
      <c r="C6" s="21" t="inlineStr">
        <is>
          <t>متوسط مدة إغلاق قائمة الملاحظات النهائية</t>
        </is>
      </c>
      <c r="D6" s="49" t="inlineStr">
        <is>
          <t>يوم</t>
        </is>
      </c>
      <c r="E6" s="49" t="inlineStr">
        <is>
          <t>↓</t>
        </is>
      </c>
      <c r="F6" s="15" t="inlineStr">
        <is>
          <t>🟠 مهم</t>
        </is>
      </c>
      <c r="G6" s="55" t="n">
        <v>0.25</v>
      </c>
      <c r="H6" s="65" t="n">
        <v>30</v>
      </c>
      <c r="I6" s="22" t="inlineStr">
        <is>
          <t>≤ 30 يوم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6" t="n">
        <v>32.4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أيام «مدة إغلاق قائمة الملاحظات النهائية» ÷ عدد الحالات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</sheetData>
  <autoFilter ref="A3:R6"/>
  <mergeCells count="2">
    <mergeCell ref="A2:R2"/>
    <mergeCell ref="A1:R1"/>
  </mergeCells>
  <dataValidations count="1">
    <dataValidation sqref="M4 M5 M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عدد انقطاعات الوقود في المحطات</t>
        </is>
      </c>
      <c r="D4" s="49" t="inlineStr">
        <is>
          <t>انقطاع</t>
        </is>
      </c>
      <c r="E4" s="49" t="inlineStr">
        <is>
          <t>↓</t>
        </is>
      </c>
      <c r="F4" s="15" t="inlineStr">
        <is>
          <t>🔴 رئيسي</t>
        </is>
      </c>
      <c r="G4" s="55" t="n">
        <v>0.3</v>
      </c>
      <c r="H4" s="58" t="n">
        <v>0</v>
      </c>
      <c r="I4" s="22" t="inlineStr">
        <is>
          <t>صفر انقطاع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/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«انقطاعات الوقود في المحطات» المُسجّلة خلال الفترة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المشتريات</t>
        </is>
      </c>
      <c r="C5" s="21" t="inlineStr">
        <is>
          <t>نسبة إنجاز أوامر الشراء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5" t="n">
        <v>0.2</v>
      </c>
      <c r="H5" s="55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6" t="n">
        <v>0.8100000000000001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«إنجاز أوامر الشراء» ÷ الإجمالي المستهدف لنفس البند × 100٪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الموردون</t>
        </is>
      </c>
      <c r="C6" s="21" t="inlineStr">
        <is>
          <t>مستوى رضا الموردين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5" t="n">
        <v>0.3</v>
      </c>
      <c r="H6" s="55" t="n">
        <v>0.85</v>
      </c>
      <c r="I6" s="22" t="inlineStr">
        <is>
          <t>≥ 85%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56" t="n">
        <v>0.663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«مستوى رضا الموردين» ÷ المستهدف × 100٪</t>
        </is>
      </c>
      <c r="Q6" s="74" t="inlineStr">
        <is>
          <t>نظام سلاسل الإمداد والمخزون (WMS/ERP)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النقل والأسطول</t>
        </is>
      </c>
      <c r="C7" s="21" t="inlineStr">
        <is>
          <t>نسبة نقليات أسطول درب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5" t="n">
        <v>0.2</v>
      </c>
      <c r="H7" s="55" t="n">
        <v>0.3</v>
      </c>
      <c r="I7" s="22" t="inlineStr">
        <is>
          <t>≥ 30%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6" t="n">
        <v>0.293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«نقليات أسطول درب» ÷ الإجمالي المستهدف لنفس البند × 100٪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تنفيذ الصيانة الوقائية في موعدها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5" t="n">
        <v>0.5</v>
      </c>
      <c r="H4" s="55" t="n">
        <v>0.95</v>
      </c>
      <c r="I4" s="22" t="inlineStr">
        <is>
          <t>≥ 95%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6" t="n">
        <v>0.973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«تنفيذ الصيانة الوقائية في موعدها» ÷ الإجمالي المستهدف لنفس البند × 100٪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الاستجابة والإصلاح</t>
        </is>
      </c>
      <c r="C5" s="21" t="inlineStr">
        <is>
          <t>معدل تكرار الأعطال</t>
        </is>
      </c>
      <c r="D5" s="49" t="inlineStr">
        <is>
          <t>%</t>
        </is>
      </c>
      <c r="E5" s="49" t="inlineStr">
        <is>
          <t>↓</t>
        </is>
      </c>
      <c r="F5" s="15" t="inlineStr">
        <is>
          <t>🟠 مهم</t>
        </is>
      </c>
      <c r="G5" s="55" t="n">
        <v>0.5</v>
      </c>
      <c r="H5" s="55" t="n">
        <v>0.05</v>
      </c>
      <c r="I5" s="22" t="inlineStr">
        <is>
          <t>≤ 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6" t="n">
        <v>0.045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الأعطال المتكررة لنفس الأصل وبنفس السبب ÷ إجمالي عدد الأعطال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</sheetData>
  <autoFilter ref="A3:R5"/>
  <mergeCells count="2">
    <mergeCell ref="A2:R2"/>
    <mergeCell ref="A1:R1"/>
  </mergeCells>
  <dataValidations count="1">
    <dataValidation sqref="M4 M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استقرار التشغيل التقني للمحطات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5" t="n">
        <v>0.5</v>
      </c>
      <c r="H4" s="55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العمليات الداخلية</t>
        </is>
      </c>
      <c r="M4" s="56" t="n">
        <v>0.8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المشاريع التقنية</t>
        </is>
      </c>
      <c r="C5" s="21" t="inlineStr">
        <is>
          <t>نسبة إنجاز مشاريع التحول الرقمي والمشاريع التقنية حسب الخطة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5" t="n">
        <v>0.5</v>
      </c>
      <c r="H5" s="55" t="n">
        <v>0.9</v>
      </c>
      <c r="I5" s="22" t="inlineStr">
        <is>
          <t>≥ 90%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56" t="n">
        <v>0.89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مدى إنجاز محفظة مشاريع التحول الرقمي والمشاريع التقنية وفق الخطة الزمنية والأولويات المعتمدة.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</sheetData>
  <autoFilter ref="A3:R5"/>
  <mergeCells count="2">
    <mergeCell ref="A2:R2"/>
    <mergeCell ref="A1:R1"/>
  </mergeCells>
  <dataValidations count="1">
    <dataValidation sqref="M4 M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بنظام العمل واللوائح وخطة القوى العاملة المعتمدة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5" t="n">
        <v>0.28</v>
      </c>
      <c r="H4" s="55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56" t="n">
        <v>1.016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الاستقرار والتطوير</t>
        </is>
      </c>
      <c r="C5" s="21" t="inlineStr">
        <is>
          <t>نسبة تنفيذ برامج التدريب والتأهيل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5" t="n">
        <v>0.15</v>
      </c>
      <c r="H5" s="55" t="n">
        <v>0.9</v>
      </c>
      <c r="I5" s="22" t="inlineStr">
        <is>
          <t>≥ 90%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التعلّم والنمو</t>
        </is>
      </c>
      <c r="M5" s="56" t="n">
        <v>0.6899999999999999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الاستقرار والتطوير</t>
        </is>
      </c>
      <c r="C6" s="21" t="inlineStr">
        <is>
          <t>معدل دوران الموظفين</t>
        </is>
      </c>
      <c r="D6" s="49" t="inlineStr">
        <is>
          <t>%</t>
        </is>
      </c>
      <c r="E6" s="49" t="inlineStr">
        <is>
          <t>↓</t>
        </is>
      </c>
      <c r="F6" s="15" t="inlineStr">
        <is>
          <t>🟠 مهم</t>
        </is>
      </c>
      <c r="G6" s="55" t="n">
        <v>0.15</v>
      </c>
      <c r="H6" s="55" t="n">
        <v>0.1</v>
      </c>
      <c r="I6" s="22" t="inlineStr">
        <is>
          <t>≤ 10%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56" t="n">
        <v>0.097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الاستقطاب</t>
        </is>
      </c>
      <c r="C7" s="21" t="inlineStr">
        <is>
          <t>متوسط مدة إغلاق الشواغر المعتمدة</t>
        </is>
      </c>
      <c r="D7" s="49" t="inlineStr">
        <is>
          <t>يوم</t>
        </is>
      </c>
      <c r="E7" s="49" t="inlineStr">
        <is>
          <t>↓</t>
        </is>
      </c>
      <c r="F7" s="15" t="inlineStr">
        <is>
          <t>🟠 مهم</t>
        </is>
      </c>
      <c r="G7" s="55" t="n">
        <v>0.21</v>
      </c>
      <c r="H7" s="65" t="n">
        <v>30</v>
      </c>
      <c r="I7" s="22" t="inlineStr">
        <is>
          <t>≤ 30 يوم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العمليات الداخلية</t>
        </is>
      </c>
      <c r="M7" s="66" t="n">
        <v>33.5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التكلفة والرواتب</t>
        </is>
      </c>
      <c r="C8" s="21" t="inlineStr">
        <is>
          <t>نسبة دقة الرواتب والمستحقات الشهرية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5" t="n">
        <v>0.21</v>
      </c>
      <c r="H8" s="55" t="n">
        <v>0.995</v>
      </c>
      <c r="I8" s="22" t="inlineStr">
        <is>
          <t>≥ 99.5%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مالي</t>
        </is>
      </c>
      <c r="M8" s="56" t="n">
        <v>0.888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8" s="74" t="inlineStr">
        <is>
          <t>نظام الرواتب (Payroll) / حماية الأجور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5" t="n">
        <v>0.25</v>
      </c>
      <c r="H4" s="58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9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خدمة العملاء والدعم</t>
        </is>
      </c>
      <c r="C5" s="21" t="inlineStr">
        <is>
          <t>معدل خفض الشكاوى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5" t="n">
        <v>0.17</v>
      </c>
      <c r="H5" s="55" t="n">
        <v>0.3</v>
      </c>
      <c r="I5" s="22" t="inlineStr">
        <is>
          <t>≥ 30%</t>
        </is>
      </c>
      <c r="J5" s="73" t="inlineStr">
        <is>
          <t>الاستدامة</t>
        </is>
      </c>
      <c r="K5" s="11" t="inlineStr">
        <is>
          <t>تعزيز تجربة العملاء</t>
        </is>
      </c>
      <c r="L5" s="15" t="inlineStr">
        <is>
          <t>العملاء</t>
        </is>
      </c>
      <c r="M5" s="56" t="n">
        <v>0.21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حالات «خفض الشكاوى» خلال الفترة ÷ إجمالي الحالات القابلة للقياس × 100٪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الدعاية والإعلان</t>
        </is>
      </c>
      <c r="C6" s="21" t="inlineStr">
        <is>
          <t>نسبة التزام الهوية البصرية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5" t="n">
        <v>0.25</v>
      </c>
      <c r="H6" s="55" t="n">
        <v>1</v>
      </c>
      <c r="I6" s="22" t="inlineStr">
        <is>
          <t>100%</t>
        </is>
      </c>
      <c r="J6" s="73" t="inlineStr">
        <is>
          <t>الابتكار</t>
        </is>
      </c>
      <c r="K6" s="11" t="inlineStr">
        <is>
          <t>تطوير التصاميم والهوية</t>
        </is>
      </c>
      <c r="L6" s="15" t="inlineStr">
        <is>
          <t>التعلّم والنمو</t>
        </is>
      </c>
      <c r="M6" s="56" t="n">
        <v>0.1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«التزام الهوية البصرية»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تطبيق تانكي</t>
        </is>
      </c>
      <c r="C7" s="21" t="inlineStr">
        <is>
          <t>عدد تنزيلات التطبيق</t>
        </is>
      </c>
      <c r="D7" s="49" t="inlineStr">
        <is>
          <t>تنزيل</t>
        </is>
      </c>
      <c r="E7" s="49" t="inlineStr">
        <is>
          <t>↑</t>
        </is>
      </c>
      <c r="F7" s="15" t="inlineStr">
        <is>
          <t>🟠 مهم</t>
        </is>
      </c>
      <c r="G7" s="55" t="n">
        <v>0.17</v>
      </c>
      <c r="H7" s="58" t="n">
        <v>100000</v>
      </c>
      <c r="I7" s="22" t="inlineStr">
        <is>
          <t>≥ 100 ألف تنزيل</t>
        </is>
      </c>
      <c r="J7" s="73" t="inlineStr">
        <is>
          <t>الابتكار</t>
        </is>
      </c>
      <c r="K7" s="11" t="inlineStr">
        <is>
          <t>تطبيق «تانكي»</t>
        </is>
      </c>
      <c r="L7" s="15" t="inlineStr">
        <is>
          <t>التعلّم والنمو</t>
        </is>
      </c>
      <c r="M7" s="59" t="n">
        <v>78204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إجمالي عدد «تنزيلات التطبيق» المُسجّلة خلال الفترة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تطبيق تانكي</t>
        </is>
      </c>
      <c r="C8" s="21" t="inlineStr">
        <is>
          <t>عدد شراكات التطبيق</t>
        </is>
      </c>
      <c r="D8" s="49" t="inlineStr">
        <is>
          <t>شراكة</t>
        </is>
      </c>
      <c r="E8" s="49" t="inlineStr">
        <is>
          <t>↑</t>
        </is>
      </c>
      <c r="F8" s="15" t="inlineStr">
        <is>
          <t>🟠 مهم</t>
        </is>
      </c>
      <c r="G8" s="55" t="n">
        <v>0.16</v>
      </c>
      <c r="H8" s="58" t="n">
        <v>10</v>
      </c>
      <c r="I8" s="22" t="inlineStr">
        <is>
          <t>≥ 10 شراكات</t>
        </is>
      </c>
      <c r="J8" s="73" t="inlineStr">
        <is>
          <t>الابتكار</t>
        </is>
      </c>
      <c r="K8" s="11" t="inlineStr">
        <is>
          <t>تطبيق «تانكي»</t>
        </is>
      </c>
      <c r="L8" s="15" t="inlineStr">
        <is>
          <t>العمليات الداخلية</t>
        </is>
      </c>
      <c r="M8" s="59" t="n">
        <v>7.8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«شراكات التطبيق» المُسجّلة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75" t="n"/>
      <c r="C4" s="75" t="n"/>
      <c r="D4" s="51" t="n"/>
      <c r="E4" s="51" t="n"/>
      <c r="F4" s="51" t="n"/>
      <c r="G4" s="56" t="n"/>
      <c r="H4" s="51" t="n"/>
      <c r="I4" s="51" t="n"/>
      <c r="J4" s="51" t="n"/>
      <c r="K4" s="51" t="n"/>
      <c r="L4" s="51" t="n"/>
      <c r="M4" s="51" t="n"/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5" t="n"/>
      <c r="Q4" s="75" t="n"/>
      <c r="R4" s="51" t="n"/>
    </row>
    <row r="5" ht="26" customHeight="1">
      <c r="A5" s="20" t="n">
        <v>2</v>
      </c>
      <c r="B5" s="75" t="n"/>
      <c r="C5" s="75" t="n"/>
      <c r="D5" s="51" t="n"/>
      <c r="E5" s="51" t="n"/>
      <c r="F5" s="51" t="n"/>
      <c r="G5" s="56" t="n"/>
      <c r="H5" s="51" t="n"/>
      <c r="I5" s="51" t="n"/>
      <c r="J5" s="51" t="n"/>
      <c r="K5" s="51" t="n"/>
      <c r="L5" s="51" t="n"/>
      <c r="M5" s="51" t="n"/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5" t="n"/>
      <c r="Q5" s="75" t="n"/>
      <c r="R5" s="51" t="n"/>
    </row>
    <row r="6" ht="26" customHeight="1">
      <c r="A6" s="20" t="n">
        <v>3</v>
      </c>
      <c r="B6" s="75" t="n"/>
      <c r="C6" s="75" t="n"/>
      <c r="D6" s="51" t="n"/>
      <c r="E6" s="51" t="n"/>
      <c r="F6" s="51" t="n"/>
      <c r="G6" s="56" t="n"/>
      <c r="H6" s="51" t="n"/>
      <c r="I6" s="51" t="n"/>
      <c r="J6" s="51" t="n"/>
      <c r="K6" s="51" t="n"/>
      <c r="L6" s="51" t="n"/>
      <c r="M6" s="5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5" t="n"/>
      <c r="Q6" s="75" t="n"/>
      <c r="R6" s="51" t="n"/>
    </row>
    <row r="7" ht="26" customHeight="1">
      <c r="A7" s="20" t="n">
        <v>4</v>
      </c>
      <c r="B7" s="75" t="n"/>
      <c r="C7" s="75" t="n"/>
      <c r="D7" s="51" t="n"/>
      <c r="E7" s="51" t="n"/>
      <c r="F7" s="51" t="n"/>
      <c r="G7" s="56" t="n"/>
      <c r="H7" s="51" t="n"/>
      <c r="I7" s="51" t="n"/>
      <c r="J7" s="51" t="n"/>
      <c r="K7" s="51" t="n"/>
      <c r="L7" s="51" t="n"/>
      <c r="M7" s="51" t="n"/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5" t="n"/>
      <c r="Q7" s="75" t="n"/>
      <c r="R7" s="51" t="n"/>
    </row>
    <row r="8" ht="26" customHeight="1">
      <c r="A8" s="20" t="n">
        <v>5</v>
      </c>
      <c r="B8" s="75" t="n"/>
      <c r="C8" s="75" t="n"/>
      <c r="D8" s="51" t="n"/>
      <c r="E8" s="51" t="n"/>
      <c r="F8" s="51" t="n"/>
      <c r="G8" s="56" t="n"/>
      <c r="H8" s="51" t="n"/>
      <c r="I8" s="51" t="n"/>
      <c r="J8" s="51" t="n"/>
      <c r="K8" s="51" t="n"/>
      <c r="L8" s="51" t="n"/>
      <c r="M8" s="51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5" t="n"/>
      <c r="Q8" s="75" t="n"/>
      <c r="R8" s="51" t="n"/>
    </row>
    <row r="9" ht="26" customHeight="1">
      <c r="A9" s="20" t="n">
        <v>6</v>
      </c>
      <c r="B9" s="75" t="n"/>
      <c r="C9" s="75" t="n"/>
      <c r="D9" s="51" t="n"/>
      <c r="E9" s="51" t="n"/>
      <c r="F9" s="51" t="n"/>
      <c r="G9" s="56" t="n"/>
      <c r="H9" s="51" t="n"/>
      <c r="I9" s="51" t="n"/>
      <c r="J9" s="51" t="n"/>
      <c r="K9" s="51" t="n"/>
      <c r="L9" s="51" t="n"/>
      <c r="M9" s="51" t="n"/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5" t="n"/>
      <c r="Q9" s="75" t="n"/>
      <c r="R9" s="51" t="n"/>
    </row>
    <row r="10" ht="26" customHeight="1">
      <c r="A10" s="20" t="n">
        <v>7</v>
      </c>
      <c r="B10" s="75" t="n"/>
      <c r="C10" s="75" t="n"/>
      <c r="D10" s="51" t="n"/>
      <c r="E10" s="51" t="n"/>
      <c r="F10" s="51" t="n"/>
      <c r="G10" s="56" t="n"/>
      <c r="H10" s="51" t="n"/>
      <c r="I10" s="51" t="n"/>
      <c r="J10" s="51" t="n"/>
      <c r="K10" s="51" t="n"/>
      <c r="L10" s="51" t="n"/>
      <c r="M10" s="51" t="n"/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5" t="n"/>
      <c r="Q10" s="75" t="n"/>
      <c r="R10" s="51" t="n"/>
    </row>
    <row r="11" ht="26" customHeight="1">
      <c r="A11" s="20" t="n">
        <v>8</v>
      </c>
      <c r="B11" s="75" t="n"/>
      <c r="C11" s="75" t="n"/>
      <c r="D11" s="51" t="n"/>
      <c r="E11" s="51" t="n"/>
      <c r="F11" s="51" t="n"/>
      <c r="G11" s="56" t="n"/>
      <c r="H11" s="51" t="n"/>
      <c r="I11" s="51" t="n"/>
      <c r="J11" s="51" t="n"/>
      <c r="K11" s="51" t="n"/>
      <c r="L11" s="51" t="n"/>
      <c r="M11" s="51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5" t="n"/>
      <c r="Q11" s="75" t="n"/>
      <c r="R11" s="51" t="n"/>
    </row>
    <row r="12" ht="26" customHeight="1">
      <c r="A12" s="20" t="n">
        <v>9</v>
      </c>
      <c r="B12" s="75" t="n"/>
      <c r="C12" s="75" t="n"/>
      <c r="D12" s="51" t="n"/>
      <c r="E12" s="51" t="n"/>
      <c r="F12" s="51" t="n"/>
      <c r="G12" s="56" t="n"/>
      <c r="H12" s="51" t="n"/>
      <c r="I12" s="51" t="n"/>
      <c r="J12" s="51" t="n"/>
      <c r="K12" s="51" t="n"/>
      <c r="L12" s="51" t="n"/>
      <c r="M12" s="51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5" t="n"/>
      <c r="Q12" s="75" t="n"/>
      <c r="R12" s="51" t="n"/>
    </row>
    <row r="13" ht="26" customHeight="1">
      <c r="A13" s="20" t="n">
        <v>10</v>
      </c>
      <c r="B13" s="75" t="n"/>
      <c r="C13" s="75" t="n"/>
      <c r="D13" s="51" t="n"/>
      <c r="E13" s="51" t="n"/>
      <c r="F13" s="51" t="n"/>
      <c r="G13" s="56" t="n"/>
      <c r="H13" s="51" t="n"/>
      <c r="I13" s="51" t="n"/>
      <c r="J13" s="51" t="n"/>
      <c r="K13" s="51" t="n"/>
      <c r="L13" s="51" t="n"/>
      <c r="M13" s="51" t="n"/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5" t="n"/>
      <c r="Q13" s="75" t="n"/>
      <c r="R13" s="51" t="n"/>
    </row>
    <row r="14" ht="26" customHeight="1">
      <c r="A14" s="20" t="n">
        <v>11</v>
      </c>
      <c r="B14" s="75" t="n"/>
      <c r="C14" s="75" t="n"/>
      <c r="D14" s="51" t="n"/>
      <c r="E14" s="51" t="n"/>
      <c r="F14" s="51" t="n"/>
      <c r="G14" s="56" t="n"/>
      <c r="H14" s="51" t="n"/>
      <c r="I14" s="51" t="n"/>
      <c r="J14" s="51" t="n"/>
      <c r="K14" s="51" t="n"/>
      <c r="L14" s="51" t="n"/>
      <c r="M14" s="51" t="n"/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5" t="n"/>
      <c r="Q14" s="75" t="n"/>
      <c r="R14" s="51" t="n"/>
    </row>
    <row r="15" ht="26" customHeight="1">
      <c r="A15" s="20" t="n">
        <v>12</v>
      </c>
      <c r="B15" s="75" t="n"/>
      <c r="C15" s="75" t="n"/>
      <c r="D15" s="51" t="n"/>
      <c r="E15" s="51" t="n"/>
      <c r="F15" s="51" t="n"/>
      <c r="G15" s="56" t="n"/>
      <c r="H15" s="51" t="n"/>
      <c r="I15" s="51" t="n"/>
      <c r="J15" s="51" t="n"/>
      <c r="K15" s="51" t="n"/>
      <c r="L15" s="51" t="n"/>
      <c r="M15" s="51" t="n"/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5" t="n"/>
      <c r="Q15" s="75" t="n"/>
      <c r="R15" s="51" t="n"/>
    </row>
    <row r="16" ht="26" customHeight="1">
      <c r="A16" s="20" t="n">
        <v>13</v>
      </c>
      <c r="B16" s="75" t="n"/>
      <c r="C16" s="75" t="n"/>
      <c r="D16" s="51" t="n"/>
      <c r="E16" s="51" t="n"/>
      <c r="F16" s="51" t="n"/>
      <c r="G16" s="56" t="n"/>
      <c r="H16" s="51" t="n"/>
      <c r="I16" s="51" t="n"/>
      <c r="J16" s="51" t="n"/>
      <c r="K16" s="51" t="n"/>
      <c r="L16" s="51" t="n"/>
      <c r="M16" s="5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5" t="n"/>
      <c r="Q16" s="75" t="n"/>
      <c r="R16" s="51" t="n"/>
    </row>
    <row r="17" ht="26" customHeight="1">
      <c r="A17" s="20" t="n">
        <v>14</v>
      </c>
      <c r="B17" s="75" t="n"/>
      <c r="C17" s="75" t="n"/>
      <c r="D17" s="51" t="n"/>
      <c r="E17" s="51" t="n"/>
      <c r="F17" s="51" t="n"/>
      <c r="G17" s="56" t="n"/>
      <c r="H17" s="51" t="n"/>
      <c r="I17" s="51" t="n"/>
      <c r="J17" s="51" t="n"/>
      <c r="K17" s="51" t="n"/>
      <c r="L17" s="51" t="n"/>
      <c r="M17" s="51" t="n"/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5" t="n"/>
      <c r="Q17" s="75" t="n"/>
      <c r="R17" s="51" t="n"/>
    </row>
    <row r="18" ht="26" customHeight="1">
      <c r="A18" s="20" t="n">
        <v>15</v>
      </c>
      <c r="B18" s="75" t="n"/>
      <c r="C18" s="75" t="n"/>
      <c r="D18" s="51" t="n"/>
      <c r="E18" s="51" t="n"/>
      <c r="F18" s="51" t="n"/>
      <c r="G18" s="56" t="n"/>
      <c r="H18" s="51" t="n"/>
      <c r="I18" s="51" t="n"/>
      <c r="J18" s="51" t="n"/>
      <c r="K18" s="51" t="n"/>
      <c r="L18" s="51" t="n"/>
      <c r="M18" s="51" t="n"/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5" t="n"/>
      <c r="Q18" s="75" t="n"/>
      <c r="R18" s="51" t="n"/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5" t="n">
        <v>0.38</v>
      </c>
      <c r="H4" s="55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6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القضايا</t>
        </is>
      </c>
      <c r="C5" s="21" t="inlineStr">
        <is>
          <t>نسبة القضايا المُغلقة لصالح الشركة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5" t="n">
        <v>0.25</v>
      </c>
      <c r="H5" s="55" t="n">
        <v>0.8</v>
      </c>
      <c r="I5" s="22" t="inlineStr">
        <is>
          <t>≥ 80%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6" t="n">
        <v>0.664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«القضايا المُغلقة لصالح الشركة» ÷ الإجمالي المستهدف لنفس البند × 100٪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الاستشارات القانونية</t>
        </is>
      </c>
      <c r="C6" s="21" t="inlineStr">
        <is>
          <t>مستوى رضا الإدارات عن الدعم القانوني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5" t="n">
        <v>0.37</v>
      </c>
      <c r="H6" s="55" t="n">
        <v>0.85</v>
      </c>
      <c r="I6" s="22" t="inlineStr">
        <is>
          <t>≥ 85%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العملاء</t>
        </is>
      </c>
      <c r="M6" s="56" t="n">
        <v>0.674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«مستوى رضا الإدارات عن الدعم القانوني» ÷ المستهدف × 100٪</t>
        </is>
      </c>
      <c r="Q6" s="74" t="inlineStr">
        <is>
          <t>استبيان دوري</t>
        </is>
      </c>
      <c r="R6" s="15" t="inlineStr">
        <is>
          <t>ربعي</t>
        </is>
      </c>
    </row>
  </sheetData>
  <autoFilter ref="A3:R6"/>
  <mergeCells count="2">
    <mergeCell ref="A2:R2"/>
    <mergeCell ref="A1:R1"/>
  </mergeCells>
  <dataValidations count="1">
    <dataValidation sqref="M4 M5 M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5" t="n">
        <v>0.22</v>
      </c>
      <c r="H4" s="55" t="n">
        <v>0.2</v>
      </c>
      <c r="I4" s="22" t="inlineStr">
        <is>
          <t>≥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56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نسبة التدفق النقدي التشغيلي</t>
        </is>
      </c>
      <c r="D5" s="49" t="inlineStr">
        <is>
          <t>نسبة</t>
        </is>
      </c>
      <c r="E5" s="49" t="inlineStr">
        <is>
          <t>↑</t>
        </is>
      </c>
      <c r="F5" s="15" t="inlineStr">
        <is>
          <t>🟠 مهم</t>
        </is>
      </c>
      <c r="G5" s="55" t="n">
        <v>0.14</v>
      </c>
      <c r="H5" s="65" t="n">
        <v>1</v>
      </c>
      <c r="I5" s="22" t="inlineStr">
        <is>
          <t>&gt; 1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6" t="n">
        <v>0.902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«التدفق النقدي التشغيلي» ÷ الإجمالي المستهدف لنفس البند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الذمم المدينة</t>
        </is>
      </c>
      <c r="C6" s="21" t="inlineStr">
        <is>
          <t>نسبة التحصيل العام (الشركة)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5" t="n">
        <v>0.22</v>
      </c>
      <c r="H6" s="55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مالي</t>
        </is>
      </c>
      <c r="M6" s="56" t="n">
        <v>0.699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«التحصيل العام»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الخزينة</t>
        </is>
      </c>
      <c r="C7" s="21" t="inlineStr">
        <is>
          <t>دقة التنبؤ النقدي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5" t="n">
        <v>0.14</v>
      </c>
      <c r="H7" s="55" t="n">
        <v>0.9</v>
      </c>
      <c r="I7" s="22" t="inlineStr">
        <is>
          <t>±10%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6" t="n">
        <v>0.9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«دقة التنبؤ النقدي» ÷ المستهدف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صناعة الوقود</t>
        </is>
      </c>
      <c r="C8" s="21" t="inlineStr">
        <is>
          <t>دقة تسوية أرامكو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5" t="n">
        <v>0.14</v>
      </c>
      <c r="H8" s="55" t="n">
        <v>1</v>
      </c>
      <c r="I8" s="22" t="inlineStr">
        <is>
          <t>100%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6" t="n">
        <v>0.76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4" t="inlineStr">
        <is>
          <t>القيمة المتحقّقة من «دقة تسوية أرامكو» ÷ المستهدف × 100٪</t>
        </is>
      </c>
      <c r="Q8" s="74" t="inlineStr">
        <is>
          <t>نظام تشغيل المحطات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الموازنة والتقارير</t>
        </is>
      </c>
      <c r="C9" s="21" t="inlineStr">
        <is>
          <t>انحراف الموازنة</t>
        </is>
      </c>
      <c r="D9" s="49" t="inlineStr">
        <is>
          <t>%</t>
        </is>
      </c>
      <c r="E9" s="49" t="inlineStr">
        <is>
          <t>↓</t>
        </is>
      </c>
      <c r="F9" s="15" t="inlineStr">
        <is>
          <t>🟠 مهم</t>
        </is>
      </c>
      <c r="G9" s="55" t="n">
        <v>0.14</v>
      </c>
      <c r="H9" s="55" t="n">
        <v>0.1</v>
      </c>
      <c r="I9" s="22" t="inlineStr">
        <is>
          <t>≤ ±10%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6" t="n">
        <v>0.101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القيمة المتحقّقة من «انحراف الموازنة» ÷ المستهدف × 100٪</t>
        </is>
      </c>
      <c r="Q9" s="74" t="inlineStr">
        <is>
          <t>نظام المحاسبة / ERP (D365)</t>
        </is>
      </c>
      <c r="R9" s="15" t="inlineStr">
        <is>
          <t>ربعي</t>
        </is>
      </c>
    </row>
  </sheetData>
  <autoFilter ref="A3:R9"/>
  <mergeCells count="2">
    <mergeCell ref="A2:R2"/>
    <mergeCell ref="A1:R1"/>
  </mergeCells>
  <dataValidations count="1">
    <dataValidation sqref="M4 M5 M6 M7 M8 M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6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6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6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6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6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6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6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6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6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6" t="inlineStr">
        <is>
          <t>نسبة إنجاز محفظة مشاريع التحول الرقمي</t>
        </is>
      </c>
    </row>
    <row r="14">
      <c r="A14" s="77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8" t="n"/>
      <c r="D15" s="78" t="n"/>
      <c r="E15" s="78" t="n"/>
      <c r="F15" s="78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8" t="n"/>
      <c r="D16" s="78" t="n"/>
      <c r="E16" s="78" t="n"/>
      <c r="F16" s="78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8" t="n"/>
      <c r="D17" s="78" t="n"/>
      <c r="E17" s="78" t="n"/>
      <c r="F17" s="78" t="n"/>
      <c r="G17" s="10">
        <f>IFERROR(F17/D17,0)</f>
        <v/>
      </c>
      <c r="H17" s="30" t="n"/>
    </row>
    <row r="18">
      <c r="A18" s="77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8" t="n"/>
      <c r="D19" s="78" t="n"/>
      <c r="E19" s="78" t="n"/>
      <c r="F19" s="78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8" t="n"/>
      <c r="D20" s="78" t="n"/>
      <c r="E20" s="78" t="n"/>
      <c r="F20" s="78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8" t="n"/>
      <c r="D21" s="78" t="n"/>
      <c r="E21" s="78" t="n"/>
      <c r="F21" s="78" t="n"/>
      <c r="G21" s="10">
        <f>IFERROR(F21/D21,0)</f>
        <v/>
      </c>
      <c r="H21" s="30" t="n"/>
    </row>
    <row r="22">
      <c r="A22" s="77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8" t="n"/>
      <c r="D23" s="78" t="n"/>
      <c r="E23" s="78" t="n"/>
      <c r="F23" s="78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8" t="n"/>
      <c r="D24" s="78" t="n"/>
      <c r="E24" s="78" t="n"/>
      <c r="F24" s="78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8" t="n"/>
      <c r="D25" s="78" t="n"/>
      <c r="E25" s="78" t="n"/>
      <c r="F25" s="78" t="n"/>
      <c r="G25" s="10">
        <f>IFERROR(F25/D25,0)</f>
        <v/>
      </c>
      <c r="H25" s="30" t="n"/>
    </row>
    <row r="26">
      <c r="A26" s="77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8" t="n"/>
      <c r="D27" s="78" t="n"/>
      <c r="E27" s="78" t="n"/>
      <c r="F27" s="78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8" t="n"/>
      <c r="D28" s="78" t="n"/>
      <c r="E28" s="78" t="n"/>
      <c r="F28" s="78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8" t="n"/>
      <c r="D29" s="78" t="n"/>
      <c r="E29" s="78" t="n"/>
      <c r="F29" s="78" t="n"/>
      <c r="G29" s="10">
        <f>IFERROR(F29/D29,0)</f>
        <v/>
      </c>
      <c r="H29" s="30" t="n"/>
    </row>
    <row r="30">
      <c r="A30" s="77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8" t="n"/>
      <c r="D31" s="78" t="n"/>
      <c r="E31" s="78" t="n"/>
      <c r="F31" s="78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8" t="n"/>
      <c r="D32" s="78" t="n"/>
      <c r="E32" s="78" t="n"/>
      <c r="F32" s="78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8" t="n"/>
      <c r="D33" s="78" t="n"/>
      <c r="E33" s="78" t="n"/>
      <c r="F33" s="78" t="n"/>
      <c r="G33" s="10">
        <f>IFERROR(F33/D33,0)</f>
        <v/>
      </c>
      <c r="H33" s="30" t="n"/>
    </row>
    <row r="34">
      <c r="A34" s="77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8" t="n"/>
      <c r="D35" s="78" t="n"/>
      <c r="E35" s="78" t="n"/>
      <c r="F35" s="78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8" t="n"/>
      <c r="D36" s="78" t="n"/>
      <c r="E36" s="78" t="n"/>
      <c r="F36" s="78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8" t="n"/>
      <c r="D37" s="78" t="n"/>
      <c r="E37" s="78" t="n"/>
      <c r="F37" s="78" t="n"/>
      <c r="G37" s="10">
        <f>IFERROR(F37/D37,0)</f>
        <v/>
      </c>
      <c r="H37" s="30" t="n"/>
    </row>
    <row r="38">
      <c r="A38" s="77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8" t="n"/>
      <c r="D39" s="78" t="n"/>
      <c r="E39" s="78" t="n"/>
      <c r="F39" s="78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8" t="n"/>
      <c r="D40" s="78" t="n"/>
      <c r="E40" s="78" t="n"/>
      <c r="F40" s="78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8" t="n"/>
      <c r="D41" s="78" t="n"/>
      <c r="E41" s="78" t="n"/>
      <c r="F41" s="78" t="n"/>
      <c r="G41" s="10">
        <f>IFERROR(F41/D41,0)</f>
        <v/>
      </c>
      <c r="H41" s="30" t="n"/>
    </row>
    <row r="42">
      <c r="A42" s="77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8" t="n"/>
      <c r="D43" s="78" t="n"/>
      <c r="E43" s="78" t="n"/>
      <c r="F43" s="78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8" t="n"/>
      <c r="D44" s="78" t="n"/>
      <c r="E44" s="78" t="n"/>
      <c r="F44" s="78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8" t="n"/>
      <c r="D45" s="78" t="n"/>
      <c r="E45" s="78" t="n"/>
      <c r="F45" s="78" t="n"/>
      <c r="G45" s="10">
        <f>IFERROR(F45/D45,0)</f>
        <v/>
      </c>
      <c r="H45" s="30" t="n"/>
    </row>
    <row r="46">
      <c r="A46" s="77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8" t="n"/>
      <c r="D47" s="78" t="n"/>
      <c r="E47" s="78" t="n"/>
      <c r="F47" s="78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8" t="n"/>
      <c r="D48" s="78" t="n"/>
      <c r="E48" s="78" t="n"/>
      <c r="F48" s="78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8" t="n"/>
      <c r="D49" s="78" t="n"/>
      <c r="E49" s="78" t="n"/>
      <c r="F49" s="78" t="n"/>
      <c r="G49" s="10">
        <f>IFERROR(F49/D49,0)</f>
        <v/>
      </c>
      <c r="H49" s="30" t="n"/>
    </row>
    <row r="50">
      <c r="A50" s="77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8" t="n"/>
      <c r="D51" s="78" t="n"/>
      <c r="E51" s="78" t="n"/>
      <c r="F51" s="78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8" t="n"/>
      <c r="D52" s="78" t="n"/>
      <c r="E52" s="78" t="n"/>
      <c r="F52" s="78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8" t="n"/>
      <c r="D53" s="78" t="n"/>
      <c r="E53" s="78" t="n"/>
      <c r="F53" s="78" t="n"/>
      <c r="G53" s="10">
        <f>IFERROR(F53/D53,0)</f>
        <v/>
      </c>
      <c r="H53" s="30" t="n"/>
    </row>
    <row r="54">
      <c r="A54" s="77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8" t="n"/>
      <c r="D55" s="78" t="n"/>
      <c r="E55" s="78" t="n"/>
      <c r="F55" s="78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8" t="n"/>
      <c r="D56" s="78" t="n"/>
      <c r="E56" s="78" t="n"/>
      <c r="F56" s="78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8" t="n"/>
      <c r="D57" s="78" t="n"/>
      <c r="E57" s="78" t="n"/>
      <c r="F57" s="78" t="n"/>
      <c r="G57" s="10">
        <f>IFERROR(F57/D57,0)</f>
        <v/>
      </c>
      <c r="H57" s="30" t="n"/>
    </row>
    <row r="58">
      <c r="A58" s="77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8" t="n"/>
      <c r="D59" s="78" t="n"/>
      <c r="E59" s="78" t="n"/>
      <c r="F59" s="78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8" t="n"/>
      <c r="D60" s="78" t="n"/>
      <c r="E60" s="78" t="n"/>
      <c r="F60" s="78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8" t="n"/>
      <c r="D61" s="78" t="n"/>
      <c r="E61" s="78" t="n"/>
      <c r="F61" s="78" t="n"/>
      <c r="G61" s="10">
        <f>IFERROR(F61/D61,0)</f>
        <v/>
      </c>
      <c r="H61" s="30" t="n"/>
    </row>
    <row r="62">
      <c r="A62" s="77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8" t="n"/>
      <c r="D63" s="78" t="n"/>
      <c r="E63" s="78" t="n"/>
      <c r="F63" s="78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8" t="n"/>
      <c r="D64" s="78" t="n"/>
      <c r="E64" s="78" t="n"/>
      <c r="F64" s="78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8" t="n"/>
      <c r="D65" s="78" t="n"/>
      <c r="E65" s="78" t="n"/>
      <c r="F65" s="78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الامتياز التجاري</t>
        </is>
      </c>
      <c r="C5" s="13">
        <f>'الامتياز التجاري'!C4</f>
        <v/>
      </c>
      <c r="D5" s="15">
        <f>'الامتياز التجاري'!J4</f>
        <v/>
      </c>
      <c r="E5" s="13">
        <f>'الامتياز التجاري'!K4</f>
        <v/>
      </c>
      <c r="F5" s="15">
        <f>'الامتياز التجاري'!L4</f>
        <v/>
      </c>
      <c r="G5" s="50">
        <f>'الامتياز التجاري'!N4</f>
        <v/>
      </c>
      <c r="H5" s="15">
        <f>'الامتياز التجاري'!O4</f>
        <v/>
      </c>
      <c r="I5" s="24">
        <f>'الامتياز التجاري'!G4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الامتياز التجاري</t>
        </is>
      </c>
      <c r="C6" s="13">
        <f>'الامتياز التجاري'!C5</f>
        <v/>
      </c>
      <c r="D6" s="15">
        <f>'الامتياز التجاري'!J5</f>
        <v/>
      </c>
      <c r="E6" s="13">
        <f>'الامتياز التجاري'!K5</f>
        <v/>
      </c>
      <c r="F6" s="15">
        <f>'الامتياز التجاري'!L5</f>
        <v/>
      </c>
      <c r="G6" s="50">
        <f>'الامتياز التجاري'!N5</f>
        <v/>
      </c>
      <c r="H6" s="15">
        <f>'الامتياز التجاري'!O5</f>
        <v/>
      </c>
      <c r="I6" s="24">
        <f>'الامتياز التجاري'!G5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الامتياز التجاري</t>
        </is>
      </c>
      <c r="C7" s="13">
        <f>'الامتياز التجاري'!C6</f>
        <v/>
      </c>
      <c r="D7" s="15">
        <f>'الامتياز التجاري'!J6</f>
        <v/>
      </c>
      <c r="E7" s="13">
        <f>'الامتياز التجاري'!K6</f>
        <v/>
      </c>
      <c r="F7" s="15">
        <f>'الامتياز التجاري'!L6</f>
        <v/>
      </c>
      <c r="G7" s="50">
        <f>'الامتياز التجاري'!N6</f>
        <v/>
      </c>
      <c r="H7" s="15">
        <f>'الامتياز التجاري'!O6</f>
        <v/>
      </c>
      <c r="I7" s="24">
        <f>'الامتياز التجاري'!G6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الامتياز التجاري</t>
        </is>
      </c>
      <c r="C8" s="13">
        <f>'الامتياز التجاري'!C7</f>
        <v/>
      </c>
      <c r="D8" s="15">
        <f>'الامتياز التجاري'!J7</f>
        <v/>
      </c>
      <c r="E8" s="13">
        <f>'الامتياز التجاري'!K7</f>
        <v/>
      </c>
      <c r="F8" s="15">
        <f>'الامتياز التجاري'!L7</f>
        <v/>
      </c>
      <c r="G8" s="50">
        <f>'الامتياز التجاري'!N7</f>
        <v/>
      </c>
      <c r="H8" s="15">
        <f>'الامتياز التجاري'!O7</f>
        <v/>
      </c>
      <c r="I8" s="24">
        <f>'الامتياز التجاري'!G7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الامتياز التجاري</t>
        </is>
      </c>
      <c r="C9" s="13">
        <f>'الامتياز التجاري'!C8</f>
        <v/>
      </c>
      <c r="D9" s="15">
        <f>'الامتياز التجاري'!J8</f>
        <v/>
      </c>
      <c r="E9" s="13">
        <f>'الامتياز التجاري'!K8</f>
        <v/>
      </c>
      <c r="F9" s="15">
        <f>'الامتياز التجاري'!L8</f>
        <v/>
      </c>
      <c r="G9" s="50">
        <f>'الامتياز التجاري'!N8</f>
        <v/>
      </c>
      <c r="H9" s="15">
        <f>'الامتياز التجاري'!O8</f>
        <v/>
      </c>
      <c r="I9" s="24">
        <f>'الامتياز التجاري'!G8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الامتياز التجاري</t>
        </is>
      </c>
      <c r="C10" s="13">
        <f>'الامتياز التجاري'!C9</f>
        <v/>
      </c>
      <c r="D10" s="15">
        <f>'الامتياز التجاري'!J9</f>
        <v/>
      </c>
      <c r="E10" s="13">
        <f>'الامتياز التجاري'!K9</f>
        <v/>
      </c>
      <c r="F10" s="15">
        <f>'الامتياز التجاري'!L9</f>
        <v/>
      </c>
      <c r="G10" s="50">
        <f>'الامتياز التجاري'!N9</f>
        <v/>
      </c>
      <c r="H10" s="15">
        <f>'الامتياز التجاري'!O9</f>
        <v/>
      </c>
      <c r="I10" s="24">
        <f>'الامتياز التجاري'!G9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الامتياز التجاري</t>
        </is>
      </c>
      <c r="C11" s="13">
        <f>'الامتياز التجاري'!C10</f>
        <v/>
      </c>
      <c r="D11" s="15">
        <f>'الامتياز التجاري'!J10</f>
        <v/>
      </c>
      <c r="E11" s="13">
        <f>'الامتياز التجاري'!K10</f>
        <v/>
      </c>
      <c r="F11" s="15">
        <f>'الامتياز التجاري'!L10</f>
        <v/>
      </c>
      <c r="G11" s="50">
        <f>'الامتياز التجاري'!N10</f>
        <v/>
      </c>
      <c r="H11" s="15">
        <f>'الامتياز التجاري'!O10</f>
        <v/>
      </c>
      <c r="I11" s="24">
        <f>'الامتياز التجاري'!G10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التجاري'!C11</f>
        <v/>
      </c>
      <c r="D12" s="15">
        <f>'الامتياز التجاري'!J11</f>
        <v/>
      </c>
      <c r="E12" s="13">
        <f>'الامتياز التجاري'!K11</f>
        <v/>
      </c>
      <c r="F12" s="15">
        <f>'الامتياز التجاري'!L11</f>
        <v/>
      </c>
      <c r="G12" s="50">
        <f>'الامتياز التجاري'!N11</f>
        <v/>
      </c>
      <c r="H12" s="15">
        <f>'الامتياز التجاري'!O11</f>
        <v/>
      </c>
      <c r="I12" s="24">
        <f>'الامتياز التجاري'!G11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التجاري'!C12</f>
        <v/>
      </c>
      <c r="D13" s="15">
        <f>'الامتياز التجاري'!J12</f>
        <v/>
      </c>
      <c r="E13" s="13">
        <f>'الامتياز التجاري'!K12</f>
        <v/>
      </c>
      <c r="F13" s="15">
        <f>'الامتياز التجاري'!L12</f>
        <v/>
      </c>
      <c r="G13" s="50">
        <f>'الامتياز التجاري'!N12</f>
        <v/>
      </c>
      <c r="H13" s="15">
        <f>'الامتياز التجاري'!O12</f>
        <v/>
      </c>
      <c r="I13" s="24">
        <f>'الامتياز التجاري'!G12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التجاري'!C13</f>
        <v/>
      </c>
      <c r="D14" s="15">
        <f>'الامتياز التجاري'!J13</f>
        <v/>
      </c>
      <c r="E14" s="13">
        <f>'الامتياز التجاري'!K13</f>
        <v/>
      </c>
      <c r="F14" s="15">
        <f>'الامتياز التجاري'!L13</f>
        <v/>
      </c>
      <c r="G14" s="50">
        <f>'الامتياز التجاري'!N13</f>
        <v/>
      </c>
      <c r="H14" s="15">
        <f>'الامتياز التجاري'!O13</f>
        <v/>
      </c>
      <c r="I14" s="24">
        <f>'الامتياز التجاري'!G13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التجاري'!C14</f>
        <v/>
      </c>
      <c r="D15" s="15">
        <f>'الامتياز التجاري'!J14</f>
        <v/>
      </c>
      <c r="E15" s="13">
        <f>'الامتياز التجاري'!K14</f>
        <v/>
      </c>
      <c r="F15" s="15">
        <f>'الامتياز التجاري'!L14</f>
        <v/>
      </c>
      <c r="G15" s="50">
        <f>'الامتياز التجاري'!N14</f>
        <v/>
      </c>
      <c r="H15" s="15">
        <f>'الامتياز التجاري'!O14</f>
        <v/>
      </c>
      <c r="I15" s="24">
        <f>'الامتياز التجاري'!G14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التجاري'!C15</f>
        <v/>
      </c>
      <c r="D16" s="15">
        <f>'الامتياز التجاري'!J15</f>
        <v/>
      </c>
      <c r="E16" s="13">
        <f>'الامتياز التجاري'!K15</f>
        <v/>
      </c>
      <c r="F16" s="15">
        <f>'الامتياز التجاري'!L15</f>
        <v/>
      </c>
      <c r="G16" s="50">
        <f>'الامتياز التجاري'!N15</f>
        <v/>
      </c>
      <c r="H16" s="15">
        <f>'الامتياز التجاري'!O15</f>
        <v/>
      </c>
      <c r="I16" s="24">
        <f>'الامتياز التجاري'!G15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التجاري'!C16</f>
        <v/>
      </c>
      <c r="D17" s="15">
        <f>'الامتياز التجاري'!J16</f>
        <v/>
      </c>
      <c r="E17" s="13">
        <f>'الامتياز التجاري'!K16</f>
        <v/>
      </c>
      <c r="F17" s="15">
        <f>'الامتياز التجاري'!L16</f>
        <v/>
      </c>
      <c r="G17" s="50">
        <f>'الامتياز التجاري'!N16</f>
        <v/>
      </c>
      <c r="H17" s="15">
        <f>'الامتياز التجاري'!O16</f>
        <v/>
      </c>
      <c r="I17" s="24">
        <f>'الامتياز التجاري'!G16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التجاري'!C17</f>
        <v/>
      </c>
      <c r="D18" s="15">
        <f>'الامتياز التجاري'!J17</f>
        <v/>
      </c>
      <c r="E18" s="13">
        <f>'الامتياز التجاري'!K17</f>
        <v/>
      </c>
      <c r="F18" s="15">
        <f>'الامتياز التجاري'!L17</f>
        <v/>
      </c>
      <c r="G18" s="50">
        <f>'الامتياز التجاري'!N17</f>
        <v/>
      </c>
      <c r="H18" s="15">
        <f>'الامتياز التجاري'!O17</f>
        <v/>
      </c>
      <c r="I18" s="24">
        <f>'الامتياز التجاري'!G17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التجاري'!C18</f>
        <v/>
      </c>
      <c r="D19" s="15">
        <f>'الامتياز التجاري'!J18</f>
        <v/>
      </c>
      <c r="E19" s="13">
        <f>'الامتياز التجاري'!K18</f>
        <v/>
      </c>
      <c r="F19" s="15">
        <f>'الامتياز التجاري'!L18</f>
        <v/>
      </c>
      <c r="G19" s="50">
        <f>'الامتياز التجاري'!N18</f>
        <v/>
      </c>
      <c r="H19" s="15">
        <f>'الامتياز التجاري'!O18</f>
        <v/>
      </c>
      <c r="I19" s="24">
        <f>'الامتياز التجاري'!G18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التجاري'!C19</f>
        <v/>
      </c>
      <c r="D20" s="15">
        <f>'الامتياز التجاري'!J19</f>
        <v/>
      </c>
      <c r="E20" s="13">
        <f>'الامتياز التجاري'!K19</f>
        <v/>
      </c>
      <c r="F20" s="15">
        <f>'الامتياز التجاري'!L19</f>
        <v/>
      </c>
      <c r="G20" s="50">
        <f>'الامتياز التجاري'!N19</f>
        <v/>
      </c>
      <c r="H20" s="15">
        <f>'الامتياز التجاري'!O19</f>
        <v/>
      </c>
      <c r="I20" s="24">
        <f>'الامتياز التجاري'!G19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التجاري'!C20</f>
        <v/>
      </c>
      <c r="D21" s="15">
        <f>'الامتياز التجاري'!J20</f>
        <v/>
      </c>
      <c r="E21" s="13">
        <f>'الامتياز التجاري'!K20</f>
        <v/>
      </c>
      <c r="F21" s="15">
        <f>'الامتياز التجاري'!L20</f>
        <v/>
      </c>
      <c r="G21" s="50">
        <f>'الامتياز التجاري'!N20</f>
        <v/>
      </c>
      <c r="H21" s="15">
        <f>'الامتياز التجاري'!O20</f>
        <v/>
      </c>
      <c r="I21" s="24">
        <f>'الامتياز التجاري'!G20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التجاري'!C21</f>
        <v/>
      </c>
      <c r="D22" s="15">
        <f>'الامتياز التجاري'!J21</f>
        <v/>
      </c>
      <c r="E22" s="13">
        <f>'الامتياز التجاري'!K21</f>
        <v/>
      </c>
      <c r="F22" s="15">
        <f>'الامتياز التجاري'!L21</f>
        <v/>
      </c>
      <c r="G22" s="50">
        <f>'الامتياز التجاري'!N21</f>
        <v/>
      </c>
      <c r="H22" s="15">
        <f>'الامتياز التجاري'!O21</f>
        <v/>
      </c>
      <c r="I22" s="24">
        <f>'الامتياز التجاري'!G21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التجاري'!C22</f>
        <v/>
      </c>
      <c r="D23" s="15">
        <f>'الامتياز التجاري'!J22</f>
        <v/>
      </c>
      <c r="E23" s="13">
        <f>'الامتياز التجاري'!K22</f>
        <v/>
      </c>
      <c r="F23" s="15">
        <f>'الامتياز التجاري'!L22</f>
        <v/>
      </c>
      <c r="G23" s="50">
        <f>'الامتياز التجاري'!N22</f>
        <v/>
      </c>
      <c r="H23" s="15">
        <f>'الامتياز التجاري'!O22</f>
        <v/>
      </c>
      <c r="I23" s="24">
        <f>'الامتياز التجاري'!G22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التجاري'!C23</f>
        <v/>
      </c>
      <c r="D24" s="15">
        <f>'الامتياز التجاري'!J23</f>
        <v/>
      </c>
      <c r="E24" s="13">
        <f>'الامتياز التجاري'!K23</f>
        <v/>
      </c>
      <c r="F24" s="15">
        <f>'الامتياز التجاري'!L23</f>
        <v/>
      </c>
      <c r="G24" s="50">
        <f>'الامتياز التجاري'!N23</f>
        <v/>
      </c>
      <c r="H24" s="15">
        <f>'الامتياز التجاري'!O23</f>
        <v/>
      </c>
      <c r="I24" s="24">
        <f>'الامتياز التجاري'!G23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التجاري'!C24</f>
        <v/>
      </c>
      <c r="D25" s="15">
        <f>'الامتياز التجاري'!J24</f>
        <v/>
      </c>
      <c r="E25" s="13">
        <f>'الامتياز التجاري'!K24</f>
        <v/>
      </c>
      <c r="F25" s="15">
        <f>'الامتياز التجاري'!L24</f>
        <v/>
      </c>
      <c r="G25" s="50">
        <f>'الامتياز التجاري'!N24</f>
        <v/>
      </c>
      <c r="H25" s="15">
        <f>'الامتياز التجاري'!O24</f>
        <v/>
      </c>
      <c r="I25" s="24">
        <f>'الامتياز التجاري'!G24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التجاري'!C25</f>
        <v/>
      </c>
      <c r="D26" s="15">
        <f>'الامتياز التجاري'!J25</f>
        <v/>
      </c>
      <c r="E26" s="13">
        <f>'الامتياز التجاري'!K25</f>
        <v/>
      </c>
      <c r="F26" s="15">
        <f>'الامتياز التجاري'!L25</f>
        <v/>
      </c>
      <c r="G26" s="50">
        <f>'الامتياز التجاري'!N25</f>
        <v/>
      </c>
      <c r="H26" s="15">
        <f>'الامتياز التجاري'!O25</f>
        <v/>
      </c>
      <c r="I26" s="24">
        <f>'الامتياز التجاري'!G25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التجاري'!C26</f>
        <v/>
      </c>
      <c r="D27" s="15">
        <f>'الامتياز التجاري'!J26</f>
        <v/>
      </c>
      <c r="E27" s="13">
        <f>'الامتياز التجاري'!K26</f>
        <v/>
      </c>
      <c r="F27" s="15">
        <f>'الامتياز التجاري'!L26</f>
        <v/>
      </c>
      <c r="G27" s="50">
        <f>'الامتياز التجاري'!N26</f>
        <v/>
      </c>
      <c r="H27" s="15">
        <f>'الامتياز التجاري'!O26</f>
        <v/>
      </c>
      <c r="I27" s="24">
        <f>'الامتياز التجاري'!G26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التجاري'!C27</f>
        <v/>
      </c>
      <c r="D28" s="15">
        <f>'الامتياز التجاري'!J27</f>
        <v/>
      </c>
      <c r="E28" s="13">
        <f>'الامتياز التجاري'!K27</f>
        <v/>
      </c>
      <c r="F28" s="15">
        <f>'الامتياز التجاري'!L27</f>
        <v/>
      </c>
      <c r="G28" s="50">
        <f>'الامتياز التجاري'!N27</f>
        <v/>
      </c>
      <c r="H28" s="15">
        <f>'الامتياز التجاري'!O27</f>
        <v/>
      </c>
      <c r="I28" s="24">
        <f>'الامتياز التجاري'!G27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التجاري'!C28</f>
        <v/>
      </c>
      <c r="D29" s="15">
        <f>'الامتياز التجاري'!J28</f>
        <v/>
      </c>
      <c r="E29" s="13">
        <f>'الامتياز التجاري'!K28</f>
        <v/>
      </c>
      <c r="F29" s="15">
        <f>'الامتياز التجاري'!L28</f>
        <v/>
      </c>
      <c r="G29" s="50">
        <f>'الامتياز التجاري'!N28</f>
        <v/>
      </c>
      <c r="H29" s="15">
        <f>'الامتياز التجاري'!O28</f>
        <v/>
      </c>
      <c r="I29" s="24">
        <f>'الامتياز التجاري'!G28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التجاري'!C29</f>
        <v/>
      </c>
      <c r="D30" s="15">
        <f>'الامتياز التجاري'!J29</f>
        <v/>
      </c>
      <c r="E30" s="13">
        <f>'الامتياز التجاري'!K29</f>
        <v/>
      </c>
      <c r="F30" s="15">
        <f>'الامتياز التجاري'!L29</f>
        <v/>
      </c>
      <c r="G30" s="50">
        <f>'الامتياز التجاري'!N29</f>
        <v/>
      </c>
      <c r="H30" s="15">
        <f>'الامتياز التجاري'!O29</f>
        <v/>
      </c>
      <c r="I30" s="24">
        <f>'الامتياز التجاري'!G29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التجاري'!C30</f>
        <v/>
      </c>
      <c r="D31" s="15">
        <f>'الامتياز التجاري'!J30</f>
        <v/>
      </c>
      <c r="E31" s="13">
        <f>'الامتياز التجاري'!K30</f>
        <v/>
      </c>
      <c r="F31" s="15">
        <f>'الامتياز التجاري'!L30</f>
        <v/>
      </c>
      <c r="G31" s="50">
        <f>'الامتياز التجاري'!N30</f>
        <v/>
      </c>
      <c r="H31" s="15">
        <f>'الامتياز التجاري'!O30</f>
        <v/>
      </c>
      <c r="I31" s="24">
        <f>'الامتياز التجاري'!G30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التجاري'!C31</f>
        <v/>
      </c>
      <c r="D32" s="15">
        <f>'الامتياز التجاري'!J31</f>
        <v/>
      </c>
      <c r="E32" s="13">
        <f>'الامتياز التجاري'!K31</f>
        <v/>
      </c>
      <c r="F32" s="15">
        <f>'الامتياز التجاري'!L31</f>
        <v/>
      </c>
      <c r="G32" s="50">
        <f>'الامتياز التجاري'!N31</f>
        <v/>
      </c>
      <c r="H32" s="15">
        <f>'الامتياز التجاري'!O31</f>
        <v/>
      </c>
      <c r="I32" s="24">
        <f>'الامتياز التجاري'!G31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التجاري'!C32</f>
        <v/>
      </c>
      <c r="D33" s="15">
        <f>'الامتياز التجاري'!J32</f>
        <v/>
      </c>
      <c r="E33" s="13">
        <f>'الامتياز التجاري'!K32</f>
        <v/>
      </c>
      <c r="F33" s="15">
        <f>'الامتياز التجاري'!L32</f>
        <v/>
      </c>
      <c r="G33" s="50">
        <f>'الامتياز التجاري'!N32</f>
        <v/>
      </c>
      <c r="H33" s="15">
        <f>'الامتياز التجاري'!O32</f>
        <v/>
      </c>
      <c r="I33" s="24">
        <f>'الامتياز التجاري'!G32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التشغيل والمحطات</t>
        </is>
      </c>
      <c r="C34" s="13">
        <f>'التشغيل والمحطات'!C4</f>
        <v/>
      </c>
      <c r="D34" s="15">
        <f>'التشغيل والمحطات'!J4</f>
        <v/>
      </c>
      <c r="E34" s="13">
        <f>'التشغيل والمحطات'!K4</f>
        <v/>
      </c>
      <c r="F34" s="15">
        <f>'التشغيل والمحطات'!L4</f>
        <v/>
      </c>
      <c r="G34" s="50">
        <f>'التشغيل والمحطات'!N4</f>
        <v/>
      </c>
      <c r="H34" s="15">
        <f>'التشغيل والمحطات'!O4</f>
        <v/>
      </c>
      <c r="I34" s="24">
        <f>'التشغيل والمحطات'!G4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التشغيل والمحطات</t>
        </is>
      </c>
      <c r="C35" s="13">
        <f>'التشغيل والمحطات'!C5</f>
        <v/>
      </c>
      <c r="D35" s="15">
        <f>'التشغيل والمحطات'!J5</f>
        <v/>
      </c>
      <c r="E35" s="13">
        <f>'التشغيل والمحطات'!K5</f>
        <v/>
      </c>
      <c r="F35" s="15">
        <f>'التشغيل والمحطات'!L5</f>
        <v/>
      </c>
      <c r="G35" s="50">
        <f>'التشغيل والمحطات'!N5</f>
        <v/>
      </c>
      <c r="H35" s="15">
        <f>'التشغيل والمحطات'!O5</f>
        <v/>
      </c>
      <c r="I35" s="24">
        <f>'التشغيل والمحطات'!G5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التشغيل والمحطات</t>
        </is>
      </c>
      <c r="C36" s="13">
        <f>'التشغيل والمحطات'!C6</f>
        <v/>
      </c>
      <c r="D36" s="15">
        <f>'التشغيل والمحطات'!J6</f>
        <v/>
      </c>
      <c r="E36" s="13">
        <f>'التشغيل والمحطات'!K6</f>
        <v/>
      </c>
      <c r="F36" s="15">
        <f>'التشغيل والمحطات'!L6</f>
        <v/>
      </c>
      <c r="G36" s="50">
        <f>'التشغيل والمحطات'!N6</f>
        <v/>
      </c>
      <c r="H36" s="15">
        <f>'التشغيل والمحطات'!O6</f>
        <v/>
      </c>
      <c r="I36" s="24">
        <f>'التشغيل والمحطات'!G6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التشغيل والمحطات</t>
        </is>
      </c>
      <c r="C37" s="13">
        <f>'التشغيل والمحطات'!C7</f>
        <v/>
      </c>
      <c r="D37" s="15">
        <f>'التشغيل والمحطات'!J7</f>
        <v/>
      </c>
      <c r="E37" s="13">
        <f>'التشغيل والمحطات'!K7</f>
        <v/>
      </c>
      <c r="F37" s="15">
        <f>'التشغيل والمحطات'!L7</f>
        <v/>
      </c>
      <c r="G37" s="50">
        <f>'التشغيل والمحطات'!N7</f>
        <v/>
      </c>
      <c r="H37" s="15">
        <f>'التشغيل والمحطات'!O7</f>
        <v/>
      </c>
      <c r="I37" s="24">
        <f>'التشغيل والمحطات'!G7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الاستثمار</t>
        </is>
      </c>
      <c r="C38" s="13">
        <f>'الاستثمار'!C4</f>
        <v/>
      </c>
      <c r="D38" s="15">
        <f>'الاستثمار'!J4</f>
        <v/>
      </c>
      <c r="E38" s="13">
        <f>'الاستثمار'!K4</f>
        <v/>
      </c>
      <c r="F38" s="15">
        <f>'الاستثمار'!L4</f>
        <v/>
      </c>
      <c r="G38" s="50">
        <f>'الاستثمار'!N4</f>
        <v/>
      </c>
      <c r="H38" s="15">
        <f>'الاستثمار'!O4</f>
        <v/>
      </c>
      <c r="I38" s="24">
        <f>'الاستثمار'!G4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الاستثمار</t>
        </is>
      </c>
      <c r="C39" s="13">
        <f>'الاستثمار'!C5</f>
        <v/>
      </c>
      <c r="D39" s="15">
        <f>'الاستثمار'!J5</f>
        <v/>
      </c>
      <c r="E39" s="13">
        <f>'الاستثمار'!K5</f>
        <v/>
      </c>
      <c r="F39" s="15">
        <f>'الاستثمار'!L5</f>
        <v/>
      </c>
      <c r="G39" s="50">
        <f>'الاستثمار'!N5</f>
        <v/>
      </c>
      <c r="H39" s="15">
        <f>'الاستثمار'!O5</f>
        <v/>
      </c>
      <c r="I39" s="24">
        <f>'الاستثمار'!G5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الاستثمار</t>
        </is>
      </c>
      <c r="C40" s="13">
        <f>'الاستثمار'!C6</f>
        <v/>
      </c>
      <c r="D40" s="15">
        <f>'الاستثمار'!J6</f>
        <v/>
      </c>
      <c r="E40" s="13">
        <f>'الاستثمار'!K6</f>
        <v/>
      </c>
      <c r="F40" s="15">
        <f>'الاستثمار'!L6</f>
        <v/>
      </c>
      <c r="G40" s="50">
        <f>'الاستثمار'!N6</f>
        <v/>
      </c>
      <c r="H40" s="15">
        <f>'الاستثمار'!O6</f>
        <v/>
      </c>
      <c r="I40" s="24">
        <f>'الاستثمار'!G6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الاستثمار</t>
        </is>
      </c>
      <c r="C41" s="13">
        <f>'الاستثمار'!C7</f>
        <v/>
      </c>
      <c r="D41" s="15">
        <f>'الاستثمار'!J7</f>
        <v/>
      </c>
      <c r="E41" s="13">
        <f>'الاستثمار'!K7</f>
        <v/>
      </c>
      <c r="F41" s="15">
        <f>'الاستثمار'!L7</f>
        <v/>
      </c>
      <c r="G41" s="50">
        <f>'الاستثمار'!N7</f>
        <v/>
      </c>
      <c r="H41" s="15">
        <f>'الاستثمار'!O7</f>
        <v/>
      </c>
      <c r="I41" s="24">
        <f>'الاستثمار'!G7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الاستثمار</t>
        </is>
      </c>
      <c r="C42" s="13">
        <f>'الاستثمار'!C8</f>
        <v/>
      </c>
      <c r="D42" s="15">
        <f>'الاستثمار'!J8</f>
        <v/>
      </c>
      <c r="E42" s="13">
        <f>'الاستثمار'!K8</f>
        <v/>
      </c>
      <c r="F42" s="15">
        <f>'الاستثمار'!L8</f>
        <v/>
      </c>
      <c r="G42" s="50">
        <f>'الاستثمار'!N8</f>
        <v/>
      </c>
      <c r="H42" s="15">
        <f>'الاستثمار'!O8</f>
        <v/>
      </c>
      <c r="I42" s="24">
        <f>'الاستثمار'!G8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العقار</t>
        </is>
      </c>
      <c r="C43" s="13">
        <f>'العقار'!C4</f>
        <v/>
      </c>
      <c r="D43" s="15">
        <f>'العقار'!J4</f>
        <v/>
      </c>
      <c r="E43" s="13">
        <f>'العقار'!K4</f>
        <v/>
      </c>
      <c r="F43" s="15">
        <f>'العقار'!L4</f>
        <v/>
      </c>
      <c r="G43" s="50">
        <f>'العقار'!N4</f>
        <v/>
      </c>
      <c r="H43" s="15">
        <f>'العقار'!O4</f>
        <v/>
      </c>
      <c r="I43" s="24">
        <f>'العقار'!G4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العقار</t>
        </is>
      </c>
      <c r="C44" s="13">
        <f>'العقار'!C5</f>
        <v/>
      </c>
      <c r="D44" s="15">
        <f>'العقار'!J5</f>
        <v/>
      </c>
      <c r="E44" s="13">
        <f>'العقار'!K5</f>
        <v/>
      </c>
      <c r="F44" s="15">
        <f>'العقار'!L5</f>
        <v/>
      </c>
      <c r="G44" s="50">
        <f>'العقار'!N5</f>
        <v/>
      </c>
      <c r="H44" s="15">
        <f>'العقار'!O5</f>
        <v/>
      </c>
      <c r="I44" s="24">
        <f>'العقار'!G5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العقار</t>
        </is>
      </c>
      <c r="C45" s="13">
        <f>'العقار'!C6</f>
        <v/>
      </c>
      <c r="D45" s="15">
        <f>'العقار'!J6</f>
        <v/>
      </c>
      <c r="E45" s="13">
        <f>'العقار'!K6</f>
        <v/>
      </c>
      <c r="F45" s="15">
        <f>'العقار'!L6</f>
        <v/>
      </c>
      <c r="G45" s="50">
        <f>'العقار'!N6</f>
        <v/>
      </c>
      <c r="H45" s="15">
        <f>'العقار'!O6</f>
        <v/>
      </c>
      <c r="I45" s="24">
        <f>'العقار'!G6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العقار</t>
        </is>
      </c>
      <c r="C46" s="13">
        <f>'العقار'!C7</f>
        <v/>
      </c>
      <c r="D46" s="15">
        <f>'العقار'!J7</f>
        <v/>
      </c>
      <c r="E46" s="13">
        <f>'العقار'!K7</f>
        <v/>
      </c>
      <c r="F46" s="15">
        <f>'العقار'!L7</f>
        <v/>
      </c>
      <c r="G46" s="50">
        <f>'العقار'!N7</f>
        <v/>
      </c>
      <c r="H46" s="15">
        <f>'العقار'!O7</f>
        <v/>
      </c>
      <c r="I46" s="24">
        <f>'العقار'!G7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إدارة المشاريع</t>
        </is>
      </c>
      <c r="C47" s="13">
        <f>'إدارة المشاريع'!C4</f>
        <v/>
      </c>
      <c r="D47" s="15">
        <f>'إدارة المشاريع'!J4</f>
        <v/>
      </c>
      <c r="E47" s="13">
        <f>'إدارة المشاريع'!K4</f>
        <v/>
      </c>
      <c r="F47" s="15">
        <f>'إدارة المشاريع'!L4</f>
        <v/>
      </c>
      <c r="G47" s="50">
        <f>'إدارة المشاريع'!N4</f>
        <v/>
      </c>
      <c r="H47" s="15">
        <f>'إدارة المشاريع'!O4</f>
        <v/>
      </c>
      <c r="I47" s="24">
        <f>'إدارة المشاريع'!G4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إدارة المشاريع</t>
        </is>
      </c>
      <c r="C48" s="13">
        <f>'إدارة المشاريع'!C5</f>
        <v/>
      </c>
      <c r="D48" s="15">
        <f>'إدارة المشاريع'!J5</f>
        <v/>
      </c>
      <c r="E48" s="13">
        <f>'إدارة المشاريع'!K5</f>
        <v/>
      </c>
      <c r="F48" s="15">
        <f>'إدارة المشاريع'!L5</f>
        <v/>
      </c>
      <c r="G48" s="50">
        <f>'إدارة المشاريع'!N5</f>
        <v/>
      </c>
      <c r="H48" s="15">
        <f>'إدارة المشاريع'!O5</f>
        <v/>
      </c>
      <c r="I48" s="24">
        <f>'إدارة المشاريع'!G5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إدارة المشاريع</t>
        </is>
      </c>
      <c r="C49" s="13">
        <f>'إدارة المشاريع'!C6</f>
        <v/>
      </c>
      <c r="D49" s="15">
        <f>'إدارة المشاريع'!J6</f>
        <v/>
      </c>
      <c r="E49" s="13">
        <f>'إدارة المشاريع'!K6</f>
        <v/>
      </c>
      <c r="F49" s="15">
        <f>'إدارة المشاريع'!L6</f>
        <v/>
      </c>
      <c r="G49" s="50">
        <f>'إدارة المشاريع'!N6</f>
        <v/>
      </c>
      <c r="H49" s="15">
        <f>'إدارة المشاريع'!O6</f>
        <v/>
      </c>
      <c r="I49" s="24">
        <f>'إدارة المشاريع'!G6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سلاسل الإمداد</t>
        </is>
      </c>
      <c r="C50" s="13">
        <f>'سلاسل الإمداد'!C4</f>
        <v/>
      </c>
      <c r="D50" s="15">
        <f>'سلاسل الإمداد'!J4</f>
        <v/>
      </c>
      <c r="E50" s="13">
        <f>'سلاسل الإمداد'!K4</f>
        <v/>
      </c>
      <c r="F50" s="15">
        <f>'سلاسل الإمداد'!L4</f>
        <v/>
      </c>
      <c r="G50" s="50">
        <f>'سلاسل الإمداد'!N4</f>
        <v/>
      </c>
      <c r="H50" s="15">
        <f>'سلاسل الإمداد'!O4</f>
        <v/>
      </c>
      <c r="I50" s="24">
        <f>'سلاسل الإمداد'!G4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سلاسل الإمداد</t>
        </is>
      </c>
      <c r="C51" s="13">
        <f>'سلاسل الإمداد'!C5</f>
        <v/>
      </c>
      <c r="D51" s="15">
        <f>'سلاسل الإمداد'!J5</f>
        <v/>
      </c>
      <c r="E51" s="13">
        <f>'سلاسل الإمداد'!K5</f>
        <v/>
      </c>
      <c r="F51" s="15">
        <f>'سلاسل الإمداد'!L5</f>
        <v/>
      </c>
      <c r="G51" s="50">
        <f>'سلاسل الإمداد'!N5</f>
        <v/>
      </c>
      <c r="H51" s="15">
        <f>'سلاسل الإمداد'!O5</f>
        <v/>
      </c>
      <c r="I51" s="24">
        <f>'سلاسل الإمداد'!G5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سلاسل الإمداد</t>
        </is>
      </c>
      <c r="C52" s="13">
        <f>'سلاسل الإمداد'!C6</f>
        <v/>
      </c>
      <c r="D52" s="15">
        <f>'سلاسل الإمداد'!J6</f>
        <v/>
      </c>
      <c r="E52" s="13">
        <f>'سلاسل الإمداد'!K6</f>
        <v/>
      </c>
      <c r="F52" s="15">
        <f>'سلاسل الإمداد'!L6</f>
        <v/>
      </c>
      <c r="G52" s="50">
        <f>'سلاسل الإمداد'!N6</f>
        <v/>
      </c>
      <c r="H52" s="15">
        <f>'سلاسل الإمداد'!O6</f>
        <v/>
      </c>
      <c r="I52" s="24">
        <f>'سلاسل الإمداد'!G6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سلاسل الإمداد</t>
        </is>
      </c>
      <c r="C53" s="13">
        <f>'سلاسل الإمداد'!C7</f>
        <v/>
      </c>
      <c r="D53" s="15">
        <f>'سلاسل الإمداد'!J7</f>
        <v/>
      </c>
      <c r="E53" s="13">
        <f>'سلاسل الإمداد'!K7</f>
        <v/>
      </c>
      <c r="F53" s="15">
        <f>'سلاسل الإمداد'!L7</f>
        <v/>
      </c>
      <c r="G53" s="50">
        <f>'سلاسل الإمداد'!N7</f>
        <v/>
      </c>
      <c r="H53" s="15">
        <f>'سلاسل الإمداد'!O7</f>
        <v/>
      </c>
      <c r="I53" s="24">
        <f>'سلاسل الإمداد'!G7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الصيانة والأتمتة</t>
        </is>
      </c>
      <c r="C54" s="13">
        <f>'الصيانة والأتمتة'!C4</f>
        <v/>
      </c>
      <c r="D54" s="15">
        <f>'الصيانة والأتمتة'!J4</f>
        <v/>
      </c>
      <c r="E54" s="13">
        <f>'الصيانة والأتمتة'!K4</f>
        <v/>
      </c>
      <c r="F54" s="15">
        <f>'الصيانة والأتمتة'!L4</f>
        <v/>
      </c>
      <c r="G54" s="50">
        <f>'الصيانة والأتمتة'!N4</f>
        <v/>
      </c>
      <c r="H54" s="15">
        <f>'الصيانة والأتمتة'!O4</f>
        <v/>
      </c>
      <c r="I54" s="24">
        <f>'الصيانة والأتمتة'!G4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الصيانة والأتمتة</t>
        </is>
      </c>
      <c r="C55" s="13">
        <f>'الصيانة والأتمتة'!C5</f>
        <v/>
      </c>
      <c r="D55" s="15">
        <f>'الصيانة والأتمتة'!J5</f>
        <v/>
      </c>
      <c r="E55" s="13">
        <f>'الصيانة والأتمتة'!K5</f>
        <v/>
      </c>
      <c r="F55" s="15">
        <f>'الصيانة والأتمتة'!L5</f>
        <v/>
      </c>
      <c r="G55" s="50">
        <f>'الصيانة والأتمتة'!N5</f>
        <v/>
      </c>
      <c r="H55" s="15">
        <f>'الصيانة والأتمتة'!O5</f>
        <v/>
      </c>
      <c r="I55" s="24">
        <f>'الصيانة والأتمتة'!G5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التقنية الرقمية</t>
        </is>
      </c>
      <c r="C56" s="13">
        <f>'التقنية الرقمية'!C4</f>
        <v/>
      </c>
      <c r="D56" s="15">
        <f>'التقنية الرقمية'!J4</f>
        <v/>
      </c>
      <c r="E56" s="13">
        <f>'التقنية الرقمية'!K4</f>
        <v/>
      </c>
      <c r="F56" s="15">
        <f>'التقنية الرقمية'!L4</f>
        <v/>
      </c>
      <c r="G56" s="50">
        <f>'التقنية الرقمية'!N4</f>
        <v/>
      </c>
      <c r="H56" s="15">
        <f>'التقنية الرقمية'!O4</f>
        <v/>
      </c>
      <c r="I56" s="24">
        <f>'التقنية الرقمية'!G4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التقنية الرقمية</t>
        </is>
      </c>
      <c r="C57" s="13">
        <f>'التقنية الرقمية'!C5</f>
        <v/>
      </c>
      <c r="D57" s="15">
        <f>'التقنية الرقمية'!J5</f>
        <v/>
      </c>
      <c r="E57" s="13">
        <f>'التقنية الرقمية'!K5</f>
        <v/>
      </c>
      <c r="F57" s="15">
        <f>'التقنية الرقمية'!L5</f>
        <v/>
      </c>
      <c r="G57" s="50">
        <f>'التقنية الرقمية'!N5</f>
        <v/>
      </c>
      <c r="H57" s="15">
        <f>'التقنية الرقمية'!O5</f>
        <v/>
      </c>
      <c r="I57" s="24">
        <f>'التقنية الرقمية'!G5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الموارد البشرية</t>
        </is>
      </c>
      <c r="C58" s="13">
        <f>'الموارد البشرية'!C4</f>
        <v/>
      </c>
      <c r="D58" s="15">
        <f>'الموارد البشرية'!J4</f>
        <v/>
      </c>
      <c r="E58" s="13">
        <f>'الموارد البشرية'!K4</f>
        <v/>
      </c>
      <c r="F58" s="15">
        <f>'الموارد البشرية'!L4</f>
        <v/>
      </c>
      <c r="G58" s="50">
        <f>'الموارد البشرية'!N4</f>
        <v/>
      </c>
      <c r="H58" s="15">
        <f>'الموارد البشرية'!O4</f>
        <v/>
      </c>
      <c r="I58" s="24">
        <f>'الموارد البشرية'!G4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الموارد البشرية</t>
        </is>
      </c>
      <c r="C59" s="13">
        <f>'الموارد البشرية'!C5</f>
        <v/>
      </c>
      <c r="D59" s="15">
        <f>'الموارد البشرية'!J5</f>
        <v/>
      </c>
      <c r="E59" s="13">
        <f>'الموارد البشرية'!K5</f>
        <v/>
      </c>
      <c r="F59" s="15">
        <f>'الموارد البشرية'!L5</f>
        <v/>
      </c>
      <c r="G59" s="50">
        <f>'الموارد البشرية'!N5</f>
        <v/>
      </c>
      <c r="H59" s="15">
        <f>'الموارد البشرية'!O5</f>
        <v/>
      </c>
      <c r="I59" s="24">
        <f>'الموارد البشرية'!G5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الموارد البشرية</t>
        </is>
      </c>
      <c r="C60" s="13">
        <f>'الموارد البشرية'!C6</f>
        <v/>
      </c>
      <c r="D60" s="15">
        <f>'الموارد البشرية'!J6</f>
        <v/>
      </c>
      <c r="E60" s="13">
        <f>'الموارد البشرية'!K6</f>
        <v/>
      </c>
      <c r="F60" s="15">
        <f>'الموارد البشرية'!L6</f>
        <v/>
      </c>
      <c r="G60" s="50">
        <f>'الموارد البشرية'!N6</f>
        <v/>
      </c>
      <c r="H60" s="15">
        <f>'الموارد البشرية'!O6</f>
        <v/>
      </c>
      <c r="I60" s="24">
        <f>'الموارد البشرية'!G6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الموارد البشرية</t>
        </is>
      </c>
      <c r="C61" s="13">
        <f>'الموارد البشرية'!C7</f>
        <v/>
      </c>
      <c r="D61" s="15">
        <f>'الموارد البشرية'!J7</f>
        <v/>
      </c>
      <c r="E61" s="13">
        <f>'الموارد البشرية'!K7</f>
        <v/>
      </c>
      <c r="F61" s="15">
        <f>'الموارد البشرية'!L7</f>
        <v/>
      </c>
      <c r="G61" s="50">
        <f>'الموارد البشرية'!N7</f>
        <v/>
      </c>
      <c r="H61" s="15">
        <f>'الموارد البشرية'!O7</f>
        <v/>
      </c>
      <c r="I61" s="24">
        <f>'الموارد البشرية'!G7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الموارد البشرية</t>
        </is>
      </c>
      <c r="C62" s="13">
        <f>'الموارد البشرية'!C8</f>
        <v/>
      </c>
      <c r="D62" s="15">
        <f>'الموارد البشرية'!J8</f>
        <v/>
      </c>
      <c r="E62" s="13">
        <f>'الموارد البشرية'!K8</f>
        <v/>
      </c>
      <c r="F62" s="15">
        <f>'الموارد البشرية'!L8</f>
        <v/>
      </c>
      <c r="G62" s="50">
        <f>'الموارد البشرية'!N8</f>
        <v/>
      </c>
      <c r="H62" s="15">
        <f>'الموارد البشرية'!O8</f>
        <v/>
      </c>
      <c r="I62" s="24">
        <f>'الموارد البشرية'!G8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التسويق</t>
        </is>
      </c>
      <c r="C63" s="13">
        <f>'التسويق'!C4</f>
        <v/>
      </c>
      <c r="D63" s="15">
        <f>'التسويق'!J4</f>
        <v/>
      </c>
      <c r="E63" s="13">
        <f>'التسويق'!K4</f>
        <v/>
      </c>
      <c r="F63" s="15">
        <f>'التسويق'!L4</f>
        <v/>
      </c>
      <c r="G63" s="50">
        <f>'التسويق'!N4</f>
        <v/>
      </c>
      <c r="H63" s="15">
        <f>'التسويق'!O4</f>
        <v/>
      </c>
      <c r="I63" s="24">
        <f>'التسويق'!G4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التسويق</t>
        </is>
      </c>
      <c r="C64" s="13">
        <f>'التسويق'!C5</f>
        <v/>
      </c>
      <c r="D64" s="15">
        <f>'التسويق'!J5</f>
        <v/>
      </c>
      <c r="E64" s="13">
        <f>'التسويق'!K5</f>
        <v/>
      </c>
      <c r="F64" s="15">
        <f>'التسويق'!L5</f>
        <v/>
      </c>
      <c r="G64" s="50">
        <f>'التسويق'!N5</f>
        <v/>
      </c>
      <c r="H64" s="15">
        <f>'التسويق'!O5</f>
        <v/>
      </c>
      <c r="I64" s="24">
        <f>'التسويق'!G5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التسويق</t>
        </is>
      </c>
      <c r="C65" s="13">
        <f>'التسويق'!C6</f>
        <v/>
      </c>
      <c r="D65" s="15">
        <f>'التسويق'!J6</f>
        <v/>
      </c>
      <c r="E65" s="13">
        <f>'التسويق'!K6</f>
        <v/>
      </c>
      <c r="F65" s="15">
        <f>'التسويق'!L6</f>
        <v/>
      </c>
      <c r="G65" s="50">
        <f>'التسويق'!N6</f>
        <v/>
      </c>
      <c r="H65" s="15">
        <f>'التسويق'!O6</f>
        <v/>
      </c>
      <c r="I65" s="24">
        <f>'التسويق'!G6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التسويق</t>
        </is>
      </c>
      <c r="C66" s="13">
        <f>'التسويق'!C7</f>
        <v/>
      </c>
      <c r="D66" s="15">
        <f>'التسويق'!J7</f>
        <v/>
      </c>
      <c r="E66" s="13">
        <f>'التسويق'!K7</f>
        <v/>
      </c>
      <c r="F66" s="15">
        <f>'التسويق'!L7</f>
        <v/>
      </c>
      <c r="G66" s="50">
        <f>'التسويق'!N7</f>
        <v/>
      </c>
      <c r="H66" s="15">
        <f>'التسويق'!O7</f>
        <v/>
      </c>
      <c r="I66" s="24">
        <f>'التسويق'!G7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التسويق</t>
        </is>
      </c>
      <c r="C67" s="13">
        <f>'التسويق'!C8</f>
        <v/>
      </c>
      <c r="D67" s="15">
        <f>'التسويق'!J8</f>
        <v/>
      </c>
      <c r="E67" s="13">
        <f>'التسويق'!K8</f>
        <v/>
      </c>
      <c r="F67" s="15">
        <f>'التسويق'!L8</f>
        <v/>
      </c>
      <c r="G67" s="50">
        <f>'التسويق'!N8</f>
        <v/>
      </c>
      <c r="H67" s="15">
        <f>'التسويق'!O8</f>
        <v/>
      </c>
      <c r="I67" s="24">
        <f>'التسويق'!G8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الجودة</t>
        </is>
      </c>
      <c r="C68" s="13">
        <f>'الجودة'!C4</f>
        <v/>
      </c>
      <c r="D68" s="15">
        <f>'الجودة'!J4</f>
        <v/>
      </c>
      <c r="E68" s="13">
        <f>'الجودة'!K4</f>
        <v/>
      </c>
      <c r="F68" s="15">
        <f>'الجودة'!L4</f>
        <v/>
      </c>
      <c r="G68" s="50">
        <f>'الجودة'!N4</f>
        <v/>
      </c>
      <c r="H68" s="15">
        <f>'الجودة'!O4</f>
        <v/>
      </c>
      <c r="I68" s="24">
        <f>'الجودة'!G4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الجودة</t>
        </is>
      </c>
      <c r="C69" s="13">
        <f>'الجودة'!C5</f>
        <v/>
      </c>
      <c r="D69" s="15">
        <f>'الجودة'!J5</f>
        <v/>
      </c>
      <c r="E69" s="13">
        <f>'الجودة'!K5</f>
        <v/>
      </c>
      <c r="F69" s="15">
        <f>'الجودة'!L5</f>
        <v/>
      </c>
      <c r="G69" s="50">
        <f>'الجودة'!N5</f>
        <v/>
      </c>
      <c r="H69" s="15">
        <f>'الجودة'!O5</f>
        <v/>
      </c>
      <c r="I69" s="24">
        <f>'الجودة'!G5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الجودة</t>
        </is>
      </c>
      <c r="C70" s="13">
        <f>'الجودة'!C6</f>
        <v/>
      </c>
      <c r="D70" s="15">
        <f>'الجودة'!J6</f>
        <v/>
      </c>
      <c r="E70" s="13">
        <f>'الجودة'!K6</f>
        <v/>
      </c>
      <c r="F70" s="15">
        <f>'الجودة'!L6</f>
        <v/>
      </c>
      <c r="G70" s="50">
        <f>'الجودة'!N6</f>
        <v/>
      </c>
      <c r="H70" s="15">
        <f>'الجودة'!O6</f>
        <v/>
      </c>
      <c r="I70" s="24">
        <f>'الجودة'!G6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الجودة</t>
        </is>
      </c>
      <c r="C71" s="13">
        <f>'الجودة'!C7</f>
        <v/>
      </c>
      <c r="D71" s="15">
        <f>'الجودة'!J7</f>
        <v/>
      </c>
      <c r="E71" s="13">
        <f>'الجودة'!K7</f>
        <v/>
      </c>
      <c r="F71" s="15">
        <f>'الجودة'!L7</f>
        <v/>
      </c>
      <c r="G71" s="50">
        <f>'الجودة'!N7</f>
        <v/>
      </c>
      <c r="H71" s="15">
        <f>'الجودة'!O7</f>
        <v/>
      </c>
      <c r="I71" s="24">
        <f>'الجودة'!G7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الجودة</t>
        </is>
      </c>
      <c r="C72" s="13">
        <f>'الجودة'!C8</f>
        <v/>
      </c>
      <c r="D72" s="15">
        <f>'الجودة'!J8</f>
        <v/>
      </c>
      <c r="E72" s="13">
        <f>'الجودة'!K8</f>
        <v/>
      </c>
      <c r="F72" s="15">
        <f>'الجودة'!L8</f>
        <v/>
      </c>
      <c r="G72" s="50">
        <f>'الجودة'!N8</f>
        <v/>
      </c>
      <c r="H72" s="15">
        <f>'الجودة'!O8</f>
        <v/>
      </c>
      <c r="I72" s="24">
        <f>'الجودة'!G8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الجودة</t>
        </is>
      </c>
      <c r="C73" s="13">
        <f>'الجودة'!C9</f>
        <v/>
      </c>
      <c r="D73" s="15">
        <f>'الجودة'!J9</f>
        <v/>
      </c>
      <c r="E73" s="13">
        <f>'الجودة'!K9</f>
        <v/>
      </c>
      <c r="F73" s="15">
        <f>'الجودة'!L9</f>
        <v/>
      </c>
      <c r="G73" s="50">
        <f>'الجودة'!N9</f>
        <v/>
      </c>
      <c r="H73" s="15">
        <f>'الجودة'!O9</f>
        <v/>
      </c>
      <c r="I73" s="24">
        <f>'الجودة'!G9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الجودة</t>
        </is>
      </c>
      <c r="C74" s="13">
        <f>'الجودة'!C10</f>
        <v/>
      </c>
      <c r="D74" s="15">
        <f>'الجودة'!J10</f>
        <v/>
      </c>
      <c r="E74" s="13">
        <f>'الجودة'!K10</f>
        <v/>
      </c>
      <c r="F74" s="15">
        <f>'الجودة'!L10</f>
        <v/>
      </c>
      <c r="G74" s="50">
        <f>'الجودة'!N10</f>
        <v/>
      </c>
      <c r="H74" s="15">
        <f>'الجودة'!O10</f>
        <v/>
      </c>
      <c r="I74" s="24">
        <f>'الجودة'!G10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الجودة</t>
        </is>
      </c>
      <c r="C75" s="13">
        <f>'الجودة'!C11</f>
        <v/>
      </c>
      <c r="D75" s="15">
        <f>'الجودة'!J11</f>
        <v/>
      </c>
      <c r="E75" s="13">
        <f>'الجودة'!K11</f>
        <v/>
      </c>
      <c r="F75" s="15">
        <f>'الجودة'!L11</f>
        <v/>
      </c>
      <c r="G75" s="50">
        <f>'الجودة'!N11</f>
        <v/>
      </c>
      <c r="H75" s="15">
        <f>'الجودة'!O11</f>
        <v/>
      </c>
      <c r="I75" s="24">
        <f>'الجودة'!G11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الجودة</t>
        </is>
      </c>
      <c r="C76" s="13">
        <f>'الجودة'!C12</f>
        <v/>
      </c>
      <c r="D76" s="15">
        <f>'الجودة'!J12</f>
        <v/>
      </c>
      <c r="E76" s="13">
        <f>'الجودة'!K12</f>
        <v/>
      </c>
      <c r="F76" s="15">
        <f>'الجودة'!L12</f>
        <v/>
      </c>
      <c r="G76" s="50">
        <f>'الجودة'!N12</f>
        <v/>
      </c>
      <c r="H76" s="15">
        <f>'الجودة'!O12</f>
        <v/>
      </c>
      <c r="I76" s="24">
        <f>'الجودة'!G12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الجودة</t>
        </is>
      </c>
      <c r="C77" s="13">
        <f>'الجودة'!C13</f>
        <v/>
      </c>
      <c r="D77" s="15">
        <f>'الجودة'!J13</f>
        <v/>
      </c>
      <c r="E77" s="13">
        <f>'الجودة'!K13</f>
        <v/>
      </c>
      <c r="F77" s="15">
        <f>'الجودة'!L13</f>
        <v/>
      </c>
      <c r="G77" s="50">
        <f>'الجودة'!N13</f>
        <v/>
      </c>
      <c r="H77" s="15">
        <f>'الجودة'!O13</f>
        <v/>
      </c>
      <c r="I77" s="24">
        <f>'الجودة'!G13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الجودة</t>
        </is>
      </c>
      <c r="C78" s="13">
        <f>'الجودة'!C14</f>
        <v/>
      </c>
      <c r="D78" s="15">
        <f>'الجودة'!J14</f>
        <v/>
      </c>
      <c r="E78" s="13">
        <f>'الجودة'!K14</f>
        <v/>
      </c>
      <c r="F78" s="15">
        <f>'الجودة'!L14</f>
        <v/>
      </c>
      <c r="G78" s="50">
        <f>'الجودة'!N14</f>
        <v/>
      </c>
      <c r="H78" s="15">
        <f>'الجودة'!O14</f>
        <v/>
      </c>
      <c r="I78" s="24">
        <f>'الجودة'!G14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الجودة</t>
        </is>
      </c>
      <c r="C79" s="13">
        <f>'الجودة'!C15</f>
        <v/>
      </c>
      <c r="D79" s="15">
        <f>'الجودة'!J15</f>
        <v/>
      </c>
      <c r="E79" s="13">
        <f>'الجودة'!K15</f>
        <v/>
      </c>
      <c r="F79" s="15">
        <f>'الجودة'!L15</f>
        <v/>
      </c>
      <c r="G79" s="50">
        <f>'الجودة'!N15</f>
        <v/>
      </c>
      <c r="H79" s="15">
        <f>'الجودة'!O15</f>
        <v/>
      </c>
      <c r="I79" s="24">
        <f>'الجودة'!G15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الجودة</t>
        </is>
      </c>
      <c r="C80" s="13">
        <f>'الجودة'!C16</f>
        <v/>
      </c>
      <c r="D80" s="15">
        <f>'الجودة'!J16</f>
        <v/>
      </c>
      <c r="E80" s="13">
        <f>'الجودة'!K16</f>
        <v/>
      </c>
      <c r="F80" s="15">
        <f>'الجودة'!L16</f>
        <v/>
      </c>
      <c r="G80" s="50">
        <f>'الجودة'!N16</f>
        <v/>
      </c>
      <c r="H80" s="15">
        <f>'الجودة'!O16</f>
        <v/>
      </c>
      <c r="I80" s="24">
        <f>'الجودة'!G16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الجودة</t>
        </is>
      </c>
      <c r="C81" s="13">
        <f>'الجودة'!C17</f>
        <v/>
      </c>
      <c r="D81" s="15">
        <f>'الجودة'!J17</f>
        <v/>
      </c>
      <c r="E81" s="13">
        <f>'الجودة'!K17</f>
        <v/>
      </c>
      <c r="F81" s="15">
        <f>'الجودة'!L17</f>
        <v/>
      </c>
      <c r="G81" s="50">
        <f>'الجودة'!N17</f>
        <v/>
      </c>
      <c r="H81" s="15">
        <f>'الجودة'!O17</f>
        <v/>
      </c>
      <c r="I81" s="24">
        <f>'الجودة'!G17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الجودة</t>
        </is>
      </c>
      <c r="C82" s="13">
        <f>'الجودة'!C18</f>
        <v/>
      </c>
      <c r="D82" s="15">
        <f>'الجودة'!J18</f>
        <v/>
      </c>
      <c r="E82" s="13">
        <f>'الجودة'!K18</f>
        <v/>
      </c>
      <c r="F82" s="15">
        <f>'الجودة'!L18</f>
        <v/>
      </c>
      <c r="G82" s="50">
        <f>'الجودة'!N18</f>
        <v/>
      </c>
      <c r="H82" s="15">
        <f>'الجودة'!O18</f>
        <v/>
      </c>
      <c r="I82" s="24">
        <f>'الجودة'!G18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الإدارة القانونية</t>
        </is>
      </c>
      <c r="C83" s="13">
        <f>'الإدارة القانونية'!C4</f>
        <v/>
      </c>
      <c r="D83" s="15">
        <f>'الإدارة القانونية'!J4</f>
        <v/>
      </c>
      <c r="E83" s="13">
        <f>'الإدارة القانونية'!K4</f>
        <v/>
      </c>
      <c r="F83" s="15">
        <f>'الإدارة القانونية'!L4</f>
        <v/>
      </c>
      <c r="G83" s="50">
        <f>'الإدارة القانونية'!N4</f>
        <v/>
      </c>
      <c r="H83" s="15">
        <f>'الإدارة القانونية'!O4</f>
        <v/>
      </c>
      <c r="I83" s="24">
        <f>'الإدارة القانونية'!G4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الإدارة القانونية</t>
        </is>
      </c>
      <c r="C84" s="13">
        <f>'الإدارة القانونية'!C5</f>
        <v/>
      </c>
      <c r="D84" s="15">
        <f>'الإدارة القانونية'!J5</f>
        <v/>
      </c>
      <c r="E84" s="13">
        <f>'الإدارة القانونية'!K5</f>
        <v/>
      </c>
      <c r="F84" s="15">
        <f>'الإدارة القانونية'!L5</f>
        <v/>
      </c>
      <c r="G84" s="50">
        <f>'الإدارة القانونية'!N5</f>
        <v/>
      </c>
      <c r="H84" s="15">
        <f>'الإدارة القانونية'!O5</f>
        <v/>
      </c>
      <c r="I84" s="24">
        <f>'الإدارة القانونية'!G5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الإدارة القانونية</t>
        </is>
      </c>
      <c r="C85" s="13">
        <f>'الإدارة القانونية'!C6</f>
        <v/>
      </c>
      <c r="D85" s="15">
        <f>'الإدارة القانونية'!J6</f>
        <v/>
      </c>
      <c r="E85" s="13">
        <f>'الإدارة القانونية'!K6</f>
        <v/>
      </c>
      <c r="F85" s="15">
        <f>'الإدارة القانونية'!L6</f>
        <v/>
      </c>
      <c r="G85" s="50">
        <f>'الإدارة القانونية'!N6</f>
        <v/>
      </c>
      <c r="H85" s="15">
        <f>'الإدارة القانونية'!O6</f>
        <v/>
      </c>
      <c r="I85" s="24">
        <f>'الإدارة القانونية'!G6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الإدارة المالية</t>
        </is>
      </c>
      <c r="C86" s="13">
        <f>'الإدارة المالية'!C4</f>
        <v/>
      </c>
      <c r="D86" s="15">
        <f>'الإدارة المالية'!J4</f>
        <v/>
      </c>
      <c r="E86" s="13">
        <f>'الإدارة المالية'!K4</f>
        <v/>
      </c>
      <c r="F86" s="15">
        <f>'الإدارة المالية'!L4</f>
        <v/>
      </c>
      <c r="G86" s="50">
        <f>'الإدارة المالية'!N4</f>
        <v/>
      </c>
      <c r="H86" s="15">
        <f>'الإدارة المالية'!O4</f>
        <v/>
      </c>
      <c r="I86" s="24">
        <f>'الإدارة المالية'!G4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الإدارة المالية</t>
        </is>
      </c>
      <c r="C87" s="13">
        <f>'الإدارة المالية'!C5</f>
        <v/>
      </c>
      <c r="D87" s="15">
        <f>'الإدارة المالية'!J5</f>
        <v/>
      </c>
      <c r="E87" s="13">
        <f>'الإدارة المالية'!K5</f>
        <v/>
      </c>
      <c r="F87" s="15">
        <f>'الإدارة المالية'!L5</f>
        <v/>
      </c>
      <c r="G87" s="50">
        <f>'الإدارة المالية'!N5</f>
        <v/>
      </c>
      <c r="H87" s="15">
        <f>'الإدارة المالية'!O5</f>
        <v/>
      </c>
      <c r="I87" s="24">
        <f>'الإدارة المالية'!G5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الإدارة المالية</t>
        </is>
      </c>
      <c r="C88" s="13">
        <f>'الإدارة المالية'!C6</f>
        <v/>
      </c>
      <c r="D88" s="15">
        <f>'الإدارة المالية'!J6</f>
        <v/>
      </c>
      <c r="E88" s="13">
        <f>'الإدارة المالية'!K6</f>
        <v/>
      </c>
      <c r="F88" s="15">
        <f>'الإدارة المالية'!L6</f>
        <v/>
      </c>
      <c r="G88" s="50">
        <f>'الإدارة المالية'!N6</f>
        <v/>
      </c>
      <c r="H88" s="15">
        <f>'الإدارة المالية'!O6</f>
        <v/>
      </c>
      <c r="I88" s="24">
        <f>'الإدارة المالية'!G6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الإدارة المالية</t>
        </is>
      </c>
      <c r="C89" s="13">
        <f>'الإدارة المالية'!C7</f>
        <v/>
      </c>
      <c r="D89" s="15">
        <f>'الإدارة المالية'!J7</f>
        <v/>
      </c>
      <c r="E89" s="13">
        <f>'الإدارة المالية'!K7</f>
        <v/>
      </c>
      <c r="F89" s="15">
        <f>'الإدارة المالية'!L7</f>
        <v/>
      </c>
      <c r="G89" s="50">
        <f>'الإدارة المالية'!N7</f>
        <v/>
      </c>
      <c r="H89" s="15">
        <f>'الإدارة المالية'!O7</f>
        <v/>
      </c>
      <c r="I89" s="24">
        <f>'الإدارة المالية'!G7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الإدارة المالية</t>
        </is>
      </c>
      <c r="C90" s="13">
        <f>'الإدارة المالية'!C8</f>
        <v/>
      </c>
      <c r="D90" s="15">
        <f>'الإدارة المالية'!J8</f>
        <v/>
      </c>
      <c r="E90" s="13">
        <f>'الإدارة المالية'!K8</f>
        <v/>
      </c>
      <c r="F90" s="15">
        <f>'الإدارة المالية'!L8</f>
        <v/>
      </c>
      <c r="G90" s="50">
        <f>'الإدارة المالية'!N8</f>
        <v/>
      </c>
      <c r="H90" s="15">
        <f>'الإدارة المالية'!O8</f>
        <v/>
      </c>
      <c r="I90" s="24">
        <f>'الإدارة المالية'!G8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الإدارة المالية</t>
        </is>
      </c>
      <c r="C91" s="13">
        <f>'الإدارة المالية'!C9</f>
        <v/>
      </c>
      <c r="D91" s="15">
        <f>'الإدارة المالية'!J9</f>
        <v/>
      </c>
      <c r="E91" s="13">
        <f>'الإدارة المالية'!K9</f>
        <v/>
      </c>
      <c r="F91" s="15">
        <f>'الإدارة المالية'!L9</f>
        <v/>
      </c>
      <c r="G91" s="50">
        <f>'الإدارة المالية'!N9</f>
        <v/>
      </c>
      <c r="H91" s="15">
        <f>'الإدارة المالية'!O9</f>
        <v/>
      </c>
      <c r="I91" s="24">
        <f>'الإدارة المالية'!G9</f>
        <v/>
      </c>
      <c r="J91" s="15">
        <f>IF($G91="",0,$G91*$I91)</f>
        <v/>
      </c>
      <c r="K91" s="15">
        <f>IF($G91="",0,$I91)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2026-07-28T08:04:39Z</dcterms:created>
  <dcterms:modified xmlns:dcterms="http://purl.org/dc/terms/" xmlns:xsi="http://www.w3.org/2001/XMLSchema-instance" xsi:type="dcterms:W3CDTF">2026-07-28T08:04:41Z</dcterms:modified>
</cp:coreProperties>
</file>