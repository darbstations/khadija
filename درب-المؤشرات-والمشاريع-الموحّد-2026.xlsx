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لوحة الموجزة" sheetId="3" state="visible" r:id="rId3"/>
    <sheet xmlns:r="http://schemas.openxmlformats.org/officeDocument/2006/relationships" name="تحليل الانحراف" sheetId="4" state="visible" r:id="rId4"/>
    <sheet xmlns:r="http://schemas.openxmlformats.org/officeDocument/2006/relationships" name="سجل المخاطر" sheetId="5" state="visible" r:id="rId5"/>
    <sheet xmlns:r="http://schemas.openxmlformats.org/officeDocument/2006/relationships" name="ESG والاستدامة" sheetId="6" state="visible" r:id="rId6"/>
    <sheet xmlns:r="http://schemas.openxmlformats.org/officeDocument/2006/relationships" name="مراجعة وحوكمة المؤشرات" sheetId="7" state="visible" r:id="rId7"/>
    <sheet xmlns:r="http://schemas.openxmlformats.org/officeDocument/2006/relationships" name="بطاقة تعريف المؤشرات" sheetId="8" state="visible" r:id="rId8"/>
    <sheet xmlns:r="http://schemas.openxmlformats.org/officeDocument/2006/relationships" name="بيانات الباوربي" sheetId="9" state="visible" r:id="rId9"/>
    <sheet xmlns:r="http://schemas.openxmlformats.org/officeDocument/2006/relationships" name="الإدارة التنفيذية" sheetId="10" state="visible" r:id="rId10"/>
    <sheet xmlns:r="http://schemas.openxmlformats.org/officeDocument/2006/relationships" name="الامتياز التجاري" sheetId="11" state="visible" r:id="rId11"/>
    <sheet xmlns:r="http://schemas.openxmlformats.org/officeDocument/2006/relationships" name="التشغيل والمحطات" sheetId="12" state="visible" r:id="rId12"/>
    <sheet xmlns:r="http://schemas.openxmlformats.org/officeDocument/2006/relationships" name="الاستثمار" sheetId="13" state="visible" r:id="rId13"/>
    <sheet xmlns:r="http://schemas.openxmlformats.org/officeDocument/2006/relationships" name="العقار" sheetId="14" state="visible" r:id="rId14"/>
    <sheet xmlns:r="http://schemas.openxmlformats.org/officeDocument/2006/relationships" name="التقنية الرقمية" sheetId="15" state="visible" r:id="rId15"/>
    <sheet xmlns:r="http://schemas.openxmlformats.org/officeDocument/2006/relationships" name="الموارد البشرية" sheetId="16" state="visible" r:id="rId16"/>
    <sheet xmlns:r="http://schemas.openxmlformats.org/officeDocument/2006/relationships" name="التسويق" sheetId="17" state="visible" r:id="rId17"/>
    <sheet xmlns:r="http://schemas.openxmlformats.org/officeDocument/2006/relationships" name="الجودة" sheetId="18" state="visible" r:id="rId18"/>
    <sheet xmlns:r="http://schemas.openxmlformats.org/officeDocument/2006/relationships" name="الإدارة القانونية" sheetId="19" state="visible" r:id="rId19"/>
    <sheet xmlns:r="http://schemas.openxmlformats.org/officeDocument/2006/relationships" name="الإدارة المالية" sheetId="20" state="visible" r:id="rId20"/>
    <sheet xmlns:r="http://schemas.openxmlformats.org/officeDocument/2006/relationships" name="سجل المشاريع" sheetId="21" state="visible" r:id="rId21"/>
    <sheet xmlns:r="http://schemas.openxmlformats.org/officeDocument/2006/relationships" name="قاعدة المؤشرات" sheetId="22" state="hidden" r:id="rId22"/>
  </sheets>
  <definedNames>
    <definedName name="_xlnm._FilterDatabase" localSheetId="3" hidden="1">'تحليل الانحراف'!$A$2:$M$131</definedName>
    <definedName name="_xlnm._FilterDatabase" localSheetId="4" hidden="1">'سجل المخاطر'!$A$2:$K$14</definedName>
    <definedName name="_xlnm._FilterDatabase" localSheetId="5" hidden="1">'ESG والاستدامة'!$A$2:$J$16</definedName>
    <definedName name="_xlnm._FilterDatabase" localSheetId="7" hidden="1">'بطاقة تعريف المؤشرات'!$A$2:$N$185</definedName>
    <definedName name="_xlnm._FilterDatabase" localSheetId="8" hidden="1">'بيانات الباوربي'!$A$1:$Z$184</definedName>
    <definedName name="_xlnm._FilterDatabase" localSheetId="9" hidden="1">'الإدارة التنفيذية'!$A$3:$O$13</definedName>
    <definedName name="_xlnm._FilterDatabase" localSheetId="10" hidden="1">'الامتياز التجاري'!$A$3:$O$33</definedName>
    <definedName name="_xlnm._FilterDatabase" localSheetId="11" hidden="1">'التشغيل والمحطات'!$A$3:$O$19</definedName>
    <definedName name="_xlnm._FilterDatabase" localSheetId="12" hidden="1">'الاستثمار'!$A$3:$O$27</definedName>
    <definedName name="_xlnm._FilterDatabase" localSheetId="13" hidden="1">'العقار'!$A$3:$O$19</definedName>
    <definedName name="_xlnm._FilterDatabase" localSheetId="14" hidden="1">'التقنية الرقمية'!$A$3:$O$12</definedName>
    <definedName name="_xlnm._FilterDatabase" localSheetId="15" hidden="1">'الموارد البشرية'!$A$3:$O$20</definedName>
    <definedName name="_xlnm._FilterDatabase" localSheetId="16" hidden="1">'التسويق'!$A$3:$O$18</definedName>
    <definedName name="_xlnm._FilterDatabase" localSheetId="17" hidden="1">'الجودة'!$A$3:$O$17</definedName>
    <definedName name="_xlnm._FilterDatabase" localSheetId="18" hidden="1">'الإدارة القانونية'!$A$3:$O$11</definedName>
    <definedName name="_xlnm._FilterDatabase" localSheetId="19" hidden="1">'الإدارة المالية'!$A$3:$O$27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C00000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8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2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2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10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9" fontId="2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9" fontId="6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9" fontId="6" fillId="5" borderId="1" applyAlignment="1" applyProtection="1" pivotButton="0" quotePrefix="0" xfId="0">
      <alignment horizontal="center" vertical="center"/>
      <protection locked="0" hidden="0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المؤشرات'!$G$2:$G$184,'قاعدة المؤشرات'!$D$2:$D$184,"النمو"),"—")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المؤشرات'!$G$2:$G$184,'قاعدة المؤشرات'!$D$2:$D$184,"الابتكار"),"—")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المؤشرات'!$G$2:$G$184,'قاعدة المؤشرات'!$D$2:$D$184,"الاستدامة"),"—")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المؤشرات'!$E$2:$E$184,"التوسع في المواقع")</f>
        <v/>
      </c>
      <c r="E19" s="10">
        <f>IFERROR(AVERAGEIFS('قاعدة المؤشرات'!$G$2:$G$184,'قاعدة المؤشرات'!$E$2:$E$184,"التوسع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المؤشرات'!$E$2:$E$184,"الامتياز التجاري")</f>
        <v/>
      </c>
      <c r="E20" s="10">
        <f>IFERROR(AVERAGEIFS('قاعدة المؤشرات'!$G$2:$G$184,'قاعدة المؤشرات'!$E$2:$E$184,"الامتياز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المؤشرات'!$E$2:$E$184,"زيادة وصول العملاء")</f>
        <v/>
      </c>
      <c r="E21" s="10">
        <f>IFERROR(AVERAGEIFS('قاعدة المؤشرات'!$G$2:$G$184,'قاعدة المؤشرات'!$E$2:$E$184,"زيادة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المؤشرات'!$E$2:$E$184,"إطلاق مشاريع جديدة")</f>
        <v/>
      </c>
      <c r="E22" s="10">
        <f>IFERROR(AVERAGEIFS('قاعدة المؤشرات'!$G$2:$G$184,'قاعدة المؤشرات'!$E$2:$E$184,"إطلاق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المؤشرات'!$E$2:$E$184,"تطوير التصاميم والهوية")</f>
        <v/>
      </c>
      <c r="E23" s="10">
        <f>IFERROR(AVERAGEIFS('قاعدة المؤشرات'!$G$2:$G$184,'قاعدة المؤشرات'!$E$2:$E$184,"تطوير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المؤشرات'!$E$2:$E$184,"التحول التقني")</f>
        <v/>
      </c>
      <c r="E24" s="10">
        <f>IFERROR(AVERAGEIFS('قاعدة المؤشرات'!$G$2:$G$184,'قاعدة المؤشرات'!$E$2:$E$184,"التحول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المؤشرات'!$E$2:$E$184,"ساحات درب")</f>
        <v/>
      </c>
      <c r="E25" s="10">
        <f>IFERROR(AVERAGEIFS('قاعدة المؤشرات'!$G$2:$G$184,'قاعدة المؤشرات'!$E$2:$E$184,"ساحات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المؤشرات'!$E$2:$E$184,"تطبيق «تانكي»")</f>
        <v/>
      </c>
      <c r="E26" s="10">
        <f>IFERROR(AVERAGEIFS('قاعدة المؤشرات'!$G$2:$G$184,'قاعدة المؤشرات'!$E$2:$E$184,"تطبيق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المؤشرات'!$E$2:$E$184,"تعزيز تجربة العملاء")</f>
        <v/>
      </c>
      <c r="E27" s="10">
        <f>IFERROR(AVERAGEIFS('قاعدة المؤشرات'!$G$2:$G$184,'قاعدة المؤشرات'!$E$2:$E$184,"تعزيز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المؤشرات'!$E$2:$E$184,"جودة التشغيل")</f>
        <v/>
      </c>
      <c r="E28" s="10">
        <f>IFERROR(AVERAGEIFS('قاعدة المؤشرات'!$G$2:$G$184,'قاعدة المؤشرات'!$E$2:$E$184,"جودة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المؤشرات'!$E$2:$E$184,"منظومة التأجير")</f>
        <v/>
      </c>
      <c r="E29" s="10">
        <f>IFERROR(AVERAGEIFS('قاعدة المؤشرات'!$G$2:$G$184,'قاعدة المؤشرات'!$E$2:$E$184,"منظومة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المؤشرات'!$E$2:$E$184,"الاستثمار في الموظفين")</f>
        <v/>
      </c>
      <c r="E30" s="10">
        <f>IFERROR(AVERAGEIFS('قاعدة المؤشرات'!$G$2:$G$184,'قاعدة المؤشرات'!$E$2:$E$184,"الاستثمار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29" t="inlineStr">
        <is>
          <t>اللوحة الموجزة — إنجاز موزون (وزن المؤشر × وزن الإدارة) · سقف 100%</t>
        </is>
      </c>
    </row>
    <row r="4">
      <c r="B4" s="30" t="inlineStr">
        <is>
          <t>الإنجاز العام (موزون)</t>
        </is>
      </c>
      <c r="C4" s="31" t="inlineStr">
        <is>
          <t>✅ محقق</t>
        </is>
      </c>
      <c r="D4" s="31" t="inlineStr">
        <is>
          <t>🟡 قريب</t>
        </is>
      </c>
      <c r="E4" s="31" t="inlineStr">
        <is>
          <t>🔴 تحت الهدف</t>
        </is>
      </c>
    </row>
    <row r="5">
      <c r="B5" s="4">
        <f>IFERROR(SUMPRODUCT(I9:I19,H9:H19)/SUMPRODUCT(I9:I19,J9:J19),0)</f>
        <v/>
      </c>
      <c r="C5" s="5">
        <f>COUNTIFS('قاعدة المؤشرات'!$H$2:$H$184,"✅ محقق",'قاعدة المؤشرات'!$B$2:$B$184,"&lt;&gt;الإدارة التنفيذية")</f>
        <v/>
      </c>
      <c r="D5" s="5">
        <f>COUNTIFS('قاعدة المؤشرات'!$H$2:$H$184,"🟡 قريب",'قاعدة المؤشرات'!$B$2:$B$184,"&lt;&gt;الإدارة التنفيذية")</f>
        <v/>
      </c>
      <c r="E5" s="5">
        <f>COUNTIFS('قاعدة المؤشرات'!$H$2:$H$184,"🔴 تحت الهدف",'قاعدة المؤشرات'!$B$2:$B$184,"&lt;&gt;الإدارة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31" t="inlineStr">
        <is>
          <t>الإدارة</t>
        </is>
      </c>
      <c r="C8" s="31" t="inlineStr">
        <is>
          <t>الأداء</t>
        </is>
      </c>
      <c r="D8" s="31" t="inlineStr">
        <is>
          <t>الركيزة</t>
        </is>
      </c>
      <c r="E8" s="31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المؤشرات'!$B$2:$B$184,"الإدارة التنفيذية",'قاعدة المؤشرات'!$J$2:$J$184)/SUMIF('قاعدة المؤشرات'!$B$2:$B$184,"الإدارة التنفيذية",'قاعدة المؤشرات'!$K$2:$K$184),"—")</f>
        <v/>
      </c>
      <c r="D9" s="9" t="inlineStr">
        <is>
          <t>النمو</t>
        </is>
      </c>
      <c r="E9" s="10">
        <f>IFERROR(AVERAGEIFS('قاعدة المؤشرات'!$G$2:$G$184,'قاعدة المؤشرات'!$D$2:$D$184,"النمو"),"—")</f>
        <v/>
      </c>
      <c r="H9" s="15">
        <f>IFERROR(SUMIF('قاعدة المؤشرات'!$B$2:$B$184,"الإدارة التنفيذية",'قاعدة المؤشرات'!$J$2:$J$184)/SUMIF('قاعدة المؤشرات'!$B$2:$B$184,"الإدارة التنفيذية",'قاعدة المؤشرات'!$K$2:$K$184),0)</f>
        <v/>
      </c>
      <c r="I9" s="15" t="n">
        <v>0</v>
      </c>
      <c r="J9" s="15">
        <f>IF(SUMIF('قاعدة المؤشرات'!$B$2:$B$184,"الإدارة التنفيذية",'قاعدة المؤشرات'!$K$2:$K$184)=0,0,1)</f>
        <v/>
      </c>
    </row>
    <row r="10">
      <c r="B10" s="9" t="inlineStr">
        <is>
          <t>الامتياز التجاري</t>
        </is>
      </c>
      <c r="C10" s="10">
        <f>IFERROR(SUMIF('قاعدة المؤشرات'!$B$2:$B$184,"الامتياز التجاري",'قاعدة المؤشرات'!$J$2:$J$184)/SUMIF('قاعدة المؤشرات'!$B$2:$B$184,"الامتياز التجاري",'قاعدة المؤشرات'!$K$2:$K$184),"—")</f>
        <v/>
      </c>
      <c r="D10" s="9" t="inlineStr">
        <is>
          <t>الابتكار</t>
        </is>
      </c>
      <c r="E10" s="10">
        <f>IFERROR(AVERAGEIFS('قاعدة المؤشرات'!$G$2:$G$184,'قاعدة المؤشرات'!$D$2:$D$184,"الابتكار"),"—")</f>
        <v/>
      </c>
      <c r="H10" s="15">
        <f>IFERROR(SUMIF('قاعدة المؤشرات'!$B$2:$B$184,"الامتياز التجاري",'قاعدة المؤشرات'!$J$2:$J$184)/SUMIF('قاعدة المؤشرات'!$B$2:$B$184,"الامتياز التجاري",'قاعدة المؤشرات'!$K$2:$K$184),0)</f>
        <v/>
      </c>
      <c r="I10" s="15" t="n">
        <v>0.17</v>
      </c>
      <c r="J10" s="15">
        <f>IF(SUMIF('قاعدة المؤشرات'!$B$2:$B$184,"الامتياز التجاري",'قاعدة المؤشرات'!$K$2:$K$184)=0,0,1)</f>
        <v/>
      </c>
    </row>
    <row r="11">
      <c r="B11" s="9" t="inlineStr">
        <is>
          <t>التشغيل والمحطات</t>
        </is>
      </c>
      <c r="C11" s="10">
        <f>IFERROR(SUMIF('قاعدة المؤشرات'!$B$2:$B$184,"التشغيل والمحطات",'قاعدة المؤشرات'!$J$2:$J$184)/SUMIF('قاعدة المؤشرات'!$B$2:$B$184,"التشغيل والمحطات",'قاعدة المؤشرات'!$K$2:$K$184),"—")</f>
        <v/>
      </c>
      <c r="D11" s="9" t="inlineStr">
        <is>
          <t>الاستدامة</t>
        </is>
      </c>
      <c r="E11" s="10">
        <f>IFERROR(AVERAGEIFS('قاعدة المؤشرات'!$G$2:$G$184,'قاعدة المؤشرات'!$D$2:$D$184,"الاستدامة"),"—")</f>
        <v/>
      </c>
      <c r="H11" s="15">
        <f>IFERROR(SUMIF('قاعدة المؤشرات'!$B$2:$B$184,"التشغيل والمحطات",'قاعدة المؤشرات'!$J$2:$J$184)/SUMIF('قاعدة المؤشرات'!$B$2:$B$184,"التشغيل والمحطات",'قاعدة المؤشرات'!$K$2:$K$184),0)</f>
        <v/>
      </c>
      <c r="I11" s="15" t="n">
        <v>0.15</v>
      </c>
      <c r="J11" s="15">
        <f>IF(SUMIF('قاعدة المؤشرات'!$B$2:$B$184,"التشغيل والمحطات",'قاعدة المؤشرات'!$K$2:$K$184)=0,0,1)</f>
        <v/>
      </c>
    </row>
    <row r="12">
      <c r="B12" s="9" t="inlineStr">
        <is>
          <t>الاستثمار</t>
        </is>
      </c>
      <c r="C12" s="10">
        <f>IFERROR(SUMIF('قاعدة المؤشرات'!$B$2:$B$184,"الاستثمار",'قاعدة المؤشرات'!$J$2:$J$184)/SUMIF('قاعدة المؤشرات'!$B$2:$B$184,"الاستثمار",'قاعدة المؤشرات'!$K$2:$K$184),"—")</f>
        <v/>
      </c>
      <c r="H12" s="15">
        <f>IFERROR(SUMIF('قاعدة المؤشرات'!$B$2:$B$184,"الاستثمار",'قاعدة المؤشرات'!$J$2:$J$184)/SUMIF('قاعدة المؤشرات'!$B$2:$B$184,"الاستثمار",'قاعدة المؤشرات'!$K$2:$K$184),0)</f>
        <v/>
      </c>
      <c r="I12" s="15" t="n">
        <v>0.14</v>
      </c>
      <c r="J12" s="15">
        <f>IF(SUMIF('قاعدة المؤشرات'!$B$2:$B$184,"الاستثمار",'قاعدة المؤشرات'!$K$2:$K$184)=0,0,1)</f>
        <v/>
      </c>
    </row>
    <row r="13">
      <c r="B13" s="9" t="inlineStr">
        <is>
          <t>العقار</t>
        </is>
      </c>
      <c r="C13" s="10">
        <f>IFERROR(SUMIF('قاعدة المؤشرات'!$B$2:$B$184,"العقار",'قاعدة المؤشرات'!$J$2:$J$184)/SUMIF('قاعدة المؤشرات'!$B$2:$B$184,"العقار",'قاعدة المؤشرات'!$K$2:$K$184),"—")</f>
        <v/>
      </c>
      <c r="D13" s="30" t="inlineStr">
        <is>
          <t>حسب منظور BSC</t>
        </is>
      </c>
      <c r="E13" s="7" t="n"/>
      <c r="H13" s="15">
        <f>IFERROR(SUMIF('قاعدة المؤشرات'!$B$2:$B$184,"العقار",'قاعدة المؤشرات'!$J$2:$J$184)/SUMIF('قاعدة المؤشرات'!$B$2:$B$184,"العقار",'قاعدة المؤشرات'!$K$2:$K$184),0)</f>
        <v/>
      </c>
      <c r="I13" s="15" t="n">
        <v>0.12</v>
      </c>
      <c r="J13" s="15">
        <f>IF(SUMIF('قاعدة المؤشرات'!$B$2:$B$184,"العقار",'قاعدة المؤشرات'!$K$2:$K$184)=0,0,1)</f>
        <v/>
      </c>
    </row>
    <row r="14">
      <c r="B14" s="9" t="inlineStr">
        <is>
          <t>التقنية الرقمية</t>
        </is>
      </c>
      <c r="C14" s="10">
        <f>IFERROR(SUMIF('قاعدة المؤشرات'!$B$2:$B$184,"التقنية الرقمية",'قاعدة المؤشرات'!$J$2:$J$184)/SUMIF('قاعدة المؤشرات'!$B$2:$B$184,"التقنية الرقمية",'قاعدة المؤشرات'!$K$2:$K$184),"—")</f>
        <v/>
      </c>
      <c r="D14" s="9" t="inlineStr">
        <is>
          <t>مالي</t>
        </is>
      </c>
      <c r="E14" s="10">
        <f>IFERROR(AVERAGEIFS('قاعدة المؤشرات'!$G$2:$G$184,'قاعدة المؤشرات'!$F$2:$F$184,"مالي"),"—")</f>
        <v/>
      </c>
      <c r="H14" s="15">
        <f>IFERROR(SUMIF('قاعدة المؤشرات'!$B$2:$B$184,"التقنية الرقمية",'قاعدة المؤشرات'!$J$2:$J$184)/SUMIF('قاعدة المؤشرات'!$B$2:$B$184,"التقنية الرقمية",'قاعدة المؤشرات'!$K$2:$K$184),0)</f>
        <v/>
      </c>
      <c r="I14" s="15" t="n">
        <v>0.06</v>
      </c>
      <c r="J14" s="15">
        <f>IF(SUMIF('قاعدة المؤشرات'!$B$2:$B$184,"التقنية الرقمية",'قاعدة المؤشرات'!$K$2:$K$184)=0,0,1)</f>
        <v/>
      </c>
    </row>
    <row r="15">
      <c r="B15" s="9" t="inlineStr">
        <is>
          <t>الموارد البشرية</t>
        </is>
      </c>
      <c r="C15" s="10">
        <f>IFERROR(SUMIF('قاعدة المؤشرات'!$B$2:$B$184,"الموارد البشرية",'قاعدة المؤشرات'!$J$2:$J$184)/SUMIF('قاعدة المؤشرات'!$B$2:$B$184,"الموارد البشرية",'قاعدة المؤشرات'!$K$2:$K$184),"—")</f>
        <v/>
      </c>
      <c r="D15" s="9" t="inlineStr">
        <is>
          <t>العملاء</t>
        </is>
      </c>
      <c r="E15" s="10">
        <f>IFERROR(AVERAGEIFS('قاعدة المؤشرات'!$G$2:$G$184,'قاعدة المؤشرات'!$F$2:$F$184,"العملاء"),"—")</f>
        <v/>
      </c>
      <c r="H15" s="15">
        <f>IFERROR(SUMIF('قاعدة المؤشرات'!$B$2:$B$184,"الموارد البشرية",'قاعدة المؤشرات'!$J$2:$J$184)/SUMIF('قاعدة المؤشرات'!$B$2:$B$184,"الموارد البشرية",'قاعدة المؤشرات'!$K$2:$K$184),0)</f>
        <v/>
      </c>
      <c r="I15" s="15" t="n">
        <v>0.06</v>
      </c>
      <c r="J15" s="15">
        <f>IF(SUMIF('قاعدة المؤشرات'!$B$2:$B$184,"الموارد البشرية",'قاعدة المؤشرات'!$K$2:$K$184)=0,0,1)</f>
        <v/>
      </c>
    </row>
    <row r="16">
      <c r="B16" s="9" t="inlineStr">
        <is>
          <t>التسويق</t>
        </is>
      </c>
      <c r="C16" s="10">
        <f>IFERROR(SUMIF('قاعدة المؤشرات'!$B$2:$B$184,"التسويق",'قاعدة المؤشرات'!$J$2:$J$184)/SUMIF('قاعدة المؤشرات'!$B$2:$B$184,"التسويق",'قاعدة المؤشرات'!$K$2:$K$184),"—")</f>
        <v/>
      </c>
      <c r="D16" s="9" t="inlineStr">
        <is>
          <t>العمليات الداخلية</t>
        </is>
      </c>
      <c r="E16" s="10">
        <f>IFERROR(AVERAGEIFS('قاعدة المؤشرات'!$G$2:$G$184,'قاعدة المؤشرات'!$F$2:$F$184,"العمليات الداخلية"),"—")</f>
        <v/>
      </c>
      <c r="H16" s="15">
        <f>IFERROR(SUMIF('قاعدة المؤشرات'!$B$2:$B$184,"التسويق",'قاعدة المؤشرات'!$J$2:$J$184)/SUMIF('قاعدة المؤشرات'!$B$2:$B$184,"التسويق",'قاعدة المؤشرات'!$K$2:$K$184),0)</f>
        <v/>
      </c>
      <c r="I16" s="15" t="n">
        <v>0.08</v>
      </c>
      <c r="J16" s="15">
        <f>IF(SUMIF('قاعدة المؤشرات'!$B$2:$B$184,"التسويق",'قاعدة المؤشرات'!$K$2:$K$184)=0,0,1)</f>
        <v/>
      </c>
    </row>
    <row r="17">
      <c r="B17" s="9" t="inlineStr">
        <is>
          <t>الجودة</t>
        </is>
      </c>
      <c r="C17" s="10">
        <f>IFERROR(SUMIF('قاعدة المؤشرات'!$B$2:$B$184,"الجودة",'قاعدة المؤشرات'!$J$2:$J$184)/SUMIF('قاعدة المؤشرات'!$B$2:$B$184,"الجودة",'قاعدة المؤشرات'!$K$2:$K$184),"—")</f>
        <v/>
      </c>
      <c r="D17" s="9" t="inlineStr">
        <is>
          <t>التعلّم والنمو</t>
        </is>
      </c>
      <c r="E17" s="10">
        <f>IFERROR(AVERAGEIFS('قاعدة المؤشرات'!$G$2:$G$184,'قاعدة المؤشرات'!$F$2:$F$184,"التعلّم والنمو"),"—")</f>
        <v/>
      </c>
      <c r="H17" s="15">
        <f>IFERROR(SUMIF('قاعدة المؤشرات'!$B$2:$B$184,"الجودة",'قاعدة المؤشرات'!$J$2:$J$184)/SUMIF('قاعدة المؤشرات'!$B$2:$B$184,"الجودة",'قاعدة المؤشرات'!$K$2:$K$184),0)</f>
        <v/>
      </c>
      <c r="I17" s="15" t="n">
        <v>0.07000000000000001</v>
      </c>
      <c r="J17" s="15">
        <f>IF(SUMIF('قاعدة المؤشرات'!$B$2:$B$184,"الجودة",'قاعدة المؤشرات'!$K$2:$K$184)=0,0,1)</f>
        <v/>
      </c>
    </row>
    <row r="18">
      <c r="B18" s="9" t="inlineStr">
        <is>
          <t>الإدارة القانونية</t>
        </is>
      </c>
      <c r="C18" s="10">
        <f>IFERROR(SUMIF('قاعدة المؤشرات'!$B$2:$B$184,"الإدارة القانونية",'قاعدة المؤشرات'!$J$2:$J$184)/SUMIF('قاعدة المؤشرات'!$B$2:$B$184,"الإدارة القانونية",'قاعدة المؤشرات'!$K$2:$K$184),"—")</f>
        <v/>
      </c>
      <c r="H18" s="15">
        <f>IFERROR(SUMIF('قاعدة المؤشرات'!$B$2:$B$184,"الإدارة القانونية",'قاعدة المؤشرات'!$J$2:$J$184)/SUMIF('قاعدة المؤشرات'!$B$2:$B$184,"الإدارة القانونية",'قاعدة المؤشرات'!$K$2:$K$184),0)</f>
        <v/>
      </c>
      <c r="I18" s="15" t="n">
        <v>0.05</v>
      </c>
      <c r="J18" s="15">
        <f>IF(SUMIF('قاعدة المؤشرات'!$B$2:$B$184,"الإدارة القانونية",'قاعدة المؤشرات'!$K$2:$K$184)=0,0,1)</f>
        <v/>
      </c>
    </row>
    <row r="19">
      <c r="B19" s="9" t="inlineStr">
        <is>
          <t>الإدارة المالية</t>
        </is>
      </c>
      <c r="C19" s="10">
        <f>IFERROR(SUMIF('قاعدة المؤشرات'!$B$2:$B$184,"الإدارة المالية",'قاعدة المؤشرات'!$J$2:$J$184)/SUMIF('قاعدة المؤشرات'!$B$2:$B$184,"الإدارة المالية",'قاعدة المؤشرات'!$K$2:$K$184),"—")</f>
        <v/>
      </c>
      <c r="H19" s="15">
        <f>IFERROR(SUMIF('قاعدة المؤشرات'!$B$2:$B$184,"الإدارة المالية",'قاعدة المؤشرات'!$J$2:$J$184)/SUMIF('قاعدة المؤشرات'!$B$2:$B$184,"الإدارة المالية",'قاعدة المؤشرات'!$K$2:$K$184),0)</f>
        <v/>
      </c>
      <c r="I19" s="15" t="n">
        <v>0.1</v>
      </c>
      <c r="J19" s="15">
        <f>IF(SUMIF('قاعدة المؤشرات'!$B$2:$B$184,"الإدارة المالية",'قاعدة المؤشرات'!$K$2:$K$184)=0,0,1)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32" t="inlineStr">
        <is>
          <t>تحليل الانحراف — المؤشرات دون المستهدف مع السبب والإجراء (تقرير الاستثناءات)</t>
        </is>
      </c>
    </row>
    <row r="2">
      <c r="A2" s="33" t="inlineStr">
        <is>
          <t>#</t>
        </is>
      </c>
      <c r="B2" s="33" t="inlineStr">
        <is>
          <t>الإدارة</t>
        </is>
      </c>
      <c r="C2" s="33" t="inlineStr">
        <is>
          <t>المؤشر</t>
        </is>
      </c>
      <c r="D2" s="33" t="inlineStr">
        <is>
          <t>المُحقَّق</t>
        </is>
      </c>
      <c r="E2" s="33" t="inlineStr">
        <is>
          <t>المستهدف</t>
        </is>
      </c>
      <c r="F2" s="33" t="inlineStr">
        <is>
          <t>نسبة التحقيق</t>
        </is>
      </c>
      <c r="G2" s="33" t="inlineStr">
        <is>
          <t>الفجوة</t>
        </is>
      </c>
      <c r="H2" s="33" t="inlineStr">
        <is>
          <t>التنبؤ</t>
        </is>
      </c>
      <c r="I2" s="33" t="inlineStr">
        <is>
          <t>الحالة</t>
        </is>
      </c>
      <c r="J2" s="33" t="inlineStr">
        <is>
          <t>السبب</t>
        </is>
      </c>
      <c r="K2" s="33" t="inlineStr">
        <is>
          <t>الإجراء التصحيحي</t>
        </is>
      </c>
      <c r="L2" s="33" t="inlineStr">
        <is>
          <t>المالك</t>
        </is>
      </c>
      <c r="M2" s="33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34" t="n">
        <v>0</v>
      </c>
      <c r="E3" s="34" t="n">
        <v>0.5</v>
      </c>
      <c r="F3" s="35" t="n">
        <v>0</v>
      </c>
      <c r="G3" s="12" t="n">
        <v>1</v>
      </c>
      <c r="H3" s="34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36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34" t="n">
        <v>0</v>
      </c>
      <c r="E4" s="34" t="n">
        <v>3</v>
      </c>
      <c r="F4" s="35" t="n">
        <v>0</v>
      </c>
      <c r="G4" s="12" t="n">
        <v>1</v>
      </c>
      <c r="H4" s="34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36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34" t="n">
        <v>0</v>
      </c>
      <c r="E5" s="34" t="n">
        <v>3</v>
      </c>
      <c r="F5" s="35" t="n">
        <v>0</v>
      </c>
      <c r="G5" s="12" t="n">
        <v>1</v>
      </c>
      <c r="H5" s="34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36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34" t="n">
        <v>1</v>
      </c>
      <c r="E6" s="34" t="n">
        <v>200</v>
      </c>
      <c r="F6" s="35" t="n">
        <v>0.005</v>
      </c>
      <c r="G6" s="12" t="n">
        <v>0.995</v>
      </c>
      <c r="H6" s="34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36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34" t="n">
        <v>0.06</v>
      </c>
      <c r="E7" s="34" t="n">
        <v>1</v>
      </c>
      <c r="F7" s="35" t="n">
        <v>0.06</v>
      </c>
      <c r="G7" s="12" t="n">
        <v>0.9399999999999999</v>
      </c>
      <c r="H7" s="34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36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34" t="n">
        <v>5000000</v>
      </c>
      <c r="E8" s="34" t="n">
        <v>50000000</v>
      </c>
      <c r="F8" s="35" t="n">
        <v>0.1</v>
      </c>
      <c r="G8" s="12" t="n">
        <v>0.9</v>
      </c>
      <c r="H8" s="34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36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34" t="n">
        <v>0.1</v>
      </c>
      <c r="E9" s="34" t="n">
        <v>1</v>
      </c>
      <c r="F9" s="35" t="n">
        <v>0.1</v>
      </c>
      <c r="G9" s="12" t="n">
        <v>0.9</v>
      </c>
      <c r="H9" s="34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36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34" t="n">
        <v>0.16</v>
      </c>
      <c r="E10" s="34" t="n">
        <v>1</v>
      </c>
      <c r="F10" s="35" t="n">
        <v>0.16</v>
      </c>
      <c r="G10" s="12" t="n">
        <v>0.84</v>
      </c>
      <c r="H10" s="34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36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34" t="n">
        <v>0.2</v>
      </c>
      <c r="E11" s="34" t="n">
        <v>1</v>
      </c>
      <c r="F11" s="35" t="n">
        <v>0.2</v>
      </c>
      <c r="G11" s="12" t="n">
        <v>0.8</v>
      </c>
      <c r="H11" s="34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36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34" t="n">
        <v>1500000</v>
      </c>
      <c r="E12" s="34" t="n">
        <v>7000000</v>
      </c>
      <c r="F12" s="35" t="n">
        <v>0.2142857142857143</v>
      </c>
      <c r="G12" s="12" t="n">
        <v>0.7857142857142857</v>
      </c>
      <c r="H12" s="34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36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34" t="n">
        <v>11</v>
      </c>
      <c r="E13" s="34" t="n">
        <v>48</v>
      </c>
      <c r="F13" s="35" t="n">
        <v>0.2291666666666667</v>
      </c>
      <c r="G13" s="12" t="n">
        <v>0.7708333333333334</v>
      </c>
      <c r="H13" s="34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36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34" t="n">
        <v>0.3</v>
      </c>
      <c r="E14" s="34" t="n">
        <v>1</v>
      </c>
      <c r="F14" s="35" t="n">
        <v>0.3</v>
      </c>
      <c r="G14" s="12" t="n">
        <v>0.7</v>
      </c>
      <c r="H14" s="34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36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34" t="n">
        <v>0.33</v>
      </c>
      <c r="E15" s="34" t="n">
        <v>1</v>
      </c>
      <c r="F15" s="35" t="n">
        <v>0.33</v>
      </c>
      <c r="G15" s="12" t="n">
        <v>0.6699999999999999</v>
      </c>
      <c r="H15" s="34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36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34" t="n">
        <v>253000</v>
      </c>
      <c r="E16" s="34" t="n">
        <v>380000</v>
      </c>
      <c r="F16" s="35" t="n">
        <v>0.6657894736842105</v>
      </c>
      <c r="G16" s="12" t="n">
        <v>0.3342105263157895</v>
      </c>
      <c r="H16" s="34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36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34" t="n">
        <v>0.17</v>
      </c>
      <c r="E17" s="34" t="n">
        <v>0.25</v>
      </c>
      <c r="F17" s="35" t="n">
        <v>0.68</v>
      </c>
      <c r="G17" s="12" t="n">
        <v>0.32</v>
      </c>
      <c r="H17" s="34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36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34" t="n">
        <v>0.21</v>
      </c>
      <c r="E18" s="34" t="n">
        <v>0.3</v>
      </c>
      <c r="F18" s="35" t="n">
        <v>0.7</v>
      </c>
      <c r="G18" s="12" t="n">
        <v>0.3</v>
      </c>
      <c r="H18" s="34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36" t="n"/>
    </row>
    <row r="19">
      <c r="A19" s="15" t="n">
        <v>17</v>
      </c>
      <c r="B19" s="13" t="inlineStr">
        <is>
          <t>التسويق</t>
        </is>
      </c>
      <c r="C19" s="24" t="inlineStr">
        <is>
          <t>مشاركات تطبيق تانكي</t>
        </is>
      </c>
      <c r="D19" s="34" t="n">
        <v>180.7</v>
      </c>
      <c r="E19" s="34" t="n">
        <v>250</v>
      </c>
      <c r="F19" s="35" t="n">
        <v>0.7228</v>
      </c>
      <c r="G19" s="12" t="n">
        <v>0.2772</v>
      </c>
      <c r="H19" s="34" t="n">
        <v>361.4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التسويق</t>
        </is>
      </c>
      <c r="M19" s="36" t="n"/>
    </row>
    <row r="20">
      <c r="A20" s="15" t="n">
        <v>18</v>
      </c>
      <c r="B20" s="13" t="inlineStr">
        <is>
          <t>الموارد البشرية</t>
        </is>
      </c>
      <c r="C20" s="24" t="inlineStr">
        <is>
          <t>الارتقاء بآليات اختيار المرشحين</t>
        </is>
      </c>
      <c r="D20" s="34" t="n">
        <v>0.723</v>
      </c>
      <c r="E20" s="34" t="n">
        <v>1</v>
      </c>
      <c r="F20" s="35" t="n">
        <v>0.723</v>
      </c>
      <c r="G20" s="12" t="n">
        <v>0.277</v>
      </c>
      <c r="H20" s="34" t="n">
        <v>0.723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الموارد البشرية</t>
        </is>
      </c>
      <c r="M20" s="36" t="n"/>
    </row>
    <row r="21">
      <c r="A21" s="15" t="n">
        <v>19</v>
      </c>
      <c r="B21" s="13" t="inlineStr">
        <is>
          <t>الاستثمار</t>
        </is>
      </c>
      <c r="C21" s="24" t="inlineStr">
        <is>
          <t>عقود تشغيل المحطة الجديدة</t>
        </is>
      </c>
      <c r="D21" s="34" t="n">
        <v>49.4</v>
      </c>
      <c r="E21" s="34" t="n">
        <v>68</v>
      </c>
      <c r="F21" s="35" t="n">
        <v>0.7264705882352941</v>
      </c>
      <c r="G21" s="12" t="n">
        <v>0.2735294117647059</v>
      </c>
      <c r="H21" s="34" t="n">
        <v>98.8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الاستثمار</t>
        </is>
      </c>
      <c r="M21" s="36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الاستشارات المُنجزة ضمن المدة المستهدفة (SLA)</t>
        </is>
      </c>
      <c r="D22" s="34" t="n">
        <v>0.659</v>
      </c>
      <c r="E22" s="34" t="n">
        <v>0.9</v>
      </c>
      <c r="F22" s="35" t="n">
        <v>0.7322222222222222</v>
      </c>
      <c r="G22" s="12" t="n">
        <v>0.2677777777777778</v>
      </c>
      <c r="H22" s="34" t="n">
        <v>0.659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36" t="n"/>
    </row>
    <row r="23">
      <c r="A23" s="15" t="n">
        <v>21</v>
      </c>
      <c r="B23" s="13" t="inlineStr">
        <is>
          <t>الامتياز التجاري</t>
        </is>
      </c>
      <c r="C23" s="24" t="inlineStr">
        <is>
          <t>عدد محطات الامتياز المشغّلة (تراكمي)</t>
        </is>
      </c>
      <c r="D23" s="34" t="n">
        <v>110</v>
      </c>
      <c r="E23" s="34" t="n">
        <v>150</v>
      </c>
      <c r="F23" s="35" t="n">
        <v>0.7333333333333333</v>
      </c>
      <c r="G23" s="12" t="n">
        <v>0.2666666666666667</v>
      </c>
      <c r="H23" s="34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36" t="n"/>
    </row>
    <row r="24">
      <c r="A24" s="15" t="n">
        <v>22</v>
      </c>
      <c r="B24" s="13" t="inlineStr">
        <is>
          <t>الإدارة المالية</t>
        </is>
      </c>
      <c r="C24" s="24" t="inlineStr">
        <is>
          <t>نسبة التحصيل العام (الشركة)</t>
        </is>
      </c>
      <c r="D24" s="34" t="n">
        <v>0.699</v>
      </c>
      <c r="E24" s="34" t="n">
        <v>0.95</v>
      </c>
      <c r="F24" s="35" t="n">
        <v>0.7357894736842105</v>
      </c>
      <c r="G24" s="12" t="n">
        <v>0.2642105263157895</v>
      </c>
      <c r="H24" s="34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36" t="n"/>
    </row>
    <row r="25">
      <c r="A25" s="15" t="n">
        <v>23</v>
      </c>
      <c r="B25" s="13" t="inlineStr">
        <is>
          <t>الاستثمار</t>
        </is>
      </c>
      <c r="C25" s="24" t="inlineStr">
        <is>
          <t>عقود تأجير الأرض الجديدة</t>
        </is>
      </c>
      <c r="D25" s="34" t="n">
        <v>8.1</v>
      </c>
      <c r="E25" s="34" t="n">
        <v>11</v>
      </c>
      <c r="F25" s="35" t="n">
        <v>0.7363636363636363</v>
      </c>
      <c r="G25" s="12" t="n">
        <v>0.2636363636363637</v>
      </c>
      <c r="H25" s="34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36" t="n"/>
    </row>
    <row r="26">
      <c r="A26" s="15" t="n">
        <v>24</v>
      </c>
      <c r="B26" s="13" t="inlineStr">
        <is>
          <t>الاستثمار</t>
        </is>
      </c>
      <c r="C26" s="24" t="inlineStr">
        <is>
          <t>نسبة تخفيض إيجار المواقع عالية التكاليف</t>
        </is>
      </c>
      <c r="D26" s="34" t="n">
        <v>0.221</v>
      </c>
      <c r="E26" s="34" t="n">
        <v>0.3</v>
      </c>
      <c r="F26" s="35" t="n">
        <v>0.7366666666666667</v>
      </c>
      <c r="G26" s="12" t="n">
        <v>0.2633333333333333</v>
      </c>
      <c r="H26" s="34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36" t="n"/>
    </row>
    <row r="27">
      <c r="A27" s="15" t="n">
        <v>25</v>
      </c>
      <c r="B27" s="13" t="inlineStr">
        <is>
          <t>الامتياز التجاري</t>
        </is>
      </c>
      <c r="C27" s="24" t="inlineStr">
        <is>
          <t>متوسط تقييم المحطات على خرائط قوقل</t>
        </is>
      </c>
      <c r="D27" s="34" t="n">
        <v>3.474</v>
      </c>
      <c r="E27" s="34" t="n">
        <v>4.7</v>
      </c>
      <c r="F27" s="35" t="n">
        <v>0.7391489361702128</v>
      </c>
      <c r="G27" s="12" t="n">
        <v>0.2608510638297872</v>
      </c>
      <c r="H27" s="34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36" t="n"/>
    </row>
    <row r="28">
      <c r="A28" s="15" t="n">
        <v>26</v>
      </c>
      <c r="B28" s="13" t="inlineStr">
        <is>
          <t>الإدارة المالية</t>
        </is>
      </c>
      <c r="C28" s="24" t="inlineStr">
        <is>
          <t>العائد على حقوق الملكية (ROE)</t>
        </is>
      </c>
      <c r="D28" s="34" t="n">
        <v>0.074</v>
      </c>
      <c r="E28" s="34" t="n">
        <v>0.1</v>
      </c>
      <c r="F28" s="35" t="n">
        <v>0.7399999999999999</v>
      </c>
      <c r="G28" s="12" t="n">
        <v>0.2600000000000001</v>
      </c>
      <c r="H28" s="34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36" t="n"/>
    </row>
    <row r="29">
      <c r="A29" s="15" t="n">
        <v>27</v>
      </c>
      <c r="B29" s="13" t="inlineStr">
        <is>
          <t>التقنية الرقمية</t>
        </is>
      </c>
      <c r="C29" s="24" t="inlineStr">
        <is>
          <t>نسبة الالتزام بنطاق العمل</t>
        </is>
      </c>
      <c r="D29" s="34" t="n">
        <v>0.703</v>
      </c>
      <c r="E29" s="34" t="n">
        <v>0.95</v>
      </c>
      <c r="F29" s="35" t="n">
        <v>0.74</v>
      </c>
      <c r="G29" s="12" t="n">
        <v>0.26</v>
      </c>
      <c r="H29" s="34" t="n">
        <v>0.703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36" t="n"/>
    </row>
    <row r="30">
      <c r="A30" s="15" t="n">
        <v>28</v>
      </c>
      <c r="B30" s="13" t="inlineStr">
        <is>
          <t>الموارد البشرية</t>
        </is>
      </c>
      <c r="C30" s="24" t="inlineStr">
        <is>
          <t>ترسيخ القيم والثقافة المؤسسية</t>
        </is>
      </c>
      <c r="D30" s="34" t="n">
        <v>0.742</v>
      </c>
      <c r="E30" s="34" t="n">
        <v>1</v>
      </c>
      <c r="F30" s="35" t="n">
        <v>0.742</v>
      </c>
      <c r="G30" s="12" t="n">
        <v>0.258</v>
      </c>
      <c r="H30" s="34" t="n">
        <v>0.742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36" t="n"/>
    </row>
    <row r="31">
      <c r="A31" s="15" t="n">
        <v>29</v>
      </c>
      <c r="B31" s="13" t="inlineStr">
        <is>
          <t>التشغيل والمحطات</t>
        </is>
      </c>
      <c r="C31" s="24" t="inlineStr">
        <is>
          <t>التشجير داخل المحطة (معيار الوزارة)</t>
        </is>
      </c>
      <c r="D31" s="34" t="n">
        <v>0.747</v>
      </c>
      <c r="E31" s="34" t="n">
        <v>1</v>
      </c>
      <c r="F31" s="35" t="n">
        <v>0.747</v>
      </c>
      <c r="G31" s="12" t="n">
        <v>0.253</v>
      </c>
      <c r="H31" s="34" t="n">
        <v>0.747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التشغيل</t>
        </is>
      </c>
      <c r="M31" s="36" t="n"/>
    </row>
    <row r="32">
      <c r="A32" s="15" t="n">
        <v>30</v>
      </c>
      <c r="B32" s="13" t="inlineStr">
        <is>
          <t>الامتياز التجاري</t>
        </is>
      </c>
      <c r="C32" s="24" t="inlineStr">
        <is>
          <t>نسبة أتمتة محطات الامتياز</t>
        </is>
      </c>
      <c r="D32" s="34" t="n">
        <v>0.674</v>
      </c>
      <c r="E32" s="34" t="n">
        <v>0.9</v>
      </c>
      <c r="F32" s="35" t="n">
        <v>0.7488888888888889</v>
      </c>
      <c r="G32" s="12" t="n">
        <v>0.2511111111111111</v>
      </c>
      <c r="H32" s="34" t="n">
        <v>0.674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الامتياز</t>
        </is>
      </c>
      <c r="M32" s="36" t="n"/>
    </row>
    <row r="33">
      <c r="A33" s="15" t="n">
        <v>31</v>
      </c>
      <c r="B33" s="13" t="inlineStr">
        <is>
          <t>الإدارة التنفيذية</t>
        </is>
      </c>
      <c r="C33" s="24" t="inlineStr">
        <is>
          <t>الالتزام بمعايير وزارة الطاقة (تغطية 13 منطقة)</t>
        </is>
      </c>
      <c r="D33" s="34" t="n">
        <v>0.749</v>
      </c>
      <c r="E33" s="34" t="n">
        <v>1</v>
      </c>
      <c r="F33" s="35" t="n">
        <v>0.749</v>
      </c>
      <c r="G33" s="12" t="n">
        <v>0.251</v>
      </c>
      <c r="H33" s="34" t="n">
        <v>0.749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36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مؤشر رضا الموظفين العام (eNPS)</t>
        </is>
      </c>
      <c r="D34" s="34" t="n">
        <v>22.5</v>
      </c>
      <c r="E34" s="34" t="n">
        <v>30</v>
      </c>
      <c r="F34" s="35" t="n">
        <v>0.75</v>
      </c>
      <c r="G34" s="12" t="n">
        <v>0.25</v>
      </c>
      <c r="H34" s="34" t="n">
        <v>22.5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الرئيس التنفيذي</t>
        </is>
      </c>
      <c r="M34" s="36" t="n"/>
    </row>
    <row r="35">
      <c r="A35" s="15" t="n">
        <v>33</v>
      </c>
      <c r="B35" s="13" t="inlineStr">
        <is>
          <t>الاستثمار</t>
        </is>
      </c>
      <c r="C35" s="24" t="inlineStr">
        <is>
          <t>نسبة اكتمال المستندات النظامية قبل التوقيع</t>
        </is>
      </c>
      <c r="D35" s="34" t="n">
        <v>0.751</v>
      </c>
      <c r="E35" s="34" t="n">
        <v>1</v>
      </c>
      <c r="F35" s="35" t="n">
        <v>0.751</v>
      </c>
      <c r="G35" s="12" t="n">
        <v>0.249</v>
      </c>
      <c r="H35" s="34" t="n">
        <v>0.751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36" t="n"/>
    </row>
    <row r="36">
      <c r="A36" s="15" t="n">
        <v>34</v>
      </c>
      <c r="B36" s="13" t="inlineStr">
        <is>
          <t>الموارد البشرية</t>
        </is>
      </c>
      <c r="C36" s="24" t="inlineStr">
        <is>
          <t>عدد الدورات الإدارية المنعقدة</t>
        </is>
      </c>
      <c r="D36" s="34" t="n">
        <v>4.53</v>
      </c>
      <c r="E36" s="34" t="n">
        <v>6</v>
      </c>
      <c r="F36" s="35" t="n">
        <v>0.755</v>
      </c>
      <c r="G36" s="12" t="n">
        <v>0.245</v>
      </c>
      <c r="H36" s="34" t="n">
        <v>9.06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36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34" t="n">
        <v>0.76</v>
      </c>
      <c r="E37" s="34" t="n">
        <v>1</v>
      </c>
      <c r="F37" s="35" t="n">
        <v>0.76</v>
      </c>
      <c r="G37" s="12" t="n">
        <v>0.24</v>
      </c>
      <c r="H37" s="34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36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34" t="n">
        <v>0.648</v>
      </c>
      <c r="E38" s="34" t="n">
        <v>0.85</v>
      </c>
      <c r="F38" s="35" t="n">
        <v>0.7623529411764707</v>
      </c>
      <c r="G38" s="12" t="n">
        <v>0.2376470588235293</v>
      </c>
      <c r="H38" s="34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36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34" t="n">
        <v>0.6870000000000001</v>
      </c>
      <c r="E39" s="34" t="n">
        <v>0.9</v>
      </c>
      <c r="F39" s="35" t="n">
        <v>0.7633333333333334</v>
      </c>
      <c r="G39" s="12" t="n">
        <v>0.2366666666666666</v>
      </c>
      <c r="H39" s="34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36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34" t="n">
        <v>0.728</v>
      </c>
      <c r="E40" s="34" t="n">
        <v>0.95</v>
      </c>
      <c r="F40" s="35" t="n">
        <v>0.7663157894736842</v>
      </c>
      <c r="G40" s="12" t="n">
        <v>0.2336842105263158</v>
      </c>
      <c r="H40" s="34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36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34" t="n">
        <v>0.754</v>
      </c>
      <c r="E41" s="34" t="n">
        <v>0.98</v>
      </c>
      <c r="F41" s="35" t="n">
        <v>0.7693877551020408</v>
      </c>
      <c r="G41" s="12" t="n">
        <v>0.2306122448979592</v>
      </c>
      <c r="H41" s="34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36" t="n"/>
    </row>
    <row r="42">
      <c r="A42" s="15" t="n">
        <v>40</v>
      </c>
      <c r="B42" s="13" t="inlineStr">
        <is>
          <t>الاستثمار</t>
        </is>
      </c>
      <c r="C42" s="24" t="inlineStr">
        <is>
          <t>نسبة العقود المؤرشفة إلكترونياً خلال 48 ساعة</t>
        </is>
      </c>
      <c r="D42" s="34" t="n">
        <v>0.736</v>
      </c>
      <c r="E42" s="34" t="n">
        <v>0.95</v>
      </c>
      <c r="F42" s="35" t="n">
        <v>0.7747368421052632</v>
      </c>
      <c r="G42" s="12" t="n">
        <v>0.2252631578947368</v>
      </c>
      <c r="H42" s="34" t="n">
        <v>0.736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الاستثمار</t>
        </is>
      </c>
      <c r="M42" s="36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هامش EBITDA</t>
        </is>
      </c>
      <c r="D43" s="34" t="n">
        <v>0.062</v>
      </c>
      <c r="E43" s="34" t="n">
        <v>0.08</v>
      </c>
      <c r="F43" s="35" t="n">
        <v>0.775</v>
      </c>
      <c r="G43" s="12" t="n">
        <v>0.225</v>
      </c>
      <c r="H43" s="34" t="n">
        <v>0.062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36" t="n"/>
    </row>
    <row r="44">
      <c r="A44" s="15" t="n">
        <v>42</v>
      </c>
      <c r="B44" s="13" t="inlineStr">
        <is>
          <t>العقار</t>
        </is>
      </c>
      <c r="C44" s="24" t="inlineStr">
        <is>
          <t>نسبة إغلاق الطلبات خلال 3 أسابيع</t>
        </is>
      </c>
      <c r="D44" s="34" t="n">
        <v>0.698</v>
      </c>
      <c r="E44" s="34" t="n">
        <v>0.9</v>
      </c>
      <c r="F44" s="35" t="n">
        <v>0.7755555555555554</v>
      </c>
      <c r="G44" s="12" t="n">
        <v>0.2244444444444446</v>
      </c>
      <c r="H44" s="34" t="n">
        <v>0.698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العقار</t>
        </is>
      </c>
      <c r="M44" s="36" t="n"/>
    </row>
    <row r="45">
      <c r="A45" s="15" t="n">
        <v>43</v>
      </c>
      <c r="B45" s="13" t="inlineStr">
        <is>
          <t>الإدارة المالية</t>
        </is>
      </c>
      <c r="C45" s="24" t="inlineStr">
        <is>
          <t>دقة مطابقة المخزون</t>
        </is>
      </c>
      <c r="D45" s="34" t="n">
        <v>0.776</v>
      </c>
      <c r="E45" s="34" t="n">
        <v>0.995</v>
      </c>
      <c r="F45" s="35" t="n">
        <v>0.7798994974874373</v>
      </c>
      <c r="G45" s="12" t="n">
        <v>0.2201005025125627</v>
      </c>
      <c r="H45" s="34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36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معدل تجديد عقود الإيجار</t>
        </is>
      </c>
      <c r="D46" s="34" t="n">
        <v>0.702</v>
      </c>
      <c r="E46" s="34" t="n">
        <v>0.9</v>
      </c>
      <c r="F46" s="35" t="n">
        <v>0.7799999999999999</v>
      </c>
      <c r="G46" s="12" t="n">
        <v>0.2200000000000001</v>
      </c>
      <c r="H46" s="34" t="n">
        <v>0.702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36" t="n"/>
    </row>
    <row r="47">
      <c r="A47" s="15" t="n">
        <v>45</v>
      </c>
      <c r="B47" s="13" t="inlineStr">
        <is>
          <t>العقار</t>
        </is>
      </c>
      <c r="C47" s="24" t="inlineStr">
        <is>
          <t>العملاء المحتملون (LEADS)</t>
        </is>
      </c>
      <c r="D47" s="34" t="n">
        <v>531.8</v>
      </c>
      <c r="E47" s="34" t="n">
        <v>680</v>
      </c>
      <c r="F47" s="35" t="n">
        <v>0.7820588235294117</v>
      </c>
      <c r="G47" s="12" t="n">
        <v>0.2179411764705883</v>
      </c>
      <c r="H47" s="34" t="n">
        <v>531.8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36" t="n"/>
    </row>
    <row r="48">
      <c r="A48" s="15" t="n">
        <v>46</v>
      </c>
      <c r="B48" s="13" t="inlineStr">
        <is>
          <t>الامتياز التجاري</t>
        </is>
      </c>
      <c r="C48" s="24" t="inlineStr">
        <is>
          <t>نسبة الشركاء الملتزمين بمواعيد السداد</t>
        </is>
      </c>
      <c r="D48" s="34" t="n">
        <v>0.705</v>
      </c>
      <c r="E48" s="34" t="n">
        <v>0.9</v>
      </c>
      <c r="F48" s="35" t="n">
        <v>0.7833333333333332</v>
      </c>
      <c r="G48" s="12" t="n">
        <v>0.2166666666666668</v>
      </c>
      <c r="H48" s="34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36" t="n"/>
    </row>
    <row r="49">
      <c r="A49" s="15" t="n">
        <v>47</v>
      </c>
      <c r="B49" s="13" t="inlineStr">
        <is>
          <t>العقار</t>
        </is>
      </c>
      <c r="C49" s="24" t="inlineStr">
        <is>
          <t>نسبة تجديد العقود</t>
        </is>
      </c>
      <c r="D49" s="34" t="n">
        <v>0.792</v>
      </c>
      <c r="E49" s="34" t="n">
        <v>1</v>
      </c>
      <c r="F49" s="35" t="n">
        <v>0.792</v>
      </c>
      <c r="G49" s="12" t="n">
        <v>0.208</v>
      </c>
      <c r="H49" s="34" t="n">
        <v>0.792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36" t="n"/>
    </row>
    <row r="50">
      <c r="A50" s="15" t="n">
        <v>48</v>
      </c>
      <c r="B50" s="13" t="inlineStr">
        <is>
          <t>التقنية الرقمية</t>
        </is>
      </c>
      <c r="C50" s="24" t="inlineStr">
        <is>
          <t>نسبة الالتزام بميزانية المشاريع</t>
        </is>
      </c>
      <c r="D50" s="34" t="n">
        <v>0.753</v>
      </c>
      <c r="E50" s="34" t="n">
        <v>0.95</v>
      </c>
      <c r="F50" s="35" t="n">
        <v>0.7926315789473685</v>
      </c>
      <c r="G50" s="12" t="n">
        <v>0.2073684210526315</v>
      </c>
      <c r="H50" s="34" t="n">
        <v>0.753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36" t="n"/>
    </row>
    <row r="51">
      <c r="A51" s="15" t="n">
        <v>49</v>
      </c>
      <c r="B51" s="13" t="inlineStr">
        <is>
          <t>الإدارة القانونية</t>
        </is>
      </c>
      <c r="C51" s="24" t="inlineStr">
        <is>
          <t>مستوى رضا الإدارات عن الدعم القانوني</t>
        </is>
      </c>
      <c r="D51" s="34" t="n">
        <v>0.674</v>
      </c>
      <c r="E51" s="34" t="n">
        <v>0.85</v>
      </c>
      <c r="F51" s="35" t="n">
        <v>0.7929411764705883</v>
      </c>
      <c r="G51" s="12" t="n">
        <v>0.2070588235294117</v>
      </c>
      <c r="H51" s="34" t="n">
        <v>0.674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المدير القانوني</t>
        </is>
      </c>
      <c r="M51" s="36" t="n"/>
    </row>
    <row r="52">
      <c r="A52" s="15" t="n">
        <v>50</v>
      </c>
      <c r="B52" s="13" t="inlineStr">
        <is>
          <t>الإدارة القانونية</t>
        </is>
      </c>
      <c r="C52" s="24" t="inlineStr">
        <is>
          <t>نسبة تقديم المذكرات والردود في المواعيد النظامية</t>
        </is>
      </c>
      <c r="D52" s="34" t="n">
        <v>0.797</v>
      </c>
      <c r="E52" s="34" t="n">
        <v>1</v>
      </c>
      <c r="F52" s="35" t="n">
        <v>0.797</v>
      </c>
      <c r="G52" s="12" t="n">
        <v>0.203</v>
      </c>
      <c r="H52" s="34" t="n">
        <v>0.797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القانوني</t>
        </is>
      </c>
      <c r="M52" s="36" t="n"/>
    </row>
    <row r="53">
      <c r="A53" s="15" t="n">
        <v>51</v>
      </c>
      <c r="B53" s="13" t="inlineStr">
        <is>
          <t>التشغيل والمحطات</t>
        </is>
      </c>
      <c r="C53" s="24" t="inlineStr">
        <is>
          <t>نسبة الصيانة الوقائية المنفذة في موعدها</t>
        </is>
      </c>
      <c r="D53" s="34" t="n">
        <v>0.758</v>
      </c>
      <c r="E53" s="34" t="n">
        <v>0.95</v>
      </c>
      <c r="F53" s="35" t="n">
        <v>0.7978947368421053</v>
      </c>
      <c r="G53" s="12" t="n">
        <v>0.2021052631578947</v>
      </c>
      <c r="H53" s="34" t="n">
        <v>0.758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التشغيل</t>
        </is>
      </c>
      <c r="M53" s="36" t="n"/>
    </row>
    <row r="54">
      <c r="A54" s="15" t="n">
        <v>52</v>
      </c>
      <c r="B54" s="13" t="inlineStr">
        <is>
          <t>الامتياز التجاري</t>
        </is>
      </c>
      <c r="C54" s="24" t="inlineStr">
        <is>
          <t>نسبة التزام المحطات بالهوية المؤسسية</t>
        </is>
      </c>
      <c r="D54" s="34" t="n">
        <v>0.44</v>
      </c>
      <c r="E54" s="34" t="n">
        <v>0.55</v>
      </c>
      <c r="F54" s="35" t="n">
        <v>0.7999999999999999</v>
      </c>
      <c r="G54" s="12" t="n">
        <v>0.2000000000000001</v>
      </c>
      <c r="H54" s="34" t="n">
        <v>0.44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الامتياز</t>
        </is>
      </c>
      <c r="M54" s="36" t="n"/>
    </row>
    <row r="55">
      <c r="A55" s="15" t="n">
        <v>53</v>
      </c>
      <c r="B55" s="13" t="inlineStr">
        <is>
          <t>الإدارة المالية</t>
        </is>
      </c>
      <c r="C55" s="24" t="inlineStr">
        <is>
          <t>هامش صافي الربح</t>
        </is>
      </c>
      <c r="D55" s="34" t="n">
        <v>0.008</v>
      </c>
      <c r="E55" s="34" t="n">
        <v>0.01</v>
      </c>
      <c r="F55" s="35" t="n">
        <v>0.8</v>
      </c>
      <c r="G55" s="12" t="n">
        <v>0.2</v>
      </c>
      <c r="H55" s="34" t="n">
        <v>0.008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36" t="n"/>
    </row>
    <row r="56">
      <c r="A56" s="15" t="n">
        <v>54</v>
      </c>
      <c r="B56" s="13" t="inlineStr">
        <is>
          <t>الامتياز التجاري</t>
        </is>
      </c>
      <c r="C56" s="24" t="inlineStr">
        <is>
          <t>إجمالي مبيعات وقود محطات الامتياز</t>
        </is>
      </c>
      <c r="D56" s="34" t="n">
        <v>576630340</v>
      </c>
      <c r="E56" s="34" t="n">
        <v>718838077</v>
      </c>
      <c r="F56" s="35" t="n">
        <v>0.8021699996840874</v>
      </c>
      <c r="G56" s="12" t="n">
        <v>0.1978300003159126</v>
      </c>
      <c r="H56" s="34" t="n">
        <v>1153260680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36" t="n"/>
    </row>
    <row r="57">
      <c r="A57" s="15" t="n">
        <v>55</v>
      </c>
      <c r="B57" s="13" t="inlineStr">
        <is>
          <t>الموارد البشرية</t>
        </is>
      </c>
      <c r="C57" s="24" t="inlineStr">
        <is>
          <t>نسبة الموظفين المشمولين بخطة تطوير</t>
        </is>
      </c>
      <c r="D57" s="34" t="n">
        <v>0.644</v>
      </c>
      <c r="E57" s="34" t="n">
        <v>0.8</v>
      </c>
      <c r="F57" s="35" t="n">
        <v>0.8049999999999999</v>
      </c>
      <c r="G57" s="12" t="n">
        <v>0.1950000000000001</v>
      </c>
      <c r="H57" s="34" t="n">
        <v>0.644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36" t="n"/>
    </row>
    <row r="58">
      <c r="A58" s="15" t="n">
        <v>56</v>
      </c>
      <c r="B58" s="13" t="inlineStr">
        <is>
          <t>العقار</t>
        </is>
      </c>
      <c r="C58" s="24" t="inlineStr">
        <is>
          <t>الوحدات المؤجَّرة شهرياً</t>
        </is>
      </c>
      <c r="D58" s="34" t="n">
        <v>54.8</v>
      </c>
      <c r="E58" s="34" t="n">
        <v>68</v>
      </c>
      <c r="F58" s="35" t="n">
        <v>0.8058823529411764</v>
      </c>
      <c r="G58" s="12" t="n">
        <v>0.1941176470588236</v>
      </c>
      <c r="H58" s="34" t="n">
        <v>54.8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36" t="n"/>
    </row>
    <row r="59">
      <c r="A59" s="15" t="n">
        <v>57</v>
      </c>
      <c r="B59" s="13" t="inlineStr">
        <is>
          <t>الموارد البشرية</t>
        </is>
      </c>
      <c r="C59" s="24" t="inlineStr">
        <is>
          <t>نسبة إنجاز تقييمات الأداء في موعدها</t>
        </is>
      </c>
      <c r="D59" s="34" t="n">
        <v>0.8080000000000001</v>
      </c>
      <c r="E59" s="34" t="n">
        <v>1</v>
      </c>
      <c r="F59" s="35" t="n">
        <v>0.8080000000000001</v>
      </c>
      <c r="G59" s="12" t="n">
        <v>0.1919999999999999</v>
      </c>
      <c r="H59" s="34" t="n">
        <v>0.8080000000000001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الموارد البشرية</t>
        </is>
      </c>
      <c r="M59" s="36" t="n"/>
    </row>
    <row r="60">
      <c r="A60" s="15" t="n">
        <v>58</v>
      </c>
      <c r="B60" s="13" t="inlineStr">
        <is>
          <t>الجودة</t>
        </is>
      </c>
      <c r="C60" s="24" t="inlineStr">
        <is>
          <t>نسبة مطابقة جودة الوقود</t>
        </is>
      </c>
      <c r="D60" s="34" t="n">
        <v>0.804</v>
      </c>
      <c r="E60" s="34" t="n">
        <v>0.995</v>
      </c>
      <c r="F60" s="35" t="n">
        <v>0.8080402010050252</v>
      </c>
      <c r="G60" s="12" t="n">
        <v>0.1919597989949748</v>
      </c>
      <c r="H60" s="34" t="n">
        <v>0.804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الجودة</t>
        </is>
      </c>
      <c r="M60" s="36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زيادة عدد أصحاب الامتياز</t>
        </is>
      </c>
      <c r="D61" s="34" t="n">
        <v>0.8100000000000001</v>
      </c>
      <c r="E61" s="34" t="n">
        <v>1</v>
      </c>
      <c r="F61" s="35" t="n">
        <v>0.8100000000000001</v>
      </c>
      <c r="G61" s="12" t="n">
        <v>0.1899999999999999</v>
      </c>
      <c r="H61" s="34" t="n">
        <v>0.8100000000000001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36" t="n"/>
    </row>
    <row r="62">
      <c r="A62" s="15" t="n">
        <v>60</v>
      </c>
      <c r="B62" s="13" t="inlineStr">
        <is>
          <t>الاستثمار</t>
        </is>
      </c>
      <c r="C62" s="24" t="inlineStr">
        <is>
          <t>نسبة المواقع المعتمدة ذات العائد المجدي</t>
        </is>
      </c>
      <c r="D62" s="34" t="n">
        <v>0.649</v>
      </c>
      <c r="E62" s="34" t="n">
        <v>0.8</v>
      </c>
      <c r="F62" s="35" t="n">
        <v>0.81125</v>
      </c>
      <c r="G62" s="12" t="n">
        <v>0.18875</v>
      </c>
      <c r="H62" s="34" t="n">
        <v>0.649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الاستثمار</t>
        </is>
      </c>
      <c r="M62" s="36" t="n"/>
    </row>
    <row r="63">
      <c r="A63" s="15" t="n">
        <v>61</v>
      </c>
      <c r="B63" s="13" t="inlineStr">
        <is>
          <t>الاستثمار</t>
        </is>
      </c>
      <c r="C63" s="24" t="inlineStr">
        <is>
          <t>عقود الاستحواذ الجديدة</t>
        </is>
      </c>
      <c r="D63" s="34" t="n">
        <v>82.2</v>
      </c>
      <c r="E63" s="34" t="n">
        <v>100</v>
      </c>
      <c r="F63" s="35" t="n">
        <v>0.8220000000000001</v>
      </c>
      <c r="G63" s="12" t="n">
        <v>0.1779999999999999</v>
      </c>
      <c r="H63" s="34" t="n">
        <v>164.4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الاستثمار</t>
        </is>
      </c>
      <c r="M63" s="36" t="n"/>
    </row>
    <row r="64">
      <c r="A64" s="15" t="n">
        <v>62</v>
      </c>
      <c r="B64" s="13" t="inlineStr">
        <is>
          <t>العقار</t>
        </is>
      </c>
      <c r="C64" s="24" t="inlineStr">
        <is>
          <t>زيادة عدد العلامات التجارية</t>
        </is>
      </c>
      <c r="D64" s="34" t="n">
        <v>202.6</v>
      </c>
      <c r="E64" s="34" t="n">
        <v>246</v>
      </c>
      <c r="F64" s="35" t="n">
        <v>0.8235772357723578</v>
      </c>
      <c r="G64" s="12" t="n">
        <v>0.1764227642276422</v>
      </c>
      <c r="H64" s="34" t="n">
        <v>202.6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العقار</t>
        </is>
      </c>
      <c r="M64" s="36" t="n"/>
    </row>
    <row r="65">
      <c r="A65" s="15" t="n">
        <v>63</v>
      </c>
      <c r="B65" s="13" t="inlineStr">
        <is>
          <t>الإدارة القانونية</t>
        </is>
      </c>
      <c r="C65" s="24" t="inlineStr">
        <is>
          <t>نسبة القضايا المُغلقة لصالح الشركة</t>
        </is>
      </c>
      <c r="D65" s="34" t="n">
        <v>0.664</v>
      </c>
      <c r="E65" s="34" t="n">
        <v>0.8</v>
      </c>
      <c r="F65" s="35" t="n">
        <v>0.83</v>
      </c>
      <c r="G65" s="12" t="n">
        <v>0.17</v>
      </c>
      <c r="H65" s="34" t="n">
        <v>0.664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36" t="n"/>
    </row>
    <row r="66">
      <c r="A66" s="15" t="n">
        <v>64</v>
      </c>
      <c r="B66" s="13" t="inlineStr">
        <is>
          <t>التشغيل والمحطات</t>
        </is>
      </c>
      <c r="C66" s="24" t="inlineStr">
        <is>
          <t>الالتزام بمعايير السلامة داخل المحطة</t>
        </is>
      </c>
      <c r="D66" s="34" t="n">
        <v>0.837</v>
      </c>
      <c r="E66" s="34" t="n">
        <v>1</v>
      </c>
      <c r="F66" s="35" t="n">
        <v>0.837</v>
      </c>
      <c r="G66" s="12" t="n">
        <v>0.163</v>
      </c>
      <c r="H66" s="34" t="n">
        <v>0.837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36" t="n"/>
    </row>
    <row r="67">
      <c r="A67" s="15" t="n">
        <v>65</v>
      </c>
      <c r="B67" s="13" t="inlineStr">
        <is>
          <t>الجودة</t>
        </is>
      </c>
      <c r="C67" s="24" t="inlineStr">
        <is>
          <t>نسبة جاهزية نظام إدارة الجودة QMS</t>
        </is>
      </c>
      <c r="D67" s="34" t="n">
        <v>0.754</v>
      </c>
      <c r="E67" s="34" t="n">
        <v>0.9</v>
      </c>
      <c r="F67" s="35" t="n">
        <v>0.8377777777777777</v>
      </c>
      <c r="G67" s="12" t="n">
        <v>0.1622222222222223</v>
      </c>
      <c r="H67" s="34" t="n">
        <v>0.754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36" t="n"/>
    </row>
    <row r="68">
      <c r="A68" s="15" t="n">
        <v>66</v>
      </c>
      <c r="B68" s="13" t="inlineStr">
        <is>
          <t>العقار</t>
        </is>
      </c>
      <c r="C68" s="24" t="inlineStr">
        <is>
          <t>نسبة تأجير ساحة درب</t>
        </is>
      </c>
      <c r="D68" s="34" t="n">
        <v>0.671</v>
      </c>
      <c r="E68" s="34" t="n">
        <v>0.8</v>
      </c>
      <c r="F68" s="35" t="n">
        <v>0.83875</v>
      </c>
      <c r="G68" s="12" t="n">
        <v>0.16125</v>
      </c>
      <c r="H68" s="34" t="n">
        <v>0.671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العقار</t>
        </is>
      </c>
      <c r="M68" s="36" t="n"/>
    </row>
    <row r="69">
      <c r="A69" s="15" t="n">
        <v>67</v>
      </c>
      <c r="B69" s="13" t="inlineStr">
        <is>
          <t>الموارد البشرية</t>
        </is>
      </c>
      <c r="C69" s="24" t="inlineStr">
        <is>
          <t>ترسيخ الأنظمة الإدارية</t>
        </is>
      </c>
      <c r="D69" s="34" t="n">
        <v>0.671</v>
      </c>
      <c r="E69" s="34" t="n">
        <v>0.8</v>
      </c>
      <c r="F69" s="35" t="n">
        <v>0.83875</v>
      </c>
      <c r="G69" s="12" t="n">
        <v>0.16125</v>
      </c>
      <c r="H69" s="34" t="n">
        <v>0.671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الموارد البشرية</t>
        </is>
      </c>
      <c r="M69" s="36" t="n"/>
    </row>
    <row r="70">
      <c r="A70" s="15" t="n">
        <v>68</v>
      </c>
      <c r="B70" s="13" t="inlineStr">
        <is>
          <t>التشغيل والمحطات</t>
        </is>
      </c>
      <c r="C70" s="24" t="inlineStr">
        <is>
          <t>نسبة جاهزية المحطة الشاملة (Uptime)</t>
        </is>
      </c>
      <c r="D70" s="34" t="n">
        <v>0.831</v>
      </c>
      <c r="E70" s="34" t="n">
        <v>0.99</v>
      </c>
      <c r="F70" s="35" t="n">
        <v>0.8393939393939394</v>
      </c>
      <c r="G70" s="12" t="n">
        <v>0.1606060606060606</v>
      </c>
      <c r="H70" s="34" t="n">
        <v>0.831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التشغيل</t>
        </is>
      </c>
      <c r="M70" s="36" t="n"/>
    </row>
    <row r="71">
      <c r="A71" s="15" t="n">
        <v>69</v>
      </c>
      <c r="B71" s="13" t="inlineStr">
        <is>
          <t>التشغيل والمحطات</t>
        </is>
      </c>
      <c r="C71" s="24" t="inlineStr">
        <is>
          <t>دقة التعبئة بدون أخطاء</t>
        </is>
      </c>
      <c r="D71" s="34" t="n">
        <v>0.831</v>
      </c>
      <c r="E71" s="34" t="n">
        <v>0.99</v>
      </c>
      <c r="F71" s="35" t="n">
        <v>0.8393939393939394</v>
      </c>
      <c r="G71" s="12" t="n">
        <v>0.1606060606060606</v>
      </c>
      <c r="H71" s="34" t="n">
        <v>0.831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التشغيل</t>
        </is>
      </c>
      <c r="M71" s="36" t="n"/>
    </row>
    <row r="72">
      <c r="A72" s="15" t="n">
        <v>70</v>
      </c>
      <c r="B72" s="13" t="inlineStr">
        <is>
          <t>الموارد البشرية</t>
        </is>
      </c>
      <c r="C72" s="24" t="inlineStr">
        <is>
          <t>نسبة أتمتة عمليات الموارد البشرية</t>
        </is>
      </c>
      <c r="D72" s="34" t="n">
        <v>0.84</v>
      </c>
      <c r="E72" s="34" t="n">
        <v>1</v>
      </c>
      <c r="F72" s="35" t="n">
        <v>0.84</v>
      </c>
      <c r="G72" s="12" t="n">
        <v>0.16</v>
      </c>
      <c r="H72" s="34" t="n">
        <v>0.84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36" t="n"/>
    </row>
    <row r="73">
      <c r="A73" s="15" t="n">
        <v>71</v>
      </c>
      <c r="B73" s="13" t="inlineStr">
        <is>
          <t>الموارد البشرية</t>
        </is>
      </c>
      <c r="C73" s="24" t="inlineStr">
        <is>
          <t>متوسط ساعات التدريب لكل موظف</t>
        </is>
      </c>
      <c r="D73" s="34" t="n">
        <v>33.6</v>
      </c>
      <c r="E73" s="34" t="n">
        <v>40</v>
      </c>
      <c r="F73" s="35" t="n">
        <v>0.8400000000000001</v>
      </c>
      <c r="G73" s="12" t="n">
        <v>0.1599999999999999</v>
      </c>
      <c r="H73" s="34" t="n">
        <v>67.2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36" t="n"/>
    </row>
    <row r="74">
      <c r="A74" s="15" t="n">
        <v>72</v>
      </c>
      <c r="B74" s="13" t="inlineStr">
        <is>
          <t>الجودة</t>
        </is>
      </c>
      <c r="C74" s="24" t="inlineStr">
        <is>
          <t>نسبة انخفاض الشكاوى المتكررة ذات العلاقة بالجودة</t>
        </is>
      </c>
      <c r="D74" s="34" t="n">
        <v>0.126</v>
      </c>
      <c r="E74" s="34" t="n">
        <v>0.15</v>
      </c>
      <c r="F74" s="35" t="n">
        <v>0.8400000000000001</v>
      </c>
      <c r="G74" s="12" t="n">
        <v>0.1599999999999999</v>
      </c>
      <c r="H74" s="34" t="n">
        <v>0.126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36" t="n"/>
    </row>
    <row r="75">
      <c r="A75" s="15" t="n">
        <v>73</v>
      </c>
      <c r="B75" s="13" t="inlineStr">
        <is>
          <t>الإدارة المالية</t>
        </is>
      </c>
      <c r="C75" s="24" t="inlineStr">
        <is>
          <t>نمو الإيرادات السنوي</t>
        </is>
      </c>
      <c r="D75" s="34" t="n">
        <v>0.169</v>
      </c>
      <c r="E75" s="34" t="n">
        <v>0.2</v>
      </c>
      <c r="F75" s="35" t="n">
        <v>0.845</v>
      </c>
      <c r="G75" s="12" t="n">
        <v>0.155</v>
      </c>
      <c r="H75" s="34" t="n">
        <v>0.169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المالي</t>
        </is>
      </c>
      <c r="M75" s="36" t="n"/>
    </row>
    <row r="76">
      <c r="A76" s="15" t="n">
        <v>74</v>
      </c>
      <c r="B76" s="13" t="inlineStr">
        <is>
          <t>العقار</t>
        </is>
      </c>
      <c r="C76" s="24" t="inlineStr">
        <is>
          <t>نسبة تحصيل الإيجارات</t>
        </is>
      </c>
      <c r="D76" s="34" t="n">
        <v>0.805</v>
      </c>
      <c r="E76" s="34" t="n">
        <v>0.95</v>
      </c>
      <c r="F76" s="35" t="n">
        <v>0.8473684210526317</v>
      </c>
      <c r="G76" s="12" t="n">
        <v>0.1526315789473683</v>
      </c>
      <c r="H76" s="34" t="n">
        <v>0.805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36" t="n"/>
    </row>
    <row r="77">
      <c r="A77" s="15" t="n">
        <v>75</v>
      </c>
      <c r="B77" s="13" t="inlineStr">
        <is>
          <t>الاستثمار</t>
        </is>
      </c>
      <c r="C77" s="24" t="inlineStr">
        <is>
          <t>عقود الاستثمار العادي الجديدة</t>
        </is>
      </c>
      <c r="D77" s="34" t="n">
        <v>76.3</v>
      </c>
      <c r="E77" s="34" t="n">
        <v>90</v>
      </c>
      <c r="F77" s="35" t="n">
        <v>0.8477777777777777</v>
      </c>
      <c r="G77" s="12" t="n">
        <v>0.1522222222222223</v>
      </c>
      <c r="H77" s="34" t="n">
        <v>152.6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36" t="n"/>
    </row>
    <row r="78">
      <c r="A78" s="15" t="n">
        <v>76</v>
      </c>
      <c r="B78" s="13" t="inlineStr">
        <is>
          <t>الإدارة التنفيذية</t>
        </is>
      </c>
      <c r="C78" s="24" t="inlineStr">
        <is>
          <t>نسبة تحقيق المستهدفات الاستراتيجية العامة</t>
        </is>
      </c>
      <c r="D78" s="34" t="n">
        <v>0.85</v>
      </c>
      <c r="E78" s="34" t="n">
        <v>1</v>
      </c>
      <c r="F78" s="35" t="n">
        <v>0.85</v>
      </c>
      <c r="G78" s="12" t="n">
        <v>0.15</v>
      </c>
      <c r="H78" s="34" t="n">
        <v>0.85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الرئيس التنفيذي</t>
        </is>
      </c>
      <c r="M78" s="36" t="n"/>
    </row>
    <row r="79">
      <c r="A79" s="15" t="n">
        <v>77</v>
      </c>
      <c r="B79" s="13" t="inlineStr">
        <is>
          <t>العقار</t>
        </is>
      </c>
      <c r="C79" s="24" t="inlineStr">
        <is>
          <t>نمو الإيرادات الإيجارية</t>
        </is>
      </c>
      <c r="D79" s="34" t="n">
        <v>0.068</v>
      </c>
      <c r="E79" s="34" t="n">
        <v>0.08</v>
      </c>
      <c r="F79" s="35" t="n">
        <v>0.8500000000000001</v>
      </c>
      <c r="G79" s="12" t="n">
        <v>0.1499999999999999</v>
      </c>
      <c r="H79" s="34" t="n">
        <v>0.068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العقار</t>
        </is>
      </c>
      <c r="M79" s="36" t="n"/>
    </row>
    <row r="80">
      <c r="A80" s="15" t="n">
        <v>78</v>
      </c>
      <c r="B80" s="13" t="inlineStr">
        <is>
          <t>التسويق</t>
        </is>
      </c>
      <c r="C80" s="24" t="inlineStr">
        <is>
          <t>تقييم خرائط قوقل</t>
        </is>
      </c>
      <c r="D80" s="34" t="n">
        <v>4</v>
      </c>
      <c r="E80" s="34" t="n">
        <v>4.7</v>
      </c>
      <c r="F80" s="35" t="n">
        <v>0.851063829787234</v>
      </c>
      <c r="G80" s="12" t="n">
        <v>0.148936170212766</v>
      </c>
      <c r="H80" s="34" t="n">
        <v>4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التسويق</t>
        </is>
      </c>
      <c r="M80" s="36" t="n"/>
    </row>
    <row r="81">
      <c r="A81" s="15" t="n">
        <v>79</v>
      </c>
      <c r="B81" s="13" t="inlineStr">
        <is>
          <t>الإدارة المالية</t>
        </is>
      </c>
      <c r="C81" s="24" t="inlineStr">
        <is>
          <t>أيام الإقفال الشهري</t>
        </is>
      </c>
      <c r="D81" s="34" t="n">
        <v>7.044</v>
      </c>
      <c r="E81" s="34" t="n">
        <v>6</v>
      </c>
      <c r="F81" s="35" t="n">
        <v>0.8517887563884157</v>
      </c>
      <c r="G81" s="12" t="n">
        <v>0.1482112436115843</v>
      </c>
      <c r="H81" s="34" t="n">
        <v>7.044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المدير المالي</t>
        </is>
      </c>
      <c r="M81" s="36" t="n"/>
    </row>
    <row r="82">
      <c r="A82" s="15" t="n">
        <v>80</v>
      </c>
      <c r="B82" s="13" t="inlineStr">
        <is>
          <t>الإدارة المالية</t>
        </is>
      </c>
      <c r="C82" s="24" t="inlineStr">
        <is>
          <t>النسبة الجارية (Current Ratio)</t>
        </is>
      </c>
      <c r="D82" s="34" t="n">
        <v>0.852</v>
      </c>
      <c r="E82" s="34" t="n">
        <v>1</v>
      </c>
      <c r="F82" s="35" t="n">
        <v>0.852</v>
      </c>
      <c r="G82" s="12" t="n">
        <v>0.148</v>
      </c>
      <c r="H82" s="34" t="n">
        <v>0.852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المالي</t>
        </is>
      </c>
      <c r="M82" s="36" t="n"/>
    </row>
    <row r="83">
      <c r="A83" s="15" t="n">
        <v>81</v>
      </c>
      <c r="B83" s="13" t="inlineStr">
        <is>
          <t>الجودة</t>
        </is>
      </c>
      <c r="C83" s="24" t="inlineStr">
        <is>
          <t>عدد مبادرات التحسين المؤثرة</t>
        </is>
      </c>
      <c r="D83" s="34" t="n">
        <v>6.827</v>
      </c>
      <c r="E83" s="34" t="n">
        <v>8</v>
      </c>
      <c r="F83" s="35" t="n">
        <v>0.853375</v>
      </c>
      <c r="G83" s="12" t="n">
        <v>0.146625</v>
      </c>
      <c r="H83" s="34" t="n">
        <v>13.654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الجودة</t>
        </is>
      </c>
      <c r="M83" s="36" t="n"/>
    </row>
    <row r="84">
      <c r="A84" s="15" t="n">
        <v>82</v>
      </c>
      <c r="B84" s="13" t="inlineStr">
        <is>
          <t>الامتياز التجاري</t>
        </is>
      </c>
      <c r="C84" s="24" t="inlineStr">
        <is>
          <t>نسبة التحصيل المالي من شركاء الامتياز</t>
        </is>
      </c>
      <c r="D84" s="34" t="n">
        <v>0.8120000000000001</v>
      </c>
      <c r="E84" s="34" t="n">
        <v>0.95</v>
      </c>
      <c r="F84" s="35" t="n">
        <v>0.8547368421052632</v>
      </c>
      <c r="G84" s="12" t="n">
        <v>0.1452631578947368</v>
      </c>
      <c r="H84" s="34" t="n">
        <v>0.8120000000000001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الامتياز</t>
        </is>
      </c>
      <c r="M84" s="36" t="n"/>
    </row>
    <row r="85">
      <c r="A85" s="15" t="n">
        <v>83</v>
      </c>
      <c r="B85" s="13" t="inlineStr">
        <is>
          <t>الموارد البشرية</t>
        </is>
      </c>
      <c r="C85" s="24" t="inlineStr">
        <is>
          <t>نسبة شغل الشواغر خلال 30 يوم</t>
        </is>
      </c>
      <c r="D85" s="34" t="n">
        <v>0.73</v>
      </c>
      <c r="E85" s="34" t="n">
        <v>0.85</v>
      </c>
      <c r="F85" s="35" t="n">
        <v>0.8588235294117647</v>
      </c>
      <c r="G85" s="12" t="n">
        <v>0.1411764705882353</v>
      </c>
      <c r="H85" s="34" t="n">
        <v>0.73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الموارد البشرية</t>
        </is>
      </c>
      <c r="M85" s="36" t="n"/>
    </row>
    <row r="86">
      <c r="A86" s="15" t="n">
        <v>84</v>
      </c>
      <c r="B86" s="13" t="inlineStr">
        <is>
          <t>الاستثمار</t>
        </is>
      </c>
      <c r="C86" s="24" t="inlineStr">
        <is>
          <t>نسبة العقود خارج المدن الرئيسية</t>
        </is>
      </c>
      <c r="D86" s="34" t="n">
        <v>0.516</v>
      </c>
      <c r="E86" s="34" t="n">
        <v>0.6</v>
      </c>
      <c r="F86" s="35" t="n">
        <v>0.8600000000000001</v>
      </c>
      <c r="G86" s="12" t="n">
        <v>0.1399999999999999</v>
      </c>
      <c r="H86" s="34" t="n">
        <v>0.516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الاستثمار</t>
        </is>
      </c>
      <c r="M86" s="36" t="n"/>
    </row>
    <row r="87">
      <c r="A87" s="15" t="n">
        <v>85</v>
      </c>
      <c r="B87" s="13" t="inlineStr">
        <is>
          <t>العقار</t>
        </is>
      </c>
      <c r="C87" s="24" t="inlineStr">
        <is>
          <t>استدامة المستأجرين (لم يُنهَ مبكراً)</t>
        </is>
      </c>
      <c r="D87" s="34" t="n">
        <v>0.695</v>
      </c>
      <c r="E87" s="34" t="n">
        <v>0.8</v>
      </c>
      <c r="F87" s="35" t="n">
        <v>0.8687499999999999</v>
      </c>
      <c r="G87" s="12" t="n">
        <v>0.1312500000000001</v>
      </c>
      <c r="H87" s="34" t="n">
        <v>0.695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36" t="n"/>
    </row>
    <row r="88">
      <c r="A88" s="15" t="n">
        <v>86</v>
      </c>
      <c r="B88" s="13" t="inlineStr">
        <is>
          <t>الامتياز التجاري</t>
        </is>
      </c>
      <c r="C88" s="24" t="inlineStr">
        <is>
          <t>رفع هامش الربحية للامتياز</t>
        </is>
      </c>
      <c r="D88" s="34" t="n">
        <v>1.564</v>
      </c>
      <c r="E88" s="34" t="n">
        <v>1.8</v>
      </c>
      <c r="F88" s="35" t="n">
        <v>0.8688888888888889</v>
      </c>
      <c r="G88" s="12" t="n">
        <v>0.1311111111111111</v>
      </c>
      <c r="H88" s="34" t="n">
        <v>1.564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الامتياز</t>
        </is>
      </c>
      <c r="M88" s="36" t="n"/>
    </row>
    <row r="89">
      <c r="A89" s="15" t="n">
        <v>87</v>
      </c>
      <c r="B89" s="13" t="inlineStr">
        <is>
          <t>الاستثمار</t>
        </is>
      </c>
      <c r="C89" s="24" t="inlineStr">
        <is>
          <t>إجمالي عقود الاستثمار الجديدة (جميع النماذج)</t>
        </is>
      </c>
      <c r="D89" s="34" t="n">
        <v>165.7</v>
      </c>
      <c r="E89" s="34" t="n">
        <v>190</v>
      </c>
      <c r="F89" s="35" t="n">
        <v>0.8721052631578947</v>
      </c>
      <c r="G89" s="12" t="n">
        <v>0.1278947368421053</v>
      </c>
      <c r="H89" s="34" t="n">
        <v>331.4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الاستثمار</t>
        </is>
      </c>
      <c r="M89" s="36" t="n"/>
    </row>
    <row r="90">
      <c r="A90" s="15" t="n">
        <v>88</v>
      </c>
      <c r="B90" s="13" t="inlineStr">
        <is>
          <t>الامتياز التجاري</t>
        </is>
      </c>
      <c r="C90" s="24" t="inlineStr">
        <is>
          <t>نسبة المحطات التي حققت مستهدف المبيعات</t>
        </is>
      </c>
      <c r="D90" s="34" t="n">
        <v>0.788</v>
      </c>
      <c r="E90" s="34" t="n">
        <v>0.9</v>
      </c>
      <c r="F90" s="35" t="n">
        <v>0.8755555555555555</v>
      </c>
      <c r="G90" s="12" t="n">
        <v>0.1244444444444445</v>
      </c>
      <c r="H90" s="34" t="n">
        <v>0.788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36" t="n"/>
    </row>
    <row r="91">
      <c r="A91" s="15" t="n">
        <v>89</v>
      </c>
      <c r="B91" s="13" t="inlineStr">
        <is>
          <t>العقار</t>
        </is>
      </c>
      <c r="C91" s="24" t="inlineStr">
        <is>
          <t>متوسط زمن تسليم الوحدة</t>
        </is>
      </c>
      <c r="D91" s="34" t="n">
        <v>7.983</v>
      </c>
      <c r="E91" s="34" t="n">
        <v>7</v>
      </c>
      <c r="F91" s="35" t="n">
        <v>0.8768633345859953</v>
      </c>
      <c r="G91" s="12" t="n">
        <v>0.1231366654140047</v>
      </c>
      <c r="H91" s="34" t="n">
        <v>7.983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العقار</t>
        </is>
      </c>
      <c r="M91" s="36" t="n"/>
    </row>
    <row r="92">
      <c r="A92" s="15" t="n">
        <v>90</v>
      </c>
      <c r="B92" s="13" t="inlineStr">
        <is>
          <t>الإدارة التنفيذية</t>
        </is>
      </c>
      <c r="C92" s="24" t="inlineStr">
        <is>
          <t>إجمالي المحطات المشغّلة — الشركة (تراكمي)</t>
        </is>
      </c>
      <c r="D92" s="34" t="n">
        <v>206.1</v>
      </c>
      <c r="E92" s="34" t="n">
        <v>235</v>
      </c>
      <c r="F92" s="35" t="n">
        <v>0.8770212765957447</v>
      </c>
      <c r="G92" s="12" t="n">
        <v>0.1229787234042553</v>
      </c>
      <c r="H92" s="34" t="n">
        <v>206.1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الرئيس التنفيذي</t>
        </is>
      </c>
      <c r="M92" s="36" t="n"/>
    </row>
    <row r="93">
      <c r="A93" s="15" t="n">
        <v>91</v>
      </c>
      <c r="B93" s="13" t="inlineStr">
        <is>
          <t>الجودة</t>
        </is>
      </c>
      <c r="C93" s="24" t="inlineStr">
        <is>
          <t>نسبة تكرار الملاحظات</t>
        </is>
      </c>
      <c r="D93" s="34" t="n">
        <v>0.114</v>
      </c>
      <c r="E93" s="34" t="n">
        <v>0.1</v>
      </c>
      <c r="F93" s="35" t="n">
        <v>0.8771929824561404</v>
      </c>
      <c r="G93" s="12" t="n">
        <v>0.1228070175438596</v>
      </c>
      <c r="H93" s="34" t="n">
        <v>0.114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الجودة</t>
        </is>
      </c>
      <c r="M93" s="36" t="n"/>
    </row>
    <row r="94">
      <c r="A94" s="15" t="n">
        <v>92</v>
      </c>
      <c r="B94" s="13" t="inlineStr">
        <is>
          <t>الموارد البشرية</t>
        </is>
      </c>
      <c r="C94" s="24" t="inlineStr">
        <is>
          <t>معدل استبقاء الموظفين (Retention)</t>
        </is>
      </c>
      <c r="D94" s="34" t="n">
        <v>0.795</v>
      </c>
      <c r="E94" s="34" t="n">
        <v>0.9</v>
      </c>
      <c r="F94" s="35" t="n">
        <v>0.8833333333333333</v>
      </c>
      <c r="G94" s="12" t="n">
        <v>0.1166666666666667</v>
      </c>
      <c r="H94" s="34" t="n">
        <v>0.795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الموارد البشرية</t>
        </is>
      </c>
      <c r="M94" s="36" t="n"/>
    </row>
    <row r="95">
      <c r="A95" s="15" t="n">
        <v>93</v>
      </c>
      <c r="B95" s="13" t="inlineStr">
        <is>
          <t>التشغيل والمحطات</t>
        </is>
      </c>
      <c r="C95" s="24" t="inlineStr">
        <is>
          <t>سرعة تعبئة الوقود</t>
        </is>
      </c>
      <c r="D95" s="34" t="n">
        <v>3.352</v>
      </c>
      <c r="E95" s="34" t="n">
        <v>3</v>
      </c>
      <c r="F95" s="35" t="n">
        <v>0.8949880668257757</v>
      </c>
      <c r="G95" s="12" t="n">
        <v>0.1050119331742243</v>
      </c>
      <c r="H95" s="34" t="n">
        <v>3.352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التشغيل</t>
        </is>
      </c>
      <c r="M95" s="36" t="n"/>
    </row>
    <row r="96">
      <c r="A96" s="15" t="n">
        <v>94</v>
      </c>
      <c r="B96" s="13" t="inlineStr">
        <is>
          <t>التشغيل والمحطات</t>
        </is>
      </c>
      <c r="C96" s="24" t="inlineStr">
        <is>
          <t>تقييم Google Maps للمحطات</t>
        </is>
      </c>
      <c r="D96" s="34" t="n">
        <v>4.048</v>
      </c>
      <c r="E96" s="34" t="n">
        <v>4.5</v>
      </c>
      <c r="F96" s="35" t="n">
        <v>0.8995555555555556</v>
      </c>
      <c r="G96" s="12" t="n">
        <v>0.1004444444444444</v>
      </c>
      <c r="H96" s="34" t="n">
        <v>4.048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التشغيل</t>
        </is>
      </c>
      <c r="M96" s="36" t="n"/>
    </row>
    <row r="97">
      <c r="A97" s="15" t="n">
        <v>95</v>
      </c>
      <c r="B97" s="13" t="inlineStr">
        <is>
          <t>الموارد البشرية</t>
        </is>
      </c>
      <c r="C97" s="24" t="inlineStr">
        <is>
          <t>معدل دوران الموظفين (Turnover)</t>
        </is>
      </c>
      <c r="D97" s="34" t="n">
        <v>0.111</v>
      </c>
      <c r="E97" s="34" t="n">
        <v>0.1</v>
      </c>
      <c r="F97" s="35" t="n">
        <v>0.9009009009009009</v>
      </c>
      <c r="G97" s="12" t="n">
        <v>0.09909909909909909</v>
      </c>
      <c r="H97" s="34" t="n">
        <v>0.111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الموارد البشرية</t>
        </is>
      </c>
      <c r="M97" s="36" t="n"/>
    </row>
    <row r="98">
      <c r="A98" s="15" t="n">
        <v>96</v>
      </c>
      <c r="B98" s="13" t="inlineStr">
        <is>
          <t>الإدارة المالية</t>
        </is>
      </c>
      <c r="C98" s="24" t="inlineStr">
        <is>
          <t>نسبة التدفق النقدي التشغيلي</t>
        </is>
      </c>
      <c r="D98" s="34" t="n">
        <v>0.902</v>
      </c>
      <c r="E98" s="34" t="n">
        <v>1</v>
      </c>
      <c r="F98" s="35" t="n">
        <v>0.902</v>
      </c>
      <c r="G98" s="12" t="n">
        <v>0.09799999999999998</v>
      </c>
      <c r="H98" s="34" t="n">
        <v>0.902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المدير المالي</t>
        </is>
      </c>
      <c r="M98" s="36" t="n"/>
    </row>
    <row r="99">
      <c r="A99" s="15" t="n">
        <v>97</v>
      </c>
      <c r="B99" s="13" t="inlineStr">
        <is>
          <t>الإدارة التنفيذية</t>
        </is>
      </c>
      <c r="C99" s="24" t="inlineStr">
        <is>
          <t>نسبة إنجاز مشاريع الخارطة التنفيذية</t>
        </is>
      </c>
      <c r="D99" s="34" t="n">
        <v>0.906</v>
      </c>
      <c r="E99" s="34" t="n">
        <v>1</v>
      </c>
      <c r="F99" s="35" t="n">
        <v>0.906</v>
      </c>
      <c r="G99" s="12" t="n">
        <v>0.09399999999999997</v>
      </c>
      <c r="H99" s="34" t="n">
        <v>0.906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الرئيس التنفيذي</t>
        </is>
      </c>
      <c r="M99" s="36" t="n"/>
    </row>
    <row r="100">
      <c r="A100" s="15" t="n">
        <v>98</v>
      </c>
      <c r="B100" s="13" t="inlineStr">
        <is>
          <t>التقنية الرقمية</t>
        </is>
      </c>
      <c r="C100" s="24" t="inlineStr">
        <is>
          <t>متوسط جاهزية أنظمة المركز الرئيسي (Uptime)</t>
        </is>
      </c>
      <c r="D100" s="34" t="n">
        <v>0.9</v>
      </c>
      <c r="E100" s="34" t="n">
        <v>0.99</v>
      </c>
      <c r="F100" s="35" t="n">
        <v>0.9090909090909092</v>
      </c>
      <c r="G100" s="12" t="n">
        <v>0.09090909090909083</v>
      </c>
      <c r="H100" s="34" t="n">
        <v>0.9</v>
      </c>
      <c r="I100" s="15" t="inlineStr">
        <is>
          <t>🔴 تحت الهدف</t>
        </is>
      </c>
      <c r="J100" s="11" t="inlineStr">
        <is>
          <t>انحراف جوهري — أولوية عاجلة.</t>
        </is>
      </c>
      <c r="K100" s="11" t="inlineStr">
        <is>
          <t>إجراء تصحيحي خلال 30 يوماً.</t>
        </is>
      </c>
      <c r="L100" s="15" t="inlineStr">
        <is>
          <t>مدير التقنية</t>
        </is>
      </c>
      <c r="M100" s="36" t="n"/>
    </row>
    <row r="101">
      <c r="A101" s="15" t="n">
        <v>99</v>
      </c>
      <c r="B101" s="13" t="inlineStr">
        <is>
          <t>الامتياز التجاري</t>
        </is>
      </c>
      <c r="C101" s="24" t="inlineStr">
        <is>
          <t>نسبة المحطات المستوفية لمعايير السلامة</t>
        </is>
      </c>
      <c r="D101" s="34" t="n">
        <v>0.911</v>
      </c>
      <c r="E101" s="34" t="n">
        <v>1</v>
      </c>
      <c r="F101" s="35" t="n">
        <v>0.911</v>
      </c>
      <c r="G101" s="12" t="n">
        <v>0.08899999999999997</v>
      </c>
      <c r="H101" s="34" t="n">
        <v>0.911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الامتياز</t>
        </is>
      </c>
      <c r="M101" s="36" t="n"/>
    </row>
    <row r="102">
      <c r="A102" s="15" t="n">
        <v>100</v>
      </c>
      <c r="B102" s="13" t="inlineStr">
        <is>
          <t>الامتياز التجاري</t>
        </is>
      </c>
      <c r="C102" s="24" t="inlineStr">
        <is>
          <t>متوسط وقت معالجة البلاغات التشغيلية</t>
        </is>
      </c>
      <c r="D102" s="34" t="n">
        <v>26.2</v>
      </c>
      <c r="E102" s="34" t="n">
        <v>24</v>
      </c>
      <c r="F102" s="35" t="n">
        <v>0.916030534351145</v>
      </c>
      <c r="G102" s="12" t="n">
        <v>0.08396946564885499</v>
      </c>
      <c r="H102" s="34" t="n">
        <v>26.2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36" t="n"/>
    </row>
    <row r="103">
      <c r="A103" s="15" t="n">
        <v>101</v>
      </c>
      <c r="B103" s="13" t="inlineStr">
        <is>
          <t>العقار</t>
        </is>
      </c>
      <c r="C103" s="24" t="inlineStr">
        <is>
          <t>الشراكات الاستراتيجية</t>
        </is>
      </c>
      <c r="D103" s="34" t="n">
        <v>4.59</v>
      </c>
      <c r="E103" s="34" t="n">
        <v>5</v>
      </c>
      <c r="F103" s="35" t="n">
        <v>0.9179999999999999</v>
      </c>
      <c r="G103" s="12" t="n">
        <v>0.08200000000000007</v>
      </c>
      <c r="H103" s="34" t="n">
        <v>9.18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36" t="n"/>
    </row>
    <row r="104">
      <c r="A104" s="15" t="n">
        <v>102</v>
      </c>
      <c r="B104" s="13" t="inlineStr">
        <is>
          <t>التقنية الرقمية</t>
        </is>
      </c>
      <c r="C104" s="24" t="inlineStr">
        <is>
          <t>معدل تسليم المشاريع في الموعد المحدد</t>
        </is>
      </c>
      <c r="D104" s="34" t="n">
        <v>0.83</v>
      </c>
      <c r="E104" s="34" t="n">
        <v>0.9</v>
      </c>
      <c r="F104" s="35" t="n">
        <v>0.9222222222222222</v>
      </c>
      <c r="G104" s="12" t="n">
        <v>0.07777777777777783</v>
      </c>
      <c r="H104" s="34" t="n">
        <v>0.83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التقنية</t>
        </is>
      </c>
      <c r="M104" s="36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عدد المحطات المشغّلة (تراكمي)</t>
        </is>
      </c>
      <c r="D105" s="34" t="n">
        <v>78.5</v>
      </c>
      <c r="E105" s="34" t="n">
        <v>85</v>
      </c>
      <c r="F105" s="35" t="n">
        <v>0.9235294117647059</v>
      </c>
      <c r="G105" s="12" t="n">
        <v>0.07647058823529407</v>
      </c>
      <c r="H105" s="34" t="n">
        <v>78.5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36" t="n"/>
    </row>
    <row r="106">
      <c r="A106" s="15" t="n">
        <v>104</v>
      </c>
      <c r="B106" s="13" t="inlineStr">
        <is>
          <t>الامتياز التجاري</t>
        </is>
      </c>
      <c r="C106" s="24" t="inlineStr">
        <is>
          <t>نسبة إغلاق ملاحظات الجودة الميدانية</t>
        </is>
      </c>
      <c r="D106" s="34" t="n">
        <v>0.879</v>
      </c>
      <c r="E106" s="34" t="n">
        <v>0.95</v>
      </c>
      <c r="F106" s="35" t="n">
        <v>0.9252631578947369</v>
      </c>
      <c r="G106" s="12" t="n">
        <v>0.0747368421052631</v>
      </c>
      <c r="H106" s="34" t="n">
        <v>0.879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الامتياز</t>
        </is>
      </c>
      <c r="M106" s="36" t="n"/>
    </row>
    <row r="107">
      <c r="A107" s="15" t="n">
        <v>105</v>
      </c>
      <c r="B107" s="13" t="inlineStr">
        <is>
          <t>الجودة</t>
        </is>
      </c>
      <c r="C107" s="24" t="inlineStr">
        <is>
          <t>نسبة المحطات الحرجة</t>
        </is>
      </c>
      <c r="D107" s="34" t="n">
        <v>0.054</v>
      </c>
      <c r="E107" s="34" t="n">
        <v>0.05</v>
      </c>
      <c r="F107" s="35" t="n">
        <v>0.925925925925926</v>
      </c>
      <c r="G107" s="12" t="n">
        <v>0.07407407407407396</v>
      </c>
      <c r="H107" s="34" t="n">
        <v>0.054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36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اكتمال الأوصاف الوظيفية (+KPI)</t>
        </is>
      </c>
      <c r="D108" s="34" t="n">
        <v>0.926</v>
      </c>
      <c r="E108" s="34" t="n">
        <v>1</v>
      </c>
      <c r="F108" s="35" t="n">
        <v>0.926</v>
      </c>
      <c r="G108" s="12" t="n">
        <v>0.07399999999999995</v>
      </c>
      <c r="H108" s="34" t="n">
        <v>0.926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36" t="n"/>
    </row>
    <row r="109">
      <c r="A109" s="15" t="n">
        <v>107</v>
      </c>
      <c r="B109" s="13" t="inlineStr">
        <is>
          <t>الامتياز التجاري</t>
        </is>
      </c>
      <c r="C109" s="24" t="inlineStr">
        <is>
          <t>متوسط درجة تقييم جودة المحطة (قائمة التحقق)</t>
        </is>
      </c>
      <c r="D109" s="34" t="n">
        <v>78.8</v>
      </c>
      <c r="E109" s="34" t="n">
        <v>85</v>
      </c>
      <c r="F109" s="35" t="n">
        <v>0.9270588235294117</v>
      </c>
      <c r="G109" s="12" t="n">
        <v>0.07294117647058829</v>
      </c>
      <c r="H109" s="34" t="n">
        <v>78.8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الامتياز</t>
        </is>
      </c>
      <c r="M109" s="36" t="n"/>
    </row>
    <row r="110">
      <c r="A110" s="15" t="n">
        <v>108</v>
      </c>
      <c r="B110" s="13" t="inlineStr">
        <is>
          <t>الإدارة المالية</t>
        </is>
      </c>
      <c r="C110" s="24" t="inlineStr">
        <is>
          <t>نسبة تحصيل الامتياز</t>
        </is>
      </c>
      <c r="D110" s="34" t="n">
        <v>0.91</v>
      </c>
      <c r="E110" s="34" t="n">
        <v>0.98</v>
      </c>
      <c r="F110" s="35" t="n">
        <v>0.9285714285714286</v>
      </c>
      <c r="G110" s="12" t="n">
        <v>0.0714285714285714</v>
      </c>
      <c r="H110" s="34" t="n">
        <v>0.91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المدير المالي</t>
        </is>
      </c>
      <c r="M110" s="36" t="n"/>
    </row>
    <row r="111">
      <c r="A111" s="15" t="n">
        <v>109</v>
      </c>
      <c r="B111" s="13" t="inlineStr">
        <is>
          <t>الاستثمار</t>
        </is>
      </c>
      <c r="C111" s="24" t="inlineStr">
        <is>
          <t>سرعة إنجاز إجراءات التعاقد</t>
        </is>
      </c>
      <c r="D111" s="34" t="n">
        <v>1.061</v>
      </c>
      <c r="E111" s="34" t="n">
        <v>1</v>
      </c>
      <c r="F111" s="35" t="n">
        <v>0.942507068803016</v>
      </c>
      <c r="G111" s="12" t="n">
        <v>0.05749293119698395</v>
      </c>
      <c r="H111" s="34" t="n">
        <v>1.061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الاستثمار</t>
        </is>
      </c>
      <c r="M111" s="36" t="n"/>
    </row>
    <row r="112">
      <c r="A112" s="15" t="n">
        <v>110</v>
      </c>
      <c r="B112" s="13" t="inlineStr">
        <is>
          <t>الاستثمار</t>
        </is>
      </c>
      <c r="C112" s="24" t="inlineStr">
        <is>
          <t>نسبة العقود على الطرق الإقليمية</t>
        </is>
      </c>
      <c r="D112" s="34" t="n">
        <v>0.236</v>
      </c>
      <c r="E112" s="34" t="n">
        <v>0.25</v>
      </c>
      <c r="F112" s="35" t="n">
        <v>0.944</v>
      </c>
      <c r="G112" s="12" t="n">
        <v>0.05600000000000005</v>
      </c>
      <c r="H112" s="34" t="n">
        <v>0.236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الاستثمار</t>
        </is>
      </c>
      <c r="M112" s="36" t="n"/>
    </row>
    <row r="113">
      <c r="A113" s="15" t="n">
        <v>111</v>
      </c>
      <c r="B113" s="13" t="inlineStr">
        <is>
          <t>التسويق</t>
        </is>
      </c>
      <c r="C113" s="24" t="inlineStr">
        <is>
          <t>وصول محتوى تطبيق تانكي</t>
        </is>
      </c>
      <c r="D113" s="34" t="n">
        <v>946380</v>
      </c>
      <c r="E113" s="34" t="n">
        <v>1000000</v>
      </c>
      <c r="F113" s="35" t="n">
        <v>0.94638</v>
      </c>
      <c r="G113" s="12" t="n">
        <v>0.05362</v>
      </c>
      <c r="H113" s="34" t="n">
        <v>946380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التسويق</t>
        </is>
      </c>
      <c r="M113" s="36" t="n"/>
    </row>
    <row r="114">
      <c r="A114" s="15" t="n">
        <v>112</v>
      </c>
      <c r="B114" s="13" t="inlineStr">
        <is>
          <t>الامتياز التجاري</t>
        </is>
      </c>
      <c r="C114" s="24" t="inlineStr">
        <is>
          <t>نسبة استدامة أصحاب الامتياز (Retention)</t>
        </is>
      </c>
      <c r="D114" s="34" t="n">
        <v>0.853</v>
      </c>
      <c r="E114" s="34" t="n">
        <v>0.9</v>
      </c>
      <c r="F114" s="35" t="n">
        <v>0.9477777777777777</v>
      </c>
      <c r="G114" s="12" t="n">
        <v>0.05222222222222228</v>
      </c>
      <c r="H114" s="34" t="n">
        <v>0.853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الامتياز</t>
        </is>
      </c>
      <c r="M114" s="36" t="n"/>
    </row>
    <row r="115">
      <c r="A115" s="15" t="n">
        <v>113</v>
      </c>
      <c r="B115" s="13" t="inlineStr">
        <is>
          <t>الإدارة المالية</t>
        </is>
      </c>
      <c r="C115" s="24" t="inlineStr">
        <is>
          <t>أيام تحصيل رسوم الامتياز</t>
        </is>
      </c>
      <c r="D115" s="34" t="n">
        <v>15.8</v>
      </c>
      <c r="E115" s="34" t="n">
        <v>15</v>
      </c>
      <c r="F115" s="35" t="n">
        <v>0.9493670886075949</v>
      </c>
      <c r="G115" s="12" t="n">
        <v>0.05063291139240511</v>
      </c>
      <c r="H115" s="34" t="n">
        <v>15.8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36" t="n"/>
    </row>
    <row r="116">
      <c r="A116" s="15" t="n">
        <v>114</v>
      </c>
      <c r="B116" s="13" t="inlineStr">
        <is>
          <t>الامتياز التجاري</t>
        </is>
      </c>
      <c r="C116" s="24" t="inlineStr">
        <is>
          <t>عدد عقود الامتياز الجديدة الموقّعة</t>
        </is>
      </c>
      <c r="D116" s="34" t="n">
        <v>159.2</v>
      </c>
      <c r="E116" s="34" t="n">
        <v>167</v>
      </c>
      <c r="F116" s="35" t="n">
        <v>0.9532934131736527</v>
      </c>
      <c r="G116" s="12" t="n">
        <v>0.04670658682634732</v>
      </c>
      <c r="H116" s="34" t="n">
        <v>318.4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36" t="n"/>
    </row>
    <row r="117">
      <c r="A117" s="15" t="n">
        <v>115</v>
      </c>
      <c r="B117" s="13" t="inlineStr">
        <is>
          <t>الاستثمار</t>
        </is>
      </c>
      <c r="C117" s="24" t="inlineStr">
        <is>
          <t>نسبة إنجاز التقارير الدورية في موعدها</t>
        </is>
      </c>
      <c r="D117" s="34" t="n">
        <v>0.961</v>
      </c>
      <c r="E117" s="34" t="n">
        <v>1</v>
      </c>
      <c r="F117" s="35" t="n">
        <v>0.961</v>
      </c>
      <c r="G117" s="12" t="n">
        <v>0.03900000000000003</v>
      </c>
      <c r="H117" s="34" t="n">
        <v>0.961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الاستثمار</t>
        </is>
      </c>
      <c r="M117" s="36" t="n"/>
    </row>
    <row r="118">
      <c r="A118" s="15" t="n">
        <v>116</v>
      </c>
      <c r="B118" s="13" t="inlineStr">
        <is>
          <t>العقار</t>
        </is>
      </c>
      <c r="C118" s="24" t="inlineStr">
        <is>
          <t>علامات تجارية جديدة (ساحة درب)</t>
        </is>
      </c>
      <c r="D118" s="34" t="n">
        <v>5.769</v>
      </c>
      <c r="E118" s="34" t="n">
        <v>6</v>
      </c>
      <c r="F118" s="35" t="n">
        <v>0.9615</v>
      </c>
      <c r="G118" s="12" t="n">
        <v>0.03849999999999998</v>
      </c>
      <c r="H118" s="34" t="n">
        <v>11.538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العقار</t>
        </is>
      </c>
      <c r="M118" s="36" t="n"/>
    </row>
    <row r="119">
      <c r="A119" s="15" t="n">
        <v>117</v>
      </c>
      <c r="B119" s="13" t="inlineStr">
        <is>
          <t>الاستثمار</t>
        </is>
      </c>
      <c r="C119" s="24" t="inlineStr">
        <is>
          <t>نسبة العقود في الـ12 مدينة الرئيسية</t>
        </is>
      </c>
      <c r="D119" s="34" t="n">
        <v>0.415</v>
      </c>
      <c r="E119" s="34" t="n">
        <v>0.4</v>
      </c>
      <c r="F119" s="35" t="n">
        <v>0.9638554216867471</v>
      </c>
      <c r="G119" s="12" t="n">
        <v>0.03614457831325291</v>
      </c>
      <c r="H119" s="34" t="n">
        <v>0.415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الاستثمار</t>
        </is>
      </c>
      <c r="M119" s="36" t="n"/>
    </row>
    <row r="120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34" t="n">
        <v>0.775</v>
      </c>
      <c r="E120" s="34" t="n">
        <v>0.8</v>
      </c>
      <c r="F120" s="35" t="n">
        <v>0.96875</v>
      </c>
      <c r="G120" s="12" t="n">
        <v>0.03125</v>
      </c>
      <c r="H120" s="34" t="n">
        <v>0.775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الموارد البشرية</t>
        </is>
      </c>
      <c r="M120" s="36" t="n"/>
    </row>
    <row r="121">
      <c r="A121" s="15" t="n">
        <v>119</v>
      </c>
      <c r="B121" s="13" t="inlineStr">
        <is>
          <t>الامتياز التجاري</t>
        </is>
      </c>
      <c r="C121" s="24" t="inlineStr">
        <is>
          <t>نسبة حل الشكاوى خلال المدة المحددة</t>
        </is>
      </c>
      <c r="D121" s="34" t="n">
        <v>0.922</v>
      </c>
      <c r="E121" s="34" t="n">
        <v>0.95</v>
      </c>
      <c r="F121" s="35" t="n">
        <v>0.9705263157894738</v>
      </c>
      <c r="G121" s="12" t="n">
        <v>0.02947368421052621</v>
      </c>
      <c r="H121" s="34" t="n">
        <v>0.922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36" t="n"/>
    </row>
    <row r="122">
      <c r="A122" s="15" t="n">
        <v>120</v>
      </c>
      <c r="B122" s="13" t="inlineStr">
        <is>
          <t>الإدارة التنفيذية</t>
        </is>
      </c>
      <c r="C122" s="24" t="inlineStr">
        <is>
          <t>إجمالي العقود الجديدة — الشركة</t>
        </is>
      </c>
      <c r="D122" s="34" t="n">
        <v>346.6</v>
      </c>
      <c r="E122" s="34" t="n">
        <v>357</v>
      </c>
      <c r="F122" s="35" t="n">
        <v>0.9708683473389357</v>
      </c>
      <c r="G122" s="12" t="n">
        <v>0.02913165266106432</v>
      </c>
      <c r="H122" s="34" t="n">
        <v>693.2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الرئيس التنفيذي</t>
        </is>
      </c>
      <c r="M122" s="36" t="n"/>
    </row>
    <row r="123">
      <c r="A123" s="15" t="n">
        <v>121</v>
      </c>
      <c r="B123" s="13" t="inlineStr">
        <is>
          <t>الاستثمار</t>
        </is>
      </c>
      <c r="C123" s="24" t="inlineStr">
        <is>
          <t>نسبة اكتمال أرشفة ملفات العملاء</t>
        </is>
      </c>
      <c r="D123" s="34" t="n">
        <v>0.972</v>
      </c>
      <c r="E123" s="34" t="n">
        <v>1</v>
      </c>
      <c r="F123" s="35" t="n">
        <v>0.972</v>
      </c>
      <c r="G123" s="12" t="n">
        <v>0.02800000000000002</v>
      </c>
      <c r="H123" s="34" t="n">
        <v>0.972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الاستثمار</t>
        </is>
      </c>
      <c r="M123" s="36" t="n"/>
    </row>
    <row r="124">
      <c r="A124" s="15" t="n">
        <v>122</v>
      </c>
      <c r="B124" s="13" t="inlineStr">
        <is>
          <t>الإدارة القانونية</t>
        </is>
      </c>
      <c r="C124" s="24" t="inlineStr">
        <is>
          <t>نسبة العقود الخالية من الملاحظات والمخاطر القانونية</t>
        </is>
      </c>
      <c r="D124" s="34" t="n">
        <v>0.924</v>
      </c>
      <c r="E124" s="34" t="n">
        <v>0.95</v>
      </c>
      <c r="F124" s="35" t="n">
        <v>0.9726315789473685</v>
      </c>
      <c r="G124" s="12" t="n">
        <v>0.02736842105263149</v>
      </c>
      <c r="H124" s="34" t="n">
        <v>0.924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المدير القانوني</t>
        </is>
      </c>
      <c r="M124" s="36" t="n"/>
    </row>
    <row r="125">
      <c r="A125" s="15" t="n">
        <v>123</v>
      </c>
      <c r="B125" s="13" t="inlineStr">
        <is>
          <t>الإدارة المالية</t>
        </is>
      </c>
      <c r="C125" s="24" t="inlineStr">
        <is>
          <t>اكتمال مطابقة حسابات الموردين</t>
        </is>
      </c>
      <c r="D125" s="34" t="n">
        <v>0.926</v>
      </c>
      <c r="E125" s="34" t="n">
        <v>0.95</v>
      </c>
      <c r="F125" s="35" t="n">
        <v>0.9747368421052632</v>
      </c>
      <c r="G125" s="12" t="n">
        <v>0.02526315789473677</v>
      </c>
      <c r="H125" s="34" t="n">
        <v>0.926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المدير المالي</t>
        </is>
      </c>
      <c r="M125" s="36" t="n"/>
    </row>
    <row r="126">
      <c r="A126" s="15" t="n">
        <v>124</v>
      </c>
      <c r="B126" s="13" t="inlineStr">
        <is>
          <t>التشغيل والمحطات</t>
        </is>
      </c>
      <c r="C126" s="24" t="inlineStr">
        <is>
          <t>نسبة المضخات العاملة</t>
        </is>
      </c>
      <c r="D126" s="34" t="n">
        <v>0.953</v>
      </c>
      <c r="E126" s="34" t="n">
        <v>0.97</v>
      </c>
      <c r="F126" s="35" t="n">
        <v>0.9824742268041237</v>
      </c>
      <c r="G126" s="12" t="n">
        <v>0.01752577319587634</v>
      </c>
      <c r="H126" s="34" t="n">
        <v>0.953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التشغيل</t>
        </is>
      </c>
      <c r="M126" s="36" t="n"/>
    </row>
    <row r="127">
      <c r="A127" s="15" t="n">
        <v>125</v>
      </c>
      <c r="B127" s="13" t="inlineStr">
        <is>
          <t>التشغيل والمحطات</t>
        </is>
      </c>
      <c r="C127" s="24" t="inlineStr">
        <is>
          <t>تطبيق المعيار الشامل في المحطات</t>
        </is>
      </c>
      <c r="D127" s="34" t="n">
        <v>0.787</v>
      </c>
      <c r="E127" s="34" t="n">
        <v>0.8</v>
      </c>
      <c r="F127" s="35" t="n">
        <v>0.98375</v>
      </c>
      <c r="G127" s="12" t="n">
        <v>0.01624999999999999</v>
      </c>
      <c r="H127" s="34" t="n">
        <v>0.787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التشغيل</t>
        </is>
      </c>
      <c r="M127" s="36" t="n"/>
    </row>
    <row r="128">
      <c r="A128" s="15" t="n">
        <v>126</v>
      </c>
      <c r="B128" s="13" t="inlineStr">
        <is>
          <t>الموارد البشرية</t>
        </is>
      </c>
      <c r="C128" s="24" t="inlineStr">
        <is>
          <t>اعتماد الهيكل التنظيمي</t>
        </is>
      </c>
      <c r="D128" s="34" t="n">
        <v>0.984</v>
      </c>
      <c r="E128" s="34" t="n">
        <v>1</v>
      </c>
      <c r="F128" s="35" t="n">
        <v>0.984</v>
      </c>
      <c r="G128" s="12" t="n">
        <v>0.01600000000000001</v>
      </c>
      <c r="H128" s="34" t="n">
        <v>0.984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الموارد البشرية</t>
        </is>
      </c>
      <c r="M128" s="36" t="n"/>
    </row>
    <row r="129">
      <c r="A129" s="15" t="n">
        <v>127</v>
      </c>
      <c r="B129" s="13" t="inlineStr">
        <is>
          <t>الإدارة المالية</t>
        </is>
      </c>
      <c r="C129" s="24" t="inlineStr">
        <is>
          <t>انحراف الموازنة</t>
        </is>
      </c>
      <c r="D129" s="34" t="n">
        <v>0.101</v>
      </c>
      <c r="E129" s="34" t="n">
        <v>0.1</v>
      </c>
      <c r="F129" s="35" t="n">
        <v>0.9900990099009901</v>
      </c>
      <c r="G129" s="12" t="n">
        <v>0.00990099009900991</v>
      </c>
      <c r="H129" s="34" t="n">
        <v>0.101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المدير المالي</t>
        </is>
      </c>
      <c r="M129" s="36" t="n"/>
    </row>
    <row r="130">
      <c r="A130" s="15" t="n">
        <v>128</v>
      </c>
      <c r="B130" s="13" t="inlineStr">
        <is>
          <t>الجودة</t>
        </is>
      </c>
      <c r="C130" s="24" t="inlineStr">
        <is>
          <t>نسبة اكتمال وتحديث الإجراءات المعتمدة</t>
        </is>
      </c>
      <c r="D130" s="34" t="n">
        <v>0.944</v>
      </c>
      <c r="E130" s="34" t="n">
        <v>0.95</v>
      </c>
      <c r="F130" s="35" t="n">
        <v>0.9936842105263158</v>
      </c>
      <c r="G130" s="12" t="n">
        <v>0.006315789473684164</v>
      </c>
      <c r="H130" s="34" t="n">
        <v>0.944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الجودة</t>
        </is>
      </c>
      <c r="M130" s="36" t="n"/>
    </row>
    <row r="131">
      <c r="A131" s="15" t="n">
        <v>129</v>
      </c>
      <c r="B131" s="13" t="inlineStr">
        <is>
          <t>الامتياز التجاري</t>
        </is>
      </c>
      <c r="C131" s="24" t="inlineStr">
        <is>
          <t>نسبة تطبيق المعيار الشامل داخل المحطات</t>
        </is>
      </c>
      <c r="D131" s="34" t="n">
        <v>0.299</v>
      </c>
      <c r="E131" s="34" t="n">
        <v>0.3</v>
      </c>
      <c r="F131" s="35" t="n">
        <v>0.9966666666666667</v>
      </c>
      <c r="G131" s="12" t="n">
        <v>0.003333333333333299</v>
      </c>
      <c r="H131" s="34" t="n">
        <v>0.299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36" t="n"/>
    </row>
  </sheetData>
  <autoFilter ref="A2:M131"/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32" t="inlineStr">
        <is>
          <t>سجل المخاطر المؤسسية — مربوط بالمؤشرات (درجة الخطر = الاحتمال × الأثر)</t>
        </is>
      </c>
    </row>
    <row r="2">
      <c r="A2" s="33" t="inlineStr">
        <is>
          <t>#</t>
        </is>
      </c>
      <c r="B2" s="33" t="inlineStr">
        <is>
          <t>الخطر</t>
        </is>
      </c>
      <c r="C2" s="33" t="inlineStr">
        <is>
          <t>الفئة</t>
        </is>
      </c>
      <c r="D2" s="33" t="inlineStr">
        <is>
          <t>الاحتمال (1-5)</t>
        </is>
      </c>
      <c r="E2" s="33" t="inlineStr">
        <is>
          <t>الأثر (1-5)</t>
        </is>
      </c>
      <c r="F2" s="33" t="inlineStr">
        <is>
          <t>درجة الخطر</t>
        </is>
      </c>
      <c r="G2" s="33" t="inlineStr">
        <is>
          <t>المستوى</t>
        </is>
      </c>
      <c r="H2" s="33" t="inlineStr">
        <is>
          <t>المؤشر المرتبط</t>
        </is>
      </c>
      <c r="I2" s="33" t="inlineStr">
        <is>
          <t>المالك</t>
        </is>
      </c>
      <c r="J2" s="33" t="inlineStr">
        <is>
          <t>إجراء التخفيف</t>
        </is>
      </c>
      <c r="K2" s="33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36" t="n">
        <v>4</v>
      </c>
      <c r="E3" s="36" t="n">
        <v>5</v>
      </c>
      <c r="F3" s="37">
        <f>D3*E3</f>
        <v/>
      </c>
      <c r="G3" s="38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36" t="n">
        <v>3</v>
      </c>
      <c r="E4" s="36" t="n">
        <v>4</v>
      </c>
      <c r="F4" s="37">
        <f>D4*E4</f>
        <v/>
      </c>
      <c r="G4" s="38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36" t="n">
        <v>3</v>
      </c>
      <c r="E5" s="36" t="n">
        <v>5</v>
      </c>
      <c r="F5" s="37">
        <f>D5*E5</f>
        <v/>
      </c>
      <c r="G5" s="38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36" t="n">
        <v>4</v>
      </c>
      <c r="E6" s="36" t="n">
        <v>4</v>
      </c>
      <c r="F6" s="37">
        <f>D6*E6</f>
        <v/>
      </c>
      <c r="G6" s="38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36" t="n">
        <v>3</v>
      </c>
      <c r="E7" s="36" t="n">
        <v>3</v>
      </c>
      <c r="F7" s="37">
        <f>D7*E7</f>
        <v/>
      </c>
      <c r="G7" s="38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36" t="n">
        <v>2</v>
      </c>
      <c r="E8" s="36" t="n">
        <v>5</v>
      </c>
      <c r="F8" s="37">
        <f>D8*E8</f>
        <v/>
      </c>
      <c r="G8" s="38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36" t="n">
        <v>2</v>
      </c>
      <c r="E9" s="36" t="n">
        <v>5</v>
      </c>
      <c r="F9" s="37">
        <f>D9*E9</f>
        <v/>
      </c>
      <c r="G9" s="38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36" t="n">
        <v>3</v>
      </c>
      <c r="E10" s="36" t="n">
        <v>3</v>
      </c>
      <c r="F10" s="37">
        <f>D10*E10</f>
        <v/>
      </c>
      <c r="G10" s="38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36" t="n">
        <v>3</v>
      </c>
      <c r="E11" s="36" t="n">
        <v>4</v>
      </c>
      <c r="F11" s="37">
        <f>D11*E11</f>
        <v/>
      </c>
      <c r="G11" s="38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36" t="n">
        <v>2</v>
      </c>
      <c r="E12" s="36" t="n">
        <v>4</v>
      </c>
      <c r="F12" s="37">
        <f>D12*E12</f>
        <v/>
      </c>
      <c r="G12" s="38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36" t="n">
        <v>3</v>
      </c>
      <c r="E13" s="36" t="n">
        <v>3</v>
      </c>
      <c r="F13" s="37">
        <f>D13*E13</f>
        <v/>
      </c>
      <c r="G13" s="38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36" t="n">
        <v>2</v>
      </c>
      <c r="E14" s="36" t="n">
        <v>4</v>
      </c>
      <c r="F14" s="37">
        <f>D14*E14</f>
        <v/>
      </c>
      <c r="G14" s="38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32" t="inlineStr">
        <is>
          <t>ESG والاستدامة — البيئة · الاجتماعي · الحوكمة (متطلب حوكمة المؤسسات الكبرى)</t>
        </is>
      </c>
    </row>
    <row r="2">
      <c r="A2" s="33" t="inlineStr">
        <is>
          <t>#</t>
        </is>
      </c>
      <c r="B2" s="33" t="inlineStr">
        <is>
          <t>المحور</t>
        </is>
      </c>
      <c r="C2" s="33" t="inlineStr">
        <is>
          <t>المؤشر</t>
        </is>
      </c>
      <c r="D2" s="33" t="inlineStr">
        <is>
          <t>الوحدة</t>
        </is>
      </c>
      <c r="E2" s="33" t="inlineStr">
        <is>
          <t>القطبية</t>
        </is>
      </c>
      <c r="F2" s="33" t="inlineStr">
        <is>
          <t>المستهدف</t>
        </is>
      </c>
      <c r="G2" s="33" t="inlineStr">
        <is>
          <t>نص المستهدف</t>
        </is>
      </c>
      <c r="H2" s="33" t="inlineStr">
        <is>
          <t>المُحقَّق</t>
        </is>
      </c>
      <c r="I2" s="33" t="inlineStr">
        <is>
          <t>نسبة التحقيق</t>
        </is>
      </c>
      <c r="J2" s="33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34" t="inlineStr">
        <is>
          <t>%</t>
        </is>
      </c>
      <c r="E3" s="34" t="inlineStr">
        <is>
          <t>↑</t>
        </is>
      </c>
      <c r="F3" s="34" t="n">
        <v>1</v>
      </c>
      <c r="G3" s="15" t="inlineStr">
        <is>
          <t>100%</t>
        </is>
      </c>
      <c r="H3" s="36" t="n">
        <v>0.792</v>
      </c>
      <c r="I3" s="35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34" t="inlineStr">
        <is>
          <t>%</t>
        </is>
      </c>
      <c r="E4" s="34" t="inlineStr">
        <is>
          <t>↑</t>
        </is>
      </c>
      <c r="F4" s="34" t="n">
        <v>0.1</v>
      </c>
      <c r="G4" s="15" t="inlineStr">
        <is>
          <t>≥ 10%</t>
        </is>
      </c>
      <c r="H4" s="36" t="n">
        <v>0.098</v>
      </c>
      <c r="I4" s="35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34" t="inlineStr">
        <is>
          <t>%</t>
        </is>
      </c>
      <c r="E5" s="34" t="inlineStr">
        <is>
          <t>↑</t>
        </is>
      </c>
      <c r="F5" s="34" t="n">
        <v>0.9</v>
      </c>
      <c r="G5" s="15" t="inlineStr">
        <is>
          <t>≥ 90%</t>
        </is>
      </c>
      <c r="H5" s="36" t="n">
        <v>0.8110000000000001</v>
      </c>
      <c r="I5" s="35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34" t="inlineStr">
        <is>
          <t>%</t>
        </is>
      </c>
      <c r="E6" s="34" t="inlineStr">
        <is>
          <t>↑</t>
        </is>
      </c>
      <c r="F6" s="34" t="n">
        <v>0.8</v>
      </c>
      <c r="G6" s="15" t="inlineStr">
        <is>
          <t>≥ 80%</t>
        </is>
      </c>
      <c r="H6" s="36" t="n">
        <v>0.603</v>
      </c>
      <c r="I6" s="35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34" t="inlineStr">
        <is>
          <t>حالة</t>
        </is>
      </c>
      <c r="E7" s="34" t="inlineStr">
        <is>
          <t>↓</t>
        </is>
      </c>
      <c r="F7" s="34" t="n">
        <v>0</v>
      </c>
      <c r="G7" s="15" t="inlineStr">
        <is>
          <t>صفر</t>
        </is>
      </c>
      <c r="H7" s="36" t="n"/>
      <c r="I7" s="35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34" t="inlineStr">
        <is>
          <t>%</t>
        </is>
      </c>
      <c r="E8" s="34" t="inlineStr">
        <is>
          <t>↑</t>
        </is>
      </c>
      <c r="F8" s="34" t="n">
        <v>0.3</v>
      </c>
      <c r="G8" s="15" t="inlineStr">
        <is>
          <t>≥ 30%</t>
        </is>
      </c>
      <c r="H8" s="36" t="n">
        <v>0.249</v>
      </c>
      <c r="I8" s="35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34" t="inlineStr">
        <is>
          <t>معدل</t>
        </is>
      </c>
      <c r="E9" s="34" t="inlineStr">
        <is>
          <t>↓</t>
        </is>
      </c>
      <c r="F9" s="34" t="n">
        <v>0</v>
      </c>
      <c r="G9" s="15" t="inlineStr">
        <is>
          <t>≈ صفر</t>
        </is>
      </c>
      <c r="H9" s="36" t="n"/>
      <c r="I9" s="35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34" t="inlineStr">
        <is>
          <t>نقطة</t>
        </is>
      </c>
      <c r="E10" s="34" t="inlineStr">
        <is>
          <t>↑</t>
        </is>
      </c>
      <c r="F10" s="34" t="n">
        <v>30</v>
      </c>
      <c r="G10" s="15" t="inlineStr">
        <is>
          <t>≥ 30</t>
        </is>
      </c>
      <c r="H10" s="36" t="n">
        <v>27.5</v>
      </c>
      <c r="I10" s="35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34" t="inlineStr">
        <is>
          <t>ساعة</t>
        </is>
      </c>
      <c r="E11" s="34" t="inlineStr">
        <is>
          <t>↑</t>
        </is>
      </c>
      <c r="F11" s="34" t="n">
        <v>40</v>
      </c>
      <c r="G11" s="15" t="inlineStr">
        <is>
          <t>≥ 40</t>
        </is>
      </c>
      <c r="H11" s="36" t="n">
        <v>33.6</v>
      </c>
      <c r="I11" s="35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34" t="inlineStr">
        <is>
          <t>مبادرة</t>
        </is>
      </c>
      <c r="E12" s="34" t="inlineStr">
        <is>
          <t>↑</t>
        </is>
      </c>
      <c r="F12" s="34" t="n">
        <v>6</v>
      </c>
      <c r="G12" s="15" t="inlineStr">
        <is>
          <t>≥ 6</t>
        </is>
      </c>
      <c r="H12" s="36" t="n">
        <v>5.225</v>
      </c>
      <c r="I12" s="35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34" t="inlineStr">
        <is>
          <t>%</t>
        </is>
      </c>
      <c r="E13" s="34" t="inlineStr">
        <is>
          <t>↑</t>
        </is>
      </c>
      <c r="F13" s="34" t="n">
        <v>1</v>
      </c>
      <c r="G13" s="15" t="inlineStr">
        <is>
          <t>100%</t>
        </is>
      </c>
      <c r="H13" s="36" t="n">
        <v>0.766</v>
      </c>
      <c r="I13" s="35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34" t="inlineStr">
        <is>
          <t>%</t>
        </is>
      </c>
      <c r="E14" s="34" t="inlineStr">
        <is>
          <t>↑</t>
        </is>
      </c>
      <c r="F14" s="34" t="n">
        <v>0.95</v>
      </c>
      <c r="G14" s="15" t="inlineStr">
        <is>
          <t>≥ 95%</t>
        </is>
      </c>
      <c r="H14" s="36" t="n">
        <v>0.8169999999999999</v>
      </c>
      <c r="I14" s="35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34" t="inlineStr">
        <is>
          <t>%</t>
        </is>
      </c>
      <c r="E15" s="34" t="inlineStr">
        <is>
          <t>↑</t>
        </is>
      </c>
      <c r="F15" s="34" t="n">
        <v>0.9</v>
      </c>
      <c r="G15" s="15" t="inlineStr">
        <is>
          <t>≥ 90%</t>
        </is>
      </c>
      <c r="H15" s="36" t="n">
        <v>0.902</v>
      </c>
      <c r="I15" s="35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34" t="inlineStr">
        <is>
          <t>%</t>
        </is>
      </c>
      <c r="E16" s="34" t="inlineStr">
        <is>
          <t>↑</t>
        </is>
      </c>
      <c r="F16" s="34" t="n">
        <v>0.95</v>
      </c>
      <c r="G16" s="15" t="inlineStr">
        <is>
          <t>≥ 95%</t>
        </is>
      </c>
      <c r="H16" s="36" t="n">
        <v>0.979</v>
      </c>
      <c r="I16" s="35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29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33" t="inlineStr">
        <is>
          <t>#</t>
        </is>
      </c>
      <c r="B4" s="33" t="inlineStr">
        <is>
          <t>الإدارة</t>
        </is>
      </c>
      <c r="C4" s="33" t="inlineStr">
        <is>
          <t>عدد المؤشرات</t>
        </is>
      </c>
      <c r="D4" s="33" t="inlineStr">
        <is>
          <t>مجموع الأوزان</t>
        </is>
      </c>
      <c r="E4" s="33" t="inlineStr">
        <is>
          <t>🎯 نتيجة</t>
        </is>
      </c>
      <c r="F4" s="33" t="inlineStr">
        <is>
          <t>⚙️ نشاط</t>
        </is>
      </c>
      <c r="G4" s="33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39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39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39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39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39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التقنية الرقمية</t>
        </is>
      </c>
      <c r="C10" s="15" t="n">
        <v>9</v>
      </c>
      <c r="D10" s="39" t="n">
        <v>1</v>
      </c>
      <c r="E10" s="15" t="n">
        <v>5</v>
      </c>
      <c r="F10" s="15" t="n">
        <v>0</v>
      </c>
      <c r="G10" s="15" t="n">
        <v>4</v>
      </c>
    </row>
    <row r="11">
      <c r="A11" s="15" t="n">
        <v>7</v>
      </c>
      <c r="B11" s="13" t="inlineStr">
        <is>
          <t>الموارد البشرية</t>
        </is>
      </c>
      <c r="C11" s="15" t="n">
        <v>17</v>
      </c>
      <c r="D11" s="39" t="n">
        <v>1</v>
      </c>
      <c r="E11" s="15" t="n">
        <v>5</v>
      </c>
      <c r="F11" s="15" t="n">
        <v>4</v>
      </c>
      <c r="G11" s="15" t="n">
        <v>8</v>
      </c>
    </row>
    <row r="12">
      <c r="A12" s="15" t="n">
        <v>8</v>
      </c>
      <c r="B12" s="13" t="inlineStr">
        <is>
          <t>التسويق</t>
        </is>
      </c>
      <c r="C12" s="15" t="n">
        <v>15</v>
      </c>
      <c r="D12" s="39" t="n">
        <v>1</v>
      </c>
      <c r="E12" s="15" t="n">
        <v>4</v>
      </c>
      <c r="F12" s="15" t="n">
        <v>3</v>
      </c>
      <c r="G12" s="15" t="n">
        <v>8</v>
      </c>
    </row>
    <row r="13">
      <c r="A13" s="15" t="n">
        <v>9</v>
      </c>
      <c r="B13" s="13" t="inlineStr">
        <is>
          <t>الجودة</t>
        </is>
      </c>
      <c r="C13" s="15" t="n">
        <v>14</v>
      </c>
      <c r="D13" s="39" t="n">
        <v>1</v>
      </c>
      <c r="E13" s="15" t="n">
        <v>6</v>
      </c>
      <c r="F13" s="15" t="n">
        <v>3</v>
      </c>
      <c r="G13" s="15" t="n">
        <v>5</v>
      </c>
    </row>
    <row r="14">
      <c r="A14" s="15" t="n">
        <v>10</v>
      </c>
      <c r="B14" s="13" t="inlineStr">
        <is>
          <t>الإدارة القانونية</t>
        </is>
      </c>
      <c r="C14" s="15" t="n">
        <v>8</v>
      </c>
      <c r="D14" s="39" t="n">
        <v>1</v>
      </c>
      <c r="E14" s="15" t="n">
        <v>2</v>
      </c>
      <c r="F14" s="15" t="n">
        <v>1</v>
      </c>
      <c r="G14" s="15" t="n">
        <v>5</v>
      </c>
    </row>
    <row r="15">
      <c r="A15" s="15" t="n">
        <v>11</v>
      </c>
      <c r="B15" s="13" t="inlineStr">
        <is>
          <t>الإدارة المالية</t>
        </is>
      </c>
      <c r="C15" s="15" t="n">
        <v>24</v>
      </c>
      <c r="D15" s="39" t="n">
        <v>1</v>
      </c>
      <c r="E15" s="15" t="n">
        <v>14</v>
      </c>
      <c r="F15" s="15" t="n">
        <v>0</v>
      </c>
      <c r="G15" s="15" t="n">
        <v>10</v>
      </c>
    </row>
    <row r="17">
      <c r="A17" s="6" t="inlineStr">
        <is>
          <t>ب) توزيع منظورات Balanced Scorecard</t>
        </is>
      </c>
      <c r="B17" s="8" t="n"/>
      <c r="C17" s="8" t="n"/>
      <c r="D17" s="8" t="n"/>
      <c r="E17" s="8" t="n"/>
      <c r="F17" s="8" t="n"/>
      <c r="G17" s="7" t="n"/>
    </row>
    <row r="18">
      <c r="A18" s="33" t="inlineStr">
        <is>
          <t>#</t>
        </is>
      </c>
      <c r="B18" s="33" t="inlineStr">
        <is>
          <t>المنظور</t>
        </is>
      </c>
      <c r="C18" s="33" t="inlineStr">
        <is>
          <t>عدد المؤشرات</t>
        </is>
      </c>
      <c r="D18" s="33" t="inlineStr">
        <is>
          <t>النسبة</t>
        </is>
      </c>
    </row>
    <row r="19">
      <c r="A19" s="15" t="n">
        <v>1</v>
      </c>
      <c r="B19" s="13" t="inlineStr">
        <is>
          <t>مالي</t>
        </is>
      </c>
      <c r="C19" s="15" t="n">
        <v>33</v>
      </c>
      <c r="D19" s="40" t="n">
        <v>0.18</v>
      </c>
    </row>
    <row r="20">
      <c r="A20" s="15" t="n">
        <v>2</v>
      </c>
      <c r="B20" s="13" t="inlineStr">
        <is>
          <t>العملاء</t>
        </is>
      </c>
      <c r="C20" s="15" t="n">
        <v>23</v>
      </c>
      <c r="D20" s="40" t="n">
        <v>0.126</v>
      </c>
    </row>
    <row r="21">
      <c r="A21" s="15" t="n">
        <v>3</v>
      </c>
      <c r="B21" s="13" t="inlineStr">
        <is>
          <t>العمليات الداخلية</t>
        </is>
      </c>
      <c r="C21" s="15" t="n">
        <v>103</v>
      </c>
      <c r="D21" s="40" t="n">
        <v>0.5629999999999999</v>
      </c>
    </row>
    <row r="22">
      <c r="A22" s="15" t="n">
        <v>4</v>
      </c>
      <c r="B22" s="13" t="inlineStr">
        <is>
          <t>التعلّم والنمو</t>
        </is>
      </c>
      <c r="C22" s="15" t="n">
        <v>24</v>
      </c>
      <c r="D22" s="40" t="n">
        <v>0.131</v>
      </c>
    </row>
    <row r="24">
      <c r="A24" s="6" t="inlineStr">
        <is>
          <t>ج) تغطية الأهداف الاستراتيجية (عدد المؤشرات لكل مشروع)</t>
        </is>
      </c>
      <c r="B24" s="8" t="n"/>
      <c r="C24" s="8" t="n"/>
      <c r="D24" s="8" t="n"/>
      <c r="E24" s="8" t="n"/>
      <c r="F24" s="8" t="n"/>
      <c r="G24" s="7" t="n"/>
    </row>
    <row r="25">
      <c r="A25" s="33" t="inlineStr">
        <is>
          <t>#</t>
        </is>
      </c>
      <c r="B25" s="33" t="inlineStr">
        <is>
          <t>المشروع/الهدف</t>
        </is>
      </c>
      <c r="C25" s="33" t="inlineStr">
        <is>
          <t>الركيزة</t>
        </is>
      </c>
      <c r="D25" s="33" t="inlineStr">
        <is>
          <t>عدد المؤشرات</t>
        </is>
      </c>
      <c r="E25" s="33" t="inlineStr">
        <is>
          <t>التغطية</t>
        </is>
      </c>
    </row>
    <row r="26">
      <c r="A26" s="15" t="n">
        <v>1</v>
      </c>
      <c r="B26" s="13" t="inlineStr">
        <is>
          <t>التوسع في المواقع</t>
        </is>
      </c>
      <c r="C26" s="15" t="inlineStr">
        <is>
          <t>النمو</t>
        </is>
      </c>
      <c r="D26" s="15" t="n">
        <v>20</v>
      </c>
      <c r="E26" s="15" t="inlineStr">
        <is>
          <t>🟢 كافية</t>
        </is>
      </c>
    </row>
    <row r="27">
      <c r="A27" s="15" t="n">
        <v>2</v>
      </c>
      <c r="B27" s="13" t="inlineStr">
        <is>
          <t>الامتياز التجاري</t>
        </is>
      </c>
      <c r="C27" s="15" t="inlineStr">
        <is>
          <t>النمو</t>
        </is>
      </c>
      <c r="D27" s="15" t="n">
        <v>7</v>
      </c>
      <c r="E27" s="15" t="inlineStr">
        <is>
          <t>🟢 كافية</t>
        </is>
      </c>
    </row>
    <row r="28">
      <c r="A28" s="15" t="n">
        <v>3</v>
      </c>
      <c r="B28" s="13" t="inlineStr">
        <is>
          <t>زيادة وصول العملاء</t>
        </is>
      </c>
      <c r="C28" s="15" t="inlineStr">
        <is>
          <t>النمو</t>
        </is>
      </c>
      <c r="D28" s="15" t="n">
        <v>23</v>
      </c>
      <c r="E28" s="15" t="inlineStr">
        <is>
          <t>🟢 كافية</t>
        </is>
      </c>
    </row>
    <row r="29">
      <c r="A29" s="15" t="n">
        <v>4</v>
      </c>
      <c r="B29" s="13" t="inlineStr">
        <is>
          <t>إطلاق مشاريع جديدة</t>
        </is>
      </c>
      <c r="C29" s="15" t="inlineStr">
        <is>
          <t>الابتكار</t>
        </is>
      </c>
      <c r="D29" s="15" t="n">
        <v>4</v>
      </c>
      <c r="E29" s="15" t="inlineStr">
        <is>
          <t>🟢 كافية</t>
        </is>
      </c>
    </row>
    <row r="30">
      <c r="A30" s="15" t="n">
        <v>5</v>
      </c>
      <c r="B30" s="13" t="inlineStr">
        <is>
          <t>تطوير التصاميم والهوية</t>
        </is>
      </c>
      <c r="C30" s="15" t="inlineStr">
        <is>
          <t>الابتكار</t>
        </is>
      </c>
      <c r="D30" s="15" t="n">
        <v>2</v>
      </c>
      <c r="E30" s="15" t="inlineStr">
        <is>
          <t>🟡 ضعيفة</t>
        </is>
      </c>
    </row>
    <row r="31">
      <c r="A31" s="15" t="n">
        <v>6</v>
      </c>
      <c r="B31" s="13" t="inlineStr">
        <is>
          <t>التحول التقني</t>
        </is>
      </c>
      <c r="C31" s="15" t="inlineStr">
        <is>
          <t>الابتكار</t>
        </is>
      </c>
      <c r="D31" s="15" t="n">
        <v>10</v>
      </c>
      <c r="E31" s="15" t="inlineStr">
        <is>
          <t>🟢 كافية</t>
        </is>
      </c>
    </row>
    <row r="32">
      <c r="A32" s="15" t="n">
        <v>7</v>
      </c>
      <c r="B32" s="13" t="inlineStr">
        <is>
          <t>ساحات درب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8</v>
      </c>
      <c r="B33" s="13" t="inlineStr">
        <is>
          <t>تطبيق «تانكي»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9</v>
      </c>
      <c r="B34" s="13" t="inlineStr">
        <is>
          <t>تعزيز تجربة العملاء</t>
        </is>
      </c>
      <c r="C34" s="15" t="inlineStr">
        <is>
          <t>الاستدامة</t>
        </is>
      </c>
      <c r="D34" s="15" t="n">
        <v>16</v>
      </c>
      <c r="E34" s="15" t="inlineStr">
        <is>
          <t>🟢 كافية</t>
        </is>
      </c>
    </row>
    <row r="35">
      <c r="A35" s="15" t="n">
        <v>10</v>
      </c>
      <c r="B35" s="13" t="inlineStr">
        <is>
          <t>جودة التشغيل</t>
        </is>
      </c>
      <c r="C35" s="15" t="inlineStr">
        <is>
          <t>الاستدامة</t>
        </is>
      </c>
      <c r="D35" s="15" t="n">
        <v>74</v>
      </c>
      <c r="E35" s="15" t="inlineStr">
        <is>
          <t>🟢 كافية</t>
        </is>
      </c>
    </row>
    <row r="36">
      <c r="A36" s="15" t="n">
        <v>11</v>
      </c>
      <c r="B36" s="13" t="inlineStr">
        <is>
          <t>منظومة التأجير</t>
        </is>
      </c>
      <c r="C36" s="15" t="inlineStr">
        <is>
          <t>الاستدامة</t>
        </is>
      </c>
      <c r="D36" s="15" t="n">
        <v>10</v>
      </c>
      <c r="E36" s="15" t="inlineStr">
        <is>
          <t>🟢 كافية</t>
        </is>
      </c>
    </row>
    <row r="37">
      <c r="A37" s="15" t="n">
        <v>12</v>
      </c>
      <c r="B37" s="13" t="inlineStr">
        <is>
          <t>الاستثمار في الموظفين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</sheetData>
  <mergeCells count="4">
    <mergeCell ref="A3:G3"/>
    <mergeCell ref="A24:G24"/>
    <mergeCell ref="A1:G1"/>
    <mergeCell ref="A17:G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8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32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33" t="inlineStr">
        <is>
          <t>#</t>
        </is>
      </c>
      <c r="B2" s="33" t="inlineStr">
        <is>
          <t>الإدارة</t>
        </is>
      </c>
      <c r="C2" s="33" t="inlineStr">
        <is>
          <t>المؤشر</t>
        </is>
      </c>
      <c r="D2" s="33" t="inlineStr">
        <is>
          <t>التعريف</t>
        </is>
      </c>
      <c r="E2" s="33" t="inlineStr">
        <is>
          <t>طريقة الاحتساب</t>
        </is>
      </c>
      <c r="F2" s="33" t="inlineStr">
        <is>
          <t>النوع</t>
        </is>
      </c>
      <c r="G2" s="33" t="inlineStr">
        <is>
          <t>الهدف الاستراتيجي (ركيزة · مشروع)</t>
        </is>
      </c>
      <c r="H2" s="33" t="inlineStr">
        <is>
          <t>منظور BSC</t>
        </is>
      </c>
      <c r="I2" s="33" t="inlineStr">
        <is>
          <t>الوزن</t>
        </is>
      </c>
      <c r="J2" s="33" t="inlineStr">
        <is>
          <t>المالك</t>
        </is>
      </c>
      <c r="K2" s="33" t="inlineStr">
        <is>
          <t>مصدر البيانات</t>
        </is>
      </c>
      <c r="L2" s="33" t="inlineStr">
        <is>
          <t>الدورية</t>
        </is>
      </c>
      <c r="M2" s="33" t="inlineStr">
        <is>
          <t>جهة اعتماد البيانات</t>
        </is>
      </c>
      <c r="N2" s="33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4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42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36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4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42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36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41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42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36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41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42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36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41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42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36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41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42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36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41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42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36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41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42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36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4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42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36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4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42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36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4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42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36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4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42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36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4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42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36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41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42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36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41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42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36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4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42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36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41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42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36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41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42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36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4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42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36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4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42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36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4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42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36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4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42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36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4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42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36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4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42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36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4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42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36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4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42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36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4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42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36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4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42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36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4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42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36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4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42" t="n">
        <v>0.03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36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41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42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36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4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42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36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4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42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36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4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42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36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4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42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36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4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42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36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4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42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36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4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42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36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4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42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36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4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42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36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41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42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36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41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42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36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41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42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36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41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42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36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41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42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36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41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42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36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41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42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36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41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42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36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41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42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36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41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42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36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41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42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36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41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42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36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41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42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36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41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42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36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41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42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36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41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42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36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41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42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36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41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42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36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41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42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36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41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42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36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41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42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36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41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42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36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41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42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36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41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42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36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41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42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36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41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42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36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41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42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36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41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42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36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41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42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36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41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42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36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41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42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36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41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42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36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41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42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36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41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42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36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41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42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36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41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42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36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41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42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36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4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42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36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41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42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36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41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42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36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41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42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36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41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42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36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41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42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36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41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42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36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41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42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36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41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42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36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41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42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36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41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42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36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41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42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36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41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42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36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41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42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36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41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42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36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41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42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36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41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42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36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41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42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36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4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42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36" t="n"/>
    </row>
    <row r="99" ht="30" customHeight="1">
      <c r="A99" s="15" t="n">
        <v>97</v>
      </c>
      <c r="B99" s="13" t="inlineStr">
        <is>
          <t>التقنية الرقمية</t>
        </is>
      </c>
      <c r="C99" s="24" t="inlineStr">
        <is>
          <t>نسبة إنجاز محفظة مشاريع التحول الرقمي</t>
        </is>
      </c>
      <c r="D99" s="41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الابتكار · التحول التقني</t>
        </is>
      </c>
      <c r="H99" s="15" t="inlineStr">
        <is>
          <t>التعلّم والنمو</t>
        </is>
      </c>
      <c r="I99" s="42" t="n">
        <v>0.1</v>
      </c>
      <c r="J99" s="15" t="inlineStr">
        <is>
          <t>مدير التقنية</t>
        </is>
      </c>
      <c r="K99" s="11" t="inlineStr">
        <is>
          <t>سجلات الإدارة</t>
        </is>
      </c>
      <c r="L99" s="15" t="inlineStr">
        <is>
          <t>شهري</t>
        </is>
      </c>
      <c r="M99" s="15" t="inlineStr">
        <is>
          <t>مدير التقنية</t>
        </is>
      </c>
      <c r="N99" s="36" t="n"/>
    </row>
    <row r="100" ht="30" customHeight="1">
      <c r="A100" s="15" t="n">
        <v>98</v>
      </c>
      <c r="B100" s="13" t="inlineStr">
        <is>
          <t>التقنية الرقمية</t>
        </is>
      </c>
      <c r="C100" s="24" t="inlineStr">
        <is>
          <t>معدل تسليم المشاريع في الموعد المحدد</t>
        </is>
      </c>
      <c r="D100" s="41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الابتكار · التحول التقني</t>
        </is>
      </c>
      <c r="H100" s="15" t="inlineStr">
        <is>
          <t>العمليات الداخلية</t>
        </is>
      </c>
      <c r="I100" s="42" t="n">
        <v>0.1</v>
      </c>
      <c r="J100" s="15" t="inlineStr">
        <is>
          <t>مدير التقنية</t>
        </is>
      </c>
      <c r="K100" s="11" t="inlineStr">
        <is>
          <t>سجلات الإدارة</t>
        </is>
      </c>
      <c r="L100" s="15" t="inlineStr">
        <is>
          <t>شهري</t>
        </is>
      </c>
      <c r="M100" s="15" t="inlineStr">
        <is>
          <t>مدير التقنية</t>
        </is>
      </c>
      <c r="N100" s="36" t="n"/>
    </row>
    <row r="101" ht="30" customHeight="1">
      <c r="A101" s="15" t="n">
        <v>99</v>
      </c>
      <c r="B101" s="13" t="inlineStr">
        <is>
          <t>التقنية الرقمية</t>
        </is>
      </c>
      <c r="C101" s="24" t="inlineStr">
        <is>
          <t>نسبة الالتزام بميزانية المشاريع</t>
        </is>
      </c>
      <c r="D101" s="41" t="inlineStr">
        <is>
          <t>يقيس نسبة الالتزام بميزانية المشاريع ضمن محور «أداء المشاريع»، ويعكس مساهمة الإدارة في ركيزة الابتكار.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الابتكار · التحول التقني</t>
        </is>
      </c>
      <c r="H101" s="15" t="inlineStr">
        <is>
          <t>العمليات الداخلية</t>
        </is>
      </c>
      <c r="I101" s="42" t="n">
        <v>0.1</v>
      </c>
      <c r="J101" s="15" t="inlineStr">
        <is>
          <t>مدير التقنية</t>
        </is>
      </c>
      <c r="K101" s="11" t="inlineStr">
        <is>
          <t>نظام المحاسبة / ERP (D365)</t>
        </is>
      </c>
      <c r="L101" s="15" t="inlineStr">
        <is>
          <t>شهري</t>
        </is>
      </c>
      <c r="M101" s="15" t="inlineStr">
        <is>
          <t>الإدارة المالية</t>
        </is>
      </c>
      <c r="N101" s="36" t="n"/>
    </row>
    <row r="102" ht="30" customHeight="1">
      <c r="A102" s="15" t="n">
        <v>100</v>
      </c>
      <c r="B102" s="13" t="inlineStr">
        <is>
          <t>التقنية الرقمية</t>
        </is>
      </c>
      <c r="C102" s="24" t="inlineStr">
        <is>
          <t>نسبة الالتزام بنطاق العمل</t>
        </is>
      </c>
      <c r="D102" s="41" t="inlineStr">
        <is>
          <t>يقيس نسبة الالتزام بنطاق العمل ضمن محور «أداء المشاريع»، ويعكس مساهمة الإدارة في ركيزة الابتكار.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الابتكار · التحول التقني</t>
        </is>
      </c>
      <c r="H102" s="15" t="inlineStr">
        <is>
          <t>العمليات الداخلية</t>
        </is>
      </c>
      <c r="I102" s="42" t="n">
        <v>0.1</v>
      </c>
      <c r="J102" s="15" t="inlineStr">
        <is>
          <t>مدير التقنية</t>
        </is>
      </c>
      <c r="K102" s="11" t="inlineStr">
        <is>
          <t>سجلات الإدارة</t>
        </is>
      </c>
      <c r="L102" s="15" t="inlineStr">
        <is>
          <t>شهري</t>
        </is>
      </c>
      <c r="M102" s="15" t="inlineStr">
        <is>
          <t>مدير التقنية</t>
        </is>
      </c>
      <c r="N102" s="36" t="n"/>
    </row>
    <row r="103" ht="30" customHeight="1">
      <c r="A103" s="15" t="n">
        <v>101</v>
      </c>
      <c r="B103" s="13" t="inlineStr">
        <is>
          <t>التقنية الرقمية</t>
        </is>
      </c>
      <c r="C103" s="24" t="inlineStr">
        <is>
          <t>نسبة تفعيل الأنظمة الأساسية بالمحطات</t>
        </is>
      </c>
      <c r="D103" s="41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التعلّم والنمو</t>
        </is>
      </c>
      <c r="I103" s="42" t="n">
        <v>0.15</v>
      </c>
      <c r="J103" s="15" t="inlineStr">
        <is>
          <t>مدير التقنية</t>
        </is>
      </c>
      <c r="K103" s="11" t="inlineStr">
        <is>
          <t>مكتب إدارة المشاريع (PMO)</t>
        </is>
      </c>
      <c r="L103" s="15" t="inlineStr">
        <is>
          <t>شهري</t>
        </is>
      </c>
      <c r="M103" s="15" t="inlineStr">
        <is>
          <t>مدير التقنية</t>
        </is>
      </c>
      <c r="N103" s="36" t="n"/>
    </row>
    <row r="104" ht="30" customHeight="1">
      <c r="A104" s="15" t="n">
        <v>102</v>
      </c>
      <c r="B104" s="13" t="inlineStr">
        <is>
          <t>التقنية الرقمية</t>
        </is>
      </c>
      <c r="C104" s="24" t="inlineStr">
        <is>
          <t>متوسط جاهزية أنظمة المركز الرئيسي (Uptime)</t>
        </is>
      </c>
      <c r="D104" s="41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التعلّم والنمو</t>
        </is>
      </c>
      <c r="I104" s="42" t="n">
        <v>0.15</v>
      </c>
      <c r="J104" s="15" t="inlineStr">
        <is>
          <t>مدير التقنية</t>
        </is>
      </c>
      <c r="K104" s="11" t="inlineStr">
        <is>
          <t>مكتب إدارة المشاريع (PMO)</t>
        </is>
      </c>
      <c r="L104" s="15" t="inlineStr">
        <is>
          <t>شهري</t>
        </is>
      </c>
      <c r="M104" s="15" t="inlineStr">
        <is>
          <t>مدير التقنية</t>
        </is>
      </c>
      <c r="N104" s="36" t="n"/>
    </row>
    <row r="105" ht="30" customHeight="1">
      <c r="A105" s="15" t="n">
        <v>103</v>
      </c>
      <c r="B105" s="13" t="inlineStr">
        <is>
          <t>التقنية الرقمية</t>
        </is>
      </c>
      <c r="C105" s="24" t="inlineStr">
        <is>
          <t>نسبة الامتثال للأمن السيبراني</t>
        </is>
      </c>
      <c r="D105" s="41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التعلّم والنمو</t>
        </is>
      </c>
      <c r="I105" s="42" t="n">
        <v>0.1</v>
      </c>
      <c r="J105" s="15" t="inlineStr">
        <is>
          <t>مدير التقنية</t>
        </is>
      </c>
      <c r="K105" s="11" t="inlineStr">
        <is>
          <t>مكتب إدارة المشاريع (PMO)</t>
        </is>
      </c>
      <c r="L105" s="15" t="inlineStr">
        <is>
          <t>شهري</t>
        </is>
      </c>
      <c r="M105" s="15" t="inlineStr">
        <is>
          <t>مدير التقنية</t>
        </is>
      </c>
      <c r="N105" s="36" t="n"/>
    </row>
    <row r="106" ht="30" customHeight="1">
      <c r="A106" s="15" t="n">
        <v>104</v>
      </c>
      <c r="B106" s="13" t="inlineStr">
        <is>
          <t>التقنية الرقمية</t>
        </is>
      </c>
      <c r="C106" s="24" t="inlineStr">
        <is>
          <t>متوسط زمن استجابة الدعم الفني</t>
        </is>
      </c>
      <c r="D106" s="41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06" s="11" t="inlineStr">
        <is>
          <t>متوسط ساعة خلال الفترة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42" t="n">
        <v>0.1</v>
      </c>
      <c r="J106" s="15" t="inlineStr">
        <is>
          <t>مدير التقنية</t>
        </is>
      </c>
      <c r="K106" s="11" t="inlineStr">
        <is>
          <t>سجلات الإدارة</t>
        </is>
      </c>
      <c r="L106" s="15" t="inlineStr">
        <is>
          <t>شهري</t>
        </is>
      </c>
      <c r="M106" s="15" t="inlineStr">
        <is>
          <t>مدير التقنية</t>
        </is>
      </c>
      <c r="N106" s="36" t="n"/>
    </row>
    <row r="107" ht="30" customHeight="1">
      <c r="A107" s="15" t="n">
        <v>105</v>
      </c>
      <c r="B107" s="13" t="inlineStr">
        <is>
          <t>التقنية الرقمية</t>
        </is>
      </c>
      <c r="C107" s="24" t="inlineStr">
        <is>
          <t>نسبة التكامل الرقمي (ERP/واثق/الولاء)</t>
        </is>
      </c>
      <c r="D107" s="41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التعلّم والنمو</t>
        </is>
      </c>
      <c r="I107" s="42" t="n">
        <v>0.1</v>
      </c>
      <c r="J107" s="15" t="inlineStr">
        <is>
          <t>مدير التقنية</t>
        </is>
      </c>
      <c r="K107" s="11" t="inlineStr">
        <is>
          <t>أنظمة التسويق الرقمي / تانكي</t>
        </is>
      </c>
      <c r="L107" s="15" t="inlineStr">
        <is>
          <t>شهري</t>
        </is>
      </c>
      <c r="M107" s="15" t="inlineStr">
        <is>
          <t>مدير التقنية</t>
        </is>
      </c>
      <c r="N107" s="36" t="n"/>
    </row>
    <row r="108" ht="30" customHeight="1">
      <c r="A108" s="15" t="n">
        <v>106</v>
      </c>
      <c r="B108" s="13" t="inlineStr">
        <is>
          <t>الموارد البشرية</t>
        </is>
      </c>
      <c r="C108" s="24" t="inlineStr">
        <is>
          <t>نسبة السعودة / التوطين</t>
        </is>
      </c>
      <c r="D108" s="41" t="inlineStr">
        <is>
          <t>يقيس نسبة السعودة / التوطين ضمن محور «التوظيف والتوطين»،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الاستثمار في الموظفين</t>
        </is>
      </c>
      <c r="H108" s="15" t="inlineStr">
        <is>
          <t>التعلّم والنمو</t>
        </is>
      </c>
      <c r="I108" s="42" t="n">
        <v>0.06</v>
      </c>
      <c r="J108" s="15" t="inlineStr">
        <is>
          <t>مدير الموارد البشرية</t>
        </is>
      </c>
      <c r="K108" s="11" t="inlineStr">
        <is>
          <t>نظام الموارد البشرية (HRMS)</t>
        </is>
      </c>
      <c r="L108" s="15" t="inlineStr">
        <is>
          <t>شهري</t>
        </is>
      </c>
      <c r="M108" s="15" t="inlineStr">
        <is>
          <t>مدير الموارد البشرية</t>
        </is>
      </c>
      <c r="N108" s="36" t="n"/>
    </row>
    <row r="109" ht="30" customHeight="1">
      <c r="A109" s="15" t="n">
        <v>107</v>
      </c>
      <c r="B109" s="13" t="inlineStr">
        <is>
          <t>الموارد البشرية</t>
        </is>
      </c>
      <c r="C109" s="24" t="inlineStr">
        <is>
          <t>الارتقاء بآليات اختيار المرشحين</t>
        </is>
      </c>
      <c r="D109" s="41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الاستدامة · الاستثمار في الموظفين</t>
        </is>
      </c>
      <c r="H109" s="15" t="inlineStr">
        <is>
          <t>العمليات الداخلية</t>
        </is>
      </c>
      <c r="I109" s="42" t="n">
        <v>0.06</v>
      </c>
      <c r="J109" s="15" t="inlineStr">
        <is>
          <t>مدير الموارد البشرية</t>
        </is>
      </c>
      <c r="K109" s="11" t="inlineStr">
        <is>
          <t>نظام الموارد البشرية (HRMS)</t>
        </is>
      </c>
      <c r="L109" s="15" t="inlineStr">
        <is>
          <t>شهري</t>
        </is>
      </c>
      <c r="M109" s="15" t="inlineStr">
        <is>
          <t>مدير الموارد البشرية</t>
        </is>
      </c>
      <c r="N109" s="36" t="n"/>
    </row>
    <row r="110" ht="30" customHeight="1">
      <c r="A110" s="15" t="n">
        <v>108</v>
      </c>
      <c r="B110" s="13" t="inlineStr">
        <is>
          <t>الموارد البشرية</t>
        </is>
      </c>
      <c r="C110" s="24" t="inlineStr">
        <is>
          <t>نسبة شغل الشواغر خلال 30 يوم</t>
        </is>
      </c>
      <c r="D110" s="41" t="inlineStr">
        <is>
          <t>يقيس نسبة شغل الشواغر خلال 30 يوم ضمن محور «التوظيف والتوطين»،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الاستثمار في الموظفين</t>
        </is>
      </c>
      <c r="H110" s="15" t="inlineStr">
        <is>
          <t>العمليات الداخلية</t>
        </is>
      </c>
      <c r="I110" s="42" t="n">
        <v>0.06</v>
      </c>
      <c r="J110" s="15" t="inlineStr">
        <is>
          <t>مدير الموارد البشرية</t>
        </is>
      </c>
      <c r="K110" s="11" t="inlineStr">
        <is>
          <t>نظام الموارد البشرية (HRMS)</t>
        </is>
      </c>
      <c r="L110" s="15" t="inlineStr">
        <is>
          <t>شهري</t>
        </is>
      </c>
      <c r="M110" s="15" t="inlineStr">
        <is>
          <t>مدير الموارد البشرية</t>
        </is>
      </c>
      <c r="N110" s="36" t="n"/>
    </row>
    <row r="111" ht="30" customHeight="1">
      <c r="A111" s="15" t="n">
        <v>109</v>
      </c>
      <c r="B111" s="13" t="inlineStr">
        <is>
          <t>الموارد البشرية</t>
        </is>
      </c>
      <c r="C111" s="24" t="inlineStr">
        <is>
          <t>معدل استبقاء الموظفين (Retention)</t>
        </is>
      </c>
      <c r="D111" s="41" t="inlineStr">
        <is>
          <t>يقيس معدل استبقاء الموظفين (Retention) ضمن محور «الاستبقاء»،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الاستثمار في الموظفين</t>
        </is>
      </c>
      <c r="H111" s="15" t="inlineStr">
        <is>
          <t>التعلّم والنمو</t>
        </is>
      </c>
      <c r="I111" s="42" t="n">
        <v>0.08</v>
      </c>
      <c r="J111" s="15" t="inlineStr">
        <is>
          <t>مدير الموارد البشرية</t>
        </is>
      </c>
      <c r="K111" s="11" t="inlineStr">
        <is>
          <t>نظام الموارد البشرية (HRMS)</t>
        </is>
      </c>
      <c r="L111" s="15" t="inlineStr">
        <is>
          <t>شهري</t>
        </is>
      </c>
      <c r="M111" s="15" t="inlineStr">
        <is>
          <t>مدير الموارد البشرية</t>
        </is>
      </c>
      <c r="N111" s="36" t="n"/>
    </row>
    <row r="112" ht="30" customHeight="1">
      <c r="A112" s="15" t="n">
        <v>110</v>
      </c>
      <c r="B112" s="13" t="inlineStr">
        <is>
          <t>الموارد البشرية</t>
        </is>
      </c>
      <c r="C112" s="24" t="inlineStr">
        <is>
          <t>معدل دوران الموظفين (Turnover)</t>
        </is>
      </c>
      <c r="D112" s="41" t="inlineStr">
        <is>
          <t>يقيس معدل دوران الموظفين (Turnover) ضمن محور «الاستبقاء»،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الاستثمار في الموظفين</t>
        </is>
      </c>
      <c r="H112" s="15" t="inlineStr">
        <is>
          <t>التعلّم والنمو</t>
        </is>
      </c>
      <c r="I112" s="42" t="n">
        <v>0.06</v>
      </c>
      <c r="J112" s="15" t="inlineStr">
        <is>
          <t>مدير الموارد البشرية</t>
        </is>
      </c>
      <c r="K112" s="11" t="inlineStr">
        <is>
          <t>نظام الموارد البشرية (HRMS)</t>
        </is>
      </c>
      <c r="L112" s="15" t="inlineStr">
        <is>
          <t>شهري</t>
        </is>
      </c>
      <c r="M112" s="15" t="inlineStr">
        <is>
          <t>مدير الموارد البشرية</t>
        </is>
      </c>
      <c r="N112" s="36" t="n"/>
    </row>
    <row r="113" ht="30" customHeight="1">
      <c r="A113" s="15" t="n">
        <v>111</v>
      </c>
      <c r="B113" s="13" t="inlineStr">
        <is>
          <t>الموارد البشرية</t>
        </is>
      </c>
      <c r="C113" s="24" t="inlineStr">
        <is>
          <t>عدد الدورات الإدارية المنعقدة</t>
        </is>
      </c>
      <c r="D113" s="41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13" s="11" t="inlineStr">
        <is>
          <t>إجمالي العدد خلال الفترة</t>
        </is>
      </c>
      <c r="F113" s="15" t="inlineStr">
        <is>
          <t>⚙️ نشاط</t>
        </is>
      </c>
      <c r="G113" s="11" t="inlineStr">
        <is>
          <t>الاستدامة · الاستثمار في الموظفين</t>
        </is>
      </c>
      <c r="H113" s="15" t="inlineStr">
        <is>
          <t>العمليات الداخلية</t>
        </is>
      </c>
      <c r="I113" s="42" t="n">
        <v>0.08</v>
      </c>
      <c r="J113" s="15" t="inlineStr">
        <is>
          <t>مدير الموارد البشرية</t>
        </is>
      </c>
      <c r="K113" s="11" t="inlineStr">
        <is>
          <t>نظام الموارد البشرية (HRMS)</t>
        </is>
      </c>
      <c r="L113" s="15" t="inlineStr">
        <is>
          <t>شهري</t>
        </is>
      </c>
      <c r="M113" s="15" t="inlineStr">
        <is>
          <t>مدير الموارد البشرية</t>
        </is>
      </c>
      <c r="N113" s="36" t="n"/>
    </row>
    <row r="114" ht="30" customHeight="1">
      <c r="A114" s="15" t="n">
        <v>112</v>
      </c>
      <c r="B114" s="13" t="inlineStr">
        <is>
          <t>الموارد البشرية</t>
        </is>
      </c>
      <c r="C114" s="24" t="inlineStr">
        <is>
          <t>متوسط ساعات التدريب لكل موظف</t>
        </is>
      </c>
      <c r="D114" s="41" t="inlineStr">
        <is>
          <t>يقيس متوسط ساعات التدريب لكل موظف ضمن محور «التدريب والتطوير»، ويعكس مساهمة الإدارة في ركيزة الاستدامة.</t>
        </is>
      </c>
      <c r="E114" s="11" t="inlineStr">
        <is>
          <t>متوسط ساعة خلال الفترة</t>
        </is>
      </c>
      <c r="F114" s="15" t="inlineStr">
        <is>
          <t>⚙️ نشاط</t>
        </is>
      </c>
      <c r="G114" s="11" t="inlineStr">
        <is>
          <t>الاستدامة · الاستثمار في الموظفين</t>
        </is>
      </c>
      <c r="H114" s="15" t="inlineStr">
        <is>
          <t>التعلّم والنمو</t>
        </is>
      </c>
      <c r="I114" s="42" t="n">
        <v>0.06</v>
      </c>
      <c r="J114" s="15" t="inlineStr">
        <is>
          <t>مدير الموارد البشرية</t>
        </is>
      </c>
      <c r="K114" s="11" t="inlineStr">
        <is>
          <t>نظام الموارد البشرية (HRMS)</t>
        </is>
      </c>
      <c r="L114" s="15" t="inlineStr">
        <is>
          <t>شهري</t>
        </is>
      </c>
      <c r="M114" s="15" t="inlineStr">
        <is>
          <t>مدير الموارد البشرية</t>
        </is>
      </c>
      <c r="N114" s="36" t="n"/>
    </row>
    <row r="115" ht="30" customHeight="1">
      <c r="A115" s="15" t="n">
        <v>113</v>
      </c>
      <c r="B115" s="13" t="inlineStr">
        <is>
          <t>الموارد البشرية</t>
        </is>
      </c>
      <c r="C115" s="24" t="inlineStr">
        <is>
          <t>نسبة الموظفين المشمولين بخطة تطوير</t>
        </is>
      </c>
      <c r="D115" s="41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الاستثمار في الموظفين</t>
        </is>
      </c>
      <c r="H115" s="15" t="inlineStr">
        <is>
          <t>التعلّم والنمو</t>
        </is>
      </c>
      <c r="I115" s="42" t="n">
        <v>0.05</v>
      </c>
      <c r="J115" s="15" t="inlineStr">
        <is>
          <t>مدير الموارد البشرية</t>
        </is>
      </c>
      <c r="K115" s="11" t="inlineStr">
        <is>
          <t>نظام الموارد البشرية (HRMS)</t>
        </is>
      </c>
      <c r="L115" s="15" t="inlineStr">
        <is>
          <t>شهري</t>
        </is>
      </c>
      <c r="M115" s="15" t="inlineStr">
        <is>
          <t>مدير الموارد البشرية</t>
        </is>
      </c>
      <c r="N115" s="36" t="n"/>
    </row>
    <row r="116" ht="30" customHeight="1">
      <c r="A116" s="15" t="n">
        <v>114</v>
      </c>
      <c r="B116" s="13" t="inlineStr">
        <is>
          <t>الموارد البشرية</t>
        </is>
      </c>
      <c r="C116" s="24" t="inlineStr">
        <is>
          <t>مؤشر رضا الموظفين (eNPS)</t>
        </is>
      </c>
      <c r="D116" s="41" t="inlineStr">
        <is>
          <t>يقيس مؤشر رضا الموظفين (eNPS) ضمن محور «الرضا والثقافة»، ويعكس مساهمة الإدارة في ركيزة الاستدامة.</t>
        </is>
      </c>
      <c r="E116" s="11" t="inlineStr">
        <is>
          <t>٪ المروّجين − ٪ المنتقدين</t>
        </is>
      </c>
      <c r="F116" s="15" t="inlineStr">
        <is>
          <t>🎯 نتيجة</t>
        </is>
      </c>
      <c r="G116" s="11" t="inlineStr">
        <is>
          <t>الاستدامة · الاستثمار في الموظفين</t>
        </is>
      </c>
      <c r="H116" s="15" t="inlineStr">
        <is>
          <t>التعلّم والنمو</t>
        </is>
      </c>
      <c r="I116" s="42" t="n">
        <v>0.08</v>
      </c>
      <c r="J116" s="15" t="inlineStr">
        <is>
          <t>مدير الموارد البشرية</t>
        </is>
      </c>
      <c r="K116" s="11" t="inlineStr">
        <is>
          <t>استبيان دوري</t>
        </is>
      </c>
      <c r="L116" s="15" t="inlineStr">
        <is>
          <t>ربعي</t>
        </is>
      </c>
      <c r="M116" s="15" t="inlineStr">
        <is>
          <t>مدير الموارد البشرية</t>
        </is>
      </c>
      <c r="N116" s="36" t="n"/>
    </row>
    <row r="117" ht="30" customHeight="1">
      <c r="A117" s="15" t="n">
        <v>115</v>
      </c>
      <c r="B117" s="13" t="inlineStr">
        <is>
          <t>الموارد البشرية</t>
        </is>
      </c>
      <c r="C117" s="24" t="inlineStr">
        <is>
          <t>تحسين مستوى الرضا الوظيفي</t>
        </is>
      </c>
      <c r="D117" s="41" t="inlineStr">
        <is>
          <t>يقيس تحسين مستوى الرضا الوظيفي ضمن محور «الرضا والثقافة»،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الاستثمار في الموظفين</t>
        </is>
      </c>
      <c r="H117" s="15" t="inlineStr">
        <is>
          <t>العملاء</t>
        </is>
      </c>
      <c r="I117" s="42" t="n">
        <v>0.08</v>
      </c>
      <c r="J117" s="15" t="inlineStr">
        <is>
          <t>مدير الموارد البشرية</t>
        </is>
      </c>
      <c r="K117" s="11" t="inlineStr">
        <is>
          <t>استبيان دوري</t>
        </is>
      </c>
      <c r="L117" s="15" t="inlineStr">
        <is>
          <t>ربعي</t>
        </is>
      </c>
      <c r="M117" s="15" t="inlineStr">
        <is>
          <t>مدير الموارد البشرية</t>
        </is>
      </c>
      <c r="N117" s="36" t="n"/>
    </row>
    <row r="118" ht="30" customHeight="1">
      <c r="A118" s="15" t="n">
        <v>116</v>
      </c>
      <c r="B118" s="13" t="inlineStr">
        <is>
          <t>الموارد البشرية</t>
        </is>
      </c>
      <c r="C118" s="24" t="inlineStr">
        <is>
          <t>ترسيخ القيم والثقافة المؤسسية</t>
        </is>
      </c>
      <c r="D118" s="41" t="inlineStr">
        <is>
          <t>يقيس ترسيخ القيم والثقافة المؤسسية ضمن محور «الرضا والثقافة»،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الاستثمار في الموظفين</t>
        </is>
      </c>
      <c r="H118" s="15" t="inlineStr">
        <is>
          <t>العمليات الداخلية</t>
        </is>
      </c>
      <c r="I118" s="42" t="n">
        <v>0.05</v>
      </c>
      <c r="J118" s="15" t="inlineStr">
        <is>
          <t>مدير الموارد البشرية</t>
        </is>
      </c>
      <c r="K118" s="11" t="inlineStr">
        <is>
          <t>استبيان دوري</t>
        </is>
      </c>
      <c r="L118" s="15" t="inlineStr">
        <is>
          <t>شهري</t>
        </is>
      </c>
      <c r="M118" s="15" t="inlineStr">
        <is>
          <t>مدير الموارد البشرية</t>
        </is>
      </c>
      <c r="N118" s="36" t="n"/>
    </row>
    <row r="119" ht="30" customHeight="1">
      <c r="A119" s="15" t="n">
        <v>117</v>
      </c>
      <c r="B119" s="13" t="inlineStr">
        <is>
          <t>الموارد البشرية</t>
        </is>
      </c>
      <c r="C119" s="24" t="inlineStr">
        <is>
          <t>نسبة أتمتة عمليات الموارد البشرية</t>
        </is>
      </c>
      <c r="D119" s="41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42" t="n">
        <v>0.05</v>
      </c>
      <c r="J119" s="15" t="inlineStr">
        <is>
          <t>مدير الموارد البشرية</t>
        </is>
      </c>
      <c r="K119" s="11" t="inlineStr">
        <is>
          <t>مكتب إدارة المشاريع (PMO)</t>
        </is>
      </c>
      <c r="L119" s="15" t="inlineStr">
        <is>
          <t>شهري</t>
        </is>
      </c>
      <c r="M119" s="15" t="inlineStr">
        <is>
          <t>مدير الموارد البشرية</t>
        </is>
      </c>
      <c r="N119" s="36" t="n"/>
    </row>
    <row r="120" ht="30" customHeight="1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41" t="inlineStr">
        <is>
          <t>يقيس نسبة توثيق أنظمة العمل ضمن محور «الأتمتة والتوثيق»،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التعلّم والنمو</t>
        </is>
      </c>
      <c r="I120" s="42" t="n">
        <v>0.03</v>
      </c>
      <c r="J120" s="15" t="inlineStr">
        <is>
          <t>مدير الموارد البشرية</t>
        </is>
      </c>
      <c r="K120" s="11" t="inlineStr">
        <is>
          <t>مكتب إدارة المشاريع (PMO)</t>
        </is>
      </c>
      <c r="L120" s="15" t="inlineStr">
        <is>
          <t>شهري</t>
        </is>
      </c>
      <c r="M120" s="15" t="inlineStr">
        <is>
          <t>مدير الموارد البشرية</t>
        </is>
      </c>
      <c r="N120" s="36" t="n"/>
    </row>
    <row r="121" ht="30" customHeight="1">
      <c r="A121" s="15" t="n">
        <v>119</v>
      </c>
      <c r="B121" s="13" t="inlineStr">
        <is>
          <t>الموارد البشرية</t>
        </is>
      </c>
      <c r="C121" s="24" t="inlineStr">
        <is>
          <t>ترسيخ الأنظمة الإدارية</t>
        </is>
      </c>
      <c r="D121" s="41" t="inlineStr">
        <is>
          <t>يقيس ترسيخ الأنظمة الإدارية ضمن محور «الأتمتة والتوثيق»،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التعلّم والنمو</t>
        </is>
      </c>
      <c r="I121" s="42" t="n">
        <v>0.05</v>
      </c>
      <c r="J121" s="15" t="inlineStr">
        <is>
          <t>مدير الموارد البشرية</t>
        </is>
      </c>
      <c r="K121" s="11" t="inlineStr">
        <is>
          <t>مكتب إدارة المشاريع (PMO)</t>
        </is>
      </c>
      <c r="L121" s="15" t="inlineStr">
        <is>
          <t>شهري</t>
        </is>
      </c>
      <c r="M121" s="15" t="inlineStr">
        <is>
          <t>مدير الموارد البشرية</t>
        </is>
      </c>
      <c r="N121" s="36" t="n"/>
    </row>
    <row r="122" ht="30" customHeight="1">
      <c r="A122" s="15" t="n">
        <v>120</v>
      </c>
      <c r="B122" s="13" t="inlineStr">
        <is>
          <t>الموارد البشرية</t>
        </is>
      </c>
      <c r="C122" s="24" t="inlineStr">
        <is>
          <t>اعتماد الهيكل التنظيمي</t>
        </is>
      </c>
      <c r="D122" s="41" t="inlineStr">
        <is>
          <t>يقيس اعتماد الهيكل التنظيمي ضمن محور «الهيكلة»،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⚙️ نشاط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42" t="n">
        <v>0.05</v>
      </c>
      <c r="J122" s="15" t="inlineStr">
        <is>
          <t>مدير الموارد البشرية</t>
        </is>
      </c>
      <c r="K122" s="11" t="inlineStr">
        <is>
          <t>نظام الموارد البشرية (HRMS)</t>
        </is>
      </c>
      <c r="L122" s="15" t="inlineStr">
        <is>
          <t>شهري</t>
        </is>
      </c>
      <c r="M122" s="15" t="inlineStr">
        <is>
          <t>مدير الموارد البشرية</t>
        </is>
      </c>
      <c r="N122" s="36" t="n"/>
    </row>
    <row r="123" ht="30" customHeight="1">
      <c r="A123" s="15" t="n">
        <v>121</v>
      </c>
      <c r="B123" s="13" t="inlineStr">
        <is>
          <t>الموارد البشرية</t>
        </is>
      </c>
      <c r="C123" s="24" t="inlineStr">
        <is>
          <t>اكتمال الأوصاف الوظيفية (+KPI)</t>
        </is>
      </c>
      <c r="D123" s="41" t="inlineStr">
        <is>
          <t>يقيس اكتمال الأوصاف الوظيفية (+KPI) ضمن محور «الهيكلة»،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⚙️ نشاط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42" t="n">
        <v>0.05</v>
      </c>
      <c r="J123" s="15" t="inlineStr">
        <is>
          <t>مدير الموارد البشرية</t>
        </is>
      </c>
      <c r="K123" s="11" t="inlineStr">
        <is>
          <t>نظام الموارد البشرية (HRMS)</t>
        </is>
      </c>
      <c r="L123" s="15" t="inlineStr">
        <is>
          <t>شهري</t>
        </is>
      </c>
      <c r="M123" s="15" t="inlineStr">
        <is>
          <t>مدير الموارد البشرية</t>
        </is>
      </c>
      <c r="N123" s="36" t="n"/>
    </row>
    <row r="124" ht="30" customHeight="1">
      <c r="A124" s="15" t="n">
        <v>122</v>
      </c>
      <c r="B124" s="13" t="inlineStr">
        <is>
          <t>الموارد البشرية</t>
        </is>
      </c>
      <c r="C124" s="24" t="inlineStr">
        <is>
          <t>نسبة إنجاز تقييمات الأداء في موعدها</t>
        </is>
      </c>
      <c r="D124" s="41" t="inlineStr">
        <is>
          <t>يقيس نسبة إنجاز تقييمات الأداء في موعدها ضمن محور «الأداء»،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الاستثمار في الموظفين</t>
        </is>
      </c>
      <c r="H124" s="15" t="inlineStr">
        <is>
          <t>العمليات الداخلية</t>
        </is>
      </c>
      <c r="I124" s="42" t="n">
        <v>0.05</v>
      </c>
      <c r="J124" s="15" t="inlineStr">
        <is>
          <t>مدير الموارد البشرية</t>
        </is>
      </c>
      <c r="K124" s="11" t="inlineStr">
        <is>
          <t>سجلات الإدارة</t>
        </is>
      </c>
      <c r="L124" s="15" t="inlineStr">
        <is>
          <t>شهري</t>
        </is>
      </c>
      <c r="M124" s="15" t="inlineStr">
        <is>
          <t>مدير الموارد البشرية</t>
        </is>
      </c>
      <c r="N124" s="36" t="n"/>
    </row>
    <row r="125" ht="30" customHeight="1">
      <c r="A125" s="15" t="n">
        <v>123</v>
      </c>
      <c r="B125" s="13" t="inlineStr">
        <is>
          <t>التسويق</t>
        </is>
      </c>
      <c r="C125" s="24" t="inlineStr">
        <is>
          <t>الوصول الكلي (Total Reach)</t>
        </is>
      </c>
      <c r="D125" s="41" t="inlineStr">
        <is>
          <t>يقيس الوصول الكلي (Total Reach) ضمن محور «الإدارة العامة»، ويعكس مساهمة الإدارة في ركيزة النمو.</t>
        </is>
      </c>
      <c r="E125" s="11" t="inlineStr">
        <is>
          <t>إجمالي العدد خلال الفترة</t>
        </is>
      </c>
      <c r="F125" s="15" t="inlineStr">
        <is>
          <t>🎯 نتيجة</t>
        </is>
      </c>
      <c r="G125" s="11" t="inlineStr">
        <is>
          <t>النمو · زيادة وصول العملاء</t>
        </is>
      </c>
      <c r="H125" s="15" t="inlineStr">
        <is>
          <t>العملاء</t>
        </is>
      </c>
      <c r="I125" s="42" t="n">
        <v>0.08</v>
      </c>
      <c r="J125" s="15" t="inlineStr">
        <is>
          <t>مدير التسويق</t>
        </is>
      </c>
      <c r="K125" s="11" t="inlineStr">
        <is>
          <t>أنظمة التسويق الرقمي / تانكي</t>
        </is>
      </c>
      <c r="L125" s="15" t="inlineStr">
        <is>
          <t>شهري</t>
        </is>
      </c>
      <c r="M125" s="15" t="inlineStr">
        <is>
          <t>مدير التسويق</t>
        </is>
      </c>
      <c r="N125" s="36" t="n"/>
    </row>
    <row r="126" ht="30" customHeight="1">
      <c r="A126" s="15" t="n">
        <v>124</v>
      </c>
      <c r="B126" s="13" t="inlineStr">
        <is>
          <t>التسويق</t>
        </is>
      </c>
      <c r="C126" s="24" t="inlineStr">
        <is>
          <t>عملاء تجاريون جدد</t>
        </is>
      </c>
      <c r="D126" s="41" t="inlineStr">
        <is>
          <t>يقيس عملاء تجاريون جدد ضمن محور «الإدارة العامة»، ويعكس مساهمة الإدارة في ركيزة النمو.</t>
        </is>
      </c>
      <c r="E126" s="11" t="inlineStr">
        <is>
          <t>إجمالي العدد خلال الفترة</t>
        </is>
      </c>
      <c r="F126" s="15" t="inlineStr">
        <is>
          <t>🔧 تشغيلي</t>
        </is>
      </c>
      <c r="G126" s="11" t="inlineStr">
        <is>
          <t>النمو · زيادة وصول العملاء</t>
        </is>
      </c>
      <c r="H126" s="15" t="inlineStr">
        <is>
          <t>العملاء</t>
        </is>
      </c>
      <c r="I126" s="42" t="n">
        <v>0.06</v>
      </c>
      <c r="J126" s="15" t="inlineStr">
        <is>
          <t>مدير التسويق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التسويق</t>
        </is>
      </c>
      <c r="N126" s="36" t="n"/>
    </row>
    <row r="127" ht="30" customHeight="1">
      <c r="A127" s="15" t="n">
        <v>125</v>
      </c>
      <c r="B127" s="13" t="inlineStr">
        <is>
          <t>التسويق</t>
        </is>
      </c>
      <c r="C127" s="24" t="inlineStr">
        <is>
          <t>إجمالي المتابعين (كل المنصات)</t>
        </is>
      </c>
      <c r="D127" s="41" t="inlineStr">
        <is>
          <t>يقيس إجمالي المتابعين (كل المنصات) ضمن محور «الفريق الإبداعي»، ويعكس مساهمة الإدارة في ركيزة النمو.</t>
        </is>
      </c>
      <c r="E127" s="11" t="inlineStr">
        <is>
          <t>إجمالي العدد خلال الفترة</t>
        </is>
      </c>
      <c r="F127" s="15" t="inlineStr">
        <is>
          <t>🔧 تشغيلي</t>
        </is>
      </c>
      <c r="G127" s="11" t="inlineStr">
        <is>
          <t>النمو · زيادة وصول العملاء</t>
        </is>
      </c>
      <c r="H127" s="15" t="inlineStr">
        <is>
          <t>العملاء</t>
        </is>
      </c>
      <c r="I127" s="42" t="n">
        <v>0.08</v>
      </c>
      <c r="J127" s="15" t="inlineStr">
        <is>
          <t>مدير التسويق</t>
        </is>
      </c>
      <c r="K127" s="11" t="inlineStr">
        <is>
          <t>أنظمة التسويق الرقمي / تانكي</t>
        </is>
      </c>
      <c r="L127" s="15" t="inlineStr">
        <is>
          <t>شهري</t>
        </is>
      </c>
      <c r="M127" s="15" t="inlineStr">
        <is>
          <t>مدير التسويق</t>
        </is>
      </c>
      <c r="N127" s="36" t="n"/>
    </row>
    <row r="128" ht="30" customHeight="1">
      <c r="A128" s="15" t="n">
        <v>126</v>
      </c>
      <c r="B128" s="13" t="inlineStr">
        <is>
          <t>التسويق</t>
        </is>
      </c>
      <c r="C128" s="24" t="inlineStr">
        <is>
          <t>معدل التفاعل (Engagement)</t>
        </is>
      </c>
      <c r="D128" s="41" t="inlineStr">
        <is>
          <t>يقيس معدل التفاعل (Engagement) ضمن محور «الفريق الإبداعي»، ويعكس مساهمة الإدارة في ركيزة النمو.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النمو · زيادة وصول العملاء</t>
        </is>
      </c>
      <c r="H128" s="15" t="inlineStr">
        <is>
          <t>العملاء</t>
        </is>
      </c>
      <c r="I128" s="42" t="n">
        <v>0.08</v>
      </c>
      <c r="J128" s="15" t="inlineStr">
        <is>
          <t>مدير التسويق</t>
        </is>
      </c>
      <c r="K128" s="11" t="inlineStr">
        <is>
          <t>أنظمة التسويق الرقمي / تانكي</t>
        </is>
      </c>
      <c r="L128" s="15" t="inlineStr">
        <is>
          <t>شهري</t>
        </is>
      </c>
      <c r="M128" s="15" t="inlineStr">
        <is>
          <t>مدير التسويق</t>
        </is>
      </c>
      <c r="N128" s="36" t="n"/>
    </row>
    <row r="129" ht="30" customHeight="1">
      <c r="A129" s="15" t="n">
        <v>127</v>
      </c>
      <c r="B129" s="13" t="inlineStr">
        <is>
          <t>التسويق</t>
        </is>
      </c>
      <c r="C129" s="24" t="inlineStr">
        <is>
          <t>حملات تسويقية منجزة</t>
        </is>
      </c>
      <c r="D129" s="41" t="inlineStr">
        <is>
          <t>يقيس حملات تسويقية منجزة ضمن محور «الحملات التسويقية»، ويعكس مساهمة الإدارة في ركيزة النمو.</t>
        </is>
      </c>
      <c r="E129" s="11" t="inlineStr">
        <is>
          <t>إجمالي العدد خلال الفترة</t>
        </is>
      </c>
      <c r="F129" s="15" t="inlineStr">
        <is>
          <t>⚙️ نشاط</t>
        </is>
      </c>
      <c r="G129" s="11" t="inlineStr">
        <is>
          <t>النمو · زيادة وصول العملاء</t>
        </is>
      </c>
      <c r="H129" s="15" t="inlineStr">
        <is>
          <t>العمليات الداخلية</t>
        </is>
      </c>
      <c r="I129" s="42" t="n">
        <v>0.06</v>
      </c>
      <c r="J129" s="15" t="inlineStr">
        <is>
          <t>مدير التسويق</t>
        </is>
      </c>
      <c r="K129" s="11" t="inlineStr">
        <is>
          <t>أنظمة التسويق الرقمي / تانكي</t>
        </is>
      </c>
      <c r="L129" s="15" t="inlineStr">
        <is>
          <t>شهري</t>
        </is>
      </c>
      <c r="M129" s="15" t="inlineStr">
        <is>
          <t>مدير التسويق</t>
        </is>
      </c>
      <c r="N129" s="36" t="n"/>
    </row>
    <row r="130" ht="30" customHeight="1">
      <c r="A130" s="15" t="n">
        <v>128</v>
      </c>
      <c r="B130" s="13" t="inlineStr">
        <is>
          <t>التسويق</t>
        </is>
      </c>
      <c r="C130" s="24" t="inlineStr">
        <is>
          <t>تحويل الفرص إلى عقود</t>
        </is>
      </c>
      <c r="D130" s="41" t="inlineStr">
        <is>
          <t>يقيس تحويل الفرص إلى عقود ضمن محور «الحملات التسويقية»، ويعكس مساهمة الإدارة في ركيزة النمو.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النمو · زيادة وصول العملاء</t>
        </is>
      </c>
      <c r="H130" s="15" t="inlineStr">
        <is>
          <t>العمليات الداخلية</t>
        </is>
      </c>
      <c r="I130" s="42" t="n">
        <v>0.08</v>
      </c>
      <c r="J130" s="15" t="inlineStr">
        <is>
          <t>مدير التسويق</t>
        </is>
      </c>
      <c r="K130" s="11" t="inlineStr">
        <is>
          <t>أنظمة التسويق الرقمي / تانكي</t>
        </is>
      </c>
      <c r="L130" s="15" t="inlineStr">
        <is>
          <t>شهري</t>
        </is>
      </c>
      <c r="M130" s="15" t="inlineStr">
        <is>
          <t>مدير التسويق</t>
        </is>
      </c>
      <c r="N130" s="36" t="n"/>
    </row>
    <row r="131" ht="30" customHeight="1">
      <c r="A131" s="15" t="n">
        <v>129</v>
      </c>
      <c r="B131" s="13" t="inlineStr">
        <is>
          <t>التسويق</t>
        </is>
      </c>
      <c r="C131" s="24" t="inlineStr">
        <is>
          <t>نسبة المبيعات لكل حملة</t>
        </is>
      </c>
      <c r="D131" s="41" t="inlineStr">
        <is>
          <t>يقيس نسبة المبيعات لكل حملة ضمن محور «الحملات التسويقية»، ويعكس مساهمة الإدارة في ركيزة النمو.</t>
        </is>
      </c>
      <c r="E131" s="11" t="inlineStr">
        <is>
          <t>(المتحقّق ÷ الإجمالي) × 100٪</t>
        </is>
      </c>
      <c r="F131" s="15" t="inlineStr">
        <is>
          <t>⚙️ نشاط</t>
        </is>
      </c>
      <c r="G131" s="11" t="inlineStr">
        <is>
          <t>النمو · زيادة وصول العملاء</t>
        </is>
      </c>
      <c r="H131" s="15" t="inlineStr">
        <is>
          <t>مالي</t>
        </is>
      </c>
      <c r="I131" s="42" t="n">
        <v>0.08</v>
      </c>
      <c r="J131" s="15" t="inlineStr">
        <is>
          <t>مدير التسويق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التسويق</t>
        </is>
      </c>
      <c r="N131" s="36" t="n"/>
    </row>
    <row r="132" ht="30" customHeight="1">
      <c r="A132" s="15" t="n">
        <v>130</v>
      </c>
      <c r="B132" s="13" t="inlineStr">
        <is>
          <t>التسويق</t>
        </is>
      </c>
      <c r="C132" s="24" t="inlineStr">
        <is>
          <t>نسبة التزام الهوية البصرية</t>
        </is>
      </c>
      <c r="D132" s="41" t="inlineStr">
        <is>
          <t>يقيس نسبة التزام الهوية البصرية ضمن محور «الدعاية والإعلان»،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تطوير التصاميم والهوية</t>
        </is>
      </c>
      <c r="H132" s="15" t="inlineStr">
        <is>
          <t>التعلّم والنمو</t>
        </is>
      </c>
      <c r="I132" s="42" t="n">
        <v>0.08</v>
      </c>
      <c r="J132" s="15" t="inlineStr">
        <is>
          <t>مدير التسويق</t>
        </is>
      </c>
      <c r="K132" s="11" t="inlineStr">
        <is>
          <t>سجلات الإدارة</t>
        </is>
      </c>
      <c r="L132" s="15" t="inlineStr">
        <is>
          <t>شهري</t>
        </is>
      </c>
      <c r="M132" s="15" t="inlineStr">
        <is>
          <t>مدير التسويق</t>
        </is>
      </c>
      <c r="N132" s="36" t="n"/>
    </row>
    <row r="133" ht="30" customHeight="1">
      <c r="A133" s="15" t="n">
        <v>131</v>
      </c>
      <c r="B133" s="13" t="inlineStr">
        <is>
          <t>التسويق</t>
        </is>
      </c>
      <c r="C133" s="24" t="inlineStr">
        <is>
          <t>وصول العلاقات العامة (PR)</t>
        </is>
      </c>
      <c r="D133" s="41" t="inlineStr">
        <is>
          <t>يقيس وصول العلاقات العامة (PR) ضمن محور «العلاقات والشراكات»، ويعكس مساهمة الإدارة في ركيزة النمو.</t>
        </is>
      </c>
      <c r="E133" s="11" t="inlineStr">
        <is>
          <t>إجمالي العدد خلال الفترة</t>
        </is>
      </c>
      <c r="F133" s="15" t="inlineStr">
        <is>
          <t>🔧 تشغيلي</t>
        </is>
      </c>
      <c r="G133" s="11" t="inlineStr">
        <is>
          <t>النمو · زيادة وصول العملاء</t>
        </is>
      </c>
      <c r="H133" s="15" t="inlineStr">
        <is>
          <t>العملاء</t>
        </is>
      </c>
      <c r="I133" s="42" t="n">
        <v>0.06</v>
      </c>
      <c r="J133" s="15" t="inlineStr">
        <is>
          <t>مدير التسويق</t>
        </is>
      </c>
      <c r="K133" s="11" t="inlineStr">
        <is>
          <t>أنظمة التسويق الرقمي / تانكي</t>
        </is>
      </c>
      <c r="L133" s="15" t="inlineStr">
        <is>
          <t>شهري</t>
        </is>
      </c>
      <c r="M133" s="15" t="inlineStr">
        <is>
          <t>مدير التسويق</t>
        </is>
      </c>
      <c r="N133" s="36" t="n"/>
    </row>
    <row r="134" ht="30" customHeight="1">
      <c r="A134" s="15" t="n">
        <v>132</v>
      </c>
      <c r="B134" s="13" t="inlineStr">
        <is>
          <t>التسويق</t>
        </is>
      </c>
      <c r="C134" s="24" t="inlineStr">
        <is>
          <t>عدد المعارض بالسنة</t>
        </is>
      </c>
      <c r="D134" s="41" t="inlineStr">
        <is>
          <t>يقيس عدد المعارض بالسنة ضمن محور «العلاقات والشراكات»، ويعكس مساهمة الإدارة في ركيزة الابتكار.</t>
        </is>
      </c>
      <c r="E134" s="11" t="inlineStr">
        <is>
          <t>إجمالي العدد خلال الفترة</t>
        </is>
      </c>
      <c r="F134" s="15" t="inlineStr">
        <is>
          <t>⚙️ نشاط</t>
        </is>
      </c>
      <c r="G134" s="11" t="inlineStr">
        <is>
          <t>الابتكار · إطلاق مشاريع جديدة</t>
        </is>
      </c>
      <c r="H134" s="15" t="inlineStr">
        <is>
          <t>العمليات الداخلية</t>
        </is>
      </c>
      <c r="I134" s="42" t="n">
        <v>0.06</v>
      </c>
      <c r="J134" s="15" t="inlineStr">
        <is>
          <t>مدير التسويق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التسويق</t>
        </is>
      </c>
      <c r="N134" s="36" t="n"/>
    </row>
    <row r="135" ht="30" customHeight="1">
      <c r="A135" s="15" t="n">
        <v>133</v>
      </c>
      <c r="B135" s="13" t="inlineStr">
        <is>
          <t>التسويق</t>
        </is>
      </c>
      <c r="C135" s="24" t="inlineStr">
        <is>
          <t>اتفاقيات استراتيجية</t>
        </is>
      </c>
      <c r="D135" s="41" t="inlineStr">
        <is>
          <t>يقيس اتفاقيات استراتيجية ضمن محور «العلاقات والشراكات»، ويعكس مساهمة الإدارة في ركيزة الابتكار.</t>
        </is>
      </c>
      <c r="E135" s="11" t="inlineStr">
        <is>
          <t>إجمالي العدد خلال الفترة</t>
        </is>
      </c>
      <c r="F135" s="15" t="inlineStr">
        <is>
          <t>🔧 تشغيلي</t>
        </is>
      </c>
      <c r="G135" s="11" t="inlineStr">
        <is>
          <t>الابتكار · إطلاق مشاريع جديدة</t>
        </is>
      </c>
      <c r="H135" s="15" t="inlineStr">
        <is>
          <t>العمليات الداخلية</t>
        </is>
      </c>
      <c r="I135" s="42" t="n">
        <v>0.06</v>
      </c>
      <c r="J135" s="15" t="inlineStr">
        <is>
          <t>مدير التسويق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مدير التسويق</t>
        </is>
      </c>
      <c r="N135" s="36" t="n"/>
    </row>
    <row r="136" ht="30" customHeight="1">
      <c r="A136" s="15" t="n">
        <v>134</v>
      </c>
      <c r="B136" s="13" t="inlineStr">
        <is>
          <t>التسويق</t>
        </is>
      </c>
      <c r="C136" s="24" t="inlineStr">
        <is>
          <t>تقييم خرائط قوقل</t>
        </is>
      </c>
      <c r="D136" s="41" t="inlineStr">
        <is>
          <t>يقيس تقييم خرائط قوقل ضمن محور «خدمة العملاء والدعم»، ويعكس مساهمة الإدارة في ركيزة الاستدامة.</t>
        </is>
      </c>
      <c r="E136" s="11" t="inlineStr">
        <is>
          <t>متوسط التقييم (من 5)</t>
        </is>
      </c>
      <c r="F136" s="15" t="inlineStr">
        <is>
          <t>🎯 نتيجة</t>
        </is>
      </c>
      <c r="G136" s="11" t="inlineStr">
        <is>
          <t>الاستدامة · تعزيز تجربة العملاء</t>
        </is>
      </c>
      <c r="H136" s="15" t="inlineStr">
        <is>
          <t>العملاء</t>
        </is>
      </c>
      <c r="I136" s="42" t="n">
        <v>0.06</v>
      </c>
      <c r="J136" s="15" t="inlineStr">
        <is>
          <t>مدير التسويق</t>
        </is>
      </c>
      <c r="K136" s="11" t="inlineStr">
        <is>
          <t>تقييمات خرائط قوقل</t>
        </is>
      </c>
      <c r="L136" s="15" t="inlineStr">
        <is>
          <t>شهري</t>
        </is>
      </c>
      <c r="M136" s="15" t="inlineStr">
        <is>
          <t>مدير التسويق</t>
        </is>
      </c>
      <c r="N136" s="36" t="n"/>
    </row>
    <row r="137" ht="30" customHeight="1">
      <c r="A137" s="15" t="n">
        <v>135</v>
      </c>
      <c r="B137" s="13" t="inlineStr">
        <is>
          <t>التسويق</t>
        </is>
      </c>
      <c r="C137" s="24" t="inlineStr">
        <is>
          <t>معدل خفض الشكاوى</t>
        </is>
      </c>
      <c r="D137" s="41" t="inlineStr">
        <is>
          <t>يقيس معدل خفض الشكاوى ضمن محور «خدمة العملاء والدعم»،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تعزيز تجربة العملاء</t>
        </is>
      </c>
      <c r="H137" s="15" t="inlineStr">
        <is>
          <t>العملاء</t>
        </is>
      </c>
      <c r="I137" s="42" t="n">
        <v>0.06</v>
      </c>
      <c r="J137" s="15" t="inlineStr">
        <is>
          <t>مدير التسويق</t>
        </is>
      </c>
      <c r="K137" s="11" t="inlineStr">
        <is>
          <t>سجلات الإدارة</t>
        </is>
      </c>
      <c r="L137" s="15" t="inlineStr">
        <is>
          <t>شهري</t>
        </is>
      </c>
      <c r="M137" s="15" t="inlineStr">
        <is>
          <t>مدير التسويق</t>
        </is>
      </c>
      <c r="N137" s="36" t="n"/>
    </row>
    <row r="138" ht="30" customHeight="1">
      <c r="A138" s="15" t="n">
        <v>136</v>
      </c>
      <c r="B138" s="13" t="inlineStr">
        <is>
          <t>التسويق</t>
        </is>
      </c>
      <c r="C138" s="24" t="inlineStr">
        <is>
          <t>وصول محتوى تطبيق تانكي</t>
        </is>
      </c>
      <c r="D138" s="41" t="inlineStr">
        <is>
          <t>يقيس وصول محتوى تطبيق تانكي ضمن محور «تطبيق تانكي»، ويعكس مساهمة الإدارة في ركيزة الابتكار.</t>
        </is>
      </c>
      <c r="E138" s="11" t="inlineStr">
        <is>
          <t>إجمالي العدد خلال الفترة</t>
        </is>
      </c>
      <c r="F138" s="15" t="inlineStr">
        <is>
          <t>🔧 تشغيلي</t>
        </is>
      </c>
      <c r="G138" s="11" t="inlineStr">
        <is>
          <t>الابتكار · تطبيق «تانكي»</t>
        </is>
      </c>
      <c r="H138" s="15" t="inlineStr">
        <is>
          <t>العملاء</t>
        </is>
      </c>
      <c r="I138" s="42" t="n">
        <v>0.05</v>
      </c>
      <c r="J138" s="15" t="inlineStr">
        <is>
          <t>مدير التسويق</t>
        </is>
      </c>
      <c r="K138" s="11" t="inlineStr">
        <is>
          <t>أنظمة التسويق الرقمي / تانكي</t>
        </is>
      </c>
      <c r="L138" s="15" t="inlineStr">
        <is>
          <t>شهري</t>
        </is>
      </c>
      <c r="M138" s="15" t="inlineStr">
        <is>
          <t>مدير التسويق</t>
        </is>
      </c>
      <c r="N138" s="36" t="n"/>
    </row>
    <row r="139" ht="30" customHeight="1">
      <c r="A139" s="15" t="n">
        <v>137</v>
      </c>
      <c r="B139" s="13" t="inlineStr">
        <is>
          <t>التسويق</t>
        </is>
      </c>
      <c r="C139" s="24" t="inlineStr">
        <is>
          <t>مشاركات تطبيق تانكي</t>
        </is>
      </c>
      <c r="D139" s="41" t="inlineStr">
        <is>
          <t>يقيس مشاركات تطبيق تانكي ضمن محور «تطبيق تانكي»، ويعكس مساهمة الإدارة في ركيزة الابتكار.</t>
        </is>
      </c>
      <c r="E139" s="11" t="inlineStr">
        <is>
          <t>إجمالي العدد خلال الفترة</t>
        </is>
      </c>
      <c r="F139" s="15" t="inlineStr">
        <is>
          <t>🔧 تشغيلي</t>
        </is>
      </c>
      <c r="G139" s="11" t="inlineStr">
        <is>
          <t>الابتكار · تطبيق «تانكي»</t>
        </is>
      </c>
      <c r="H139" s="15" t="inlineStr">
        <is>
          <t>العمليات الداخلية</t>
        </is>
      </c>
      <c r="I139" s="42" t="n">
        <v>0.05</v>
      </c>
      <c r="J139" s="15" t="inlineStr">
        <is>
          <t>مدير التسويق</t>
        </is>
      </c>
      <c r="K139" s="11" t="inlineStr">
        <is>
          <t>أنظمة التسويق الرقمي / تانكي</t>
        </is>
      </c>
      <c r="L139" s="15" t="inlineStr">
        <is>
          <t>شهري</t>
        </is>
      </c>
      <c r="M139" s="15" t="inlineStr">
        <is>
          <t>مدير التسويق</t>
        </is>
      </c>
      <c r="N139" s="36" t="n"/>
    </row>
    <row r="140" ht="30" customHeight="1">
      <c r="A140" s="15" t="n">
        <v>138</v>
      </c>
      <c r="B140" s="13" t="inlineStr">
        <is>
          <t>الجودة</t>
        </is>
      </c>
      <c r="C140" s="24" t="inlineStr">
        <is>
          <t>نسبة المحطات الحرجة</t>
        </is>
      </c>
      <c r="D140" s="41" t="inlineStr">
        <is>
          <t>يقيس نسبة المحطات الحرجة ضمن محور «مخاطر الجودة»،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42" t="n">
        <v>0.1</v>
      </c>
      <c r="J140" s="15" t="inlineStr">
        <is>
          <t>مدير الجودة</t>
        </is>
      </c>
      <c r="K140" s="11" t="inlineStr">
        <is>
          <t>نظام إدارة الجودة (QMS)</t>
        </is>
      </c>
      <c r="L140" s="15" t="inlineStr">
        <is>
          <t>شهري</t>
        </is>
      </c>
      <c r="M140" s="15" t="inlineStr">
        <is>
          <t>مدير الجودة</t>
        </is>
      </c>
      <c r="N140" s="36" t="n"/>
    </row>
    <row r="141" ht="30" customHeight="1">
      <c r="A141" s="15" t="n">
        <v>139</v>
      </c>
      <c r="B141" s="13" t="inlineStr">
        <is>
          <t>الجودة</t>
        </is>
      </c>
      <c r="C141" s="24" t="inlineStr">
        <is>
          <t>نسبة مطابقة جودة الوقود</t>
        </is>
      </c>
      <c r="D141" s="41" t="inlineStr">
        <is>
          <t>يقيس نسبة مطابقة جودة الوقود ضمن محور «جودة الوقود»،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42" t="n">
        <v>0.07000000000000001</v>
      </c>
      <c r="J141" s="15" t="inlineStr">
        <is>
          <t>مدير الجودة</t>
        </is>
      </c>
      <c r="K141" s="11" t="inlineStr">
        <is>
          <t>نظام إدارة الجودة (QMS)</t>
        </is>
      </c>
      <c r="L141" s="15" t="inlineStr">
        <is>
          <t>شهري</t>
        </is>
      </c>
      <c r="M141" s="15" t="inlineStr">
        <is>
          <t>مدير الجودة</t>
        </is>
      </c>
      <c r="N141" s="36" t="n"/>
    </row>
    <row r="142" ht="30" customHeight="1">
      <c r="A142" s="15" t="n">
        <v>140</v>
      </c>
      <c r="B142" s="13" t="inlineStr">
        <is>
          <t>الجودة</t>
        </is>
      </c>
      <c r="C142" s="24" t="inlineStr">
        <is>
          <t>نسبة إغلاق الملاحظات في الوقت المحدد</t>
        </is>
      </c>
      <c r="D142" s="4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42" t="n">
        <v>0.07000000000000001</v>
      </c>
      <c r="J142" s="15" t="inlineStr">
        <is>
          <t>مدير الجودة</t>
        </is>
      </c>
      <c r="K142" s="11" t="inlineStr">
        <is>
          <t>نظام إدارة الجودة (QMS)</t>
        </is>
      </c>
      <c r="L142" s="15" t="inlineStr">
        <is>
          <t>شهري</t>
        </is>
      </c>
      <c r="M142" s="15" t="inlineStr">
        <is>
          <t>مدير الجودة</t>
        </is>
      </c>
      <c r="N142" s="36" t="n"/>
    </row>
    <row r="143" ht="30" customHeight="1">
      <c r="A143" s="15" t="n">
        <v>141</v>
      </c>
      <c r="B143" s="13" t="inlineStr">
        <is>
          <t>الجودة</t>
        </is>
      </c>
      <c r="C143" s="24" t="inlineStr">
        <is>
          <t>نسبة فعالية الإجراءات التصحيحية</t>
        </is>
      </c>
      <c r="D143" s="41" t="inlineStr">
        <is>
          <t>يقيس نسبة فعالية الإجراءات التصحيحية ضمن محور «تحسين ووقاية»،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42" t="n">
        <v>0.07000000000000001</v>
      </c>
      <c r="J143" s="15" t="inlineStr">
        <is>
          <t>مدير الجودة</t>
        </is>
      </c>
      <c r="K143" s="11" t="inlineStr">
        <is>
          <t>سجلات الإدارة</t>
        </is>
      </c>
      <c r="L143" s="15" t="inlineStr">
        <is>
          <t>شهري</t>
        </is>
      </c>
      <c r="M143" s="15" t="inlineStr">
        <is>
          <t>مدير الجودة</t>
        </is>
      </c>
      <c r="N143" s="36" t="n"/>
    </row>
    <row r="144" ht="30" customHeight="1">
      <c r="A144" s="15" t="n">
        <v>142</v>
      </c>
      <c r="B144" s="13" t="inlineStr">
        <is>
          <t>الجودة</t>
        </is>
      </c>
      <c r="C144" s="24" t="inlineStr">
        <is>
          <t>نسبة تكرار الملاحظات</t>
        </is>
      </c>
      <c r="D144" s="41" t="inlineStr">
        <is>
          <t>يقيس نسبة تكرار الملاحظات ضمن محور «منع التكرار»،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42" t="n">
        <v>0.07000000000000001</v>
      </c>
      <c r="J144" s="15" t="inlineStr">
        <is>
          <t>مدير الجودة</t>
        </is>
      </c>
      <c r="K144" s="11" t="inlineStr">
        <is>
          <t>نظام إدارة الجودة (QMS)</t>
        </is>
      </c>
      <c r="L144" s="15" t="inlineStr">
        <is>
          <t>شهري</t>
        </is>
      </c>
      <c r="M144" s="15" t="inlineStr">
        <is>
          <t>مدير الجودة</t>
        </is>
      </c>
      <c r="N144" s="36" t="n"/>
    </row>
    <row r="145" ht="30" customHeight="1">
      <c r="A145" s="15" t="n">
        <v>143</v>
      </c>
      <c r="B145" s="13" t="inlineStr">
        <is>
          <t>الجودة</t>
        </is>
      </c>
      <c r="C145" s="24" t="inlineStr">
        <is>
          <t>نسبة تنفيذ خطة التفتيش والتدقيق</t>
        </is>
      </c>
      <c r="D145" s="41" t="inlineStr">
        <is>
          <t>يقيس نسبة تنفيذ خطة التفتيش والتدقيق ضمن محور «تفتيش وتدقيق»،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42" t="n">
        <v>0.07000000000000001</v>
      </c>
      <c r="J145" s="15" t="inlineStr">
        <is>
          <t>مدير الجودة</t>
        </is>
      </c>
      <c r="K145" s="11" t="inlineStr">
        <is>
          <t>نظام المحاسبة / ERP (D365)</t>
        </is>
      </c>
      <c r="L145" s="15" t="inlineStr">
        <is>
          <t>ربعي</t>
        </is>
      </c>
      <c r="M145" s="15" t="inlineStr">
        <is>
          <t>الإدارة المالية</t>
        </is>
      </c>
      <c r="N145" s="36" t="n"/>
    </row>
    <row r="146" ht="30" customHeight="1">
      <c r="A146" s="15" t="n">
        <v>144</v>
      </c>
      <c r="B146" s="13" t="inlineStr">
        <is>
          <t>الجودة</t>
        </is>
      </c>
      <c r="C146" s="24" t="inlineStr">
        <is>
          <t>نسبة جاهزية نظام إدارة الجودة QMS</t>
        </is>
      </c>
      <c r="D146" s="41" t="inlineStr">
        <is>
          <t>يقيس نسبة جاهزية نظام إدارة الجودة QMS ضمن محور «حوكمة الجودة»،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42" t="n">
        <v>0.1</v>
      </c>
      <c r="J146" s="15" t="inlineStr">
        <is>
          <t>مدير الجودة</t>
        </is>
      </c>
      <c r="K146" s="11" t="inlineStr">
        <is>
          <t>نظام إدارة الجودة (QMS)</t>
        </is>
      </c>
      <c r="L146" s="15" t="inlineStr">
        <is>
          <t>شهري</t>
        </is>
      </c>
      <c r="M146" s="15" t="inlineStr">
        <is>
          <t>مدير الجودة</t>
        </is>
      </c>
      <c r="N146" s="36" t="n"/>
    </row>
    <row r="147" ht="30" customHeight="1">
      <c r="A147" s="15" t="n">
        <v>145</v>
      </c>
      <c r="B147" s="13" t="inlineStr">
        <is>
          <t>الجودة</t>
        </is>
      </c>
      <c r="C147" s="24" t="inlineStr">
        <is>
          <t>عدد مخاطر الجودة الحرجة المفتوحة</t>
        </is>
      </c>
      <c r="D147" s="41" t="inlineStr">
        <is>
          <t>يقيس عدد مخاطر الجودة الحرجة المفتوحة ضمن محور «مخاطر الجودة»،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42" t="n">
        <v>0.07000000000000001</v>
      </c>
      <c r="J147" s="15" t="inlineStr">
        <is>
          <t>مدير الجودة</t>
        </is>
      </c>
      <c r="K147" s="11" t="inlineStr">
        <is>
          <t>نظام إدارة الجودة (QMS)</t>
        </is>
      </c>
      <c r="L147" s="15" t="inlineStr">
        <is>
          <t>شهري</t>
        </is>
      </c>
      <c r="M147" s="15" t="inlineStr">
        <is>
          <t>مدير الجودة</t>
        </is>
      </c>
      <c r="N147" s="36" t="n"/>
    </row>
    <row r="148" ht="30" customHeight="1">
      <c r="A148" s="15" t="n">
        <v>146</v>
      </c>
      <c r="B148" s="13" t="inlineStr">
        <is>
          <t>الجودة</t>
        </is>
      </c>
      <c r="C148" s="24" t="inlineStr">
        <is>
          <t>نسبة إغلاق مخاطر الجودة في الوقت المحدد</t>
        </is>
      </c>
      <c r="D148" s="4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42" t="n">
        <v>0.07000000000000001</v>
      </c>
      <c r="J148" s="15" t="inlineStr">
        <is>
          <t>مدير الجودة</t>
        </is>
      </c>
      <c r="K148" s="11" t="inlineStr">
        <is>
          <t>نظام إدارة الجودة (QMS)</t>
        </is>
      </c>
      <c r="L148" s="15" t="inlineStr">
        <is>
          <t>شهري</t>
        </is>
      </c>
      <c r="M148" s="15" t="inlineStr">
        <is>
          <t>مدير الجودة</t>
        </is>
      </c>
      <c r="N148" s="36" t="n"/>
    </row>
    <row r="149" ht="30" customHeight="1">
      <c r="A149" s="15" t="n">
        <v>147</v>
      </c>
      <c r="B149" s="13" t="inlineStr">
        <is>
          <t>الجودة</t>
        </is>
      </c>
      <c r="C149" s="24" t="inlineStr">
        <is>
          <t>نسبة انخفاض الشكاوى المتكررة ذات العلاقة بالجودة</t>
        </is>
      </c>
      <c r="D149" s="4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تعزيز تجربة العملاء</t>
        </is>
      </c>
      <c r="H149" s="15" t="inlineStr">
        <is>
          <t>العملاء</t>
        </is>
      </c>
      <c r="I149" s="42" t="n">
        <v>0.07000000000000001</v>
      </c>
      <c r="J149" s="15" t="inlineStr">
        <is>
          <t>مدير الجودة</t>
        </is>
      </c>
      <c r="K149" s="11" t="inlineStr">
        <is>
          <t>نظام إدارة الجودة (QMS)</t>
        </is>
      </c>
      <c r="L149" s="15" t="inlineStr">
        <is>
          <t>شهري</t>
        </is>
      </c>
      <c r="M149" s="15" t="inlineStr">
        <is>
          <t>مدير الجودة</t>
        </is>
      </c>
      <c r="N149" s="36" t="n"/>
    </row>
    <row r="150" ht="30" customHeight="1">
      <c r="A150" s="15" t="n">
        <v>148</v>
      </c>
      <c r="B150" s="13" t="inlineStr">
        <is>
          <t>الجودة</t>
        </is>
      </c>
      <c r="C150" s="24" t="inlineStr">
        <is>
          <t>نسبة اكتمال وتحديث الإجراءات المعتمدة</t>
        </is>
      </c>
      <c r="D150" s="4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42" t="n">
        <v>0.03</v>
      </c>
      <c r="J150" s="15" t="inlineStr">
        <is>
          <t>مدير الجودة</t>
        </is>
      </c>
      <c r="K150" s="11" t="inlineStr">
        <is>
          <t>نظام إدارة الجودة (QMS)</t>
        </is>
      </c>
      <c r="L150" s="15" t="inlineStr">
        <is>
          <t>شهري</t>
        </is>
      </c>
      <c r="M150" s="15" t="inlineStr">
        <is>
          <t>مدير الجودة</t>
        </is>
      </c>
      <c r="N150" s="36" t="n"/>
    </row>
    <row r="151" ht="30" customHeight="1">
      <c r="A151" s="15" t="n">
        <v>149</v>
      </c>
      <c r="B151" s="13" t="inlineStr">
        <is>
          <t>الجودة</t>
        </is>
      </c>
      <c r="C151" s="24" t="inlineStr">
        <is>
          <t>نسبة اكتمال سجلات الجودة</t>
        </is>
      </c>
      <c r="D151" s="41" t="inlineStr">
        <is>
          <t>يقيس نسبة اكتمال سجلات الجودة ضمن محور «توثيق وحوكمة»،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42" t="n">
        <v>0.07000000000000001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36" t="n"/>
    </row>
    <row r="152" ht="30" customHeight="1">
      <c r="A152" s="15" t="n">
        <v>150</v>
      </c>
      <c r="B152" s="13" t="inlineStr">
        <is>
          <t>الجودة</t>
        </is>
      </c>
      <c r="C152" s="24" t="inlineStr">
        <is>
          <t>نسبة رقمنة عمليات الجودة</t>
        </is>
      </c>
      <c r="D152" s="41" t="inlineStr">
        <is>
          <t>يقيس نسبة رقمنة عمليات الجودة ضمن محور «الابتكار والرقمنة»،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التحول التقني</t>
        </is>
      </c>
      <c r="H152" s="15" t="inlineStr">
        <is>
          <t>التعلّم والنمو</t>
        </is>
      </c>
      <c r="I152" s="42" t="n">
        <v>0.07000000000000001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36" t="n"/>
    </row>
    <row r="153" ht="30" customHeight="1">
      <c r="A153" s="15" t="n">
        <v>151</v>
      </c>
      <c r="B153" s="13" t="inlineStr">
        <is>
          <t>الجودة</t>
        </is>
      </c>
      <c r="C153" s="24" t="inlineStr">
        <is>
          <t>عدد مبادرات التحسين المؤثرة</t>
        </is>
      </c>
      <c r="D153" s="41" t="inlineStr">
        <is>
          <t>يقيس عدد مبادرات التحسين المؤثرة ضمن محور «التحسين المستمر»، ويعكس مساهمة الإدارة في ركيزة الاستدامة.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التعلّم والنمو</t>
        </is>
      </c>
      <c r="I153" s="42" t="n">
        <v>0.07000000000000001</v>
      </c>
      <c r="J153" s="15" t="inlineStr">
        <is>
          <t>مدير الجودة</t>
        </is>
      </c>
      <c r="K153" s="11" t="inlineStr">
        <is>
          <t>سجلات الإدارة</t>
        </is>
      </c>
      <c r="L153" s="15" t="inlineStr">
        <is>
          <t>ربعي</t>
        </is>
      </c>
      <c r="M153" s="15" t="inlineStr">
        <is>
          <t>مدير الجودة</t>
        </is>
      </c>
      <c r="N153" s="36" t="n"/>
    </row>
    <row r="154" ht="30" customHeight="1">
      <c r="A154" s="15" t="n">
        <v>152</v>
      </c>
      <c r="B154" s="13" t="inlineStr">
        <is>
          <t>الإدارة القانونية</t>
        </is>
      </c>
      <c r="C154" s="24" t="inlineStr">
        <is>
          <t>نسبة العقود المُراجَعة قانونياً قبل التوقيع</t>
        </is>
      </c>
      <c r="D154" s="4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42" t="n">
        <v>0.15</v>
      </c>
      <c r="J154" s="15" t="inlineStr">
        <is>
          <t>المدير القانوني</t>
        </is>
      </c>
      <c r="K154" s="11" t="inlineStr">
        <is>
          <t>نظام إدارة العقود (CRM)</t>
        </is>
      </c>
      <c r="L154" s="15" t="inlineStr">
        <is>
          <t>شهري</t>
        </is>
      </c>
      <c r="M154" s="15" t="inlineStr">
        <is>
          <t>المدير القانوني</t>
        </is>
      </c>
      <c r="N154" s="36" t="n"/>
    </row>
    <row r="155" ht="30" customHeight="1">
      <c r="A155" s="15" t="n">
        <v>153</v>
      </c>
      <c r="B155" s="13" t="inlineStr">
        <is>
          <t>الإدارة القانونية</t>
        </is>
      </c>
      <c r="C155" s="24" t="inlineStr">
        <is>
          <t>متوسط زمن صياغة ومراجعة العقد</t>
        </is>
      </c>
      <c r="D155" s="41" t="inlineStr">
        <is>
          <t>يقيس متوسط زمن صياغة ومراجعة العقد ضمن محور «أعمال العقود»، ويعكس مساهمة الإدارة في ركيزة الاستدامة.</t>
        </is>
      </c>
      <c r="E155" s="11" t="inlineStr">
        <is>
          <t>متوسط يوم خلال الفترة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42" t="n">
        <v>0.15</v>
      </c>
      <c r="J155" s="15" t="inlineStr">
        <is>
          <t>المدير القانوني</t>
        </is>
      </c>
      <c r="K155" s="11" t="inlineStr">
        <is>
          <t>نظام إدارة العقود/القضايا</t>
        </is>
      </c>
      <c r="L155" s="15" t="inlineStr">
        <is>
          <t>شهري</t>
        </is>
      </c>
      <c r="M155" s="15" t="inlineStr">
        <is>
          <t>المدير القانوني</t>
        </is>
      </c>
      <c r="N155" s="36" t="n"/>
    </row>
    <row r="156" ht="30" customHeight="1">
      <c r="A156" s="15" t="n">
        <v>154</v>
      </c>
      <c r="B156" s="13" t="inlineStr">
        <is>
          <t>الإدارة القانونية</t>
        </is>
      </c>
      <c r="C156" s="24" t="inlineStr">
        <is>
          <t>نسبة العقود الخالية من الملاحظات والمخاطر القانونية</t>
        </is>
      </c>
      <c r="D156" s="4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42" t="n">
        <v>0.15</v>
      </c>
      <c r="J156" s="15" t="inlineStr">
        <is>
          <t>المدير القانوني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المدير القانوني</t>
        </is>
      </c>
      <c r="N156" s="36" t="n"/>
    </row>
    <row r="157" ht="30" customHeight="1">
      <c r="A157" s="15" t="n">
        <v>155</v>
      </c>
      <c r="B157" s="13" t="inlineStr">
        <is>
          <t>الإدارة القانونية</t>
        </is>
      </c>
      <c r="C157" s="24" t="inlineStr">
        <is>
          <t>نسبة القضايا المُغلقة لصالح الشركة</t>
        </is>
      </c>
      <c r="D157" s="4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42" t="n">
        <v>0.1</v>
      </c>
      <c r="J157" s="15" t="inlineStr">
        <is>
          <t>المدير القانوني</t>
        </is>
      </c>
      <c r="K157" s="11" t="inlineStr">
        <is>
          <t>نظام إدارة العقود/القضايا</t>
        </is>
      </c>
      <c r="L157" s="15" t="inlineStr">
        <is>
          <t>شهري</t>
        </is>
      </c>
      <c r="M157" s="15" t="inlineStr">
        <is>
          <t>المدير القانوني</t>
        </is>
      </c>
      <c r="N157" s="36" t="n"/>
    </row>
    <row r="158" ht="30" customHeight="1">
      <c r="A158" s="15" t="n">
        <v>156</v>
      </c>
      <c r="B158" s="13" t="inlineStr">
        <is>
          <t>الإدارة القانونية</t>
        </is>
      </c>
      <c r="C158" s="24" t="inlineStr">
        <is>
          <t>نسبة تقديم المذكرات والردود في المواعيد النظامية</t>
        </is>
      </c>
      <c r="D158" s="4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42" t="n">
        <v>0.1</v>
      </c>
      <c r="J158" s="15" t="inlineStr">
        <is>
          <t>المدير القانوني</t>
        </is>
      </c>
      <c r="K158" s="11" t="inlineStr">
        <is>
          <t>نظام إدارة العقود/القضايا</t>
        </is>
      </c>
      <c r="L158" s="15" t="inlineStr">
        <is>
          <t>شهري</t>
        </is>
      </c>
      <c r="M158" s="15" t="inlineStr">
        <is>
          <t>المدير القانوني</t>
        </is>
      </c>
      <c r="N158" s="36" t="n"/>
    </row>
    <row r="159" ht="30" customHeight="1">
      <c r="A159" s="15" t="n">
        <v>157</v>
      </c>
      <c r="B159" s="13" t="inlineStr">
        <is>
          <t>الإدارة القانونية</t>
        </is>
      </c>
      <c r="C159" s="24" t="inlineStr">
        <is>
          <t>متوسط زمن إعداد المذكرة القانونية</t>
        </is>
      </c>
      <c r="D159" s="4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59" s="11" t="inlineStr">
        <is>
          <t>متوسط يوم خلال الفترة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42" t="n">
        <v>0.1</v>
      </c>
      <c r="J159" s="15" t="inlineStr">
        <is>
          <t>المدير القانوني</t>
        </is>
      </c>
      <c r="K159" s="11" t="inlineStr">
        <is>
          <t>نظام إدارة العقود/القضايا</t>
        </is>
      </c>
      <c r="L159" s="15" t="inlineStr">
        <is>
          <t>شهري</t>
        </is>
      </c>
      <c r="M159" s="15" t="inlineStr">
        <is>
          <t>المدير القانوني</t>
        </is>
      </c>
      <c r="N159" s="36" t="n"/>
    </row>
    <row r="160" ht="30" customHeight="1">
      <c r="A160" s="15" t="n">
        <v>158</v>
      </c>
      <c r="B160" s="13" t="inlineStr">
        <is>
          <t>الإدارة القانونية</t>
        </is>
      </c>
      <c r="C160" s="24" t="inlineStr">
        <is>
          <t>نسبة الاستشارات المُنجزة ضمن المدة المستهدفة (SLA)</t>
        </is>
      </c>
      <c r="D160" s="4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42" t="n">
        <v>0.1</v>
      </c>
      <c r="J160" s="15" t="inlineStr">
        <is>
          <t>المدير القانوني</t>
        </is>
      </c>
      <c r="K160" s="11" t="inlineStr">
        <is>
          <t>نظام إدارة العقود/القضايا</t>
        </is>
      </c>
      <c r="L160" s="15" t="inlineStr">
        <is>
          <t>شهري</t>
        </is>
      </c>
      <c r="M160" s="15" t="inlineStr">
        <is>
          <t>المدير القانوني</t>
        </is>
      </c>
      <c r="N160" s="36" t="n"/>
    </row>
    <row r="161" ht="30" customHeight="1">
      <c r="A161" s="15" t="n">
        <v>159</v>
      </c>
      <c r="B161" s="13" t="inlineStr">
        <is>
          <t>الإدارة القانونية</t>
        </is>
      </c>
      <c r="C161" s="24" t="inlineStr">
        <is>
          <t>مستوى رضا الإدارات عن الدعم القانوني</t>
        </is>
      </c>
      <c r="D161" s="4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العملاء</t>
        </is>
      </c>
      <c r="I161" s="42" t="n">
        <v>0.15</v>
      </c>
      <c r="J161" s="15" t="inlineStr">
        <is>
          <t>المدير القانوني</t>
        </is>
      </c>
      <c r="K161" s="11" t="inlineStr">
        <is>
          <t>استبيان دوري</t>
        </is>
      </c>
      <c r="L161" s="15" t="inlineStr">
        <is>
          <t>ربعي</t>
        </is>
      </c>
      <c r="M161" s="15" t="inlineStr">
        <is>
          <t>المدير القانوني</t>
        </is>
      </c>
      <c r="N161" s="36" t="n"/>
    </row>
    <row r="162" ht="30" customHeight="1">
      <c r="A162" s="15" t="n">
        <v>160</v>
      </c>
      <c r="B162" s="13" t="inlineStr">
        <is>
          <t>الإدارة المالية</t>
        </is>
      </c>
      <c r="C162" s="24" t="inlineStr">
        <is>
          <t>نمو الإيرادات السنوي</t>
        </is>
      </c>
      <c r="D162" s="41" t="inlineStr">
        <is>
          <t>يقيس نمو الإيرادات السنوي ضمن محور «المالية الاستراتيجية»،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النمو · زيادة وصول العملاء</t>
        </is>
      </c>
      <c r="H162" s="15" t="inlineStr">
        <is>
          <t>مالي</t>
        </is>
      </c>
      <c r="I162" s="42" t="n">
        <v>0.05</v>
      </c>
      <c r="J162" s="15" t="inlineStr">
        <is>
          <t>المدير المالي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36" t="n"/>
    </row>
    <row r="163" ht="30" customHeight="1">
      <c r="A163" s="15" t="n">
        <v>161</v>
      </c>
      <c r="B163" s="13" t="inlineStr">
        <is>
          <t>الإدارة المالية</t>
        </is>
      </c>
      <c r="C163" s="24" t="inlineStr">
        <is>
          <t>هامش EBITDA</t>
        </is>
      </c>
      <c r="D163" s="41" t="inlineStr">
        <is>
          <t>يقيس هامش EBITDA ضمن محور «المالية الاستراتيجية»،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النمو · زيادة وصول العملاء</t>
        </is>
      </c>
      <c r="H163" s="15" t="inlineStr">
        <is>
          <t>مالي</t>
        </is>
      </c>
      <c r="I163" s="42" t="n">
        <v>0.04</v>
      </c>
      <c r="J163" s="15" t="inlineStr">
        <is>
          <t>المدير المالي</t>
        </is>
      </c>
      <c r="K163" s="11" t="inlineStr">
        <is>
          <t>نظام المحاسبة / ERP (D365)</t>
        </is>
      </c>
      <c r="L163" s="15" t="inlineStr">
        <is>
          <t>شهري</t>
        </is>
      </c>
      <c r="M163" s="15" t="inlineStr">
        <is>
          <t>الإدارة المالية</t>
        </is>
      </c>
      <c r="N163" s="36" t="n"/>
    </row>
    <row r="164" ht="30" customHeight="1">
      <c r="A164" s="15" t="n">
        <v>162</v>
      </c>
      <c r="B164" s="13" t="inlineStr">
        <is>
          <t>الإدارة المالية</t>
        </is>
      </c>
      <c r="C164" s="24" t="inlineStr">
        <is>
          <t>هامش صافي الربح</t>
        </is>
      </c>
      <c r="D164" s="41" t="inlineStr">
        <is>
          <t>يقيس هامش صافي الربح ضمن محور «المالية الاستراتيجية»،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النمو · زيادة وصول العملاء</t>
        </is>
      </c>
      <c r="H164" s="15" t="inlineStr">
        <is>
          <t>مالي</t>
        </is>
      </c>
      <c r="I164" s="42" t="n">
        <v>0.04</v>
      </c>
      <c r="J164" s="15" t="inlineStr">
        <is>
          <t>المدير المالي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36" t="n"/>
    </row>
    <row r="165" ht="30" customHeight="1">
      <c r="A165" s="15" t="n">
        <v>163</v>
      </c>
      <c r="B165" s="13" t="inlineStr">
        <is>
          <t>الإدارة المالية</t>
        </is>
      </c>
      <c r="C165" s="24" t="inlineStr">
        <is>
          <t>العائد على حقوق الملكية (ROE)</t>
        </is>
      </c>
      <c r="D165" s="41" t="inlineStr">
        <is>
          <t>يقيس العائد على حقوق الملكية (ROE) ضمن محور «المالية الاستراتيجية»،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42" t="n">
        <v>0.05</v>
      </c>
      <c r="J165" s="15" t="inlineStr">
        <is>
          <t>المدير المالي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36" t="n"/>
    </row>
    <row r="166" ht="30" customHeight="1">
      <c r="A166" s="15" t="n">
        <v>164</v>
      </c>
      <c r="B166" s="13" t="inlineStr">
        <is>
          <t>الإدارة المالية</t>
        </is>
      </c>
      <c r="C166" s="24" t="inlineStr">
        <is>
          <t>نسبة التدفق النقدي التشغيلي</t>
        </is>
      </c>
      <c r="D166" s="4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42" t="n">
        <v>0.04</v>
      </c>
      <c r="J166" s="15" t="inlineStr">
        <is>
          <t>المدير المالي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36" t="n"/>
    </row>
    <row r="167" ht="30" customHeight="1">
      <c r="A167" s="15" t="n">
        <v>165</v>
      </c>
      <c r="B167" s="13" t="inlineStr">
        <is>
          <t>الإدارة المالية</t>
        </is>
      </c>
      <c r="C167" s="24" t="inlineStr">
        <is>
          <t>النسبة الجارية (Current Ratio)</t>
        </is>
      </c>
      <c r="D167" s="41" t="inlineStr">
        <is>
          <t>يقيس النسبة الجارية (Current Ratio) ضمن محور «السيولة ورأس المال»،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42" t="n">
        <v>0.04</v>
      </c>
      <c r="J167" s="15" t="inlineStr">
        <is>
          <t>المدير المالي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المدير المالي</t>
        </is>
      </c>
      <c r="N167" s="36" t="n"/>
    </row>
    <row r="168" ht="30" customHeight="1">
      <c r="A168" s="15" t="n">
        <v>166</v>
      </c>
      <c r="B168" s="13" t="inlineStr">
        <is>
          <t>الإدارة المالية</t>
        </is>
      </c>
      <c r="C168" s="24" t="inlineStr">
        <is>
          <t>دورة التحويل النقدي</t>
        </is>
      </c>
      <c r="D168" s="41" t="inlineStr">
        <is>
          <t>يقيس دورة التحويل النقدي ضمن محور «السيولة ورأس المال»،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42" t="n">
        <v>0.05</v>
      </c>
      <c r="J168" s="15" t="inlineStr">
        <is>
          <t>المدير المالي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36" t="n"/>
    </row>
    <row r="169" ht="30" customHeight="1">
      <c r="A169" s="15" t="n">
        <v>167</v>
      </c>
      <c r="B169" s="13" t="inlineStr">
        <is>
          <t>الإدارة المالية</t>
        </is>
      </c>
      <c r="C169" s="24" t="inlineStr">
        <is>
          <t>متوسط أيام التحصيل العام (DSO)</t>
        </is>
      </c>
      <c r="D169" s="41" t="inlineStr">
        <is>
          <t>يقيس متوسط أيام التحصيل العام (DSO) ضمن محور «الذمم المدينة»،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مالي</t>
        </is>
      </c>
      <c r="I169" s="42" t="n">
        <v>0.05</v>
      </c>
      <c r="J169" s="15" t="inlineStr">
        <is>
          <t>المدير المالي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36" t="n"/>
    </row>
    <row r="170" ht="30" customHeight="1">
      <c r="A170" s="15" t="n">
        <v>168</v>
      </c>
      <c r="B170" s="13" t="inlineStr">
        <is>
          <t>الإدارة المالية</t>
        </is>
      </c>
      <c r="C170" s="24" t="inlineStr">
        <is>
          <t>نسبة التحصيل العام (الشركة)</t>
        </is>
      </c>
      <c r="D170" s="41" t="inlineStr">
        <is>
          <t>يقيس نسبة التحصيل العام (الشركة) ضمن محور «الذمم المدينة»،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مالي</t>
        </is>
      </c>
      <c r="I170" s="42" t="n">
        <v>0.05</v>
      </c>
      <c r="J170" s="15" t="inlineStr">
        <is>
          <t>المدير المالي</t>
        </is>
      </c>
      <c r="K170" s="11" t="inlineStr">
        <is>
          <t>نظام المحاسبة / ERP (D365)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36" t="n"/>
    </row>
    <row r="171" ht="30" customHeight="1">
      <c r="A171" s="15" t="n">
        <v>169</v>
      </c>
      <c r="B171" s="13" t="inlineStr">
        <is>
          <t>الإدارة المالية</t>
        </is>
      </c>
      <c r="C171" s="24" t="inlineStr">
        <is>
          <t>نسبة الذمم المتأخرة</t>
        </is>
      </c>
      <c r="D171" s="41" t="inlineStr">
        <is>
          <t>يقيس نسبة الذمم المتأخرة ضمن محور «الذمم المدينة»،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42" t="n">
        <v>0.04</v>
      </c>
      <c r="J171" s="15" t="inlineStr">
        <is>
          <t>المدير المالي</t>
        </is>
      </c>
      <c r="K171" s="11" t="inlineStr">
        <is>
          <t>نظام المحاسبة / ERP (D365)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36" t="n"/>
    </row>
    <row r="172" ht="30" customHeight="1">
      <c r="A172" s="15" t="n">
        <v>170</v>
      </c>
      <c r="B172" s="13" t="inlineStr">
        <is>
          <t>الإدارة المالية</t>
        </is>
      </c>
      <c r="C172" s="24" t="inlineStr">
        <is>
          <t>نسبة الديون المعدومة</t>
        </is>
      </c>
      <c r="D172" s="41" t="inlineStr">
        <is>
          <t>يقيس نسبة الديون المعدومة ضمن محور «الذمم المدينة»،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42" t="n">
        <v>0.04</v>
      </c>
      <c r="J172" s="15" t="inlineStr">
        <is>
          <t>المدير المالي</t>
        </is>
      </c>
      <c r="K172" s="11" t="inlineStr">
        <is>
          <t>نظام المحاسبة / ERP (D365)</t>
        </is>
      </c>
      <c r="L172" s="15" t="inlineStr">
        <is>
          <t>شهري</t>
        </is>
      </c>
      <c r="M172" s="15" t="inlineStr">
        <is>
          <t>الإدارة المالية</t>
        </is>
      </c>
      <c r="N172" s="36" t="n"/>
    </row>
    <row r="173" ht="30" customHeight="1">
      <c r="A173" s="15" t="n">
        <v>171</v>
      </c>
      <c r="B173" s="13" t="inlineStr">
        <is>
          <t>الإدارة المالية</t>
        </is>
      </c>
      <c r="C173" s="24" t="inlineStr">
        <is>
          <t>سداد الموردين في الموعد</t>
        </is>
      </c>
      <c r="D173" s="41" t="inlineStr">
        <is>
          <t>يقيس سداد الموردين في الموعد ضمن محور «الذمم الدائنة»،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مالي</t>
        </is>
      </c>
      <c r="I173" s="42" t="n">
        <v>0.04</v>
      </c>
      <c r="J173" s="15" t="inlineStr">
        <is>
          <t>المدير المالي</t>
        </is>
      </c>
      <c r="K173" s="11" t="inlineStr">
        <is>
          <t>نظام المحاسبة / ERP (D365)</t>
        </is>
      </c>
      <c r="L173" s="15" t="inlineStr">
        <is>
          <t>شهري</t>
        </is>
      </c>
      <c r="M173" s="15" t="inlineStr">
        <is>
          <t>الإدارة المالية</t>
        </is>
      </c>
      <c r="N173" s="36" t="n"/>
    </row>
    <row r="174" ht="30" customHeight="1">
      <c r="A174" s="15" t="n">
        <v>172</v>
      </c>
      <c r="B174" s="13" t="inlineStr">
        <is>
          <t>الإدارة المالية</t>
        </is>
      </c>
      <c r="C174" s="24" t="inlineStr">
        <is>
          <t>اكتمال مطابقة حسابات الموردين</t>
        </is>
      </c>
      <c r="D174" s="41" t="inlineStr">
        <is>
          <t>يقيس اكتمال مطابقة حسابات الموردين ضمن محور «الذمم الدائنة»،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42" t="n">
        <v>0.04</v>
      </c>
      <c r="J174" s="15" t="inlineStr">
        <is>
          <t>المدير المالي</t>
        </is>
      </c>
      <c r="K174" s="11" t="inlineStr">
        <is>
          <t>نظام المحاسبة / ERP (D365)</t>
        </is>
      </c>
      <c r="L174" s="15" t="inlineStr">
        <is>
          <t>شهري</t>
        </is>
      </c>
      <c r="M174" s="15" t="inlineStr">
        <is>
          <t>الإدارة المالية</t>
        </is>
      </c>
      <c r="N174" s="36" t="n"/>
    </row>
    <row r="175" ht="30" customHeight="1">
      <c r="A175" s="15" t="n">
        <v>173</v>
      </c>
      <c r="B175" s="13" t="inlineStr">
        <is>
          <t>الإدارة المالية</t>
        </is>
      </c>
      <c r="C175" s="24" t="inlineStr">
        <is>
          <t>دقة التنبؤ النقدي</t>
        </is>
      </c>
      <c r="D175" s="41" t="inlineStr">
        <is>
          <t>يقيس دقة التنبؤ النقدي ضمن محور «الخزينة»،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42" t="n">
        <v>0.04</v>
      </c>
      <c r="J175" s="15" t="inlineStr">
        <is>
          <t>المدير المالي</t>
        </is>
      </c>
      <c r="K175" s="11" t="inlineStr">
        <is>
          <t>نظام المحاسبة / ERP (D365)</t>
        </is>
      </c>
      <c r="L175" s="15" t="inlineStr">
        <is>
          <t>شهري</t>
        </is>
      </c>
      <c r="M175" s="15" t="inlineStr">
        <is>
          <t>الإدارة المالية</t>
        </is>
      </c>
      <c r="N175" s="36" t="n"/>
    </row>
    <row r="176" ht="30" customHeight="1">
      <c r="A176" s="15" t="n">
        <v>174</v>
      </c>
      <c r="B176" s="13" t="inlineStr">
        <is>
          <t>الإدارة المالية</t>
        </is>
      </c>
      <c r="C176" s="24" t="inlineStr">
        <is>
          <t>تباين مخزون الوقود</t>
        </is>
      </c>
      <c r="D176" s="41" t="inlineStr">
        <is>
          <t>يقيس تباين مخزون الوقود ضمن محور «صناعة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42" t="n">
        <v>0.04</v>
      </c>
      <c r="J176" s="15" t="inlineStr">
        <is>
          <t>المدير المالي</t>
        </is>
      </c>
      <c r="K176" s="11" t="inlineStr">
        <is>
          <t>نظام تشغيل المحطات</t>
        </is>
      </c>
      <c r="L176" s="15" t="inlineStr">
        <is>
          <t>شهري</t>
        </is>
      </c>
      <c r="M176" s="15" t="inlineStr">
        <is>
          <t>المدير المالي</t>
        </is>
      </c>
      <c r="N176" s="36" t="n"/>
    </row>
    <row r="177" ht="30" customHeight="1">
      <c r="A177" s="15" t="n">
        <v>175</v>
      </c>
      <c r="B177" s="13" t="inlineStr">
        <is>
          <t>الإدارة المالية</t>
        </is>
      </c>
      <c r="C177" s="24" t="inlineStr">
        <is>
          <t>دقة مطابقة المخزون</t>
        </is>
      </c>
      <c r="D177" s="41" t="inlineStr">
        <is>
          <t>يقيس دقة مطابقة المخزون ضمن محور «صناعة الوقود»،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42" t="n">
        <v>0.03</v>
      </c>
      <c r="J177" s="15" t="inlineStr">
        <is>
          <t>المدير المالي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المدير المالي</t>
        </is>
      </c>
      <c r="N177" s="36" t="n"/>
    </row>
    <row r="178" ht="30" customHeight="1">
      <c r="A178" s="15" t="n">
        <v>176</v>
      </c>
      <c r="B178" s="13" t="inlineStr">
        <is>
          <t>الإدارة المالية</t>
        </is>
      </c>
      <c r="C178" s="24" t="inlineStr">
        <is>
          <t>دقة تسوية أرامكو</t>
        </is>
      </c>
      <c r="D178" s="41" t="inlineStr">
        <is>
          <t>يقيس دقة تسوية أرامكو ضمن محور «صناعة الوقود»،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42" t="n">
        <v>0.03</v>
      </c>
      <c r="J178" s="15" t="inlineStr">
        <is>
          <t>المدير المالي</t>
        </is>
      </c>
      <c r="K178" s="11" t="inlineStr">
        <is>
          <t>نظام تشغيل المحطات</t>
        </is>
      </c>
      <c r="L178" s="15" t="inlineStr">
        <is>
          <t>شهري</t>
        </is>
      </c>
      <c r="M178" s="15" t="inlineStr">
        <is>
          <t>المدير المالي</t>
        </is>
      </c>
      <c r="N178" s="36" t="n"/>
    </row>
    <row r="179" ht="30" customHeight="1">
      <c r="A179" s="15" t="n">
        <v>177</v>
      </c>
      <c r="B179" s="13" t="inlineStr">
        <is>
          <t>الإدارة المالية</t>
        </is>
      </c>
      <c r="C179" s="24" t="inlineStr">
        <is>
          <t>نسبة تحصيل الامتياز</t>
        </is>
      </c>
      <c r="D179" s="41" t="inlineStr">
        <is>
          <t>يقيس نسبة تحصيل الامتياز ضمن محور «تمويل الامتياز»، ويعكس مساهمة الإدارة في ركيزة النمو.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النمو · الامتياز التجاري</t>
        </is>
      </c>
      <c r="H179" s="15" t="inlineStr">
        <is>
          <t>مالي</t>
        </is>
      </c>
      <c r="I179" s="42" t="n">
        <v>0.05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شهري</t>
        </is>
      </c>
      <c r="M179" s="15" t="inlineStr">
        <is>
          <t>الإدارة المالية</t>
        </is>
      </c>
      <c r="N179" s="36" t="n"/>
    </row>
    <row r="180" ht="30" customHeight="1">
      <c r="A180" s="15" t="n">
        <v>178</v>
      </c>
      <c r="B180" s="13" t="inlineStr">
        <is>
          <t>الإدارة المالية</t>
        </is>
      </c>
      <c r="C180" s="24" t="inlineStr">
        <is>
          <t>أيام تحصيل رسوم الامتياز</t>
        </is>
      </c>
      <c r="D180" s="41" t="inlineStr">
        <is>
          <t>يقيس أيام تحصيل رسوم الامتياز ضمن محور «تمويل الامتياز»، ويعكس مساهمة الإدارة في ركيزة النمو.</t>
        </is>
      </c>
      <c r="E180" s="11" t="inlineStr">
        <is>
          <t>متوسط يوم خلال الفترة</t>
        </is>
      </c>
      <c r="F180" s="15" t="inlineStr">
        <is>
          <t>🎯 نتيجة</t>
        </is>
      </c>
      <c r="G180" s="11" t="inlineStr">
        <is>
          <t>النمو · الامتياز التجاري</t>
        </is>
      </c>
      <c r="H180" s="15" t="inlineStr">
        <is>
          <t>مالي</t>
        </is>
      </c>
      <c r="I180" s="42" t="n">
        <v>0.05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36" t="n"/>
    </row>
    <row r="181" ht="30" customHeight="1">
      <c r="A181" s="15" t="n">
        <v>179</v>
      </c>
      <c r="B181" s="13" t="inlineStr">
        <is>
          <t>الإدارة المالية</t>
        </is>
      </c>
      <c r="C181" s="24" t="inlineStr">
        <is>
          <t>نسبة تحصيل الإيجار</t>
        </is>
      </c>
      <c r="D181" s="41" t="inlineStr">
        <is>
          <t>يقيس نسبة تحصيل الإيجار ضمن محور «العقار والإيجار»،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منظومة التأجير</t>
        </is>
      </c>
      <c r="H181" s="15" t="inlineStr">
        <is>
          <t>مالي</t>
        </is>
      </c>
      <c r="I181" s="42" t="n">
        <v>0.05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شهري</t>
        </is>
      </c>
      <c r="M181" s="15" t="inlineStr">
        <is>
          <t>الإدارة المالية</t>
        </is>
      </c>
      <c r="N181" s="36" t="n"/>
    </row>
    <row r="182" ht="30" customHeight="1">
      <c r="A182" s="15" t="n">
        <v>180</v>
      </c>
      <c r="B182" s="13" t="inlineStr">
        <is>
          <t>الإدارة المالية</t>
        </is>
      </c>
      <c r="C182" s="24" t="inlineStr">
        <is>
          <t>معدل تجديد عقود الإيجار</t>
        </is>
      </c>
      <c r="D182" s="41" t="inlineStr">
        <is>
          <t>يقيس معدل تجديد عقود الإيجار ضمن محور «العقار والإيجار»،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منظومة التأجير</t>
        </is>
      </c>
      <c r="H182" s="15" t="inlineStr">
        <is>
          <t>العمليات الداخلية</t>
        </is>
      </c>
      <c r="I182" s="42" t="n">
        <v>0.05</v>
      </c>
      <c r="J182" s="15" t="inlineStr">
        <is>
          <t>المدير المالي</t>
        </is>
      </c>
      <c r="K182" s="11" t="inlineStr">
        <is>
          <t>نظام إدارة العقود (CRM)</t>
        </is>
      </c>
      <c r="L182" s="15" t="inlineStr">
        <is>
          <t>شهري</t>
        </is>
      </c>
      <c r="M182" s="15" t="inlineStr">
        <is>
          <t>المدير المالي</t>
        </is>
      </c>
      <c r="N182" s="36" t="n"/>
    </row>
    <row r="183" ht="30" customHeight="1">
      <c r="A183" s="15" t="n">
        <v>181</v>
      </c>
      <c r="B183" s="13" t="inlineStr">
        <is>
          <t>الإدارة المالية</t>
        </is>
      </c>
      <c r="C183" s="24" t="inlineStr">
        <is>
          <t>انحراف الموازنة</t>
        </is>
      </c>
      <c r="D183" s="41" t="inlineStr">
        <is>
          <t>يقيس انحراف الموازنة ضمن محور «الموازنة والتقارير»،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42" t="n">
        <v>0.03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ربعي</t>
        </is>
      </c>
      <c r="M183" s="15" t="inlineStr">
        <is>
          <t>الإدارة المالية</t>
        </is>
      </c>
      <c r="N183" s="36" t="n"/>
    </row>
    <row r="184" ht="30" customHeight="1">
      <c r="A184" s="15" t="n">
        <v>182</v>
      </c>
      <c r="B184" s="13" t="inlineStr">
        <is>
          <t>الإدارة المالية</t>
        </is>
      </c>
      <c r="C184" s="24" t="inlineStr">
        <is>
          <t>أيام الإقفال الشهري</t>
        </is>
      </c>
      <c r="D184" s="41" t="inlineStr">
        <is>
          <t>يقيس أيام الإقفال الشهري ضمن محور «الموازنة والتقارير»،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42" t="n">
        <v>0.03</v>
      </c>
      <c r="J184" s="15" t="inlineStr">
        <is>
          <t>المدير المالي</t>
        </is>
      </c>
      <c r="K184" s="11" t="inlineStr">
        <is>
          <t>نظام المحاسبة / ERP (D365)</t>
        </is>
      </c>
      <c r="L184" s="15" t="inlineStr">
        <is>
          <t>شهري</t>
        </is>
      </c>
      <c r="M184" s="15" t="inlineStr">
        <is>
          <t>الإدارة المالية</t>
        </is>
      </c>
      <c r="N184" s="36" t="n"/>
    </row>
    <row r="185" ht="30" customHeight="1">
      <c r="A185" s="15" t="n">
        <v>183</v>
      </c>
      <c r="B185" s="13" t="inlineStr">
        <is>
          <t>الإدارة المالية</t>
        </is>
      </c>
      <c r="C185" s="24" t="inlineStr">
        <is>
          <t>نسبة تسويات التدقيق</t>
        </is>
      </c>
      <c r="D185" s="41" t="inlineStr">
        <is>
          <t>يقيس نسبة تسويات التدقيق ضمن محور «الموازنة والتقارير»،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42" t="n">
        <v>0.03</v>
      </c>
      <c r="J185" s="15" t="inlineStr">
        <is>
          <t>المدير المالي</t>
        </is>
      </c>
      <c r="K185" s="11" t="inlineStr">
        <is>
          <t>نظام المحاسبة / ERP (D365)</t>
        </is>
      </c>
      <c r="L185" s="15" t="inlineStr">
        <is>
          <t>ربعي</t>
        </is>
      </c>
      <c r="M185" s="15" t="inlineStr">
        <is>
          <t>الإدارة المالية</t>
        </is>
      </c>
      <c r="N185" s="36" t="n"/>
    </row>
  </sheetData>
  <autoFilter ref="A2:N185"/>
  <mergeCells count="1"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84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</cols>
  <sheetData>
    <row r="1" ht="26" customHeight="1">
      <c r="A1" s="43" t="inlineStr">
        <is>
          <t>الإدارة</t>
        </is>
      </c>
      <c r="B1" s="43" t="inlineStr">
        <is>
          <t>المحور</t>
        </is>
      </c>
      <c r="C1" s="43" t="inlineStr">
        <is>
          <t>المؤشر</t>
        </is>
      </c>
      <c r="D1" s="43" t="inlineStr">
        <is>
          <t>النوع</t>
        </is>
      </c>
      <c r="E1" s="43" t="inlineStr">
        <is>
          <t>الوحدة</t>
        </is>
      </c>
      <c r="F1" s="43" t="inlineStr">
        <is>
          <t>القطبية</t>
        </is>
      </c>
      <c r="G1" s="43" t="inlineStr">
        <is>
          <t>الأولوية</t>
        </is>
      </c>
      <c r="H1" s="43" t="inlineStr">
        <is>
          <t>الوزن</t>
        </is>
      </c>
      <c r="I1" s="43" t="inlineStr">
        <is>
          <t>المستهدف</t>
        </is>
      </c>
      <c r="J1" s="43" t="inlineStr">
        <is>
          <t>المُحقَّق</t>
        </is>
      </c>
      <c r="K1" s="43" t="inlineStr">
        <is>
          <t>نسبة التحقيق</t>
        </is>
      </c>
      <c r="L1" s="43" t="inlineStr">
        <is>
          <t>الحالة</t>
        </is>
      </c>
      <c r="M1" s="43" t="inlineStr">
        <is>
          <t>الركيزة</t>
        </is>
      </c>
      <c r="N1" s="43" t="inlineStr">
        <is>
          <t>المشروع</t>
        </is>
      </c>
      <c r="O1" s="43" t="inlineStr">
        <is>
          <t>منظور BSC</t>
        </is>
      </c>
      <c r="P1" s="43" t="inlineStr">
        <is>
          <t>المالك</t>
        </is>
      </c>
      <c r="Q1" s="43" t="inlineStr">
        <is>
          <t>مصدر البيانات</t>
        </is>
      </c>
      <c r="R1" s="43" t="inlineStr">
        <is>
          <t>الدورية</t>
        </is>
      </c>
      <c r="S1" s="43" t="inlineStr">
        <is>
          <t>خط الأساس</t>
        </is>
      </c>
      <c r="T1" s="43" t="inlineStr">
        <is>
          <t>القيمة السابقة</t>
        </is>
      </c>
      <c r="U1" s="43" t="inlineStr">
        <is>
          <t>التنبؤ بنهاية السنة</t>
        </is>
      </c>
      <c r="V1" s="43" t="inlineStr">
        <is>
          <t>النمو vs الأساس</t>
        </is>
      </c>
      <c r="W1" s="43" t="inlineStr">
        <is>
          <t>حد القبول</t>
        </is>
      </c>
      <c r="X1" s="43" t="inlineStr">
        <is>
          <t>حد التحذير</t>
        </is>
      </c>
      <c r="Y1" s="43" t="inlineStr">
        <is>
          <t>تعليق الانحراف</t>
        </is>
      </c>
      <c r="Z1" s="43" t="inlineStr">
        <is>
          <t>الإجراء التصحيحي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34" t="inlineStr">
        <is>
          <t>محطة</t>
        </is>
      </c>
      <c r="F2" s="34" t="inlineStr">
        <is>
          <t>↑</t>
        </is>
      </c>
      <c r="G2" s="15" t="inlineStr">
        <is>
          <t>🔴 رئيسي</t>
        </is>
      </c>
      <c r="H2" s="42" t="n">
        <v>0.12</v>
      </c>
      <c r="I2" s="34" t="n">
        <v>235</v>
      </c>
      <c r="J2" s="34" t="n">
        <v>206.1</v>
      </c>
      <c r="K2" s="42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34" t="n">
        <v>183.083</v>
      </c>
      <c r="T2" s="34" t="n">
        <v>194.591</v>
      </c>
      <c r="U2" s="34" t="n">
        <v>206.1</v>
      </c>
      <c r="V2" s="42" t="n">
        <v>0.1257</v>
      </c>
      <c r="W2" s="42" t="n">
        <v>1</v>
      </c>
      <c r="X2" s="42" t="n">
        <v>0.85</v>
      </c>
      <c r="Y2" s="44" t="inlineStr">
        <is>
          <t>قريب من المستهدف — فجوة 12٪، متابعة لإغلاقها.</t>
        </is>
      </c>
      <c r="Z2" s="41" t="inlineStr">
        <is>
          <t>متابعة أسبوعية حتى بلوغ المستهدف.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34" t="inlineStr">
        <is>
          <t>عقد</t>
        </is>
      </c>
      <c r="F3" s="34" t="inlineStr">
        <is>
          <t>↑</t>
        </is>
      </c>
      <c r="G3" s="15" t="inlineStr">
        <is>
          <t>🔴 رئيسي</t>
        </is>
      </c>
      <c r="H3" s="42" t="n">
        <v>0.12</v>
      </c>
      <c r="I3" s="34" t="n">
        <v>357</v>
      </c>
      <c r="J3" s="34" t="n">
        <v>346.6</v>
      </c>
      <c r="K3" s="42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34" t="n">
        <v>309.847</v>
      </c>
      <c r="T3" s="34" t="n">
        <v>328.224</v>
      </c>
      <c r="U3" s="34" t="n">
        <v>693.2</v>
      </c>
      <c r="V3" s="42" t="n">
        <v>0.1186</v>
      </c>
      <c r="W3" s="42" t="n">
        <v>1</v>
      </c>
      <c r="X3" s="42" t="n">
        <v>0.85</v>
      </c>
      <c r="Y3" s="44" t="inlineStr">
        <is>
          <t>قريب من المستهدف — فجوة 3٪، متابعة لإغلاقها.</t>
        </is>
      </c>
      <c r="Z3" s="41" t="inlineStr">
        <is>
          <t>متابعة أسبوعية حتى بلوغ المستهدف.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34" t="inlineStr">
        <is>
          <t>ر.س</t>
        </is>
      </c>
      <c r="F4" s="34" t="inlineStr">
        <is>
          <t>↑</t>
        </is>
      </c>
      <c r="G4" s="15" t="inlineStr">
        <is>
          <t>🔴 رئيسي</t>
        </is>
      </c>
      <c r="H4" s="42" t="n">
        <v>0.11</v>
      </c>
      <c r="I4" s="34" t="n"/>
      <c r="J4" s="34" t="n"/>
      <c r="K4" s="42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34" t="n"/>
      <c r="T4" s="34" t="n"/>
      <c r="U4" s="34" t="n"/>
      <c r="V4" s="42" t="n"/>
      <c r="W4" s="42" t="n">
        <v>1</v>
      </c>
      <c r="X4" s="42" t="n">
        <v>0.85</v>
      </c>
      <c r="Y4" s="44" t="inlineStr"/>
      <c r="Z4" s="41" t="inlineStr"/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34" t="inlineStr">
        <is>
          <t>%</t>
        </is>
      </c>
      <c r="F5" s="34" t="inlineStr">
        <is>
          <t>↑</t>
        </is>
      </c>
      <c r="G5" s="15" t="inlineStr">
        <is>
          <t>🔴 رئيسي</t>
        </is>
      </c>
      <c r="H5" s="42" t="n">
        <v>0.11</v>
      </c>
      <c r="I5" s="34" t="n"/>
      <c r="J5" s="34" t="n"/>
      <c r="K5" s="42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34" t="n"/>
      <c r="T5" s="34" t="n"/>
      <c r="U5" s="34" t="n"/>
      <c r="V5" s="42" t="n"/>
      <c r="W5" s="42" t="n">
        <v>1</v>
      </c>
      <c r="X5" s="42" t="n">
        <v>0.85</v>
      </c>
      <c r="Y5" s="44" t="inlineStr"/>
      <c r="Z5" s="41" t="inlineStr"/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34" t="inlineStr">
        <is>
          <t>%</t>
        </is>
      </c>
      <c r="F6" s="34" t="inlineStr">
        <is>
          <t>↑</t>
        </is>
      </c>
      <c r="G6" s="15" t="inlineStr">
        <is>
          <t>🟠 مهم</t>
        </is>
      </c>
      <c r="H6" s="42" t="n">
        <v>0.08</v>
      </c>
      <c r="I6" s="34" t="n">
        <v>1</v>
      </c>
      <c r="J6" s="34" t="n">
        <v>0.906</v>
      </c>
      <c r="K6" s="42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34" t="n">
        <v>0.8100000000000001</v>
      </c>
      <c r="T6" s="34" t="n">
        <v>0.858</v>
      </c>
      <c r="U6" s="34" t="n">
        <v>0.906</v>
      </c>
      <c r="V6" s="42" t="n">
        <v>0.1185</v>
      </c>
      <c r="W6" s="42" t="n">
        <v>1</v>
      </c>
      <c r="X6" s="42" t="n">
        <v>0.85</v>
      </c>
      <c r="Y6" s="44" t="inlineStr">
        <is>
          <t>قريب من المستهدف — فجوة 9٪، متابعة لإغلاقها.</t>
        </is>
      </c>
      <c r="Z6" s="41" t="inlineStr">
        <is>
          <t>متابعة أسبوعية حتى بلوغ المستهدف.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34" t="inlineStr">
        <is>
          <t>%</t>
        </is>
      </c>
      <c r="F7" s="34" t="inlineStr">
        <is>
          <t>↑</t>
        </is>
      </c>
      <c r="G7" s="15" t="inlineStr">
        <is>
          <t>🟠 مهم</t>
        </is>
      </c>
      <c r="H7" s="42" t="n">
        <v>0.08</v>
      </c>
      <c r="I7" s="34" t="n">
        <v>0.9</v>
      </c>
      <c r="J7" s="34" t="n">
        <v>0.9389999999999999</v>
      </c>
      <c r="K7" s="42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34" t="n">
        <v>0.777</v>
      </c>
      <c r="T7" s="34" t="n">
        <v>0.858</v>
      </c>
      <c r="U7" s="34" t="n">
        <v>0.9389999999999999</v>
      </c>
      <c r="V7" s="42" t="n">
        <v>0.2085</v>
      </c>
      <c r="W7" s="42" t="n">
        <v>1</v>
      </c>
      <c r="X7" s="42" t="n">
        <v>0.85</v>
      </c>
      <c r="Y7" s="44" t="inlineStr"/>
      <c r="Z7" s="41" t="inlineStr"/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34" t="inlineStr">
        <is>
          <t>%</t>
        </is>
      </c>
      <c r="F8" s="34" t="inlineStr">
        <is>
          <t>↑</t>
        </is>
      </c>
      <c r="G8" s="15" t="inlineStr">
        <is>
          <t>🔴 رئيسي</t>
        </is>
      </c>
      <c r="H8" s="42" t="n">
        <v>0.11</v>
      </c>
      <c r="I8" s="34" t="n">
        <v>0.9</v>
      </c>
      <c r="J8" s="34" t="n">
        <v>0.922</v>
      </c>
      <c r="K8" s="42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34" t="n">
        <v>0.769</v>
      </c>
      <c r="T8" s="34" t="n">
        <v>0.846</v>
      </c>
      <c r="U8" s="34" t="n">
        <v>0.922</v>
      </c>
      <c r="V8" s="42" t="n">
        <v>0.199</v>
      </c>
      <c r="W8" s="42" t="n">
        <v>0.9</v>
      </c>
      <c r="X8" s="42" t="n">
        <v>0.75</v>
      </c>
      <c r="Y8" s="44" t="inlineStr"/>
      <c r="Z8" s="41" t="inlineStr"/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34" t="inlineStr">
        <is>
          <t>نقطة</t>
        </is>
      </c>
      <c r="F9" s="34" t="inlineStr">
        <is>
          <t>↑</t>
        </is>
      </c>
      <c r="G9" s="15" t="inlineStr">
        <is>
          <t>🔴 رئيسي</t>
        </is>
      </c>
      <c r="H9" s="42" t="n">
        <v>0.11</v>
      </c>
      <c r="I9" s="34" t="n">
        <v>30</v>
      </c>
      <c r="J9" s="34" t="n">
        <v>22.5</v>
      </c>
      <c r="K9" s="42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34" t="n">
        <v>18.589</v>
      </c>
      <c r="T9" s="34" t="n">
        <v>20.544</v>
      </c>
      <c r="U9" s="34" t="n">
        <v>22.5</v>
      </c>
      <c r="V9" s="42" t="n">
        <v>0.2104</v>
      </c>
      <c r="W9" s="42" t="n">
        <v>0.9</v>
      </c>
      <c r="X9" s="42" t="n">
        <v>0.75</v>
      </c>
      <c r="Y9" s="44" t="inlineStr">
        <is>
          <t>قريب من المستهدف — فجوة 25٪، متابعة لإغلاقها.</t>
        </is>
      </c>
      <c r="Z9" s="41" t="inlineStr">
        <is>
          <t>متابعة أسبوعية حتى بلوغ المستهدف.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34" t="inlineStr">
        <is>
          <t>%</t>
        </is>
      </c>
      <c r="F10" s="34" t="inlineStr">
        <is>
          <t>↑</t>
        </is>
      </c>
      <c r="G10" s="15" t="inlineStr">
        <is>
          <t>🟠 مهم</t>
        </is>
      </c>
      <c r="H10" s="42" t="n">
        <v>0.08</v>
      </c>
      <c r="I10" s="34" t="n">
        <v>1</v>
      </c>
      <c r="J10" s="34" t="n">
        <v>0.85</v>
      </c>
      <c r="K10" s="42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34" t="n">
        <v>0.732</v>
      </c>
      <c r="T10" s="34" t="n">
        <v>0.791</v>
      </c>
      <c r="U10" s="34" t="n">
        <v>0.85</v>
      </c>
      <c r="V10" s="42" t="n">
        <v>0.1612</v>
      </c>
      <c r="W10" s="42" t="n">
        <v>1</v>
      </c>
      <c r="X10" s="42" t="n">
        <v>0.85</v>
      </c>
      <c r="Y10" s="44" t="inlineStr">
        <is>
          <t>قريب من المستهدف — فجوة 15٪، متابعة لإغلاقها.</t>
        </is>
      </c>
      <c r="Z10" s="41" t="inlineStr">
        <is>
          <t>متابعة أسبوعية حتى بلوغ المستهدف.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34" t="inlineStr">
        <is>
          <t>%</t>
        </is>
      </c>
      <c r="F11" s="34" t="inlineStr">
        <is>
          <t>↑</t>
        </is>
      </c>
      <c r="G11" s="15" t="inlineStr">
        <is>
          <t>🟠 مهم</t>
        </is>
      </c>
      <c r="H11" s="42" t="n">
        <v>0.08</v>
      </c>
      <c r="I11" s="34" t="n">
        <v>1</v>
      </c>
      <c r="J11" s="34" t="n">
        <v>0.749</v>
      </c>
      <c r="K11" s="42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34" t="n">
        <v>0.648</v>
      </c>
      <c r="T11" s="34" t="n">
        <v>0.699</v>
      </c>
      <c r="U11" s="34" t="n">
        <v>0.749</v>
      </c>
      <c r="V11" s="42" t="n">
        <v>0.1559</v>
      </c>
      <c r="W11" s="42" t="n">
        <v>1</v>
      </c>
      <c r="X11" s="42" t="n">
        <v>0.85</v>
      </c>
      <c r="Y11" s="45" t="inlineStr">
        <is>
          <t>دون المستهدف — فجوة 25٪، يتطلب إجراءً تصحيحياً عاجلاً.</t>
        </is>
      </c>
      <c r="Z11" s="41" t="inlineStr">
        <is>
          <t>إطلاق إجراء تصحيحي خلال 30 يوماً بإشراف الرئيس التنفيذي.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34" t="inlineStr">
        <is>
          <t>محطة</t>
        </is>
      </c>
      <c r="F12" s="34" t="inlineStr">
        <is>
          <t>↑</t>
        </is>
      </c>
      <c r="G12" s="15" t="inlineStr">
        <is>
          <t>🔴 رئيسي</t>
        </is>
      </c>
      <c r="H12" s="42" t="n">
        <v>0.04</v>
      </c>
      <c r="I12" s="34" t="n">
        <v>150</v>
      </c>
      <c r="J12" s="34" t="n">
        <v>110</v>
      </c>
      <c r="K12" s="42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34" t="n">
        <v>98.864</v>
      </c>
      <c r="T12" s="34" t="n">
        <v>104.432</v>
      </c>
      <c r="U12" s="34" t="n">
        <v>110</v>
      </c>
      <c r="V12" s="42" t="n">
        <v>0.1126</v>
      </c>
      <c r="W12" s="42" t="n">
        <v>1</v>
      </c>
      <c r="X12" s="42" t="n">
        <v>0.85</v>
      </c>
      <c r="Y12" s="45" t="inlineStr">
        <is>
          <t>دون المستهدف — فجوة 27٪، يتطلب إجراءً تصحيحياً عاجلاً.</t>
        </is>
      </c>
      <c r="Z12" s="41" t="inlineStr">
        <is>
          <t>إطلاق إجراء تصحيحي خلال 30 يوماً بإشراف مدير الامتياز.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34" t="inlineStr">
        <is>
          <t>عقد</t>
        </is>
      </c>
      <c r="F13" s="34" t="inlineStr">
        <is>
          <t>↑</t>
        </is>
      </c>
      <c r="G13" s="15" t="inlineStr">
        <is>
          <t>🔴 رئيسي</t>
        </is>
      </c>
      <c r="H13" s="42" t="n">
        <v>0.04</v>
      </c>
      <c r="I13" s="34" t="n">
        <v>167</v>
      </c>
      <c r="J13" s="34" t="n">
        <v>159.2</v>
      </c>
      <c r="K13" s="42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34" t="n">
        <v>146.235</v>
      </c>
      <c r="T13" s="34" t="n">
        <v>152.718</v>
      </c>
      <c r="U13" s="34" t="n">
        <v>318.4</v>
      </c>
      <c r="V13" s="42" t="n">
        <v>0.0887</v>
      </c>
      <c r="W13" s="42" t="n">
        <v>1</v>
      </c>
      <c r="X13" s="42" t="n">
        <v>0.85</v>
      </c>
      <c r="Y13" s="44" t="inlineStr">
        <is>
          <t>قريب من المستهدف — فجوة 5٪، متابعة لإغلاقها.</t>
        </is>
      </c>
      <c r="Z13" s="41" t="inlineStr">
        <is>
          <t>متابعة أسبوعية حتى بلوغ المستهدف.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34" t="inlineStr">
        <is>
          <t>لتر</t>
        </is>
      </c>
      <c r="F14" s="34" t="inlineStr">
        <is>
          <t>↑</t>
        </is>
      </c>
      <c r="G14" s="15" t="inlineStr">
        <is>
          <t>🔴 رئيسي</t>
        </is>
      </c>
      <c r="H14" s="42" t="n">
        <v>0.04</v>
      </c>
      <c r="I14" s="34" t="n">
        <v>718838077</v>
      </c>
      <c r="J14" s="34" t="n">
        <v>576630340</v>
      </c>
      <c r="K14" s="42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34" t="n">
        <v>487460224.222</v>
      </c>
      <c r="T14" s="34" t="n">
        <v>532045282.111</v>
      </c>
      <c r="U14" s="34" t="n">
        <v>1153260680</v>
      </c>
      <c r="V14" s="42" t="n">
        <v>0.1829</v>
      </c>
      <c r="W14" s="42" t="n">
        <v>1</v>
      </c>
      <c r="X14" s="42" t="n">
        <v>0.85</v>
      </c>
      <c r="Y14" s="45" t="inlineStr">
        <is>
          <t>دون المستهدف — فجوة 20٪، يتطلب إجراءً تصحيحياً عاجلاً.</t>
        </is>
      </c>
      <c r="Z14" s="41" t="inlineStr">
        <is>
          <t>إطلاق إجراء تصحيحي خلال 30 يوماً بإشراف مدير الامتياز.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34" t="inlineStr">
        <is>
          <t>%</t>
        </is>
      </c>
      <c r="F15" s="34" t="inlineStr">
        <is>
          <t>↑</t>
        </is>
      </c>
      <c r="G15" s="15" t="inlineStr">
        <is>
          <t>🔴 رئيسي</t>
        </is>
      </c>
      <c r="H15" s="42" t="n">
        <v>0.04</v>
      </c>
      <c r="I15" s="34" t="n">
        <v>0.9</v>
      </c>
      <c r="J15" s="34" t="n">
        <v>0.788</v>
      </c>
      <c r="K15" s="42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34" t="n">
        <v>0.725</v>
      </c>
      <c r="T15" s="34" t="n">
        <v>0.756</v>
      </c>
      <c r="U15" s="34" t="n">
        <v>0.788</v>
      </c>
      <c r="V15" s="42" t="n">
        <v>0.08690000000000001</v>
      </c>
      <c r="W15" s="42" t="n">
        <v>1</v>
      </c>
      <c r="X15" s="42" t="n">
        <v>0.85</v>
      </c>
      <c r="Y15" s="44" t="inlineStr">
        <is>
          <t>قريب من المستهدف — فجوة 12٪، متابعة لإغلاقها.</t>
        </is>
      </c>
      <c r="Z15" s="41" t="inlineStr">
        <is>
          <t>متابعة أسبوعية حتى بلوغ المستهدف.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34" t="inlineStr">
        <is>
          <t>لتر/محطة</t>
        </is>
      </c>
      <c r="F16" s="34" t="inlineStr">
        <is>
          <t>↑</t>
        </is>
      </c>
      <c r="G16" s="15" t="inlineStr">
        <is>
          <t>🔴 رئيسي</t>
        </is>
      </c>
      <c r="H16" s="42" t="n">
        <v>0.04</v>
      </c>
      <c r="I16" s="34" t="n"/>
      <c r="J16" s="34" t="n"/>
      <c r="K16" s="42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34" t="n"/>
      <c r="T16" s="34" t="n"/>
      <c r="U16" s="34" t="n"/>
      <c r="V16" s="42" t="n"/>
      <c r="W16" s="42" t="n">
        <v>1</v>
      </c>
      <c r="X16" s="42" t="n">
        <v>0.85</v>
      </c>
      <c r="Y16" s="44" t="inlineStr"/>
      <c r="Z16" s="41" t="inlineStr"/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34" t="inlineStr">
        <is>
          <t>%</t>
        </is>
      </c>
      <c r="F17" s="34" t="inlineStr">
        <is>
          <t>↑</t>
        </is>
      </c>
      <c r="G17" s="15" t="inlineStr">
        <is>
          <t>🟠 مهم</t>
        </is>
      </c>
      <c r="H17" s="42" t="n">
        <v>0.03</v>
      </c>
      <c r="I17" s="34" t="n">
        <v>0.7</v>
      </c>
      <c r="J17" s="34" t="n">
        <v>0.709</v>
      </c>
      <c r="K17" s="42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34" t="n">
        <v>0.597</v>
      </c>
      <c r="T17" s="34" t="n">
        <v>0.653</v>
      </c>
      <c r="U17" s="34" t="n">
        <v>0.709</v>
      </c>
      <c r="V17" s="42" t="n">
        <v>0.1876</v>
      </c>
      <c r="W17" s="42" t="n">
        <v>1</v>
      </c>
      <c r="X17" s="42" t="n">
        <v>0.85</v>
      </c>
      <c r="Y17" s="44" t="inlineStr"/>
      <c r="Z17" s="41" t="inlineStr"/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34" t="inlineStr">
        <is>
          <t>ر.س</t>
        </is>
      </c>
      <c r="F18" s="34" t="inlineStr">
        <is>
          <t>↑</t>
        </is>
      </c>
      <c r="G18" s="15" t="inlineStr">
        <is>
          <t>🔴 رئيسي</t>
        </is>
      </c>
      <c r="H18" s="42" t="n">
        <v>0.04</v>
      </c>
      <c r="I18" s="34" t="n"/>
      <c r="J18" s="34" t="n"/>
      <c r="K18" s="42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34" t="n"/>
      <c r="T18" s="34" t="n"/>
      <c r="U18" s="34" t="n"/>
      <c r="V18" s="42" t="n"/>
      <c r="W18" s="42" t="n">
        <v>1</v>
      </c>
      <c r="X18" s="42" t="n">
        <v>0.85</v>
      </c>
      <c r="Y18" s="44" t="inlineStr"/>
      <c r="Z18" s="41" t="inlineStr"/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34" t="inlineStr">
        <is>
          <t>هللة/لتر</t>
        </is>
      </c>
      <c r="F19" s="34" t="inlineStr">
        <is>
          <t>↑</t>
        </is>
      </c>
      <c r="G19" s="15" t="inlineStr">
        <is>
          <t>🟠 مهم</t>
        </is>
      </c>
      <c r="H19" s="42" t="n">
        <v>0.03</v>
      </c>
      <c r="I19" s="34" t="n">
        <v>1.8</v>
      </c>
      <c r="J19" s="34" t="n">
        <v>1.564</v>
      </c>
      <c r="K19" s="42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34" t="n">
        <v>1.271</v>
      </c>
      <c r="T19" s="34" t="n">
        <v>1.417</v>
      </c>
      <c r="U19" s="34" t="n">
        <v>1.564</v>
      </c>
      <c r="V19" s="42" t="n">
        <v>0.2305</v>
      </c>
      <c r="W19" s="42" t="n">
        <v>1</v>
      </c>
      <c r="X19" s="42" t="n">
        <v>0.85</v>
      </c>
      <c r="Y19" s="44" t="inlineStr">
        <is>
          <t>قريب من المستهدف — فجوة 13٪، متابعة لإغلاقها.</t>
        </is>
      </c>
      <c r="Z19" s="41" t="inlineStr">
        <is>
          <t>متابعة أسبوعية حتى بلوغ المستهدف.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34" t="inlineStr">
        <is>
          <t>%</t>
        </is>
      </c>
      <c r="F20" s="34" t="inlineStr">
        <is>
          <t>↑</t>
        </is>
      </c>
      <c r="G20" s="15" t="inlineStr">
        <is>
          <t>🔴 رئيسي</t>
        </is>
      </c>
      <c r="H20" s="42" t="n">
        <v>0.04</v>
      </c>
      <c r="I20" s="34" t="n">
        <v>0.95</v>
      </c>
      <c r="J20" s="34" t="n">
        <v>0.8120000000000001</v>
      </c>
      <c r="K20" s="42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34" t="n">
        <v>0.698</v>
      </c>
      <c r="T20" s="34" t="n">
        <v>0.755</v>
      </c>
      <c r="U20" s="34" t="n">
        <v>0.8120000000000001</v>
      </c>
      <c r="V20" s="42" t="n">
        <v>0.1633</v>
      </c>
      <c r="W20" s="42" t="n">
        <v>1</v>
      </c>
      <c r="X20" s="42" t="n">
        <v>0.85</v>
      </c>
      <c r="Y20" s="44" t="inlineStr">
        <is>
          <t>قريب من المستهدف — فجوة 15٪، متابعة لإغلاقها.</t>
        </is>
      </c>
      <c r="Z20" s="41" t="inlineStr">
        <is>
          <t>متابعة أسبوعية حتى بلوغ المستهدف.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34" t="inlineStr">
        <is>
          <t>يوم</t>
        </is>
      </c>
      <c r="F21" s="34" t="inlineStr">
        <is>
          <t>↓</t>
        </is>
      </c>
      <c r="G21" s="15" t="inlineStr">
        <is>
          <t>🔴 رئيسي</t>
        </is>
      </c>
      <c r="H21" s="42" t="n">
        <v>0.04</v>
      </c>
      <c r="I21" s="34" t="n">
        <v>30</v>
      </c>
      <c r="J21" s="34" t="n">
        <v>26.2</v>
      </c>
      <c r="K21" s="42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34" t="n">
        <v>31.286</v>
      </c>
      <c r="T21" s="34" t="n">
        <v>28.743</v>
      </c>
      <c r="U21" s="34" t="n">
        <v>26.2</v>
      </c>
      <c r="V21" s="42" t="n">
        <v>-0.1626</v>
      </c>
      <c r="W21" s="42" t="n">
        <v>1</v>
      </c>
      <c r="X21" s="42" t="n">
        <v>0.85</v>
      </c>
      <c r="Y21" s="44" t="inlineStr"/>
      <c r="Z21" s="41" t="inlineStr"/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34" t="inlineStr">
        <is>
          <t>ر.س</t>
        </is>
      </c>
      <c r="F22" s="34" t="inlineStr">
        <is>
          <t>↓</t>
        </is>
      </c>
      <c r="G22" s="15" t="inlineStr">
        <is>
          <t>🟠 مهم</t>
        </is>
      </c>
      <c r="H22" s="42" t="n">
        <v>0.03</v>
      </c>
      <c r="I22" s="34" t="n"/>
      <c r="J22" s="34" t="n"/>
      <c r="K22" s="42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34" t="n"/>
      <c r="T22" s="34" t="n"/>
      <c r="U22" s="34" t="n"/>
      <c r="V22" s="42" t="n"/>
      <c r="W22" s="42" t="n">
        <v>1</v>
      </c>
      <c r="X22" s="42" t="n">
        <v>0.85</v>
      </c>
      <c r="Y22" s="44" t="inlineStr"/>
      <c r="Z22" s="41" t="inlineStr"/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34" t="inlineStr">
        <is>
          <t>%</t>
        </is>
      </c>
      <c r="F23" s="34" t="inlineStr">
        <is>
          <t>↑</t>
        </is>
      </c>
      <c r="G23" s="15" t="inlineStr">
        <is>
          <t>🟠 مهم</t>
        </is>
      </c>
      <c r="H23" s="42" t="n">
        <v>0.03</v>
      </c>
      <c r="I23" s="34" t="n">
        <v>0.9</v>
      </c>
      <c r="J23" s="34" t="n">
        <v>0.705</v>
      </c>
      <c r="K23" s="42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34" t="n">
        <v>0.643</v>
      </c>
      <c r="T23" s="34" t="n">
        <v>0.674</v>
      </c>
      <c r="U23" s="34" t="n">
        <v>0.705</v>
      </c>
      <c r="V23" s="42" t="n">
        <v>0.0964</v>
      </c>
      <c r="W23" s="42" t="n">
        <v>1</v>
      </c>
      <c r="X23" s="42" t="n">
        <v>0.85</v>
      </c>
      <c r="Y23" s="45" t="inlineStr">
        <is>
          <t>دون المستهدف — فجوة 22٪، يتطلب إجراءً تصحيحياً عاجلاً.</t>
        </is>
      </c>
      <c r="Z23" s="41" t="inlineStr">
        <is>
          <t>إطلاق إجراء تصحيحي خلال 30 يوماً بإشراف مدير الامتياز.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34" t="inlineStr">
        <is>
          <t>يوم</t>
        </is>
      </c>
      <c r="F24" s="34" t="inlineStr">
        <is>
          <t>↓</t>
        </is>
      </c>
      <c r="G24" s="15" t="inlineStr">
        <is>
          <t>🟠 مهم</t>
        </is>
      </c>
      <c r="H24" s="42" t="n">
        <v>0.03</v>
      </c>
      <c r="I24" s="34" t="n">
        <v>5</v>
      </c>
      <c r="J24" s="34" t="n">
        <v>4.329</v>
      </c>
      <c r="K24" s="42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34" t="n">
        <v>4.845</v>
      </c>
      <c r="T24" s="34" t="n">
        <v>4.587</v>
      </c>
      <c r="U24" s="34" t="n">
        <v>4.329</v>
      </c>
      <c r="V24" s="42" t="n">
        <v>-0.1065</v>
      </c>
      <c r="W24" s="42" t="n">
        <v>1</v>
      </c>
      <c r="X24" s="42" t="n">
        <v>0.85</v>
      </c>
      <c r="Y24" s="44" t="inlineStr"/>
      <c r="Z24" s="41" t="inlineStr"/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34" t="inlineStr">
        <is>
          <t>%</t>
        </is>
      </c>
      <c r="F25" s="34" t="inlineStr">
        <is>
          <t>↑</t>
        </is>
      </c>
      <c r="G25" s="15" t="inlineStr">
        <is>
          <t>🔴 رئيسي</t>
        </is>
      </c>
      <c r="H25" s="42" t="n">
        <v>0.04</v>
      </c>
      <c r="I25" s="34" t="n">
        <v>0.99</v>
      </c>
      <c r="J25" s="34" t="n">
        <v>1</v>
      </c>
      <c r="K25" s="42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34" t="n">
        <v>0.915</v>
      </c>
      <c r="T25" s="34" t="n">
        <v>0.958</v>
      </c>
      <c r="U25" s="34" t="n">
        <v>1</v>
      </c>
      <c r="V25" s="42" t="n">
        <v>0.0929</v>
      </c>
      <c r="W25" s="42" t="n">
        <v>1</v>
      </c>
      <c r="X25" s="42" t="n">
        <v>0.97</v>
      </c>
      <c r="Y25" s="44" t="inlineStr"/>
      <c r="Z25" s="41" t="inlineStr"/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34" t="inlineStr">
        <is>
          <t>حالة</t>
        </is>
      </c>
      <c r="F26" s="34" t="inlineStr">
        <is>
          <t>↓</t>
        </is>
      </c>
      <c r="G26" s="15" t="inlineStr">
        <is>
          <t>🟠 مهم</t>
        </is>
      </c>
      <c r="H26" s="42" t="n">
        <v>0.03</v>
      </c>
      <c r="I26" s="34" t="n">
        <v>0</v>
      </c>
      <c r="J26" s="34" t="n"/>
      <c r="K26" s="42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34" t="n"/>
      <c r="T26" s="34" t="n"/>
      <c r="U26" s="34" t="n"/>
      <c r="V26" s="42" t="n"/>
      <c r="W26" s="42" t="n">
        <v>1</v>
      </c>
      <c r="X26" s="42" t="n">
        <v>0.85</v>
      </c>
      <c r="Y26" s="44" t="inlineStr"/>
      <c r="Z26" s="41" t="inlineStr"/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34" t="inlineStr">
        <is>
          <t>%</t>
        </is>
      </c>
      <c r="F27" s="34" t="inlineStr">
        <is>
          <t>↑</t>
        </is>
      </c>
      <c r="G27" s="15" t="inlineStr">
        <is>
          <t>🟠 مهم</t>
        </is>
      </c>
      <c r="H27" s="42" t="n">
        <v>0.03</v>
      </c>
      <c r="I27" s="34" t="n">
        <v>0.95</v>
      </c>
      <c r="J27" s="34" t="n">
        <v>0.879</v>
      </c>
      <c r="K27" s="42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34" t="n">
        <v>0.8</v>
      </c>
      <c r="T27" s="34" t="n">
        <v>0.84</v>
      </c>
      <c r="U27" s="34" t="n">
        <v>0.879</v>
      </c>
      <c r="V27" s="42" t="n">
        <v>0.0987</v>
      </c>
      <c r="W27" s="42" t="n">
        <v>1</v>
      </c>
      <c r="X27" s="42" t="n">
        <v>0.85</v>
      </c>
      <c r="Y27" s="44" t="inlineStr">
        <is>
          <t>قريب من المستهدف — فجوة 7٪، متابعة لإغلاقها.</t>
        </is>
      </c>
      <c r="Z27" s="41" t="inlineStr">
        <is>
          <t>متابعة أسبوعية حتى بلوغ المستهدف.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34" t="inlineStr">
        <is>
          <t>درجة/100</t>
        </is>
      </c>
      <c r="F28" s="34" t="inlineStr">
        <is>
          <t>↑</t>
        </is>
      </c>
      <c r="G28" s="15" t="inlineStr">
        <is>
          <t>🔴 رئيسي</t>
        </is>
      </c>
      <c r="H28" s="42" t="n">
        <v>0.04</v>
      </c>
      <c r="I28" s="34" t="n">
        <v>85</v>
      </c>
      <c r="J28" s="34" t="n">
        <v>78.8</v>
      </c>
      <c r="K28" s="42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34" t="n">
        <v>72.32599999999999</v>
      </c>
      <c r="T28" s="34" t="n">
        <v>75.563</v>
      </c>
      <c r="U28" s="34" t="n">
        <v>78.8</v>
      </c>
      <c r="V28" s="42" t="n">
        <v>0.0895</v>
      </c>
      <c r="W28" s="42" t="n">
        <v>1</v>
      </c>
      <c r="X28" s="42" t="n">
        <v>0.85</v>
      </c>
      <c r="Y28" s="44" t="inlineStr">
        <is>
          <t>قريب من المستهدف — فجوة 7٪، متابعة لإغلاقها.</t>
        </is>
      </c>
      <c r="Z28" s="41" t="inlineStr">
        <is>
          <t>متابعة أسبوعية حتى بلوغ المستهدف.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34" t="inlineStr">
        <is>
          <t>%</t>
        </is>
      </c>
      <c r="F29" s="34" t="inlineStr">
        <is>
          <t>↑</t>
        </is>
      </c>
      <c r="G29" s="15" t="inlineStr">
        <is>
          <t>🟠 مهم</t>
        </is>
      </c>
      <c r="H29" s="42" t="n">
        <v>0.03</v>
      </c>
      <c r="I29" s="34" t="n">
        <v>1</v>
      </c>
      <c r="J29" s="34" t="n">
        <v>1.034</v>
      </c>
      <c r="K29" s="42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34" t="n">
        <v>0.859</v>
      </c>
      <c r="T29" s="34" t="n">
        <v>0.947</v>
      </c>
      <c r="U29" s="34" t="n">
        <v>1.034</v>
      </c>
      <c r="V29" s="42" t="n">
        <v>0.2037</v>
      </c>
      <c r="W29" s="42" t="n">
        <v>1</v>
      </c>
      <c r="X29" s="42" t="n">
        <v>0.85</v>
      </c>
      <c r="Y29" s="44" t="inlineStr"/>
      <c r="Z29" s="41" t="inlineStr"/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34" t="inlineStr">
        <is>
          <t>%</t>
        </is>
      </c>
      <c r="F30" s="34" t="inlineStr">
        <is>
          <t>↑</t>
        </is>
      </c>
      <c r="G30" s="15" t="inlineStr">
        <is>
          <t>🔴 رئيسي</t>
        </is>
      </c>
      <c r="H30" s="42" t="n">
        <v>0.04</v>
      </c>
      <c r="I30" s="34" t="n">
        <v>1</v>
      </c>
      <c r="J30" s="34" t="n">
        <v>0.911</v>
      </c>
      <c r="K30" s="42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34" t="n">
        <v>0.832</v>
      </c>
      <c r="T30" s="34" t="n">
        <v>0.871</v>
      </c>
      <c r="U30" s="34" t="n">
        <v>0.911</v>
      </c>
      <c r="V30" s="42" t="n">
        <v>0.095</v>
      </c>
      <c r="W30" s="42" t="n">
        <v>1</v>
      </c>
      <c r="X30" s="42" t="n">
        <v>0.97</v>
      </c>
      <c r="Y30" s="45" t="inlineStr">
        <is>
          <t>دون المستهدف — فجوة 9٪، يتطلب إجراءً تصحيحياً عاجلاً.</t>
        </is>
      </c>
      <c r="Z30" s="41" t="inlineStr">
        <is>
          <t>إطلاق إجراء تصحيحي خلال 30 يوماً بإشراف مدير الامتياز.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34" t="inlineStr">
        <is>
          <t>ساعة</t>
        </is>
      </c>
      <c r="F31" s="34" t="inlineStr">
        <is>
          <t>↓</t>
        </is>
      </c>
      <c r="G31" s="15" t="inlineStr">
        <is>
          <t>🟠 مهم</t>
        </is>
      </c>
      <c r="H31" s="42" t="n">
        <v>0.03</v>
      </c>
      <c r="I31" s="34" t="n">
        <v>24</v>
      </c>
      <c r="J31" s="34" t="n">
        <v>26.2</v>
      </c>
      <c r="K31" s="42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34" t="n">
        <v>31.333</v>
      </c>
      <c r="T31" s="34" t="n">
        <v>28.767</v>
      </c>
      <c r="U31" s="34" t="n">
        <v>26.2</v>
      </c>
      <c r="V31" s="42" t="n">
        <v>-0.1638</v>
      </c>
      <c r="W31" s="42" t="n">
        <v>1</v>
      </c>
      <c r="X31" s="42" t="n">
        <v>0.85</v>
      </c>
      <c r="Y31" s="44" t="inlineStr">
        <is>
          <t>قريب من المستهدف — فجوة 8٪، متابعة لإغلاقها.</t>
        </is>
      </c>
      <c r="Z31" s="41" t="inlineStr">
        <is>
          <t>متابعة أسبوعية حتى بلوغ المستهدف.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34" t="inlineStr">
        <is>
          <t>%</t>
        </is>
      </c>
      <c r="F32" s="34" t="inlineStr">
        <is>
          <t>↑</t>
        </is>
      </c>
      <c r="G32" s="15" t="inlineStr">
        <is>
          <t>🔴 رئيسي</t>
        </is>
      </c>
      <c r="H32" s="42" t="n">
        <v>0.04</v>
      </c>
      <c r="I32" s="34" t="n">
        <v>0.9</v>
      </c>
      <c r="J32" s="34" t="n">
        <v>0.674</v>
      </c>
      <c r="K32" s="42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34" t="n">
        <v>0.601</v>
      </c>
      <c r="T32" s="34" t="n">
        <v>0.637</v>
      </c>
      <c r="U32" s="34" t="n">
        <v>0.674</v>
      </c>
      <c r="V32" s="42" t="n">
        <v>0.1215</v>
      </c>
      <c r="W32" s="42" t="n">
        <v>1</v>
      </c>
      <c r="X32" s="42" t="n">
        <v>0.85</v>
      </c>
      <c r="Y32" s="45" t="inlineStr">
        <is>
          <t>دون المستهدف — فجوة 25٪، يتطلب إجراءً تصحيحياً عاجلاً.</t>
        </is>
      </c>
      <c r="Z32" s="41" t="inlineStr">
        <is>
          <t>إطلاق إجراء تصحيحي خلال 30 يوماً بإشراف مدير الامتياز.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34" t="inlineStr">
        <is>
          <t>%</t>
        </is>
      </c>
      <c r="F33" s="34" t="inlineStr">
        <is>
          <t>↑</t>
        </is>
      </c>
      <c r="G33" s="15" t="inlineStr">
        <is>
          <t>🟡 متابعة</t>
        </is>
      </c>
      <c r="H33" s="42" t="n">
        <v>0.01</v>
      </c>
      <c r="I33" s="34" t="n">
        <v>0.3</v>
      </c>
      <c r="J33" s="34" t="n">
        <v>0.299</v>
      </c>
      <c r="K33" s="42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34" t="n">
        <v>0.273</v>
      </c>
      <c r="T33" s="34" t="n">
        <v>0.286</v>
      </c>
      <c r="U33" s="34" t="n">
        <v>0.299</v>
      </c>
      <c r="V33" s="42" t="n">
        <v>0.09520000000000001</v>
      </c>
      <c r="W33" s="42" t="n">
        <v>1</v>
      </c>
      <c r="X33" s="42" t="n">
        <v>0.85</v>
      </c>
      <c r="Y33" s="44" t="inlineStr">
        <is>
          <t>قريب من المستهدف — فجوة 0٪، متابعة لإغلاقها.</t>
        </is>
      </c>
      <c r="Z33" s="41" t="inlineStr">
        <is>
          <t>متابعة أسبوعية حتى بلوغ المستهدف.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34" t="inlineStr">
        <is>
          <t>%</t>
        </is>
      </c>
      <c r="F34" s="34" t="inlineStr">
        <is>
          <t>↑</t>
        </is>
      </c>
      <c r="G34" s="15" t="inlineStr">
        <is>
          <t>🔴 رئيسي</t>
        </is>
      </c>
      <c r="H34" s="42" t="n">
        <v>0.04</v>
      </c>
      <c r="I34" s="34" t="n">
        <v>0.55</v>
      </c>
      <c r="J34" s="34" t="n">
        <v>0.44</v>
      </c>
      <c r="K34" s="42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34" t="n">
        <v>0.402</v>
      </c>
      <c r="T34" s="34" t="n">
        <v>0.421</v>
      </c>
      <c r="U34" s="34" t="n">
        <v>0.44</v>
      </c>
      <c r="V34" s="42" t="n">
        <v>0.0945</v>
      </c>
      <c r="W34" s="42" t="n">
        <v>1</v>
      </c>
      <c r="X34" s="42" t="n">
        <v>0.85</v>
      </c>
      <c r="Y34" s="45" t="inlineStr">
        <is>
          <t>دون المستهدف — فجوة 20٪، يتطلب إجراءً تصحيحياً عاجلاً.</t>
        </is>
      </c>
      <c r="Z34" s="41" t="inlineStr">
        <is>
          <t>إطلاق إجراء تصحيحي خلال 30 يوماً بإشراف مدير الامتياز.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34" t="inlineStr">
        <is>
          <t>نجمة/5</t>
        </is>
      </c>
      <c r="F35" s="34" t="inlineStr">
        <is>
          <t>↑</t>
        </is>
      </c>
      <c r="G35" s="15" t="inlineStr">
        <is>
          <t>🔴 رئيسي</t>
        </is>
      </c>
      <c r="H35" s="42" t="n">
        <v>0.04</v>
      </c>
      <c r="I35" s="34" t="n">
        <v>4.7</v>
      </c>
      <c r="J35" s="34" t="n">
        <v>3.474</v>
      </c>
      <c r="K35" s="42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34" t="n">
        <v>2.826</v>
      </c>
      <c r="T35" s="34" t="n">
        <v>3.15</v>
      </c>
      <c r="U35" s="34" t="n">
        <v>3.474</v>
      </c>
      <c r="V35" s="42" t="n">
        <v>0.2293</v>
      </c>
      <c r="W35" s="42" t="n">
        <v>1</v>
      </c>
      <c r="X35" s="42" t="n">
        <v>0.85</v>
      </c>
      <c r="Y35" s="45" t="inlineStr">
        <is>
          <t>دون المستهدف — فجوة 26٪، يتطلب إجراءً تصحيحياً عاجلاً.</t>
        </is>
      </c>
      <c r="Z35" s="41" t="inlineStr">
        <is>
          <t>إطلاق إجراء تصحيحي خلال 30 يوماً بإشراف مدير الامتياز.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34" t="inlineStr">
        <is>
          <t>%</t>
        </is>
      </c>
      <c r="F36" s="34" t="inlineStr">
        <is>
          <t>↑</t>
        </is>
      </c>
      <c r="G36" s="15" t="inlineStr">
        <is>
          <t>🔴 رئيسي</t>
        </is>
      </c>
      <c r="H36" s="42" t="n">
        <v>0.04</v>
      </c>
      <c r="I36" s="34" t="n">
        <v>0.9</v>
      </c>
      <c r="J36" s="34" t="n">
        <v>0.837</v>
      </c>
      <c r="K36" s="42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34" t="n">
        <v>0.678</v>
      </c>
      <c r="T36" s="34" t="n">
        <v>0.758</v>
      </c>
      <c r="U36" s="34" t="n">
        <v>0.837</v>
      </c>
      <c r="V36" s="42" t="n">
        <v>0.2345</v>
      </c>
      <c r="W36" s="42" t="n">
        <v>0.9</v>
      </c>
      <c r="X36" s="42" t="n">
        <v>0.75</v>
      </c>
      <c r="Y36" s="44" t="inlineStr"/>
      <c r="Z36" s="41" t="inlineStr"/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34" t="inlineStr">
        <is>
          <t>%</t>
        </is>
      </c>
      <c r="F37" s="34" t="inlineStr">
        <is>
          <t>↑</t>
        </is>
      </c>
      <c r="G37" s="15" t="inlineStr">
        <is>
          <t>🟠 مهم</t>
        </is>
      </c>
      <c r="H37" s="42" t="n">
        <v>0.02</v>
      </c>
      <c r="I37" s="34" t="n">
        <v>0.95</v>
      </c>
      <c r="J37" s="34" t="n">
        <v>0.922</v>
      </c>
      <c r="K37" s="42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34" t="n">
        <v>0.783</v>
      </c>
      <c r="T37" s="34" t="n">
        <v>0.853</v>
      </c>
      <c r="U37" s="34" t="n">
        <v>0.922</v>
      </c>
      <c r="V37" s="42" t="n">
        <v>0.1775</v>
      </c>
      <c r="W37" s="42" t="n">
        <v>1</v>
      </c>
      <c r="X37" s="42" t="n">
        <v>0.85</v>
      </c>
      <c r="Y37" s="44" t="inlineStr">
        <is>
          <t>قريب من المستهدف — فجوة 3٪، متابعة لإغلاقها.</t>
        </is>
      </c>
      <c r="Z37" s="41" t="inlineStr">
        <is>
          <t>متابعة أسبوعية حتى بلوغ المستهدف.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34" t="inlineStr">
        <is>
          <t>%</t>
        </is>
      </c>
      <c r="F38" s="34" t="inlineStr">
        <is>
          <t>↑</t>
        </is>
      </c>
      <c r="G38" s="15" t="inlineStr">
        <is>
          <t>🟠 مهم</t>
        </is>
      </c>
      <c r="H38" s="42" t="n">
        <v>0.02</v>
      </c>
      <c r="I38" s="34" t="n"/>
      <c r="J38" s="34" t="n"/>
      <c r="K38" s="42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34" t="n"/>
      <c r="T38" s="34" t="n"/>
      <c r="U38" s="34" t="n"/>
      <c r="V38" s="42" t="n"/>
      <c r="W38" s="42" t="n">
        <v>1</v>
      </c>
      <c r="X38" s="42" t="n">
        <v>0.85</v>
      </c>
      <c r="Y38" s="44" t="inlineStr"/>
      <c r="Z38" s="41" t="inlineStr"/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34" t="inlineStr">
        <is>
          <t>%</t>
        </is>
      </c>
      <c r="F39" s="34" t="inlineStr">
        <is>
          <t>↑</t>
        </is>
      </c>
      <c r="G39" s="15" t="inlineStr">
        <is>
          <t>🟠 مهم</t>
        </is>
      </c>
      <c r="H39" s="42" t="n">
        <v>0.02</v>
      </c>
      <c r="I39" s="34" t="n">
        <v>0.9</v>
      </c>
      <c r="J39" s="34" t="n">
        <v>0.853</v>
      </c>
      <c r="K39" s="42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34" t="n">
        <v>0.6909999999999999</v>
      </c>
      <c r="T39" s="34" t="n">
        <v>0.772</v>
      </c>
      <c r="U39" s="34" t="n">
        <v>0.853</v>
      </c>
      <c r="V39" s="42" t="n">
        <v>0.2344</v>
      </c>
      <c r="W39" s="42" t="n">
        <v>1</v>
      </c>
      <c r="X39" s="42" t="n">
        <v>0.85</v>
      </c>
      <c r="Y39" s="44" t="inlineStr">
        <is>
          <t>قريب من المستهدف — فجوة 5٪، متابعة لإغلاقها.</t>
        </is>
      </c>
      <c r="Z39" s="41" t="inlineStr">
        <is>
          <t>متابعة أسبوعية حتى بلوغ المستهدف.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34" t="inlineStr">
        <is>
          <t>%</t>
        </is>
      </c>
      <c r="F40" s="34" t="inlineStr">
        <is>
          <t>↑</t>
        </is>
      </c>
      <c r="G40" s="15" t="inlineStr">
        <is>
          <t>🟠 مهم</t>
        </is>
      </c>
      <c r="H40" s="42" t="n">
        <v>0.02</v>
      </c>
      <c r="I40" s="34" t="n">
        <v>1</v>
      </c>
      <c r="J40" s="34" t="n">
        <v>0.8100000000000001</v>
      </c>
      <c r="K40" s="42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34" t="n">
        <v>0.728</v>
      </c>
      <c r="T40" s="34" t="n">
        <v>0.769</v>
      </c>
      <c r="U40" s="34" t="n">
        <v>0.8100000000000001</v>
      </c>
      <c r="V40" s="42" t="n">
        <v>0.1126</v>
      </c>
      <c r="W40" s="42" t="n">
        <v>1</v>
      </c>
      <c r="X40" s="42" t="n">
        <v>0.85</v>
      </c>
      <c r="Y40" s="45" t="inlineStr">
        <is>
          <t>دون المستهدف — فجوة 19٪، يتطلب إجراءً تصحيحياً عاجلاً.</t>
        </is>
      </c>
      <c r="Z40" s="41" t="inlineStr">
        <is>
          <t>إطلاق إجراء تصحيحي خلال 30 يوماً بإشراف مدير الامتياز.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34" t="inlineStr">
        <is>
          <t>أسبوع</t>
        </is>
      </c>
      <c r="F41" s="34" t="inlineStr">
        <is>
          <t>↓</t>
        </is>
      </c>
      <c r="G41" s="15" t="inlineStr">
        <is>
          <t>🔴 رئيسي</t>
        </is>
      </c>
      <c r="H41" s="42" t="n">
        <v>0.04</v>
      </c>
      <c r="I41" s="34" t="n">
        <v>1</v>
      </c>
      <c r="J41" s="34" t="n">
        <v>0.899</v>
      </c>
      <c r="K41" s="42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34" t="n">
        <v>0.983</v>
      </c>
      <c r="T41" s="34" t="n">
        <v>0.9409999999999999</v>
      </c>
      <c r="U41" s="34" t="n">
        <v>0.899</v>
      </c>
      <c r="V41" s="42" t="n">
        <v>-0.08550000000000001</v>
      </c>
      <c r="W41" s="42" t="n">
        <v>1</v>
      </c>
      <c r="X41" s="42" t="n">
        <v>0.85</v>
      </c>
      <c r="Y41" s="44" t="inlineStr"/>
      <c r="Z41" s="41" t="inlineStr"/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34" t="inlineStr">
        <is>
          <t>محطة</t>
        </is>
      </c>
      <c r="F42" s="34" t="inlineStr">
        <is>
          <t>↑</t>
        </is>
      </c>
      <c r="G42" s="15" t="inlineStr">
        <is>
          <t>🔴 رئيسي</t>
        </is>
      </c>
      <c r="H42" s="42" t="n">
        <v>0.08</v>
      </c>
      <c r="I42" s="34" t="n">
        <v>85</v>
      </c>
      <c r="J42" s="34" t="n">
        <v>78.5</v>
      </c>
      <c r="K42" s="42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34" t="n">
        <v>71.777</v>
      </c>
      <c r="T42" s="34" t="n">
        <v>75.13800000000001</v>
      </c>
      <c r="U42" s="34" t="n">
        <v>78.5</v>
      </c>
      <c r="V42" s="42" t="n">
        <v>0.09370000000000001</v>
      </c>
      <c r="W42" s="42" t="n">
        <v>1</v>
      </c>
      <c r="X42" s="42" t="n">
        <v>0.85</v>
      </c>
      <c r="Y42" s="44" t="inlineStr">
        <is>
          <t>قريب من المستهدف — فجوة 8٪، متابعة لإغلاقها.</t>
        </is>
      </c>
      <c r="Z42" s="41" t="inlineStr">
        <is>
          <t>متابعة أسبوعية حتى بلوغ المستهدف.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34" t="inlineStr">
        <is>
          <t>%</t>
        </is>
      </c>
      <c r="F43" s="34" t="inlineStr">
        <is>
          <t>↑</t>
        </is>
      </c>
      <c r="G43" s="15" t="inlineStr">
        <is>
          <t>🔴 رئيسي</t>
        </is>
      </c>
      <c r="H43" s="42" t="n">
        <v>0.08</v>
      </c>
      <c r="I43" s="34" t="n"/>
      <c r="J43" s="34" t="n"/>
      <c r="K43" s="42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34" t="n"/>
      <c r="T43" s="34" t="n"/>
      <c r="U43" s="34" t="n"/>
      <c r="V43" s="42" t="n"/>
      <c r="W43" s="42" t="n">
        <v>1</v>
      </c>
      <c r="X43" s="42" t="n">
        <v>0.85</v>
      </c>
      <c r="Y43" s="44" t="inlineStr"/>
      <c r="Z43" s="41" t="inlineStr"/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34" t="inlineStr">
        <is>
          <t>%</t>
        </is>
      </c>
      <c r="F44" s="34" t="inlineStr">
        <is>
          <t>↑</t>
        </is>
      </c>
      <c r="G44" s="15" t="inlineStr">
        <is>
          <t>🔴 رئيسي</t>
        </is>
      </c>
      <c r="H44" s="42" t="n">
        <v>0.08</v>
      </c>
      <c r="I44" s="34" t="n"/>
      <c r="J44" s="34" t="n"/>
      <c r="K44" s="42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34" t="n"/>
      <c r="T44" s="34" t="n"/>
      <c r="U44" s="34" t="n"/>
      <c r="V44" s="42" t="n"/>
      <c r="W44" s="42" t="n">
        <v>1</v>
      </c>
      <c r="X44" s="42" t="n">
        <v>0.85</v>
      </c>
      <c r="Y44" s="44" t="inlineStr"/>
      <c r="Z44" s="41" t="inlineStr"/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34" t="inlineStr">
        <is>
          <t>%</t>
        </is>
      </c>
      <c r="F45" s="34" t="inlineStr">
        <is>
          <t>↑</t>
        </is>
      </c>
      <c r="G45" s="15" t="inlineStr">
        <is>
          <t>🔴 رئيسي</t>
        </is>
      </c>
      <c r="H45" s="42" t="n">
        <v>0.08</v>
      </c>
      <c r="I45" s="34" t="n"/>
      <c r="J45" s="34" t="n"/>
      <c r="K45" s="42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34" t="n"/>
      <c r="T45" s="34" t="n"/>
      <c r="U45" s="34" t="n"/>
      <c r="V45" s="42" t="n"/>
      <c r="W45" s="42" t="n">
        <v>1</v>
      </c>
      <c r="X45" s="42" t="n">
        <v>0.85</v>
      </c>
      <c r="Y45" s="44" t="inlineStr"/>
      <c r="Z45" s="41" t="inlineStr"/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34" t="inlineStr">
        <is>
          <t>%</t>
        </is>
      </c>
      <c r="F46" s="34" t="inlineStr">
        <is>
          <t>↑</t>
        </is>
      </c>
      <c r="G46" s="15" t="inlineStr">
        <is>
          <t>🔴 رئيسي</t>
        </is>
      </c>
      <c r="H46" s="42" t="n">
        <v>0.08</v>
      </c>
      <c r="I46" s="34" t="n"/>
      <c r="J46" s="34" t="n"/>
      <c r="K46" s="42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34" t="n"/>
      <c r="T46" s="34" t="n"/>
      <c r="U46" s="34" t="n"/>
      <c r="V46" s="42" t="n"/>
      <c r="W46" s="42" t="n">
        <v>1</v>
      </c>
      <c r="X46" s="42" t="n">
        <v>0.85</v>
      </c>
      <c r="Y46" s="44" t="inlineStr"/>
      <c r="Z46" s="41" t="inlineStr"/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34" t="inlineStr">
        <is>
          <t>%</t>
        </is>
      </c>
      <c r="F47" s="34" t="inlineStr">
        <is>
          <t>↑</t>
        </is>
      </c>
      <c r="G47" s="15" t="inlineStr">
        <is>
          <t>🔴 رئيسي</t>
        </is>
      </c>
      <c r="H47" s="42" t="n">
        <v>0.07000000000000001</v>
      </c>
      <c r="I47" s="34" t="n">
        <v>0.99</v>
      </c>
      <c r="J47" s="34" t="n">
        <v>0.831</v>
      </c>
      <c r="K47" s="42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34" t="n">
        <v>0.751</v>
      </c>
      <c r="T47" s="34" t="n">
        <v>0.791</v>
      </c>
      <c r="U47" s="34" t="n">
        <v>0.831</v>
      </c>
      <c r="V47" s="42" t="n">
        <v>0.1065</v>
      </c>
      <c r="W47" s="42" t="n">
        <v>1</v>
      </c>
      <c r="X47" s="42" t="n">
        <v>0.97</v>
      </c>
      <c r="Y47" s="45" t="inlineStr">
        <is>
          <t>دون المستهدف — فجوة 16٪، يتطلب إجراءً تصحيحياً عاجلاً.</t>
        </is>
      </c>
      <c r="Z47" s="41" t="inlineStr">
        <is>
          <t>إطلاق إجراء تصحيحي خلال 30 يوماً بإشراف مدير التشغيل.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34" t="inlineStr">
        <is>
          <t>%</t>
        </is>
      </c>
      <c r="F48" s="34" t="inlineStr">
        <is>
          <t>↑</t>
        </is>
      </c>
      <c r="G48" s="15" t="inlineStr">
        <is>
          <t>🟠 مهم</t>
        </is>
      </c>
      <c r="H48" s="42" t="n">
        <v>0.05</v>
      </c>
      <c r="I48" s="34" t="n">
        <v>0.97</v>
      </c>
      <c r="J48" s="34" t="n">
        <v>0.953</v>
      </c>
      <c r="K48" s="42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34" t="n">
        <v>0.843</v>
      </c>
      <c r="T48" s="34" t="n">
        <v>0.898</v>
      </c>
      <c r="U48" s="34" t="n">
        <v>0.953</v>
      </c>
      <c r="V48" s="42" t="n">
        <v>0.1305</v>
      </c>
      <c r="W48" s="42" t="n">
        <v>1</v>
      </c>
      <c r="X48" s="42" t="n">
        <v>0.85</v>
      </c>
      <c r="Y48" s="44" t="inlineStr">
        <is>
          <t>قريب من المستهدف — فجوة 2٪، متابعة لإغلاقها.</t>
        </is>
      </c>
      <c r="Z48" s="41" t="inlineStr">
        <is>
          <t>متابعة أسبوعية حتى بلوغ المستهدف.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34" t="inlineStr">
        <is>
          <t>هللة/لتر</t>
        </is>
      </c>
      <c r="F49" s="34" t="inlineStr">
        <is>
          <t>↓</t>
        </is>
      </c>
      <c r="G49" s="15" t="inlineStr">
        <is>
          <t>🟠 مهم</t>
        </is>
      </c>
      <c r="H49" s="42" t="n">
        <v>0.05</v>
      </c>
      <c r="I49" s="34" t="n"/>
      <c r="J49" s="34" t="n"/>
      <c r="K49" s="42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34" t="n"/>
      <c r="T49" s="34" t="n"/>
      <c r="U49" s="34" t="n"/>
      <c r="V49" s="42" t="n"/>
      <c r="W49" s="42" t="n">
        <v>1</v>
      </c>
      <c r="X49" s="42" t="n">
        <v>0.85</v>
      </c>
      <c r="Y49" s="44" t="inlineStr"/>
      <c r="Z49" s="41" t="inlineStr"/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34" t="inlineStr">
        <is>
          <t>%</t>
        </is>
      </c>
      <c r="F50" s="34" t="inlineStr">
        <is>
          <t>↑</t>
        </is>
      </c>
      <c r="G50" s="15" t="inlineStr">
        <is>
          <t>🟠 مهم</t>
        </is>
      </c>
      <c r="H50" s="42" t="n">
        <v>0.05</v>
      </c>
      <c r="I50" s="34" t="n">
        <v>0.95</v>
      </c>
      <c r="J50" s="34" t="n">
        <v>0.758</v>
      </c>
      <c r="K50" s="42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34" t="n">
        <v>0.659</v>
      </c>
      <c r="T50" s="34" t="n">
        <v>0.709</v>
      </c>
      <c r="U50" s="34" t="n">
        <v>0.758</v>
      </c>
      <c r="V50" s="42" t="n">
        <v>0.1502</v>
      </c>
      <c r="W50" s="42" t="n">
        <v>1</v>
      </c>
      <c r="X50" s="42" t="n">
        <v>0.85</v>
      </c>
      <c r="Y50" s="45" t="inlineStr">
        <is>
          <t>دون المستهدف — فجوة 20٪، يتطلب إجراءً تصحيحياً عاجلاً.</t>
        </is>
      </c>
      <c r="Z50" s="41" t="inlineStr">
        <is>
          <t>إطلاق إجراء تصحيحي خلال 30 يوماً بإشراف مدير التشغيل.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34" t="inlineStr">
        <is>
          <t>%</t>
        </is>
      </c>
      <c r="F51" s="34" t="inlineStr">
        <is>
          <t>↑</t>
        </is>
      </c>
      <c r="G51" s="15" t="inlineStr">
        <is>
          <t>🟠 مهم</t>
        </is>
      </c>
      <c r="H51" s="42" t="n">
        <v>0.05</v>
      </c>
      <c r="I51" s="34" t="n"/>
      <c r="J51" s="34" t="n"/>
      <c r="K51" s="42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34" t="n"/>
      <c r="T51" s="34" t="n"/>
      <c r="U51" s="34" t="n"/>
      <c r="V51" s="42" t="n"/>
      <c r="W51" s="42" t="n">
        <v>1</v>
      </c>
      <c r="X51" s="42" t="n">
        <v>0.85</v>
      </c>
      <c r="Y51" s="44" t="inlineStr"/>
      <c r="Z51" s="41" t="inlineStr"/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34" t="inlineStr">
        <is>
          <t>نجمة/5</t>
        </is>
      </c>
      <c r="F52" s="34" t="inlineStr">
        <is>
          <t>↑</t>
        </is>
      </c>
      <c r="G52" s="15" t="inlineStr">
        <is>
          <t>🔴 رئيسي</t>
        </is>
      </c>
      <c r="H52" s="42" t="n">
        <v>0.07000000000000001</v>
      </c>
      <c r="I52" s="34" t="n">
        <v>4.5</v>
      </c>
      <c r="J52" s="34" t="n">
        <v>4.048</v>
      </c>
      <c r="K52" s="42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34" t="n">
        <v>3.322</v>
      </c>
      <c r="T52" s="34" t="n">
        <v>3.685</v>
      </c>
      <c r="U52" s="34" t="n">
        <v>4.048</v>
      </c>
      <c r="V52" s="42" t="n">
        <v>0.2185</v>
      </c>
      <c r="W52" s="42" t="n">
        <v>1</v>
      </c>
      <c r="X52" s="42" t="n">
        <v>0.85</v>
      </c>
      <c r="Y52" s="44" t="inlineStr">
        <is>
          <t>قريب من المستهدف — فجوة 10٪، متابعة لإغلاقها.</t>
        </is>
      </c>
      <c r="Z52" s="41" t="inlineStr">
        <is>
          <t>متابعة أسبوعية حتى بلوغ المستهدف.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34" t="inlineStr">
        <is>
          <t>دقيقة</t>
        </is>
      </c>
      <c r="F53" s="34" t="inlineStr">
        <is>
          <t>↓</t>
        </is>
      </c>
      <c r="G53" s="15" t="inlineStr">
        <is>
          <t>🟠 مهم</t>
        </is>
      </c>
      <c r="H53" s="42" t="n">
        <v>0.05</v>
      </c>
      <c r="I53" s="34" t="n">
        <v>3</v>
      </c>
      <c r="J53" s="34" t="n">
        <v>3.352</v>
      </c>
      <c r="K53" s="42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34" t="n">
        <v>3.687</v>
      </c>
      <c r="T53" s="34" t="n">
        <v>3.519</v>
      </c>
      <c r="U53" s="34" t="n">
        <v>3.352</v>
      </c>
      <c r="V53" s="42" t="n">
        <v>-0.09089999999999999</v>
      </c>
      <c r="W53" s="42" t="n">
        <v>1</v>
      </c>
      <c r="X53" s="42" t="n">
        <v>0.85</v>
      </c>
      <c r="Y53" s="44" t="inlineStr">
        <is>
          <t>قريب من المستهدف — فجوة 11٪، متابعة لإغلاقها.</t>
        </is>
      </c>
      <c r="Z53" s="41" t="inlineStr">
        <is>
          <t>متابعة أسبوعية حتى بلوغ المستهدف.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34" t="inlineStr">
        <is>
          <t>%</t>
        </is>
      </c>
      <c r="F54" s="34" t="inlineStr">
        <is>
          <t>↑</t>
        </is>
      </c>
      <c r="G54" s="15" t="inlineStr">
        <is>
          <t>🟠 مهم</t>
        </is>
      </c>
      <c r="H54" s="42" t="n">
        <v>0.05</v>
      </c>
      <c r="I54" s="34" t="n">
        <v>0.99</v>
      </c>
      <c r="J54" s="34" t="n">
        <v>0.831</v>
      </c>
      <c r="K54" s="42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34" t="n">
        <v>0.737</v>
      </c>
      <c r="T54" s="34" t="n">
        <v>0.784</v>
      </c>
      <c r="U54" s="34" t="n">
        <v>0.831</v>
      </c>
      <c r="V54" s="42" t="n">
        <v>0.1275</v>
      </c>
      <c r="W54" s="42" t="n">
        <v>1</v>
      </c>
      <c r="X54" s="42" t="n">
        <v>0.97</v>
      </c>
      <c r="Y54" s="45" t="inlineStr">
        <is>
          <t>دون المستهدف — فجوة 16٪، يتطلب إجراءً تصحيحياً عاجلاً.</t>
        </is>
      </c>
      <c r="Z54" s="41" t="inlineStr">
        <is>
          <t>إطلاق إجراء تصحيحي خلال 30 يوماً بإشراف مدير التشغيل.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34" t="inlineStr">
        <is>
          <t>%</t>
        </is>
      </c>
      <c r="F55" s="34" t="inlineStr">
        <is>
          <t>↑</t>
        </is>
      </c>
      <c r="G55" s="15" t="inlineStr">
        <is>
          <t>🟡 متابعة</t>
        </is>
      </c>
      <c r="H55" s="42" t="n">
        <v>0.02</v>
      </c>
      <c r="I55" s="34" t="n">
        <v>0.8</v>
      </c>
      <c r="J55" s="34" t="n">
        <v>0.787</v>
      </c>
      <c r="K55" s="42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34" t="n">
        <v>0.669</v>
      </c>
      <c r="T55" s="34" t="n">
        <v>0.728</v>
      </c>
      <c r="U55" s="34" t="n">
        <v>0.787</v>
      </c>
      <c r="V55" s="42" t="n">
        <v>0.1764</v>
      </c>
      <c r="W55" s="42" t="n">
        <v>1</v>
      </c>
      <c r="X55" s="42" t="n">
        <v>0.85</v>
      </c>
      <c r="Y55" s="44" t="inlineStr">
        <is>
          <t>قريب من المستهدف — فجوة 2٪، متابعة لإغلاقها.</t>
        </is>
      </c>
      <c r="Z55" s="41" t="inlineStr">
        <is>
          <t>متابعة أسبوعية حتى بلوغ المستهدف.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34" t="inlineStr">
        <is>
          <t>%</t>
        </is>
      </c>
      <c r="F56" s="34" t="inlineStr">
        <is>
          <t>↑</t>
        </is>
      </c>
      <c r="G56" s="15" t="inlineStr">
        <is>
          <t>🔴 رئيسي</t>
        </is>
      </c>
      <c r="H56" s="42" t="n">
        <v>0.07000000000000001</v>
      </c>
      <c r="I56" s="34" t="n">
        <v>1</v>
      </c>
      <c r="J56" s="34" t="n">
        <v>0.837</v>
      </c>
      <c r="K56" s="42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34" t="n">
        <v>0.6889999999999999</v>
      </c>
      <c r="T56" s="34" t="n">
        <v>0.763</v>
      </c>
      <c r="U56" s="34" t="n">
        <v>0.837</v>
      </c>
      <c r="V56" s="42" t="n">
        <v>0.2148</v>
      </c>
      <c r="W56" s="42" t="n">
        <v>1</v>
      </c>
      <c r="X56" s="42" t="n">
        <v>0.97</v>
      </c>
      <c r="Y56" s="45" t="inlineStr">
        <is>
          <t>دون المستهدف — فجوة 16٪، يتطلب إجراءً تصحيحياً عاجلاً.</t>
        </is>
      </c>
      <c r="Z56" s="41" t="inlineStr">
        <is>
          <t>إطلاق إجراء تصحيحي خلال 30 يوماً بإشراف مدير التشغيل.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34" t="inlineStr">
        <is>
          <t>%</t>
        </is>
      </c>
      <c r="F57" s="34" t="inlineStr">
        <is>
          <t>↑</t>
        </is>
      </c>
      <c r="G57" s="15" t="inlineStr">
        <is>
          <t>🔴 رئيسي</t>
        </is>
      </c>
      <c r="H57" s="42" t="n">
        <v>0.07000000000000001</v>
      </c>
      <c r="I57" s="34" t="n">
        <v>1</v>
      </c>
      <c r="J57" s="34" t="n">
        <v>0.747</v>
      </c>
      <c r="K57" s="42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34" t="n">
        <v>0.609</v>
      </c>
      <c r="T57" s="34" t="n">
        <v>0.678</v>
      </c>
      <c r="U57" s="34" t="n">
        <v>0.747</v>
      </c>
      <c r="V57" s="42" t="n">
        <v>0.2266</v>
      </c>
      <c r="W57" s="42" t="n">
        <v>1</v>
      </c>
      <c r="X57" s="42" t="n">
        <v>0.85</v>
      </c>
      <c r="Y57" s="45" t="inlineStr">
        <is>
          <t>دون المستهدف — فجوة 25٪، يتطلب إجراءً تصحيحياً عاجلاً.</t>
        </is>
      </c>
      <c r="Z57" s="41" t="inlineStr">
        <is>
          <t>إطلاق إجراء تصحيحي خلال 30 يوماً بإشراف مدير التشغيل.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34" t="inlineStr">
        <is>
          <t>عقد</t>
        </is>
      </c>
      <c r="F58" s="34" t="inlineStr">
        <is>
          <t>↑</t>
        </is>
      </c>
      <c r="G58" s="15" t="inlineStr">
        <is>
          <t>🔴 رئيسي</t>
        </is>
      </c>
      <c r="H58" s="42" t="n">
        <v>0.05</v>
      </c>
      <c r="I58" s="34" t="n">
        <v>190</v>
      </c>
      <c r="J58" s="34" t="n">
        <v>165.7</v>
      </c>
      <c r="K58" s="42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34" t="n">
        <v>141.388</v>
      </c>
      <c r="T58" s="34" t="n">
        <v>153.544</v>
      </c>
      <c r="U58" s="34" t="n">
        <v>331.4</v>
      </c>
      <c r="V58" s="42" t="n">
        <v>0.172</v>
      </c>
      <c r="W58" s="42" t="n">
        <v>1</v>
      </c>
      <c r="X58" s="42" t="n">
        <v>0.85</v>
      </c>
      <c r="Y58" s="44" t="inlineStr">
        <is>
          <t>قريب من المستهدف — فجوة 13٪، متابعة لإغلاقها.</t>
        </is>
      </c>
      <c r="Z58" s="41" t="inlineStr">
        <is>
          <t>متابعة أسبوعية حتى بلوغ المستهدف.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34" t="inlineStr">
        <is>
          <t>عقد</t>
        </is>
      </c>
      <c r="F59" s="34" t="inlineStr">
        <is>
          <t>↑</t>
        </is>
      </c>
      <c r="G59" s="15" t="inlineStr">
        <is>
          <t>🔴 رئيسي</t>
        </is>
      </c>
      <c r="H59" s="42" t="n">
        <v>0.05</v>
      </c>
      <c r="I59" s="34" t="n">
        <v>90</v>
      </c>
      <c r="J59" s="34" t="n">
        <v>76.3</v>
      </c>
      <c r="K59" s="42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34" t="n">
        <v>61.525</v>
      </c>
      <c r="T59" s="34" t="n">
        <v>68.91200000000001</v>
      </c>
      <c r="U59" s="34" t="n">
        <v>152.6</v>
      </c>
      <c r="V59" s="42" t="n">
        <v>0.2401</v>
      </c>
      <c r="W59" s="42" t="n">
        <v>1</v>
      </c>
      <c r="X59" s="42" t="n">
        <v>0.85</v>
      </c>
      <c r="Y59" s="45" t="inlineStr">
        <is>
          <t>دون المستهدف — فجوة 15٪، يتطلب إجراءً تصحيحياً عاجلاً.</t>
        </is>
      </c>
      <c r="Z59" s="41" t="inlineStr">
        <is>
          <t>إطلاق إجراء تصحيحي خلال 30 يوماً بإشراف مدير الاستثمار.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34" t="inlineStr">
        <is>
          <t>عقد</t>
        </is>
      </c>
      <c r="F60" s="34" t="inlineStr">
        <is>
          <t>↑</t>
        </is>
      </c>
      <c r="G60" s="15" t="inlineStr">
        <is>
          <t>🔴 رئيسي</t>
        </is>
      </c>
      <c r="H60" s="42" t="n">
        <v>0.05</v>
      </c>
      <c r="I60" s="34" t="n">
        <v>100</v>
      </c>
      <c r="J60" s="34" t="n">
        <v>82.2</v>
      </c>
      <c r="K60" s="42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34" t="n">
        <v>68.196</v>
      </c>
      <c r="T60" s="34" t="n">
        <v>75.19799999999999</v>
      </c>
      <c r="U60" s="34" t="n">
        <v>164.4</v>
      </c>
      <c r="V60" s="42" t="n">
        <v>0.2053</v>
      </c>
      <c r="W60" s="42" t="n">
        <v>1</v>
      </c>
      <c r="X60" s="42" t="n">
        <v>0.85</v>
      </c>
      <c r="Y60" s="45" t="inlineStr">
        <is>
          <t>دون المستهدف — فجوة 18٪، يتطلب إجراءً تصحيحياً عاجلاً.</t>
        </is>
      </c>
      <c r="Z60" s="41" t="inlineStr">
        <is>
          <t>إطلاق إجراء تصحيحي خلال 30 يوماً بإشراف مدير الاستثمار.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34" t="inlineStr">
        <is>
          <t>محطة</t>
        </is>
      </c>
      <c r="F61" s="34" t="inlineStr">
        <is>
          <t>↑</t>
        </is>
      </c>
      <c r="G61" s="15" t="inlineStr">
        <is>
          <t>🔴 رئيسي</t>
        </is>
      </c>
      <c r="H61" s="42" t="n">
        <v>0.05</v>
      </c>
      <c r="I61" s="34" t="n">
        <v>120</v>
      </c>
      <c r="J61" s="34" t="n">
        <v>125.8</v>
      </c>
      <c r="K61" s="42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34" t="n">
        <v>106.769</v>
      </c>
      <c r="T61" s="34" t="n">
        <v>116.285</v>
      </c>
      <c r="U61" s="34" t="n">
        <v>125.8</v>
      </c>
      <c r="V61" s="42" t="n">
        <v>0.1782</v>
      </c>
      <c r="W61" s="42" t="n">
        <v>1</v>
      </c>
      <c r="X61" s="42" t="n">
        <v>0.85</v>
      </c>
      <c r="Y61" s="44" t="inlineStr"/>
      <c r="Z61" s="41" t="inlineStr"/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34" t="inlineStr">
        <is>
          <t>عقد</t>
        </is>
      </c>
      <c r="F62" s="34" t="inlineStr">
        <is>
          <t>↑</t>
        </is>
      </c>
      <c r="G62" s="15" t="inlineStr">
        <is>
          <t>🔴 رئيسي</t>
        </is>
      </c>
      <c r="H62" s="42" t="n">
        <v>0.05</v>
      </c>
      <c r="I62" s="34" t="n">
        <v>11</v>
      </c>
      <c r="J62" s="34" t="n">
        <v>8.1</v>
      </c>
      <c r="K62" s="42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34" t="n">
        <v>6.495</v>
      </c>
      <c r="T62" s="34" t="n">
        <v>7.297</v>
      </c>
      <c r="U62" s="34" t="n">
        <v>16.2</v>
      </c>
      <c r="V62" s="42" t="n">
        <v>0.2471</v>
      </c>
      <c r="W62" s="42" t="n">
        <v>1</v>
      </c>
      <c r="X62" s="42" t="n">
        <v>0.85</v>
      </c>
      <c r="Y62" s="45" t="inlineStr">
        <is>
          <t>دون المستهدف — فجوة 26٪، يتطلب إجراءً تصحيحياً عاجلاً.</t>
        </is>
      </c>
      <c r="Z62" s="41" t="inlineStr">
        <is>
          <t>إطلاق إجراء تصحيحي خلال 30 يوماً بإشراف مدير الاستثمار.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34" t="inlineStr">
        <is>
          <t>عقد</t>
        </is>
      </c>
      <c r="F63" s="34" t="inlineStr">
        <is>
          <t>↑</t>
        </is>
      </c>
      <c r="G63" s="15" t="inlineStr">
        <is>
          <t>🔴 رئيسي</t>
        </is>
      </c>
      <c r="H63" s="42" t="n">
        <v>0.05</v>
      </c>
      <c r="I63" s="34" t="n">
        <v>12</v>
      </c>
      <c r="J63" s="34" t="n">
        <v>12.2</v>
      </c>
      <c r="K63" s="42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34" t="n">
        <v>10.42</v>
      </c>
      <c r="T63" s="34" t="n">
        <v>11.31</v>
      </c>
      <c r="U63" s="34" t="n">
        <v>24.4</v>
      </c>
      <c r="V63" s="42" t="n">
        <v>0.1708</v>
      </c>
      <c r="W63" s="42" t="n">
        <v>1</v>
      </c>
      <c r="X63" s="42" t="n">
        <v>0.85</v>
      </c>
      <c r="Y63" s="44" t="inlineStr"/>
      <c r="Z63" s="41" t="inlineStr"/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34" t="inlineStr">
        <is>
          <t>عقد</t>
        </is>
      </c>
      <c r="F64" s="34" t="inlineStr">
        <is>
          <t>↑</t>
        </is>
      </c>
      <c r="G64" s="15" t="inlineStr">
        <is>
          <t>🔴 رئيسي</t>
        </is>
      </c>
      <c r="H64" s="42" t="n">
        <v>0.05</v>
      </c>
      <c r="I64" s="34" t="n">
        <v>68</v>
      </c>
      <c r="J64" s="34" t="n">
        <v>49.4</v>
      </c>
      <c r="K64" s="42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34" t="n">
        <v>40.64</v>
      </c>
      <c r="T64" s="34" t="n">
        <v>45.02</v>
      </c>
      <c r="U64" s="34" t="n">
        <v>98.8</v>
      </c>
      <c r="V64" s="42" t="n">
        <v>0.2156</v>
      </c>
      <c r="W64" s="42" t="n">
        <v>1</v>
      </c>
      <c r="X64" s="42" t="n">
        <v>0.85</v>
      </c>
      <c r="Y64" s="45" t="inlineStr">
        <is>
          <t>دون المستهدف — فجوة 27٪، يتطلب إجراءً تصحيحياً عاجلاً.</t>
        </is>
      </c>
      <c r="Z64" s="41" t="inlineStr">
        <is>
          <t>إطلاق إجراء تصحيحي خلال 30 يوماً بإشراف مدير الاستثمار.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34" t="inlineStr">
        <is>
          <t>%</t>
        </is>
      </c>
      <c r="F65" s="34" t="inlineStr">
        <is>
          <t>↑</t>
        </is>
      </c>
      <c r="G65" s="15" t="inlineStr">
        <is>
          <t>🔴 رئيسي</t>
        </is>
      </c>
      <c r="H65" s="42" t="n">
        <v>0.05</v>
      </c>
      <c r="I65" s="34" t="n">
        <v>0.8</v>
      </c>
      <c r="J65" s="34" t="n">
        <v>0.649</v>
      </c>
      <c r="K65" s="42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34" t="n">
        <v>0.552</v>
      </c>
      <c r="T65" s="34" t="n">
        <v>0.601</v>
      </c>
      <c r="U65" s="34" t="n">
        <v>0.649</v>
      </c>
      <c r="V65" s="42" t="n">
        <v>0.1757</v>
      </c>
      <c r="W65" s="42" t="n">
        <v>1</v>
      </c>
      <c r="X65" s="42" t="n">
        <v>0.85</v>
      </c>
      <c r="Y65" s="45" t="inlineStr">
        <is>
          <t>دون المستهدف — فجوة 19٪، يتطلب إجراءً تصحيحياً عاجلاً.</t>
        </is>
      </c>
      <c r="Z65" s="41" t="inlineStr">
        <is>
          <t>إطلاق إجراء تصحيحي خلال 30 يوماً بإشراف مدير الاستثمار.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34" t="inlineStr">
        <is>
          <t>سنة</t>
        </is>
      </c>
      <c r="F66" s="34" t="inlineStr">
        <is>
          <t>↓</t>
        </is>
      </c>
      <c r="G66" s="15" t="inlineStr">
        <is>
          <t>🟠 مهم</t>
        </is>
      </c>
      <c r="H66" s="42" t="n">
        <v>0.03</v>
      </c>
      <c r="I66" s="34" t="n">
        <v>5</v>
      </c>
      <c r="J66" s="34" t="n">
        <v>4.983</v>
      </c>
      <c r="K66" s="42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34" t="n">
        <v>5.443</v>
      </c>
      <c r="T66" s="34" t="n">
        <v>5.213</v>
      </c>
      <c r="U66" s="34" t="n">
        <v>4.983</v>
      </c>
      <c r="V66" s="42" t="n">
        <v>-0.08450000000000001</v>
      </c>
      <c r="W66" s="42" t="n">
        <v>1</v>
      </c>
      <c r="X66" s="42" t="n">
        <v>0.85</v>
      </c>
      <c r="Y66" s="44" t="inlineStr"/>
      <c r="Z66" s="41" t="inlineStr"/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34" t="inlineStr">
        <is>
          <t>ر.س</t>
        </is>
      </c>
      <c r="F67" s="34" t="inlineStr">
        <is>
          <t>↑</t>
        </is>
      </c>
      <c r="G67" s="15" t="inlineStr">
        <is>
          <t>🔴 رئيسي</t>
        </is>
      </c>
      <c r="H67" s="42" t="n">
        <v>0.05</v>
      </c>
      <c r="I67" s="34" t="n"/>
      <c r="J67" s="34" t="n"/>
      <c r="K67" s="42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34" t="n"/>
      <c r="T67" s="34" t="n"/>
      <c r="U67" s="34" t="n"/>
      <c r="V67" s="42" t="n"/>
      <c r="W67" s="42" t="n">
        <v>1</v>
      </c>
      <c r="X67" s="42" t="n">
        <v>0.85</v>
      </c>
      <c r="Y67" s="44" t="inlineStr"/>
      <c r="Z67" s="41" t="inlineStr"/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34" t="inlineStr">
        <is>
          <t>%</t>
        </is>
      </c>
      <c r="F68" s="34" t="inlineStr">
        <is>
          <t>↑</t>
        </is>
      </c>
      <c r="G68" s="15" t="inlineStr">
        <is>
          <t>🔴 رئيسي</t>
        </is>
      </c>
      <c r="H68" s="42" t="n">
        <v>0.05</v>
      </c>
      <c r="I68" s="34" t="n">
        <v>1</v>
      </c>
      <c r="J68" s="34" t="n">
        <v>1.028</v>
      </c>
      <c r="K68" s="42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34" t="n">
        <v>0.854</v>
      </c>
      <c r="T68" s="34" t="n">
        <v>0.9409999999999999</v>
      </c>
      <c r="U68" s="34" t="n">
        <v>1.028</v>
      </c>
      <c r="V68" s="42" t="n">
        <v>0.2037</v>
      </c>
      <c r="W68" s="42" t="n">
        <v>1</v>
      </c>
      <c r="X68" s="42" t="n">
        <v>0.85</v>
      </c>
      <c r="Y68" s="44" t="inlineStr"/>
      <c r="Z68" s="41" t="inlineStr"/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34" t="inlineStr">
        <is>
          <t>%</t>
        </is>
      </c>
      <c r="F69" s="34" t="inlineStr">
        <is>
          <t>↑</t>
        </is>
      </c>
      <c r="G69" s="15" t="inlineStr">
        <is>
          <t>🔴 رئيسي</t>
        </is>
      </c>
      <c r="H69" s="42" t="n">
        <v>0.05</v>
      </c>
      <c r="I69" s="34" t="n">
        <v>0.6</v>
      </c>
      <c r="J69" s="34" t="n">
        <v>0.516</v>
      </c>
      <c r="K69" s="42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34" t="n">
        <v>0.424</v>
      </c>
      <c r="T69" s="34" t="n">
        <v>0.47</v>
      </c>
      <c r="U69" s="34" t="n">
        <v>0.516</v>
      </c>
      <c r="V69" s="42" t="n">
        <v>0.217</v>
      </c>
      <c r="W69" s="42" t="n">
        <v>1</v>
      </c>
      <c r="X69" s="42" t="n">
        <v>0.85</v>
      </c>
      <c r="Y69" s="44" t="inlineStr">
        <is>
          <t>قريب من المستهدف — فجوة 14٪، متابعة لإغلاقها.</t>
        </is>
      </c>
      <c r="Z69" s="41" t="inlineStr">
        <is>
          <t>متابعة أسبوعية حتى بلوغ المستهدف.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34" t="inlineStr">
        <is>
          <t>%</t>
        </is>
      </c>
      <c r="F70" s="34" t="inlineStr">
        <is>
          <t>↓</t>
        </is>
      </c>
      <c r="G70" s="15" t="inlineStr">
        <is>
          <t>🔴 رئيسي</t>
        </is>
      </c>
      <c r="H70" s="42" t="n">
        <v>0.05</v>
      </c>
      <c r="I70" s="34" t="n">
        <v>0.4</v>
      </c>
      <c r="J70" s="34" t="n">
        <v>0.415</v>
      </c>
      <c r="K70" s="42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34" t="n">
        <v>0.486</v>
      </c>
      <c r="T70" s="34" t="n">
        <v>0.451</v>
      </c>
      <c r="U70" s="34" t="n">
        <v>0.415</v>
      </c>
      <c r="V70" s="42" t="n">
        <v>-0.1461</v>
      </c>
      <c r="W70" s="42" t="n">
        <v>1</v>
      </c>
      <c r="X70" s="42" t="n">
        <v>0.85</v>
      </c>
      <c r="Y70" s="44" t="inlineStr">
        <is>
          <t>قريب من المستهدف — فجوة 4٪، متابعة لإغلاقها.</t>
        </is>
      </c>
      <c r="Z70" s="41" t="inlineStr">
        <is>
          <t>متابعة أسبوعية حتى بلوغ المستهدف.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34" t="inlineStr">
        <is>
          <t>%</t>
        </is>
      </c>
      <c r="F71" s="34" t="inlineStr">
        <is>
          <t>↑</t>
        </is>
      </c>
      <c r="G71" s="15" t="inlineStr">
        <is>
          <t>🔴 رئيسي</t>
        </is>
      </c>
      <c r="H71" s="42" t="n">
        <v>0.05</v>
      </c>
      <c r="I71" s="34" t="n">
        <v>0.25</v>
      </c>
      <c r="J71" s="34" t="n">
        <v>0.236</v>
      </c>
      <c r="K71" s="42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34" t="n">
        <v>0.197</v>
      </c>
      <c r="T71" s="34" t="n">
        <v>0.216</v>
      </c>
      <c r="U71" s="34" t="n">
        <v>0.236</v>
      </c>
      <c r="V71" s="42" t="n">
        <v>0.198</v>
      </c>
      <c r="W71" s="42" t="n">
        <v>1</v>
      </c>
      <c r="X71" s="42" t="n">
        <v>0.85</v>
      </c>
      <c r="Y71" s="44" t="inlineStr">
        <is>
          <t>قريب من المستهدف — فجوة 6٪، متابعة لإغلاقها.</t>
        </is>
      </c>
      <c r="Z71" s="41" t="inlineStr">
        <is>
          <t>متابعة أسبوعية حتى بلوغ المستهدف.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34" t="inlineStr">
        <is>
          <t>أسبوع</t>
        </is>
      </c>
      <c r="F72" s="34" t="inlineStr">
        <is>
          <t>↓</t>
        </is>
      </c>
      <c r="G72" s="15" t="inlineStr">
        <is>
          <t>🔴 رئيسي</t>
        </is>
      </c>
      <c r="H72" s="42" t="n">
        <v>0.05</v>
      </c>
      <c r="I72" s="34" t="n">
        <v>1</v>
      </c>
      <c r="J72" s="34" t="n">
        <v>0.912</v>
      </c>
      <c r="K72" s="42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34" t="n">
        <v>0.998</v>
      </c>
      <c r="T72" s="34" t="n">
        <v>0.955</v>
      </c>
      <c r="U72" s="34" t="n">
        <v>0.912</v>
      </c>
      <c r="V72" s="42" t="n">
        <v>-0.0862</v>
      </c>
      <c r="W72" s="42" t="n">
        <v>1</v>
      </c>
      <c r="X72" s="42" t="n">
        <v>0.85</v>
      </c>
      <c r="Y72" s="44" t="inlineStr"/>
      <c r="Z72" s="41" t="inlineStr"/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34" t="inlineStr">
        <is>
          <t>%</t>
        </is>
      </c>
      <c r="F73" s="34" t="inlineStr">
        <is>
          <t>↑</t>
        </is>
      </c>
      <c r="G73" s="15" t="inlineStr">
        <is>
          <t>🔴 رئيسي</t>
        </is>
      </c>
      <c r="H73" s="42" t="n">
        <v>0.05</v>
      </c>
      <c r="I73" s="34" t="n">
        <v>0.3</v>
      </c>
      <c r="J73" s="34" t="n">
        <v>0.308</v>
      </c>
      <c r="K73" s="42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34" t="n">
        <v>0.258</v>
      </c>
      <c r="T73" s="34" t="n">
        <v>0.283</v>
      </c>
      <c r="U73" s="34" t="n">
        <v>0.308</v>
      </c>
      <c r="V73" s="42" t="n">
        <v>0.1938</v>
      </c>
      <c r="W73" s="42" t="n">
        <v>1</v>
      </c>
      <c r="X73" s="42" t="n">
        <v>0.85</v>
      </c>
      <c r="Y73" s="44" t="inlineStr"/>
      <c r="Z73" s="41" t="inlineStr"/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34" t="inlineStr">
        <is>
          <t>%</t>
        </is>
      </c>
      <c r="F74" s="34" t="inlineStr">
        <is>
          <t>↑</t>
        </is>
      </c>
      <c r="G74" s="15" t="inlineStr">
        <is>
          <t>🟠 مهم</t>
        </is>
      </c>
      <c r="H74" s="42" t="n">
        <v>0.03</v>
      </c>
      <c r="I74" s="34" t="n">
        <v>0.3</v>
      </c>
      <c r="J74" s="34" t="n">
        <v>0.221</v>
      </c>
      <c r="K74" s="42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34" t="n">
        <v>0.179</v>
      </c>
      <c r="T74" s="34" t="n">
        <v>0.2</v>
      </c>
      <c r="U74" s="34" t="n">
        <v>0.221</v>
      </c>
      <c r="V74" s="42" t="n">
        <v>0.2346</v>
      </c>
      <c r="W74" s="42" t="n">
        <v>1</v>
      </c>
      <c r="X74" s="42" t="n">
        <v>0.85</v>
      </c>
      <c r="Y74" s="45" t="inlineStr">
        <is>
          <t>دون المستهدف — فجوة 26٪، يتطلب إجراءً تصحيحياً عاجلاً.</t>
        </is>
      </c>
      <c r="Z74" s="41" t="inlineStr">
        <is>
          <t>إطلاق إجراء تصحيحي خلال 30 يوماً بإشراف مدير الاستثمار.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34" t="inlineStr">
        <is>
          <t>%</t>
        </is>
      </c>
      <c r="F75" s="34" t="inlineStr">
        <is>
          <t>↑</t>
        </is>
      </c>
      <c r="G75" s="15" t="inlineStr">
        <is>
          <t>🏁 معلم</t>
        </is>
      </c>
      <c r="H75" s="42" t="n">
        <v>0.01</v>
      </c>
      <c r="I75" s="34" t="n">
        <v>1</v>
      </c>
      <c r="J75" s="34" t="n">
        <v>0.751</v>
      </c>
      <c r="K75" s="42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34" t="n">
        <v>0.637</v>
      </c>
      <c r="T75" s="34" t="n">
        <v>0.694</v>
      </c>
      <c r="U75" s="34" t="n">
        <v>0.751</v>
      </c>
      <c r="V75" s="42" t="n">
        <v>0.179</v>
      </c>
      <c r="W75" s="42" t="n">
        <v>1</v>
      </c>
      <c r="X75" s="42" t="n">
        <v>0.85</v>
      </c>
      <c r="Y75" s="45" t="inlineStr">
        <is>
          <t>دون المستهدف — فجوة 25٪، يتطلب إجراءً تصحيحياً عاجلاً.</t>
        </is>
      </c>
      <c r="Z75" s="41" t="inlineStr">
        <is>
          <t>إطلاق إجراء تصحيحي خلال 30 يوماً بإشراف مدير الاستثمار.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34" t="inlineStr">
        <is>
          <t>%</t>
        </is>
      </c>
      <c r="F76" s="34" t="inlineStr">
        <is>
          <t>↑</t>
        </is>
      </c>
      <c r="G76" s="15" t="inlineStr">
        <is>
          <t>🔴 رئيسي</t>
        </is>
      </c>
      <c r="H76" s="42" t="n">
        <v>0.05</v>
      </c>
      <c r="I76" s="34" t="n">
        <v>0.95</v>
      </c>
      <c r="J76" s="34" t="n">
        <v>0.736</v>
      </c>
      <c r="K76" s="42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34" t="n">
        <v>0.634</v>
      </c>
      <c r="T76" s="34" t="n">
        <v>0.6850000000000001</v>
      </c>
      <c r="U76" s="34" t="n">
        <v>0.736</v>
      </c>
      <c r="V76" s="42" t="n">
        <v>0.1609</v>
      </c>
      <c r="W76" s="42" t="n">
        <v>1</v>
      </c>
      <c r="X76" s="42" t="n">
        <v>0.85</v>
      </c>
      <c r="Y76" s="45" t="inlineStr">
        <is>
          <t>دون المستهدف — فجوة 23٪، يتطلب إجراءً تصحيحياً عاجلاً.</t>
        </is>
      </c>
      <c r="Z76" s="41" t="inlineStr">
        <is>
          <t>إطلاق إجراء تصحيحي خلال 30 يوماً بإشراف مدير الاستثمار.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34" t="inlineStr">
        <is>
          <t>%</t>
        </is>
      </c>
      <c r="F77" s="34" t="inlineStr">
        <is>
          <t>↑</t>
        </is>
      </c>
      <c r="G77" s="15" t="inlineStr">
        <is>
          <t>🟠 مهم</t>
        </is>
      </c>
      <c r="H77" s="42" t="n">
        <v>0.03</v>
      </c>
      <c r="I77" s="34" t="n">
        <v>0.98</v>
      </c>
      <c r="J77" s="34" t="n">
        <v>1.009</v>
      </c>
      <c r="K77" s="42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34" t="n">
        <v>0.895</v>
      </c>
      <c r="T77" s="34" t="n">
        <v>0.952</v>
      </c>
      <c r="U77" s="34" t="n">
        <v>1.009</v>
      </c>
      <c r="V77" s="42" t="n">
        <v>0.1274</v>
      </c>
      <c r="W77" s="42" t="n">
        <v>1</v>
      </c>
      <c r="X77" s="42" t="n">
        <v>0.85</v>
      </c>
      <c r="Y77" s="44" t="inlineStr"/>
      <c r="Z77" s="41" t="inlineStr"/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34" t="inlineStr">
        <is>
          <t>أسبوع</t>
        </is>
      </c>
      <c r="F78" s="34" t="inlineStr">
        <is>
          <t>↓</t>
        </is>
      </c>
      <c r="G78" s="15" t="inlineStr">
        <is>
          <t>🟠 مهم</t>
        </is>
      </c>
      <c r="H78" s="42" t="n">
        <v>0.03</v>
      </c>
      <c r="I78" s="34" t="n">
        <v>1</v>
      </c>
      <c r="J78" s="34" t="n">
        <v>1.061</v>
      </c>
      <c r="K78" s="42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34" t="n">
        <v>1.162</v>
      </c>
      <c r="T78" s="34" t="n">
        <v>1.111</v>
      </c>
      <c r="U78" s="34" t="n">
        <v>1.061</v>
      </c>
      <c r="V78" s="42" t="n">
        <v>-0.08690000000000001</v>
      </c>
      <c r="W78" s="42" t="n">
        <v>1</v>
      </c>
      <c r="X78" s="42" t="n">
        <v>0.85</v>
      </c>
      <c r="Y78" s="44" t="inlineStr">
        <is>
          <t>قريب من المستهدف — فجوة 6٪، متابعة لإغلاقها.</t>
        </is>
      </c>
      <c r="Z78" s="41" t="inlineStr">
        <is>
          <t>متابعة أسبوعية حتى بلوغ المستهدف.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34" t="inlineStr">
        <is>
          <t>%</t>
        </is>
      </c>
      <c r="F79" s="34" t="inlineStr">
        <is>
          <t>↑</t>
        </is>
      </c>
      <c r="G79" s="15" t="inlineStr">
        <is>
          <t>🔴 رئيسي</t>
        </is>
      </c>
      <c r="H79" s="42" t="n">
        <v>0.05</v>
      </c>
      <c r="I79" s="34" t="n">
        <v>0.8</v>
      </c>
      <c r="J79" s="34" t="n">
        <v>0.786</v>
      </c>
      <c r="K79" s="42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34" t="n">
        <v>0.719</v>
      </c>
      <c r="T79" s="34" t="n">
        <v>0.752</v>
      </c>
      <c r="U79" s="34" t="n">
        <v>0.786</v>
      </c>
      <c r="V79" s="42" t="n">
        <v>0.09320000000000001</v>
      </c>
      <c r="W79" s="42" t="n">
        <v>0.9</v>
      </c>
      <c r="X79" s="42" t="n">
        <v>0.75</v>
      </c>
      <c r="Y79" s="44" t="inlineStr"/>
      <c r="Z79" s="41" t="inlineStr"/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34" t="inlineStr">
        <is>
          <t>%</t>
        </is>
      </c>
      <c r="F80" s="34" t="inlineStr">
        <is>
          <t>↑</t>
        </is>
      </c>
      <c r="G80" s="15" t="inlineStr">
        <is>
          <t>🏁 معلم</t>
        </is>
      </c>
      <c r="H80" s="42" t="n">
        <v>0.01</v>
      </c>
      <c r="I80" s="34" t="n">
        <v>1</v>
      </c>
      <c r="J80" s="34" t="n">
        <v>0.972</v>
      </c>
      <c r="K80" s="42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34" t="n">
        <v>0.89</v>
      </c>
      <c r="T80" s="34" t="n">
        <v>0.931</v>
      </c>
      <c r="U80" s="34" t="n">
        <v>0.972</v>
      </c>
      <c r="V80" s="42" t="n">
        <v>0.0921</v>
      </c>
      <c r="W80" s="42" t="n">
        <v>1</v>
      </c>
      <c r="X80" s="42" t="n">
        <v>0.85</v>
      </c>
      <c r="Y80" s="44" t="inlineStr">
        <is>
          <t>قريب من المستهدف — فجوة 3٪، متابعة لإغلاقها.</t>
        </is>
      </c>
      <c r="Z80" s="41" t="inlineStr">
        <is>
          <t>متابعة أسبوعية حتى بلوغ المستهدف.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34" t="inlineStr">
        <is>
          <t>%</t>
        </is>
      </c>
      <c r="F81" s="34" t="inlineStr">
        <is>
          <t>↑</t>
        </is>
      </c>
      <c r="G81" s="15" t="inlineStr">
        <is>
          <t>🟡 متابعة</t>
        </is>
      </c>
      <c r="H81" s="42" t="n">
        <v>0.01</v>
      </c>
      <c r="I81" s="34" t="n">
        <v>1</v>
      </c>
      <c r="J81" s="34" t="n">
        <v>0.961</v>
      </c>
      <c r="K81" s="42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34" t="n">
        <v>0.836</v>
      </c>
      <c r="T81" s="34" t="n">
        <v>0.898</v>
      </c>
      <c r="U81" s="34" t="n">
        <v>0.961</v>
      </c>
      <c r="V81" s="42" t="n">
        <v>0.1495</v>
      </c>
      <c r="W81" s="42" t="n">
        <v>1</v>
      </c>
      <c r="X81" s="42" t="n">
        <v>0.85</v>
      </c>
      <c r="Y81" s="44" t="inlineStr">
        <is>
          <t>قريب من المستهدف — فجوة 4٪، متابعة لإغلاقها.</t>
        </is>
      </c>
      <c r="Z81" s="41" t="inlineStr">
        <is>
          <t>متابعة أسبوعية حتى بلوغ المستهدف.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34" t="inlineStr">
        <is>
          <t>%</t>
        </is>
      </c>
      <c r="F82" s="34" t="inlineStr">
        <is>
          <t>↑</t>
        </is>
      </c>
      <c r="G82" s="15" t="inlineStr">
        <is>
          <t>🔴 رئيسي</t>
        </is>
      </c>
      <c r="H82" s="42" t="n">
        <v>0.08</v>
      </c>
      <c r="I82" s="34" t="n">
        <v>0.08</v>
      </c>
      <c r="J82" s="34" t="n">
        <v>0.068</v>
      </c>
      <c r="K82" s="42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34" t="n">
        <v>0.059</v>
      </c>
      <c r="T82" s="34" t="n">
        <v>0.064</v>
      </c>
      <c r="U82" s="34" t="n">
        <v>0.068</v>
      </c>
      <c r="V82" s="42" t="n">
        <v>0.1525</v>
      </c>
      <c r="W82" s="42" t="n">
        <v>1</v>
      </c>
      <c r="X82" s="42" t="n">
        <v>0.85</v>
      </c>
      <c r="Y82" s="44" t="inlineStr">
        <is>
          <t>قريب من المستهدف — فجوة 15٪، متابعة لإغلاقها.</t>
        </is>
      </c>
      <c r="Z82" s="41" t="inlineStr">
        <is>
          <t>متابعة أسبوعية حتى بلوغ المستهدف.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34" t="inlineStr">
        <is>
          <t>%</t>
        </is>
      </c>
      <c r="F83" s="34" t="inlineStr">
        <is>
          <t>↑</t>
        </is>
      </c>
      <c r="G83" s="15" t="inlineStr">
        <is>
          <t>🔴 رئيسي</t>
        </is>
      </c>
      <c r="H83" s="42" t="n">
        <v>0.08</v>
      </c>
      <c r="I83" s="34" t="n">
        <v>1</v>
      </c>
      <c r="J83" s="34" t="n">
        <v>1.03</v>
      </c>
      <c r="K83" s="42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34" t="n">
        <v>0.846</v>
      </c>
      <c r="T83" s="34" t="n">
        <v>0.9379999999999999</v>
      </c>
      <c r="U83" s="34" t="n">
        <v>1.03</v>
      </c>
      <c r="V83" s="42" t="n">
        <v>0.2175</v>
      </c>
      <c r="W83" s="42" t="n">
        <v>1</v>
      </c>
      <c r="X83" s="42" t="n">
        <v>0.85</v>
      </c>
      <c r="Y83" s="44" t="inlineStr"/>
      <c r="Z83" s="41" t="inlineStr"/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34" t="inlineStr">
        <is>
          <t>%</t>
        </is>
      </c>
      <c r="F84" s="34" t="inlineStr">
        <is>
          <t>↑</t>
        </is>
      </c>
      <c r="G84" s="15" t="inlineStr">
        <is>
          <t>🔴 رئيسي</t>
        </is>
      </c>
      <c r="H84" s="42" t="n">
        <v>0.08</v>
      </c>
      <c r="I84" s="34" t="n">
        <v>0.95</v>
      </c>
      <c r="J84" s="34" t="n">
        <v>0.805</v>
      </c>
      <c r="K84" s="42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34" t="n">
        <v>0.67</v>
      </c>
      <c r="T84" s="34" t="n">
        <v>0.738</v>
      </c>
      <c r="U84" s="34" t="n">
        <v>0.805</v>
      </c>
      <c r="V84" s="42" t="n">
        <v>0.2015</v>
      </c>
      <c r="W84" s="42" t="n">
        <v>1</v>
      </c>
      <c r="X84" s="42" t="n">
        <v>0.85</v>
      </c>
      <c r="Y84" s="45" t="inlineStr">
        <is>
          <t>دون المستهدف — فجوة 15٪، يتطلب إجراءً تصحيحياً عاجلاً.</t>
        </is>
      </c>
      <c r="Z84" s="41" t="inlineStr">
        <is>
          <t>إطلاق إجراء تصحيحي خلال 30 يوماً بإشراف مدير العقار.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34" t="inlineStr">
        <is>
          <t>%</t>
        </is>
      </c>
      <c r="F85" s="34" t="inlineStr">
        <is>
          <t>↑</t>
        </is>
      </c>
      <c r="G85" s="15" t="inlineStr">
        <is>
          <t>🔴 رئيسي</t>
        </is>
      </c>
      <c r="H85" s="42" t="n">
        <v>0.08</v>
      </c>
      <c r="I85" s="34" t="n">
        <v>0.6</v>
      </c>
      <c r="J85" s="34" t="n">
        <v>0.611</v>
      </c>
      <c r="K85" s="42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34" t="n">
        <v>0.52</v>
      </c>
      <c r="T85" s="34" t="n">
        <v>0.5659999999999999</v>
      </c>
      <c r="U85" s="34" t="n">
        <v>0.611</v>
      </c>
      <c r="V85" s="42" t="n">
        <v>0.175</v>
      </c>
      <c r="W85" s="42" t="n">
        <v>1</v>
      </c>
      <c r="X85" s="42" t="n">
        <v>0.85</v>
      </c>
      <c r="Y85" s="44" t="inlineStr"/>
      <c r="Z85" s="41" t="inlineStr"/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34" t="inlineStr">
        <is>
          <t>وحدة</t>
        </is>
      </c>
      <c r="F86" s="34" t="inlineStr">
        <is>
          <t>↑</t>
        </is>
      </c>
      <c r="G86" s="15" t="inlineStr">
        <is>
          <t>🟠 مهم</t>
        </is>
      </c>
      <c r="H86" s="42" t="n">
        <v>0.05</v>
      </c>
      <c r="I86" s="34" t="n">
        <v>68</v>
      </c>
      <c r="J86" s="34" t="n">
        <v>54.8</v>
      </c>
      <c r="K86" s="42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34" t="n">
        <v>49.548</v>
      </c>
      <c r="T86" s="34" t="n">
        <v>52.174</v>
      </c>
      <c r="U86" s="34" t="n">
        <v>54.8</v>
      </c>
      <c r="V86" s="42" t="n">
        <v>0.106</v>
      </c>
      <c r="W86" s="42" t="n">
        <v>1</v>
      </c>
      <c r="X86" s="42" t="n">
        <v>0.85</v>
      </c>
      <c r="Y86" s="45" t="inlineStr">
        <is>
          <t>دون المستهدف — فجوة 19٪، يتطلب إجراءً تصحيحياً عاجلاً.</t>
        </is>
      </c>
      <c r="Z86" s="41" t="inlineStr">
        <is>
          <t>إطلاق إجراء تصحيحي خلال 30 يوماً بإشراف مدير العقار.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34" t="inlineStr">
        <is>
          <t>عميل</t>
        </is>
      </c>
      <c r="F87" s="34" t="inlineStr">
        <is>
          <t>↑</t>
        </is>
      </c>
      <c r="G87" s="15" t="inlineStr">
        <is>
          <t>🟠 مهم</t>
        </is>
      </c>
      <c r="H87" s="42" t="n">
        <v>0.05</v>
      </c>
      <c r="I87" s="34" t="n">
        <v>680</v>
      </c>
      <c r="J87" s="34" t="n">
        <v>531.8</v>
      </c>
      <c r="K87" s="42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34" t="n">
        <v>449.307</v>
      </c>
      <c r="T87" s="34" t="n">
        <v>490.553</v>
      </c>
      <c r="U87" s="34" t="n">
        <v>531.8</v>
      </c>
      <c r="V87" s="42" t="n">
        <v>0.1836</v>
      </c>
      <c r="W87" s="42" t="n">
        <v>1</v>
      </c>
      <c r="X87" s="42" t="n">
        <v>0.85</v>
      </c>
      <c r="Y87" s="45" t="inlineStr">
        <is>
          <t>دون المستهدف — فجوة 22٪، يتطلب إجراءً تصحيحياً عاجلاً.</t>
        </is>
      </c>
      <c r="Z87" s="41" t="inlineStr">
        <is>
          <t>إطلاق إجراء تصحيحي خلال 30 يوماً بإشراف مدير العقار.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34" t="inlineStr">
        <is>
          <t>%</t>
        </is>
      </c>
      <c r="F88" s="34" t="inlineStr">
        <is>
          <t>↑</t>
        </is>
      </c>
      <c r="G88" s="15" t="inlineStr">
        <is>
          <t>🔴 رئيسي</t>
        </is>
      </c>
      <c r="H88" s="42" t="n">
        <v>0.08</v>
      </c>
      <c r="I88" s="34" t="n">
        <v>0.2</v>
      </c>
      <c r="J88" s="34" t="n">
        <v>0.208</v>
      </c>
      <c r="K88" s="42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34" t="n">
        <v>0.177</v>
      </c>
      <c r="T88" s="34" t="n">
        <v>0.193</v>
      </c>
      <c r="U88" s="34" t="n">
        <v>0.208</v>
      </c>
      <c r="V88" s="42" t="n">
        <v>0.1751</v>
      </c>
      <c r="W88" s="42" t="n">
        <v>1</v>
      </c>
      <c r="X88" s="42" t="n">
        <v>0.85</v>
      </c>
      <c r="Y88" s="44" t="inlineStr"/>
      <c r="Z88" s="41" t="inlineStr"/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34" t="inlineStr">
        <is>
          <t>علامة</t>
        </is>
      </c>
      <c r="F89" s="34" t="inlineStr">
        <is>
          <t>↑</t>
        </is>
      </c>
      <c r="G89" s="15" t="inlineStr">
        <is>
          <t>🟠 مهم</t>
        </is>
      </c>
      <c r="H89" s="42" t="n">
        <v>0.05</v>
      </c>
      <c r="I89" s="34" t="n">
        <v>246</v>
      </c>
      <c r="J89" s="34" t="n">
        <v>202.6</v>
      </c>
      <c r="K89" s="42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34" t="n">
        <v>166.626</v>
      </c>
      <c r="T89" s="34" t="n">
        <v>184.613</v>
      </c>
      <c r="U89" s="34" t="n">
        <v>202.6</v>
      </c>
      <c r="V89" s="42" t="n">
        <v>0.2159</v>
      </c>
      <c r="W89" s="42" t="n">
        <v>1</v>
      </c>
      <c r="X89" s="42" t="n">
        <v>0.85</v>
      </c>
      <c r="Y89" s="45" t="inlineStr">
        <is>
          <t>دون المستهدف — فجوة 18٪، يتطلب إجراءً تصحيحياً عاجلاً.</t>
        </is>
      </c>
      <c r="Z89" s="41" t="inlineStr">
        <is>
          <t>إطلاق إجراء تصحيحي خلال 30 يوماً بإشراف مدير العقار.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34" t="inlineStr">
        <is>
          <t>%</t>
        </is>
      </c>
      <c r="F90" s="34" t="inlineStr">
        <is>
          <t>↑</t>
        </is>
      </c>
      <c r="G90" s="15" t="inlineStr">
        <is>
          <t>🟠 مهم</t>
        </is>
      </c>
      <c r="H90" s="42" t="n">
        <v>0.05</v>
      </c>
      <c r="I90" s="34" t="n">
        <v>0.8</v>
      </c>
      <c r="J90" s="34" t="n">
        <v>0.671</v>
      </c>
      <c r="K90" s="42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34" t="n">
        <v>0.61</v>
      </c>
      <c r="T90" s="34" t="n">
        <v>0.641</v>
      </c>
      <c r="U90" s="34" t="n">
        <v>0.671</v>
      </c>
      <c r="V90" s="42" t="n">
        <v>0.1</v>
      </c>
      <c r="W90" s="42" t="n">
        <v>1</v>
      </c>
      <c r="X90" s="42" t="n">
        <v>0.85</v>
      </c>
      <c r="Y90" s="45" t="inlineStr">
        <is>
          <t>دون المستهدف — فجوة 16٪، يتطلب إجراءً تصحيحياً عاجلاً.</t>
        </is>
      </c>
      <c r="Z90" s="41" t="inlineStr">
        <is>
          <t>إطلاق إجراء تصحيحي خلال 30 يوماً بإشراف مدير العقار.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34" t="inlineStr">
        <is>
          <t>علامة</t>
        </is>
      </c>
      <c r="F91" s="34" t="inlineStr">
        <is>
          <t>↑</t>
        </is>
      </c>
      <c r="G91" s="15" t="inlineStr">
        <is>
          <t>🟠 مهم</t>
        </is>
      </c>
      <c r="H91" s="42" t="n">
        <v>0.05</v>
      </c>
      <c r="I91" s="34" t="n">
        <v>6</v>
      </c>
      <c r="J91" s="34" t="n">
        <v>5.769</v>
      </c>
      <c r="K91" s="42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34" t="n">
        <v>5.298</v>
      </c>
      <c r="T91" s="34" t="n">
        <v>5.534</v>
      </c>
      <c r="U91" s="34" t="n">
        <v>11.538</v>
      </c>
      <c r="V91" s="42" t="n">
        <v>0.08890000000000001</v>
      </c>
      <c r="W91" s="42" t="n">
        <v>1</v>
      </c>
      <c r="X91" s="42" t="n">
        <v>0.85</v>
      </c>
      <c r="Y91" s="44" t="inlineStr">
        <is>
          <t>قريب من المستهدف — فجوة 4٪، متابعة لإغلاقها.</t>
        </is>
      </c>
      <c r="Z91" s="41" t="inlineStr">
        <is>
          <t>متابعة أسبوعية حتى بلوغ المستهدف.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34" t="inlineStr">
        <is>
          <t>شراكة</t>
        </is>
      </c>
      <c r="F92" s="34" t="inlineStr">
        <is>
          <t>↑</t>
        </is>
      </c>
      <c r="G92" s="15" t="inlineStr">
        <is>
          <t>🟠 مهم</t>
        </is>
      </c>
      <c r="H92" s="42" t="n">
        <v>0.05</v>
      </c>
      <c r="I92" s="34" t="n">
        <v>5</v>
      </c>
      <c r="J92" s="34" t="n">
        <v>4.59</v>
      </c>
      <c r="K92" s="42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34" t="n">
        <v>4.161</v>
      </c>
      <c r="T92" s="34" t="n">
        <v>4.375</v>
      </c>
      <c r="U92" s="34" t="n">
        <v>9.18</v>
      </c>
      <c r="V92" s="42" t="n">
        <v>0.1031</v>
      </c>
      <c r="W92" s="42" t="n">
        <v>1</v>
      </c>
      <c r="X92" s="42" t="n">
        <v>0.85</v>
      </c>
      <c r="Y92" s="44" t="inlineStr">
        <is>
          <t>قريب من المستهدف — فجوة 8٪، متابعة لإغلاقها.</t>
        </is>
      </c>
      <c r="Z92" s="41" t="inlineStr">
        <is>
          <t>متابعة أسبوعية حتى بلوغ المستهدف.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34" t="inlineStr">
        <is>
          <t>%</t>
        </is>
      </c>
      <c r="F93" s="34" t="inlineStr">
        <is>
          <t>↑</t>
        </is>
      </c>
      <c r="G93" s="15" t="inlineStr">
        <is>
          <t>🔴 رئيسي</t>
        </is>
      </c>
      <c r="H93" s="42" t="n">
        <v>0.08</v>
      </c>
      <c r="I93" s="34" t="n">
        <v>1</v>
      </c>
      <c r="J93" s="34" t="n">
        <v>0.792</v>
      </c>
      <c r="K93" s="42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34" t="n">
        <v>0.6909999999999999</v>
      </c>
      <c r="T93" s="34" t="n">
        <v>0.742</v>
      </c>
      <c r="U93" s="34" t="n">
        <v>0.792</v>
      </c>
      <c r="V93" s="42" t="n">
        <v>0.1462</v>
      </c>
      <c r="W93" s="42" t="n">
        <v>1</v>
      </c>
      <c r="X93" s="42" t="n">
        <v>0.85</v>
      </c>
      <c r="Y93" s="45" t="inlineStr">
        <is>
          <t>دون المستهدف — فجوة 21٪، يتطلب إجراءً تصحيحياً عاجلاً.</t>
        </is>
      </c>
      <c r="Z93" s="41" t="inlineStr">
        <is>
          <t>إطلاق إجراء تصحيحي خلال 30 يوماً بإشراف مدير العقار.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34" t="inlineStr">
        <is>
          <t>يوم</t>
        </is>
      </c>
      <c r="F94" s="34" t="inlineStr">
        <is>
          <t>↓</t>
        </is>
      </c>
      <c r="G94" s="15" t="inlineStr">
        <is>
          <t>🟠 مهم</t>
        </is>
      </c>
      <c r="H94" s="42" t="n">
        <v>0.05</v>
      </c>
      <c r="I94" s="34" t="n">
        <v>7</v>
      </c>
      <c r="J94" s="34" t="n">
        <v>7.983</v>
      </c>
      <c r="K94" s="42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34" t="n">
        <v>9.095000000000001</v>
      </c>
      <c r="T94" s="34" t="n">
        <v>8.539</v>
      </c>
      <c r="U94" s="34" t="n">
        <v>7.983</v>
      </c>
      <c r="V94" s="42" t="n">
        <v>-0.1223</v>
      </c>
      <c r="W94" s="42" t="n">
        <v>1</v>
      </c>
      <c r="X94" s="42" t="n">
        <v>0.85</v>
      </c>
      <c r="Y94" s="44" t="inlineStr">
        <is>
          <t>قريب من المستهدف — فجوة 12٪، متابعة لإغلاقها.</t>
        </is>
      </c>
      <c r="Z94" s="41" t="inlineStr">
        <is>
          <t>متابعة أسبوعية حتى بلوغ المستهدف.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34" t="inlineStr">
        <is>
          <t>%</t>
        </is>
      </c>
      <c r="F95" s="34" t="inlineStr">
        <is>
          <t>↑</t>
        </is>
      </c>
      <c r="G95" s="15" t="inlineStr">
        <is>
          <t>🟠 مهم</t>
        </is>
      </c>
      <c r="H95" s="42" t="n">
        <v>0.05</v>
      </c>
      <c r="I95" s="34" t="n">
        <v>0.9</v>
      </c>
      <c r="J95" s="34" t="n">
        <v>0.698</v>
      </c>
      <c r="K95" s="42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34" t="n">
        <v>0.623</v>
      </c>
      <c r="T95" s="34" t="n">
        <v>0.66</v>
      </c>
      <c r="U95" s="34" t="n">
        <v>0.698</v>
      </c>
      <c r="V95" s="42" t="n">
        <v>0.1204</v>
      </c>
      <c r="W95" s="42" t="n">
        <v>1</v>
      </c>
      <c r="X95" s="42" t="n">
        <v>0.85</v>
      </c>
      <c r="Y95" s="45" t="inlineStr">
        <is>
          <t>دون المستهدف — فجوة 22٪، يتطلب إجراءً تصحيحياً عاجلاً.</t>
        </is>
      </c>
      <c r="Z95" s="41" t="inlineStr">
        <is>
          <t>إطلاق إجراء تصحيحي خلال 30 يوماً بإشراف مدير العقار.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34" t="inlineStr">
        <is>
          <t>%</t>
        </is>
      </c>
      <c r="F96" s="34" t="inlineStr">
        <is>
          <t>↑</t>
        </is>
      </c>
      <c r="G96" s="15" t="inlineStr">
        <is>
          <t>🟠 مهم</t>
        </is>
      </c>
      <c r="H96" s="42" t="n">
        <v>0.05</v>
      </c>
      <c r="I96" s="34" t="n">
        <v>0.8</v>
      </c>
      <c r="J96" s="34" t="n">
        <v>0.695</v>
      </c>
      <c r="K96" s="42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34" t="n">
        <v>0.629</v>
      </c>
      <c r="T96" s="34" t="n">
        <v>0.662</v>
      </c>
      <c r="U96" s="34" t="n">
        <v>0.695</v>
      </c>
      <c r="V96" s="42" t="n">
        <v>0.1049</v>
      </c>
      <c r="W96" s="42" t="n">
        <v>1</v>
      </c>
      <c r="X96" s="42" t="n">
        <v>0.85</v>
      </c>
      <c r="Y96" s="44" t="inlineStr">
        <is>
          <t>قريب من المستهدف — فجوة 13٪، متابعة لإغلاقها.</t>
        </is>
      </c>
      <c r="Z96" s="41" t="inlineStr">
        <is>
          <t>متابعة أسبوعية حتى بلوغ المستهدف.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34" t="inlineStr">
        <is>
          <t>%</t>
        </is>
      </c>
      <c r="F97" s="34" t="inlineStr">
        <is>
          <t>↑</t>
        </is>
      </c>
      <c r="G97" s="15" t="inlineStr">
        <is>
          <t>🔴 رئيسي</t>
        </is>
      </c>
      <c r="H97" s="42" t="n">
        <v>0.07000000000000001</v>
      </c>
      <c r="I97" s="34" t="n">
        <v>0.9</v>
      </c>
      <c r="J97" s="34" t="n">
        <v>0.894</v>
      </c>
      <c r="K97" s="42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34" t="n">
        <v>0.743</v>
      </c>
      <c r="T97" s="34" t="n">
        <v>0.819</v>
      </c>
      <c r="U97" s="34" t="n">
        <v>0.894</v>
      </c>
      <c r="V97" s="42" t="n">
        <v>0.2032</v>
      </c>
      <c r="W97" s="42" t="n">
        <v>0.9</v>
      </c>
      <c r="X97" s="42" t="n">
        <v>0.75</v>
      </c>
      <c r="Y97" s="44" t="inlineStr"/>
      <c r="Z97" s="41" t="inlineStr"/>
    </row>
    <row r="98">
      <c r="A98" s="9" t="inlineStr">
        <is>
          <t>التقنية الرقمية</t>
        </is>
      </c>
      <c r="B98" s="9" t="inlineStr">
        <is>
          <t>أداء المشاريع</t>
        </is>
      </c>
      <c r="C98" s="9" t="inlineStr">
        <is>
          <t>نسبة إنجاز محفظة مشاريع التحول الرقمي</t>
        </is>
      </c>
      <c r="D98" s="15" t="inlineStr">
        <is>
          <t>🎯 نتيجة</t>
        </is>
      </c>
      <c r="E98" s="34" t="inlineStr">
        <is>
          <t>%</t>
        </is>
      </c>
      <c r="F98" s="34" t="inlineStr">
        <is>
          <t>↑</t>
        </is>
      </c>
      <c r="G98" s="15" t="inlineStr">
        <is>
          <t>🟠 مهم</t>
        </is>
      </c>
      <c r="H98" s="42" t="n">
        <v>0.1</v>
      </c>
      <c r="I98" s="34" t="n">
        <v>1</v>
      </c>
      <c r="J98" s="34" t="n">
        <v>0.06</v>
      </c>
      <c r="K98" s="42" t="n">
        <v>0.06</v>
      </c>
      <c r="L98" s="27" t="inlineStr">
        <is>
          <t>🔴 تحت الهدف</t>
        </is>
      </c>
      <c r="M98" s="27" t="inlineStr">
        <is>
          <t>الابتكار</t>
        </is>
      </c>
      <c r="N98" s="13" t="inlineStr">
        <is>
          <t>التحول التقني</t>
        </is>
      </c>
      <c r="O98" s="15" t="inlineStr">
        <is>
          <t>التعلّم والنمو</t>
        </is>
      </c>
      <c r="P98" s="15" t="inlineStr">
        <is>
          <t>مدير التقنية</t>
        </is>
      </c>
      <c r="Q98" s="13" t="inlineStr">
        <is>
          <t>سجلات الإدارة</t>
        </is>
      </c>
      <c r="R98" s="15" t="inlineStr">
        <is>
          <t>شهري</t>
        </is>
      </c>
      <c r="S98" s="34" t="n">
        <v>0.055</v>
      </c>
      <c r="T98" s="34" t="n">
        <v>0.057</v>
      </c>
      <c r="U98" s="34" t="n">
        <v>0.06</v>
      </c>
      <c r="V98" s="42" t="n">
        <v>0.09089999999999999</v>
      </c>
      <c r="W98" s="42" t="n">
        <v>1</v>
      </c>
      <c r="X98" s="42" t="n">
        <v>0.85</v>
      </c>
      <c r="Y98" s="45" t="inlineStr">
        <is>
          <t>دون المستهدف — فجوة 94٪، يتطلب إجراءً تصحيحياً عاجلاً.</t>
        </is>
      </c>
      <c r="Z98" s="41" t="inlineStr">
        <is>
          <t>إطلاق إجراء تصحيحي خلال 30 يوماً بإشراف مدير التقنية.</t>
        </is>
      </c>
    </row>
    <row r="99">
      <c r="A99" s="9" t="inlineStr">
        <is>
          <t>التقنية الرقمية</t>
        </is>
      </c>
      <c r="B99" s="9" t="inlineStr">
        <is>
          <t>أداء المشاريع</t>
        </is>
      </c>
      <c r="C99" s="9" t="inlineStr">
        <is>
          <t>معدل تسليم المشاريع في الموعد المحدد</t>
        </is>
      </c>
      <c r="D99" s="15" t="inlineStr">
        <is>
          <t>🔧 تشغيلي</t>
        </is>
      </c>
      <c r="E99" s="34" t="inlineStr">
        <is>
          <t>%</t>
        </is>
      </c>
      <c r="F99" s="34" t="inlineStr">
        <is>
          <t>↑</t>
        </is>
      </c>
      <c r="G99" s="15" t="inlineStr">
        <is>
          <t>🟠 مهم</t>
        </is>
      </c>
      <c r="H99" s="42" t="n">
        <v>0.1</v>
      </c>
      <c r="I99" s="34" t="n">
        <v>0.9</v>
      </c>
      <c r="J99" s="34" t="n">
        <v>0.83</v>
      </c>
      <c r="K99" s="42" t="n">
        <v>0.9222222222222222</v>
      </c>
      <c r="L99" s="27" t="inlineStr">
        <is>
          <t>🟡 قريب</t>
        </is>
      </c>
      <c r="M99" s="27" t="inlineStr">
        <is>
          <t>الابتكار</t>
        </is>
      </c>
      <c r="N99" s="13" t="inlineStr">
        <is>
          <t>التحول التقني</t>
        </is>
      </c>
      <c r="O99" s="15" t="inlineStr">
        <is>
          <t>العمليات الداخلية</t>
        </is>
      </c>
      <c r="P99" s="15" t="inlineStr">
        <is>
          <t>مدير التقنية</t>
        </is>
      </c>
      <c r="Q99" s="13" t="inlineStr">
        <is>
          <t>سجلات الإدارة</t>
        </is>
      </c>
      <c r="R99" s="15" t="inlineStr">
        <is>
          <t>شهري</t>
        </is>
      </c>
      <c r="S99" s="34" t="n">
        <v>0.712</v>
      </c>
      <c r="T99" s="34" t="n">
        <v>0.771</v>
      </c>
      <c r="U99" s="34" t="n">
        <v>0.83</v>
      </c>
      <c r="V99" s="42" t="n">
        <v>0.1657</v>
      </c>
      <c r="W99" s="42" t="n">
        <v>1</v>
      </c>
      <c r="X99" s="42" t="n">
        <v>0.85</v>
      </c>
      <c r="Y99" s="44" t="inlineStr">
        <is>
          <t>قريب من المستهدف — فجوة 8٪، متابعة لإغلاقها.</t>
        </is>
      </c>
      <c r="Z99" s="41" t="inlineStr">
        <is>
          <t>متابعة أسبوعية حتى بلوغ المستهدف.</t>
        </is>
      </c>
    </row>
    <row r="100">
      <c r="A100" s="9" t="inlineStr">
        <is>
          <t>التقنية الرقمية</t>
        </is>
      </c>
      <c r="B100" s="9" t="inlineStr">
        <is>
          <t>أداء المشاريع</t>
        </is>
      </c>
      <c r="C100" s="9" t="inlineStr">
        <is>
          <t>نسبة الالتزام بميزانية المشاريع</t>
        </is>
      </c>
      <c r="D100" s="15" t="inlineStr">
        <is>
          <t>🎯 نتيجة</t>
        </is>
      </c>
      <c r="E100" s="34" t="inlineStr">
        <is>
          <t>%</t>
        </is>
      </c>
      <c r="F100" s="34" t="inlineStr">
        <is>
          <t>↑</t>
        </is>
      </c>
      <c r="G100" s="15" t="inlineStr">
        <is>
          <t>🟠 مهم</t>
        </is>
      </c>
      <c r="H100" s="42" t="n">
        <v>0.1</v>
      </c>
      <c r="I100" s="34" t="n">
        <v>0.95</v>
      </c>
      <c r="J100" s="34" t="n">
        <v>0.753</v>
      </c>
      <c r="K100" s="42" t="n">
        <v>0.7926315789473685</v>
      </c>
      <c r="L100" s="27" t="inlineStr">
        <is>
          <t>🔴 تحت الهدف</t>
        </is>
      </c>
      <c r="M100" s="27" t="inlineStr">
        <is>
          <t>الابتكار</t>
        </is>
      </c>
      <c r="N100" s="13" t="inlineStr">
        <is>
          <t>التحول التقني</t>
        </is>
      </c>
      <c r="O100" s="15" t="inlineStr">
        <is>
          <t>العمليات الداخلية</t>
        </is>
      </c>
      <c r="P100" s="15" t="inlineStr">
        <is>
          <t>مدير التقنية</t>
        </is>
      </c>
      <c r="Q100" s="13" t="inlineStr">
        <is>
          <t>نظام المحاسبة / ERP (D365)</t>
        </is>
      </c>
      <c r="R100" s="15" t="inlineStr">
        <is>
          <t>شهري</t>
        </is>
      </c>
      <c r="S100" s="34" t="n">
        <v>0.647</v>
      </c>
      <c r="T100" s="34" t="n">
        <v>0.7</v>
      </c>
      <c r="U100" s="34" t="n">
        <v>0.753</v>
      </c>
      <c r="V100" s="42" t="n">
        <v>0.1638</v>
      </c>
      <c r="W100" s="42" t="n">
        <v>1</v>
      </c>
      <c r="X100" s="42" t="n">
        <v>0.85</v>
      </c>
      <c r="Y100" s="45" t="inlineStr">
        <is>
          <t>دون المستهدف — فجوة 21٪، يتطلب إجراءً تصحيحياً عاجلاً.</t>
        </is>
      </c>
      <c r="Z100" s="41" t="inlineStr">
        <is>
          <t>إطلاق إجراء تصحيحي خلال 30 يوماً بإشراف مدير التقنية.</t>
        </is>
      </c>
    </row>
    <row r="101">
      <c r="A101" s="9" t="inlineStr">
        <is>
          <t>التقنية الرقمية</t>
        </is>
      </c>
      <c r="B101" s="9" t="inlineStr">
        <is>
          <t>أداء المشاريع</t>
        </is>
      </c>
      <c r="C101" s="9" t="inlineStr">
        <is>
          <t>نسبة الالتزام بنطاق العمل</t>
        </is>
      </c>
      <c r="D101" s="15" t="inlineStr">
        <is>
          <t>🎯 نتيجة</t>
        </is>
      </c>
      <c r="E101" s="34" t="inlineStr">
        <is>
          <t>%</t>
        </is>
      </c>
      <c r="F101" s="34" t="inlineStr">
        <is>
          <t>↑</t>
        </is>
      </c>
      <c r="G101" s="15" t="inlineStr">
        <is>
          <t>🟠 مهم</t>
        </is>
      </c>
      <c r="H101" s="42" t="n">
        <v>0.1</v>
      </c>
      <c r="I101" s="34" t="n">
        <v>0.95</v>
      </c>
      <c r="J101" s="34" t="n">
        <v>0.703</v>
      </c>
      <c r="K101" s="42" t="n">
        <v>0.74</v>
      </c>
      <c r="L101" s="27" t="inlineStr">
        <is>
          <t>🔴 تحت الهدف</t>
        </is>
      </c>
      <c r="M101" s="27" t="inlineStr">
        <is>
          <t>الابتكار</t>
        </is>
      </c>
      <c r="N101" s="13" t="inlineStr">
        <is>
          <t>التحول التقني</t>
        </is>
      </c>
      <c r="O101" s="15" t="inlineStr">
        <is>
          <t>العمليات الداخلية</t>
        </is>
      </c>
      <c r="P101" s="15" t="inlineStr">
        <is>
          <t>مدير التقنية</t>
        </is>
      </c>
      <c r="Q101" s="13" t="inlineStr">
        <is>
          <t>سجلات الإدارة</t>
        </is>
      </c>
      <c r="R101" s="15" t="inlineStr">
        <is>
          <t>شهري</t>
        </is>
      </c>
      <c r="S101" s="34" t="n">
        <v>0.575</v>
      </c>
      <c r="T101" s="34" t="n">
        <v>0.639</v>
      </c>
      <c r="U101" s="34" t="n">
        <v>0.703</v>
      </c>
      <c r="V101" s="42" t="n">
        <v>0.2226</v>
      </c>
      <c r="W101" s="42" t="n">
        <v>1</v>
      </c>
      <c r="X101" s="42" t="n">
        <v>0.85</v>
      </c>
      <c r="Y101" s="45" t="inlineStr">
        <is>
          <t>دون المستهدف — فجوة 26٪، يتطلب إجراءً تصحيحياً عاجلاً.</t>
        </is>
      </c>
      <c r="Z101" s="41" t="inlineStr">
        <is>
          <t>إطلاق إجراء تصحيحي خلال 30 يوماً بإشراف مدير التقنية.</t>
        </is>
      </c>
    </row>
    <row r="102">
      <c r="A102" s="9" t="inlineStr">
        <is>
          <t>التقنية الرقمية</t>
        </is>
      </c>
      <c r="B102" s="9" t="inlineStr">
        <is>
          <t>الكفاءة التشغيلية</t>
        </is>
      </c>
      <c r="C102" s="9" t="inlineStr">
        <is>
          <t>نسبة تفعيل الأنظمة الأساسية بالمحطات</t>
        </is>
      </c>
      <c r="D102" s="15" t="inlineStr">
        <is>
          <t>🔧 تشغيلي</t>
        </is>
      </c>
      <c r="E102" s="34" t="inlineStr">
        <is>
          <t>%</t>
        </is>
      </c>
      <c r="F102" s="34" t="inlineStr">
        <is>
          <t>↑</t>
        </is>
      </c>
      <c r="G102" s="15" t="inlineStr">
        <is>
          <t>🏁 معلم</t>
        </is>
      </c>
      <c r="H102" s="42" t="n">
        <v>0.15</v>
      </c>
      <c r="I102" s="34" t="n">
        <v>1</v>
      </c>
      <c r="J102" s="34" t="n">
        <v>0.33</v>
      </c>
      <c r="K102" s="42" t="n">
        <v>0.33</v>
      </c>
      <c r="L102" s="27" t="inlineStr">
        <is>
          <t>🔴 تحت الهدف</t>
        </is>
      </c>
      <c r="M102" s="27" t="inlineStr">
        <is>
          <t>الاستدامة</t>
        </is>
      </c>
      <c r="N102" s="13" t="inlineStr">
        <is>
          <t>جودة التشغيل</t>
        </is>
      </c>
      <c r="O102" s="15" t="inlineStr">
        <is>
          <t>التعلّم والنمو</t>
        </is>
      </c>
      <c r="P102" s="15" t="inlineStr">
        <is>
          <t>مدير التقنية</t>
        </is>
      </c>
      <c r="Q102" s="13" t="inlineStr">
        <is>
          <t>مكتب إدارة المشاريع (PMO)</t>
        </is>
      </c>
      <c r="R102" s="15" t="inlineStr">
        <is>
          <t>شهري</t>
        </is>
      </c>
      <c r="S102" s="34" t="n">
        <v>0.296</v>
      </c>
      <c r="T102" s="34" t="n">
        <v>0.313</v>
      </c>
      <c r="U102" s="34" t="n">
        <v>0.33</v>
      </c>
      <c r="V102" s="42" t="n">
        <v>0.1149</v>
      </c>
      <c r="W102" s="42" t="n">
        <v>1</v>
      </c>
      <c r="X102" s="42" t="n">
        <v>0.85</v>
      </c>
      <c r="Y102" s="45" t="inlineStr">
        <is>
          <t>دون المستهدف — فجوة 67٪، يتطلب إجراءً تصحيحياً عاجلاً.</t>
        </is>
      </c>
      <c r="Z102" s="41" t="inlineStr">
        <is>
          <t>إطلاق إجراء تصحيحي خلال 30 يوماً بإشراف مدير التقنية.</t>
        </is>
      </c>
    </row>
    <row r="103">
      <c r="A103" s="9" t="inlineStr">
        <is>
          <t>التقنية الرقمية</t>
        </is>
      </c>
      <c r="B103" s="9" t="inlineStr">
        <is>
          <t>الكفاءة التشغيلية</t>
        </is>
      </c>
      <c r="C103" s="9" t="inlineStr">
        <is>
          <t>متوسط جاهزية أنظمة المركز الرئيسي (Uptime)</t>
        </is>
      </c>
      <c r="D103" s="15" t="inlineStr">
        <is>
          <t>🎯 نتيجة</t>
        </is>
      </c>
      <c r="E103" s="34" t="inlineStr">
        <is>
          <t>%</t>
        </is>
      </c>
      <c r="F103" s="34" t="inlineStr">
        <is>
          <t>↑</t>
        </is>
      </c>
      <c r="G103" s="15" t="inlineStr">
        <is>
          <t>🔴 رئيسي</t>
        </is>
      </c>
      <c r="H103" s="42" t="n">
        <v>0.15</v>
      </c>
      <c r="I103" s="34" t="n">
        <v>0.99</v>
      </c>
      <c r="J103" s="34" t="n">
        <v>0.9</v>
      </c>
      <c r="K103" s="42" t="n">
        <v>0.9090909090909092</v>
      </c>
      <c r="L103" s="27" t="inlineStr">
        <is>
          <t>🔴 تحت الهدف</t>
        </is>
      </c>
      <c r="M103" s="27" t="inlineStr">
        <is>
          <t>الاستدامة</t>
        </is>
      </c>
      <c r="N103" s="13" t="inlineStr">
        <is>
          <t>جودة التشغيل</t>
        </is>
      </c>
      <c r="O103" s="15" t="inlineStr">
        <is>
          <t>التعلّم والنمو</t>
        </is>
      </c>
      <c r="P103" s="15" t="inlineStr">
        <is>
          <t>مدير التقنية</t>
        </is>
      </c>
      <c r="Q103" s="13" t="inlineStr">
        <is>
          <t>مكتب إدارة المشاريع (PMO)</t>
        </is>
      </c>
      <c r="R103" s="15" t="inlineStr">
        <is>
          <t>شهري</t>
        </is>
      </c>
      <c r="S103" s="34" t="n">
        <v>0.828</v>
      </c>
      <c r="T103" s="34" t="n">
        <v>0.864</v>
      </c>
      <c r="U103" s="34" t="n">
        <v>0.9</v>
      </c>
      <c r="V103" s="42" t="n">
        <v>0.08699999999999999</v>
      </c>
      <c r="W103" s="42" t="n">
        <v>1</v>
      </c>
      <c r="X103" s="42" t="n">
        <v>0.97</v>
      </c>
      <c r="Y103" s="45" t="inlineStr">
        <is>
          <t>دون المستهدف — فجوة 9٪، يتطلب إجراءً تصحيحياً عاجلاً.</t>
        </is>
      </c>
      <c r="Z103" s="41" t="inlineStr">
        <is>
          <t>إطلاق إجراء تصحيحي خلال 30 يوماً بإشراف مدير التقنية.</t>
        </is>
      </c>
    </row>
    <row r="104">
      <c r="A104" s="9" t="inlineStr">
        <is>
          <t>التقنية الرقمية</t>
        </is>
      </c>
      <c r="B104" s="9" t="inlineStr">
        <is>
          <t>الكفاءة التشغيلية</t>
        </is>
      </c>
      <c r="C104" s="9" t="inlineStr">
        <is>
          <t>نسبة الامتثال للأمن السيبراني</t>
        </is>
      </c>
      <c r="D104" s="15" t="inlineStr">
        <is>
          <t>🎯 نتيجة</t>
        </is>
      </c>
      <c r="E104" s="34" t="inlineStr">
        <is>
          <t>%</t>
        </is>
      </c>
      <c r="F104" s="34" t="inlineStr">
        <is>
          <t>↑</t>
        </is>
      </c>
      <c r="G104" s="15" t="inlineStr">
        <is>
          <t>🟠 مهم</t>
        </is>
      </c>
      <c r="H104" s="42" t="n">
        <v>0.1</v>
      </c>
      <c r="I104" s="34" t="n">
        <v>1</v>
      </c>
      <c r="J104" s="34" t="n">
        <v>0.3</v>
      </c>
      <c r="K104" s="42" t="n">
        <v>0.3</v>
      </c>
      <c r="L104" s="27" t="inlineStr">
        <is>
          <t>🔴 تحت الهدف</t>
        </is>
      </c>
      <c r="M104" s="27" t="inlineStr">
        <is>
          <t>الاستدامة</t>
        </is>
      </c>
      <c r="N104" s="13" t="inlineStr">
        <is>
          <t>جودة التشغيل</t>
        </is>
      </c>
      <c r="O104" s="15" t="inlineStr">
        <is>
          <t>التعلّم والنمو</t>
        </is>
      </c>
      <c r="P104" s="15" t="inlineStr">
        <is>
          <t>مدير التقنية</t>
        </is>
      </c>
      <c r="Q104" s="13" t="inlineStr">
        <is>
          <t>مكتب إدارة المشاريع (PMO)</t>
        </is>
      </c>
      <c r="R104" s="15" t="inlineStr">
        <is>
          <t>شهري</t>
        </is>
      </c>
      <c r="S104" s="34" t="n">
        <v>0.261</v>
      </c>
      <c r="T104" s="34" t="n">
        <v>0.28</v>
      </c>
      <c r="U104" s="34" t="n">
        <v>0.3</v>
      </c>
      <c r="V104" s="42" t="n">
        <v>0.1494</v>
      </c>
      <c r="W104" s="42" t="n">
        <v>1</v>
      </c>
      <c r="X104" s="42" t="n">
        <v>0.97</v>
      </c>
      <c r="Y104" s="45" t="inlineStr">
        <is>
          <t>دون المستهدف — فجوة 70٪، يتطلب إجراءً تصحيحياً عاجلاً.</t>
        </is>
      </c>
      <c r="Z104" s="41" t="inlineStr">
        <is>
          <t>إطلاق إجراء تصحيحي خلال 30 يوماً بإشراف مدير التقنية.</t>
        </is>
      </c>
    </row>
    <row r="105">
      <c r="A105" s="9" t="inlineStr">
        <is>
          <t>التقنية الرقمية</t>
        </is>
      </c>
      <c r="B105" s="9" t="inlineStr">
        <is>
          <t>الكفاءة التشغيلية</t>
        </is>
      </c>
      <c r="C105" s="9" t="inlineStr">
        <is>
          <t>متوسط زمن استجابة الدعم الفني</t>
        </is>
      </c>
      <c r="D105" s="15" t="inlineStr">
        <is>
          <t>🔧 تشغيلي</t>
        </is>
      </c>
      <c r="E105" s="34" t="inlineStr">
        <is>
          <t>ساعة</t>
        </is>
      </c>
      <c r="F105" s="34" t="inlineStr">
        <is>
          <t>↓</t>
        </is>
      </c>
      <c r="G105" s="15" t="inlineStr">
        <is>
          <t>🟠 مهم</t>
        </is>
      </c>
      <c r="H105" s="42" t="n">
        <v>0.1</v>
      </c>
      <c r="I105" s="34" t="n">
        <v>1</v>
      </c>
      <c r="J105" s="34" t="n">
        <v>0.8</v>
      </c>
      <c r="K105" s="42" t="n">
        <v>1</v>
      </c>
      <c r="L105" s="27" t="inlineStr">
        <is>
          <t>✅ محقق</t>
        </is>
      </c>
      <c r="M105" s="27" t="inlineStr">
        <is>
          <t>الاستدامة</t>
        </is>
      </c>
      <c r="N105" s="13" t="inlineStr">
        <is>
          <t>جودة التشغيل</t>
        </is>
      </c>
      <c r="O105" s="15" t="inlineStr">
        <is>
          <t>العمليات الداخلية</t>
        </is>
      </c>
      <c r="P105" s="15" t="inlineStr">
        <is>
          <t>مدير التقنية</t>
        </is>
      </c>
      <c r="Q105" s="13" t="inlineStr">
        <is>
          <t>سجلات الإدارة</t>
        </is>
      </c>
      <c r="R105" s="15" t="inlineStr">
        <is>
          <t>شهري</t>
        </is>
      </c>
      <c r="S105" s="34" t="n">
        <v>0.948</v>
      </c>
      <c r="T105" s="34" t="n">
        <v>0.874</v>
      </c>
      <c r="U105" s="34" t="n">
        <v>0.8</v>
      </c>
      <c r="V105" s="42" t="n">
        <v>-0.1561</v>
      </c>
      <c r="W105" s="42" t="n">
        <v>1</v>
      </c>
      <c r="X105" s="42" t="n">
        <v>0.85</v>
      </c>
      <c r="Y105" s="44" t="inlineStr"/>
      <c r="Z105" s="41" t="inlineStr"/>
    </row>
    <row r="106">
      <c r="A106" s="9" t="inlineStr">
        <is>
          <t>التقنية الرقمية</t>
        </is>
      </c>
      <c r="B106" s="9" t="inlineStr">
        <is>
          <t>الكفاءة التشغيلية</t>
        </is>
      </c>
      <c r="C106" s="9" t="inlineStr">
        <is>
          <t>نسبة التكامل الرقمي (ERP/واثق/الولاء)</t>
        </is>
      </c>
      <c r="D106" s="15" t="inlineStr">
        <is>
          <t>🔧 تشغيلي</t>
        </is>
      </c>
      <c r="E106" s="34" t="inlineStr">
        <is>
          <t>%</t>
        </is>
      </c>
      <c r="F106" s="34" t="inlineStr">
        <is>
          <t>↑</t>
        </is>
      </c>
      <c r="G106" s="15" t="inlineStr">
        <is>
          <t>🟠 مهم</t>
        </is>
      </c>
      <c r="H106" s="42" t="n">
        <v>0.1</v>
      </c>
      <c r="I106" s="34" t="n">
        <v>1</v>
      </c>
      <c r="J106" s="34" t="n">
        <v>0.2</v>
      </c>
      <c r="K106" s="42" t="n">
        <v>0.2</v>
      </c>
      <c r="L106" s="27" t="inlineStr">
        <is>
          <t>🔴 تحت الهدف</t>
        </is>
      </c>
      <c r="M106" s="27" t="inlineStr">
        <is>
          <t>الاستدامة</t>
        </is>
      </c>
      <c r="N106" s="13" t="inlineStr">
        <is>
          <t>جودة التشغيل</t>
        </is>
      </c>
      <c r="O106" s="15" t="inlineStr">
        <is>
          <t>التعلّم والنمو</t>
        </is>
      </c>
      <c r="P106" s="15" t="inlineStr">
        <is>
          <t>مدير التقنية</t>
        </is>
      </c>
      <c r="Q106" s="13" t="inlineStr">
        <is>
          <t>أنظمة التسويق الرقمي / تانكي</t>
        </is>
      </c>
      <c r="R106" s="15" t="inlineStr">
        <is>
          <t>شهري</t>
        </is>
      </c>
      <c r="S106" s="34" t="n">
        <v>0.173</v>
      </c>
      <c r="T106" s="34" t="n">
        <v>0.186</v>
      </c>
      <c r="U106" s="34" t="n">
        <v>0.2</v>
      </c>
      <c r="V106" s="42" t="n">
        <v>0.1561</v>
      </c>
      <c r="W106" s="42" t="n">
        <v>1</v>
      </c>
      <c r="X106" s="42" t="n">
        <v>0.85</v>
      </c>
      <c r="Y106" s="45" t="inlineStr">
        <is>
          <t>دون المستهدف — فجوة 80٪، يتطلب إجراءً تصحيحياً عاجلاً.</t>
        </is>
      </c>
      <c r="Z106" s="41" t="inlineStr">
        <is>
          <t>إطلاق إجراء تصحيحي خلال 30 يوماً بإشراف مدير التقنية.</t>
        </is>
      </c>
    </row>
    <row r="107">
      <c r="A107" s="9" t="inlineStr">
        <is>
          <t>الموارد البشرية</t>
        </is>
      </c>
      <c r="B107" s="9" t="inlineStr">
        <is>
          <t>التوظيف والتوطين</t>
        </is>
      </c>
      <c r="C107" s="9" t="inlineStr">
        <is>
          <t>نسبة السعودة / التوطين</t>
        </is>
      </c>
      <c r="D107" s="15" t="inlineStr">
        <is>
          <t>🎯 نتيجة</t>
        </is>
      </c>
      <c r="E107" s="34" t="inlineStr">
        <is>
          <t>%</t>
        </is>
      </c>
      <c r="F107" s="34" t="inlineStr">
        <is>
          <t>↑</t>
        </is>
      </c>
      <c r="G107" s="15" t="inlineStr">
        <is>
          <t>🟠 مهم</t>
        </is>
      </c>
      <c r="H107" s="42" t="n">
        <v>0.06</v>
      </c>
      <c r="I107" s="34" t="n"/>
      <c r="J107" s="34" t="n"/>
      <c r="K107" s="42" t="n"/>
      <c r="L107" s="27" t="inlineStr">
        <is>
          <t>⏳ بانتظار هدف</t>
        </is>
      </c>
      <c r="M107" s="27" t="inlineStr">
        <is>
          <t>الاستدامة</t>
        </is>
      </c>
      <c r="N107" s="13" t="inlineStr">
        <is>
          <t>الاستثمار في الموظفين</t>
        </is>
      </c>
      <c r="O107" s="15" t="inlineStr">
        <is>
          <t>التعلّم والنمو</t>
        </is>
      </c>
      <c r="P107" s="15" t="inlineStr">
        <is>
          <t>مدير الموارد البشرية</t>
        </is>
      </c>
      <c r="Q107" s="13" t="inlineStr">
        <is>
          <t>نظام الموارد البشرية (HRMS)</t>
        </is>
      </c>
      <c r="R107" s="15" t="inlineStr">
        <is>
          <t>شهري</t>
        </is>
      </c>
      <c r="S107" s="34" t="n"/>
      <c r="T107" s="34" t="n"/>
      <c r="U107" s="34" t="n"/>
      <c r="V107" s="42" t="n"/>
      <c r="W107" s="42" t="n">
        <v>1</v>
      </c>
      <c r="X107" s="42" t="n">
        <v>0.85</v>
      </c>
      <c r="Y107" s="44" t="inlineStr"/>
      <c r="Z107" s="41" t="inlineStr"/>
    </row>
    <row r="108">
      <c r="A108" s="9" t="inlineStr">
        <is>
          <t>الموارد البشرية</t>
        </is>
      </c>
      <c r="B108" s="9" t="inlineStr">
        <is>
          <t>التوظيف والتوطين</t>
        </is>
      </c>
      <c r="C108" s="9" t="inlineStr">
        <is>
          <t>الارتقاء بآليات اختيار المرشحين</t>
        </is>
      </c>
      <c r="D108" s="15" t="inlineStr">
        <is>
          <t>🔧 تشغيلي</t>
        </is>
      </c>
      <c r="E108" s="34" t="inlineStr">
        <is>
          <t>%</t>
        </is>
      </c>
      <c r="F108" s="34" t="inlineStr">
        <is>
          <t>↑</t>
        </is>
      </c>
      <c r="G108" s="15" t="inlineStr">
        <is>
          <t>🟠 مهم</t>
        </is>
      </c>
      <c r="H108" s="42" t="n">
        <v>0.06</v>
      </c>
      <c r="I108" s="34" t="n">
        <v>1</v>
      </c>
      <c r="J108" s="34" t="n">
        <v>0.723</v>
      </c>
      <c r="K108" s="42" t="n">
        <v>0.723</v>
      </c>
      <c r="L108" s="27" t="inlineStr">
        <is>
          <t>🔴 تحت الهدف</t>
        </is>
      </c>
      <c r="M108" s="27" t="inlineStr">
        <is>
          <t>الاستدامة</t>
        </is>
      </c>
      <c r="N108" s="13" t="inlineStr">
        <is>
          <t>الاستثمار في الموظفين</t>
        </is>
      </c>
      <c r="O108" s="15" t="inlineStr">
        <is>
          <t>العمليات الداخلية</t>
        </is>
      </c>
      <c r="P108" s="15" t="inlineStr">
        <is>
          <t>مدير الموارد البشرية</t>
        </is>
      </c>
      <c r="Q108" s="13" t="inlineStr">
        <is>
          <t>نظام الموارد البشرية (HRMS)</t>
        </is>
      </c>
      <c r="R108" s="15" t="inlineStr">
        <is>
          <t>شهري</t>
        </is>
      </c>
      <c r="S108" s="34" t="n">
        <v>0.602</v>
      </c>
      <c r="T108" s="34" t="n">
        <v>0.662</v>
      </c>
      <c r="U108" s="34" t="n">
        <v>0.723</v>
      </c>
      <c r="V108" s="42" t="n">
        <v>0.201</v>
      </c>
      <c r="W108" s="42" t="n">
        <v>1</v>
      </c>
      <c r="X108" s="42" t="n">
        <v>0.85</v>
      </c>
      <c r="Y108" s="45" t="inlineStr">
        <is>
          <t>دون المستهدف — فجوة 28٪، يتطلب إجراءً تصحيحياً عاجلاً.</t>
        </is>
      </c>
      <c r="Z108" s="41" t="inlineStr">
        <is>
          <t>إطلاق إجراء تصحيحي خلال 30 يوماً بإشراف مدير الموارد البشرية.</t>
        </is>
      </c>
    </row>
    <row r="109">
      <c r="A109" s="9" t="inlineStr">
        <is>
          <t>الموارد البشرية</t>
        </is>
      </c>
      <c r="B109" s="9" t="inlineStr">
        <is>
          <t>التوظيف والتوطين</t>
        </is>
      </c>
      <c r="C109" s="9" t="inlineStr">
        <is>
          <t>نسبة شغل الشواغر خلال 30 يوم</t>
        </is>
      </c>
      <c r="D109" s="15" t="inlineStr">
        <is>
          <t>🔧 تشغيلي</t>
        </is>
      </c>
      <c r="E109" s="34" t="inlineStr">
        <is>
          <t>%</t>
        </is>
      </c>
      <c r="F109" s="34" t="inlineStr">
        <is>
          <t>↑</t>
        </is>
      </c>
      <c r="G109" s="15" t="inlineStr">
        <is>
          <t>🟠 مهم</t>
        </is>
      </c>
      <c r="H109" s="42" t="n">
        <v>0.06</v>
      </c>
      <c r="I109" s="34" t="n">
        <v>0.85</v>
      </c>
      <c r="J109" s="34" t="n">
        <v>0.73</v>
      </c>
      <c r="K109" s="42" t="n">
        <v>0.8588235294117647</v>
      </c>
      <c r="L109" s="27" t="inlineStr">
        <is>
          <t>🟡 قريب</t>
        </is>
      </c>
      <c r="M109" s="27" t="inlineStr">
        <is>
          <t>الاستدامة</t>
        </is>
      </c>
      <c r="N109" s="13" t="inlineStr">
        <is>
          <t>الاستثمار في الموظفين</t>
        </is>
      </c>
      <c r="O109" s="15" t="inlineStr">
        <is>
          <t>العمليات الداخلية</t>
        </is>
      </c>
      <c r="P109" s="15" t="inlineStr">
        <is>
          <t>مدير الموارد البشرية</t>
        </is>
      </c>
      <c r="Q109" s="13" t="inlineStr">
        <is>
          <t>نظام الموارد البشرية (HRMS)</t>
        </is>
      </c>
      <c r="R109" s="15" t="inlineStr">
        <is>
          <t>شهري</t>
        </is>
      </c>
      <c r="S109" s="34" t="n">
        <v>0.637</v>
      </c>
      <c r="T109" s="34" t="n">
        <v>0.6830000000000001</v>
      </c>
      <c r="U109" s="34" t="n">
        <v>0.73</v>
      </c>
      <c r="V109" s="42" t="n">
        <v>0.146</v>
      </c>
      <c r="W109" s="42" t="n">
        <v>1</v>
      </c>
      <c r="X109" s="42" t="n">
        <v>0.85</v>
      </c>
      <c r="Y109" s="44" t="inlineStr">
        <is>
          <t>قريب من المستهدف — فجوة 14٪، متابعة لإغلاقها.</t>
        </is>
      </c>
      <c r="Z109" s="41" t="inlineStr">
        <is>
          <t>متابعة أسبوعية حتى بلوغ المستهدف.</t>
        </is>
      </c>
    </row>
    <row r="110">
      <c r="A110" s="9" t="inlineStr">
        <is>
          <t>الموارد البشرية</t>
        </is>
      </c>
      <c r="B110" s="9" t="inlineStr">
        <is>
          <t>الاستبقاء</t>
        </is>
      </c>
      <c r="C110" s="9" t="inlineStr">
        <is>
          <t>معدل استبقاء الموظفين (Retention)</t>
        </is>
      </c>
      <c r="D110" s="15" t="inlineStr">
        <is>
          <t>🎯 نتيجة</t>
        </is>
      </c>
      <c r="E110" s="34" t="inlineStr">
        <is>
          <t>%</t>
        </is>
      </c>
      <c r="F110" s="34" t="inlineStr">
        <is>
          <t>↑</t>
        </is>
      </c>
      <c r="G110" s="15" t="inlineStr">
        <is>
          <t>🔴 رئيسي</t>
        </is>
      </c>
      <c r="H110" s="42" t="n">
        <v>0.08</v>
      </c>
      <c r="I110" s="34" t="n">
        <v>0.9</v>
      </c>
      <c r="J110" s="34" t="n">
        <v>0.795</v>
      </c>
      <c r="K110" s="42" t="n">
        <v>0.8833333333333333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الاستثمار في الموظفين</t>
        </is>
      </c>
      <c r="O110" s="15" t="inlineStr">
        <is>
          <t>التعلّم والنمو</t>
        </is>
      </c>
      <c r="P110" s="15" t="inlineStr">
        <is>
          <t>مدير الموارد البشرية</t>
        </is>
      </c>
      <c r="Q110" s="13" t="inlineStr">
        <is>
          <t>نظام الموارد البشرية (HRMS)</t>
        </is>
      </c>
      <c r="R110" s="15" t="inlineStr">
        <is>
          <t>شهري</t>
        </is>
      </c>
      <c r="S110" s="34" t="n">
        <v>0.658</v>
      </c>
      <c r="T110" s="34" t="n">
        <v>0.727</v>
      </c>
      <c r="U110" s="34" t="n">
        <v>0.795</v>
      </c>
      <c r="V110" s="42" t="n">
        <v>0.2082</v>
      </c>
      <c r="W110" s="42" t="n">
        <v>1</v>
      </c>
      <c r="X110" s="42" t="n">
        <v>0.85</v>
      </c>
      <c r="Y110" s="44" t="inlineStr">
        <is>
          <t>قريب من المستهدف — فجوة 12٪، متابعة لإغلاقها.</t>
        </is>
      </c>
      <c r="Z110" s="41" t="inlineStr">
        <is>
          <t>متابعة أسبوعية حتى بلوغ المستهدف.</t>
        </is>
      </c>
    </row>
    <row r="111">
      <c r="A111" s="9" t="inlineStr">
        <is>
          <t>الموارد البشرية</t>
        </is>
      </c>
      <c r="B111" s="9" t="inlineStr">
        <is>
          <t>الاستبقاء</t>
        </is>
      </c>
      <c r="C111" s="9" t="inlineStr">
        <is>
          <t>معدل دوران الموظفين (Turnover)</t>
        </is>
      </c>
      <c r="D111" s="15" t="inlineStr">
        <is>
          <t>🔧 تشغيلي</t>
        </is>
      </c>
      <c r="E111" s="34" t="inlineStr">
        <is>
          <t>%</t>
        </is>
      </c>
      <c r="F111" s="34" t="inlineStr">
        <is>
          <t>↓</t>
        </is>
      </c>
      <c r="G111" s="15" t="inlineStr">
        <is>
          <t>🟠 مهم</t>
        </is>
      </c>
      <c r="H111" s="42" t="n">
        <v>0.06</v>
      </c>
      <c r="I111" s="34" t="n">
        <v>0.1</v>
      </c>
      <c r="J111" s="34" t="n">
        <v>0.111</v>
      </c>
      <c r="K111" s="42" t="n">
        <v>0.9009009009009009</v>
      </c>
      <c r="L111" s="27" t="inlineStr">
        <is>
          <t>🟡 قريب</t>
        </is>
      </c>
      <c r="M111" s="27" t="inlineStr">
        <is>
          <t>الاستدامة</t>
        </is>
      </c>
      <c r="N111" s="13" t="inlineStr">
        <is>
          <t>الاستثمار في الموظفين</t>
        </is>
      </c>
      <c r="O111" s="15" t="inlineStr">
        <is>
          <t>التعلّم والنمو</t>
        </is>
      </c>
      <c r="P111" s="15" t="inlineStr">
        <is>
          <t>مدير الموارد البشرية</t>
        </is>
      </c>
      <c r="Q111" s="13" t="inlineStr">
        <is>
          <t>نظام الموارد البشرية (HRMS)</t>
        </is>
      </c>
      <c r="R111" s="15" t="inlineStr">
        <is>
          <t>شهري</t>
        </is>
      </c>
      <c r="S111" s="34" t="n">
        <v>0.128</v>
      </c>
      <c r="T111" s="34" t="n">
        <v>0.119</v>
      </c>
      <c r="U111" s="34" t="n">
        <v>0.111</v>
      </c>
      <c r="V111" s="42" t="n">
        <v>-0.1328</v>
      </c>
      <c r="W111" s="42" t="n">
        <v>1</v>
      </c>
      <c r="X111" s="42" t="n">
        <v>0.85</v>
      </c>
      <c r="Y111" s="44" t="inlineStr">
        <is>
          <t>قريب من المستهدف — فجوة 10٪، متابعة لإغلاقها.</t>
        </is>
      </c>
      <c r="Z111" s="41" t="inlineStr">
        <is>
          <t>متابعة أسبوعية حتى بلوغ المستهدف.</t>
        </is>
      </c>
    </row>
    <row r="112">
      <c r="A112" s="9" t="inlineStr">
        <is>
          <t>الموارد البشرية</t>
        </is>
      </c>
      <c r="B112" s="9" t="inlineStr">
        <is>
          <t>التدريب والتطوير</t>
        </is>
      </c>
      <c r="C112" s="9" t="inlineStr">
        <is>
          <t>عدد الدورات الإدارية المنعقدة</t>
        </is>
      </c>
      <c r="D112" s="15" t="inlineStr">
        <is>
          <t>⚙️ نشاط</t>
        </is>
      </c>
      <c r="E112" s="34" t="inlineStr">
        <is>
          <t>دورة</t>
        </is>
      </c>
      <c r="F112" s="34" t="inlineStr">
        <is>
          <t>↑</t>
        </is>
      </c>
      <c r="G112" s="15" t="inlineStr">
        <is>
          <t>🔴 رئيسي</t>
        </is>
      </c>
      <c r="H112" s="42" t="n">
        <v>0.08</v>
      </c>
      <c r="I112" s="34" t="n">
        <v>6</v>
      </c>
      <c r="J112" s="34" t="n">
        <v>4.53</v>
      </c>
      <c r="K112" s="42" t="n">
        <v>0.755</v>
      </c>
      <c r="L112" s="27" t="inlineStr">
        <is>
          <t>🔴 تحت الهدف</t>
        </is>
      </c>
      <c r="M112" s="27" t="inlineStr">
        <is>
          <t>الاستدامة</t>
        </is>
      </c>
      <c r="N112" s="13" t="inlineStr">
        <is>
          <t>الاستثمار في الموظفين</t>
        </is>
      </c>
      <c r="O112" s="15" t="inlineStr">
        <is>
          <t>العمليات الداخلية</t>
        </is>
      </c>
      <c r="P112" s="15" t="inlineStr">
        <is>
          <t>مدير الموارد البشرية</t>
        </is>
      </c>
      <c r="Q112" s="13" t="inlineStr">
        <is>
          <t>نظام الموارد البشرية (HRMS)</t>
        </is>
      </c>
      <c r="R112" s="15" t="inlineStr">
        <is>
          <t>شهري</t>
        </is>
      </c>
      <c r="S112" s="34" t="n">
        <v>3.643</v>
      </c>
      <c r="T112" s="34" t="n">
        <v>4.087</v>
      </c>
      <c r="U112" s="34" t="n">
        <v>9.06</v>
      </c>
      <c r="V112" s="42" t="n">
        <v>0.2435</v>
      </c>
      <c r="W112" s="42" t="n">
        <v>1</v>
      </c>
      <c r="X112" s="42" t="n">
        <v>0.85</v>
      </c>
      <c r="Y112" s="45" t="inlineStr">
        <is>
          <t>دون المستهدف — فجوة 24٪، يتطلب إجراءً تصحيحياً عاجلاً.</t>
        </is>
      </c>
      <c r="Z112" s="41" t="inlineStr">
        <is>
          <t>إطلاق إجراء تصحيحي خلال 30 يوماً بإشراف مدير الموارد البشرية.</t>
        </is>
      </c>
    </row>
    <row r="113">
      <c r="A113" s="9" t="inlineStr">
        <is>
          <t>الموارد البشرية</t>
        </is>
      </c>
      <c r="B113" s="9" t="inlineStr">
        <is>
          <t>التدريب والتطوير</t>
        </is>
      </c>
      <c r="C113" s="9" t="inlineStr">
        <is>
          <t>متوسط ساعات التدريب لكل موظف</t>
        </is>
      </c>
      <c r="D113" s="15" t="inlineStr">
        <is>
          <t>⚙️ نشاط</t>
        </is>
      </c>
      <c r="E113" s="34" t="inlineStr">
        <is>
          <t>ساعة</t>
        </is>
      </c>
      <c r="F113" s="34" t="inlineStr">
        <is>
          <t>↑</t>
        </is>
      </c>
      <c r="G113" s="15" t="inlineStr">
        <is>
          <t>🟠 مهم</t>
        </is>
      </c>
      <c r="H113" s="42" t="n">
        <v>0.06</v>
      </c>
      <c r="I113" s="34" t="n">
        <v>40</v>
      </c>
      <c r="J113" s="34" t="n">
        <v>33.6</v>
      </c>
      <c r="K113" s="42" t="n">
        <v>0.8400000000000001</v>
      </c>
      <c r="L113" s="27" t="inlineStr">
        <is>
          <t>🔴 تحت الهدف</t>
        </is>
      </c>
      <c r="M113" s="27" t="inlineStr">
        <is>
          <t>الاستدامة</t>
        </is>
      </c>
      <c r="N113" s="13" t="inlineStr">
        <is>
          <t>الاستثمار في الموظفين</t>
        </is>
      </c>
      <c r="O113" s="15" t="inlineStr">
        <is>
          <t>التعلّم والنمو</t>
        </is>
      </c>
      <c r="P113" s="15" t="inlineStr">
        <is>
          <t>مدير الموارد البشرية</t>
        </is>
      </c>
      <c r="Q113" s="13" t="inlineStr">
        <is>
          <t>نظام الموارد البشرية (HRMS)</t>
        </is>
      </c>
      <c r="R113" s="15" t="inlineStr">
        <is>
          <t>شهري</t>
        </is>
      </c>
      <c r="S113" s="34" t="n">
        <v>27.864</v>
      </c>
      <c r="T113" s="34" t="n">
        <v>30.732</v>
      </c>
      <c r="U113" s="34" t="n">
        <v>67.2</v>
      </c>
      <c r="V113" s="42" t="n">
        <v>0.2059</v>
      </c>
      <c r="W113" s="42" t="n">
        <v>1</v>
      </c>
      <c r="X113" s="42" t="n">
        <v>0.85</v>
      </c>
      <c r="Y113" s="45" t="inlineStr">
        <is>
          <t>دون المستهدف — فجوة 16٪، يتطلب إجراءً تصحيحياً عاجلاً.</t>
        </is>
      </c>
      <c r="Z113" s="41" t="inlineStr">
        <is>
          <t>إطلاق إجراء تصحيحي خلال 30 يوماً بإشراف مدير الموارد البشرية.</t>
        </is>
      </c>
    </row>
    <row r="114">
      <c r="A114" s="9" t="inlineStr">
        <is>
          <t>الموارد البشرية</t>
        </is>
      </c>
      <c r="B114" s="9" t="inlineStr">
        <is>
          <t>التدريب والتطوير</t>
        </is>
      </c>
      <c r="C114" s="9" t="inlineStr">
        <is>
          <t>نسبة الموظفين المشمولين بخطة تطوير</t>
        </is>
      </c>
      <c r="D114" s="15" t="inlineStr">
        <is>
          <t>🔧 تشغيلي</t>
        </is>
      </c>
      <c r="E114" s="34" t="inlineStr">
        <is>
          <t>%</t>
        </is>
      </c>
      <c r="F114" s="34" t="inlineStr">
        <is>
          <t>↑</t>
        </is>
      </c>
      <c r="G114" s="15" t="inlineStr">
        <is>
          <t>🟠 مهم</t>
        </is>
      </c>
      <c r="H114" s="42" t="n">
        <v>0.05</v>
      </c>
      <c r="I114" s="34" t="n">
        <v>0.8</v>
      </c>
      <c r="J114" s="34" t="n">
        <v>0.644</v>
      </c>
      <c r="K114" s="42" t="n">
        <v>0.8049999999999999</v>
      </c>
      <c r="L114" s="27" t="inlineStr">
        <is>
          <t>🔴 تحت الهدف</t>
        </is>
      </c>
      <c r="M114" s="27" t="inlineStr">
        <is>
          <t>الاستدامة</t>
        </is>
      </c>
      <c r="N114" s="13" t="inlineStr">
        <is>
          <t>الاستثمار في الموظفين</t>
        </is>
      </c>
      <c r="O114" s="15" t="inlineStr">
        <is>
          <t>التعلّم والنمو</t>
        </is>
      </c>
      <c r="P114" s="15" t="inlineStr">
        <is>
          <t>مدير الموارد البشرية</t>
        </is>
      </c>
      <c r="Q114" s="13" t="inlineStr">
        <is>
          <t>نظام الموارد البشرية (HRMS)</t>
        </is>
      </c>
      <c r="R114" s="15" t="inlineStr">
        <is>
          <t>شهري</t>
        </is>
      </c>
      <c r="S114" s="34" t="n">
        <v>0.573</v>
      </c>
      <c r="T114" s="34" t="n">
        <v>0.609</v>
      </c>
      <c r="U114" s="34" t="n">
        <v>0.644</v>
      </c>
      <c r="V114" s="42" t="n">
        <v>0.1239</v>
      </c>
      <c r="W114" s="42" t="n">
        <v>1</v>
      </c>
      <c r="X114" s="42" t="n">
        <v>0.85</v>
      </c>
      <c r="Y114" s="45" t="inlineStr">
        <is>
          <t>دون المستهدف — فجوة 20٪، يتطلب إجراءً تصحيحياً عاجلاً.</t>
        </is>
      </c>
      <c r="Z114" s="41" t="inlineStr">
        <is>
          <t>إطلاق إجراء تصحيحي خلال 30 يوماً بإشراف مدير الموارد البشرية.</t>
        </is>
      </c>
    </row>
    <row r="115">
      <c r="A115" s="9" t="inlineStr">
        <is>
          <t>الموارد البشرية</t>
        </is>
      </c>
      <c r="B115" s="9" t="inlineStr">
        <is>
          <t>الرضا والثقافة</t>
        </is>
      </c>
      <c r="C115" s="9" t="inlineStr">
        <is>
          <t>مؤشر رضا الموظفين (eNPS)</t>
        </is>
      </c>
      <c r="D115" s="15" t="inlineStr">
        <is>
          <t>🎯 نتيجة</t>
        </is>
      </c>
      <c r="E115" s="34" t="inlineStr">
        <is>
          <t>نقطة</t>
        </is>
      </c>
      <c r="F115" s="34" t="inlineStr">
        <is>
          <t>↑</t>
        </is>
      </c>
      <c r="G115" s="15" t="inlineStr">
        <is>
          <t>🔴 رئيسي</t>
        </is>
      </c>
      <c r="H115" s="42" t="n">
        <v>0.08</v>
      </c>
      <c r="I115" s="34" t="n">
        <v>30</v>
      </c>
      <c r="J115" s="34" t="n">
        <v>27.5</v>
      </c>
      <c r="K115" s="42" t="n">
        <v>0.9166666666666666</v>
      </c>
      <c r="L115" s="27" t="inlineStr">
        <is>
          <t>✅ محقق</t>
        </is>
      </c>
      <c r="M115" s="27" t="inlineStr">
        <is>
          <t>الاستدامة</t>
        </is>
      </c>
      <c r="N115" s="13" t="inlineStr">
        <is>
          <t>الاستثمار في الموظفين</t>
        </is>
      </c>
      <c r="O115" s="15" t="inlineStr">
        <is>
          <t>التعلّم والنمو</t>
        </is>
      </c>
      <c r="P115" s="15" t="inlineStr">
        <is>
          <t>مدير الموارد البشرية</t>
        </is>
      </c>
      <c r="Q115" s="13" t="inlineStr">
        <is>
          <t>استبيان دوري</t>
        </is>
      </c>
      <c r="R115" s="15" t="inlineStr">
        <is>
          <t>ربعي</t>
        </is>
      </c>
      <c r="S115" s="34" t="n">
        <v>23.627</v>
      </c>
      <c r="T115" s="34" t="n">
        <v>25.563</v>
      </c>
      <c r="U115" s="34" t="n">
        <v>27.5</v>
      </c>
      <c r="V115" s="42" t="n">
        <v>0.1639</v>
      </c>
      <c r="W115" s="42" t="n">
        <v>0.9</v>
      </c>
      <c r="X115" s="42" t="n">
        <v>0.75</v>
      </c>
      <c r="Y115" s="44" t="inlineStr"/>
      <c r="Z115" s="41" t="inlineStr"/>
    </row>
    <row r="116">
      <c r="A116" s="9" t="inlineStr">
        <is>
          <t>الموارد البشرية</t>
        </is>
      </c>
      <c r="B116" s="9" t="inlineStr">
        <is>
          <t>الرضا والثقافة</t>
        </is>
      </c>
      <c r="C116" s="9" t="inlineStr">
        <is>
          <t>تحسين مستوى الرضا الوظيفي</t>
        </is>
      </c>
      <c r="D116" s="15" t="inlineStr">
        <is>
          <t>🎯 نتيجة</t>
        </is>
      </c>
      <c r="E116" s="34" t="inlineStr">
        <is>
          <t>%</t>
        </is>
      </c>
      <c r="F116" s="34" t="inlineStr">
        <is>
          <t>↑</t>
        </is>
      </c>
      <c r="G116" s="15" t="inlineStr">
        <is>
          <t>🔴 رئيسي</t>
        </is>
      </c>
      <c r="H116" s="42" t="n">
        <v>0.08</v>
      </c>
      <c r="I116" s="34" t="n"/>
      <c r="J116" s="34" t="n"/>
      <c r="K116" s="42" t="n"/>
      <c r="L116" s="27" t="inlineStr">
        <is>
          <t>⏳ بانتظار هدف</t>
        </is>
      </c>
      <c r="M116" s="27" t="inlineStr">
        <is>
          <t>الاستدامة</t>
        </is>
      </c>
      <c r="N116" s="13" t="inlineStr">
        <is>
          <t>الاستثمار في الموظفين</t>
        </is>
      </c>
      <c r="O116" s="15" t="inlineStr">
        <is>
          <t>العملاء</t>
        </is>
      </c>
      <c r="P116" s="15" t="inlineStr">
        <is>
          <t>مدير الموارد البشرية</t>
        </is>
      </c>
      <c r="Q116" s="13" t="inlineStr">
        <is>
          <t>استبيان دوري</t>
        </is>
      </c>
      <c r="R116" s="15" t="inlineStr">
        <is>
          <t>ربعي</t>
        </is>
      </c>
      <c r="S116" s="34" t="n"/>
      <c r="T116" s="34" t="n"/>
      <c r="U116" s="34" t="n"/>
      <c r="V116" s="42" t="n"/>
      <c r="W116" s="42" t="n">
        <v>0.9</v>
      </c>
      <c r="X116" s="42" t="n">
        <v>0.75</v>
      </c>
      <c r="Y116" s="44" t="inlineStr"/>
      <c r="Z116" s="41" t="inlineStr"/>
    </row>
    <row r="117">
      <c r="A117" s="9" t="inlineStr">
        <is>
          <t>الموارد البشرية</t>
        </is>
      </c>
      <c r="B117" s="9" t="inlineStr">
        <is>
          <t>الرضا والثقافة</t>
        </is>
      </c>
      <c r="C117" s="9" t="inlineStr">
        <is>
          <t>ترسيخ القيم والثقافة المؤسسية</t>
        </is>
      </c>
      <c r="D117" s="15" t="inlineStr">
        <is>
          <t>🔧 تشغيلي</t>
        </is>
      </c>
      <c r="E117" s="34" t="inlineStr">
        <is>
          <t>%</t>
        </is>
      </c>
      <c r="F117" s="34" t="inlineStr">
        <is>
          <t>↑</t>
        </is>
      </c>
      <c r="G117" s="15" t="inlineStr">
        <is>
          <t>🏁 معلم</t>
        </is>
      </c>
      <c r="H117" s="42" t="n">
        <v>0.05</v>
      </c>
      <c r="I117" s="34" t="n">
        <v>1</v>
      </c>
      <c r="J117" s="34" t="n">
        <v>0.742</v>
      </c>
      <c r="K117" s="42" t="n">
        <v>0.742</v>
      </c>
      <c r="L117" s="27" t="inlineStr">
        <is>
          <t>🔴 تحت الهدف</t>
        </is>
      </c>
      <c r="M117" s="27" t="inlineStr">
        <is>
          <t>الاستدامة</t>
        </is>
      </c>
      <c r="N117" s="13" t="inlineStr">
        <is>
          <t>الاستثمار في الموظفين</t>
        </is>
      </c>
      <c r="O117" s="15" t="inlineStr">
        <is>
          <t>العمليات الداخلية</t>
        </is>
      </c>
      <c r="P117" s="15" t="inlineStr">
        <is>
          <t>مدير الموارد البشرية</t>
        </is>
      </c>
      <c r="Q117" s="13" t="inlineStr">
        <is>
          <t>استبيان دوري</t>
        </is>
      </c>
      <c r="R117" s="15" t="inlineStr">
        <is>
          <t>شهري</t>
        </is>
      </c>
      <c r="S117" s="34" t="n">
        <v>0.652</v>
      </c>
      <c r="T117" s="34" t="n">
        <v>0.697</v>
      </c>
      <c r="U117" s="34" t="n">
        <v>0.742</v>
      </c>
      <c r="V117" s="42" t="n">
        <v>0.138</v>
      </c>
      <c r="W117" s="42" t="n">
        <v>1</v>
      </c>
      <c r="X117" s="42" t="n">
        <v>0.85</v>
      </c>
      <c r="Y117" s="45" t="inlineStr">
        <is>
          <t>دون المستهدف — فجوة 26٪، يتطلب إجراءً تصحيحياً عاجلاً.</t>
        </is>
      </c>
      <c r="Z117" s="41" t="inlineStr">
        <is>
          <t>إطلاق إجراء تصحيحي خلال 30 يوماً بإشراف مدير الموارد البشرية.</t>
        </is>
      </c>
    </row>
    <row r="118">
      <c r="A118" s="9" t="inlineStr">
        <is>
          <t>الموارد البشرية</t>
        </is>
      </c>
      <c r="B118" s="9" t="inlineStr">
        <is>
          <t>الأتمتة والتوثيق</t>
        </is>
      </c>
      <c r="C118" s="9" t="inlineStr">
        <is>
          <t>نسبة أتمتة عمليات الموارد البشرية</t>
        </is>
      </c>
      <c r="D118" s="15" t="inlineStr">
        <is>
          <t>🔧 تشغيلي</t>
        </is>
      </c>
      <c r="E118" s="34" t="inlineStr">
        <is>
          <t>%</t>
        </is>
      </c>
      <c r="F118" s="34" t="inlineStr">
        <is>
          <t>↑</t>
        </is>
      </c>
      <c r="G118" s="15" t="inlineStr">
        <is>
          <t>🏁 معلم</t>
        </is>
      </c>
      <c r="H118" s="42" t="n">
        <v>0.05</v>
      </c>
      <c r="I118" s="34" t="n">
        <v>1</v>
      </c>
      <c r="J118" s="34" t="n">
        <v>0.84</v>
      </c>
      <c r="K118" s="42" t="n">
        <v>0.84</v>
      </c>
      <c r="L118" s="27" t="inlineStr">
        <is>
          <t>🔴 تحت الهدف</t>
        </is>
      </c>
      <c r="M118" s="27" t="inlineStr">
        <is>
          <t>الابتكار</t>
        </is>
      </c>
      <c r="N118" s="13" t="inlineStr">
        <is>
          <t>التحول التقني</t>
        </is>
      </c>
      <c r="O118" s="15" t="inlineStr">
        <is>
          <t>التعلّم والنمو</t>
        </is>
      </c>
      <c r="P118" s="15" t="inlineStr">
        <is>
          <t>مدير الموارد البشرية</t>
        </is>
      </c>
      <c r="Q118" s="13" t="inlineStr">
        <is>
          <t>مكتب إدارة المشاريع (PMO)</t>
        </is>
      </c>
      <c r="R118" s="15" t="inlineStr">
        <is>
          <t>شهري</t>
        </is>
      </c>
      <c r="S118" s="34" t="n">
        <v>0.726</v>
      </c>
      <c r="T118" s="34" t="n">
        <v>0.783</v>
      </c>
      <c r="U118" s="34" t="n">
        <v>0.84</v>
      </c>
      <c r="V118" s="42" t="n">
        <v>0.157</v>
      </c>
      <c r="W118" s="42" t="n">
        <v>1</v>
      </c>
      <c r="X118" s="42" t="n">
        <v>0.85</v>
      </c>
      <c r="Y118" s="45" t="inlineStr">
        <is>
          <t>دون المستهدف — فجوة 16٪، يتطلب إجراءً تصحيحياً عاجلاً.</t>
        </is>
      </c>
      <c r="Z118" s="41" t="inlineStr">
        <is>
          <t>إطلاق إجراء تصحيحي خلال 30 يوماً بإشراف مدير الموارد البشرية.</t>
        </is>
      </c>
    </row>
    <row r="119">
      <c r="A119" s="9" t="inlineStr">
        <is>
          <t>الموارد البشرية</t>
        </is>
      </c>
      <c r="B119" s="9" t="inlineStr">
        <is>
          <t>الأتمتة والتوثيق</t>
        </is>
      </c>
      <c r="C119" s="9" t="inlineStr">
        <is>
          <t>نسبة توثيق أنظمة العمل</t>
        </is>
      </c>
      <c r="D119" s="15" t="inlineStr">
        <is>
          <t>🔧 تشغيلي</t>
        </is>
      </c>
      <c r="E119" s="34" t="inlineStr">
        <is>
          <t>%</t>
        </is>
      </c>
      <c r="F119" s="34" t="inlineStr">
        <is>
          <t>↑</t>
        </is>
      </c>
      <c r="G119" s="15" t="inlineStr">
        <is>
          <t>🟡 متابعة</t>
        </is>
      </c>
      <c r="H119" s="42" t="n">
        <v>0.03</v>
      </c>
      <c r="I119" s="34" t="n">
        <v>0.8</v>
      </c>
      <c r="J119" s="34" t="n">
        <v>0.775</v>
      </c>
      <c r="K119" s="42" t="n">
        <v>0.96875</v>
      </c>
      <c r="L119" s="27" t="inlineStr">
        <is>
          <t>🟡 قريب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التعلّم والنمو</t>
        </is>
      </c>
      <c r="P119" s="15" t="inlineStr">
        <is>
          <t>مدير الموارد البشرية</t>
        </is>
      </c>
      <c r="Q119" s="13" t="inlineStr">
        <is>
          <t>مكتب إدارة المشاريع (PMO)</t>
        </is>
      </c>
      <c r="R119" s="15" t="inlineStr">
        <is>
          <t>شهري</t>
        </is>
      </c>
      <c r="S119" s="34" t="n">
        <v>0.661</v>
      </c>
      <c r="T119" s="34" t="n">
        <v>0.718</v>
      </c>
      <c r="U119" s="34" t="n">
        <v>0.775</v>
      </c>
      <c r="V119" s="42" t="n">
        <v>0.1725</v>
      </c>
      <c r="W119" s="42" t="n">
        <v>1</v>
      </c>
      <c r="X119" s="42" t="n">
        <v>0.85</v>
      </c>
      <c r="Y119" s="44" t="inlineStr">
        <is>
          <t>قريب من المستهدف — فجوة 3٪، متابعة لإغلاقها.</t>
        </is>
      </c>
      <c r="Z119" s="41" t="inlineStr">
        <is>
          <t>متابعة أسبوعية حتى بلوغ المستهدف.</t>
        </is>
      </c>
    </row>
    <row r="120">
      <c r="A120" s="9" t="inlineStr">
        <is>
          <t>الموارد البشرية</t>
        </is>
      </c>
      <c r="B120" s="9" t="inlineStr">
        <is>
          <t>الأتمتة والتوثيق</t>
        </is>
      </c>
      <c r="C120" s="9" t="inlineStr">
        <is>
          <t>ترسيخ الأنظمة الإدارية</t>
        </is>
      </c>
      <c r="D120" s="15" t="inlineStr">
        <is>
          <t>🔧 تشغيلي</t>
        </is>
      </c>
      <c r="E120" s="34" t="inlineStr">
        <is>
          <t>%</t>
        </is>
      </c>
      <c r="F120" s="34" t="inlineStr">
        <is>
          <t>↑</t>
        </is>
      </c>
      <c r="G120" s="15" t="inlineStr">
        <is>
          <t>🟠 مهم</t>
        </is>
      </c>
      <c r="H120" s="42" t="n">
        <v>0.05</v>
      </c>
      <c r="I120" s="34" t="n">
        <v>0.8</v>
      </c>
      <c r="J120" s="34" t="n">
        <v>0.671</v>
      </c>
      <c r="K120" s="42" t="n">
        <v>0.83875</v>
      </c>
      <c r="L120" s="27" t="inlineStr">
        <is>
          <t>🔴 تحت الهدف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التعلّم والنمو</t>
        </is>
      </c>
      <c r="P120" s="15" t="inlineStr">
        <is>
          <t>مدير الموارد البشرية</t>
        </is>
      </c>
      <c r="Q120" s="13" t="inlineStr">
        <is>
          <t>مكتب إدارة المشاريع (PMO)</t>
        </is>
      </c>
      <c r="R120" s="15" t="inlineStr">
        <is>
          <t>شهري</t>
        </is>
      </c>
      <c r="S120" s="34" t="n">
        <v>0.5590000000000001</v>
      </c>
      <c r="T120" s="34" t="n">
        <v>0.615</v>
      </c>
      <c r="U120" s="34" t="n">
        <v>0.671</v>
      </c>
      <c r="V120" s="42" t="n">
        <v>0.2004</v>
      </c>
      <c r="W120" s="42" t="n">
        <v>1</v>
      </c>
      <c r="X120" s="42" t="n">
        <v>0.85</v>
      </c>
      <c r="Y120" s="45" t="inlineStr">
        <is>
          <t>دون المستهدف — فجوة 16٪، يتطلب إجراءً تصحيحياً عاجلاً.</t>
        </is>
      </c>
      <c r="Z120" s="41" t="inlineStr">
        <is>
          <t>إطلاق إجراء تصحيحي خلال 30 يوماً بإشراف مدير الموارد البشرية.</t>
        </is>
      </c>
    </row>
    <row r="121">
      <c r="A121" s="9" t="inlineStr">
        <is>
          <t>الموارد البشرية</t>
        </is>
      </c>
      <c r="B121" s="9" t="inlineStr">
        <is>
          <t>الهيكلة</t>
        </is>
      </c>
      <c r="C121" s="9" t="inlineStr">
        <is>
          <t>اعتماد الهيكل التنظيمي</t>
        </is>
      </c>
      <c r="D121" s="15" t="inlineStr">
        <is>
          <t>⚙️ نشاط</t>
        </is>
      </c>
      <c r="E121" s="34" t="inlineStr">
        <is>
          <t>%</t>
        </is>
      </c>
      <c r="F121" s="34" t="inlineStr">
        <is>
          <t>↑</t>
        </is>
      </c>
      <c r="G121" s="15" t="inlineStr">
        <is>
          <t>🏁 معلم</t>
        </is>
      </c>
      <c r="H121" s="42" t="n">
        <v>0.05</v>
      </c>
      <c r="I121" s="34" t="n">
        <v>1</v>
      </c>
      <c r="J121" s="34" t="n">
        <v>0.984</v>
      </c>
      <c r="K121" s="42" t="n">
        <v>0.984</v>
      </c>
      <c r="L121" s="27" t="inlineStr">
        <is>
          <t>🟡 قريب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الموارد البشرية</t>
        </is>
      </c>
      <c r="Q121" s="13" t="inlineStr">
        <is>
          <t>نظام الموارد البشرية (HRMS)</t>
        </is>
      </c>
      <c r="R121" s="15" t="inlineStr">
        <is>
          <t>شهري</t>
        </is>
      </c>
      <c r="S121" s="34" t="n">
        <v>0.887</v>
      </c>
      <c r="T121" s="34" t="n">
        <v>0.9350000000000001</v>
      </c>
      <c r="U121" s="34" t="n">
        <v>0.984</v>
      </c>
      <c r="V121" s="42" t="n">
        <v>0.1094</v>
      </c>
      <c r="W121" s="42" t="n">
        <v>1</v>
      </c>
      <c r="X121" s="42" t="n">
        <v>0.85</v>
      </c>
      <c r="Y121" s="44" t="inlineStr">
        <is>
          <t>قريب من المستهدف — فجوة 2٪، متابعة لإغلاقها.</t>
        </is>
      </c>
      <c r="Z121" s="41" t="inlineStr">
        <is>
          <t>متابعة أسبوعية حتى بلوغ المستهدف.</t>
        </is>
      </c>
    </row>
    <row r="122">
      <c r="A122" s="9" t="inlineStr">
        <is>
          <t>الموارد البشرية</t>
        </is>
      </c>
      <c r="B122" s="9" t="inlineStr">
        <is>
          <t>الهيكلة</t>
        </is>
      </c>
      <c r="C122" s="9" t="inlineStr">
        <is>
          <t>اكتمال الأوصاف الوظيفية (+KPI)</t>
        </is>
      </c>
      <c r="D122" s="15" t="inlineStr">
        <is>
          <t>⚙️ نشاط</t>
        </is>
      </c>
      <c r="E122" s="34" t="inlineStr">
        <is>
          <t>%</t>
        </is>
      </c>
      <c r="F122" s="34" t="inlineStr">
        <is>
          <t>↑</t>
        </is>
      </c>
      <c r="G122" s="15" t="inlineStr">
        <is>
          <t>🏁 معلم</t>
        </is>
      </c>
      <c r="H122" s="42" t="n">
        <v>0.05</v>
      </c>
      <c r="I122" s="34" t="n">
        <v>1</v>
      </c>
      <c r="J122" s="34" t="n">
        <v>0.926</v>
      </c>
      <c r="K122" s="42" t="n">
        <v>0.926</v>
      </c>
      <c r="L122" s="27" t="inlineStr">
        <is>
          <t>🟡 قريب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الموارد البشرية</t>
        </is>
      </c>
      <c r="Q122" s="13" t="inlineStr">
        <is>
          <t>نظام الموارد البشرية (HRMS)</t>
        </is>
      </c>
      <c r="R122" s="15" t="inlineStr">
        <is>
          <t>شهري</t>
        </is>
      </c>
      <c r="S122" s="34" t="n">
        <v>0.834</v>
      </c>
      <c r="T122" s="34" t="n">
        <v>0.88</v>
      </c>
      <c r="U122" s="34" t="n">
        <v>0.926</v>
      </c>
      <c r="V122" s="42" t="n">
        <v>0.1103</v>
      </c>
      <c r="W122" s="42" t="n">
        <v>1</v>
      </c>
      <c r="X122" s="42" t="n">
        <v>0.85</v>
      </c>
      <c r="Y122" s="44" t="inlineStr">
        <is>
          <t>قريب من المستهدف — فجوة 7٪، متابعة لإغلاقها.</t>
        </is>
      </c>
      <c r="Z122" s="41" t="inlineStr">
        <is>
          <t>متابعة أسبوعية حتى بلوغ المستهدف.</t>
        </is>
      </c>
    </row>
    <row r="123">
      <c r="A123" s="9" t="inlineStr">
        <is>
          <t>الموارد البشرية</t>
        </is>
      </c>
      <c r="B123" s="9" t="inlineStr">
        <is>
          <t>الأداء</t>
        </is>
      </c>
      <c r="C123" s="9" t="inlineStr">
        <is>
          <t>نسبة إنجاز تقييمات الأداء في موعدها</t>
        </is>
      </c>
      <c r="D123" s="15" t="inlineStr">
        <is>
          <t>🎯 نتيجة</t>
        </is>
      </c>
      <c r="E123" s="34" t="inlineStr">
        <is>
          <t>%</t>
        </is>
      </c>
      <c r="F123" s="34" t="inlineStr">
        <is>
          <t>↑</t>
        </is>
      </c>
      <c r="G123" s="15" t="inlineStr">
        <is>
          <t>🟠 مهم</t>
        </is>
      </c>
      <c r="H123" s="42" t="n">
        <v>0.05</v>
      </c>
      <c r="I123" s="34" t="n">
        <v>1</v>
      </c>
      <c r="J123" s="34" t="n">
        <v>0.8080000000000001</v>
      </c>
      <c r="K123" s="42" t="n">
        <v>0.8080000000000001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الاستثمار في الموظفين</t>
        </is>
      </c>
      <c r="O123" s="15" t="inlineStr">
        <is>
          <t>العمليات الداخلية</t>
        </is>
      </c>
      <c r="P123" s="15" t="inlineStr">
        <is>
          <t>مدير الموارد البشرية</t>
        </is>
      </c>
      <c r="Q123" s="13" t="inlineStr">
        <is>
          <t>سجلات الإدارة</t>
        </is>
      </c>
      <c r="R123" s="15" t="inlineStr">
        <is>
          <t>شهري</t>
        </is>
      </c>
      <c r="S123" s="34" t="n">
        <v>0.651</v>
      </c>
      <c r="T123" s="34" t="n">
        <v>0.73</v>
      </c>
      <c r="U123" s="34" t="n">
        <v>0.8080000000000001</v>
      </c>
      <c r="V123" s="42" t="n">
        <v>0.2412</v>
      </c>
      <c r="W123" s="42" t="n">
        <v>1</v>
      </c>
      <c r="X123" s="42" t="n">
        <v>0.85</v>
      </c>
      <c r="Y123" s="45" t="inlineStr">
        <is>
          <t>دون المستهدف — فجوة 19٪، يتطلب إجراءً تصحيحياً عاجلاً.</t>
        </is>
      </c>
      <c r="Z123" s="41" t="inlineStr">
        <is>
          <t>إطلاق إجراء تصحيحي خلال 30 يوماً بإشراف مدير الموارد البشرية.</t>
        </is>
      </c>
    </row>
    <row r="124">
      <c r="A124" s="9" t="inlineStr">
        <is>
          <t>التسويق</t>
        </is>
      </c>
      <c r="B124" s="9" t="inlineStr">
        <is>
          <t>الإدارة العامة</t>
        </is>
      </c>
      <c r="C124" s="9" t="inlineStr">
        <is>
          <t>الوصول الكلي (Total Reach)</t>
        </is>
      </c>
      <c r="D124" s="15" t="inlineStr">
        <is>
          <t>🎯 نتيجة</t>
        </is>
      </c>
      <c r="E124" s="34" t="inlineStr">
        <is>
          <t>وصول</t>
        </is>
      </c>
      <c r="F124" s="34" t="inlineStr">
        <is>
          <t>↑</t>
        </is>
      </c>
      <c r="G124" s="15" t="inlineStr">
        <is>
          <t>🔴 رئيسي</t>
        </is>
      </c>
      <c r="H124" s="42" t="n">
        <v>0.08</v>
      </c>
      <c r="I124" s="34" t="n">
        <v>50000000</v>
      </c>
      <c r="J124" s="34" t="n">
        <v>5000000</v>
      </c>
      <c r="K124" s="42" t="n">
        <v>0.1</v>
      </c>
      <c r="L124" s="27" t="inlineStr">
        <is>
          <t>🔴 تحت الهدف</t>
        </is>
      </c>
      <c r="M124" s="27" t="inlineStr">
        <is>
          <t>النمو</t>
        </is>
      </c>
      <c r="N124" s="13" t="inlineStr">
        <is>
          <t>زيادة وصول العملاء</t>
        </is>
      </c>
      <c r="O124" s="15" t="inlineStr">
        <is>
          <t>العملاء</t>
        </is>
      </c>
      <c r="P124" s="15" t="inlineStr">
        <is>
          <t>مدير التسويق</t>
        </is>
      </c>
      <c r="Q124" s="13" t="inlineStr">
        <is>
          <t>أنظمة التسويق الرقمي / تانكي</t>
        </is>
      </c>
      <c r="R124" s="15" t="inlineStr">
        <is>
          <t>شهري</t>
        </is>
      </c>
      <c r="S124" s="34" t="n">
        <v>4561000</v>
      </c>
      <c r="T124" s="34" t="n">
        <v>4780500</v>
      </c>
      <c r="U124" s="34" t="n">
        <v>5000000</v>
      </c>
      <c r="V124" s="42" t="n">
        <v>0.0963</v>
      </c>
      <c r="W124" s="42" t="n">
        <v>0.9</v>
      </c>
      <c r="X124" s="42" t="n">
        <v>0.75</v>
      </c>
      <c r="Y124" s="45" t="inlineStr">
        <is>
          <t>دون المستهدف — فجوة 90٪، يتطلب إجراءً تصحيحياً عاجلاً.</t>
        </is>
      </c>
      <c r="Z124" s="41" t="inlineStr">
        <is>
          <t>إطلاق إجراء تصحيحي خلال 30 يوماً بإشراف مدير التسويق.</t>
        </is>
      </c>
    </row>
    <row r="125">
      <c r="A125" s="9" t="inlineStr">
        <is>
          <t>التسويق</t>
        </is>
      </c>
      <c r="B125" s="9" t="inlineStr">
        <is>
          <t>الإدارة العامة</t>
        </is>
      </c>
      <c r="C125" s="9" t="inlineStr">
        <is>
          <t>عملاء تجاريون جدد</t>
        </is>
      </c>
      <c r="D125" s="15" t="inlineStr">
        <is>
          <t>🔧 تشغيلي</t>
        </is>
      </c>
      <c r="E125" s="34" t="inlineStr">
        <is>
          <t>عميل</t>
        </is>
      </c>
      <c r="F125" s="34" t="inlineStr">
        <is>
          <t>↑</t>
        </is>
      </c>
      <c r="G125" s="15" t="inlineStr">
        <is>
          <t>🟠 مهم</t>
        </is>
      </c>
      <c r="H125" s="42" t="n">
        <v>0.06</v>
      </c>
      <c r="I125" s="34" t="n">
        <v>200</v>
      </c>
      <c r="J125" s="34" t="n">
        <v>1</v>
      </c>
      <c r="K125" s="42" t="n">
        <v>0.005</v>
      </c>
      <c r="L125" s="27" t="inlineStr">
        <is>
          <t>🔴 تحت الهدف</t>
        </is>
      </c>
      <c r="M125" s="27" t="inlineStr">
        <is>
          <t>النمو</t>
        </is>
      </c>
      <c r="N125" s="13" t="inlineStr">
        <is>
          <t>زيادة وصول العملاء</t>
        </is>
      </c>
      <c r="O125" s="15" t="inlineStr">
        <is>
          <t>العملاء</t>
        </is>
      </c>
      <c r="P125" s="15" t="inlineStr">
        <is>
          <t>مدير التسويق</t>
        </is>
      </c>
      <c r="Q125" s="13" t="inlineStr">
        <is>
          <t>سجلات الإدارة</t>
        </is>
      </c>
      <c r="R125" s="15" t="inlineStr">
        <is>
          <t>شهري</t>
        </is>
      </c>
      <c r="S125" s="34" t="n">
        <v>0.821</v>
      </c>
      <c r="T125" s="34" t="n">
        <v>0.91</v>
      </c>
      <c r="U125" s="34" t="n">
        <v>2</v>
      </c>
      <c r="V125" s="42" t="n">
        <v>0.218</v>
      </c>
      <c r="W125" s="42" t="n">
        <v>1</v>
      </c>
      <c r="X125" s="42" t="n">
        <v>0.85</v>
      </c>
      <c r="Y125" s="45" t="inlineStr">
        <is>
          <t>دون المستهدف — فجوة 100٪، يتطلب إجراءً تصحيحياً عاجلاً.</t>
        </is>
      </c>
      <c r="Z125" s="41" t="inlineStr">
        <is>
          <t>إطلاق إجراء تصحيحي خلال 30 يوماً بإشراف مدير التسويق.</t>
        </is>
      </c>
    </row>
    <row r="126">
      <c r="A126" s="9" t="inlineStr">
        <is>
          <t>التسويق</t>
        </is>
      </c>
      <c r="B126" s="9" t="inlineStr">
        <is>
          <t>الفريق الإبداعي</t>
        </is>
      </c>
      <c r="C126" s="9" t="inlineStr">
        <is>
          <t>إجمالي المتابعين (كل المنصات)</t>
        </is>
      </c>
      <c r="D126" s="15" t="inlineStr">
        <is>
          <t>🔧 تشغيلي</t>
        </is>
      </c>
      <c r="E126" s="34" t="inlineStr">
        <is>
          <t>متابع</t>
        </is>
      </c>
      <c r="F126" s="34" t="inlineStr">
        <is>
          <t>↑</t>
        </is>
      </c>
      <c r="G126" s="15" t="inlineStr">
        <is>
          <t>🔴 رئيسي</t>
        </is>
      </c>
      <c r="H126" s="42" t="n">
        <v>0.08</v>
      </c>
      <c r="I126" s="34" t="n">
        <v>380000</v>
      </c>
      <c r="J126" s="34" t="n">
        <v>253000</v>
      </c>
      <c r="K126" s="42" t="n">
        <v>0.6657894736842105</v>
      </c>
      <c r="L126" s="27" t="inlineStr">
        <is>
          <t>🔴 تحت الهدف</t>
        </is>
      </c>
      <c r="M126" s="27" t="inlineStr">
        <is>
          <t>النمو</t>
        </is>
      </c>
      <c r="N126" s="13" t="inlineStr">
        <is>
          <t>زيادة وصول العملاء</t>
        </is>
      </c>
      <c r="O126" s="15" t="inlineStr">
        <is>
          <t>العملاء</t>
        </is>
      </c>
      <c r="P126" s="15" t="inlineStr">
        <is>
          <t>مدير التسويق</t>
        </is>
      </c>
      <c r="Q126" s="13" t="inlineStr">
        <is>
          <t>أنظمة التسويق الرقمي / تانكي</t>
        </is>
      </c>
      <c r="R126" s="15" t="inlineStr">
        <is>
          <t>شهري</t>
        </is>
      </c>
      <c r="S126" s="34" t="n">
        <v>229450.76</v>
      </c>
      <c r="T126" s="34" t="n">
        <v>241225.38</v>
      </c>
      <c r="U126" s="34" t="n">
        <v>253000</v>
      </c>
      <c r="V126" s="42" t="n">
        <v>0.1026</v>
      </c>
      <c r="W126" s="42" t="n">
        <v>0.9</v>
      </c>
      <c r="X126" s="42" t="n">
        <v>0.75</v>
      </c>
      <c r="Y126" s="45" t="inlineStr">
        <is>
          <t>دون المستهدف — فجوة 33٪، يتطلب إجراءً تصحيحياً عاجلاً.</t>
        </is>
      </c>
      <c r="Z126" s="41" t="inlineStr">
        <is>
          <t>إطلاق إجراء تصحيحي خلال 30 يوماً بإشراف مدير التسويق.</t>
        </is>
      </c>
    </row>
    <row r="127">
      <c r="A127" s="9" t="inlineStr">
        <is>
          <t>التسويق</t>
        </is>
      </c>
      <c r="B127" s="9" t="inlineStr">
        <is>
          <t>الفريق الإبداعي</t>
        </is>
      </c>
      <c r="C127" s="9" t="inlineStr">
        <is>
          <t>معدل التفاعل (Engagement)</t>
        </is>
      </c>
      <c r="D127" s="15" t="inlineStr">
        <is>
          <t>🔧 تشغيلي</t>
        </is>
      </c>
      <c r="E127" s="34" t="inlineStr">
        <is>
          <t>%</t>
        </is>
      </c>
      <c r="F127" s="34" t="inlineStr">
        <is>
          <t>↑</t>
        </is>
      </c>
      <c r="G127" s="15" t="inlineStr">
        <is>
          <t>🔴 رئيسي</t>
        </is>
      </c>
      <c r="H127" s="42" t="n">
        <v>0.08</v>
      </c>
      <c r="I127" s="34" t="n">
        <v>0.5</v>
      </c>
      <c r="J127" s="34" t="n">
        <v>0</v>
      </c>
      <c r="K127" s="42" t="n">
        <v>0</v>
      </c>
      <c r="L127" s="27" t="inlineStr">
        <is>
          <t>🔴 تحت الهدف</t>
        </is>
      </c>
      <c r="M127" s="27" t="inlineStr">
        <is>
          <t>النمو</t>
        </is>
      </c>
      <c r="N127" s="13" t="inlineStr">
        <is>
          <t>زيادة وصول العملاء</t>
        </is>
      </c>
      <c r="O127" s="15" t="inlineStr">
        <is>
          <t>العملاء</t>
        </is>
      </c>
      <c r="P127" s="15" t="inlineStr">
        <is>
          <t>مدير التسويق</t>
        </is>
      </c>
      <c r="Q127" s="13" t="inlineStr">
        <is>
          <t>أنظمة التسويق الرقمي / تانكي</t>
        </is>
      </c>
      <c r="R127" s="15" t="inlineStr">
        <is>
          <t>شهري</t>
        </is>
      </c>
      <c r="S127" s="34" t="n">
        <v>0</v>
      </c>
      <c r="T127" s="34" t="n">
        <v>0</v>
      </c>
      <c r="U127" s="34" t="n">
        <v>0</v>
      </c>
      <c r="V127" s="42" t="n"/>
      <c r="W127" s="42" t="n">
        <v>0.9</v>
      </c>
      <c r="X127" s="42" t="n">
        <v>0.75</v>
      </c>
      <c r="Y127" s="45" t="inlineStr">
        <is>
          <t>دون المستهدف — فجوة 100٪، يتطلب إجراءً تصحيحياً عاجلاً.</t>
        </is>
      </c>
      <c r="Z127" s="41" t="inlineStr">
        <is>
          <t>إطلاق إجراء تصحيحي خلال 30 يوماً بإشراف مدير التسويق.</t>
        </is>
      </c>
    </row>
    <row r="128">
      <c r="A128" s="9" t="inlineStr">
        <is>
          <t>التسويق</t>
        </is>
      </c>
      <c r="B128" s="9" t="inlineStr">
        <is>
          <t>الحملات التسويقية</t>
        </is>
      </c>
      <c r="C128" s="9" t="inlineStr">
        <is>
          <t>حملات تسويقية منجزة</t>
        </is>
      </c>
      <c r="D128" s="15" t="inlineStr">
        <is>
          <t>⚙️ نشاط</t>
        </is>
      </c>
      <c r="E128" s="34" t="inlineStr">
        <is>
          <t>حملة</t>
        </is>
      </c>
      <c r="F128" s="34" t="inlineStr">
        <is>
          <t>↑</t>
        </is>
      </c>
      <c r="G128" s="15" t="inlineStr">
        <is>
          <t>🟠 مهم</t>
        </is>
      </c>
      <c r="H128" s="42" t="n">
        <v>0.06</v>
      </c>
      <c r="I128" s="34" t="n">
        <v>48</v>
      </c>
      <c r="J128" s="34" t="n">
        <v>11</v>
      </c>
      <c r="K128" s="42" t="n">
        <v>0.2291666666666667</v>
      </c>
      <c r="L128" s="27" t="inlineStr">
        <is>
          <t>🔴 تحت الهدف</t>
        </is>
      </c>
      <c r="M128" s="27" t="inlineStr">
        <is>
          <t>النمو</t>
        </is>
      </c>
      <c r="N128" s="13" t="inlineStr">
        <is>
          <t>زيادة وصول العملاء</t>
        </is>
      </c>
      <c r="O128" s="15" t="inlineStr">
        <is>
          <t>العمليات الداخلية</t>
        </is>
      </c>
      <c r="P128" s="15" t="inlineStr">
        <is>
          <t>مدير التسويق</t>
        </is>
      </c>
      <c r="Q128" s="13" t="inlineStr">
        <is>
          <t>أنظمة التسويق الرقمي / تانكي</t>
        </is>
      </c>
      <c r="R128" s="15" t="inlineStr">
        <is>
          <t>شهري</t>
        </is>
      </c>
      <c r="S128" s="34" t="n">
        <v>9.802</v>
      </c>
      <c r="T128" s="34" t="n">
        <v>10.401</v>
      </c>
      <c r="U128" s="34" t="n">
        <v>22</v>
      </c>
      <c r="V128" s="42" t="n">
        <v>0.1222</v>
      </c>
      <c r="W128" s="42" t="n">
        <v>1</v>
      </c>
      <c r="X128" s="42" t="n">
        <v>0.85</v>
      </c>
      <c r="Y128" s="45" t="inlineStr">
        <is>
          <t>دون المستهدف — فجوة 77٪، يتطلب إجراءً تصحيحياً عاجلاً.</t>
        </is>
      </c>
      <c r="Z128" s="41" t="inlineStr">
        <is>
          <t>إطلاق إجراء تصحيحي خلال 30 يوماً بإشراف مدير التسويق.</t>
        </is>
      </c>
    </row>
    <row r="129">
      <c r="A129" s="9" t="inlineStr">
        <is>
          <t>التسويق</t>
        </is>
      </c>
      <c r="B129" s="9" t="inlineStr">
        <is>
          <t>الحملات التسويقية</t>
        </is>
      </c>
      <c r="C129" s="9" t="inlineStr">
        <is>
          <t>تحويل الفرص إلى عقود</t>
        </is>
      </c>
      <c r="D129" s="15" t="inlineStr">
        <is>
          <t>🔧 تشغيلي</t>
        </is>
      </c>
      <c r="E129" s="34" t="inlineStr">
        <is>
          <t>%</t>
        </is>
      </c>
      <c r="F129" s="34" t="inlineStr">
        <is>
          <t>↑</t>
        </is>
      </c>
      <c r="G129" s="15" t="inlineStr">
        <is>
          <t>🔴 رئيسي</t>
        </is>
      </c>
      <c r="H129" s="42" t="n">
        <v>0.08</v>
      </c>
      <c r="I129" s="34" t="n">
        <v>0.25</v>
      </c>
      <c r="J129" s="34" t="n">
        <v>0.17</v>
      </c>
      <c r="K129" s="42" t="n">
        <v>0.68</v>
      </c>
      <c r="L129" s="27" t="inlineStr">
        <is>
          <t>🔴 تحت الهدف</t>
        </is>
      </c>
      <c r="M129" s="27" t="inlineStr">
        <is>
          <t>النمو</t>
        </is>
      </c>
      <c r="N129" s="13" t="inlineStr">
        <is>
          <t>زيادة وصول العملاء</t>
        </is>
      </c>
      <c r="O129" s="15" t="inlineStr">
        <is>
          <t>العمليات الداخلية</t>
        </is>
      </c>
      <c r="P129" s="15" t="inlineStr">
        <is>
          <t>مدير التسويق</t>
        </is>
      </c>
      <c r="Q129" s="13" t="inlineStr">
        <is>
          <t>أنظمة التسويق الرقمي / تانكي</t>
        </is>
      </c>
      <c r="R129" s="15" t="inlineStr">
        <is>
          <t>شهري</t>
        </is>
      </c>
      <c r="S129" s="34" t="n">
        <v>0.156</v>
      </c>
      <c r="T129" s="34" t="n">
        <v>0.163</v>
      </c>
      <c r="U129" s="34" t="n">
        <v>0.17</v>
      </c>
      <c r="V129" s="42" t="n">
        <v>0.0897</v>
      </c>
      <c r="W129" s="42" t="n">
        <v>1</v>
      </c>
      <c r="X129" s="42" t="n">
        <v>0.85</v>
      </c>
      <c r="Y129" s="45" t="inlineStr">
        <is>
          <t>دون المستهدف — فجوة 32٪، يتطلب إجراءً تصحيحياً عاجلاً.</t>
        </is>
      </c>
      <c r="Z129" s="41" t="inlineStr">
        <is>
          <t>إطلاق إجراء تصحيحي خلال 30 يوماً بإشراف مدير التسويق.</t>
        </is>
      </c>
    </row>
    <row r="130">
      <c r="A130" s="9" t="inlineStr">
        <is>
          <t>التسويق</t>
        </is>
      </c>
      <c r="B130" s="9" t="inlineStr">
        <is>
          <t>الحملات التسويقية</t>
        </is>
      </c>
      <c r="C130" s="9" t="inlineStr">
        <is>
          <t>نسبة المبيعات لكل حملة</t>
        </is>
      </c>
      <c r="D130" s="15" t="inlineStr">
        <is>
          <t>⚙️ نشاط</t>
        </is>
      </c>
      <c r="E130" s="34" t="inlineStr">
        <is>
          <t>%</t>
        </is>
      </c>
      <c r="F130" s="34" t="inlineStr">
        <is>
          <t>↑</t>
        </is>
      </c>
      <c r="G130" s="15" t="inlineStr">
        <is>
          <t>🔴 رئيسي</t>
        </is>
      </c>
      <c r="H130" s="42" t="n">
        <v>0.08</v>
      </c>
      <c r="I130" s="34" t="n">
        <v>1</v>
      </c>
      <c r="J130" s="34" t="n">
        <v>0.16</v>
      </c>
      <c r="K130" s="42" t="n">
        <v>0.16</v>
      </c>
      <c r="L130" s="27" t="inlineStr">
        <is>
          <t>🔴 تحت الهدف</t>
        </is>
      </c>
      <c r="M130" s="27" t="inlineStr">
        <is>
          <t>النمو</t>
        </is>
      </c>
      <c r="N130" s="13" t="inlineStr">
        <is>
          <t>زيادة وصول العملاء</t>
        </is>
      </c>
      <c r="O130" s="15" t="inlineStr">
        <is>
          <t>مالي</t>
        </is>
      </c>
      <c r="P130" s="15" t="inlineStr">
        <is>
          <t>مدير التسويق</t>
        </is>
      </c>
      <c r="Q130" s="13" t="inlineStr">
        <is>
          <t>أنظمة التسويق الرقمي / تانكي</t>
        </is>
      </c>
      <c r="R130" s="15" t="inlineStr">
        <is>
          <t>شهري</t>
        </is>
      </c>
      <c r="S130" s="34" t="n">
        <v>0.141</v>
      </c>
      <c r="T130" s="34" t="n">
        <v>0.15</v>
      </c>
      <c r="U130" s="34" t="n">
        <v>0.16</v>
      </c>
      <c r="V130" s="42" t="n">
        <v>0.1348</v>
      </c>
      <c r="W130" s="42" t="n">
        <v>1</v>
      </c>
      <c r="X130" s="42" t="n">
        <v>0.85</v>
      </c>
      <c r="Y130" s="45" t="inlineStr">
        <is>
          <t>دون المستهدف — فجوة 84٪، يتطلب إجراءً تصحيحياً عاجلاً.</t>
        </is>
      </c>
      <c r="Z130" s="41" t="inlineStr">
        <is>
          <t>إطلاق إجراء تصحيحي خلال 30 يوماً بإشراف مدير التسويق.</t>
        </is>
      </c>
    </row>
    <row r="131">
      <c r="A131" s="9" t="inlineStr">
        <is>
          <t>التسويق</t>
        </is>
      </c>
      <c r="B131" s="9" t="inlineStr">
        <is>
          <t>الدعاية والإعلان</t>
        </is>
      </c>
      <c r="C131" s="9" t="inlineStr">
        <is>
          <t>نسبة التزام الهوية البصرية</t>
        </is>
      </c>
      <c r="D131" s="15" t="inlineStr">
        <is>
          <t>🎯 نتيجة</t>
        </is>
      </c>
      <c r="E131" s="34" t="inlineStr">
        <is>
          <t>%</t>
        </is>
      </c>
      <c r="F131" s="34" t="inlineStr">
        <is>
          <t>↑</t>
        </is>
      </c>
      <c r="G131" s="15" t="inlineStr">
        <is>
          <t>🔴 رئيسي</t>
        </is>
      </c>
      <c r="H131" s="42" t="n">
        <v>0.08</v>
      </c>
      <c r="I131" s="34" t="n">
        <v>1</v>
      </c>
      <c r="J131" s="34" t="n">
        <v>0.1</v>
      </c>
      <c r="K131" s="42" t="n">
        <v>0.1</v>
      </c>
      <c r="L131" s="27" t="inlineStr">
        <is>
          <t>🔴 تحت الهدف</t>
        </is>
      </c>
      <c r="M131" s="27" t="inlineStr">
        <is>
          <t>الابتكار</t>
        </is>
      </c>
      <c r="N131" s="13" t="inlineStr">
        <is>
          <t>تطوير التصاميم والهوية</t>
        </is>
      </c>
      <c r="O131" s="15" t="inlineStr">
        <is>
          <t>التعلّم والنمو</t>
        </is>
      </c>
      <c r="P131" s="15" t="inlineStr">
        <is>
          <t>مدير التسويق</t>
        </is>
      </c>
      <c r="Q131" s="13" t="inlineStr">
        <is>
          <t>سجلات الإدارة</t>
        </is>
      </c>
      <c r="R131" s="15" t="inlineStr">
        <is>
          <t>شهري</t>
        </is>
      </c>
      <c r="S131" s="34" t="n">
        <v>0.08599999999999999</v>
      </c>
      <c r="T131" s="34" t="n">
        <v>0.093</v>
      </c>
      <c r="U131" s="34" t="n">
        <v>0.1</v>
      </c>
      <c r="V131" s="42" t="n">
        <v>0.1628</v>
      </c>
      <c r="W131" s="42" t="n">
        <v>1</v>
      </c>
      <c r="X131" s="42" t="n">
        <v>0.85</v>
      </c>
      <c r="Y131" s="45" t="inlineStr">
        <is>
          <t>دون المستهدف — فجوة 90٪، يتطلب إجراءً تصحيحياً عاجلاً.</t>
        </is>
      </c>
      <c r="Z131" s="41" t="inlineStr">
        <is>
          <t>إطلاق إجراء تصحيحي خلال 30 يوماً بإشراف مدير التسويق.</t>
        </is>
      </c>
    </row>
    <row r="132">
      <c r="A132" s="9" t="inlineStr">
        <is>
          <t>التسويق</t>
        </is>
      </c>
      <c r="B132" s="9" t="inlineStr">
        <is>
          <t>العلاقات والشراكات</t>
        </is>
      </c>
      <c r="C132" s="9" t="inlineStr">
        <is>
          <t>وصول العلاقات العامة (PR)</t>
        </is>
      </c>
      <c r="D132" s="15" t="inlineStr">
        <is>
          <t>🔧 تشغيلي</t>
        </is>
      </c>
      <c r="E132" s="34" t="inlineStr">
        <is>
          <t>وصول</t>
        </is>
      </c>
      <c r="F132" s="34" t="inlineStr">
        <is>
          <t>↑</t>
        </is>
      </c>
      <c r="G132" s="15" t="inlineStr">
        <is>
          <t>🟠 مهم</t>
        </is>
      </c>
      <c r="H132" s="42" t="n">
        <v>0.06</v>
      </c>
      <c r="I132" s="34" t="n">
        <v>7000000</v>
      </c>
      <c r="J132" s="34" t="n">
        <v>1500000</v>
      </c>
      <c r="K132" s="42" t="n">
        <v>0.2142857142857143</v>
      </c>
      <c r="L132" s="27" t="inlineStr">
        <is>
          <t>🔴 تحت الهدف</t>
        </is>
      </c>
      <c r="M132" s="27" t="inlineStr">
        <is>
          <t>النمو</t>
        </is>
      </c>
      <c r="N132" s="13" t="inlineStr">
        <is>
          <t>زيادة وصول العملاء</t>
        </is>
      </c>
      <c r="O132" s="15" t="inlineStr">
        <is>
          <t>العملاء</t>
        </is>
      </c>
      <c r="P132" s="15" t="inlineStr">
        <is>
          <t>مدير التسويق</t>
        </is>
      </c>
      <c r="Q132" s="13" t="inlineStr">
        <is>
          <t>أنظمة التسويق الرقمي / تانكي</t>
        </is>
      </c>
      <c r="R132" s="15" t="inlineStr">
        <is>
          <t>شهري</t>
        </is>
      </c>
      <c r="S132" s="34" t="n">
        <v>1309440</v>
      </c>
      <c r="T132" s="34" t="n">
        <v>1404720</v>
      </c>
      <c r="U132" s="34" t="n">
        <v>1500000</v>
      </c>
      <c r="V132" s="42" t="n">
        <v>0.1455</v>
      </c>
      <c r="W132" s="42" t="n">
        <v>1</v>
      </c>
      <c r="X132" s="42" t="n">
        <v>0.85</v>
      </c>
      <c r="Y132" s="45" t="inlineStr">
        <is>
          <t>دون المستهدف — فجوة 79٪، يتطلب إجراءً تصحيحياً عاجلاً.</t>
        </is>
      </c>
      <c r="Z132" s="41" t="inlineStr">
        <is>
          <t>إطلاق إجراء تصحيحي خلال 30 يوماً بإشراف مدير التسويق.</t>
        </is>
      </c>
    </row>
    <row r="133">
      <c r="A133" s="9" t="inlineStr">
        <is>
          <t>التسويق</t>
        </is>
      </c>
      <c r="B133" s="9" t="inlineStr">
        <is>
          <t>العلاقات والشراكات</t>
        </is>
      </c>
      <c r="C133" s="9" t="inlineStr">
        <is>
          <t>عدد المعارض بالسنة</t>
        </is>
      </c>
      <c r="D133" s="15" t="inlineStr">
        <is>
          <t>⚙️ نشاط</t>
        </is>
      </c>
      <c r="E133" s="34" t="inlineStr">
        <is>
          <t>معرض</t>
        </is>
      </c>
      <c r="F133" s="34" t="inlineStr">
        <is>
          <t>↑</t>
        </is>
      </c>
      <c r="G133" s="15" t="inlineStr">
        <is>
          <t>🟠 مهم</t>
        </is>
      </c>
      <c r="H133" s="42" t="n">
        <v>0.06</v>
      </c>
      <c r="I133" s="34" t="n">
        <v>3</v>
      </c>
      <c r="J133" s="34" t="n">
        <v>0</v>
      </c>
      <c r="K133" s="42" t="n">
        <v>0</v>
      </c>
      <c r="L133" s="27" t="inlineStr">
        <is>
          <t>🔴 تحت الهدف</t>
        </is>
      </c>
      <c r="M133" s="27" t="inlineStr">
        <is>
          <t>الابتكار</t>
        </is>
      </c>
      <c r="N133" s="13" t="inlineStr">
        <is>
          <t>إطلاق مشاريع جديدة</t>
        </is>
      </c>
      <c r="O133" s="15" t="inlineStr">
        <is>
          <t>العمليات الداخلية</t>
        </is>
      </c>
      <c r="P133" s="15" t="inlineStr">
        <is>
          <t>مدير التسويق</t>
        </is>
      </c>
      <c r="Q133" s="13" t="inlineStr">
        <is>
          <t>سجلات الإدارة</t>
        </is>
      </c>
      <c r="R133" s="15" t="inlineStr">
        <is>
          <t>شهري</t>
        </is>
      </c>
      <c r="S133" s="34" t="n">
        <v>0</v>
      </c>
      <c r="T133" s="34" t="n">
        <v>0</v>
      </c>
      <c r="U133" s="34" t="n">
        <v>0</v>
      </c>
      <c r="V133" s="42" t="n"/>
      <c r="W133" s="42" t="n">
        <v>1</v>
      </c>
      <c r="X133" s="42" t="n">
        <v>0.85</v>
      </c>
      <c r="Y133" s="45" t="inlineStr">
        <is>
          <t>دون المستهدف — فجوة 100٪، يتطلب إجراءً تصحيحياً عاجلاً.</t>
        </is>
      </c>
      <c r="Z133" s="41" t="inlineStr">
        <is>
          <t>إطلاق إجراء تصحيحي خلال 30 يوماً بإشراف مدير التسويق.</t>
        </is>
      </c>
    </row>
    <row r="134">
      <c r="A134" s="9" t="inlineStr">
        <is>
          <t>التسويق</t>
        </is>
      </c>
      <c r="B134" s="9" t="inlineStr">
        <is>
          <t>العلاقات والشراكات</t>
        </is>
      </c>
      <c r="C134" s="9" t="inlineStr">
        <is>
          <t>اتفاقيات استراتيجية</t>
        </is>
      </c>
      <c r="D134" s="15" t="inlineStr">
        <is>
          <t>🔧 تشغيلي</t>
        </is>
      </c>
      <c r="E134" s="34" t="inlineStr">
        <is>
          <t>اتفاقية</t>
        </is>
      </c>
      <c r="F134" s="34" t="inlineStr">
        <is>
          <t>↑</t>
        </is>
      </c>
      <c r="G134" s="15" t="inlineStr">
        <is>
          <t>🟠 مهم</t>
        </is>
      </c>
      <c r="H134" s="42" t="n">
        <v>0.06</v>
      </c>
      <c r="I134" s="34" t="n">
        <v>3</v>
      </c>
      <c r="J134" s="34" t="n">
        <v>0</v>
      </c>
      <c r="K134" s="42" t="n">
        <v>0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إطلاق مشاريع جديدة</t>
        </is>
      </c>
      <c r="O134" s="15" t="inlineStr">
        <is>
          <t>العمليات الداخلية</t>
        </is>
      </c>
      <c r="P134" s="15" t="inlineStr">
        <is>
          <t>مدير التسويق</t>
        </is>
      </c>
      <c r="Q134" s="13" t="inlineStr">
        <is>
          <t>سجلات الإدارة</t>
        </is>
      </c>
      <c r="R134" s="15" t="inlineStr">
        <is>
          <t>شهري</t>
        </is>
      </c>
      <c r="S134" s="34" t="n">
        <v>0</v>
      </c>
      <c r="T134" s="34" t="n">
        <v>0</v>
      </c>
      <c r="U134" s="34" t="n">
        <v>0</v>
      </c>
      <c r="V134" s="42" t="n"/>
      <c r="W134" s="42" t="n">
        <v>1</v>
      </c>
      <c r="X134" s="42" t="n">
        <v>0.85</v>
      </c>
      <c r="Y134" s="45" t="inlineStr">
        <is>
          <t>دون المستهدف — فجوة 100٪، يتطلب إجراءً تصحيحياً عاجلاً.</t>
        </is>
      </c>
      <c r="Z134" s="41" t="inlineStr">
        <is>
          <t>إطلاق إجراء تصحيحي خلال 30 يوماً بإشراف مدير التسويق.</t>
        </is>
      </c>
    </row>
    <row r="135">
      <c r="A135" s="9" t="inlineStr">
        <is>
          <t>التسويق</t>
        </is>
      </c>
      <c r="B135" s="9" t="inlineStr">
        <is>
          <t>خدمة العملاء والدعم</t>
        </is>
      </c>
      <c r="C135" s="9" t="inlineStr">
        <is>
          <t>تقييم خرائط قوقل</t>
        </is>
      </c>
      <c r="D135" s="15" t="inlineStr">
        <is>
          <t>🎯 نتيجة</t>
        </is>
      </c>
      <c r="E135" s="34" t="inlineStr">
        <is>
          <t>نجمة/5</t>
        </is>
      </c>
      <c r="F135" s="34" t="inlineStr">
        <is>
          <t>↑</t>
        </is>
      </c>
      <c r="G135" s="15" t="inlineStr">
        <is>
          <t>🟠 مهم</t>
        </is>
      </c>
      <c r="H135" s="42" t="n">
        <v>0.06</v>
      </c>
      <c r="I135" s="34" t="n">
        <v>4.7</v>
      </c>
      <c r="J135" s="34" t="n">
        <v>4</v>
      </c>
      <c r="K135" s="42" t="n">
        <v>0.851063829787234</v>
      </c>
      <c r="L135" s="27" t="inlineStr">
        <is>
          <t>🟡 قريب</t>
        </is>
      </c>
      <c r="M135" s="27" t="inlineStr">
        <is>
          <t>الاستدامة</t>
        </is>
      </c>
      <c r="N135" s="13" t="inlineStr">
        <is>
          <t>تعزيز تجربة العملاء</t>
        </is>
      </c>
      <c r="O135" s="15" t="inlineStr">
        <is>
          <t>العملاء</t>
        </is>
      </c>
      <c r="P135" s="15" t="inlineStr">
        <is>
          <t>مدير التسويق</t>
        </is>
      </c>
      <c r="Q135" s="13" t="inlineStr">
        <is>
          <t>تقييمات خرائط قوقل</t>
        </is>
      </c>
      <c r="R135" s="15" t="inlineStr">
        <is>
          <t>شهري</t>
        </is>
      </c>
      <c r="S135" s="34" t="n">
        <v>3.547</v>
      </c>
      <c r="T135" s="34" t="n">
        <v>3.774</v>
      </c>
      <c r="U135" s="34" t="n">
        <v>4</v>
      </c>
      <c r="V135" s="42" t="n">
        <v>0.1277</v>
      </c>
      <c r="W135" s="42" t="n">
        <v>1</v>
      </c>
      <c r="X135" s="42" t="n">
        <v>0.85</v>
      </c>
      <c r="Y135" s="44" t="inlineStr">
        <is>
          <t>قريب من المستهدف — فجوة 15٪، متابعة لإغلاقها.</t>
        </is>
      </c>
      <c r="Z135" s="41" t="inlineStr">
        <is>
          <t>متابعة أسبوعية حتى بلوغ المستهدف.</t>
        </is>
      </c>
    </row>
    <row r="136">
      <c r="A136" s="9" t="inlineStr">
        <is>
          <t>التسويق</t>
        </is>
      </c>
      <c r="B136" s="9" t="inlineStr">
        <is>
          <t>خدمة العملاء والدعم</t>
        </is>
      </c>
      <c r="C136" s="9" t="inlineStr">
        <is>
          <t>معدل خفض الشكاوى</t>
        </is>
      </c>
      <c r="D136" s="15" t="inlineStr">
        <is>
          <t>🎯 نتيجة</t>
        </is>
      </c>
      <c r="E136" s="34" t="inlineStr">
        <is>
          <t>%</t>
        </is>
      </c>
      <c r="F136" s="34" t="inlineStr">
        <is>
          <t>↑</t>
        </is>
      </c>
      <c r="G136" s="15" t="inlineStr">
        <is>
          <t>🟠 مهم</t>
        </is>
      </c>
      <c r="H136" s="42" t="n">
        <v>0.06</v>
      </c>
      <c r="I136" s="34" t="n">
        <v>0.3</v>
      </c>
      <c r="J136" s="34" t="n">
        <v>0.21</v>
      </c>
      <c r="K136" s="42" t="n">
        <v>0.7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تعزيز تجربة العملاء</t>
        </is>
      </c>
      <c r="O136" s="15" t="inlineStr">
        <is>
          <t>العملاء</t>
        </is>
      </c>
      <c r="P136" s="15" t="inlineStr">
        <is>
          <t>مدير التسويق</t>
        </is>
      </c>
      <c r="Q136" s="13" t="inlineStr">
        <is>
          <t>سجلات الإدارة</t>
        </is>
      </c>
      <c r="R136" s="15" t="inlineStr">
        <is>
          <t>شهري</t>
        </is>
      </c>
      <c r="S136" s="34" t="n">
        <v>0.171</v>
      </c>
      <c r="T136" s="34" t="n">
        <v>0.191</v>
      </c>
      <c r="U136" s="34" t="n">
        <v>0.21</v>
      </c>
      <c r="V136" s="42" t="n">
        <v>0.2281</v>
      </c>
      <c r="W136" s="42" t="n">
        <v>1</v>
      </c>
      <c r="X136" s="42" t="n">
        <v>0.85</v>
      </c>
      <c r="Y136" s="45" t="inlineStr">
        <is>
          <t>دون المستهدف — فجوة 30٪، يتطلب إجراءً تصحيحياً عاجلاً.</t>
        </is>
      </c>
      <c r="Z136" s="41" t="inlineStr">
        <is>
          <t>إطلاق إجراء تصحيحي خلال 30 يوماً بإشراف مدير التسويق.</t>
        </is>
      </c>
    </row>
    <row r="137">
      <c r="A137" s="9" t="inlineStr">
        <is>
          <t>التسويق</t>
        </is>
      </c>
      <c r="B137" s="9" t="inlineStr">
        <is>
          <t>تطبيق تانكي</t>
        </is>
      </c>
      <c r="C137" s="9" t="inlineStr">
        <is>
          <t>وصول محتوى تطبيق تانكي</t>
        </is>
      </c>
      <c r="D137" s="15" t="inlineStr">
        <is>
          <t>🔧 تشغيلي</t>
        </is>
      </c>
      <c r="E137" s="34" t="inlineStr">
        <is>
          <t>وصول</t>
        </is>
      </c>
      <c r="F137" s="34" t="inlineStr">
        <is>
          <t>↑</t>
        </is>
      </c>
      <c r="G137" s="15" t="inlineStr">
        <is>
          <t>🟠 مهم</t>
        </is>
      </c>
      <c r="H137" s="42" t="n">
        <v>0.05</v>
      </c>
      <c r="I137" s="34" t="n">
        <v>1000000</v>
      </c>
      <c r="J137" s="34" t="n">
        <v>946380</v>
      </c>
      <c r="K137" s="42" t="n">
        <v>0.94638</v>
      </c>
      <c r="L137" s="27" t="inlineStr">
        <is>
          <t>🟡 قريب</t>
        </is>
      </c>
      <c r="M137" s="27" t="inlineStr">
        <is>
          <t>الابتكار</t>
        </is>
      </c>
      <c r="N137" s="13" t="inlineStr">
        <is>
          <t>تطبيق «تانكي»</t>
        </is>
      </c>
      <c r="O137" s="15" t="inlineStr">
        <is>
          <t>العملاء</t>
        </is>
      </c>
      <c r="P137" s="15" t="inlineStr">
        <is>
          <t>مدير التسويق</t>
        </is>
      </c>
      <c r="Q137" s="13" t="inlineStr">
        <is>
          <t>أنظمة التسويق الرقمي / تانكي</t>
        </is>
      </c>
      <c r="R137" s="15" t="inlineStr">
        <is>
          <t>شهري</t>
        </is>
      </c>
      <c r="S137" s="34" t="n">
        <v>788220.974</v>
      </c>
      <c r="T137" s="34" t="n">
        <v>867300.487</v>
      </c>
      <c r="U137" s="34" t="n">
        <v>946380</v>
      </c>
      <c r="V137" s="42" t="n">
        <v>0.2007</v>
      </c>
      <c r="W137" s="42" t="n">
        <v>1</v>
      </c>
      <c r="X137" s="42" t="n">
        <v>0.85</v>
      </c>
      <c r="Y137" s="44" t="inlineStr">
        <is>
          <t>قريب من المستهدف — فجوة 5٪، متابعة لإغلاقها.</t>
        </is>
      </c>
      <c r="Z137" s="41" t="inlineStr">
        <is>
          <t>متابعة أسبوعية حتى بلوغ المستهدف.</t>
        </is>
      </c>
    </row>
    <row r="138">
      <c r="A138" s="9" t="inlineStr">
        <is>
          <t>التسويق</t>
        </is>
      </c>
      <c r="B138" s="9" t="inlineStr">
        <is>
          <t>تطبيق تانكي</t>
        </is>
      </c>
      <c r="C138" s="9" t="inlineStr">
        <is>
          <t>مشاركات تطبيق تانكي</t>
        </is>
      </c>
      <c r="D138" s="15" t="inlineStr">
        <is>
          <t>🔧 تشغيلي</t>
        </is>
      </c>
      <c r="E138" s="34" t="inlineStr">
        <is>
          <t>مشاركة</t>
        </is>
      </c>
      <c r="F138" s="34" t="inlineStr">
        <is>
          <t>↑</t>
        </is>
      </c>
      <c r="G138" s="15" t="inlineStr">
        <is>
          <t>🟠 مهم</t>
        </is>
      </c>
      <c r="H138" s="42" t="n">
        <v>0.05</v>
      </c>
      <c r="I138" s="34" t="n">
        <v>250</v>
      </c>
      <c r="J138" s="34" t="n">
        <v>180.7</v>
      </c>
      <c r="K138" s="42" t="n">
        <v>0.7228</v>
      </c>
      <c r="L138" s="27" t="inlineStr">
        <is>
          <t>🔴 تحت الهدف</t>
        </is>
      </c>
      <c r="M138" s="27" t="inlineStr">
        <is>
          <t>الابتكار</t>
        </is>
      </c>
      <c r="N138" s="13" t="inlineStr">
        <is>
          <t>تطبيق «تانكي»</t>
        </is>
      </c>
      <c r="O138" s="15" t="inlineStr">
        <is>
          <t>العمليات الداخلية</t>
        </is>
      </c>
      <c r="P138" s="15" t="inlineStr">
        <is>
          <t>مدير التسويق</t>
        </is>
      </c>
      <c r="Q138" s="13" t="inlineStr">
        <is>
          <t>أنظمة التسويق الرقمي / تانكي</t>
        </is>
      </c>
      <c r="R138" s="15" t="inlineStr">
        <is>
          <t>شهري</t>
        </is>
      </c>
      <c r="S138" s="34" t="n">
        <v>152.626</v>
      </c>
      <c r="T138" s="34" t="n">
        <v>166.663</v>
      </c>
      <c r="U138" s="34" t="n">
        <v>361.4</v>
      </c>
      <c r="V138" s="42" t="n">
        <v>0.1839</v>
      </c>
      <c r="W138" s="42" t="n">
        <v>1</v>
      </c>
      <c r="X138" s="42" t="n">
        <v>0.85</v>
      </c>
      <c r="Y138" s="45" t="inlineStr">
        <is>
          <t>دون المستهدف — فجوة 28٪، يتطلب إجراءً تصحيحياً عاجلاً.</t>
        </is>
      </c>
      <c r="Z138" s="41" t="inlineStr">
        <is>
          <t>إطلاق إجراء تصحيحي خلال 30 يوماً بإشراف مدير التسويق.</t>
        </is>
      </c>
    </row>
    <row r="139">
      <c r="A139" s="9" t="inlineStr">
        <is>
          <t>الجودة</t>
        </is>
      </c>
      <c r="B139" s="9" t="inlineStr">
        <is>
          <t>مخاطر الجودة</t>
        </is>
      </c>
      <c r="C139" s="9" t="inlineStr">
        <is>
          <t>نسبة المحطات الحرجة</t>
        </is>
      </c>
      <c r="D139" s="15" t="inlineStr">
        <is>
          <t>🔧 تشغيلي</t>
        </is>
      </c>
      <c r="E139" s="34" t="inlineStr">
        <is>
          <t>%</t>
        </is>
      </c>
      <c r="F139" s="34" t="inlineStr">
        <is>
          <t>↓</t>
        </is>
      </c>
      <c r="G139" s="15" t="inlineStr">
        <is>
          <t>🔴 رئيسي</t>
        </is>
      </c>
      <c r="H139" s="42" t="n">
        <v>0.1</v>
      </c>
      <c r="I139" s="34" t="n">
        <v>0.05</v>
      </c>
      <c r="J139" s="34" t="n">
        <v>0.054</v>
      </c>
      <c r="K139" s="42" t="n">
        <v>0.925925925925926</v>
      </c>
      <c r="L139" s="27" t="inlineStr">
        <is>
          <t>🟡 قريب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الجودة</t>
        </is>
      </c>
      <c r="Q139" s="13" t="inlineStr">
        <is>
          <t>نظام إدارة الجودة (QMS)</t>
        </is>
      </c>
      <c r="R139" s="15" t="inlineStr">
        <is>
          <t>شهري</t>
        </is>
      </c>
      <c r="S139" s="34" t="n">
        <v>0.06</v>
      </c>
      <c r="T139" s="34" t="n">
        <v>0.057</v>
      </c>
      <c r="U139" s="34" t="n">
        <v>0.054</v>
      </c>
      <c r="V139" s="42" t="n">
        <v>-0.1</v>
      </c>
      <c r="W139" s="42" t="n">
        <v>1</v>
      </c>
      <c r="X139" s="42" t="n">
        <v>0.85</v>
      </c>
      <c r="Y139" s="44" t="inlineStr">
        <is>
          <t>قريب من المستهدف — فجوة 7٪، متابعة لإغلاقها.</t>
        </is>
      </c>
      <c r="Z139" s="41" t="inlineStr">
        <is>
          <t>متابعة أسبوعية حتى بلوغ المستهدف.</t>
        </is>
      </c>
    </row>
    <row r="140">
      <c r="A140" s="9" t="inlineStr">
        <is>
          <t>الجودة</t>
        </is>
      </c>
      <c r="B140" s="9" t="inlineStr">
        <is>
          <t>جودة الوقود</t>
        </is>
      </c>
      <c r="C140" s="9" t="inlineStr">
        <is>
          <t>نسبة مطابقة جودة الوقود</t>
        </is>
      </c>
      <c r="D140" s="15" t="inlineStr">
        <is>
          <t>🎯 نتيجة</t>
        </is>
      </c>
      <c r="E140" s="34" t="inlineStr">
        <is>
          <t>%</t>
        </is>
      </c>
      <c r="F140" s="34" t="inlineStr">
        <is>
          <t>↑</t>
        </is>
      </c>
      <c r="G140" s="15" t="inlineStr">
        <is>
          <t>🟠 مهم</t>
        </is>
      </c>
      <c r="H140" s="42" t="n">
        <v>0.07000000000000001</v>
      </c>
      <c r="I140" s="34" t="n">
        <v>0.995</v>
      </c>
      <c r="J140" s="34" t="n">
        <v>0.804</v>
      </c>
      <c r="K140" s="42" t="n">
        <v>0.8080402010050252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العمليات الداخلية</t>
        </is>
      </c>
      <c r="P140" s="15" t="inlineStr">
        <is>
          <t>مدير الجودة</t>
        </is>
      </c>
      <c r="Q140" s="13" t="inlineStr">
        <is>
          <t>نظام إدارة الجودة (QMS)</t>
        </is>
      </c>
      <c r="R140" s="15" t="inlineStr">
        <is>
          <t>شهري</t>
        </is>
      </c>
      <c r="S140" s="34" t="n">
        <v>0.709</v>
      </c>
      <c r="T140" s="34" t="n">
        <v>0.756</v>
      </c>
      <c r="U140" s="34" t="n">
        <v>0.804</v>
      </c>
      <c r="V140" s="42" t="n">
        <v>0.134</v>
      </c>
      <c r="W140" s="42" t="n">
        <v>1</v>
      </c>
      <c r="X140" s="42" t="n">
        <v>0.97</v>
      </c>
      <c r="Y140" s="45" t="inlineStr">
        <is>
          <t>دون المستهدف — فجوة 19٪، يتطلب إجراءً تصحيحياً عاجلاً.</t>
        </is>
      </c>
      <c r="Z140" s="41" t="inlineStr">
        <is>
          <t>إطلاق إجراء تصحيحي خلال 30 يوماً بإشراف مدير الجودة.</t>
        </is>
      </c>
    </row>
    <row r="141">
      <c r="A141" s="9" t="inlineStr">
        <is>
          <t>الجودة</t>
        </is>
      </c>
      <c r="B141" s="9" t="inlineStr">
        <is>
          <t>معالجة وتصحيح</t>
        </is>
      </c>
      <c r="C141" s="9" t="inlineStr">
        <is>
          <t>نسبة إغلاق الملاحظات في الوقت المحدد</t>
        </is>
      </c>
      <c r="D141" s="15" t="inlineStr">
        <is>
          <t>🎯 نتيجة</t>
        </is>
      </c>
      <c r="E141" s="34" t="inlineStr">
        <is>
          <t>%</t>
        </is>
      </c>
      <c r="F141" s="34" t="inlineStr">
        <is>
          <t>↑</t>
        </is>
      </c>
      <c r="G141" s="15" t="inlineStr">
        <is>
          <t>🟠 مهم</t>
        </is>
      </c>
      <c r="H141" s="42" t="n">
        <v>0.07000000000000001</v>
      </c>
      <c r="I141" s="34" t="n">
        <v>0.9</v>
      </c>
      <c r="J141" s="34" t="n">
        <v>0.6870000000000001</v>
      </c>
      <c r="K141" s="42" t="n">
        <v>0.7633333333333334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جودة التشغيل</t>
        </is>
      </c>
      <c r="O141" s="15" t="inlineStr">
        <is>
          <t>العمليات الداخلية</t>
        </is>
      </c>
      <c r="P141" s="15" t="inlineStr">
        <is>
          <t>مدير الجودة</t>
        </is>
      </c>
      <c r="Q141" s="13" t="inlineStr">
        <is>
          <t>نظام إدارة الجودة (QMS)</t>
        </is>
      </c>
      <c r="R141" s="15" t="inlineStr">
        <is>
          <t>شهري</t>
        </is>
      </c>
      <c r="S141" s="34" t="n">
        <v>0.596</v>
      </c>
      <c r="T141" s="34" t="n">
        <v>0.641</v>
      </c>
      <c r="U141" s="34" t="n">
        <v>0.6870000000000001</v>
      </c>
      <c r="V141" s="42" t="n">
        <v>0.1527</v>
      </c>
      <c r="W141" s="42" t="n">
        <v>1</v>
      </c>
      <c r="X141" s="42" t="n">
        <v>0.85</v>
      </c>
      <c r="Y141" s="45" t="inlineStr">
        <is>
          <t>دون المستهدف — فجوة 24٪، يتطلب إجراءً تصحيحياً عاجلاً.</t>
        </is>
      </c>
      <c r="Z141" s="41" t="inlineStr">
        <is>
          <t>إطلاق إجراء تصحيحي خلال 30 يوماً بإشراف مدير الجودة.</t>
        </is>
      </c>
    </row>
    <row r="142">
      <c r="A142" s="9" t="inlineStr">
        <is>
          <t>الجودة</t>
        </is>
      </c>
      <c r="B142" s="9" t="inlineStr">
        <is>
          <t>تحسين ووقاية</t>
        </is>
      </c>
      <c r="C142" s="9" t="inlineStr">
        <is>
          <t>نسبة فعالية الإجراءات التصحيحية</t>
        </is>
      </c>
      <c r="D142" s="15" t="inlineStr">
        <is>
          <t>🎯 نتيجة</t>
        </is>
      </c>
      <c r="E142" s="34" t="inlineStr">
        <is>
          <t>%</t>
        </is>
      </c>
      <c r="F142" s="34" t="inlineStr">
        <is>
          <t>↑</t>
        </is>
      </c>
      <c r="G142" s="15" t="inlineStr">
        <is>
          <t>🟠 مهم</t>
        </is>
      </c>
      <c r="H142" s="42" t="n">
        <v>0.07000000000000001</v>
      </c>
      <c r="I142" s="34" t="n">
        <v>0.85</v>
      </c>
      <c r="J142" s="34" t="n">
        <v>0.648</v>
      </c>
      <c r="K142" s="42" t="n">
        <v>0.7623529411764707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جودة التشغيل</t>
        </is>
      </c>
      <c r="O142" s="15" t="inlineStr">
        <is>
          <t>العمليات الداخلية</t>
        </is>
      </c>
      <c r="P142" s="15" t="inlineStr">
        <is>
          <t>مدير الجودة</t>
        </is>
      </c>
      <c r="Q142" s="13" t="inlineStr">
        <is>
          <t>سجلات الإدارة</t>
        </is>
      </c>
      <c r="R142" s="15" t="inlineStr">
        <is>
          <t>شهري</t>
        </is>
      </c>
      <c r="S142" s="34" t="n">
        <v>0.552</v>
      </c>
      <c r="T142" s="34" t="n">
        <v>0.6</v>
      </c>
      <c r="U142" s="34" t="n">
        <v>0.648</v>
      </c>
      <c r="V142" s="42" t="n">
        <v>0.1739</v>
      </c>
      <c r="W142" s="42" t="n">
        <v>1</v>
      </c>
      <c r="X142" s="42" t="n">
        <v>0.85</v>
      </c>
      <c r="Y142" s="45" t="inlineStr">
        <is>
          <t>دون المستهدف — فجوة 24٪، يتطلب إجراءً تصحيحياً عاجلاً.</t>
        </is>
      </c>
      <c r="Z142" s="41" t="inlineStr">
        <is>
          <t>إطلاق إجراء تصحيحي خلال 30 يوماً بإشراف مدير الجودة.</t>
        </is>
      </c>
    </row>
    <row r="143">
      <c r="A143" s="9" t="inlineStr">
        <is>
          <t>الجودة</t>
        </is>
      </c>
      <c r="B143" s="9" t="inlineStr">
        <is>
          <t>منع التكرار</t>
        </is>
      </c>
      <c r="C143" s="9" t="inlineStr">
        <is>
          <t>نسبة تكرار الملاحظات</t>
        </is>
      </c>
      <c r="D143" s="15" t="inlineStr">
        <is>
          <t>🔧 تشغيلي</t>
        </is>
      </c>
      <c r="E143" s="34" t="inlineStr">
        <is>
          <t>%</t>
        </is>
      </c>
      <c r="F143" s="34" t="inlineStr">
        <is>
          <t>↓</t>
        </is>
      </c>
      <c r="G143" s="15" t="inlineStr">
        <is>
          <t>🟠 مهم</t>
        </is>
      </c>
      <c r="H143" s="42" t="n">
        <v>0.07000000000000001</v>
      </c>
      <c r="I143" s="34" t="n">
        <v>0.1</v>
      </c>
      <c r="J143" s="34" t="n">
        <v>0.114</v>
      </c>
      <c r="K143" s="42" t="n">
        <v>0.8771929824561404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جودة التشغيل</t>
        </is>
      </c>
      <c r="O143" s="15" t="inlineStr">
        <is>
          <t>العمليات الداخلية</t>
        </is>
      </c>
      <c r="P143" s="15" t="inlineStr">
        <is>
          <t>مدير الجودة</t>
        </is>
      </c>
      <c r="Q143" s="13" t="inlineStr">
        <is>
          <t>نظام إدارة الجودة (QMS)</t>
        </is>
      </c>
      <c r="R143" s="15" t="inlineStr">
        <is>
          <t>شهري</t>
        </is>
      </c>
      <c r="S143" s="34" t="n">
        <v>0.131</v>
      </c>
      <c r="T143" s="34" t="n">
        <v>0.122</v>
      </c>
      <c r="U143" s="34" t="n">
        <v>0.114</v>
      </c>
      <c r="V143" s="42" t="n">
        <v>-0.1298</v>
      </c>
      <c r="W143" s="42" t="n">
        <v>1</v>
      </c>
      <c r="X143" s="42" t="n">
        <v>0.85</v>
      </c>
      <c r="Y143" s="44" t="inlineStr">
        <is>
          <t>قريب من المستهدف — فجوة 12٪، متابعة لإغلاقها.</t>
        </is>
      </c>
      <c r="Z143" s="41" t="inlineStr">
        <is>
          <t>متابعة أسبوعية حتى بلوغ المستهدف.</t>
        </is>
      </c>
    </row>
    <row r="144">
      <c r="A144" s="9" t="inlineStr">
        <is>
          <t>الجودة</t>
        </is>
      </c>
      <c r="B144" s="9" t="inlineStr">
        <is>
          <t>تفتيش وتدقيق</t>
        </is>
      </c>
      <c r="C144" s="9" t="inlineStr">
        <is>
          <t>نسبة تنفيذ خطة التفتيش والتدقيق</t>
        </is>
      </c>
      <c r="D144" s="15" t="inlineStr">
        <is>
          <t>⚙️ نشاط</t>
        </is>
      </c>
      <c r="E144" s="34" t="inlineStr">
        <is>
          <t>%</t>
        </is>
      </c>
      <c r="F144" s="34" t="inlineStr">
        <is>
          <t>↑</t>
        </is>
      </c>
      <c r="G144" s="15" t="inlineStr">
        <is>
          <t>🟠 مهم</t>
        </is>
      </c>
      <c r="H144" s="42" t="n">
        <v>0.07000000000000001</v>
      </c>
      <c r="I144" s="34" t="n">
        <v>0.95</v>
      </c>
      <c r="J144" s="34" t="n">
        <v>0.728</v>
      </c>
      <c r="K144" s="42" t="n">
        <v>0.7663157894736842</v>
      </c>
      <c r="L144" s="27" t="inlineStr">
        <is>
          <t>🔴 تحت الهدف</t>
        </is>
      </c>
      <c r="M144" s="27" t="inlineStr">
        <is>
          <t>الاستدامة</t>
        </is>
      </c>
      <c r="N144" s="13" t="inlineStr">
        <is>
          <t>جودة التشغيل</t>
        </is>
      </c>
      <c r="O144" s="15" t="inlineStr">
        <is>
          <t>العمليات الداخلية</t>
        </is>
      </c>
      <c r="P144" s="15" t="inlineStr">
        <is>
          <t>مدير الجودة</t>
        </is>
      </c>
      <c r="Q144" s="13" t="inlineStr">
        <is>
          <t>نظام المحاسبة / ERP (D365)</t>
        </is>
      </c>
      <c r="R144" s="15" t="inlineStr">
        <is>
          <t>ربعي</t>
        </is>
      </c>
      <c r="S144" s="34" t="n">
        <v>0.621</v>
      </c>
      <c r="T144" s="34" t="n">
        <v>0.674</v>
      </c>
      <c r="U144" s="34" t="n">
        <v>0.728</v>
      </c>
      <c r="V144" s="42" t="n">
        <v>0.1723</v>
      </c>
      <c r="W144" s="42" t="n">
        <v>1</v>
      </c>
      <c r="X144" s="42" t="n">
        <v>0.85</v>
      </c>
      <c r="Y144" s="45" t="inlineStr">
        <is>
          <t>دون المستهدف — فجوة 23٪، يتطلب إجراءً تصحيحياً عاجلاً.</t>
        </is>
      </c>
      <c r="Z144" s="41" t="inlineStr">
        <is>
          <t>إطلاق إجراء تصحيحي خلال 30 يوماً بإشراف مدير الجودة.</t>
        </is>
      </c>
    </row>
    <row r="145">
      <c r="A145" s="9" t="inlineStr">
        <is>
          <t>الجودة</t>
        </is>
      </c>
      <c r="B145" s="9" t="inlineStr">
        <is>
          <t>حوكمة الجودة</t>
        </is>
      </c>
      <c r="C145" s="9" t="inlineStr">
        <is>
          <t>نسبة جاهزية نظام إدارة الجودة QMS</t>
        </is>
      </c>
      <c r="D145" s="15" t="inlineStr">
        <is>
          <t>🎯 نتيجة</t>
        </is>
      </c>
      <c r="E145" s="34" t="inlineStr">
        <is>
          <t>%</t>
        </is>
      </c>
      <c r="F145" s="34" t="inlineStr">
        <is>
          <t>↑</t>
        </is>
      </c>
      <c r="G145" s="15" t="inlineStr">
        <is>
          <t>🔴 رئيسي</t>
        </is>
      </c>
      <c r="H145" s="42" t="n">
        <v>0.1</v>
      </c>
      <c r="I145" s="34" t="n">
        <v>0.9</v>
      </c>
      <c r="J145" s="34" t="n">
        <v>0.754</v>
      </c>
      <c r="K145" s="42" t="n">
        <v>0.8377777777777777</v>
      </c>
      <c r="L145" s="27" t="inlineStr">
        <is>
          <t>🔴 تحت الهدف</t>
        </is>
      </c>
      <c r="M145" s="27" t="inlineStr">
        <is>
          <t>الاستدامة</t>
        </is>
      </c>
      <c r="N145" s="13" t="inlineStr">
        <is>
          <t>جودة التشغيل</t>
        </is>
      </c>
      <c r="O145" s="15" t="inlineStr">
        <is>
          <t>العمليات الداخلية</t>
        </is>
      </c>
      <c r="P145" s="15" t="inlineStr">
        <is>
          <t>مدير الجودة</t>
        </is>
      </c>
      <c r="Q145" s="13" t="inlineStr">
        <is>
          <t>نظام إدارة الجودة (QMS)</t>
        </is>
      </c>
      <c r="R145" s="15" t="inlineStr">
        <is>
          <t>شهري</t>
        </is>
      </c>
      <c r="S145" s="34" t="n">
        <v>0.647</v>
      </c>
      <c r="T145" s="34" t="n">
        <v>0.701</v>
      </c>
      <c r="U145" s="34" t="n">
        <v>0.754</v>
      </c>
      <c r="V145" s="42" t="n">
        <v>0.1654</v>
      </c>
      <c r="W145" s="42" t="n">
        <v>1</v>
      </c>
      <c r="X145" s="42" t="n">
        <v>0.97</v>
      </c>
      <c r="Y145" s="45" t="inlineStr">
        <is>
          <t>دون المستهدف — فجوة 16٪، يتطلب إجراءً تصحيحياً عاجلاً.</t>
        </is>
      </c>
      <c r="Z145" s="41" t="inlineStr">
        <is>
          <t>إطلاق إجراء تصحيحي خلال 30 يوماً بإشراف مدير الجودة.</t>
        </is>
      </c>
    </row>
    <row r="146">
      <c r="A146" s="9" t="inlineStr">
        <is>
          <t>الجودة</t>
        </is>
      </c>
      <c r="B146" s="9" t="inlineStr">
        <is>
          <t>مخاطر الجودة</t>
        </is>
      </c>
      <c r="C146" s="9" t="inlineStr">
        <is>
          <t>عدد مخاطر الجودة الحرجة المفتوحة</t>
        </is>
      </c>
      <c r="D146" s="15" t="inlineStr">
        <is>
          <t>⚙️ نشاط</t>
        </is>
      </c>
      <c r="E146" s="34" t="inlineStr">
        <is>
          <t>خطر</t>
        </is>
      </c>
      <c r="F146" s="34" t="inlineStr">
        <is>
          <t>↓</t>
        </is>
      </c>
      <c r="G146" s="15" t="inlineStr">
        <is>
          <t>🟠 مهم</t>
        </is>
      </c>
      <c r="H146" s="42" t="n">
        <v>0.07000000000000001</v>
      </c>
      <c r="I146" s="34" t="n">
        <v>0</v>
      </c>
      <c r="J146" s="34" t="n"/>
      <c r="K146" s="42" t="n"/>
      <c r="L146" s="27" t="inlineStr">
        <is>
          <t>⏳ بانتظار هدف</t>
        </is>
      </c>
      <c r="M146" s="27" t="inlineStr">
        <is>
          <t>الاستدامة</t>
        </is>
      </c>
      <c r="N146" s="13" t="inlineStr">
        <is>
          <t>جودة التشغيل</t>
        </is>
      </c>
      <c r="O146" s="15" t="inlineStr">
        <is>
          <t>العمليات الداخلية</t>
        </is>
      </c>
      <c r="P146" s="15" t="inlineStr">
        <is>
          <t>مدير الجودة</t>
        </is>
      </c>
      <c r="Q146" s="13" t="inlineStr">
        <is>
          <t>نظام إدارة الجودة (QMS)</t>
        </is>
      </c>
      <c r="R146" s="15" t="inlineStr">
        <is>
          <t>شهري</t>
        </is>
      </c>
      <c r="S146" s="34" t="n"/>
      <c r="T146" s="34" t="n"/>
      <c r="U146" s="34" t="n"/>
      <c r="V146" s="42" t="n"/>
      <c r="W146" s="42" t="n">
        <v>1</v>
      </c>
      <c r="X146" s="42" t="n">
        <v>0.85</v>
      </c>
      <c r="Y146" s="44" t="inlineStr"/>
      <c r="Z146" s="41" t="inlineStr"/>
    </row>
    <row r="147">
      <c r="A147" s="9" t="inlineStr">
        <is>
          <t>الجودة</t>
        </is>
      </c>
      <c r="B147" s="9" t="inlineStr">
        <is>
          <t>مخاطر الجودة</t>
        </is>
      </c>
      <c r="C147" s="9" t="inlineStr">
        <is>
          <t>نسبة إغلاق مخاطر الجودة في الوقت المحدد</t>
        </is>
      </c>
      <c r="D147" s="15" t="inlineStr">
        <is>
          <t>🎯 نتيجة</t>
        </is>
      </c>
      <c r="E147" s="34" t="inlineStr">
        <is>
          <t>%</t>
        </is>
      </c>
      <c r="F147" s="34" t="inlineStr">
        <is>
          <t>↑</t>
        </is>
      </c>
      <c r="G147" s="15" t="inlineStr">
        <is>
          <t>🟠 مهم</t>
        </is>
      </c>
      <c r="H147" s="42" t="n">
        <v>0.07000000000000001</v>
      </c>
      <c r="I147" s="34" t="n">
        <v>0.9</v>
      </c>
      <c r="J147" s="34" t="n">
        <v>0.908</v>
      </c>
      <c r="K147" s="42" t="n">
        <v>1</v>
      </c>
      <c r="L147" s="27" t="inlineStr">
        <is>
          <t>✅ محقق</t>
        </is>
      </c>
      <c r="M147" s="27" t="inlineStr">
        <is>
          <t>الاستدامة</t>
        </is>
      </c>
      <c r="N147" s="13" t="inlineStr">
        <is>
          <t>جودة التشغيل</t>
        </is>
      </c>
      <c r="O147" s="15" t="inlineStr">
        <is>
          <t>العمليات الداخلية</t>
        </is>
      </c>
      <c r="P147" s="15" t="inlineStr">
        <is>
          <t>مدير الجودة</t>
        </is>
      </c>
      <c r="Q147" s="13" t="inlineStr">
        <is>
          <t>نظام إدارة الجودة (QMS)</t>
        </is>
      </c>
      <c r="R147" s="15" t="inlineStr">
        <is>
          <t>شهري</t>
        </is>
      </c>
      <c r="S147" s="34" t="n">
        <v>0.822</v>
      </c>
      <c r="T147" s="34" t="n">
        <v>0.865</v>
      </c>
      <c r="U147" s="34" t="n">
        <v>0.908</v>
      </c>
      <c r="V147" s="42" t="n">
        <v>0.1046</v>
      </c>
      <c r="W147" s="42" t="n">
        <v>1</v>
      </c>
      <c r="X147" s="42" t="n">
        <v>0.85</v>
      </c>
      <c r="Y147" s="44" t="inlineStr"/>
      <c r="Z147" s="41" t="inlineStr"/>
    </row>
    <row r="148">
      <c r="A148" s="9" t="inlineStr">
        <is>
          <t>الجودة</t>
        </is>
      </c>
      <c r="B148" s="9" t="inlineStr">
        <is>
          <t>تجربة العميل</t>
        </is>
      </c>
      <c r="C148" s="9" t="inlineStr">
        <is>
          <t>نسبة انخفاض الشكاوى المتكررة ذات العلاقة بالجودة</t>
        </is>
      </c>
      <c r="D148" s="15" t="inlineStr">
        <is>
          <t>🎯 نتيجة</t>
        </is>
      </c>
      <c r="E148" s="34" t="inlineStr">
        <is>
          <t>%</t>
        </is>
      </c>
      <c r="F148" s="34" t="inlineStr">
        <is>
          <t>↑</t>
        </is>
      </c>
      <c r="G148" s="15" t="inlineStr">
        <is>
          <t>🟠 مهم</t>
        </is>
      </c>
      <c r="H148" s="42" t="n">
        <v>0.07000000000000001</v>
      </c>
      <c r="I148" s="34" t="n">
        <v>0.15</v>
      </c>
      <c r="J148" s="34" t="n">
        <v>0.126</v>
      </c>
      <c r="K148" s="42" t="n">
        <v>0.8400000000000001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تعزيز تجربة العملاء</t>
        </is>
      </c>
      <c r="O148" s="15" t="inlineStr">
        <is>
          <t>العملاء</t>
        </is>
      </c>
      <c r="P148" s="15" t="inlineStr">
        <is>
          <t>مدير الجودة</t>
        </is>
      </c>
      <c r="Q148" s="13" t="inlineStr">
        <is>
          <t>نظام إدارة الجودة (QMS)</t>
        </is>
      </c>
      <c r="R148" s="15" t="inlineStr">
        <is>
          <t>شهري</t>
        </is>
      </c>
      <c r="S148" s="34" t="n">
        <v>0.106</v>
      </c>
      <c r="T148" s="34" t="n">
        <v>0.116</v>
      </c>
      <c r="U148" s="34" t="n">
        <v>0.126</v>
      </c>
      <c r="V148" s="42" t="n">
        <v>0.1887</v>
      </c>
      <c r="W148" s="42" t="n">
        <v>1</v>
      </c>
      <c r="X148" s="42" t="n">
        <v>0.85</v>
      </c>
      <c r="Y148" s="45" t="inlineStr">
        <is>
          <t>دون المستهدف — فجوة 16٪، يتطلب إجراءً تصحيحياً عاجلاً.</t>
        </is>
      </c>
      <c r="Z148" s="41" t="inlineStr">
        <is>
          <t>إطلاق إجراء تصحيحي خلال 30 يوماً بإشراف مدير الجودة.</t>
        </is>
      </c>
    </row>
    <row r="149">
      <c r="A149" s="9" t="inlineStr">
        <is>
          <t>الجودة</t>
        </is>
      </c>
      <c r="B149" s="9" t="inlineStr">
        <is>
          <t>الجودة الإدارية</t>
        </is>
      </c>
      <c r="C149" s="9" t="inlineStr">
        <is>
          <t>نسبة اكتمال وتحديث الإجراءات المعتمدة</t>
        </is>
      </c>
      <c r="D149" s="15" t="inlineStr">
        <is>
          <t>🔧 تشغيلي</t>
        </is>
      </c>
      <c r="E149" s="34" t="inlineStr">
        <is>
          <t>%</t>
        </is>
      </c>
      <c r="F149" s="34" t="inlineStr">
        <is>
          <t>↑</t>
        </is>
      </c>
      <c r="G149" s="15" t="inlineStr">
        <is>
          <t>🟡 متابعة</t>
        </is>
      </c>
      <c r="H149" s="42" t="n">
        <v>0.03</v>
      </c>
      <c r="I149" s="34" t="n">
        <v>0.95</v>
      </c>
      <c r="J149" s="34" t="n">
        <v>0.944</v>
      </c>
      <c r="K149" s="42" t="n">
        <v>0.9936842105263158</v>
      </c>
      <c r="L149" s="27" t="inlineStr">
        <is>
          <t>🟡 قريب</t>
        </is>
      </c>
      <c r="M149" s="27" t="inlineStr">
        <is>
          <t>الاستدامة</t>
        </is>
      </c>
      <c r="N149" s="13" t="inlineStr">
        <is>
          <t>جودة التشغيل</t>
        </is>
      </c>
      <c r="O149" s="15" t="inlineStr">
        <is>
          <t>العمليات الداخلية</t>
        </is>
      </c>
      <c r="P149" s="15" t="inlineStr">
        <is>
          <t>مدير الجودة</t>
        </is>
      </c>
      <c r="Q149" s="13" t="inlineStr">
        <is>
          <t>نظام إدارة الجودة (QMS)</t>
        </is>
      </c>
      <c r="R149" s="15" t="inlineStr">
        <is>
          <t>شهري</t>
        </is>
      </c>
      <c r="S149" s="34" t="n">
        <v>0.792</v>
      </c>
      <c r="T149" s="34" t="n">
        <v>0.868</v>
      </c>
      <c r="U149" s="34" t="n">
        <v>0.944</v>
      </c>
      <c r="V149" s="42" t="n">
        <v>0.1919</v>
      </c>
      <c r="W149" s="42" t="n">
        <v>1</v>
      </c>
      <c r="X149" s="42" t="n">
        <v>0.85</v>
      </c>
      <c r="Y149" s="44" t="inlineStr">
        <is>
          <t>قريب من المستهدف — فجوة 1٪، متابعة لإغلاقها.</t>
        </is>
      </c>
      <c r="Z149" s="41" t="inlineStr">
        <is>
          <t>متابعة أسبوعية حتى بلوغ المستهدف.</t>
        </is>
      </c>
    </row>
    <row r="150">
      <c r="A150" s="9" t="inlineStr">
        <is>
          <t>الجودة</t>
        </is>
      </c>
      <c r="B150" s="9" t="inlineStr">
        <is>
          <t>توثيق وحوكمة</t>
        </is>
      </c>
      <c r="C150" s="9" t="inlineStr">
        <is>
          <t>نسبة اكتمال سجلات الجودة</t>
        </is>
      </c>
      <c r="D150" s="15" t="inlineStr">
        <is>
          <t>🔧 تشغيلي</t>
        </is>
      </c>
      <c r="E150" s="34" t="inlineStr">
        <is>
          <t>%</t>
        </is>
      </c>
      <c r="F150" s="34" t="inlineStr">
        <is>
          <t>↑</t>
        </is>
      </c>
      <c r="G150" s="15" t="inlineStr">
        <is>
          <t>🟠 مهم</t>
        </is>
      </c>
      <c r="H150" s="42" t="n">
        <v>0.07000000000000001</v>
      </c>
      <c r="I150" s="34" t="n">
        <v>0.95</v>
      </c>
      <c r="J150" s="34" t="n">
        <v>0.982</v>
      </c>
      <c r="K150" s="42" t="n">
        <v>1</v>
      </c>
      <c r="L150" s="27" t="inlineStr">
        <is>
          <t>✅ محقق</t>
        </is>
      </c>
      <c r="M150" s="27" t="inlineStr">
        <is>
          <t>الاستدامة</t>
        </is>
      </c>
      <c r="N150" s="13" t="inlineStr">
        <is>
          <t>جودة التشغيل</t>
        </is>
      </c>
      <c r="O150" s="15" t="inlineStr">
        <is>
          <t>العمليات الداخلية</t>
        </is>
      </c>
      <c r="P150" s="15" t="inlineStr">
        <is>
          <t>مدير الجودة</t>
        </is>
      </c>
      <c r="Q150" s="13" t="inlineStr">
        <is>
          <t>نظام إدارة الجودة (QMS)</t>
        </is>
      </c>
      <c r="R150" s="15" t="inlineStr">
        <is>
          <t>شهري</t>
        </is>
      </c>
      <c r="S150" s="34" t="n">
        <v>0.841</v>
      </c>
      <c r="T150" s="34" t="n">
        <v>0.911</v>
      </c>
      <c r="U150" s="34" t="n">
        <v>0.982</v>
      </c>
      <c r="V150" s="42" t="n">
        <v>0.1677</v>
      </c>
      <c r="W150" s="42" t="n">
        <v>1</v>
      </c>
      <c r="X150" s="42" t="n">
        <v>0.85</v>
      </c>
      <c r="Y150" s="44" t="inlineStr"/>
      <c r="Z150" s="41" t="inlineStr"/>
    </row>
    <row r="151">
      <c r="A151" s="9" t="inlineStr">
        <is>
          <t>الجودة</t>
        </is>
      </c>
      <c r="B151" s="9" t="inlineStr">
        <is>
          <t>الابتكار والرقمنة</t>
        </is>
      </c>
      <c r="C151" s="9" t="inlineStr">
        <is>
          <t>نسبة رقمنة عمليات الجودة</t>
        </is>
      </c>
      <c r="D151" s="15" t="inlineStr">
        <is>
          <t>🔧 تشغيلي</t>
        </is>
      </c>
      <c r="E151" s="34" t="inlineStr">
        <is>
          <t>%</t>
        </is>
      </c>
      <c r="F151" s="34" t="inlineStr">
        <is>
          <t>↑</t>
        </is>
      </c>
      <c r="G151" s="15" t="inlineStr">
        <is>
          <t>🟠 مهم</t>
        </is>
      </c>
      <c r="H151" s="42" t="n">
        <v>0.07000000000000001</v>
      </c>
      <c r="I151" s="34" t="n">
        <v>0.8</v>
      </c>
      <c r="J151" s="34" t="n">
        <v>0.834</v>
      </c>
      <c r="K151" s="42" t="n">
        <v>1</v>
      </c>
      <c r="L151" s="27" t="inlineStr">
        <is>
          <t>✅ محقق</t>
        </is>
      </c>
      <c r="M151" s="27" t="inlineStr">
        <is>
          <t>الابتكار</t>
        </is>
      </c>
      <c r="N151" s="13" t="inlineStr">
        <is>
          <t>التحول التقني</t>
        </is>
      </c>
      <c r="O151" s="15" t="inlineStr">
        <is>
          <t>التعلّم والنمو</t>
        </is>
      </c>
      <c r="P151" s="15" t="inlineStr">
        <is>
          <t>مدير الجودة</t>
        </is>
      </c>
      <c r="Q151" s="13" t="inlineStr">
        <is>
          <t>نظام إدارة الجودة (QMS)</t>
        </is>
      </c>
      <c r="R151" s="15" t="inlineStr">
        <is>
          <t>شهري</t>
        </is>
      </c>
      <c r="S151" s="34" t="n">
        <v>0.724</v>
      </c>
      <c r="T151" s="34" t="n">
        <v>0.779</v>
      </c>
      <c r="U151" s="34" t="n">
        <v>0.834</v>
      </c>
      <c r="V151" s="42" t="n">
        <v>0.1519</v>
      </c>
      <c r="W151" s="42" t="n">
        <v>1</v>
      </c>
      <c r="X151" s="42" t="n">
        <v>0.85</v>
      </c>
      <c r="Y151" s="44" t="inlineStr"/>
      <c r="Z151" s="41" t="inlineStr"/>
    </row>
    <row r="152">
      <c r="A152" s="9" t="inlineStr">
        <is>
          <t>الجودة</t>
        </is>
      </c>
      <c r="B152" s="9" t="inlineStr">
        <is>
          <t>التحسين المستمر</t>
        </is>
      </c>
      <c r="C152" s="9" t="inlineStr">
        <is>
          <t>عدد مبادرات التحسين المؤثرة</t>
        </is>
      </c>
      <c r="D152" s="15" t="inlineStr">
        <is>
          <t>⚙️ نشاط</t>
        </is>
      </c>
      <c r="E152" s="34" t="inlineStr">
        <is>
          <t>مبادرة</t>
        </is>
      </c>
      <c r="F152" s="34" t="inlineStr">
        <is>
          <t>↑</t>
        </is>
      </c>
      <c r="G152" s="15" t="inlineStr">
        <is>
          <t>🟠 مهم</t>
        </is>
      </c>
      <c r="H152" s="42" t="n">
        <v>0.07000000000000001</v>
      </c>
      <c r="I152" s="34" t="n">
        <v>8</v>
      </c>
      <c r="J152" s="34" t="n">
        <v>6.827</v>
      </c>
      <c r="K152" s="42" t="n">
        <v>0.853375</v>
      </c>
      <c r="L152" s="27" t="inlineStr">
        <is>
          <t>🟡 قريب</t>
        </is>
      </c>
      <c r="M152" s="27" t="inlineStr">
        <is>
          <t>الاستدامة</t>
        </is>
      </c>
      <c r="N152" s="13" t="inlineStr">
        <is>
          <t>جودة التشغيل</t>
        </is>
      </c>
      <c r="O152" s="15" t="inlineStr">
        <is>
          <t>التعلّم والنمو</t>
        </is>
      </c>
      <c r="P152" s="15" t="inlineStr">
        <is>
          <t>مدير الجودة</t>
        </is>
      </c>
      <c r="Q152" s="13" t="inlineStr">
        <is>
          <t>سجلات الإدارة</t>
        </is>
      </c>
      <c r="R152" s="15" t="inlineStr">
        <is>
          <t>ربعي</t>
        </is>
      </c>
      <c r="S152" s="34" t="n">
        <v>5.487</v>
      </c>
      <c r="T152" s="34" t="n">
        <v>6.157</v>
      </c>
      <c r="U152" s="34" t="n">
        <v>13.654</v>
      </c>
      <c r="V152" s="42" t="n">
        <v>0.2442</v>
      </c>
      <c r="W152" s="42" t="n">
        <v>1</v>
      </c>
      <c r="X152" s="42" t="n">
        <v>0.85</v>
      </c>
      <c r="Y152" s="44" t="inlineStr">
        <is>
          <t>قريب من المستهدف — فجوة 15٪، متابعة لإغلاقها.</t>
        </is>
      </c>
      <c r="Z152" s="41" t="inlineStr">
        <is>
          <t>متابعة أسبوعية حتى بلوغ المستهدف.</t>
        </is>
      </c>
    </row>
    <row r="153">
      <c r="A153" s="9" t="inlineStr">
        <is>
          <t>الإدارة القانونية</t>
        </is>
      </c>
      <c r="B153" s="9" t="inlineStr">
        <is>
          <t>أعمال العقود</t>
        </is>
      </c>
      <c r="C153" s="9" t="inlineStr">
        <is>
          <t>نسبة العقود المُراجَعة قانونياً قبل التوقيع</t>
        </is>
      </c>
      <c r="D153" s="15" t="inlineStr">
        <is>
          <t>🔧 تشغيلي</t>
        </is>
      </c>
      <c r="E153" s="34" t="inlineStr">
        <is>
          <t>%</t>
        </is>
      </c>
      <c r="F153" s="34" t="inlineStr">
        <is>
          <t>↑</t>
        </is>
      </c>
      <c r="G153" s="15" t="inlineStr">
        <is>
          <t>🔴 رئيسي</t>
        </is>
      </c>
      <c r="H153" s="42" t="n">
        <v>0.15</v>
      </c>
      <c r="I153" s="34" t="n">
        <v>1</v>
      </c>
      <c r="J153" s="34" t="n">
        <v>1.013</v>
      </c>
      <c r="K153" s="42" t="n">
        <v>1</v>
      </c>
      <c r="L153" s="27" t="inlineStr">
        <is>
          <t>✅ محقق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العمليات الداخلية</t>
        </is>
      </c>
      <c r="P153" s="15" t="inlineStr">
        <is>
          <t>المدير القانوني</t>
        </is>
      </c>
      <c r="Q153" s="13" t="inlineStr">
        <is>
          <t>نظام إدارة العقود (CRM)</t>
        </is>
      </c>
      <c r="R153" s="15" t="inlineStr">
        <is>
          <t>شهري</t>
        </is>
      </c>
      <c r="S153" s="34" t="n">
        <v>0.91</v>
      </c>
      <c r="T153" s="34" t="n">
        <v>0.962</v>
      </c>
      <c r="U153" s="34" t="n">
        <v>1.013</v>
      </c>
      <c r="V153" s="42" t="n">
        <v>0.1132</v>
      </c>
      <c r="W153" s="42" t="n">
        <v>1</v>
      </c>
      <c r="X153" s="42" t="n">
        <v>0.85</v>
      </c>
      <c r="Y153" s="44" t="inlineStr"/>
      <c r="Z153" s="41" t="inlineStr"/>
    </row>
    <row r="154">
      <c r="A154" s="9" t="inlineStr">
        <is>
          <t>الإدارة القانونية</t>
        </is>
      </c>
      <c r="B154" s="9" t="inlineStr">
        <is>
          <t>أعمال العقود</t>
        </is>
      </c>
      <c r="C154" s="9" t="inlineStr">
        <is>
          <t>متوسط زمن صياغة ومراجعة العقد</t>
        </is>
      </c>
      <c r="D154" s="15" t="inlineStr">
        <is>
          <t>🔧 تشغيلي</t>
        </is>
      </c>
      <c r="E154" s="34" t="inlineStr">
        <is>
          <t>يوم</t>
        </is>
      </c>
      <c r="F154" s="34" t="inlineStr">
        <is>
          <t>↓</t>
        </is>
      </c>
      <c r="G154" s="15" t="inlineStr">
        <is>
          <t>🔴 رئيسي</t>
        </is>
      </c>
      <c r="H154" s="42" t="n">
        <v>0.15</v>
      </c>
      <c r="I154" s="34" t="n">
        <v>3</v>
      </c>
      <c r="J154" s="34" t="n">
        <v>2.994</v>
      </c>
      <c r="K154" s="42" t="n">
        <v>1</v>
      </c>
      <c r="L154" s="27" t="inlineStr">
        <is>
          <t>✅ محقق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العمليات الداخلية</t>
        </is>
      </c>
      <c r="P154" s="15" t="inlineStr">
        <is>
          <t>المدير القانوني</t>
        </is>
      </c>
      <c r="Q154" s="13" t="inlineStr">
        <is>
          <t>نظام إدارة العقود/القضايا</t>
        </is>
      </c>
      <c r="R154" s="15" t="inlineStr">
        <is>
          <t>شهري</t>
        </is>
      </c>
      <c r="S154" s="34" t="n">
        <v>3.446</v>
      </c>
      <c r="T154" s="34" t="n">
        <v>3.22</v>
      </c>
      <c r="U154" s="34" t="n">
        <v>2.994</v>
      </c>
      <c r="V154" s="42" t="n">
        <v>-0.1312</v>
      </c>
      <c r="W154" s="42" t="n">
        <v>1</v>
      </c>
      <c r="X154" s="42" t="n">
        <v>0.85</v>
      </c>
      <c r="Y154" s="44" t="inlineStr"/>
      <c r="Z154" s="41" t="inlineStr"/>
    </row>
    <row r="155">
      <c r="A155" s="9" t="inlineStr">
        <is>
          <t>الإدارة القانونية</t>
        </is>
      </c>
      <c r="B155" s="9" t="inlineStr">
        <is>
          <t>أعمال العقود</t>
        </is>
      </c>
      <c r="C155" s="9" t="inlineStr">
        <is>
          <t>نسبة العقود الخالية من الملاحظات والمخاطر القانونية</t>
        </is>
      </c>
      <c r="D155" s="15" t="inlineStr">
        <is>
          <t>🎯 نتيجة</t>
        </is>
      </c>
      <c r="E155" s="34" t="inlineStr">
        <is>
          <t>%</t>
        </is>
      </c>
      <c r="F155" s="34" t="inlineStr">
        <is>
          <t>↑</t>
        </is>
      </c>
      <c r="G155" s="15" t="inlineStr">
        <is>
          <t>🔴 رئيسي</t>
        </is>
      </c>
      <c r="H155" s="42" t="n">
        <v>0.15</v>
      </c>
      <c r="I155" s="34" t="n">
        <v>0.95</v>
      </c>
      <c r="J155" s="34" t="n">
        <v>0.924</v>
      </c>
      <c r="K155" s="42" t="n">
        <v>0.9726315789473685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المدير القانوني</t>
        </is>
      </c>
      <c r="Q155" s="13" t="inlineStr">
        <is>
          <t>نظام إدارة الجودة (QMS)</t>
        </is>
      </c>
      <c r="R155" s="15" t="inlineStr">
        <is>
          <t>شهري</t>
        </is>
      </c>
      <c r="S155" s="34" t="n">
        <v>0.803</v>
      </c>
      <c r="T155" s="34" t="n">
        <v>0.864</v>
      </c>
      <c r="U155" s="34" t="n">
        <v>0.924</v>
      </c>
      <c r="V155" s="42" t="n">
        <v>0.1507</v>
      </c>
      <c r="W155" s="42" t="n">
        <v>1</v>
      </c>
      <c r="X155" s="42" t="n">
        <v>0.85</v>
      </c>
      <c r="Y155" s="44" t="inlineStr">
        <is>
          <t>قريب من المستهدف — فجوة 3٪، متابعة لإغلاقها.</t>
        </is>
      </c>
      <c r="Z155" s="41" t="inlineStr">
        <is>
          <t>متابعة أسبوعية حتى بلوغ المستهدف.</t>
        </is>
      </c>
    </row>
    <row r="156">
      <c r="A156" s="9" t="inlineStr">
        <is>
          <t>الإدارة القانونية</t>
        </is>
      </c>
      <c r="B156" s="9" t="inlineStr">
        <is>
          <t>أعمال القضايا</t>
        </is>
      </c>
      <c r="C156" s="9" t="inlineStr">
        <is>
          <t>نسبة القضايا المُغلقة لصالح الشركة</t>
        </is>
      </c>
      <c r="D156" s="15" t="inlineStr">
        <is>
          <t>🔧 تشغيلي</t>
        </is>
      </c>
      <c r="E156" s="34" t="inlineStr">
        <is>
          <t>%</t>
        </is>
      </c>
      <c r="F156" s="34" t="inlineStr">
        <is>
          <t>↑</t>
        </is>
      </c>
      <c r="G156" s="15" t="inlineStr">
        <is>
          <t>🟠 مهم</t>
        </is>
      </c>
      <c r="H156" s="42" t="n">
        <v>0.1</v>
      </c>
      <c r="I156" s="34" t="n">
        <v>0.8</v>
      </c>
      <c r="J156" s="34" t="n">
        <v>0.664</v>
      </c>
      <c r="K156" s="42" t="n">
        <v>0.83</v>
      </c>
      <c r="L156" s="27" t="inlineStr">
        <is>
          <t>🔴 تحت الهدف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المدير القانوني</t>
        </is>
      </c>
      <c r="Q156" s="13" t="inlineStr">
        <is>
          <t>نظام إدارة العقود/القضايا</t>
        </is>
      </c>
      <c r="R156" s="15" t="inlineStr">
        <is>
          <t>شهري</t>
        </is>
      </c>
      <c r="S156" s="34" t="n">
        <v>0.532</v>
      </c>
      <c r="T156" s="34" t="n">
        <v>0.598</v>
      </c>
      <c r="U156" s="34" t="n">
        <v>0.664</v>
      </c>
      <c r="V156" s="42" t="n">
        <v>0.2481</v>
      </c>
      <c r="W156" s="42" t="n">
        <v>1</v>
      </c>
      <c r="X156" s="42" t="n">
        <v>0.85</v>
      </c>
      <c r="Y156" s="45" t="inlineStr">
        <is>
          <t>دون المستهدف — فجوة 17٪، يتطلب إجراءً تصحيحياً عاجلاً.</t>
        </is>
      </c>
      <c r="Z156" s="41" t="inlineStr">
        <is>
          <t>إطلاق إجراء تصحيحي خلال 30 يوماً بإشراف المدير القانوني.</t>
        </is>
      </c>
    </row>
    <row r="157">
      <c r="A157" s="9" t="inlineStr">
        <is>
          <t>الإدارة القانونية</t>
        </is>
      </c>
      <c r="B157" s="9" t="inlineStr">
        <is>
          <t>أعمال القضايا</t>
        </is>
      </c>
      <c r="C157" s="9" t="inlineStr">
        <is>
          <t>نسبة تقديم المذكرات والردود في المواعيد النظامية</t>
        </is>
      </c>
      <c r="D157" s="15" t="inlineStr">
        <is>
          <t>🔧 تشغيلي</t>
        </is>
      </c>
      <c r="E157" s="34" t="inlineStr">
        <is>
          <t>%</t>
        </is>
      </c>
      <c r="F157" s="34" t="inlineStr">
        <is>
          <t>↑</t>
        </is>
      </c>
      <c r="G157" s="15" t="inlineStr">
        <is>
          <t>🟠 مهم</t>
        </is>
      </c>
      <c r="H157" s="42" t="n">
        <v>0.1</v>
      </c>
      <c r="I157" s="34" t="n">
        <v>1</v>
      </c>
      <c r="J157" s="34" t="n">
        <v>0.797</v>
      </c>
      <c r="K157" s="42" t="n">
        <v>0.797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جودة التشغيل</t>
        </is>
      </c>
      <c r="O157" s="15" t="inlineStr">
        <is>
          <t>العمليات الداخلية</t>
        </is>
      </c>
      <c r="P157" s="15" t="inlineStr">
        <is>
          <t>المدير القانوني</t>
        </is>
      </c>
      <c r="Q157" s="13" t="inlineStr">
        <is>
          <t>نظام إدارة العقود/القضايا</t>
        </is>
      </c>
      <c r="R157" s="15" t="inlineStr">
        <is>
          <t>شهري</t>
        </is>
      </c>
      <c r="S157" s="34" t="n">
        <v>0.638</v>
      </c>
      <c r="T157" s="34" t="n">
        <v>0.718</v>
      </c>
      <c r="U157" s="34" t="n">
        <v>0.797</v>
      </c>
      <c r="V157" s="42" t="n">
        <v>0.2492</v>
      </c>
      <c r="W157" s="42" t="n">
        <v>1</v>
      </c>
      <c r="X157" s="42" t="n">
        <v>0.85</v>
      </c>
      <c r="Y157" s="45" t="inlineStr">
        <is>
          <t>دون المستهدف — فجوة 20٪، يتطلب إجراءً تصحيحياً عاجلاً.</t>
        </is>
      </c>
      <c r="Z157" s="41" t="inlineStr">
        <is>
          <t>إطلاق إجراء تصحيحي خلال 30 يوماً بإشراف المدير القانوني.</t>
        </is>
      </c>
    </row>
    <row r="158">
      <c r="A158" s="9" t="inlineStr">
        <is>
          <t>الإدارة القانونية</t>
        </is>
      </c>
      <c r="B158" s="9" t="inlineStr">
        <is>
          <t>أعمال القضايا</t>
        </is>
      </c>
      <c r="C158" s="9" t="inlineStr">
        <is>
          <t>متوسط زمن إعداد المذكرة القانونية</t>
        </is>
      </c>
      <c r="D158" s="15" t="inlineStr">
        <is>
          <t>⚙️ نشاط</t>
        </is>
      </c>
      <c r="E158" s="34" t="inlineStr">
        <is>
          <t>يوم</t>
        </is>
      </c>
      <c r="F158" s="34" t="inlineStr">
        <is>
          <t>↓</t>
        </is>
      </c>
      <c r="G158" s="15" t="inlineStr">
        <is>
          <t>🟠 مهم</t>
        </is>
      </c>
      <c r="H158" s="42" t="n">
        <v>0.1</v>
      </c>
      <c r="I158" s="34" t="n">
        <v>5</v>
      </c>
      <c r="J158" s="34" t="n">
        <v>4.545</v>
      </c>
      <c r="K158" s="42" t="n">
        <v>1</v>
      </c>
      <c r="L158" s="27" t="inlineStr">
        <is>
          <t>✅ محقق</t>
        </is>
      </c>
      <c r="M158" s="27" t="inlineStr">
        <is>
          <t>الاستدامة</t>
        </is>
      </c>
      <c r="N158" s="13" t="inlineStr">
        <is>
          <t>جودة التشغيل</t>
        </is>
      </c>
      <c r="O158" s="15" t="inlineStr">
        <is>
          <t>العمليات الداخلية</t>
        </is>
      </c>
      <c r="P158" s="15" t="inlineStr">
        <is>
          <t>المدير القانوني</t>
        </is>
      </c>
      <c r="Q158" s="13" t="inlineStr">
        <is>
          <t>نظام إدارة العقود/القضايا</t>
        </is>
      </c>
      <c r="R158" s="15" t="inlineStr">
        <is>
          <t>شهري</t>
        </is>
      </c>
      <c r="S158" s="34" t="n">
        <v>5.434</v>
      </c>
      <c r="T158" s="34" t="n">
        <v>4.989</v>
      </c>
      <c r="U158" s="34" t="n">
        <v>4.545</v>
      </c>
      <c r="V158" s="42" t="n">
        <v>-0.1636</v>
      </c>
      <c r="W158" s="42" t="n">
        <v>1</v>
      </c>
      <c r="X158" s="42" t="n">
        <v>0.85</v>
      </c>
      <c r="Y158" s="44" t="inlineStr"/>
      <c r="Z158" s="41" t="inlineStr"/>
    </row>
    <row r="159">
      <c r="A159" s="9" t="inlineStr">
        <is>
          <t>الإدارة القانونية</t>
        </is>
      </c>
      <c r="B159" s="9" t="inlineStr">
        <is>
          <t>الاستشارات القانونية</t>
        </is>
      </c>
      <c r="C159" s="9" t="inlineStr">
        <is>
          <t>نسبة الاستشارات المُنجزة ضمن المدة المستهدفة (SLA)</t>
        </is>
      </c>
      <c r="D159" s="15" t="inlineStr">
        <is>
          <t>🔧 تشغيلي</t>
        </is>
      </c>
      <c r="E159" s="34" t="inlineStr">
        <is>
          <t>%</t>
        </is>
      </c>
      <c r="F159" s="34" t="inlineStr">
        <is>
          <t>↑</t>
        </is>
      </c>
      <c r="G159" s="15" t="inlineStr">
        <is>
          <t>🟠 مهم</t>
        </is>
      </c>
      <c r="H159" s="42" t="n">
        <v>0.1</v>
      </c>
      <c r="I159" s="34" t="n">
        <v>0.9</v>
      </c>
      <c r="J159" s="34" t="n">
        <v>0.659</v>
      </c>
      <c r="K159" s="42" t="n">
        <v>0.7322222222222222</v>
      </c>
      <c r="L159" s="27" t="inlineStr">
        <is>
          <t>🔴 تحت الهدف</t>
        </is>
      </c>
      <c r="M159" s="27" t="inlineStr">
        <is>
          <t>الاستدامة</t>
        </is>
      </c>
      <c r="N159" s="13" t="inlineStr">
        <is>
          <t>جودة التشغيل</t>
        </is>
      </c>
      <c r="O159" s="15" t="inlineStr">
        <is>
          <t>العمليات الداخلية</t>
        </is>
      </c>
      <c r="P159" s="15" t="inlineStr">
        <is>
          <t>المدير القانوني</t>
        </is>
      </c>
      <c r="Q159" s="13" t="inlineStr">
        <is>
          <t>نظام إدارة العقود/القضايا</t>
        </is>
      </c>
      <c r="R159" s="15" t="inlineStr">
        <is>
          <t>شهري</t>
        </is>
      </c>
      <c r="S159" s="34" t="n">
        <v>0.5570000000000001</v>
      </c>
      <c r="T159" s="34" t="n">
        <v>0.608</v>
      </c>
      <c r="U159" s="34" t="n">
        <v>0.659</v>
      </c>
      <c r="V159" s="42" t="n">
        <v>0.1831</v>
      </c>
      <c r="W159" s="42" t="n">
        <v>1</v>
      </c>
      <c r="X159" s="42" t="n">
        <v>0.85</v>
      </c>
      <c r="Y159" s="45" t="inlineStr">
        <is>
          <t>دون المستهدف — فجوة 27٪، يتطلب إجراءً تصحيحياً عاجلاً.</t>
        </is>
      </c>
      <c r="Z159" s="41" t="inlineStr">
        <is>
          <t>إطلاق إجراء تصحيحي خلال 30 يوماً بإشراف المدير القانوني.</t>
        </is>
      </c>
    </row>
    <row r="160">
      <c r="A160" s="9" t="inlineStr">
        <is>
          <t>الإدارة القانونية</t>
        </is>
      </c>
      <c r="B160" s="9" t="inlineStr">
        <is>
          <t>الاستشارات القانونية</t>
        </is>
      </c>
      <c r="C160" s="9" t="inlineStr">
        <is>
          <t>مستوى رضا الإدارات عن الدعم القانوني</t>
        </is>
      </c>
      <c r="D160" s="15" t="inlineStr">
        <is>
          <t>🎯 نتيجة</t>
        </is>
      </c>
      <c r="E160" s="34" t="inlineStr">
        <is>
          <t>%</t>
        </is>
      </c>
      <c r="F160" s="34" t="inlineStr">
        <is>
          <t>↑</t>
        </is>
      </c>
      <c r="G160" s="15" t="inlineStr">
        <is>
          <t>🔴 رئيسي</t>
        </is>
      </c>
      <c r="H160" s="42" t="n">
        <v>0.15</v>
      </c>
      <c r="I160" s="34" t="n">
        <v>0.85</v>
      </c>
      <c r="J160" s="34" t="n">
        <v>0.674</v>
      </c>
      <c r="K160" s="42" t="n">
        <v>0.7929411764705883</v>
      </c>
      <c r="L160" s="27" t="inlineStr">
        <is>
          <t>🟡 قريب</t>
        </is>
      </c>
      <c r="M160" s="27" t="inlineStr">
        <is>
          <t>الاستدامة</t>
        </is>
      </c>
      <c r="N160" s="13" t="inlineStr">
        <is>
          <t>جودة التشغيل</t>
        </is>
      </c>
      <c r="O160" s="15" t="inlineStr">
        <is>
          <t>العملاء</t>
        </is>
      </c>
      <c r="P160" s="15" t="inlineStr">
        <is>
          <t>المدير القانوني</t>
        </is>
      </c>
      <c r="Q160" s="13" t="inlineStr">
        <is>
          <t>استبيان دوري</t>
        </is>
      </c>
      <c r="R160" s="15" t="inlineStr">
        <is>
          <t>ربعي</t>
        </is>
      </c>
      <c r="S160" s="34" t="n">
        <v>0.614</v>
      </c>
      <c r="T160" s="34" t="n">
        <v>0.644</v>
      </c>
      <c r="U160" s="34" t="n">
        <v>0.674</v>
      </c>
      <c r="V160" s="42" t="n">
        <v>0.0977</v>
      </c>
      <c r="W160" s="42" t="n">
        <v>0.9</v>
      </c>
      <c r="X160" s="42" t="n">
        <v>0.75</v>
      </c>
      <c r="Y160" s="44" t="inlineStr">
        <is>
          <t>قريب من المستهدف — فجوة 21٪، متابعة لإغلاقها.</t>
        </is>
      </c>
      <c r="Z160" s="41" t="inlineStr">
        <is>
          <t>متابعة أسبوعية حتى بلوغ المستهدف.</t>
        </is>
      </c>
    </row>
    <row r="161">
      <c r="A161" s="9" t="inlineStr">
        <is>
          <t>الإدارة المالية</t>
        </is>
      </c>
      <c r="B161" s="9" t="inlineStr">
        <is>
          <t>المالية الاستراتيجية</t>
        </is>
      </c>
      <c r="C161" s="9" t="inlineStr">
        <is>
          <t>نمو الإيرادات السنوي</t>
        </is>
      </c>
      <c r="D161" s="15" t="inlineStr">
        <is>
          <t>🎯 نتيجة</t>
        </is>
      </c>
      <c r="E161" s="34" t="inlineStr">
        <is>
          <t>%</t>
        </is>
      </c>
      <c r="F161" s="34" t="inlineStr">
        <is>
          <t>↑</t>
        </is>
      </c>
      <c r="G161" s="15" t="inlineStr">
        <is>
          <t>🔴 رئيسي</t>
        </is>
      </c>
      <c r="H161" s="42" t="n">
        <v>0.05</v>
      </c>
      <c r="I161" s="34" t="n">
        <v>0.2</v>
      </c>
      <c r="J161" s="34" t="n">
        <v>0.169</v>
      </c>
      <c r="K161" s="42" t="n">
        <v>0.845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مالي</t>
        </is>
      </c>
      <c r="P161" s="15" t="inlineStr">
        <is>
          <t>المدير المالي</t>
        </is>
      </c>
      <c r="Q161" s="13" t="inlineStr">
        <is>
          <t>نظام المحاسبة / ERP (D365)</t>
        </is>
      </c>
      <c r="R161" s="15" t="inlineStr">
        <is>
          <t>ربعي</t>
        </is>
      </c>
      <c r="S161" s="34" t="n">
        <v>0.148</v>
      </c>
      <c r="T161" s="34" t="n">
        <v>0.159</v>
      </c>
      <c r="U161" s="34" t="n">
        <v>0.169</v>
      </c>
      <c r="V161" s="42" t="n">
        <v>0.1419</v>
      </c>
      <c r="W161" s="42" t="n">
        <v>1</v>
      </c>
      <c r="X161" s="42" t="n">
        <v>0.85</v>
      </c>
      <c r="Y161" s="45" t="inlineStr">
        <is>
          <t>دون المستهدف — فجوة 16٪، يتطلب إجراءً تصحيحياً عاجلاً.</t>
        </is>
      </c>
      <c r="Z161" s="41" t="inlineStr">
        <is>
          <t>إطلاق إجراء تصحيحي خلال 30 يوماً بإشراف المدير المالي.</t>
        </is>
      </c>
    </row>
    <row r="162">
      <c r="A162" s="9" t="inlineStr">
        <is>
          <t>الإدارة المالية</t>
        </is>
      </c>
      <c r="B162" s="9" t="inlineStr">
        <is>
          <t>المالية الاستراتيجية</t>
        </is>
      </c>
      <c r="C162" s="9" t="inlineStr">
        <is>
          <t>هامش EBITDA</t>
        </is>
      </c>
      <c r="D162" s="15" t="inlineStr">
        <is>
          <t>🎯 نتيجة</t>
        </is>
      </c>
      <c r="E162" s="34" t="inlineStr">
        <is>
          <t>%</t>
        </is>
      </c>
      <c r="F162" s="34" t="inlineStr">
        <is>
          <t>↑</t>
        </is>
      </c>
      <c r="G162" s="15" t="inlineStr">
        <is>
          <t>🟠 مهم</t>
        </is>
      </c>
      <c r="H162" s="42" t="n">
        <v>0.04</v>
      </c>
      <c r="I162" s="34" t="n">
        <v>0.08</v>
      </c>
      <c r="J162" s="34" t="n">
        <v>0.062</v>
      </c>
      <c r="K162" s="42" t="n">
        <v>0.775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مالي</t>
        </is>
      </c>
      <c r="P162" s="15" t="inlineStr">
        <is>
          <t>المدير المالي</t>
        </is>
      </c>
      <c r="Q162" s="13" t="inlineStr">
        <is>
          <t>نظام المحاسبة / ERP (D365)</t>
        </is>
      </c>
      <c r="R162" s="15" t="inlineStr">
        <is>
          <t>شهري</t>
        </is>
      </c>
      <c r="S162" s="34" t="n">
        <v>0.056</v>
      </c>
      <c r="T162" s="34" t="n">
        <v>0.059</v>
      </c>
      <c r="U162" s="34" t="n">
        <v>0.062</v>
      </c>
      <c r="V162" s="42" t="n">
        <v>0.1071</v>
      </c>
      <c r="W162" s="42" t="n">
        <v>1</v>
      </c>
      <c r="X162" s="42" t="n">
        <v>0.85</v>
      </c>
      <c r="Y162" s="45" t="inlineStr">
        <is>
          <t>دون المستهدف — فجوة 22٪، يتطلب إجراءً تصحيحياً عاجلاً.</t>
        </is>
      </c>
      <c r="Z162" s="41" t="inlineStr">
        <is>
          <t>إطلاق إجراء تصحيحي خلال 30 يوماً بإشراف المدير المالي.</t>
        </is>
      </c>
    </row>
    <row r="163">
      <c r="A163" s="9" t="inlineStr">
        <is>
          <t>الإدارة المالية</t>
        </is>
      </c>
      <c r="B163" s="9" t="inlineStr">
        <is>
          <t>المالية الاستراتيجية</t>
        </is>
      </c>
      <c r="C163" s="9" t="inlineStr">
        <is>
          <t>هامش صافي الربح</t>
        </is>
      </c>
      <c r="D163" s="15" t="inlineStr">
        <is>
          <t>🎯 نتيجة</t>
        </is>
      </c>
      <c r="E163" s="34" t="inlineStr">
        <is>
          <t>%</t>
        </is>
      </c>
      <c r="F163" s="34" t="inlineStr">
        <is>
          <t>↑</t>
        </is>
      </c>
      <c r="G163" s="15" t="inlineStr">
        <is>
          <t>🟠 مهم</t>
        </is>
      </c>
      <c r="H163" s="42" t="n">
        <v>0.04</v>
      </c>
      <c r="I163" s="34" t="n">
        <v>0.01</v>
      </c>
      <c r="J163" s="34" t="n">
        <v>0.008</v>
      </c>
      <c r="K163" s="42" t="n">
        <v>0.8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مالي</t>
        </is>
      </c>
      <c r="P163" s="15" t="inlineStr">
        <is>
          <t>المدير المالي</t>
        </is>
      </c>
      <c r="Q163" s="13" t="inlineStr">
        <is>
          <t>نظام المحاسبة / ERP (D365)</t>
        </is>
      </c>
      <c r="R163" s="15" t="inlineStr">
        <is>
          <t>شهري</t>
        </is>
      </c>
      <c r="S163" s="34" t="n">
        <v>0.007</v>
      </c>
      <c r="T163" s="34" t="n">
        <v>0.007</v>
      </c>
      <c r="U163" s="34" t="n">
        <v>0.008</v>
      </c>
      <c r="V163" s="42" t="n">
        <v>0.1429</v>
      </c>
      <c r="W163" s="42" t="n">
        <v>1</v>
      </c>
      <c r="X163" s="42" t="n">
        <v>0.85</v>
      </c>
      <c r="Y163" s="45" t="inlineStr">
        <is>
          <t>دون المستهدف — فجوة 20٪، يتطلب إجراءً تصحيحياً عاجلاً.</t>
        </is>
      </c>
      <c r="Z163" s="41" t="inlineStr">
        <is>
          <t>إطلاق إجراء تصحيحي خلال 30 يوماً بإشراف المدير المالي.</t>
        </is>
      </c>
    </row>
    <row r="164">
      <c r="A164" s="9" t="inlineStr">
        <is>
          <t>الإدارة المالية</t>
        </is>
      </c>
      <c r="B164" s="9" t="inlineStr">
        <is>
          <t>المالية الاستراتيجية</t>
        </is>
      </c>
      <c r="C164" s="9" t="inlineStr">
        <is>
          <t>العائد على حقوق الملكية (ROE)</t>
        </is>
      </c>
      <c r="D164" s="15" t="inlineStr">
        <is>
          <t>🎯 نتيجة</t>
        </is>
      </c>
      <c r="E164" s="34" t="inlineStr">
        <is>
          <t>%</t>
        </is>
      </c>
      <c r="F164" s="34" t="inlineStr">
        <is>
          <t>↑</t>
        </is>
      </c>
      <c r="G164" s="15" t="inlineStr">
        <is>
          <t>🔴 رئيسي</t>
        </is>
      </c>
      <c r="H164" s="42" t="n">
        <v>0.05</v>
      </c>
      <c r="I164" s="34" t="n">
        <v>0.1</v>
      </c>
      <c r="J164" s="34" t="n">
        <v>0.074</v>
      </c>
      <c r="K164" s="42" t="n">
        <v>0.7399999999999999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المدير المالي</t>
        </is>
      </c>
      <c r="Q164" s="13" t="inlineStr">
        <is>
          <t>نظام المحاسبة / ERP (D365)</t>
        </is>
      </c>
      <c r="R164" s="15" t="inlineStr">
        <is>
          <t>ربعي</t>
        </is>
      </c>
      <c r="S164" s="34" t="n">
        <v>0.061</v>
      </c>
      <c r="T164" s="34" t="n">
        <v>0.068</v>
      </c>
      <c r="U164" s="34" t="n">
        <v>0.074</v>
      </c>
      <c r="V164" s="42" t="n">
        <v>0.2131</v>
      </c>
      <c r="W164" s="42" t="n">
        <v>1</v>
      </c>
      <c r="X164" s="42" t="n">
        <v>0.85</v>
      </c>
      <c r="Y164" s="45" t="inlineStr">
        <is>
          <t>دون المستهدف — فجوة 26٪، يتطلب إجراءً تصحيحياً عاجلاً.</t>
        </is>
      </c>
      <c r="Z164" s="41" t="inlineStr">
        <is>
          <t>إطلاق إجراء تصحيحي خلال 30 يوماً بإشراف المدير المالي.</t>
        </is>
      </c>
    </row>
    <row r="165">
      <c r="A165" s="9" t="inlineStr">
        <is>
          <t>الإدارة المالية</t>
        </is>
      </c>
      <c r="B165" s="9" t="inlineStr">
        <is>
          <t>المالية الاستراتيجية</t>
        </is>
      </c>
      <c r="C165" s="9" t="inlineStr">
        <is>
          <t>نسبة التدفق النقدي التشغيلي</t>
        </is>
      </c>
      <c r="D165" s="15" t="inlineStr">
        <is>
          <t>🔧 تشغيلي</t>
        </is>
      </c>
      <c r="E165" s="34" t="inlineStr">
        <is>
          <t>نسبة</t>
        </is>
      </c>
      <c r="F165" s="34" t="inlineStr">
        <is>
          <t>↑</t>
        </is>
      </c>
      <c r="G165" s="15" t="inlineStr">
        <is>
          <t>🟠 مهم</t>
        </is>
      </c>
      <c r="H165" s="42" t="n">
        <v>0.04</v>
      </c>
      <c r="I165" s="34" t="n">
        <v>1</v>
      </c>
      <c r="J165" s="34" t="n">
        <v>0.902</v>
      </c>
      <c r="K165" s="42" t="n">
        <v>0.902</v>
      </c>
      <c r="L165" s="27" t="inlineStr">
        <is>
          <t>🟡 قريب</t>
        </is>
      </c>
      <c r="M165" s="27" t="inlineStr">
        <is>
          <t>الاستدامة</t>
        </is>
      </c>
      <c r="N165" s="13" t="inlineStr">
        <is>
          <t>جودة التشغيل</t>
        </is>
      </c>
      <c r="O165" s="15" t="inlineStr">
        <is>
          <t>العمليات الداخلية</t>
        </is>
      </c>
      <c r="P165" s="15" t="inlineStr">
        <is>
          <t>المدير المالي</t>
        </is>
      </c>
      <c r="Q165" s="13" t="inlineStr">
        <is>
          <t>نظام المحاسبة / ERP (D365)</t>
        </is>
      </c>
      <c r="R165" s="15" t="inlineStr">
        <is>
          <t>شهري</t>
        </is>
      </c>
      <c r="S165" s="34" t="n">
        <v>0.735</v>
      </c>
      <c r="T165" s="34" t="n">
        <v>0.819</v>
      </c>
      <c r="U165" s="34" t="n">
        <v>0.902</v>
      </c>
      <c r="V165" s="42" t="n">
        <v>0.2272</v>
      </c>
      <c r="W165" s="42" t="n">
        <v>1</v>
      </c>
      <c r="X165" s="42" t="n">
        <v>0.85</v>
      </c>
      <c r="Y165" s="44" t="inlineStr">
        <is>
          <t>قريب من المستهدف — فجوة 10٪، متابعة لإغلاقها.</t>
        </is>
      </c>
      <c r="Z165" s="41" t="inlineStr">
        <is>
          <t>متابعة أسبوعية حتى بلوغ المستهدف.</t>
        </is>
      </c>
    </row>
    <row r="166">
      <c r="A166" s="9" t="inlineStr">
        <is>
          <t>الإدارة المالية</t>
        </is>
      </c>
      <c r="B166" s="9" t="inlineStr">
        <is>
          <t>السيولة ورأس المال</t>
        </is>
      </c>
      <c r="C166" s="9" t="inlineStr">
        <is>
          <t>النسبة الجارية (Current Ratio)</t>
        </is>
      </c>
      <c r="D166" s="15" t="inlineStr">
        <is>
          <t>🔧 تشغيلي</t>
        </is>
      </c>
      <c r="E166" s="34" t="inlineStr">
        <is>
          <t>نسبة</t>
        </is>
      </c>
      <c r="F166" s="34" t="inlineStr">
        <is>
          <t>↑</t>
        </is>
      </c>
      <c r="G166" s="15" t="inlineStr">
        <is>
          <t>🟠 مهم</t>
        </is>
      </c>
      <c r="H166" s="42" t="n">
        <v>0.04</v>
      </c>
      <c r="I166" s="34" t="n">
        <v>1</v>
      </c>
      <c r="J166" s="34" t="n">
        <v>0.852</v>
      </c>
      <c r="K166" s="42" t="n">
        <v>0.852</v>
      </c>
      <c r="L166" s="27" t="inlineStr">
        <is>
          <t>🟡 قريب</t>
        </is>
      </c>
      <c r="M166" s="27" t="inlineStr">
        <is>
          <t>الاستدامة</t>
        </is>
      </c>
      <c r="N166" s="13" t="inlineStr">
        <is>
          <t>جودة التشغيل</t>
        </is>
      </c>
      <c r="O166" s="15" t="inlineStr">
        <is>
          <t>العمليات الداخلية</t>
        </is>
      </c>
      <c r="P166" s="15" t="inlineStr">
        <is>
          <t>المدير المالي</t>
        </is>
      </c>
      <c r="Q166" s="13" t="inlineStr">
        <is>
          <t>سجلات الإدارة</t>
        </is>
      </c>
      <c r="R166" s="15" t="inlineStr">
        <is>
          <t>شهري</t>
        </is>
      </c>
      <c r="S166" s="34" t="n">
        <v>0.713</v>
      </c>
      <c r="T166" s="34" t="n">
        <v>0.782</v>
      </c>
      <c r="U166" s="34" t="n">
        <v>0.852</v>
      </c>
      <c r="V166" s="42" t="n">
        <v>0.195</v>
      </c>
      <c r="W166" s="42" t="n">
        <v>1</v>
      </c>
      <c r="X166" s="42" t="n">
        <v>0.85</v>
      </c>
      <c r="Y166" s="44" t="inlineStr">
        <is>
          <t>قريب من المستهدف — فجوة 15٪، متابعة لإغلاقها.</t>
        </is>
      </c>
      <c r="Z166" s="41" t="inlineStr">
        <is>
          <t>متابعة أسبوعية حتى بلوغ المستهدف.</t>
        </is>
      </c>
    </row>
    <row r="167">
      <c r="A167" s="9" t="inlineStr">
        <is>
          <t>الإدارة المالية</t>
        </is>
      </c>
      <c r="B167" s="9" t="inlineStr">
        <is>
          <t>السيولة ورأس المال</t>
        </is>
      </c>
      <c r="C167" s="9" t="inlineStr">
        <is>
          <t>دورة التحويل النقدي</t>
        </is>
      </c>
      <c r="D167" s="15" t="inlineStr">
        <is>
          <t>🔧 تشغيلي</t>
        </is>
      </c>
      <c r="E167" s="34" t="inlineStr">
        <is>
          <t>يوم</t>
        </is>
      </c>
      <c r="F167" s="34" t="inlineStr">
        <is>
          <t>↓</t>
        </is>
      </c>
      <c r="G167" s="15" t="inlineStr">
        <is>
          <t>🔴 رئيسي</t>
        </is>
      </c>
      <c r="H167" s="42" t="n">
        <v>0.05</v>
      </c>
      <c r="I167" s="34" t="n">
        <v>20</v>
      </c>
      <c r="J167" s="34" t="n">
        <v>19.3</v>
      </c>
      <c r="K167" s="42" t="n">
        <v>1</v>
      </c>
      <c r="L167" s="27" t="inlineStr">
        <is>
          <t>✅ محقق</t>
        </is>
      </c>
      <c r="M167" s="27" t="inlineStr">
        <is>
          <t>الاستدامة</t>
        </is>
      </c>
      <c r="N167" s="13" t="inlineStr">
        <is>
          <t>جودة التشغيل</t>
        </is>
      </c>
      <c r="O167" s="15" t="inlineStr">
        <is>
          <t>العمليات الداخلية</t>
        </is>
      </c>
      <c r="P167" s="15" t="inlineStr">
        <is>
          <t>المدير المالي</t>
        </is>
      </c>
      <c r="Q167" s="13" t="inlineStr">
        <is>
          <t>نظام المحاسبة / ERP (D365)</t>
        </is>
      </c>
      <c r="R167" s="15" t="inlineStr">
        <is>
          <t>شهري</t>
        </is>
      </c>
      <c r="S167" s="34" t="n">
        <v>22.391</v>
      </c>
      <c r="T167" s="34" t="n">
        <v>20.846</v>
      </c>
      <c r="U167" s="34" t="n">
        <v>19.3</v>
      </c>
      <c r="V167" s="42" t="n">
        <v>-0.138</v>
      </c>
      <c r="W167" s="42" t="n">
        <v>1</v>
      </c>
      <c r="X167" s="42" t="n">
        <v>0.85</v>
      </c>
      <c r="Y167" s="44" t="inlineStr"/>
      <c r="Z167" s="41" t="inlineStr"/>
    </row>
    <row r="168">
      <c r="A168" s="9" t="inlineStr">
        <is>
          <t>الإدارة المالية</t>
        </is>
      </c>
      <c r="B168" s="9" t="inlineStr">
        <is>
          <t>الذمم المدينة</t>
        </is>
      </c>
      <c r="C168" s="9" t="inlineStr">
        <is>
          <t>متوسط أيام التحصيل العام (DSO)</t>
        </is>
      </c>
      <c r="D168" s="15" t="inlineStr">
        <is>
          <t>🎯 نتيجة</t>
        </is>
      </c>
      <c r="E168" s="34" t="inlineStr">
        <is>
          <t>يوم</t>
        </is>
      </c>
      <c r="F168" s="34" t="inlineStr">
        <is>
          <t>↓</t>
        </is>
      </c>
      <c r="G168" s="15" t="inlineStr">
        <is>
          <t>🔴 رئيسي</t>
        </is>
      </c>
      <c r="H168" s="42" t="n">
        <v>0.05</v>
      </c>
      <c r="I168" s="34" t="n">
        <v>30</v>
      </c>
      <c r="J168" s="34" t="n">
        <v>28.1</v>
      </c>
      <c r="K168" s="42" t="n">
        <v>1</v>
      </c>
      <c r="L168" s="27" t="inlineStr">
        <is>
          <t>✅ محقق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مالي</t>
        </is>
      </c>
      <c r="P168" s="15" t="inlineStr">
        <is>
          <t>المدير المالي</t>
        </is>
      </c>
      <c r="Q168" s="13" t="inlineStr">
        <is>
          <t>نظام المحاسبة / ERP (D365)</t>
        </is>
      </c>
      <c r="R168" s="15" t="inlineStr">
        <is>
          <t>شهري</t>
        </is>
      </c>
      <c r="S168" s="34" t="n">
        <v>33.197</v>
      </c>
      <c r="T168" s="34" t="n">
        <v>30.649</v>
      </c>
      <c r="U168" s="34" t="n">
        <v>28.1</v>
      </c>
      <c r="V168" s="42" t="n">
        <v>-0.1535</v>
      </c>
      <c r="W168" s="42" t="n">
        <v>1</v>
      </c>
      <c r="X168" s="42" t="n">
        <v>0.85</v>
      </c>
      <c r="Y168" s="44" t="inlineStr"/>
      <c r="Z168" s="41" t="inlineStr"/>
    </row>
    <row r="169">
      <c r="A169" s="9" t="inlineStr">
        <is>
          <t>الإدارة المالية</t>
        </is>
      </c>
      <c r="B169" s="9" t="inlineStr">
        <is>
          <t>الذمم المدينة</t>
        </is>
      </c>
      <c r="C169" s="9" t="inlineStr">
        <is>
          <t>نسبة التحصيل العام (الشركة)</t>
        </is>
      </c>
      <c r="D169" s="15" t="inlineStr">
        <is>
          <t>🎯 نتيجة</t>
        </is>
      </c>
      <c r="E169" s="34" t="inlineStr">
        <is>
          <t>%</t>
        </is>
      </c>
      <c r="F169" s="34" t="inlineStr">
        <is>
          <t>↑</t>
        </is>
      </c>
      <c r="G169" s="15" t="inlineStr">
        <is>
          <t>🔴 رئيسي</t>
        </is>
      </c>
      <c r="H169" s="42" t="n">
        <v>0.05</v>
      </c>
      <c r="I169" s="34" t="n">
        <v>0.95</v>
      </c>
      <c r="J169" s="34" t="n">
        <v>0.699</v>
      </c>
      <c r="K169" s="42" t="n">
        <v>0.7357894736842105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مالي</t>
        </is>
      </c>
      <c r="P169" s="15" t="inlineStr">
        <is>
          <t>المدير المالي</t>
        </is>
      </c>
      <c r="Q169" s="13" t="inlineStr">
        <is>
          <t>نظام المحاسبة / ERP (D365)</t>
        </is>
      </c>
      <c r="R169" s="15" t="inlineStr">
        <is>
          <t>شهري</t>
        </is>
      </c>
      <c r="S169" s="34" t="n">
        <v>0.572</v>
      </c>
      <c r="T169" s="34" t="n">
        <v>0.635</v>
      </c>
      <c r="U169" s="34" t="n">
        <v>0.699</v>
      </c>
      <c r="V169" s="42" t="n">
        <v>0.222</v>
      </c>
      <c r="W169" s="42" t="n">
        <v>1</v>
      </c>
      <c r="X169" s="42" t="n">
        <v>0.85</v>
      </c>
      <c r="Y169" s="45" t="inlineStr">
        <is>
          <t>دون المستهدف — فجوة 26٪، يتطلب إجراءً تصحيحياً عاجلاً.</t>
        </is>
      </c>
      <c r="Z169" s="41" t="inlineStr">
        <is>
          <t>إطلاق إجراء تصحيحي خلال 30 يوماً بإشراف المدير المالي.</t>
        </is>
      </c>
    </row>
    <row r="170">
      <c r="A170" s="9" t="inlineStr">
        <is>
          <t>الإدارة المالية</t>
        </is>
      </c>
      <c r="B170" s="9" t="inlineStr">
        <is>
          <t>الذمم المدينة</t>
        </is>
      </c>
      <c r="C170" s="9" t="inlineStr">
        <is>
          <t>نسبة الذمم المتأخرة</t>
        </is>
      </c>
      <c r="D170" s="15" t="inlineStr">
        <is>
          <t>🔧 تشغيلي</t>
        </is>
      </c>
      <c r="E170" s="34" t="inlineStr">
        <is>
          <t>%</t>
        </is>
      </c>
      <c r="F170" s="34" t="inlineStr">
        <is>
          <t>↓</t>
        </is>
      </c>
      <c r="G170" s="15" t="inlineStr">
        <is>
          <t>🟠 مهم</t>
        </is>
      </c>
      <c r="H170" s="42" t="n">
        <v>0.04</v>
      </c>
      <c r="I170" s="34" t="n">
        <v>0.1</v>
      </c>
      <c r="J170" s="34" t="n">
        <v>0.099</v>
      </c>
      <c r="K170" s="42" t="n">
        <v>1</v>
      </c>
      <c r="L170" s="27" t="inlineStr">
        <is>
          <t>✅ محقق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المدير المالي</t>
        </is>
      </c>
      <c r="Q170" s="13" t="inlineStr">
        <is>
          <t>نظام المحاسبة / ERP (D365)</t>
        </is>
      </c>
      <c r="R170" s="15" t="inlineStr">
        <is>
          <t>شهري</t>
        </is>
      </c>
      <c r="S170" s="34" t="n">
        <v>0.109</v>
      </c>
      <c r="T170" s="34" t="n">
        <v>0.104</v>
      </c>
      <c r="U170" s="34" t="n">
        <v>0.099</v>
      </c>
      <c r="V170" s="42" t="n">
        <v>-0.0917</v>
      </c>
      <c r="W170" s="42" t="n">
        <v>1</v>
      </c>
      <c r="X170" s="42" t="n">
        <v>0.85</v>
      </c>
      <c r="Y170" s="44" t="inlineStr"/>
      <c r="Z170" s="41" t="inlineStr"/>
    </row>
    <row r="171">
      <c r="A171" s="9" t="inlineStr">
        <is>
          <t>الإدارة المالية</t>
        </is>
      </c>
      <c r="B171" s="9" t="inlineStr">
        <is>
          <t>الذمم المدينة</t>
        </is>
      </c>
      <c r="C171" s="9" t="inlineStr">
        <is>
          <t>نسبة الديون المعدومة</t>
        </is>
      </c>
      <c r="D171" s="15" t="inlineStr">
        <is>
          <t>🔧 تشغيلي</t>
        </is>
      </c>
      <c r="E171" s="34" t="inlineStr">
        <is>
          <t>%</t>
        </is>
      </c>
      <c r="F171" s="34" t="inlineStr">
        <is>
          <t>↓</t>
        </is>
      </c>
      <c r="G171" s="15" t="inlineStr">
        <is>
          <t>🟠 مهم</t>
        </is>
      </c>
      <c r="H171" s="42" t="n">
        <v>0.04</v>
      </c>
      <c r="I171" s="34" t="n">
        <v>0.01</v>
      </c>
      <c r="J171" s="34" t="n">
        <v>0.008999999999999999</v>
      </c>
      <c r="K171" s="42" t="n">
        <v>1</v>
      </c>
      <c r="L171" s="27" t="inlineStr">
        <is>
          <t>✅ محقق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المدير المالي</t>
        </is>
      </c>
      <c r="Q171" s="13" t="inlineStr">
        <is>
          <t>نظام المحاسبة / ERP (D365)</t>
        </is>
      </c>
      <c r="R171" s="15" t="inlineStr">
        <is>
          <t>شهري</t>
        </is>
      </c>
      <c r="S171" s="34" t="n">
        <v>0.011</v>
      </c>
      <c r="T171" s="34" t="n">
        <v>0.01</v>
      </c>
      <c r="U171" s="34" t="n">
        <v>0.008999999999999999</v>
      </c>
      <c r="V171" s="42" t="n">
        <v>-0.1818</v>
      </c>
      <c r="W171" s="42" t="n">
        <v>1</v>
      </c>
      <c r="X171" s="42" t="n">
        <v>0.85</v>
      </c>
      <c r="Y171" s="44" t="inlineStr"/>
      <c r="Z171" s="41" t="inlineStr"/>
    </row>
    <row r="172">
      <c r="A172" s="9" t="inlineStr">
        <is>
          <t>الإدارة المالية</t>
        </is>
      </c>
      <c r="B172" s="9" t="inlineStr">
        <is>
          <t>الذمم الدائنة</t>
        </is>
      </c>
      <c r="C172" s="9" t="inlineStr">
        <is>
          <t>سداد الموردين في الموعد</t>
        </is>
      </c>
      <c r="D172" s="15" t="inlineStr">
        <is>
          <t>🔧 تشغيلي</t>
        </is>
      </c>
      <c r="E172" s="34" t="inlineStr">
        <is>
          <t>%</t>
        </is>
      </c>
      <c r="F172" s="34" t="inlineStr">
        <is>
          <t>↑</t>
        </is>
      </c>
      <c r="G172" s="15" t="inlineStr">
        <is>
          <t>🟠 مهم</t>
        </is>
      </c>
      <c r="H172" s="42" t="n">
        <v>0.04</v>
      </c>
      <c r="I172" s="34" t="n">
        <v>0.98</v>
      </c>
      <c r="J172" s="34" t="n">
        <v>0.754</v>
      </c>
      <c r="K172" s="42" t="n">
        <v>0.7693877551020408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مالي</t>
        </is>
      </c>
      <c r="P172" s="15" t="inlineStr">
        <is>
          <t>المدير المالي</t>
        </is>
      </c>
      <c r="Q172" s="13" t="inlineStr">
        <is>
          <t>نظام المحاسبة / ERP (D365)</t>
        </is>
      </c>
      <c r="R172" s="15" t="inlineStr">
        <is>
          <t>شهري</t>
        </is>
      </c>
      <c r="S172" s="34" t="n">
        <v>0.659</v>
      </c>
      <c r="T172" s="34" t="n">
        <v>0.707</v>
      </c>
      <c r="U172" s="34" t="n">
        <v>0.754</v>
      </c>
      <c r="V172" s="42" t="n">
        <v>0.1442</v>
      </c>
      <c r="W172" s="42" t="n">
        <v>1</v>
      </c>
      <c r="X172" s="42" t="n">
        <v>0.85</v>
      </c>
      <c r="Y172" s="45" t="inlineStr">
        <is>
          <t>دون المستهدف — فجوة 23٪، يتطلب إجراءً تصحيحياً عاجلاً.</t>
        </is>
      </c>
      <c r="Z172" s="41" t="inlineStr">
        <is>
          <t>إطلاق إجراء تصحيحي خلال 30 يوماً بإشراف المدير المالي.</t>
        </is>
      </c>
    </row>
    <row r="173">
      <c r="A173" s="9" t="inlineStr">
        <is>
          <t>الإدارة المالية</t>
        </is>
      </c>
      <c r="B173" s="9" t="inlineStr">
        <is>
          <t>الذمم الدائنة</t>
        </is>
      </c>
      <c r="C173" s="9" t="inlineStr">
        <is>
          <t>اكتمال مطابقة حسابات الموردين</t>
        </is>
      </c>
      <c r="D173" s="15" t="inlineStr">
        <is>
          <t>🎯 نتيجة</t>
        </is>
      </c>
      <c r="E173" s="34" t="inlineStr">
        <is>
          <t>%</t>
        </is>
      </c>
      <c r="F173" s="34" t="inlineStr">
        <is>
          <t>↑</t>
        </is>
      </c>
      <c r="G173" s="15" t="inlineStr">
        <is>
          <t>🟠 مهم</t>
        </is>
      </c>
      <c r="H173" s="42" t="n">
        <v>0.04</v>
      </c>
      <c r="I173" s="34" t="n">
        <v>0.95</v>
      </c>
      <c r="J173" s="34" t="n">
        <v>0.926</v>
      </c>
      <c r="K173" s="42" t="n">
        <v>0.9747368421052632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المدير المالي</t>
        </is>
      </c>
      <c r="Q173" s="13" t="inlineStr">
        <is>
          <t>نظام المحاسبة / ERP (D365)</t>
        </is>
      </c>
      <c r="R173" s="15" t="inlineStr">
        <is>
          <t>شهري</t>
        </is>
      </c>
      <c r="S173" s="34" t="n">
        <v>0.847</v>
      </c>
      <c r="T173" s="34" t="n">
        <v>0.887</v>
      </c>
      <c r="U173" s="34" t="n">
        <v>0.926</v>
      </c>
      <c r="V173" s="42" t="n">
        <v>0.09329999999999999</v>
      </c>
      <c r="W173" s="42" t="n">
        <v>1</v>
      </c>
      <c r="X173" s="42" t="n">
        <v>0.97</v>
      </c>
      <c r="Y173" s="44" t="inlineStr">
        <is>
          <t>قريب من المستهدف — فجوة 3٪، متابعة لإغلاقها.</t>
        </is>
      </c>
      <c r="Z173" s="41" t="inlineStr">
        <is>
          <t>متابعة أسبوعية حتى بلوغ المستهدف.</t>
        </is>
      </c>
    </row>
    <row r="174">
      <c r="A174" s="9" t="inlineStr">
        <is>
          <t>الإدارة المالية</t>
        </is>
      </c>
      <c r="B174" s="9" t="inlineStr">
        <is>
          <t>الخزينة</t>
        </is>
      </c>
      <c r="C174" s="9" t="inlineStr">
        <is>
          <t>دقة التنبؤ النقدي</t>
        </is>
      </c>
      <c r="D174" s="15" t="inlineStr">
        <is>
          <t>🎯 نتيجة</t>
        </is>
      </c>
      <c r="E174" s="34" t="inlineStr">
        <is>
          <t>%</t>
        </is>
      </c>
      <c r="F174" s="34" t="inlineStr">
        <is>
          <t>↑</t>
        </is>
      </c>
      <c r="G174" s="15" t="inlineStr">
        <is>
          <t>🟠 مهم</t>
        </is>
      </c>
      <c r="H174" s="42" t="n">
        <v>0.04</v>
      </c>
      <c r="I174" s="34" t="n">
        <v>0.9</v>
      </c>
      <c r="J174" s="34" t="n">
        <v>0.9</v>
      </c>
      <c r="K174" s="42" t="n">
        <v>1</v>
      </c>
      <c r="L174" s="27" t="inlineStr">
        <is>
          <t>✅ محقق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المدير المالي</t>
        </is>
      </c>
      <c r="Q174" s="13" t="inlineStr">
        <is>
          <t>نظام المحاسبة / ERP (D365)</t>
        </is>
      </c>
      <c r="R174" s="15" t="inlineStr">
        <is>
          <t>شهري</t>
        </is>
      </c>
      <c r="S174" s="34" t="n">
        <v>0.721</v>
      </c>
      <c r="T174" s="34" t="n">
        <v>0.8100000000000001</v>
      </c>
      <c r="U174" s="34" t="n">
        <v>0.9</v>
      </c>
      <c r="V174" s="42" t="n">
        <v>0.2483</v>
      </c>
      <c r="W174" s="42" t="n">
        <v>1</v>
      </c>
      <c r="X174" s="42" t="n">
        <v>0.85</v>
      </c>
      <c r="Y174" s="44" t="inlineStr"/>
      <c r="Z174" s="41" t="inlineStr"/>
    </row>
    <row r="175">
      <c r="A175" s="9" t="inlineStr">
        <is>
          <t>الإدارة المالية</t>
        </is>
      </c>
      <c r="B175" s="9" t="inlineStr">
        <is>
          <t>صناعة الوقود</t>
        </is>
      </c>
      <c r="C175" s="9" t="inlineStr">
        <is>
          <t>تباين مخزون الوقود</t>
        </is>
      </c>
      <c r="D175" s="15" t="inlineStr">
        <is>
          <t>🔧 تشغيلي</t>
        </is>
      </c>
      <c r="E175" s="34" t="inlineStr">
        <is>
          <t>%</t>
        </is>
      </c>
      <c r="F175" s="34" t="inlineStr">
        <is>
          <t>↓</t>
        </is>
      </c>
      <c r="G175" s="15" t="inlineStr">
        <is>
          <t>🟠 مهم</t>
        </is>
      </c>
      <c r="H175" s="42" t="n">
        <v>0.04</v>
      </c>
      <c r="I175" s="34" t="n">
        <v>0.001</v>
      </c>
      <c r="J175" s="34" t="n">
        <v>0.001</v>
      </c>
      <c r="K175" s="42" t="n">
        <v>1</v>
      </c>
      <c r="L175" s="27" t="inlineStr">
        <is>
          <t>✅ محقق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المدير المالي</t>
        </is>
      </c>
      <c r="Q175" s="13" t="inlineStr">
        <is>
          <t>نظام تشغيل المحطات</t>
        </is>
      </c>
      <c r="R175" s="15" t="inlineStr">
        <is>
          <t>شهري</t>
        </is>
      </c>
      <c r="S175" s="34" t="n">
        <v>0.001</v>
      </c>
      <c r="T175" s="34" t="n">
        <v>0.001</v>
      </c>
      <c r="U175" s="34" t="n">
        <v>0.001</v>
      </c>
      <c r="V175" s="42" t="n">
        <v>0</v>
      </c>
      <c r="W175" s="42" t="n">
        <v>1</v>
      </c>
      <c r="X175" s="42" t="n">
        <v>0.85</v>
      </c>
      <c r="Y175" s="44" t="inlineStr"/>
      <c r="Z175" s="41" t="inlineStr"/>
    </row>
    <row r="176">
      <c r="A176" s="9" t="inlineStr">
        <is>
          <t>الإدارة المالية</t>
        </is>
      </c>
      <c r="B176" s="9" t="inlineStr">
        <is>
          <t>صناعة الوقود</t>
        </is>
      </c>
      <c r="C176" s="9" t="inlineStr">
        <is>
          <t>دقة مطابقة المخزون</t>
        </is>
      </c>
      <c r="D176" s="15" t="inlineStr">
        <is>
          <t>🎯 نتيجة</t>
        </is>
      </c>
      <c r="E176" s="34" t="inlineStr">
        <is>
          <t>%</t>
        </is>
      </c>
      <c r="F176" s="34" t="inlineStr">
        <is>
          <t>↑</t>
        </is>
      </c>
      <c r="G176" s="15" t="inlineStr">
        <is>
          <t>🟠 مهم</t>
        </is>
      </c>
      <c r="H176" s="42" t="n">
        <v>0.03</v>
      </c>
      <c r="I176" s="34" t="n">
        <v>0.995</v>
      </c>
      <c r="J176" s="34" t="n">
        <v>0.776</v>
      </c>
      <c r="K176" s="42" t="n">
        <v>0.7798994974874373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المدير المالي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34" t="n">
        <v>0.648</v>
      </c>
      <c r="T176" s="34" t="n">
        <v>0.712</v>
      </c>
      <c r="U176" s="34" t="n">
        <v>0.776</v>
      </c>
      <c r="V176" s="42" t="n">
        <v>0.1975</v>
      </c>
      <c r="W176" s="42" t="n">
        <v>1</v>
      </c>
      <c r="X176" s="42" t="n">
        <v>0.97</v>
      </c>
      <c r="Y176" s="45" t="inlineStr">
        <is>
          <t>دون المستهدف — فجوة 22٪، يتطلب إجراءً تصحيحياً عاجلاً.</t>
        </is>
      </c>
      <c r="Z176" s="41" t="inlineStr">
        <is>
          <t>إطلاق إجراء تصحيحي خلال 30 يوماً بإشراف المدير المالي.</t>
        </is>
      </c>
    </row>
    <row r="177">
      <c r="A177" s="9" t="inlineStr">
        <is>
          <t>الإدارة المالية</t>
        </is>
      </c>
      <c r="B177" s="9" t="inlineStr">
        <is>
          <t>صناعة الوقود</t>
        </is>
      </c>
      <c r="C177" s="9" t="inlineStr">
        <is>
          <t>دقة تسوية أرامكو</t>
        </is>
      </c>
      <c r="D177" s="15" t="inlineStr">
        <is>
          <t>🎯 نتيجة</t>
        </is>
      </c>
      <c r="E177" s="34" t="inlineStr">
        <is>
          <t>%</t>
        </is>
      </c>
      <c r="F177" s="34" t="inlineStr">
        <is>
          <t>↑</t>
        </is>
      </c>
      <c r="G177" s="15" t="inlineStr">
        <is>
          <t>🟠 مهم</t>
        </is>
      </c>
      <c r="H177" s="42" t="n">
        <v>0.03</v>
      </c>
      <c r="I177" s="34" t="n">
        <v>1</v>
      </c>
      <c r="J177" s="34" t="n">
        <v>0.76</v>
      </c>
      <c r="K177" s="42" t="n">
        <v>0.76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المدير المالي</t>
        </is>
      </c>
      <c r="Q177" s="13" t="inlineStr">
        <is>
          <t>نظام تشغيل المحطات</t>
        </is>
      </c>
      <c r="R177" s="15" t="inlineStr">
        <is>
          <t>شهري</t>
        </is>
      </c>
      <c r="S177" s="34" t="n">
        <v>0.642</v>
      </c>
      <c r="T177" s="34" t="n">
        <v>0.701</v>
      </c>
      <c r="U177" s="34" t="n">
        <v>0.76</v>
      </c>
      <c r="V177" s="42" t="n">
        <v>0.1838</v>
      </c>
      <c r="W177" s="42" t="n">
        <v>1</v>
      </c>
      <c r="X177" s="42" t="n">
        <v>0.97</v>
      </c>
      <c r="Y177" s="45" t="inlineStr">
        <is>
          <t>دون المستهدف — فجوة 24٪، يتطلب إجراءً تصحيحياً عاجلاً.</t>
        </is>
      </c>
      <c r="Z177" s="41" t="inlineStr">
        <is>
          <t>إطلاق إجراء تصحيحي خلال 30 يوماً بإشراف المدير المالي.</t>
        </is>
      </c>
    </row>
    <row r="178">
      <c r="A178" s="9" t="inlineStr">
        <is>
          <t>الإدارة المالية</t>
        </is>
      </c>
      <c r="B178" s="9" t="inlineStr">
        <is>
          <t>تمويل الامتياز</t>
        </is>
      </c>
      <c r="C178" s="9" t="inlineStr">
        <is>
          <t>نسبة تحصيل الامتياز</t>
        </is>
      </c>
      <c r="D178" s="15" t="inlineStr">
        <is>
          <t>🎯 نتيجة</t>
        </is>
      </c>
      <c r="E178" s="34" t="inlineStr">
        <is>
          <t>%</t>
        </is>
      </c>
      <c r="F178" s="34" t="inlineStr">
        <is>
          <t>↑</t>
        </is>
      </c>
      <c r="G178" s="15" t="inlineStr">
        <is>
          <t>🔴 رئيسي</t>
        </is>
      </c>
      <c r="H178" s="42" t="n">
        <v>0.05</v>
      </c>
      <c r="I178" s="34" t="n">
        <v>0.98</v>
      </c>
      <c r="J178" s="34" t="n">
        <v>0.91</v>
      </c>
      <c r="K178" s="42" t="n">
        <v>0.9285714285714286</v>
      </c>
      <c r="L178" s="27" t="inlineStr">
        <is>
          <t>🟡 قريب</t>
        </is>
      </c>
      <c r="M178" s="27" t="inlineStr">
        <is>
          <t>النمو</t>
        </is>
      </c>
      <c r="N178" s="13" t="inlineStr">
        <is>
          <t>الامتياز التجاري</t>
        </is>
      </c>
      <c r="O178" s="15" t="inlineStr">
        <is>
          <t>مالي</t>
        </is>
      </c>
      <c r="P178" s="15" t="inlineStr">
        <is>
          <t>المدير المالي</t>
        </is>
      </c>
      <c r="Q178" s="13" t="inlineStr">
        <is>
          <t>نظام المحاسبة / ERP (D365)</t>
        </is>
      </c>
      <c r="R178" s="15" t="inlineStr">
        <is>
          <t>شهري</t>
        </is>
      </c>
      <c r="S178" s="34" t="n">
        <v>0.753</v>
      </c>
      <c r="T178" s="34" t="n">
        <v>0.832</v>
      </c>
      <c r="U178" s="34" t="n">
        <v>0.91</v>
      </c>
      <c r="V178" s="42" t="n">
        <v>0.2085</v>
      </c>
      <c r="W178" s="42" t="n">
        <v>1</v>
      </c>
      <c r="X178" s="42" t="n">
        <v>0.85</v>
      </c>
      <c r="Y178" s="44" t="inlineStr">
        <is>
          <t>قريب من المستهدف — فجوة 7٪، متابعة لإغلاقها.</t>
        </is>
      </c>
      <c r="Z178" s="41" t="inlineStr">
        <is>
          <t>متابعة أسبوعية حتى بلوغ المستهدف.</t>
        </is>
      </c>
    </row>
    <row r="179">
      <c r="A179" s="9" t="inlineStr">
        <is>
          <t>الإدارة المالية</t>
        </is>
      </c>
      <c r="B179" s="9" t="inlineStr">
        <is>
          <t>تمويل الامتياز</t>
        </is>
      </c>
      <c r="C179" s="9" t="inlineStr">
        <is>
          <t>أيام تحصيل رسوم الامتياز</t>
        </is>
      </c>
      <c r="D179" s="15" t="inlineStr">
        <is>
          <t>🎯 نتيجة</t>
        </is>
      </c>
      <c r="E179" s="34" t="inlineStr">
        <is>
          <t>يوم</t>
        </is>
      </c>
      <c r="F179" s="34" t="inlineStr">
        <is>
          <t>↓</t>
        </is>
      </c>
      <c r="G179" s="15" t="inlineStr">
        <is>
          <t>🔴 رئيسي</t>
        </is>
      </c>
      <c r="H179" s="42" t="n">
        <v>0.05</v>
      </c>
      <c r="I179" s="34" t="n">
        <v>15</v>
      </c>
      <c r="J179" s="34" t="n">
        <v>15.8</v>
      </c>
      <c r="K179" s="42" t="n">
        <v>0.9493670886075949</v>
      </c>
      <c r="L179" s="27" t="inlineStr">
        <is>
          <t>🟡 قريب</t>
        </is>
      </c>
      <c r="M179" s="27" t="inlineStr">
        <is>
          <t>النمو</t>
        </is>
      </c>
      <c r="N179" s="13" t="inlineStr">
        <is>
          <t>الامتياز التجاري</t>
        </is>
      </c>
      <c r="O179" s="15" t="inlineStr">
        <is>
          <t>مالي</t>
        </is>
      </c>
      <c r="P179" s="15" t="inlineStr">
        <is>
          <t>المدير المالي</t>
        </is>
      </c>
      <c r="Q179" s="13" t="inlineStr">
        <is>
          <t>نظام المحاسبة / ERP (D365)</t>
        </is>
      </c>
      <c r="R179" s="15" t="inlineStr">
        <is>
          <t>شهري</t>
        </is>
      </c>
      <c r="S179" s="34" t="n">
        <v>18.048</v>
      </c>
      <c r="T179" s="34" t="n">
        <v>16.924</v>
      </c>
      <c r="U179" s="34" t="n">
        <v>15.8</v>
      </c>
      <c r="V179" s="42" t="n">
        <v>-0.1246</v>
      </c>
      <c r="W179" s="42" t="n">
        <v>1</v>
      </c>
      <c r="X179" s="42" t="n">
        <v>0.85</v>
      </c>
      <c r="Y179" s="44" t="inlineStr">
        <is>
          <t>قريب من المستهدف — فجوة 5٪، متابعة لإغلاقها.</t>
        </is>
      </c>
      <c r="Z179" s="41" t="inlineStr">
        <is>
          <t>متابعة أسبوعية حتى بلوغ المستهدف.</t>
        </is>
      </c>
    </row>
    <row r="180">
      <c r="A180" s="9" t="inlineStr">
        <is>
          <t>الإدارة المالية</t>
        </is>
      </c>
      <c r="B180" s="9" t="inlineStr">
        <is>
          <t>العقار والإيجار</t>
        </is>
      </c>
      <c r="C180" s="9" t="inlineStr">
        <is>
          <t>نسبة تحصيل الإيجار</t>
        </is>
      </c>
      <c r="D180" s="15" t="inlineStr">
        <is>
          <t>🎯 نتيجة</t>
        </is>
      </c>
      <c r="E180" s="34" t="inlineStr">
        <is>
          <t>%</t>
        </is>
      </c>
      <c r="F180" s="34" t="inlineStr">
        <is>
          <t>↑</t>
        </is>
      </c>
      <c r="G180" s="15" t="inlineStr">
        <is>
          <t>🔴 رئيسي</t>
        </is>
      </c>
      <c r="H180" s="42" t="n">
        <v>0.05</v>
      </c>
      <c r="I180" s="34" t="n">
        <v>0.98</v>
      </c>
      <c r="J180" s="34" t="n">
        <v>1.027</v>
      </c>
      <c r="K180" s="42" t="n">
        <v>1</v>
      </c>
      <c r="L180" s="27" t="inlineStr">
        <is>
          <t>✅ محقق</t>
        </is>
      </c>
      <c r="M180" s="27" t="inlineStr">
        <is>
          <t>الاستدامة</t>
        </is>
      </c>
      <c r="N180" s="13" t="inlineStr">
        <is>
          <t>منظومة التأجير</t>
        </is>
      </c>
      <c r="O180" s="15" t="inlineStr">
        <is>
          <t>مالي</t>
        </is>
      </c>
      <c r="P180" s="15" t="inlineStr">
        <is>
          <t>المدير المالي</t>
        </is>
      </c>
      <c r="Q180" s="13" t="inlineStr">
        <is>
          <t>نظام المحاسبة / ERP (D365)</t>
        </is>
      </c>
      <c r="R180" s="15" t="inlineStr">
        <is>
          <t>شهري</t>
        </is>
      </c>
      <c r="S180" s="34" t="n">
        <v>0.927</v>
      </c>
      <c r="T180" s="34" t="n">
        <v>0.977</v>
      </c>
      <c r="U180" s="34" t="n">
        <v>1.027</v>
      </c>
      <c r="V180" s="42" t="n">
        <v>0.1079</v>
      </c>
      <c r="W180" s="42" t="n">
        <v>1</v>
      </c>
      <c r="X180" s="42" t="n">
        <v>0.85</v>
      </c>
      <c r="Y180" s="44" t="inlineStr"/>
      <c r="Z180" s="41" t="inlineStr"/>
    </row>
    <row r="181">
      <c r="A181" s="9" t="inlineStr">
        <is>
          <t>الإدارة المالية</t>
        </is>
      </c>
      <c r="B181" s="9" t="inlineStr">
        <is>
          <t>العقار والإيجار</t>
        </is>
      </c>
      <c r="C181" s="9" t="inlineStr">
        <is>
          <t>معدل تجديد عقود الإيجار</t>
        </is>
      </c>
      <c r="D181" s="15" t="inlineStr">
        <is>
          <t>🎯 نتيجة</t>
        </is>
      </c>
      <c r="E181" s="34" t="inlineStr">
        <is>
          <t>%</t>
        </is>
      </c>
      <c r="F181" s="34" t="inlineStr">
        <is>
          <t>↑</t>
        </is>
      </c>
      <c r="G181" s="15" t="inlineStr">
        <is>
          <t>🔴 رئيسي</t>
        </is>
      </c>
      <c r="H181" s="42" t="n">
        <v>0.05</v>
      </c>
      <c r="I181" s="34" t="n">
        <v>0.9</v>
      </c>
      <c r="J181" s="34" t="n">
        <v>0.702</v>
      </c>
      <c r="K181" s="42" t="n">
        <v>0.7799999999999999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منظومة التأجير</t>
        </is>
      </c>
      <c r="O181" s="15" t="inlineStr">
        <is>
          <t>العمليات الداخلية</t>
        </is>
      </c>
      <c r="P181" s="15" t="inlineStr">
        <is>
          <t>المدير المالي</t>
        </is>
      </c>
      <c r="Q181" s="13" t="inlineStr">
        <is>
          <t>نظام إدارة العقود (CRM)</t>
        </is>
      </c>
      <c r="R181" s="15" t="inlineStr">
        <is>
          <t>شهري</t>
        </is>
      </c>
      <c r="S181" s="34" t="n">
        <v>0.593</v>
      </c>
      <c r="T181" s="34" t="n">
        <v>0.647</v>
      </c>
      <c r="U181" s="34" t="n">
        <v>0.702</v>
      </c>
      <c r="V181" s="42" t="n">
        <v>0.1838</v>
      </c>
      <c r="W181" s="42" t="n">
        <v>1</v>
      </c>
      <c r="X181" s="42" t="n">
        <v>0.85</v>
      </c>
      <c r="Y181" s="45" t="inlineStr">
        <is>
          <t>دون المستهدف — فجوة 22٪، يتطلب إجراءً تصحيحياً عاجلاً.</t>
        </is>
      </c>
      <c r="Z181" s="41" t="inlineStr">
        <is>
          <t>إطلاق إجراء تصحيحي خلال 30 يوماً بإشراف المدير المالي.</t>
        </is>
      </c>
    </row>
    <row r="182">
      <c r="A182" s="9" t="inlineStr">
        <is>
          <t>الإدارة المالية</t>
        </is>
      </c>
      <c r="B182" s="9" t="inlineStr">
        <is>
          <t>الموازنة والتقارير</t>
        </is>
      </c>
      <c r="C182" s="9" t="inlineStr">
        <is>
          <t>انحراف الموازنة</t>
        </is>
      </c>
      <c r="D182" s="15" t="inlineStr">
        <is>
          <t>🔧 تشغيلي</t>
        </is>
      </c>
      <c r="E182" s="34" t="inlineStr">
        <is>
          <t>%</t>
        </is>
      </c>
      <c r="F182" s="34" t="inlineStr">
        <is>
          <t>↓</t>
        </is>
      </c>
      <c r="G182" s="15" t="inlineStr">
        <is>
          <t>🟠 مهم</t>
        </is>
      </c>
      <c r="H182" s="42" t="n">
        <v>0.03</v>
      </c>
      <c r="I182" s="34" t="n">
        <v>0.1</v>
      </c>
      <c r="J182" s="34" t="n">
        <v>0.101</v>
      </c>
      <c r="K182" s="42" t="n">
        <v>0.9900990099009901</v>
      </c>
      <c r="L182" s="27" t="inlineStr">
        <is>
          <t>🟡 قريب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المالي</t>
        </is>
      </c>
      <c r="Q182" s="13" t="inlineStr">
        <is>
          <t>نظام المحاسبة / ERP (D365)</t>
        </is>
      </c>
      <c r="R182" s="15" t="inlineStr">
        <is>
          <t>ربعي</t>
        </is>
      </c>
      <c r="S182" s="34" t="n">
        <v>0.113</v>
      </c>
      <c r="T182" s="34" t="n">
        <v>0.107</v>
      </c>
      <c r="U182" s="34" t="n">
        <v>0.101</v>
      </c>
      <c r="V182" s="42" t="n">
        <v>-0.1062</v>
      </c>
      <c r="W182" s="42" t="n">
        <v>1</v>
      </c>
      <c r="X182" s="42" t="n">
        <v>0.85</v>
      </c>
      <c r="Y182" s="44" t="inlineStr">
        <is>
          <t>قريب من المستهدف — فجوة 1٪، متابعة لإغلاقها.</t>
        </is>
      </c>
      <c r="Z182" s="41" t="inlineStr">
        <is>
          <t>متابعة أسبوعية حتى بلوغ المستهدف.</t>
        </is>
      </c>
    </row>
    <row r="183">
      <c r="A183" s="9" t="inlineStr">
        <is>
          <t>الإدارة المالية</t>
        </is>
      </c>
      <c r="B183" s="9" t="inlineStr">
        <is>
          <t>الموازنة والتقارير</t>
        </is>
      </c>
      <c r="C183" s="9" t="inlineStr">
        <is>
          <t>أيام الإقفال الشهري</t>
        </is>
      </c>
      <c r="D183" s="15" t="inlineStr">
        <is>
          <t>🔧 تشغيلي</t>
        </is>
      </c>
      <c r="E183" s="34" t="inlineStr">
        <is>
          <t>يوم</t>
        </is>
      </c>
      <c r="F183" s="34" t="inlineStr">
        <is>
          <t>↓</t>
        </is>
      </c>
      <c r="G183" s="15" t="inlineStr">
        <is>
          <t>🟠 مهم</t>
        </is>
      </c>
      <c r="H183" s="42" t="n">
        <v>0.03</v>
      </c>
      <c r="I183" s="34" t="n">
        <v>6</v>
      </c>
      <c r="J183" s="34" t="n">
        <v>7.044</v>
      </c>
      <c r="K183" s="42" t="n">
        <v>0.8517887563884157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المالي</t>
        </is>
      </c>
      <c r="Q183" s="13" t="inlineStr">
        <is>
          <t>نظام المحاسبة / ERP (D365)</t>
        </is>
      </c>
      <c r="R183" s="15" t="inlineStr">
        <is>
          <t>شهري</t>
        </is>
      </c>
      <c r="S183" s="34" t="n">
        <v>7.804</v>
      </c>
      <c r="T183" s="34" t="n">
        <v>7.424</v>
      </c>
      <c r="U183" s="34" t="n">
        <v>7.044</v>
      </c>
      <c r="V183" s="42" t="n">
        <v>-0.0974</v>
      </c>
      <c r="W183" s="42" t="n">
        <v>1</v>
      </c>
      <c r="X183" s="42" t="n">
        <v>0.85</v>
      </c>
      <c r="Y183" s="44" t="inlineStr">
        <is>
          <t>قريب من المستهدف — فجوة 15٪، متابعة لإغلاقها.</t>
        </is>
      </c>
      <c r="Z183" s="41" t="inlineStr">
        <is>
          <t>متابعة أسبوعية حتى بلوغ المستهدف.</t>
        </is>
      </c>
    </row>
    <row r="184">
      <c r="A184" s="9" t="inlineStr">
        <is>
          <t>الإدارة المالية</t>
        </is>
      </c>
      <c r="B184" s="9" t="inlineStr">
        <is>
          <t>الموازنة والتقارير</t>
        </is>
      </c>
      <c r="C184" s="9" t="inlineStr">
        <is>
          <t>نسبة تسويات التدقيق</t>
        </is>
      </c>
      <c r="D184" s="15" t="inlineStr">
        <is>
          <t>🔧 تشغيلي</t>
        </is>
      </c>
      <c r="E184" s="34" t="inlineStr">
        <is>
          <t>%</t>
        </is>
      </c>
      <c r="F184" s="34" t="inlineStr">
        <is>
          <t>↓</t>
        </is>
      </c>
      <c r="G184" s="15" t="inlineStr">
        <is>
          <t>🟠 مهم</t>
        </is>
      </c>
      <c r="H184" s="42" t="n">
        <v>0.03</v>
      </c>
      <c r="I184" s="34" t="n">
        <v>0.02</v>
      </c>
      <c r="J184" s="34" t="n">
        <v>0.02</v>
      </c>
      <c r="K184" s="42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المدير المالي</t>
        </is>
      </c>
      <c r="Q184" s="13" t="inlineStr">
        <is>
          <t>نظام المحاسبة / ERP (D365)</t>
        </is>
      </c>
      <c r="R184" s="15" t="inlineStr">
        <is>
          <t>ربعي</t>
        </is>
      </c>
      <c r="S184" s="34" t="n">
        <v>0.023</v>
      </c>
      <c r="T184" s="34" t="n">
        <v>0.021</v>
      </c>
      <c r="U184" s="34" t="n">
        <v>0.02</v>
      </c>
      <c r="V184" s="42" t="n">
        <v>-0.1304</v>
      </c>
      <c r="W184" s="42" t="n">
        <v>1</v>
      </c>
      <c r="X184" s="42" t="n">
        <v>0.85</v>
      </c>
      <c r="Y184" s="44" t="inlineStr"/>
      <c r="Z184" s="41" t="inlineStr"/>
    </row>
  </sheetData>
  <autoFilter ref="A1:Z1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الإدارة التنفيذية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34" t="inlineStr">
        <is>
          <t>محطة</t>
        </is>
      </c>
      <c r="E4" s="34" t="inlineStr">
        <is>
          <t>↑</t>
        </is>
      </c>
      <c r="F4" s="15" t="inlineStr">
        <is>
          <t>🔴 رئيسي</t>
        </is>
      </c>
      <c r="G4" s="42" t="n">
        <v>0.12</v>
      </c>
      <c r="H4" s="47" t="n">
        <v>235</v>
      </c>
      <c r="I4" s="48" t="inlineStr">
        <is>
          <t>≥ 235 محطة</t>
        </is>
      </c>
      <c r="J4" s="4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0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34" t="inlineStr">
        <is>
          <t>عقد</t>
        </is>
      </c>
      <c r="E5" s="34" t="inlineStr">
        <is>
          <t>↑</t>
        </is>
      </c>
      <c r="F5" s="15" t="inlineStr">
        <is>
          <t>🔴 رئيسي</t>
        </is>
      </c>
      <c r="G5" s="42" t="n">
        <v>0.12</v>
      </c>
      <c r="H5" s="47" t="n">
        <v>357</v>
      </c>
      <c r="I5" s="48" t="inlineStr">
        <is>
          <t>357 عقد</t>
        </is>
      </c>
      <c r="J5" s="4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0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34" t="inlineStr">
        <is>
          <t>ر.س</t>
        </is>
      </c>
      <c r="E6" s="34" t="inlineStr">
        <is>
          <t>↑</t>
        </is>
      </c>
      <c r="F6" s="15" t="inlineStr">
        <is>
          <t>🔴 رئيسي</t>
        </is>
      </c>
      <c r="G6" s="42" t="n">
        <v>0.11</v>
      </c>
      <c r="H6" s="34" t="inlineStr"/>
      <c r="I6" s="48" t="inlineStr">
        <is>
          <t>تصاعدي مستمر</t>
        </is>
      </c>
      <c r="J6" s="4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1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0.11</v>
      </c>
      <c r="H7" s="34" t="inlineStr"/>
      <c r="I7" s="48" t="inlineStr">
        <is>
          <t>مستهدف تنفيذي</t>
        </is>
      </c>
      <c r="J7" s="4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2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34" t="inlineStr">
        <is>
          <t>%</t>
        </is>
      </c>
      <c r="E8" s="34" t="inlineStr">
        <is>
          <t>↑</t>
        </is>
      </c>
      <c r="F8" s="15" t="inlineStr">
        <is>
          <t>🟠 مهم</t>
        </is>
      </c>
      <c r="G8" s="42" t="n">
        <v>0.08</v>
      </c>
      <c r="H8" s="42" t="n">
        <v>1</v>
      </c>
      <c r="I8" s="48" t="inlineStr">
        <is>
          <t>100%</t>
        </is>
      </c>
      <c r="J8" s="4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2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34" t="inlineStr">
        <is>
          <t>%</t>
        </is>
      </c>
      <c r="E9" s="34" t="inlineStr">
        <is>
          <t>↑</t>
        </is>
      </c>
      <c r="F9" s="15" t="inlineStr">
        <is>
          <t>🟠 مهم</t>
        </is>
      </c>
      <c r="G9" s="42" t="n">
        <v>0.08</v>
      </c>
      <c r="H9" s="42" t="n">
        <v>0.9</v>
      </c>
      <c r="I9" s="48" t="inlineStr">
        <is>
          <t>≥ 90%</t>
        </is>
      </c>
      <c r="J9" s="4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2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🔴 رئيسي</t>
        </is>
      </c>
      <c r="G10" s="42" t="n">
        <v>0.11</v>
      </c>
      <c r="H10" s="42" t="n">
        <v>0.9</v>
      </c>
      <c r="I10" s="48" t="inlineStr">
        <is>
          <t>≥ 90%</t>
        </is>
      </c>
      <c r="J10" s="4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2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34" t="inlineStr">
        <is>
          <t>نقطة</t>
        </is>
      </c>
      <c r="E11" s="34" t="inlineStr">
        <is>
          <t>↑</t>
        </is>
      </c>
      <c r="F11" s="15" t="inlineStr">
        <is>
          <t>🔴 رئيسي</t>
        </is>
      </c>
      <c r="G11" s="42" t="n">
        <v>0.11</v>
      </c>
      <c r="H11" s="53" t="n">
        <v>30</v>
      </c>
      <c r="I11" s="48" t="inlineStr">
        <is>
          <t>≥ 30</t>
        </is>
      </c>
      <c r="J11" s="4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4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🟠 مهم</t>
        </is>
      </c>
      <c r="G12" s="42" t="n">
        <v>0.08</v>
      </c>
      <c r="H12" s="42" t="n">
        <v>1</v>
      </c>
      <c r="I12" s="48" t="inlineStr">
        <is>
          <t>100%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2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34" t="inlineStr">
        <is>
          <t>%</t>
        </is>
      </c>
      <c r="E13" s="34" t="inlineStr">
        <is>
          <t>↑</t>
        </is>
      </c>
      <c r="F13" s="15" t="inlineStr">
        <is>
          <t>🟠 مهم</t>
        </is>
      </c>
      <c r="G13" s="42" t="n">
        <v>0.08</v>
      </c>
      <c r="H13" s="42" t="n">
        <v>1</v>
      </c>
      <c r="I13" s="48" t="inlineStr">
        <is>
          <t>100%</t>
        </is>
      </c>
      <c r="J13" s="4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2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</sheetData>
  <autoFilter ref="A3:O13"/>
  <mergeCells count="2">
    <mergeCell ref="A1:O1"/>
    <mergeCell ref="A2:O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الامتياز التجاري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34" t="inlineStr">
        <is>
          <t>محطة</t>
        </is>
      </c>
      <c r="E4" s="34" t="inlineStr">
        <is>
          <t>↑</t>
        </is>
      </c>
      <c r="F4" s="15" t="inlineStr">
        <is>
          <t>🔴 رئيسي</t>
        </is>
      </c>
      <c r="G4" s="42" t="n">
        <v>0.04</v>
      </c>
      <c r="H4" s="47" t="n">
        <v>150</v>
      </c>
      <c r="I4" s="48" t="inlineStr">
        <is>
          <t>150 محطة</t>
        </is>
      </c>
      <c r="J4" s="4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0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34" t="inlineStr">
        <is>
          <t>عقد</t>
        </is>
      </c>
      <c r="E5" s="34" t="inlineStr">
        <is>
          <t>↑</t>
        </is>
      </c>
      <c r="F5" s="15" t="inlineStr">
        <is>
          <t>🔴 رئيسي</t>
        </is>
      </c>
      <c r="G5" s="42" t="n">
        <v>0.04</v>
      </c>
      <c r="H5" s="47" t="n">
        <v>167</v>
      </c>
      <c r="I5" s="48" t="inlineStr">
        <is>
          <t>167 عقد</t>
        </is>
      </c>
      <c r="J5" s="4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0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34" t="inlineStr">
        <is>
          <t>لتر</t>
        </is>
      </c>
      <c r="E6" s="34" t="inlineStr">
        <is>
          <t>↑</t>
        </is>
      </c>
      <c r="F6" s="15" t="inlineStr">
        <is>
          <t>🔴 رئيسي</t>
        </is>
      </c>
      <c r="G6" s="42" t="n">
        <v>0.04</v>
      </c>
      <c r="H6" s="47" t="n">
        <v>718838077</v>
      </c>
      <c r="I6" s="48" t="inlineStr">
        <is>
          <t>718.8M لتر</t>
        </is>
      </c>
      <c r="J6" s="4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0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0.04</v>
      </c>
      <c r="H7" s="42" t="n">
        <v>0.9</v>
      </c>
      <c r="I7" s="48" t="inlineStr">
        <is>
          <t>90%+</t>
        </is>
      </c>
      <c r="J7" s="4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2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34" t="inlineStr">
        <is>
          <t>لتر/محطة</t>
        </is>
      </c>
      <c r="E8" s="34" t="inlineStr">
        <is>
          <t>↑</t>
        </is>
      </c>
      <c r="F8" s="15" t="inlineStr">
        <is>
          <t>🔴 رئيسي</t>
        </is>
      </c>
      <c r="G8" s="42" t="n">
        <v>0.04</v>
      </c>
      <c r="H8" s="34" t="inlineStr"/>
      <c r="I8" s="48" t="inlineStr">
        <is>
          <t>+10% نمو شهري</t>
        </is>
      </c>
      <c r="J8" s="4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0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34" t="inlineStr">
        <is>
          <t>%</t>
        </is>
      </c>
      <c r="E9" s="34" t="inlineStr">
        <is>
          <t>↑</t>
        </is>
      </c>
      <c r="F9" s="15" t="inlineStr">
        <is>
          <t>🟠 مهم</t>
        </is>
      </c>
      <c r="G9" s="42" t="n">
        <v>0.03</v>
      </c>
      <c r="H9" s="42" t="n">
        <v>0.7</v>
      </c>
      <c r="I9" s="48" t="inlineStr">
        <is>
          <t>70%</t>
        </is>
      </c>
      <c r="J9" s="4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2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34" t="inlineStr">
        <is>
          <t>ر.س</t>
        </is>
      </c>
      <c r="E10" s="34" t="inlineStr">
        <is>
          <t>↑</t>
        </is>
      </c>
      <c r="F10" s="15" t="inlineStr">
        <is>
          <t>🔴 رئيسي</t>
        </is>
      </c>
      <c r="G10" s="42" t="n">
        <v>0.04</v>
      </c>
      <c r="H10" s="34" t="inlineStr"/>
      <c r="I10" s="48" t="inlineStr">
        <is>
          <t>تصاعدي مستمر</t>
        </is>
      </c>
      <c r="J10" s="4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1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34" t="inlineStr">
        <is>
          <t>هللة/لتر</t>
        </is>
      </c>
      <c r="E11" s="34" t="inlineStr">
        <is>
          <t>↑</t>
        </is>
      </c>
      <c r="F11" s="15" t="inlineStr">
        <is>
          <t>🟠 مهم</t>
        </is>
      </c>
      <c r="G11" s="42" t="n">
        <v>0.03</v>
      </c>
      <c r="H11" s="53" t="n">
        <v>1.8</v>
      </c>
      <c r="I11" s="48" t="inlineStr">
        <is>
          <t>+1.8 هللة/لتر</t>
        </is>
      </c>
      <c r="J11" s="4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54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🔴 رئيسي</t>
        </is>
      </c>
      <c r="G12" s="42" t="n">
        <v>0.04</v>
      </c>
      <c r="H12" s="42" t="n">
        <v>0.95</v>
      </c>
      <c r="I12" s="48" t="inlineStr">
        <is>
          <t>95%+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2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34" t="inlineStr">
        <is>
          <t>يوم</t>
        </is>
      </c>
      <c r="E13" s="34" t="inlineStr">
        <is>
          <t>↓</t>
        </is>
      </c>
      <c r="F13" s="15" t="inlineStr">
        <is>
          <t>🔴 رئيسي</t>
        </is>
      </c>
      <c r="G13" s="42" t="n">
        <v>0.04</v>
      </c>
      <c r="H13" s="53" t="n">
        <v>30</v>
      </c>
      <c r="I13" s="48" t="inlineStr">
        <is>
          <t>≤ 30 يوم</t>
        </is>
      </c>
      <c r="J13" s="4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54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34" t="inlineStr">
        <is>
          <t>ر.س</t>
        </is>
      </c>
      <c r="E14" s="34" t="inlineStr">
        <is>
          <t>↓</t>
        </is>
      </c>
      <c r="F14" s="15" t="inlineStr">
        <is>
          <t>🟠 مهم</t>
        </is>
      </c>
      <c r="G14" s="42" t="n">
        <v>0.03</v>
      </c>
      <c r="H14" s="34" t="inlineStr"/>
      <c r="I14" s="48" t="inlineStr">
        <is>
          <t>تراجع مستمر</t>
        </is>
      </c>
      <c r="J14" s="4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1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34" t="inlineStr">
        <is>
          <t>%</t>
        </is>
      </c>
      <c r="E15" s="34" t="inlineStr">
        <is>
          <t>↑</t>
        </is>
      </c>
      <c r="F15" s="15" t="inlineStr">
        <is>
          <t>🟠 مهم</t>
        </is>
      </c>
      <c r="G15" s="42" t="n">
        <v>0.03</v>
      </c>
      <c r="H15" s="42" t="n">
        <v>0.9</v>
      </c>
      <c r="I15" s="48" t="inlineStr">
        <is>
          <t>90%+</t>
        </is>
      </c>
      <c r="J15" s="4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2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34" t="inlineStr">
        <is>
          <t>يوم</t>
        </is>
      </c>
      <c r="E16" s="34" t="inlineStr">
        <is>
          <t>↓</t>
        </is>
      </c>
      <c r="F16" s="15" t="inlineStr">
        <is>
          <t>🟠 مهم</t>
        </is>
      </c>
      <c r="G16" s="42" t="n">
        <v>0.03</v>
      </c>
      <c r="H16" s="53" t="n">
        <v>5</v>
      </c>
      <c r="I16" s="48" t="inlineStr">
        <is>
          <t>≤ 5 أيام</t>
        </is>
      </c>
      <c r="J16" s="4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54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34" t="inlineStr">
        <is>
          <t>%</t>
        </is>
      </c>
      <c r="E17" s="34" t="inlineStr">
        <is>
          <t>↑</t>
        </is>
      </c>
      <c r="F17" s="15" t="inlineStr">
        <is>
          <t>🔴 رئيسي</t>
        </is>
      </c>
      <c r="G17" s="42" t="n">
        <v>0.04</v>
      </c>
      <c r="H17" s="42" t="n">
        <v>0.99</v>
      </c>
      <c r="I17" s="48" t="inlineStr">
        <is>
          <t>99%+</t>
        </is>
      </c>
      <c r="J17" s="4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2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34" t="inlineStr">
        <is>
          <t>حالة</t>
        </is>
      </c>
      <c r="E18" s="34" t="inlineStr">
        <is>
          <t>↓</t>
        </is>
      </c>
      <c r="F18" s="15" t="inlineStr">
        <is>
          <t>🟠 مهم</t>
        </is>
      </c>
      <c r="G18" s="42" t="n">
        <v>0.03</v>
      </c>
      <c r="H18" s="47" t="n">
        <v>0</v>
      </c>
      <c r="I18" s="48" t="inlineStr">
        <is>
          <t>0 حالة</t>
        </is>
      </c>
      <c r="J18" s="4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0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34" t="inlineStr">
        <is>
          <t>%</t>
        </is>
      </c>
      <c r="E19" s="34" t="inlineStr">
        <is>
          <t>↑</t>
        </is>
      </c>
      <c r="F19" s="15" t="inlineStr">
        <is>
          <t>🟠 مهم</t>
        </is>
      </c>
      <c r="G19" s="42" t="n">
        <v>0.03</v>
      </c>
      <c r="H19" s="42" t="n">
        <v>0.95</v>
      </c>
      <c r="I19" s="48" t="inlineStr">
        <is>
          <t>95%+</t>
        </is>
      </c>
      <c r="J19" s="4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2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34" t="inlineStr">
        <is>
          <t>درجة/100</t>
        </is>
      </c>
      <c r="E20" s="34" t="inlineStr">
        <is>
          <t>↑</t>
        </is>
      </c>
      <c r="F20" s="15" t="inlineStr">
        <is>
          <t>🔴 رئيسي</t>
        </is>
      </c>
      <c r="G20" s="42" t="n">
        <v>0.04</v>
      </c>
      <c r="H20" s="53" t="n">
        <v>85</v>
      </c>
      <c r="I20" s="48" t="inlineStr">
        <is>
          <t>85+</t>
        </is>
      </c>
      <c r="J20" s="4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4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34" t="inlineStr">
        <is>
          <t>%</t>
        </is>
      </c>
      <c r="E21" s="34" t="inlineStr">
        <is>
          <t>↑</t>
        </is>
      </c>
      <c r="F21" s="15" t="inlineStr">
        <is>
          <t>🟠 مهم</t>
        </is>
      </c>
      <c r="G21" s="42" t="n">
        <v>0.03</v>
      </c>
      <c r="H21" s="42" t="n">
        <v>1</v>
      </c>
      <c r="I21" s="48" t="inlineStr">
        <is>
          <t>100%</t>
        </is>
      </c>
      <c r="J21" s="4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2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34" t="inlineStr">
        <is>
          <t>%</t>
        </is>
      </c>
      <c r="E22" s="34" t="inlineStr">
        <is>
          <t>↑</t>
        </is>
      </c>
      <c r="F22" s="15" t="inlineStr">
        <is>
          <t>🔴 رئيسي</t>
        </is>
      </c>
      <c r="G22" s="42" t="n">
        <v>0.04</v>
      </c>
      <c r="H22" s="42" t="n">
        <v>1</v>
      </c>
      <c r="I22" s="48" t="inlineStr">
        <is>
          <t>100%</t>
        </is>
      </c>
      <c r="J22" s="4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2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34" t="inlineStr">
        <is>
          <t>ساعة</t>
        </is>
      </c>
      <c r="E23" s="34" t="inlineStr">
        <is>
          <t>↓</t>
        </is>
      </c>
      <c r="F23" s="15" t="inlineStr">
        <is>
          <t>🟠 مهم</t>
        </is>
      </c>
      <c r="G23" s="42" t="n">
        <v>0.03</v>
      </c>
      <c r="H23" s="53" t="n">
        <v>24</v>
      </c>
      <c r="I23" s="48" t="inlineStr">
        <is>
          <t>≤ 24 ساعة</t>
        </is>
      </c>
      <c r="J23" s="4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54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34" t="inlineStr">
        <is>
          <t>%</t>
        </is>
      </c>
      <c r="E24" s="34" t="inlineStr">
        <is>
          <t>↑</t>
        </is>
      </c>
      <c r="F24" s="15" t="inlineStr">
        <is>
          <t>🔴 رئيسي</t>
        </is>
      </c>
      <c r="G24" s="42" t="n">
        <v>0.04</v>
      </c>
      <c r="H24" s="42" t="n">
        <v>0.9</v>
      </c>
      <c r="I24" s="48" t="inlineStr">
        <is>
          <t>90%</t>
        </is>
      </c>
      <c r="J24" s="4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2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34" t="inlineStr">
        <is>
          <t>%</t>
        </is>
      </c>
      <c r="E25" s="34" t="inlineStr">
        <is>
          <t>↑</t>
        </is>
      </c>
      <c r="F25" s="15" t="inlineStr">
        <is>
          <t>🟡 متابعة</t>
        </is>
      </c>
      <c r="G25" s="42" t="n">
        <v>0.01</v>
      </c>
      <c r="H25" s="42" t="n">
        <v>0.3</v>
      </c>
      <c r="I25" s="48" t="inlineStr">
        <is>
          <t>30%</t>
        </is>
      </c>
      <c r="J25" s="4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2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34" t="inlineStr">
        <is>
          <t>%</t>
        </is>
      </c>
      <c r="E26" s="34" t="inlineStr">
        <is>
          <t>↑</t>
        </is>
      </c>
      <c r="F26" s="15" t="inlineStr">
        <is>
          <t>🔴 رئيسي</t>
        </is>
      </c>
      <c r="G26" s="42" t="n">
        <v>0.04</v>
      </c>
      <c r="H26" s="42" t="n">
        <v>0.55</v>
      </c>
      <c r="I26" s="48" t="inlineStr">
        <is>
          <t>55%</t>
        </is>
      </c>
      <c r="J26" s="4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2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34" t="inlineStr">
        <is>
          <t>نجمة/5</t>
        </is>
      </c>
      <c r="E27" s="34" t="inlineStr">
        <is>
          <t>↑</t>
        </is>
      </c>
      <c r="F27" s="15" t="inlineStr">
        <is>
          <t>🔴 رئيسي</t>
        </is>
      </c>
      <c r="G27" s="42" t="n">
        <v>0.04</v>
      </c>
      <c r="H27" s="53" t="n">
        <v>4.7</v>
      </c>
      <c r="I27" s="48" t="inlineStr">
        <is>
          <t>≥ 4.7 نجمة</t>
        </is>
      </c>
      <c r="J27" s="4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54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34" t="inlineStr">
        <is>
          <t>%</t>
        </is>
      </c>
      <c r="E28" s="34" t="inlineStr">
        <is>
          <t>↑</t>
        </is>
      </c>
      <c r="F28" s="15" t="inlineStr">
        <is>
          <t>🔴 رئيسي</t>
        </is>
      </c>
      <c r="G28" s="42" t="n">
        <v>0.04</v>
      </c>
      <c r="H28" s="42" t="n">
        <v>0.9</v>
      </c>
      <c r="I28" s="48" t="inlineStr">
        <is>
          <t>90%+</t>
        </is>
      </c>
      <c r="J28" s="4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2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34" t="inlineStr">
        <is>
          <t>%</t>
        </is>
      </c>
      <c r="E29" s="34" t="inlineStr">
        <is>
          <t>↑</t>
        </is>
      </c>
      <c r="F29" s="15" t="inlineStr">
        <is>
          <t>🟠 مهم</t>
        </is>
      </c>
      <c r="G29" s="42" t="n">
        <v>0.02</v>
      </c>
      <c r="H29" s="42" t="n">
        <v>0.95</v>
      </c>
      <c r="I29" s="48" t="inlineStr">
        <is>
          <t>95%+</t>
        </is>
      </c>
      <c r="J29" s="4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2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34" t="inlineStr">
        <is>
          <t>%</t>
        </is>
      </c>
      <c r="E30" s="34" t="inlineStr">
        <is>
          <t>↑</t>
        </is>
      </c>
      <c r="F30" s="15" t="inlineStr">
        <is>
          <t>🟠 مهم</t>
        </is>
      </c>
      <c r="G30" s="42" t="n">
        <v>0.02</v>
      </c>
      <c r="H30" s="34" t="inlineStr"/>
      <c r="I30" s="48" t="inlineStr">
        <is>
          <t>-30%</t>
        </is>
      </c>
      <c r="J30" s="4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2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34" t="inlineStr">
        <is>
          <t>%</t>
        </is>
      </c>
      <c r="E31" s="34" t="inlineStr">
        <is>
          <t>↑</t>
        </is>
      </c>
      <c r="F31" s="15" t="inlineStr">
        <is>
          <t>🟠 مهم</t>
        </is>
      </c>
      <c r="G31" s="42" t="n">
        <v>0.02</v>
      </c>
      <c r="H31" s="42" t="n">
        <v>0.9</v>
      </c>
      <c r="I31" s="48" t="inlineStr">
        <is>
          <t>90%</t>
        </is>
      </c>
      <c r="J31" s="4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2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34" t="inlineStr">
        <is>
          <t>%</t>
        </is>
      </c>
      <c r="E32" s="34" t="inlineStr">
        <is>
          <t>↑</t>
        </is>
      </c>
      <c r="F32" s="15" t="inlineStr">
        <is>
          <t>🟠 مهم</t>
        </is>
      </c>
      <c r="G32" s="42" t="n">
        <v>0.02</v>
      </c>
      <c r="H32" s="42" t="n">
        <v>1</v>
      </c>
      <c r="I32" s="48" t="inlineStr">
        <is>
          <t>100% نمو</t>
        </is>
      </c>
      <c r="J32" s="4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2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34" t="inlineStr">
        <is>
          <t>أسبوع</t>
        </is>
      </c>
      <c r="E33" s="34" t="inlineStr">
        <is>
          <t>↓</t>
        </is>
      </c>
      <c r="F33" s="15" t="inlineStr">
        <is>
          <t>🔴 رئيسي</t>
        </is>
      </c>
      <c r="G33" s="42" t="n">
        <v>0.04</v>
      </c>
      <c r="H33" s="53" t="n">
        <v>1</v>
      </c>
      <c r="I33" s="48" t="inlineStr">
        <is>
          <t>≤ أسبوع</t>
        </is>
      </c>
      <c r="J33" s="4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54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</row>
  </sheetData>
  <autoFilter ref="A3:O33"/>
  <mergeCells count="2">
    <mergeCell ref="A1:O1"/>
    <mergeCell ref="A2:O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التشغيل والمحطات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34" t="inlineStr">
        <is>
          <t>محطة</t>
        </is>
      </c>
      <c r="E4" s="34" t="inlineStr">
        <is>
          <t>↑</t>
        </is>
      </c>
      <c r="F4" s="15" t="inlineStr">
        <is>
          <t>🔴 رئيسي</t>
        </is>
      </c>
      <c r="G4" s="42" t="n">
        <v>0.08</v>
      </c>
      <c r="H4" s="47" t="n">
        <v>85</v>
      </c>
      <c r="I4" s="48" t="inlineStr">
        <is>
          <t>85 محطة</t>
        </is>
      </c>
      <c r="J4" s="4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0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34" t="inlineStr">
        <is>
          <t>%</t>
        </is>
      </c>
      <c r="E5" s="34" t="inlineStr">
        <is>
          <t>↑</t>
        </is>
      </c>
      <c r="F5" s="15" t="inlineStr">
        <is>
          <t>🔴 رئيسي</t>
        </is>
      </c>
      <c r="G5" s="42" t="n">
        <v>0.08</v>
      </c>
      <c r="H5" s="34" t="inlineStr"/>
      <c r="I5" s="48" t="inlineStr">
        <is>
          <t>يُحدد لاحقاً</t>
        </is>
      </c>
      <c r="J5" s="4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2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🔴 رئيسي</t>
        </is>
      </c>
      <c r="G6" s="42" t="n">
        <v>0.08</v>
      </c>
      <c r="H6" s="34" t="inlineStr"/>
      <c r="I6" s="48" t="inlineStr">
        <is>
          <t>يُحدد لاحقاً</t>
        </is>
      </c>
      <c r="J6" s="4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2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0.08</v>
      </c>
      <c r="H7" s="34" t="inlineStr"/>
      <c r="I7" s="48" t="inlineStr">
        <is>
          <t>يُحدد لاحقاً</t>
        </is>
      </c>
      <c r="J7" s="4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2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34" t="inlineStr">
        <is>
          <t>%</t>
        </is>
      </c>
      <c r="E8" s="34" t="inlineStr">
        <is>
          <t>↑</t>
        </is>
      </c>
      <c r="F8" s="15" t="inlineStr">
        <is>
          <t>🔴 رئيسي</t>
        </is>
      </c>
      <c r="G8" s="42" t="n">
        <v>0.08</v>
      </c>
      <c r="H8" s="34" t="inlineStr"/>
      <c r="I8" s="48" t="inlineStr">
        <is>
          <t>يُحدد لاحقاً</t>
        </is>
      </c>
      <c r="J8" s="4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2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34" t="inlineStr">
        <is>
          <t>%</t>
        </is>
      </c>
      <c r="E9" s="34" t="inlineStr">
        <is>
          <t>↑</t>
        </is>
      </c>
      <c r="F9" s="15" t="inlineStr">
        <is>
          <t>🔴 رئيسي</t>
        </is>
      </c>
      <c r="G9" s="42" t="n">
        <v>0.07000000000000001</v>
      </c>
      <c r="H9" s="42" t="n">
        <v>0.99</v>
      </c>
      <c r="I9" s="48" t="inlineStr">
        <is>
          <t>99%+</t>
        </is>
      </c>
      <c r="J9" s="4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2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🟠 مهم</t>
        </is>
      </c>
      <c r="G10" s="42" t="n">
        <v>0.05</v>
      </c>
      <c r="H10" s="42" t="n">
        <v>0.97</v>
      </c>
      <c r="I10" s="48" t="inlineStr">
        <is>
          <t>≥ 97%</t>
        </is>
      </c>
      <c r="J10" s="4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2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34" t="inlineStr">
        <is>
          <t>هللة/لتر</t>
        </is>
      </c>
      <c r="E11" s="34" t="inlineStr">
        <is>
          <t>↓</t>
        </is>
      </c>
      <c r="F11" s="15" t="inlineStr">
        <is>
          <t>🟠 مهم</t>
        </is>
      </c>
      <c r="G11" s="42" t="n">
        <v>0.05</v>
      </c>
      <c r="H11" s="34" t="inlineStr"/>
      <c r="I11" s="48" t="inlineStr">
        <is>
          <t>خفض ≥5% سنوياً</t>
        </is>
      </c>
      <c r="J11" s="4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4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🟠 مهم</t>
        </is>
      </c>
      <c r="G12" s="42" t="n">
        <v>0.05</v>
      </c>
      <c r="H12" s="42" t="n">
        <v>0.95</v>
      </c>
      <c r="I12" s="48" t="inlineStr">
        <is>
          <t>≥ 95%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2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34" t="inlineStr">
        <is>
          <t>%</t>
        </is>
      </c>
      <c r="E13" s="34" t="inlineStr">
        <is>
          <t>↑</t>
        </is>
      </c>
      <c r="F13" s="15" t="inlineStr">
        <is>
          <t>🟠 مهم</t>
        </is>
      </c>
      <c r="G13" s="42" t="n">
        <v>0.05</v>
      </c>
      <c r="H13" s="34" t="inlineStr"/>
      <c r="I13" s="48" t="inlineStr">
        <is>
          <t>−30%</t>
        </is>
      </c>
      <c r="J13" s="4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2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34" t="inlineStr">
        <is>
          <t>نجمة/5</t>
        </is>
      </c>
      <c r="E14" s="34" t="inlineStr">
        <is>
          <t>↑</t>
        </is>
      </c>
      <c r="F14" s="15" t="inlineStr">
        <is>
          <t>🔴 رئيسي</t>
        </is>
      </c>
      <c r="G14" s="42" t="n">
        <v>0.07000000000000001</v>
      </c>
      <c r="H14" s="53" t="n">
        <v>4.5</v>
      </c>
      <c r="I14" s="48" t="inlineStr">
        <is>
          <t>≥ 4.5</t>
        </is>
      </c>
      <c r="J14" s="4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54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34" t="inlineStr">
        <is>
          <t>دقيقة</t>
        </is>
      </c>
      <c r="E15" s="34" t="inlineStr">
        <is>
          <t>↓</t>
        </is>
      </c>
      <c r="F15" s="15" t="inlineStr">
        <is>
          <t>🟠 مهم</t>
        </is>
      </c>
      <c r="G15" s="42" t="n">
        <v>0.05</v>
      </c>
      <c r="H15" s="53" t="n">
        <v>3</v>
      </c>
      <c r="I15" s="48" t="inlineStr">
        <is>
          <t>≤ 3 دقائق</t>
        </is>
      </c>
      <c r="J15" s="4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54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34" t="inlineStr">
        <is>
          <t>%</t>
        </is>
      </c>
      <c r="E16" s="34" t="inlineStr">
        <is>
          <t>↑</t>
        </is>
      </c>
      <c r="F16" s="15" t="inlineStr">
        <is>
          <t>🟠 مهم</t>
        </is>
      </c>
      <c r="G16" s="42" t="n">
        <v>0.05</v>
      </c>
      <c r="H16" s="42" t="n">
        <v>0.99</v>
      </c>
      <c r="I16" s="48" t="inlineStr">
        <is>
          <t>≥ 99%</t>
        </is>
      </c>
      <c r="J16" s="4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2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34" t="inlineStr">
        <is>
          <t>%</t>
        </is>
      </c>
      <c r="E17" s="34" t="inlineStr">
        <is>
          <t>↑</t>
        </is>
      </c>
      <c r="F17" s="15" t="inlineStr">
        <is>
          <t>🟡 متابعة</t>
        </is>
      </c>
      <c r="G17" s="42" t="n">
        <v>0.02</v>
      </c>
      <c r="H17" s="42" t="n">
        <v>0.8</v>
      </c>
      <c r="I17" s="48" t="inlineStr">
        <is>
          <t>≥ 80%</t>
        </is>
      </c>
      <c r="J17" s="4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2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34" t="inlineStr">
        <is>
          <t>%</t>
        </is>
      </c>
      <c r="E18" s="34" t="inlineStr">
        <is>
          <t>↑</t>
        </is>
      </c>
      <c r="F18" s="15" t="inlineStr">
        <is>
          <t>🔴 رئيسي</t>
        </is>
      </c>
      <c r="G18" s="42" t="n">
        <v>0.07000000000000001</v>
      </c>
      <c r="H18" s="42" t="n">
        <v>1</v>
      </c>
      <c r="I18" s="48" t="inlineStr">
        <is>
          <t>100%</t>
        </is>
      </c>
      <c r="J18" s="4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2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34" t="inlineStr">
        <is>
          <t>%</t>
        </is>
      </c>
      <c r="E19" s="34" t="inlineStr">
        <is>
          <t>↑</t>
        </is>
      </c>
      <c r="F19" s="15" t="inlineStr">
        <is>
          <t>🔴 رئيسي</t>
        </is>
      </c>
      <c r="G19" s="42" t="n">
        <v>0.07000000000000001</v>
      </c>
      <c r="H19" s="42" t="n">
        <v>1</v>
      </c>
      <c r="I19" s="48" t="inlineStr">
        <is>
          <t>100%</t>
        </is>
      </c>
      <c r="J19" s="4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2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الاستثمار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34" t="inlineStr">
        <is>
          <t>عقد</t>
        </is>
      </c>
      <c r="E4" s="34" t="inlineStr">
        <is>
          <t>↑</t>
        </is>
      </c>
      <c r="F4" s="15" t="inlineStr">
        <is>
          <t>🔴 رئيسي</t>
        </is>
      </c>
      <c r="G4" s="42" t="n">
        <v>0.05</v>
      </c>
      <c r="H4" s="47" t="n">
        <v>190</v>
      </c>
      <c r="I4" s="48" t="inlineStr">
        <is>
          <t>190 عقد</t>
        </is>
      </c>
      <c r="J4" s="4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0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34" t="inlineStr">
        <is>
          <t>عقد</t>
        </is>
      </c>
      <c r="E5" s="34" t="inlineStr">
        <is>
          <t>↑</t>
        </is>
      </c>
      <c r="F5" s="15" t="inlineStr">
        <is>
          <t>🔴 رئيسي</t>
        </is>
      </c>
      <c r="G5" s="42" t="n">
        <v>0.05</v>
      </c>
      <c r="H5" s="47" t="n">
        <v>90</v>
      </c>
      <c r="I5" s="48" t="inlineStr">
        <is>
          <t>90 عقد</t>
        </is>
      </c>
      <c r="J5" s="4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0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34" t="inlineStr">
        <is>
          <t>عقد</t>
        </is>
      </c>
      <c r="E6" s="34" t="inlineStr">
        <is>
          <t>↑</t>
        </is>
      </c>
      <c r="F6" s="15" t="inlineStr">
        <is>
          <t>🔴 رئيسي</t>
        </is>
      </c>
      <c r="G6" s="42" t="n">
        <v>0.05</v>
      </c>
      <c r="H6" s="47" t="n">
        <v>100</v>
      </c>
      <c r="I6" s="48" t="inlineStr">
        <is>
          <t>100 عقد</t>
        </is>
      </c>
      <c r="J6" s="4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0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34" t="inlineStr">
        <is>
          <t>محطة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0.05</v>
      </c>
      <c r="H7" s="47" t="n">
        <v>120</v>
      </c>
      <c r="I7" s="48" t="inlineStr">
        <is>
          <t>120 محطة</t>
        </is>
      </c>
      <c r="J7" s="4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0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34" t="inlineStr">
        <is>
          <t>عقد</t>
        </is>
      </c>
      <c r="E8" s="34" t="inlineStr">
        <is>
          <t>↑</t>
        </is>
      </c>
      <c r="F8" s="15" t="inlineStr">
        <is>
          <t>🔴 رئيسي</t>
        </is>
      </c>
      <c r="G8" s="42" t="n">
        <v>0.05</v>
      </c>
      <c r="H8" s="47" t="n">
        <v>11</v>
      </c>
      <c r="I8" s="48" t="inlineStr">
        <is>
          <t>11 عقد</t>
        </is>
      </c>
      <c r="J8" s="4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0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34" t="inlineStr">
        <is>
          <t>عقد</t>
        </is>
      </c>
      <c r="E9" s="34" t="inlineStr">
        <is>
          <t>↑</t>
        </is>
      </c>
      <c r="F9" s="15" t="inlineStr">
        <is>
          <t>🔴 رئيسي</t>
        </is>
      </c>
      <c r="G9" s="42" t="n">
        <v>0.05</v>
      </c>
      <c r="H9" s="47" t="n">
        <v>12</v>
      </c>
      <c r="I9" s="48" t="inlineStr">
        <is>
          <t>12 عقد</t>
        </is>
      </c>
      <c r="J9" s="4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0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34" t="inlineStr">
        <is>
          <t>عقد</t>
        </is>
      </c>
      <c r="E10" s="34" t="inlineStr">
        <is>
          <t>↑</t>
        </is>
      </c>
      <c r="F10" s="15" t="inlineStr">
        <is>
          <t>🔴 رئيسي</t>
        </is>
      </c>
      <c r="G10" s="42" t="n">
        <v>0.05</v>
      </c>
      <c r="H10" s="47" t="n">
        <v>68</v>
      </c>
      <c r="I10" s="48" t="inlineStr">
        <is>
          <t>68 عقد</t>
        </is>
      </c>
      <c r="J10" s="4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0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34" t="inlineStr">
        <is>
          <t>%</t>
        </is>
      </c>
      <c r="E11" s="34" t="inlineStr">
        <is>
          <t>↑</t>
        </is>
      </c>
      <c r="F11" s="15" t="inlineStr">
        <is>
          <t>🔴 رئيسي</t>
        </is>
      </c>
      <c r="G11" s="42" t="n">
        <v>0.05</v>
      </c>
      <c r="H11" s="42" t="n">
        <v>0.8</v>
      </c>
      <c r="I11" s="48" t="inlineStr">
        <is>
          <t>80%+</t>
        </is>
      </c>
      <c r="J11" s="4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2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34" t="inlineStr">
        <is>
          <t>سنة</t>
        </is>
      </c>
      <c r="E12" s="34" t="inlineStr">
        <is>
          <t>↓</t>
        </is>
      </c>
      <c r="F12" s="15" t="inlineStr">
        <is>
          <t>🟠 مهم</t>
        </is>
      </c>
      <c r="G12" s="42" t="n">
        <v>0.03</v>
      </c>
      <c r="H12" s="53" t="n">
        <v>5</v>
      </c>
      <c r="I12" s="48" t="inlineStr">
        <is>
          <t>≤ 5 سنوات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4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34" t="inlineStr">
        <is>
          <t>ر.س</t>
        </is>
      </c>
      <c r="E13" s="34" t="inlineStr">
        <is>
          <t>↑</t>
        </is>
      </c>
      <c r="F13" s="15" t="inlineStr">
        <is>
          <t>🔴 رئيسي</t>
        </is>
      </c>
      <c r="G13" s="42" t="n">
        <v>0.05</v>
      </c>
      <c r="H13" s="34" t="inlineStr"/>
      <c r="I13" s="48" t="inlineStr">
        <is>
          <t>يُحدد لاحقاً</t>
        </is>
      </c>
      <c r="J13" s="4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1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34" t="inlineStr">
        <is>
          <t>%</t>
        </is>
      </c>
      <c r="E14" s="34" t="inlineStr">
        <is>
          <t>↑</t>
        </is>
      </c>
      <c r="F14" s="15" t="inlineStr">
        <is>
          <t>🔴 رئيسي</t>
        </is>
      </c>
      <c r="G14" s="42" t="n">
        <v>0.05</v>
      </c>
      <c r="H14" s="42" t="n">
        <v>1</v>
      </c>
      <c r="I14" s="48" t="inlineStr">
        <is>
          <t>100%</t>
        </is>
      </c>
      <c r="J14" s="4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2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34" t="inlineStr">
        <is>
          <t>%</t>
        </is>
      </c>
      <c r="E15" s="34" t="inlineStr">
        <is>
          <t>↑</t>
        </is>
      </c>
      <c r="F15" s="15" t="inlineStr">
        <is>
          <t>🔴 رئيسي</t>
        </is>
      </c>
      <c r="G15" s="42" t="n">
        <v>0.05</v>
      </c>
      <c r="H15" s="42" t="n">
        <v>0.6</v>
      </c>
      <c r="I15" s="48" t="inlineStr">
        <is>
          <t>&gt; 60%</t>
        </is>
      </c>
      <c r="J15" s="4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2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34" t="inlineStr">
        <is>
          <t>%</t>
        </is>
      </c>
      <c r="E16" s="34" t="inlineStr">
        <is>
          <t>↓</t>
        </is>
      </c>
      <c r="F16" s="15" t="inlineStr">
        <is>
          <t>🔴 رئيسي</t>
        </is>
      </c>
      <c r="G16" s="42" t="n">
        <v>0.05</v>
      </c>
      <c r="H16" s="42" t="n">
        <v>0.4</v>
      </c>
      <c r="I16" s="48" t="inlineStr">
        <is>
          <t>&lt; 40%</t>
        </is>
      </c>
      <c r="J16" s="4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2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34" t="inlineStr">
        <is>
          <t>%</t>
        </is>
      </c>
      <c r="E17" s="34" t="inlineStr">
        <is>
          <t>↑</t>
        </is>
      </c>
      <c r="F17" s="15" t="inlineStr">
        <is>
          <t>🔴 رئيسي</t>
        </is>
      </c>
      <c r="G17" s="42" t="n">
        <v>0.05</v>
      </c>
      <c r="H17" s="42" t="n">
        <v>0.25</v>
      </c>
      <c r="I17" s="48" t="inlineStr">
        <is>
          <t>&gt; 25%</t>
        </is>
      </c>
      <c r="J17" s="4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2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34" t="inlineStr">
        <is>
          <t>أسبوع</t>
        </is>
      </c>
      <c r="E18" s="34" t="inlineStr">
        <is>
          <t>↓</t>
        </is>
      </c>
      <c r="F18" s="15" t="inlineStr">
        <is>
          <t>🔴 رئيسي</t>
        </is>
      </c>
      <c r="G18" s="42" t="n">
        <v>0.05</v>
      </c>
      <c r="H18" s="53" t="n">
        <v>1</v>
      </c>
      <c r="I18" s="48" t="inlineStr">
        <is>
          <t>≤ أسبوع</t>
        </is>
      </c>
      <c r="J18" s="4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54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34" t="inlineStr">
        <is>
          <t>%</t>
        </is>
      </c>
      <c r="E19" s="34" t="inlineStr">
        <is>
          <t>↑</t>
        </is>
      </c>
      <c r="F19" s="15" t="inlineStr">
        <is>
          <t>🔴 رئيسي</t>
        </is>
      </c>
      <c r="G19" s="42" t="n">
        <v>0.05</v>
      </c>
      <c r="H19" s="42" t="n">
        <v>0.3</v>
      </c>
      <c r="I19" s="48" t="inlineStr">
        <is>
          <t>≥ 30%</t>
        </is>
      </c>
      <c r="J19" s="4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2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34" t="inlineStr">
        <is>
          <t>%</t>
        </is>
      </c>
      <c r="E20" s="34" t="inlineStr">
        <is>
          <t>↑</t>
        </is>
      </c>
      <c r="F20" s="15" t="inlineStr">
        <is>
          <t>🟠 مهم</t>
        </is>
      </c>
      <c r="G20" s="42" t="n">
        <v>0.03</v>
      </c>
      <c r="H20" s="42" t="n">
        <v>0.3</v>
      </c>
      <c r="I20" s="48" t="inlineStr">
        <is>
          <t>≥ 30%</t>
        </is>
      </c>
      <c r="J20" s="4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2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34" t="inlineStr">
        <is>
          <t>%</t>
        </is>
      </c>
      <c r="E21" s="34" t="inlineStr">
        <is>
          <t>↑</t>
        </is>
      </c>
      <c r="F21" s="15" t="inlineStr">
        <is>
          <t>🏁 معلم</t>
        </is>
      </c>
      <c r="G21" s="42" t="n">
        <v>0.01</v>
      </c>
      <c r="H21" s="42" t="n">
        <v>1</v>
      </c>
      <c r="I21" s="48" t="inlineStr">
        <is>
          <t>100%</t>
        </is>
      </c>
      <c r="J21" s="4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2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34" t="inlineStr">
        <is>
          <t>%</t>
        </is>
      </c>
      <c r="E22" s="34" t="inlineStr">
        <is>
          <t>↑</t>
        </is>
      </c>
      <c r="F22" s="15" t="inlineStr">
        <is>
          <t>🔴 رئيسي</t>
        </is>
      </c>
      <c r="G22" s="42" t="n">
        <v>0.05</v>
      </c>
      <c r="H22" s="42" t="n">
        <v>0.95</v>
      </c>
      <c r="I22" s="48" t="inlineStr">
        <is>
          <t>95%+</t>
        </is>
      </c>
      <c r="J22" s="4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2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34" t="inlineStr">
        <is>
          <t>%</t>
        </is>
      </c>
      <c r="E23" s="34" t="inlineStr">
        <is>
          <t>↑</t>
        </is>
      </c>
      <c r="F23" s="15" t="inlineStr">
        <is>
          <t>🟠 مهم</t>
        </is>
      </c>
      <c r="G23" s="42" t="n">
        <v>0.03</v>
      </c>
      <c r="H23" s="42" t="n">
        <v>0.98</v>
      </c>
      <c r="I23" s="48" t="inlineStr">
        <is>
          <t>98%</t>
        </is>
      </c>
      <c r="J23" s="4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2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34" t="inlineStr">
        <is>
          <t>أسبوع</t>
        </is>
      </c>
      <c r="E24" s="34" t="inlineStr">
        <is>
          <t>↓</t>
        </is>
      </c>
      <c r="F24" s="15" t="inlineStr">
        <is>
          <t>🟠 مهم</t>
        </is>
      </c>
      <c r="G24" s="42" t="n">
        <v>0.03</v>
      </c>
      <c r="H24" s="53" t="n">
        <v>1</v>
      </c>
      <c r="I24" s="48" t="inlineStr">
        <is>
          <t>≤ أسبوع</t>
        </is>
      </c>
      <c r="J24" s="4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54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34" t="inlineStr">
        <is>
          <t>%</t>
        </is>
      </c>
      <c r="E25" s="34" t="inlineStr">
        <is>
          <t>↑</t>
        </is>
      </c>
      <c r="F25" s="15" t="inlineStr">
        <is>
          <t>🔴 رئيسي</t>
        </is>
      </c>
      <c r="G25" s="42" t="n">
        <v>0.05</v>
      </c>
      <c r="H25" s="42" t="n">
        <v>0.8</v>
      </c>
      <c r="I25" s="48" t="inlineStr">
        <is>
          <t>80%+</t>
        </is>
      </c>
      <c r="J25" s="4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2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34" t="inlineStr">
        <is>
          <t>%</t>
        </is>
      </c>
      <c r="E26" s="34" t="inlineStr">
        <is>
          <t>↑</t>
        </is>
      </c>
      <c r="F26" s="15" t="inlineStr">
        <is>
          <t>🏁 معلم</t>
        </is>
      </c>
      <c r="G26" s="42" t="n">
        <v>0.01</v>
      </c>
      <c r="H26" s="42" t="n">
        <v>1</v>
      </c>
      <c r="I26" s="48" t="inlineStr">
        <is>
          <t>100%</t>
        </is>
      </c>
      <c r="J26" s="4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2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34" t="inlineStr">
        <is>
          <t>%</t>
        </is>
      </c>
      <c r="E27" s="34" t="inlineStr">
        <is>
          <t>↑</t>
        </is>
      </c>
      <c r="F27" s="15" t="inlineStr">
        <is>
          <t>🟡 متابعة</t>
        </is>
      </c>
      <c r="G27" s="42" t="n">
        <v>0.01</v>
      </c>
      <c r="H27" s="42" t="n">
        <v>1</v>
      </c>
      <c r="I27" s="48" t="inlineStr">
        <is>
          <t>100%</t>
        </is>
      </c>
      <c r="J27" s="4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2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العقار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34" t="inlineStr">
        <is>
          <t>%</t>
        </is>
      </c>
      <c r="E4" s="34" t="inlineStr">
        <is>
          <t>↑</t>
        </is>
      </c>
      <c r="F4" s="15" t="inlineStr">
        <is>
          <t>🔴 رئيسي</t>
        </is>
      </c>
      <c r="G4" s="42" t="n">
        <v>0.08</v>
      </c>
      <c r="H4" s="42" t="n">
        <v>0.08</v>
      </c>
      <c r="I4" s="48" t="inlineStr">
        <is>
          <t>&gt; 8% سنوياً</t>
        </is>
      </c>
      <c r="J4" s="4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2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34" t="inlineStr">
        <is>
          <t>%</t>
        </is>
      </c>
      <c r="E5" s="34" t="inlineStr">
        <is>
          <t>↑</t>
        </is>
      </c>
      <c r="F5" s="15" t="inlineStr">
        <is>
          <t>🔴 رئيسي</t>
        </is>
      </c>
      <c r="G5" s="42" t="n">
        <v>0.08</v>
      </c>
      <c r="H5" s="42" t="n">
        <v>1</v>
      </c>
      <c r="I5" s="48" t="inlineStr">
        <is>
          <t>100%</t>
        </is>
      </c>
      <c r="J5" s="4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2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🔴 رئيسي</t>
        </is>
      </c>
      <c r="G6" s="42" t="n">
        <v>0.08</v>
      </c>
      <c r="H6" s="42" t="n">
        <v>0.95</v>
      </c>
      <c r="I6" s="48" t="inlineStr">
        <is>
          <t>&gt; 95%</t>
        </is>
      </c>
      <c r="J6" s="4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2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0.08</v>
      </c>
      <c r="H7" s="42" t="n">
        <v>0.6</v>
      </c>
      <c r="I7" s="48" t="inlineStr">
        <is>
          <t>≥ 60%</t>
        </is>
      </c>
      <c r="J7" s="4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2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34" t="inlineStr">
        <is>
          <t>وحدة</t>
        </is>
      </c>
      <c r="E8" s="34" t="inlineStr">
        <is>
          <t>↑</t>
        </is>
      </c>
      <c r="F8" s="15" t="inlineStr">
        <is>
          <t>🟠 مهم</t>
        </is>
      </c>
      <c r="G8" s="42" t="n">
        <v>0.05</v>
      </c>
      <c r="H8" s="47" t="n">
        <v>68</v>
      </c>
      <c r="I8" s="48" t="inlineStr">
        <is>
          <t>68 شهرياً</t>
        </is>
      </c>
      <c r="J8" s="4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0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34" t="inlineStr">
        <is>
          <t>عميل</t>
        </is>
      </c>
      <c r="E9" s="34" t="inlineStr">
        <is>
          <t>↑</t>
        </is>
      </c>
      <c r="F9" s="15" t="inlineStr">
        <is>
          <t>🟠 مهم</t>
        </is>
      </c>
      <c r="G9" s="42" t="n">
        <v>0.05</v>
      </c>
      <c r="H9" s="47" t="n">
        <v>680</v>
      </c>
      <c r="I9" s="48" t="inlineStr">
        <is>
          <t>544–680</t>
        </is>
      </c>
      <c r="J9" s="4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0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🔴 رئيسي</t>
        </is>
      </c>
      <c r="G10" s="42" t="n">
        <v>0.08</v>
      </c>
      <c r="H10" s="42" t="n">
        <v>0.2</v>
      </c>
      <c r="I10" s="48" t="inlineStr">
        <is>
          <t>15–25%</t>
        </is>
      </c>
      <c r="J10" s="4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2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34" t="inlineStr">
        <is>
          <t>علامة</t>
        </is>
      </c>
      <c r="E11" s="34" t="inlineStr">
        <is>
          <t>↑</t>
        </is>
      </c>
      <c r="F11" s="15" t="inlineStr">
        <is>
          <t>🟠 مهم</t>
        </is>
      </c>
      <c r="G11" s="42" t="n">
        <v>0.05</v>
      </c>
      <c r="H11" s="47" t="n">
        <v>246</v>
      </c>
      <c r="I11" s="48" t="inlineStr">
        <is>
          <t>246 علامة</t>
        </is>
      </c>
      <c r="J11" s="4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0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🟠 مهم</t>
        </is>
      </c>
      <c r="G12" s="42" t="n">
        <v>0.05</v>
      </c>
      <c r="H12" s="42" t="n">
        <v>0.8</v>
      </c>
      <c r="I12" s="48" t="inlineStr">
        <is>
          <t>≥ 80%</t>
        </is>
      </c>
      <c r="J12" s="4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2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34" t="inlineStr">
        <is>
          <t>علامة</t>
        </is>
      </c>
      <c r="E13" s="34" t="inlineStr">
        <is>
          <t>↑</t>
        </is>
      </c>
      <c r="F13" s="15" t="inlineStr">
        <is>
          <t>🟠 مهم</t>
        </is>
      </c>
      <c r="G13" s="42" t="n">
        <v>0.05</v>
      </c>
      <c r="H13" s="47" t="n">
        <v>6</v>
      </c>
      <c r="I13" s="48" t="inlineStr">
        <is>
          <t>6 علامات</t>
        </is>
      </c>
      <c r="J13" s="4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0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34" t="inlineStr">
        <is>
          <t>شراكة</t>
        </is>
      </c>
      <c r="E14" s="34" t="inlineStr">
        <is>
          <t>↑</t>
        </is>
      </c>
      <c r="F14" s="15" t="inlineStr">
        <is>
          <t>🟠 مهم</t>
        </is>
      </c>
      <c r="G14" s="42" t="n">
        <v>0.05</v>
      </c>
      <c r="H14" s="47" t="n">
        <v>5</v>
      </c>
      <c r="I14" s="48" t="inlineStr">
        <is>
          <t>5 شراكات</t>
        </is>
      </c>
      <c r="J14" s="4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0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34" t="inlineStr">
        <is>
          <t>%</t>
        </is>
      </c>
      <c r="E15" s="34" t="inlineStr">
        <is>
          <t>↑</t>
        </is>
      </c>
      <c r="F15" s="15" t="inlineStr">
        <is>
          <t>🔴 رئيسي</t>
        </is>
      </c>
      <c r="G15" s="42" t="n">
        <v>0.08</v>
      </c>
      <c r="H15" s="42" t="n">
        <v>1</v>
      </c>
      <c r="I15" s="48" t="inlineStr">
        <is>
          <t>100%</t>
        </is>
      </c>
      <c r="J15" s="4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2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34" t="inlineStr">
        <is>
          <t>يوم</t>
        </is>
      </c>
      <c r="E16" s="34" t="inlineStr">
        <is>
          <t>↓</t>
        </is>
      </c>
      <c r="F16" s="15" t="inlineStr">
        <is>
          <t>🟠 مهم</t>
        </is>
      </c>
      <c r="G16" s="42" t="n">
        <v>0.05</v>
      </c>
      <c r="H16" s="53" t="n">
        <v>7</v>
      </c>
      <c r="I16" s="48" t="inlineStr">
        <is>
          <t>≤ 7 أيام</t>
        </is>
      </c>
      <c r="J16" s="4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4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34" t="inlineStr">
        <is>
          <t>%</t>
        </is>
      </c>
      <c r="E17" s="34" t="inlineStr">
        <is>
          <t>↑</t>
        </is>
      </c>
      <c r="F17" s="15" t="inlineStr">
        <is>
          <t>🟠 مهم</t>
        </is>
      </c>
      <c r="G17" s="42" t="n">
        <v>0.05</v>
      </c>
      <c r="H17" s="42" t="n">
        <v>0.9</v>
      </c>
      <c r="I17" s="48" t="inlineStr">
        <is>
          <t>&gt; 90%</t>
        </is>
      </c>
      <c r="J17" s="4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2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34" t="inlineStr">
        <is>
          <t>%</t>
        </is>
      </c>
      <c r="E18" s="34" t="inlineStr">
        <is>
          <t>↑</t>
        </is>
      </c>
      <c r="F18" s="15" t="inlineStr">
        <is>
          <t>🟠 مهم</t>
        </is>
      </c>
      <c r="G18" s="42" t="n">
        <v>0.05</v>
      </c>
      <c r="H18" s="42" t="n">
        <v>0.8</v>
      </c>
      <c r="I18" s="48" t="inlineStr">
        <is>
          <t>≥ 80%</t>
        </is>
      </c>
      <c r="J18" s="4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2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34" t="inlineStr">
        <is>
          <t>%</t>
        </is>
      </c>
      <c r="E19" s="34" t="inlineStr">
        <is>
          <t>↑</t>
        </is>
      </c>
      <c r="F19" s="15" t="inlineStr">
        <is>
          <t>🔴 رئيسي</t>
        </is>
      </c>
      <c r="G19" s="42" t="n">
        <v>0.07000000000000001</v>
      </c>
      <c r="H19" s="42" t="n">
        <v>0.9</v>
      </c>
      <c r="I19" s="48" t="inlineStr">
        <is>
          <t>≥ 90%</t>
        </is>
      </c>
      <c r="J19" s="4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2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التقنية الرقمية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34" t="inlineStr">
        <is>
          <t>%</t>
        </is>
      </c>
      <c r="E4" s="34" t="inlineStr">
        <is>
          <t>↑</t>
        </is>
      </c>
      <c r="F4" s="15" t="inlineStr">
        <is>
          <t>🟠 مهم</t>
        </is>
      </c>
      <c r="G4" s="42" t="n">
        <v>0.1</v>
      </c>
      <c r="H4" s="42" t="n">
        <v>1</v>
      </c>
      <c r="I4" s="48" t="inlineStr">
        <is>
          <t>100%</t>
        </is>
      </c>
      <c r="J4" s="4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2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34" t="inlineStr">
        <is>
          <t>%</t>
        </is>
      </c>
      <c r="E5" s="34" t="inlineStr">
        <is>
          <t>↑</t>
        </is>
      </c>
      <c r="F5" s="15" t="inlineStr">
        <is>
          <t>🟠 مهم</t>
        </is>
      </c>
      <c r="G5" s="42" t="n">
        <v>0.1</v>
      </c>
      <c r="H5" s="42" t="n">
        <v>0.9</v>
      </c>
      <c r="I5" s="48" t="inlineStr">
        <is>
          <t>≥ 90%</t>
        </is>
      </c>
      <c r="J5" s="4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2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🟠 مهم</t>
        </is>
      </c>
      <c r="G6" s="42" t="n">
        <v>0.1</v>
      </c>
      <c r="H6" s="42" t="n">
        <v>0.95</v>
      </c>
      <c r="I6" s="48" t="inlineStr">
        <is>
          <t>≥ 95%</t>
        </is>
      </c>
      <c r="J6" s="4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2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🟠 مهم</t>
        </is>
      </c>
      <c r="G7" s="42" t="n">
        <v>0.1</v>
      </c>
      <c r="H7" s="42" t="n">
        <v>0.95</v>
      </c>
      <c r="I7" s="48" t="inlineStr">
        <is>
          <t>≥ 95%</t>
        </is>
      </c>
      <c r="J7" s="4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2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34" t="inlineStr">
        <is>
          <t>%</t>
        </is>
      </c>
      <c r="E8" s="34" t="inlineStr">
        <is>
          <t>↑</t>
        </is>
      </c>
      <c r="F8" s="15" t="inlineStr">
        <is>
          <t>🏁 معلم</t>
        </is>
      </c>
      <c r="G8" s="42" t="n">
        <v>0.15</v>
      </c>
      <c r="H8" s="42" t="n">
        <v>1</v>
      </c>
      <c r="I8" s="48" t="inlineStr">
        <is>
          <t>100%</t>
        </is>
      </c>
      <c r="J8" s="4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2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34" t="inlineStr">
        <is>
          <t>%</t>
        </is>
      </c>
      <c r="E9" s="34" t="inlineStr">
        <is>
          <t>↑</t>
        </is>
      </c>
      <c r="F9" s="15" t="inlineStr">
        <is>
          <t>🔴 رئيسي</t>
        </is>
      </c>
      <c r="G9" s="42" t="n">
        <v>0.15</v>
      </c>
      <c r="H9" s="42" t="n">
        <v>0.99</v>
      </c>
      <c r="I9" s="48" t="inlineStr">
        <is>
          <t>≥ 99%</t>
        </is>
      </c>
      <c r="J9" s="4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2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🟠 مهم</t>
        </is>
      </c>
      <c r="G10" s="42" t="n">
        <v>0.1</v>
      </c>
      <c r="H10" s="42" t="n">
        <v>1</v>
      </c>
      <c r="I10" s="48" t="inlineStr">
        <is>
          <t>100%</t>
        </is>
      </c>
      <c r="J10" s="4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2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34" t="inlineStr">
        <is>
          <t>ساعة</t>
        </is>
      </c>
      <c r="E11" s="34" t="inlineStr">
        <is>
          <t>↓</t>
        </is>
      </c>
      <c r="F11" s="15" t="inlineStr">
        <is>
          <t>🟠 مهم</t>
        </is>
      </c>
      <c r="G11" s="42" t="n">
        <v>0.1</v>
      </c>
      <c r="H11" s="53" t="n">
        <v>1</v>
      </c>
      <c r="I11" s="48" t="inlineStr">
        <is>
          <t>≤ ساعة</t>
        </is>
      </c>
      <c r="J11" s="4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4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🟠 مهم</t>
        </is>
      </c>
      <c r="G12" s="42" t="n">
        <v>0.1</v>
      </c>
      <c r="H12" s="42" t="n">
        <v>1</v>
      </c>
      <c r="I12" s="48" t="inlineStr">
        <is>
          <t>100%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2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</sheetData>
  <autoFilter ref="A3:O12"/>
  <mergeCells count="2">
    <mergeCell ref="A1:O1"/>
    <mergeCell ref="A2:O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الموارد البشرية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34" t="inlineStr">
        <is>
          <t>%</t>
        </is>
      </c>
      <c r="E4" s="34" t="inlineStr">
        <is>
          <t>↑</t>
        </is>
      </c>
      <c r="F4" s="15" t="inlineStr">
        <is>
          <t>🟠 مهم</t>
        </is>
      </c>
      <c r="G4" s="42" t="n">
        <v>0.06</v>
      </c>
      <c r="H4" s="34" t="inlineStr"/>
      <c r="I4" s="48" t="inlineStr">
        <is>
          <t>أخضر مرتفع (حسب الوزارة)</t>
        </is>
      </c>
      <c r="J4" s="4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2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34" t="inlineStr">
        <is>
          <t>%</t>
        </is>
      </c>
      <c r="E5" s="34" t="inlineStr">
        <is>
          <t>↑</t>
        </is>
      </c>
      <c r="F5" s="15" t="inlineStr">
        <is>
          <t>🟠 مهم</t>
        </is>
      </c>
      <c r="G5" s="42" t="n">
        <v>0.06</v>
      </c>
      <c r="H5" s="42" t="n">
        <v>1</v>
      </c>
      <c r="I5" s="48" t="inlineStr">
        <is>
          <t>100%</t>
        </is>
      </c>
      <c r="J5" s="4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2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🟠 مهم</t>
        </is>
      </c>
      <c r="G6" s="42" t="n">
        <v>0.06</v>
      </c>
      <c r="H6" s="42" t="n">
        <v>0.85</v>
      </c>
      <c r="I6" s="48" t="inlineStr">
        <is>
          <t>≥ 85%</t>
        </is>
      </c>
      <c r="J6" s="4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2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0.08</v>
      </c>
      <c r="H7" s="42" t="n">
        <v>0.9</v>
      </c>
      <c r="I7" s="48" t="inlineStr">
        <is>
          <t>≥ 90%</t>
        </is>
      </c>
      <c r="J7" s="4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2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34" t="inlineStr">
        <is>
          <t>%</t>
        </is>
      </c>
      <c r="E8" s="34" t="inlineStr">
        <is>
          <t>↓</t>
        </is>
      </c>
      <c r="F8" s="15" t="inlineStr">
        <is>
          <t>🟠 مهم</t>
        </is>
      </c>
      <c r="G8" s="42" t="n">
        <v>0.06</v>
      </c>
      <c r="H8" s="42" t="n">
        <v>0.1</v>
      </c>
      <c r="I8" s="48" t="inlineStr">
        <is>
          <t>≤ 10%</t>
        </is>
      </c>
      <c r="J8" s="4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2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34" t="inlineStr">
        <is>
          <t>دورة</t>
        </is>
      </c>
      <c r="E9" s="34" t="inlineStr">
        <is>
          <t>↑</t>
        </is>
      </c>
      <c r="F9" s="15" t="inlineStr">
        <is>
          <t>🔴 رئيسي</t>
        </is>
      </c>
      <c r="G9" s="42" t="n">
        <v>0.08</v>
      </c>
      <c r="H9" s="47" t="n">
        <v>6</v>
      </c>
      <c r="I9" s="48" t="inlineStr">
        <is>
          <t>6 دورات</t>
        </is>
      </c>
      <c r="J9" s="4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0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34" t="inlineStr">
        <is>
          <t>ساعة</t>
        </is>
      </c>
      <c r="E10" s="34" t="inlineStr">
        <is>
          <t>↑</t>
        </is>
      </c>
      <c r="F10" s="15" t="inlineStr">
        <is>
          <t>🟠 مهم</t>
        </is>
      </c>
      <c r="G10" s="42" t="n">
        <v>0.06</v>
      </c>
      <c r="H10" s="53" t="n">
        <v>40</v>
      </c>
      <c r="I10" s="48" t="inlineStr">
        <is>
          <t>≥ 40 ساعة</t>
        </is>
      </c>
      <c r="J10" s="4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54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34" t="inlineStr">
        <is>
          <t>%</t>
        </is>
      </c>
      <c r="E11" s="34" t="inlineStr">
        <is>
          <t>↑</t>
        </is>
      </c>
      <c r="F11" s="15" t="inlineStr">
        <is>
          <t>🟠 مهم</t>
        </is>
      </c>
      <c r="G11" s="42" t="n">
        <v>0.05</v>
      </c>
      <c r="H11" s="42" t="n">
        <v>0.8</v>
      </c>
      <c r="I11" s="48" t="inlineStr">
        <is>
          <t>≥ 80%</t>
        </is>
      </c>
      <c r="J11" s="4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2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34" t="inlineStr">
        <is>
          <t>نقطة</t>
        </is>
      </c>
      <c r="E12" s="34" t="inlineStr">
        <is>
          <t>↑</t>
        </is>
      </c>
      <c r="F12" s="15" t="inlineStr">
        <is>
          <t>🔴 رئيسي</t>
        </is>
      </c>
      <c r="G12" s="42" t="n">
        <v>0.08</v>
      </c>
      <c r="H12" s="53" t="n">
        <v>30</v>
      </c>
      <c r="I12" s="48" t="inlineStr">
        <is>
          <t>≥ 30</t>
        </is>
      </c>
      <c r="J12" s="4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54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34" t="inlineStr">
        <is>
          <t>%</t>
        </is>
      </c>
      <c r="E13" s="34" t="inlineStr">
        <is>
          <t>↑</t>
        </is>
      </c>
      <c r="F13" s="15" t="inlineStr">
        <is>
          <t>🔴 رئيسي</t>
        </is>
      </c>
      <c r="G13" s="42" t="n">
        <v>0.08</v>
      </c>
      <c r="H13" s="34" t="inlineStr"/>
      <c r="I13" s="48" t="inlineStr">
        <is>
          <t>مستهدف سنوي</t>
        </is>
      </c>
      <c r="J13" s="4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2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34" t="inlineStr">
        <is>
          <t>%</t>
        </is>
      </c>
      <c r="E14" s="34" t="inlineStr">
        <is>
          <t>↑</t>
        </is>
      </c>
      <c r="F14" s="15" t="inlineStr">
        <is>
          <t>🏁 معلم</t>
        </is>
      </c>
      <c r="G14" s="42" t="n">
        <v>0.05</v>
      </c>
      <c r="H14" s="42" t="n">
        <v>1</v>
      </c>
      <c r="I14" s="48" t="inlineStr">
        <is>
          <t>100%</t>
        </is>
      </c>
      <c r="J14" s="4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2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34" t="inlineStr">
        <is>
          <t>%</t>
        </is>
      </c>
      <c r="E15" s="34" t="inlineStr">
        <is>
          <t>↑</t>
        </is>
      </c>
      <c r="F15" s="15" t="inlineStr">
        <is>
          <t>🏁 معلم</t>
        </is>
      </c>
      <c r="G15" s="42" t="n">
        <v>0.05</v>
      </c>
      <c r="H15" s="42" t="n">
        <v>1</v>
      </c>
      <c r="I15" s="48" t="inlineStr">
        <is>
          <t>100%</t>
        </is>
      </c>
      <c r="J15" s="4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2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34" t="inlineStr">
        <is>
          <t>%</t>
        </is>
      </c>
      <c r="E16" s="34" t="inlineStr">
        <is>
          <t>↑</t>
        </is>
      </c>
      <c r="F16" s="15" t="inlineStr">
        <is>
          <t>🟡 متابعة</t>
        </is>
      </c>
      <c r="G16" s="42" t="n">
        <v>0.03</v>
      </c>
      <c r="H16" s="42" t="n">
        <v>0.8</v>
      </c>
      <c r="I16" s="48" t="inlineStr">
        <is>
          <t>≥ 80%</t>
        </is>
      </c>
      <c r="J16" s="4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2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34" t="inlineStr">
        <is>
          <t>%</t>
        </is>
      </c>
      <c r="E17" s="34" t="inlineStr">
        <is>
          <t>↑</t>
        </is>
      </c>
      <c r="F17" s="15" t="inlineStr">
        <is>
          <t>🟠 مهم</t>
        </is>
      </c>
      <c r="G17" s="42" t="n">
        <v>0.05</v>
      </c>
      <c r="H17" s="42" t="n">
        <v>0.8</v>
      </c>
      <c r="I17" s="48" t="inlineStr">
        <is>
          <t>≥ 80%</t>
        </is>
      </c>
      <c r="J17" s="4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2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34" t="inlineStr">
        <is>
          <t>%</t>
        </is>
      </c>
      <c r="E18" s="34" t="inlineStr">
        <is>
          <t>↑</t>
        </is>
      </c>
      <c r="F18" s="15" t="inlineStr">
        <is>
          <t>🏁 معلم</t>
        </is>
      </c>
      <c r="G18" s="42" t="n">
        <v>0.05</v>
      </c>
      <c r="H18" s="42" t="n">
        <v>1</v>
      </c>
      <c r="I18" s="48" t="inlineStr">
        <is>
          <t>100%</t>
        </is>
      </c>
      <c r="J18" s="4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2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34" t="inlineStr">
        <is>
          <t>%</t>
        </is>
      </c>
      <c r="E19" s="34" t="inlineStr">
        <is>
          <t>↑</t>
        </is>
      </c>
      <c r="F19" s="15" t="inlineStr">
        <is>
          <t>🏁 معلم</t>
        </is>
      </c>
      <c r="G19" s="42" t="n">
        <v>0.05</v>
      </c>
      <c r="H19" s="42" t="n">
        <v>1</v>
      </c>
      <c r="I19" s="48" t="inlineStr">
        <is>
          <t>100%</t>
        </is>
      </c>
      <c r="J19" s="4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2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34" t="inlineStr">
        <is>
          <t>%</t>
        </is>
      </c>
      <c r="E20" s="34" t="inlineStr">
        <is>
          <t>↑</t>
        </is>
      </c>
      <c r="F20" s="15" t="inlineStr">
        <is>
          <t>🟠 مهم</t>
        </is>
      </c>
      <c r="G20" s="42" t="n">
        <v>0.05</v>
      </c>
      <c r="H20" s="42" t="n">
        <v>1</v>
      </c>
      <c r="I20" s="48" t="inlineStr">
        <is>
          <t>100%</t>
        </is>
      </c>
      <c r="J20" s="4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2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</sheetData>
  <autoFilter ref="A3:O20"/>
  <mergeCells count="2">
    <mergeCell ref="A1:O1"/>
    <mergeCell ref="A2:O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التسويق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34" t="inlineStr">
        <is>
          <t>وصول</t>
        </is>
      </c>
      <c r="E4" s="34" t="inlineStr">
        <is>
          <t>↑</t>
        </is>
      </c>
      <c r="F4" s="15" t="inlineStr">
        <is>
          <t>🔴 رئيسي</t>
        </is>
      </c>
      <c r="G4" s="42" t="n">
        <v>0.08</v>
      </c>
      <c r="H4" s="47" t="n">
        <v>50000000</v>
      </c>
      <c r="I4" s="48" t="inlineStr">
        <is>
          <t>50م وصول</t>
        </is>
      </c>
      <c r="J4" s="4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0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34" t="inlineStr">
        <is>
          <t>عميل</t>
        </is>
      </c>
      <c r="E5" s="34" t="inlineStr">
        <is>
          <t>↑</t>
        </is>
      </c>
      <c r="F5" s="15" t="inlineStr">
        <is>
          <t>🟠 مهم</t>
        </is>
      </c>
      <c r="G5" s="42" t="n">
        <v>0.06</v>
      </c>
      <c r="H5" s="47" t="n">
        <v>200</v>
      </c>
      <c r="I5" s="48" t="inlineStr">
        <is>
          <t>200 عميل</t>
        </is>
      </c>
      <c r="J5" s="4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0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34" t="inlineStr">
        <is>
          <t>متابع</t>
        </is>
      </c>
      <c r="E6" s="34" t="inlineStr">
        <is>
          <t>↑</t>
        </is>
      </c>
      <c r="F6" s="15" t="inlineStr">
        <is>
          <t>🔴 رئيسي</t>
        </is>
      </c>
      <c r="G6" s="42" t="n">
        <v>0.08</v>
      </c>
      <c r="H6" s="47" t="n">
        <v>380000</v>
      </c>
      <c r="I6" s="48" t="inlineStr">
        <is>
          <t>380ك متابع</t>
        </is>
      </c>
      <c r="J6" s="4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0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0.08</v>
      </c>
      <c r="H7" s="42" t="n">
        <v>0.5</v>
      </c>
      <c r="I7" s="48" t="inlineStr">
        <is>
          <t>50%</t>
        </is>
      </c>
      <c r="J7" s="4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2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34" t="inlineStr">
        <is>
          <t>حملة</t>
        </is>
      </c>
      <c r="E8" s="34" t="inlineStr">
        <is>
          <t>↑</t>
        </is>
      </c>
      <c r="F8" s="15" t="inlineStr">
        <is>
          <t>🟠 مهم</t>
        </is>
      </c>
      <c r="G8" s="42" t="n">
        <v>0.06</v>
      </c>
      <c r="H8" s="47" t="n">
        <v>48</v>
      </c>
      <c r="I8" s="48" t="inlineStr">
        <is>
          <t>48 حملة</t>
        </is>
      </c>
      <c r="J8" s="4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0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34" t="inlineStr">
        <is>
          <t>%</t>
        </is>
      </c>
      <c r="E9" s="34" t="inlineStr">
        <is>
          <t>↑</t>
        </is>
      </c>
      <c r="F9" s="15" t="inlineStr">
        <is>
          <t>🔴 رئيسي</t>
        </is>
      </c>
      <c r="G9" s="42" t="n">
        <v>0.08</v>
      </c>
      <c r="H9" s="42" t="n">
        <v>0.25</v>
      </c>
      <c r="I9" s="48" t="inlineStr">
        <is>
          <t>25%</t>
        </is>
      </c>
      <c r="J9" s="4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2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🔴 رئيسي</t>
        </is>
      </c>
      <c r="G10" s="42" t="n">
        <v>0.08</v>
      </c>
      <c r="H10" s="42" t="n">
        <v>1</v>
      </c>
      <c r="I10" s="48" t="inlineStr">
        <is>
          <t>100%</t>
        </is>
      </c>
      <c r="J10" s="4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2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34" t="inlineStr">
        <is>
          <t>%</t>
        </is>
      </c>
      <c r="E11" s="34" t="inlineStr">
        <is>
          <t>↑</t>
        </is>
      </c>
      <c r="F11" s="15" t="inlineStr">
        <is>
          <t>🔴 رئيسي</t>
        </is>
      </c>
      <c r="G11" s="42" t="n">
        <v>0.08</v>
      </c>
      <c r="H11" s="42" t="n">
        <v>1</v>
      </c>
      <c r="I11" s="48" t="inlineStr">
        <is>
          <t>100%</t>
        </is>
      </c>
      <c r="J11" s="4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2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34" t="inlineStr">
        <is>
          <t>وصول</t>
        </is>
      </c>
      <c r="E12" s="34" t="inlineStr">
        <is>
          <t>↑</t>
        </is>
      </c>
      <c r="F12" s="15" t="inlineStr">
        <is>
          <t>🟠 مهم</t>
        </is>
      </c>
      <c r="G12" s="42" t="n">
        <v>0.06</v>
      </c>
      <c r="H12" s="47" t="n">
        <v>7000000</v>
      </c>
      <c r="I12" s="48" t="inlineStr">
        <is>
          <t>7م وصول</t>
        </is>
      </c>
      <c r="J12" s="4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0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34" t="inlineStr">
        <is>
          <t>معرض</t>
        </is>
      </c>
      <c r="E13" s="34" t="inlineStr">
        <is>
          <t>↑</t>
        </is>
      </c>
      <c r="F13" s="15" t="inlineStr">
        <is>
          <t>🟠 مهم</t>
        </is>
      </c>
      <c r="G13" s="42" t="n">
        <v>0.06</v>
      </c>
      <c r="H13" s="47" t="n">
        <v>3</v>
      </c>
      <c r="I13" s="48" t="inlineStr">
        <is>
          <t>3 معارض</t>
        </is>
      </c>
      <c r="J13" s="4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0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34" t="inlineStr">
        <is>
          <t>اتفاقية</t>
        </is>
      </c>
      <c r="E14" s="34" t="inlineStr">
        <is>
          <t>↑</t>
        </is>
      </c>
      <c r="F14" s="15" t="inlineStr">
        <is>
          <t>🟠 مهم</t>
        </is>
      </c>
      <c r="G14" s="42" t="n">
        <v>0.06</v>
      </c>
      <c r="H14" s="47" t="n">
        <v>3</v>
      </c>
      <c r="I14" s="48" t="inlineStr">
        <is>
          <t>3 اتفاقيات</t>
        </is>
      </c>
      <c r="J14" s="4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0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34" t="inlineStr">
        <is>
          <t>نجمة/5</t>
        </is>
      </c>
      <c r="E15" s="34" t="inlineStr">
        <is>
          <t>↑</t>
        </is>
      </c>
      <c r="F15" s="15" t="inlineStr">
        <is>
          <t>🟠 مهم</t>
        </is>
      </c>
      <c r="G15" s="42" t="n">
        <v>0.06</v>
      </c>
      <c r="H15" s="53" t="n">
        <v>4.7</v>
      </c>
      <c r="I15" s="48" t="inlineStr">
        <is>
          <t>4.7 ⭐</t>
        </is>
      </c>
      <c r="J15" s="4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54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34" t="inlineStr">
        <is>
          <t>%</t>
        </is>
      </c>
      <c r="E16" s="34" t="inlineStr">
        <is>
          <t>↑</t>
        </is>
      </c>
      <c r="F16" s="15" t="inlineStr">
        <is>
          <t>🟠 مهم</t>
        </is>
      </c>
      <c r="G16" s="42" t="n">
        <v>0.06</v>
      </c>
      <c r="H16" s="42" t="n">
        <v>0.3</v>
      </c>
      <c r="I16" s="48" t="inlineStr">
        <is>
          <t>30%</t>
        </is>
      </c>
      <c r="J16" s="4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2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34" t="inlineStr">
        <is>
          <t>وصول</t>
        </is>
      </c>
      <c r="E17" s="34" t="inlineStr">
        <is>
          <t>↑</t>
        </is>
      </c>
      <c r="F17" s="15" t="inlineStr">
        <is>
          <t>🟠 مهم</t>
        </is>
      </c>
      <c r="G17" s="42" t="n">
        <v>0.05</v>
      </c>
      <c r="H17" s="47" t="n">
        <v>1000000</v>
      </c>
      <c r="I17" s="48" t="inlineStr">
        <is>
          <t>1م وصول</t>
        </is>
      </c>
      <c r="J17" s="4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0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34" t="inlineStr">
        <is>
          <t>مشاركة</t>
        </is>
      </c>
      <c r="E18" s="34" t="inlineStr">
        <is>
          <t>↑</t>
        </is>
      </c>
      <c r="F18" s="15" t="inlineStr">
        <is>
          <t>🟠 مهم</t>
        </is>
      </c>
      <c r="G18" s="42" t="n">
        <v>0.05</v>
      </c>
      <c r="H18" s="47" t="n">
        <v>250</v>
      </c>
      <c r="I18" s="48" t="inlineStr">
        <is>
          <t>250 مشاركة</t>
        </is>
      </c>
      <c r="J18" s="4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0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</sheetData>
  <autoFilter ref="A3:O18"/>
  <mergeCells count="2">
    <mergeCell ref="A1:O1"/>
    <mergeCell ref="A2:O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الجودة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34" t="inlineStr">
        <is>
          <t>%</t>
        </is>
      </c>
      <c r="E4" s="34" t="inlineStr">
        <is>
          <t>↓</t>
        </is>
      </c>
      <c r="F4" s="15" t="inlineStr">
        <is>
          <t>🔴 رئيسي</t>
        </is>
      </c>
      <c r="G4" s="42" t="n">
        <v>0.1</v>
      </c>
      <c r="H4" s="42" t="n">
        <v>0.05</v>
      </c>
      <c r="I4" s="48" t="inlineStr">
        <is>
          <t>&lt; 5%</t>
        </is>
      </c>
      <c r="J4" s="4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2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34" t="inlineStr">
        <is>
          <t>%</t>
        </is>
      </c>
      <c r="E5" s="34" t="inlineStr">
        <is>
          <t>↑</t>
        </is>
      </c>
      <c r="F5" s="15" t="inlineStr">
        <is>
          <t>🟠 مهم</t>
        </is>
      </c>
      <c r="G5" s="42" t="n">
        <v>0.07000000000000001</v>
      </c>
      <c r="H5" s="42" t="n">
        <v>0.995</v>
      </c>
      <c r="I5" s="48" t="inlineStr">
        <is>
          <t>99.5%</t>
        </is>
      </c>
      <c r="J5" s="4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2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🟠 مهم</t>
        </is>
      </c>
      <c r="G6" s="42" t="n">
        <v>0.07000000000000001</v>
      </c>
      <c r="H6" s="42" t="n">
        <v>0.9</v>
      </c>
      <c r="I6" s="48" t="inlineStr">
        <is>
          <t>≥ 90%</t>
        </is>
      </c>
      <c r="J6" s="4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2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🟠 مهم</t>
        </is>
      </c>
      <c r="G7" s="42" t="n">
        <v>0.07000000000000001</v>
      </c>
      <c r="H7" s="42" t="n">
        <v>0.85</v>
      </c>
      <c r="I7" s="48" t="inlineStr">
        <is>
          <t>≥ 85%</t>
        </is>
      </c>
      <c r="J7" s="4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2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34" t="inlineStr">
        <is>
          <t>%</t>
        </is>
      </c>
      <c r="E8" s="34" t="inlineStr">
        <is>
          <t>↓</t>
        </is>
      </c>
      <c r="F8" s="15" t="inlineStr">
        <is>
          <t>🟠 مهم</t>
        </is>
      </c>
      <c r="G8" s="42" t="n">
        <v>0.07000000000000001</v>
      </c>
      <c r="H8" s="42" t="n">
        <v>0.1</v>
      </c>
      <c r="I8" s="48" t="inlineStr">
        <is>
          <t>&lt; 10%</t>
        </is>
      </c>
      <c r="J8" s="4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2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34" t="inlineStr">
        <is>
          <t>%</t>
        </is>
      </c>
      <c r="E9" s="34" t="inlineStr">
        <is>
          <t>↑</t>
        </is>
      </c>
      <c r="F9" s="15" t="inlineStr">
        <is>
          <t>🟠 مهم</t>
        </is>
      </c>
      <c r="G9" s="42" t="n">
        <v>0.07000000000000001</v>
      </c>
      <c r="H9" s="42" t="n">
        <v>0.95</v>
      </c>
      <c r="I9" s="48" t="inlineStr">
        <is>
          <t>≥ 95%</t>
        </is>
      </c>
      <c r="J9" s="4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2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🔴 رئيسي</t>
        </is>
      </c>
      <c r="G10" s="42" t="n">
        <v>0.1</v>
      </c>
      <c r="H10" s="42" t="n">
        <v>0.9</v>
      </c>
      <c r="I10" s="48" t="inlineStr">
        <is>
          <t>80% ← 90%</t>
        </is>
      </c>
      <c r="J10" s="4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2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34" t="inlineStr">
        <is>
          <t>خطر</t>
        </is>
      </c>
      <c r="E11" s="34" t="inlineStr">
        <is>
          <t>↓</t>
        </is>
      </c>
      <c r="F11" s="15" t="inlineStr">
        <is>
          <t>🟠 مهم</t>
        </is>
      </c>
      <c r="G11" s="42" t="n">
        <v>0.07000000000000001</v>
      </c>
      <c r="H11" s="47" t="n">
        <v>0</v>
      </c>
      <c r="I11" s="48" t="inlineStr">
        <is>
          <t>صفر</t>
        </is>
      </c>
      <c r="J11" s="4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0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🟠 مهم</t>
        </is>
      </c>
      <c r="G12" s="42" t="n">
        <v>0.07000000000000001</v>
      </c>
      <c r="H12" s="42" t="n">
        <v>0.9</v>
      </c>
      <c r="I12" s="48" t="inlineStr">
        <is>
          <t>≥ 90%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2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34" t="inlineStr">
        <is>
          <t>%</t>
        </is>
      </c>
      <c r="E13" s="34" t="inlineStr">
        <is>
          <t>↑</t>
        </is>
      </c>
      <c r="F13" s="15" t="inlineStr">
        <is>
          <t>🟠 مهم</t>
        </is>
      </c>
      <c r="G13" s="42" t="n">
        <v>0.07000000000000001</v>
      </c>
      <c r="H13" s="42" t="n">
        <v>0.15</v>
      </c>
      <c r="I13" s="48" t="inlineStr">
        <is>
          <t>انخفاض 15% ربعياً</t>
        </is>
      </c>
      <c r="J13" s="4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2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34" t="inlineStr">
        <is>
          <t>%</t>
        </is>
      </c>
      <c r="E14" s="34" t="inlineStr">
        <is>
          <t>↑</t>
        </is>
      </c>
      <c r="F14" s="15" t="inlineStr">
        <is>
          <t>🟡 متابعة</t>
        </is>
      </c>
      <c r="G14" s="42" t="n">
        <v>0.03</v>
      </c>
      <c r="H14" s="42" t="n">
        <v>0.95</v>
      </c>
      <c r="I14" s="48" t="inlineStr">
        <is>
          <t>≥ 95%</t>
        </is>
      </c>
      <c r="J14" s="4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2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34" t="inlineStr">
        <is>
          <t>%</t>
        </is>
      </c>
      <c r="E15" s="34" t="inlineStr">
        <is>
          <t>↑</t>
        </is>
      </c>
      <c r="F15" s="15" t="inlineStr">
        <is>
          <t>🟠 مهم</t>
        </is>
      </c>
      <c r="G15" s="42" t="n">
        <v>0.07000000000000001</v>
      </c>
      <c r="H15" s="42" t="n">
        <v>0.95</v>
      </c>
      <c r="I15" s="48" t="inlineStr">
        <is>
          <t>≥ 95%</t>
        </is>
      </c>
      <c r="J15" s="4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2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34" t="inlineStr">
        <is>
          <t>%</t>
        </is>
      </c>
      <c r="E16" s="34" t="inlineStr">
        <is>
          <t>↑</t>
        </is>
      </c>
      <c r="F16" s="15" t="inlineStr">
        <is>
          <t>🟠 مهم</t>
        </is>
      </c>
      <c r="G16" s="42" t="n">
        <v>0.07000000000000001</v>
      </c>
      <c r="H16" s="42" t="n">
        <v>0.8</v>
      </c>
      <c r="I16" s="48" t="inlineStr">
        <is>
          <t>≥ 80%</t>
        </is>
      </c>
      <c r="J16" s="4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2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34" t="inlineStr">
        <is>
          <t>مبادرة</t>
        </is>
      </c>
      <c r="E17" s="34" t="inlineStr">
        <is>
          <t>↑</t>
        </is>
      </c>
      <c r="F17" s="15" t="inlineStr">
        <is>
          <t>🟠 مهم</t>
        </is>
      </c>
      <c r="G17" s="42" t="n">
        <v>0.07000000000000001</v>
      </c>
      <c r="H17" s="47" t="n">
        <v>8</v>
      </c>
      <c r="I17" s="48" t="inlineStr">
        <is>
          <t>≥ 8 سنوياً (2 ربعياً)</t>
        </is>
      </c>
      <c r="J17" s="4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0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</sheetData>
  <autoFilter ref="A3:O17"/>
  <mergeCells count="2">
    <mergeCell ref="A1:O1"/>
    <mergeCell ref="A2:O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الإدارة القانونية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34" t="inlineStr">
        <is>
          <t>%</t>
        </is>
      </c>
      <c r="E4" s="34" t="inlineStr">
        <is>
          <t>↑</t>
        </is>
      </c>
      <c r="F4" s="15" t="inlineStr">
        <is>
          <t>🔴 رئيسي</t>
        </is>
      </c>
      <c r="G4" s="42" t="n">
        <v>0.15</v>
      </c>
      <c r="H4" s="42" t="n">
        <v>1</v>
      </c>
      <c r="I4" s="48" t="inlineStr">
        <is>
          <t>100%</t>
        </is>
      </c>
      <c r="J4" s="4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2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34" t="inlineStr">
        <is>
          <t>يوم</t>
        </is>
      </c>
      <c r="E5" s="34" t="inlineStr">
        <is>
          <t>↓</t>
        </is>
      </c>
      <c r="F5" s="15" t="inlineStr">
        <is>
          <t>🔴 رئيسي</t>
        </is>
      </c>
      <c r="G5" s="42" t="n">
        <v>0.15</v>
      </c>
      <c r="H5" s="53" t="n">
        <v>3</v>
      </c>
      <c r="I5" s="48" t="inlineStr">
        <is>
          <t>≤ 3 أيام</t>
        </is>
      </c>
      <c r="J5" s="4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4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🔴 رئيسي</t>
        </is>
      </c>
      <c r="G6" s="42" t="n">
        <v>0.15</v>
      </c>
      <c r="H6" s="42" t="n">
        <v>0.95</v>
      </c>
      <c r="I6" s="48" t="inlineStr">
        <is>
          <t>≥ 95%</t>
        </is>
      </c>
      <c r="J6" s="4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2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🟠 مهم</t>
        </is>
      </c>
      <c r="G7" s="42" t="n">
        <v>0.1</v>
      </c>
      <c r="H7" s="42" t="n">
        <v>0.8</v>
      </c>
      <c r="I7" s="48" t="inlineStr">
        <is>
          <t>≥ 80%</t>
        </is>
      </c>
      <c r="J7" s="4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2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34" t="inlineStr">
        <is>
          <t>%</t>
        </is>
      </c>
      <c r="E8" s="34" t="inlineStr">
        <is>
          <t>↑</t>
        </is>
      </c>
      <c r="F8" s="15" t="inlineStr">
        <is>
          <t>🟠 مهم</t>
        </is>
      </c>
      <c r="G8" s="42" t="n">
        <v>0.1</v>
      </c>
      <c r="H8" s="42" t="n">
        <v>1</v>
      </c>
      <c r="I8" s="48" t="inlineStr">
        <is>
          <t>100%</t>
        </is>
      </c>
      <c r="J8" s="4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2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34" t="inlineStr">
        <is>
          <t>يوم</t>
        </is>
      </c>
      <c r="E9" s="34" t="inlineStr">
        <is>
          <t>↓</t>
        </is>
      </c>
      <c r="F9" s="15" t="inlineStr">
        <is>
          <t>🟠 مهم</t>
        </is>
      </c>
      <c r="G9" s="42" t="n">
        <v>0.1</v>
      </c>
      <c r="H9" s="53" t="n">
        <v>5</v>
      </c>
      <c r="I9" s="48" t="inlineStr">
        <is>
          <t>≤ 5 أيام</t>
        </is>
      </c>
      <c r="J9" s="4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4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34" t="inlineStr">
        <is>
          <t>%</t>
        </is>
      </c>
      <c r="E10" s="34" t="inlineStr">
        <is>
          <t>↑</t>
        </is>
      </c>
      <c r="F10" s="15" t="inlineStr">
        <is>
          <t>🟠 مهم</t>
        </is>
      </c>
      <c r="G10" s="42" t="n">
        <v>0.1</v>
      </c>
      <c r="H10" s="42" t="n">
        <v>0.9</v>
      </c>
      <c r="I10" s="48" t="inlineStr">
        <is>
          <t>≥ 90%</t>
        </is>
      </c>
      <c r="J10" s="4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2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34" t="inlineStr">
        <is>
          <t>%</t>
        </is>
      </c>
      <c r="E11" s="34" t="inlineStr">
        <is>
          <t>↑</t>
        </is>
      </c>
      <c r="F11" s="15" t="inlineStr">
        <is>
          <t>🔴 رئيسي</t>
        </is>
      </c>
      <c r="G11" s="42" t="n">
        <v>0.15</v>
      </c>
      <c r="H11" s="42" t="n">
        <v>0.85</v>
      </c>
      <c r="I11" s="48" t="inlineStr">
        <is>
          <t>≥ 85%</t>
        </is>
      </c>
      <c r="J11" s="4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2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</sheetData>
  <autoFilter ref="A3:O11"/>
  <mergeCells count="2">
    <mergeCell ref="A1:O1"/>
    <mergeCell ref="A2:O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29" t="inlineStr">
        <is>
          <t>إدارة الإدارة المالية · مؤشرات الأداء 2026</t>
        </is>
      </c>
    </row>
    <row r="2">
      <c r="A2" s="46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33" t="inlineStr">
        <is>
          <t>#</t>
        </is>
      </c>
      <c r="B3" s="33" t="inlineStr">
        <is>
          <t>المحور</t>
        </is>
      </c>
      <c r="C3" s="33" t="inlineStr">
        <is>
          <t>المؤشر</t>
        </is>
      </c>
      <c r="D3" s="33" t="inlineStr">
        <is>
          <t>الوحدة</t>
        </is>
      </c>
      <c r="E3" s="33" t="inlineStr">
        <is>
          <t>القطبية</t>
        </is>
      </c>
      <c r="F3" s="33" t="inlineStr">
        <is>
          <t>الأولوية</t>
        </is>
      </c>
      <c r="G3" s="33" t="inlineStr">
        <is>
          <t>الوزن %</t>
        </is>
      </c>
      <c r="H3" s="33" t="inlineStr">
        <is>
          <t>المستهدف</t>
        </is>
      </c>
      <c r="I3" s="33" t="inlineStr">
        <is>
          <t>نص المستهدف</t>
        </is>
      </c>
      <c r="J3" s="33" t="inlineStr">
        <is>
          <t>الركيزة</t>
        </is>
      </c>
      <c r="K3" s="33" t="inlineStr">
        <is>
          <t>المشروع</t>
        </is>
      </c>
      <c r="L3" s="33" t="inlineStr">
        <is>
          <t>منظور BSC</t>
        </is>
      </c>
      <c r="M3" s="33" t="inlineStr">
        <is>
          <t>المُحقَّق</t>
        </is>
      </c>
      <c r="N3" s="33" t="inlineStr">
        <is>
          <t>نسبة التحقيق</t>
        </is>
      </c>
      <c r="O3" s="33" t="inlineStr">
        <is>
          <t>الحالة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34" t="inlineStr">
        <is>
          <t>%</t>
        </is>
      </c>
      <c r="E4" s="34" t="inlineStr">
        <is>
          <t>↑</t>
        </is>
      </c>
      <c r="F4" s="15" t="inlineStr">
        <is>
          <t>🔴 رئيسي</t>
        </is>
      </c>
      <c r="G4" s="42" t="n">
        <v>0.05</v>
      </c>
      <c r="H4" s="42" t="n">
        <v>0.2</v>
      </c>
      <c r="I4" s="48" t="inlineStr">
        <is>
          <t>&gt; 20%</t>
        </is>
      </c>
      <c r="J4" s="4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2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34" t="inlineStr">
        <is>
          <t>%</t>
        </is>
      </c>
      <c r="E5" s="34" t="inlineStr">
        <is>
          <t>↑</t>
        </is>
      </c>
      <c r="F5" s="15" t="inlineStr">
        <is>
          <t>🟠 مهم</t>
        </is>
      </c>
      <c r="G5" s="42" t="n">
        <v>0.04</v>
      </c>
      <c r="H5" s="42" t="n">
        <v>0.08</v>
      </c>
      <c r="I5" s="48" t="inlineStr">
        <is>
          <t>&gt; 8%</t>
        </is>
      </c>
      <c r="J5" s="4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2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34" t="inlineStr">
        <is>
          <t>%</t>
        </is>
      </c>
      <c r="E6" s="34" t="inlineStr">
        <is>
          <t>↑</t>
        </is>
      </c>
      <c r="F6" s="15" t="inlineStr">
        <is>
          <t>🟠 مهم</t>
        </is>
      </c>
      <c r="G6" s="42" t="n">
        <v>0.04</v>
      </c>
      <c r="H6" s="42" t="n">
        <v>0.01</v>
      </c>
      <c r="I6" s="48" t="inlineStr">
        <is>
          <t>&gt; 1%</t>
        </is>
      </c>
      <c r="J6" s="4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2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34" t="inlineStr">
        <is>
          <t>%</t>
        </is>
      </c>
      <c r="E7" s="34" t="inlineStr">
        <is>
          <t>↑</t>
        </is>
      </c>
      <c r="F7" s="15" t="inlineStr">
        <is>
          <t>🔴 رئيسي</t>
        </is>
      </c>
      <c r="G7" s="42" t="n">
        <v>0.05</v>
      </c>
      <c r="H7" s="42" t="n">
        <v>0.1</v>
      </c>
      <c r="I7" s="48" t="inlineStr">
        <is>
          <t>&gt; 10%</t>
        </is>
      </c>
      <c r="J7" s="4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2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34" t="inlineStr">
        <is>
          <t>نسبة</t>
        </is>
      </c>
      <c r="E8" s="34" t="inlineStr">
        <is>
          <t>↑</t>
        </is>
      </c>
      <c r="F8" s="15" t="inlineStr">
        <is>
          <t>🟠 مهم</t>
        </is>
      </c>
      <c r="G8" s="42" t="n">
        <v>0.04</v>
      </c>
      <c r="H8" s="53" t="n">
        <v>1</v>
      </c>
      <c r="I8" s="48" t="inlineStr">
        <is>
          <t>&gt; 1</t>
        </is>
      </c>
      <c r="J8" s="4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4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34" t="inlineStr">
        <is>
          <t>نسبة</t>
        </is>
      </c>
      <c r="E9" s="34" t="inlineStr">
        <is>
          <t>↑</t>
        </is>
      </c>
      <c r="F9" s="15" t="inlineStr">
        <is>
          <t>🟠 مهم</t>
        </is>
      </c>
      <c r="G9" s="42" t="n">
        <v>0.04</v>
      </c>
      <c r="H9" s="53" t="n">
        <v>1</v>
      </c>
      <c r="I9" s="48" t="inlineStr">
        <is>
          <t>0.8 – 1</t>
        </is>
      </c>
      <c r="J9" s="4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4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34" t="inlineStr">
        <is>
          <t>يوم</t>
        </is>
      </c>
      <c r="E10" s="34" t="inlineStr">
        <is>
          <t>↓</t>
        </is>
      </c>
      <c r="F10" s="15" t="inlineStr">
        <is>
          <t>🔴 رئيسي</t>
        </is>
      </c>
      <c r="G10" s="42" t="n">
        <v>0.05</v>
      </c>
      <c r="H10" s="53" t="n">
        <v>20</v>
      </c>
      <c r="I10" s="48" t="inlineStr">
        <is>
          <t>&lt; 20 يوم</t>
        </is>
      </c>
      <c r="J10" s="4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4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34" t="inlineStr">
        <is>
          <t>يوم</t>
        </is>
      </c>
      <c r="E11" s="34" t="inlineStr">
        <is>
          <t>↓</t>
        </is>
      </c>
      <c r="F11" s="15" t="inlineStr">
        <is>
          <t>🔴 رئيسي</t>
        </is>
      </c>
      <c r="G11" s="42" t="n">
        <v>0.05</v>
      </c>
      <c r="H11" s="53" t="n">
        <v>30</v>
      </c>
      <c r="I11" s="48" t="inlineStr">
        <is>
          <t>&lt; 30 يوم</t>
        </is>
      </c>
      <c r="J11" s="4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4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34" t="inlineStr">
        <is>
          <t>%</t>
        </is>
      </c>
      <c r="E12" s="34" t="inlineStr">
        <is>
          <t>↑</t>
        </is>
      </c>
      <c r="F12" s="15" t="inlineStr">
        <is>
          <t>🔴 رئيسي</t>
        </is>
      </c>
      <c r="G12" s="42" t="n">
        <v>0.05</v>
      </c>
      <c r="H12" s="42" t="n">
        <v>0.95</v>
      </c>
      <c r="I12" s="48" t="inlineStr">
        <is>
          <t>&gt; 95%</t>
        </is>
      </c>
      <c r="J12" s="4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2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34" t="inlineStr">
        <is>
          <t>%</t>
        </is>
      </c>
      <c r="E13" s="34" t="inlineStr">
        <is>
          <t>↓</t>
        </is>
      </c>
      <c r="F13" s="15" t="inlineStr">
        <is>
          <t>🟠 مهم</t>
        </is>
      </c>
      <c r="G13" s="42" t="n">
        <v>0.04</v>
      </c>
      <c r="H13" s="42" t="n">
        <v>0.1</v>
      </c>
      <c r="I13" s="48" t="inlineStr">
        <is>
          <t>&lt; 10%</t>
        </is>
      </c>
      <c r="J13" s="4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2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34" t="inlineStr">
        <is>
          <t>%</t>
        </is>
      </c>
      <c r="E14" s="34" t="inlineStr">
        <is>
          <t>↓</t>
        </is>
      </c>
      <c r="F14" s="15" t="inlineStr">
        <is>
          <t>🟠 مهم</t>
        </is>
      </c>
      <c r="G14" s="42" t="n">
        <v>0.04</v>
      </c>
      <c r="H14" s="42" t="n">
        <v>0.01</v>
      </c>
      <c r="I14" s="48" t="inlineStr">
        <is>
          <t>&lt; 1%</t>
        </is>
      </c>
      <c r="J14" s="4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2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34" t="inlineStr">
        <is>
          <t>%</t>
        </is>
      </c>
      <c r="E15" s="34" t="inlineStr">
        <is>
          <t>↑</t>
        </is>
      </c>
      <c r="F15" s="15" t="inlineStr">
        <is>
          <t>🟠 مهم</t>
        </is>
      </c>
      <c r="G15" s="42" t="n">
        <v>0.04</v>
      </c>
      <c r="H15" s="42" t="n">
        <v>0.98</v>
      </c>
      <c r="I15" s="48" t="inlineStr">
        <is>
          <t>&gt; 98%</t>
        </is>
      </c>
      <c r="J15" s="4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2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34" t="inlineStr">
        <is>
          <t>%</t>
        </is>
      </c>
      <c r="E16" s="34" t="inlineStr">
        <is>
          <t>↑</t>
        </is>
      </c>
      <c r="F16" s="15" t="inlineStr">
        <is>
          <t>🟠 مهم</t>
        </is>
      </c>
      <c r="G16" s="42" t="n">
        <v>0.04</v>
      </c>
      <c r="H16" s="42" t="n">
        <v>0.95</v>
      </c>
      <c r="I16" s="48" t="inlineStr">
        <is>
          <t>≥ 95%</t>
        </is>
      </c>
      <c r="J16" s="4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2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34" t="inlineStr">
        <is>
          <t>%</t>
        </is>
      </c>
      <c r="E17" s="34" t="inlineStr">
        <is>
          <t>↑</t>
        </is>
      </c>
      <c r="F17" s="15" t="inlineStr">
        <is>
          <t>🟠 مهم</t>
        </is>
      </c>
      <c r="G17" s="42" t="n">
        <v>0.04</v>
      </c>
      <c r="H17" s="42" t="n">
        <v>0.9</v>
      </c>
      <c r="I17" s="48" t="inlineStr">
        <is>
          <t>±10%</t>
        </is>
      </c>
      <c r="J17" s="4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2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34" t="inlineStr">
        <is>
          <t>%</t>
        </is>
      </c>
      <c r="E18" s="34" t="inlineStr">
        <is>
          <t>↓</t>
        </is>
      </c>
      <c r="F18" s="15" t="inlineStr">
        <is>
          <t>🟠 مهم</t>
        </is>
      </c>
      <c r="G18" s="42" t="n">
        <v>0.04</v>
      </c>
      <c r="H18" s="42" t="n">
        <v>0.001</v>
      </c>
      <c r="I18" s="48" t="inlineStr">
        <is>
          <t>&lt; 0.1%</t>
        </is>
      </c>
      <c r="J18" s="4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2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34" t="inlineStr">
        <is>
          <t>%</t>
        </is>
      </c>
      <c r="E19" s="34" t="inlineStr">
        <is>
          <t>↑</t>
        </is>
      </c>
      <c r="F19" s="15" t="inlineStr">
        <is>
          <t>🟠 مهم</t>
        </is>
      </c>
      <c r="G19" s="42" t="n">
        <v>0.03</v>
      </c>
      <c r="H19" s="42" t="n">
        <v>0.995</v>
      </c>
      <c r="I19" s="48" t="inlineStr">
        <is>
          <t>&gt; 99.5%</t>
        </is>
      </c>
      <c r="J19" s="4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2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34" t="inlineStr">
        <is>
          <t>%</t>
        </is>
      </c>
      <c r="E20" s="34" t="inlineStr">
        <is>
          <t>↑</t>
        </is>
      </c>
      <c r="F20" s="15" t="inlineStr">
        <is>
          <t>🟠 مهم</t>
        </is>
      </c>
      <c r="G20" s="42" t="n">
        <v>0.03</v>
      </c>
      <c r="H20" s="42" t="n">
        <v>1</v>
      </c>
      <c r="I20" s="48" t="inlineStr">
        <is>
          <t>100%</t>
        </is>
      </c>
      <c r="J20" s="4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2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34" t="inlineStr">
        <is>
          <t>%</t>
        </is>
      </c>
      <c r="E21" s="34" t="inlineStr">
        <is>
          <t>↑</t>
        </is>
      </c>
      <c r="F21" s="15" t="inlineStr">
        <is>
          <t>🔴 رئيسي</t>
        </is>
      </c>
      <c r="G21" s="42" t="n">
        <v>0.05</v>
      </c>
      <c r="H21" s="42" t="n">
        <v>0.98</v>
      </c>
      <c r="I21" s="48" t="inlineStr">
        <is>
          <t>&gt; 98%</t>
        </is>
      </c>
      <c r="J21" s="4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2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34" t="inlineStr">
        <is>
          <t>يوم</t>
        </is>
      </c>
      <c r="E22" s="34" t="inlineStr">
        <is>
          <t>↓</t>
        </is>
      </c>
      <c r="F22" s="15" t="inlineStr">
        <is>
          <t>🔴 رئيسي</t>
        </is>
      </c>
      <c r="G22" s="42" t="n">
        <v>0.05</v>
      </c>
      <c r="H22" s="53" t="n">
        <v>15</v>
      </c>
      <c r="I22" s="48" t="inlineStr">
        <is>
          <t>&lt; 15 يوم</t>
        </is>
      </c>
      <c r="J22" s="4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54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34" t="inlineStr">
        <is>
          <t>%</t>
        </is>
      </c>
      <c r="E23" s="34" t="inlineStr">
        <is>
          <t>↑</t>
        </is>
      </c>
      <c r="F23" s="15" t="inlineStr">
        <is>
          <t>🔴 رئيسي</t>
        </is>
      </c>
      <c r="G23" s="42" t="n">
        <v>0.05</v>
      </c>
      <c r="H23" s="42" t="n">
        <v>0.98</v>
      </c>
      <c r="I23" s="48" t="inlineStr">
        <is>
          <t>&gt; 98%</t>
        </is>
      </c>
      <c r="J23" s="4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2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34" t="inlineStr">
        <is>
          <t>%</t>
        </is>
      </c>
      <c r="E24" s="34" t="inlineStr">
        <is>
          <t>↑</t>
        </is>
      </c>
      <c r="F24" s="15" t="inlineStr">
        <is>
          <t>🔴 رئيسي</t>
        </is>
      </c>
      <c r="G24" s="42" t="n">
        <v>0.05</v>
      </c>
      <c r="H24" s="42" t="n">
        <v>0.9</v>
      </c>
      <c r="I24" s="48" t="inlineStr">
        <is>
          <t>&gt; 90%</t>
        </is>
      </c>
      <c r="J24" s="4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2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34" t="inlineStr">
        <is>
          <t>%</t>
        </is>
      </c>
      <c r="E25" s="34" t="inlineStr">
        <is>
          <t>↓</t>
        </is>
      </c>
      <c r="F25" s="15" t="inlineStr">
        <is>
          <t>🟠 مهم</t>
        </is>
      </c>
      <c r="G25" s="42" t="n">
        <v>0.03</v>
      </c>
      <c r="H25" s="42" t="n">
        <v>0.1</v>
      </c>
      <c r="I25" s="48" t="inlineStr">
        <is>
          <t>≤ ±10%</t>
        </is>
      </c>
      <c r="J25" s="4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2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34" t="inlineStr">
        <is>
          <t>يوم</t>
        </is>
      </c>
      <c r="E26" s="34" t="inlineStr">
        <is>
          <t>↓</t>
        </is>
      </c>
      <c r="F26" s="15" t="inlineStr">
        <is>
          <t>🟠 مهم</t>
        </is>
      </c>
      <c r="G26" s="42" t="n">
        <v>0.03</v>
      </c>
      <c r="H26" s="53" t="n">
        <v>6</v>
      </c>
      <c r="I26" s="48" t="inlineStr">
        <is>
          <t>≤ 6 أيام</t>
        </is>
      </c>
      <c r="J26" s="4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54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34" t="inlineStr">
        <is>
          <t>%</t>
        </is>
      </c>
      <c r="E27" s="34" t="inlineStr">
        <is>
          <t>↓</t>
        </is>
      </c>
      <c r="F27" s="15" t="inlineStr">
        <is>
          <t>🟠 مهم</t>
        </is>
      </c>
      <c r="G27" s="42" t="n">
        <v>0.03</v>
      </c>
      <c r="H27" s="42" t="n">
        <v>0.02</v>
      </c>
      <c r="I27" s="48" t="inlineStr">
        <is>
          <t>&lt; 2%</t>
        </is>
      </c>
      <c r="J27" s="4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2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55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56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34" t="n">
        <v>164</v>
      </c>
      <c r="E4" s="34" t="inlineStr">
        <is>
          <t>محطة</t>
        </is>
      </c>
      <c r="F4" s="36" t="n">
        <v>59</v>
      </c>
      <c r="G4" s="10">
        <f>IFERROR(F4/D4,0)</f>
        <v/>
      </c>
      <c r="H4" s="57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34" t="n">
        <v>5</v>
      </c>
      <c r="E5" s="34" t="inlineStr">
        <is>
          <t>وحدة</t>
        </is>
      </c>
      <c r="F5" s="36" t="n">
        <v>3.5</v>
      </c>
      <c r="G5" s="10">
        <f>IFERROR(F5/D5,0)</f>
        <v/>
      </c>
      <c r="H5" s="57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34" t="n">
        <v>4</v>
      </c>
      <c r="E6" s="34" t="inlineStr">
        <is>
          <t>وحدة</t>
        </is>
      </c>
      <c r="F6" s="36" t="n">
        <v>0</v>
      </c>
      <c r="G6" s="10">
        <f>IFERROR(F6/D6,0)</f>
        <v/>
      </c>
      <c r="H6" s="57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34" t="n">
        <v>2</v>
      </c>
      <c r="E7" s="34" t="inlineStr">
        <is>
          <t>وحدة</t>
        </is>
      </c>
      <c r="F7" s="36" t="n">
        <v>0</v>
      </c>
      <c r="G7" s="10">
        <f>IFERROR(F7/D7,0)</f>
        <v/>
      </c>
      <c r="H7" s="57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34" t="n">
        <v>1</v>
      </c>
      <c r="E8" s="34" t="inlineStr">
        <is>
          <t>تطبيق</t>
        </is>
      </c>
      <c r="F8" s="36" t="n">
        <v>0</v>
      </c>
      <c r="G8" s="10">
        <f>IFERROR(F8/D8,0)</f>
        <v/>
      </c>
      <c r="H8" s="57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34" t="n">
        <v>164</v>
      </c>
      <c r="E9" s="34" t="inlineStr">
        <is>
          <t>محطة</t>
        </is>
      </c>
      <c r="F9" s="36" t="n">
        <v>0</v>
      </c>
      <c r="G9" s="10">
        <f>IFERROR(F9/D9,0)</f>
        <v/>
      </c>
      <c r="H9" s="57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34" t="n">
        <v>164</v>
      </c>
      <c r="E10" s="34" t="inlineStr">
        <is>
          <t>محطة</t>
        </is>
      </c>
      <c r="F10" s="36" t="n">
        <v>0</v>
      </c>
      <c r="G10" s="10">
        <f>IFERROR(F10/D10,0)</f>
        <v/>
      </c>
      <c r="H10" s="57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34" t="n">
        <v>164</v>
      </c>
      <c r="E11" s="34" t="inlineStr">
        <is>
          <t>محطة</t>
        </is>
      </c>
      <c r="F11" s="36" t="n">
        <v>0</v>
      </c>
      <c r="G11" s="10">
        <f>IFERROR(F11/D11,0)</f>
        <v/>
      </c>
      <c r="H11" s="57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34" t="n">
        <v>164</v>
      </c>
      <c r="E12" s="34" t="inlineStr">
        <is>
          <t>محطة</t>
        </is>
      </c>
      <c r="F12" s="36" t="n">
        <v>2</v>
      </c>
      <c r="G12" s="10">
        <f>IFERROR(F12/D12,0)</f>
        <v/>
      </c>
      <c r="H12" s="57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34" t="n">
        <v>164</v>
      </c>
      <c r="E13" s="34" t="inlineStr">
        <is>
          <t>محطة</t>
        </is>
      </c>
      <c r="F13" s="36" t="n">
        <v>0</v>
      </c>
      <c r="G13" s="10">
        <f>IFERROR(F13/D13,0)</f>
        <v/>
      </c>
      <c r="H13" s="57" t="inlineStr">
        <is>
          <t>نسبة إنجاز محفظة مشاريع التحول الرقمي</t>
        </is>
      </c>
    </row>
    <row r="14">
      <c r="A14" s="58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59" t="n"/>
      <c r="D15" s="59" t="n"/>
      <c r="E15" s="59" t="n"/>
      <c r="F15" s="59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59" t="n"/>
      <c r="D16" s="59" t="n"/>
      <c r="E16" s="59" t="n"/>
      <c r="F16" s="59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59" t="n"/>
      <c r="D17" s="59" t="n"/>
      <c r="E17" s="59" t="n"/>
      <c r="F17" s="59" t="n"/>
      <c r="G17" s="10">
        <f>IFERROR(F17/D17,0)</f>
        <v/>
      </c>
      <c r="H17" s="22" t="n"/>
    </row>
    <row r="18">
      <c r="A18" s="58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59" t="n"/>
      <c r="D19" s="59" t="n"/>
      <c r="E19" s="59" t="n"/>
      <c r="F19" s="59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59" t="n"/>
      <c r="D20" s="59" t="n"/>
      <c r="E20" s="59" t="n"/>
      <c r="F20" s="59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59" t="n"/>
      <c r="D21" s="59" t="n"/>
      <c r="E21" s="59" t="n"/>
      <c r="F21" s="59" t="n"/>
      <c r="G21" s="10">
        <f>IFERROR(F21/D21,0)</f>
        <v/>
      </c>
      <c r="H21" s="22" t="n"/>
    </row>
    <row r="22">
      <c r="A22" s="58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59" t="n"/>
      <c r="D23" s="59" t="n"/>
      <c r="E23" s="59" t="n"/>
      <c r="F23" s="59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59" t="n"/>
      <c r="D24" s="59" t="n"/>
      <c r="E24" s="59" t="n"/>
      <c r="F24" s="59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59" t="n"/>
      <c r="D25" s="59" t="n"/>
      <c r="E25" s="59" t="n"/>
      <c r="F25" s="59" t="n"/>
      <c r="G25" s="10">
        <f>IFERROR(F25/D25,0)</f>
        <v/>
      </c>
      <c r="H25" s="22" t="n"/>
    </row>
    <row r="26">
      <c r="A26" s="58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59" t="n"/>
      <c r="D27" s="59" t="n"/>
      <c r="E27" s="59" t="n"/>
      <c r="F27" s="59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59" t="n"/>
      <c r="D28" s="59" t="n"/>
      <c r="E28" s="59" t="n"/>
      <c r="F28" s="59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59" t="n"/>
      <c r="D29" s="59" t="n"/>
      <c r="E29" s="59" t="n"/>
      <c r="F29" s="59" t="n"/>
      <c r="G29" s="10">
        <f>IFERROR(F29/D29,0)</f>
        <v/>
      </c>
      <c r="H29" s="22" t="n"/>
    </row>
    <row r="30">
      <c r="A30" s="58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59" t="n"/>
      <c r="D31" s="59" t="n"/>
      <c r="E31" s="59" t="n"/>
      <c r="F31" s="59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59" t="n"/>
      <c r="D32" s="59" t="n"/>
      <c r="E32" s="59" t="n"/>
      <c r="F32" s="59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59" t="n"/>
      <c r="D33" s="59" t="n"/>
      <c r="E33" s="59" t="n"/>
      <c r="F33" s="59" t="n"/>
      <c r="G33" s="10">
        <f>IFERROR(F33/D33,0)</f>
        <v/>
      </c>
      <c r="H33" s="22" t="n"/>
    </row>
    <row r="34">
      <c r="A34" s="58" t="inlineStr">
        <is>
          <t>▾ مشاريع الموارد البشرية</t>
        </is>
      </c>
    </row>
    <row r="35">
      <c r="A35" s="22" t="n"/>
      <c r="B35" s="27" t="inlineStr">
        <is>
          <t>الموارد البشرية</t>
        </is>
      </c>
      <c r="C35" s="59" t="n"/>
      <c r="D35" s="59" t="n"/>
      <c r="E35" s="59" t="n"/>
      <c r="F35" s="59" t="n"/>
      <c r="G35" s="10">
        <f>IFERROR(F35/D35,0)</f>
        <v/>
      </c>
      <c r="H35" s="22" t="n"/>
    </row>
    <row r="36">
      <c r="A36" s="22" t="n"/>
      <c r="B36" s="27" t="inlineStr">
        <is>
          <t>الموارد البشرية</t>
        </is>
      </c>
      <c r="C36" s="59" t="n"/>
      <c r="D36" s="59" t="n"/>
      <c r="E36" s="59" t="n"/>
      <c r="F36" s="59" t="n"/>
      <c r="G36" s="10">
        <f>IFERROR(F36/D36,0)</f>
        <v/>
      </c>
      <c r="H36" s="22" t="n"/>
    </row>
    <row r="37">
      <c r="A37" s="22" t="n"/>
      <c r="B37" s="27" t="inlineStr">
        <is>
          <t>الموارد البشرية</t>
        </is>
      </c>
      <c r="C37" s="59" t="n"/>
      <c r="D37" s="59" t="n"/>
      <c r="E37" s="59" t="n"/>
      <c r="F37" s="59" t="n"/>
      <c r="G37" s="10">
        <f>IFERROR(F37/D37,0)</f>
        <v/>
      </c>
      <c r="H37" s="22" t="n"/>
    </row>
    <row r="38">
      <c r="A38" s="58" t="inlineStr">
        <is>
          <t>▾ مشاريع التسويق</t>
        </is>
      </c>
    </row>
    <row r="39">
      <c r="A39" s="22" t="n"/>
      <c r="B39" s="27" t="inlineStr">
        <is>
          <t>التسويق</t>
        </is>
      </c>
      <c r="C39" s="59" t="n"/>
      <c r="D39" s="59" t="n"/>
      <c r="E39" s="59" t="n"/>
      <c r="F39" s="59" t="n"/>
      <c r="G39" s="10">
        <f>IFERROR(F39/D39,0)</f>
        <v/>
      </c>
      <c r="H39" s="22" t="n"/>
    </row>
    <row r="40">
      <c r="A40" s="22" t="n"/>
      <c r="B40" s="27" t="inlineStr">
        <is>
          <t>التسويق</t>
        </is>
      </c>
      <c r="C40" s="59" t="n"/>
      <c r="D40" s="59" t="n"/>
      <c r="E40" s="59" t="n"/>
      <c r="F40" s="59" t="n"/>
      <c r="G40" s="10">
        <f>IFERROR(F40/D40,0)</f>
        <v/>
      </c>
      <c r="H40" s="22" t="n"/>
    </row>
    <row r="41">
      <c r="A41" s="22" t="n"/>
      <c r="B41" s="27" t="inlineStr">
        <is>
          <t>التسويق</t>
        </is>
      </c>
      <c r="C41" s="59" t="n"/>
      <c r="D41" s="59" t="n"/>
      <c r="E41" s="59" t="n"/>
      <c r="F41" s="59" t="n"/>
      <c r="G41" s="10">
        <f>IFERROR(F41/D41,0)</f>
        <v/>
      </c>
      <c r="H41" s="22" t="n"/>
    </row>
    <row r="42">
      <c r="A42" s="58" t="inlineStr">
        <is>
          <t>▾ مشاريع الجودة</t>
        </is>
      </c>
    </row>
    <row r="43">
      <c r="A43" s="22" t="n"/>
      <c r="B43" s="27" t="inlineStr">
        <is>
          <t>الجودة</t>
        </is>
      </c>
      <c r="C43" s="59" t="n"/>
      <c r="D43" s="59" t="n"/>
      <c r="E43" s="59" t="n"/>
      <c r="F43" s="59" t="n"/>
      <c r="G43" s="10">
        <f>IFERROR(F43/D43,0)</f>
        <v/>
      </c>
      <c r="H43" s="22" t="n"/>
    </row>
    <row r="44">
      <c r="A44" s="22" t="n"/>
      <c r="B44" s="27" t="inlineStr">
        <is>
          <t>الجودة</t>
        </is>
      </c>
      <c r="C44" s="59" t="n"/>
      <c r="D44" s="59" t="n"/>
      <c r="E44" s="59" t="n"/>
      <c r="F44" s="59" t="n"/>
      <c r="G44" s="10">
        <f>IFERROR(F44/D44,0)</f>
        <v/>
      </c>
      <c r="H44" s="22" t="n"/>
    </row>
    <row r="45">
      <c r="A45" s="22" t="n"/>
      <c r="B45" s="27" t="inlineStr">
        <is>
          <t>الجودة</t>
        </is>
      </c>
      <c r="C45" s="59" t="n"/>
      <c r="D45" s="59" t="n"/>
      <c r="E45" s="59" t="n"/>
      <c r="F45" s="59" t="n"/>
      <c r="G45" s="10">
        <f>IFERROR(F45/D45,0)</f>
        <v/>
      </c>
      <c r="H45" s="22" t="n"/>
    </row>
    <row r="46">
      <c r="A46" s="58" t="inlineStr">
        <is>
          <t>▾ مشاريع الإدارة القانونية</t>
        </is>
      </c>
    </row>
    <row r="47">
      <c r="A47" s="22" t="n"/>
      <c r="B47" s="27" t="inlineStr">
        <is>
          <t>الإدارة القانونية</t>
        </is>
      </c>
      <c r="C47" s="59" t="n"/>
      <c r="D47" s="59" t="n"/>
      <c r="E47" s="59" t="n"/>
      <c r="F47" s="59" t="n"/>
      <c r="G47" s="10">
        <f>IFERROR(F47/D47,0)</f>
        <v/>
      </c>
      <c r="H47" s="22" t="n"/>
    </row>
    <row r="48">
      <c r="A48" s="22" t="n"/>
      <c r="B48" s="27" t="inlineStr">
        <is>
          <t>الإدارة القانونية</t>
        </is>
      </c>
      <c r="C48" s="59" t="n"/>
      <c r="D48" s="59" t="n"/>
      <c r="E48" s="59" t="n"/>
      <c r="F48" s="59" t="n"/>
      <c r="G48" s="10">
        <f>IFERROR(F48/D48,0)</f>
        <v/>
      </c>
      <c r="H48" s="22" t="n"/>
    </row>
    <row r="49">
      <c r="A49" s="22" t="n"/>
      <c r="B49" s="27" t="inlineStr">
        <is>
          <t>الإدارة القانونية</t>
        </is>
      </c>
      <c r="C49" s="59" t="n"/>
      <c r="D49" s="59" t="n"/>
      <c r="E49" s="59" t="n"/>
      <c r="F49" s="59" t="n"/>
      <c r="G49" s="10">
        <f>IFERROR(F49/D49,0)</f>
        <v/>
      </c>
      <c r="H49" s="22" t="n"/>
    </row>
    <row r="50">
      <c r="A50" s="58" t="inlineStr">
        <is>
          <t>▾ مشاريع الإدارة المالية</t>
        </is>
      </c>
    </row>
    <row r="51">
      <c r="A51" s="22" t="n"/>
      <c r="B51" s="27" t="inlineStr">
        <is>
          <t>الإدارة المالية</t>
        </is>
      </c>
      <c r="C51" s="59" t="n"/>
      <c r="D51" s="59" t="n"/>
      <c r="E51" s="59" t="n"/>
      <c r="F51" s="59" t="n"/>
      <c r="G51" s="10">
        <f>IFERROR(F51/D51,0)</f>
        <v/>
      </c>
      <c r="H51" s="22" t="n"/>
    </row>
    <row r="52">
      <c r="A52" s="22" t="n"/>
      <c r="B52" s="27" t="inlineStr">
        <is>
          <t>الإدارة المالية</t>
        </is>
      </c>
      <c r="C52" s="59" t="n"/>
      <c r="D52" s="59" t="n"/>
      <c r="E52" s="59" t="n"/>
      <c r="F52" s="59" t="n"/>
      <c r="G52" s="10">
        <f>IFERROR(F52/D52,0)</f>
        <v/>
      </c>
      <c r="H52" s="22" t="n"/>
    </row>
    <row r="53">
      <c r="A53" s="22" t="n"/>
      <c r="B53" s="27" t="inlineStr">
        <is>
          <t>الإدارة المالية</t>
        </is>
      </c>
      <c r="C53" s="59" t="n"/>
      <c r="D53" s="59" t="n"/>
      <c r="E53" s="59" t="n"/>
      <c r="F53" s="59" t="n"/>
      <c r="G53" s="10">
        <f>IFERROR(F53/D53,0)</f>
        <v/>
      </c>
      <c r="H53" s="22" t="n"/>
    </row>
  </sheetData>
  <mergeCells count="12">
    <mergeCell ref="A18:H18"/>
    <mergeCell ref="A50:H50"/>
    <mergeCell ref="A3:H3"/>
    <mergeCell ref="A26:H26"/>
    <mergeCell ref="A30:H30"/>
    <mergeCell ref="A38:H38"/>
    <mergeCell ref="A42:H42"/>
    <mergeCell ref="A14:H14"/>
    <mergeCell ref="A1:H1"/>
    <mergeCell ref="A46:H46"/>
    <mergeCell ref="A22:H22"/>
    <mergeCell ref="A34:H3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33" t="inlineStr">
        <is>
          <t>#</t>
        </is>
      </c>
      <c r="B1" s="33" t="inlineStr">
        <is>
          <t>الإدارة</t>
        </is>
      </c>
      <c r="C1" s="33" t="inlineStr">
        <is>
          <t>المؤشر</t>
        </is>
      </c>
      <c r="D1" s="33" t="inlineStr">
        <is>
          <t>الركيزة</t>
        </is>
      </c>
      <c r="E1" s="33" t="inlineStr">
        <is>
          <t>المشروع</t>
        </is>
      </c>
      <c r="F1" s="33" t="inlineStr">
        <is>
          <t>منظور BSC</t>
        </is>
      </c>
      <c r="G1" s="33" t="inlineStr">
        <is>
          <t>نسبة التحقيق</t>
        </is>
      </c>
      <c r="H1" s="33" t="inlineStr">
        <is>
          <t>الحالة</t>
        </is>
      </c>
      <c r="I1" s="33" t="inlineStr">
        <is>
          <t>الوزن</t>
        </is>
      </c>
      <c r="J1" s="33" t="inlineStr">
        <is>
          <t>و×ن</t>
        </is>
      </c>
      <c r="K1" s="33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35">
        <f>'الإدارة التنفيذية'!N4</f>
        <v/>
      </c>
      <c r="H2" s="15">
        <f>'الإدارة التنفيذية'!O4</f>
        <v/>
      </c>
      <c r="I2" s="40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35">
        <f>'الإدارة التنفيذية'!N5</f>
        <v/>
      </c>
      <c r="H3" s="15">
        <f>'الإدارة التنفيذية'!O5</f>
        <v/>
      </c>
      <c r="I3" s="40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35">
        <f>'الإدارة التنفيذية'!N6</f>
        <v/>
      </c>
      <c r="H4" s="15">
        <f>'الإدارة التنفيذية'!O6</f>
        <v/>
      </c>
      <c r="I4" s="40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35">
        <f>'الإدارة التنفيذية'!N7</f>
        <v/>
      </c>
      <c r="H5" s="15">
        <f>'الإدارة التنفيذية'!O7</f>
        <v/>
      </c>
      <c r="I5" s="40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35">
        <f>'الإدارة التنفيذية'!N8</f>
        <v/>
      </c>
      <c r="H6" s="15">
        <f>'الإدارة التنفيذية'!O8</f>
        <v/>
      </c>
      <c r="I6" s="40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35">
        <f>'الإدارة التنفيذية'!N9</f>
        <v/>
      </c>
      <c r="H7" s="15">
        <f>'الإدارة التنفيذية'!O9</f>
        <v/>
      </c>
      <c r="I7" s="40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35">
        <f>'الإدارة التنفيذية'!N10</f>
        <v/>
      </c>
      <c r="H8" s="15">
        <f>'الإدارة التنفيذية'!O10</f>
        <v/>
      </c>
      <c r="I8" s="40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35">
        <f>'الإدارة التنفيذية'!N11</f>
        <v/>
      </c>
      <c r="H9" s="15">
        <f>'الإدارة التنفيذية'!O11</f>
        <v/>
      </c>
      <c r="I9" s="40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35">
        <f>'الإدارة التنفيذية'!N12</f>
        <v/>
      </c>
      <c r="H10" s="15">
        <f>'الإدارة التنفيذية'!O12</f>
        <v/>
      </c>
      <c r="I10" s="40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35">
        <f>'الإدارة التنفيذية'!N13</f>
        <v/>
      </c>
      <c r="H11" s="15">
        <f>'الإدارة التنفيذية'!O13</f>
        <v/>
      </c>
      <c r="I11" s="40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35">
        <f>'الامتياز التجاري'!N4</f>
        <v/>
      </c>
      <c r="H12" s="15">
        <f>'الامتياز التجاري'!O4</f>
        <v/>
      </c>
      <c r="I12" s="40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35">
        <f>'الامتياز التجاري'!N5</f>
        <v/>
      </c>
      <c r="H13" s="15">
        <f>'الامتياز التجاري'!O5</f>
        <v/>
      </c>
      <c r="I13" s="40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35">
        <f>'الامتياز التجاري'!N6</f>
        <v/>
      </c>
      <c r="H14" s="15">
        <f>'الامتياز التجاري'!O6</f>
        <v/>
      </c>
      <c r="I14" s="40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35">
        <f>'الامتياز التجاري'!N7</f>
        <v/>
      </c>
      <c r="H15" s="15">
        <f>'الامتياز التجاري'!O7</f>
        <v/>
      </c>
      <c r="I15" s="40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35">
        <f>'الامتياز التجاري'!N8</f>
        <v/>
      </c>
      <c r="H16" s="15">
        <f>'الامتياز التجاري'!O8</f>
        <v/>
      </c>
      <c r="I16" s="40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35">
        <f>'الامتياز التجاري'!N9</f>
        <v/>
      </c>
      <c r="H17" s="15">
        <f>'الامتياز التجاري'!O9</f>
        <v/>
      </c>
      <c r="I17" s="40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35">
        <f>'الامتياز التجاري'!N10</f>
        <v/>
      </c>
      <c r="H18" s="15">
        <f>'الامتياز التجاري'!O10</f>
        <v/>
      </c>
      <c r="I18" s="40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35">
        <f>'الامتياز التجاري'!N11</f>
        <v/>
      </c>
      <c r="H19" s="15">
        <f>'الامتياز التجاري'!O11</f>
        <v/>
      </c>
      <c r="I19" s="40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35">
        <f>'الامتياز التجاري'!N12</f>
        <v/>
      </c>
      <c r="H20" s="15">
        <f>'الامتياز التجاري'!O12</f>
        <v/>
      </c>
      <c r="I20" s="40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35">
        <f>'الامتياز التجاري'!N13</f>
        <v/>
      </c>
      <c r="H21" s="15">
        <f>'الامتياز التجاري'!O13</f>
        <v/>
      </c>
      <c r="I21" s="40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35">
        <f>'الامتياز التجاري'!N14</f>
        <v/>
      </c>
      <c r="H22" s="15">
        <f>'الامتياز التجاري'!O14</f>
        <v/>
      </c>
      <c r="I22" s="40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35">
        <f>'الامتياز التجاري'!N15</f>
        <v/>
      </c>
      <c r="H23" s="15">
        <f>'الامتياز التجاري'!O15</f>
        <v/>
      </c>
      <c r="I23" s="40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35">
        <f>'الامتياز التجاري'!N16</f>
        <v/>
      </c>
      <c r="H24" s="15">
        <f>'الامتياز التجاري'!O16</f>
        <v/>
      </c>
      <c r="I24" s="40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35">
        <f>'الامتياز التجاري'!N17</f>
        <v/>
      </c>
      <c r="H25" s="15">
        <f>'الامتياز التجاري'!O17</f>
        <v/>
      </c>
      <c r="I25" s="40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35">
        <f>'الامتياز التجاري'!N18</f>
        <v/>
      </c>
      <c r="H26" s="15">
        <f>'الامتياز التجاري'!O18</f>
        <v/>
      </c>
      <c r="I26" s="40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35">
        <f>'الامتياز التجاري'!N19</f>
        <v/>
      </c>
      <c r="H27" s="15">
        <f>'الامتياز التجاري'!O19</f>
        <v/>
      </c>
      <c r="I27" s="40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35">
        <f>'الامتياز التجاري'!N20</f>
        <v/>
      </c>
      <c r="H28" s="15">
        <f>'الامتياز التجاري'!O20</f>
        <v/>
      </c>
      <c r="I28" s="40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35">
        <f>'الامتياز التجاري'!N21</f>
        <v/>
      </c>
      <c r="H29" s="15">
        <f>'الامتياز التجاري'!O21</f>
        <v/>
      </c>
      <c r="I29" s="40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35">
        <f>'الامتياز التجاري'!N22</f>
        <v/>
      </c>
      <c r="H30" s="15">
        <f>'الامتياز التجاري'!O22</f>
        <v/>
      </c>
      <c r="I30" s="40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35">
        <f>'الامتياز التجاري'!N23</f>
        <v/>
      </c>
      <c r="H31" s="15">
        <f>'الامتياز التجاري'!O23</f>
        <v/>
      </c>
      <c r="I31" s="40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35">
        <f>'الامتياز التجاري'!N24</f>
        <v/>
      </c>
      <c r="H32" s="15">
        <f>'الامتياز التجاري'!O24</f>
        <v/>
      </c>
      <c r="I32" s="40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35">
        <f>'الامتياز التجاري'!N25</f>
        <v/>
      </c>
      <c r="H33" s="15">
        <f>'الامتياز التجاري'!O25</f>
        <v/>
      </c>
      <c r="I33" s="40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35">
        <f>'الامتياز التجاري'!N26</f>
        <v/>
      </c>
      <c r="H34" s="15">
        <f>'الامتياز التجاري'!O26</f>
        <v/>
      </c>
      <c r="I34" s="40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35">
        <f>'الامتياز التجاري'!N27</f>
        <v/>
      </c>
      <c r="H35" s="15">
        <f>'الامتياز التجاري'!O27</f>
        <v/>
      </c>
      <c r="I35" s="40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35">
        <f>'الامتياز التجاري'!N28</f>
        <v/>
      </c>
      <c r="H36" s="15">
        <f>'الامتياز التجاري'!O28</f>
        <v/>
      </c>
      <c r="I36" s="40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35">
        <f>'الامتياز التجاري'!N29</f>
        <v/>
      </c>
      <c r="H37" s="15">
        <f>'الامتياز التجاري'!O29</f>
        <v/>
      </c>
      <c r="I37" s="40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35">
        <f>'الامتياز التجاري'!N30</f>
        <v/>
      </c>
      <c r="H38" s="15">
        <f>'الامتياز التجاري'!O30</f>
        <v/>
      </c>
      <c r="I38" s="40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35">
        <f>'الامتياز التجاري'!N31</f>
        <v/>
      </c>
      <c r="H39" s="15">
        <f>'الامتياز التجاري'!O31</f>
        <v/>
      </c>
      <c r="I39" s="40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35">
        <f>'الامتياز التجاري'!N32</f>
        <v/>
      </c>
      <c r="H40" s="15">
        <f>'الامتياز التجاري'!O32</f>
        <v/>
      </c>
      <c r="I40" s="40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35">
        <f>'الامتياز التجاري'!N33</f>
        <v/>
      </c>
      <c r="H41" s="15">
        <f>'الامتياز التجاري'!O33</f>
        <v/>
      </c>
      <c r="I41" s="40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35">
        <f>'التشغيل والمحطات'!N4</f>
        <v/>
      </c>
      <c r="H42" s="15">
        <f>'التشغيل والمحطات'!O4</f>
        <v/>
      </c>
      <c r="I42" s="40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35">
        <f>'التشغيل والمحطات'!N5</f>
        <v/>
      </c>
      <c r="H43" s="15">
        <f>'التشغيل والمحطات'!O5</f>
        <v/>
      </c>
      <c r="I43" s="40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35">
        <f>'التشغيل والمحطات'!N6</f>
        <v/>
      </c>
      <c r="H44" s="15">
        <f>'التشغيل والمحطات'!O6</f>
        <v/>
      </c>
      <c r="I44" s="40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35">
        <f>'التشغيل والمحطات'!N7</f>
        <v/>
      </c>
      <c r="H45" s="15">
        <f>'التشغيل والمحطات'!O7</f>
        <v/>
      </c>
      <c r="I45" s="40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35">
        <f>'التشغيل والمحطات'!N8</f>
        <v/>
      </c>
      <c r="H46" s="15">
        <f>'التشغيل والمحطات'!O8</f>
        <v/>
      </c>
      <c r="I46" s="40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35">
        <f>'التشغيل والمحطات'!N9</f>
        <v/>
      </c>
      <c r="H47" s="15">
        <f>'التشغيل والمحطات'!O9</f>
        <v/>
      </c>
      <c r="I47" s="40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35">
        <f>'التشغيل والمحطات'!N10</f>
        <v/>
      </c>
      <c r="H48" s="15">
        <f>'التشغيل والمحطات'!O10</f>
        <v/>
      </c>
      <c r="I48" s="40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35">
        <f>'التشغيل والمحطات'!N11</f>
        <v/>
      </c>
      <c r="H49" s="15">
        <f>'التشغيل والمحطات'!O11</f>
        <v/>
      </c>
      <c r="I49" s="40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35">
        <f>'التشغيل والمحطات'!N12</f>
        <v/>
      </c>
      <c r="H50" s="15">
        <f>'التشغيل والمحطات'!O12</f>
        <v/>
      </c>
      <c r="I50" s="40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35">
        <f>'التشغيل والمحطات'!N13</f>
        <v/>
      </c>
      <c r="H51" s="15">
        <f>'التشغيل والمحطات'!O13</f>
        <v/>
      </c>
      <c r="I51" s="40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35">
        <f>'التشغيل والمحطات'!N14</f>
        <v/>
      </c>
      <c r="H52" s="15">
        <f>'التشغيل والمحطات'!O14</f>
        <v/>
      </c>
      <c r="I52" s="40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35">
        <f>'التشغيل والمحطات'!N15</f>
        <v/>
      </c>
      <c r="H53" s="15">
        <f>'التشغيل والمحطات'!O15</f>
        <v/>
      </c>
      <c r="I53" s="40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35">
        <f>'التشغيل والمحطات'!N16</f>
        <v/>
      </c>
      <c r="H54" s="15">
        <f>'التشغيل والمحطات'!O16</f>
        <v/>
      </c>
      <c r="I54" s="40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35">
        <f>'التشغيل والمحطات'!N17</f>
        <v/>
      </c>
      <c r="H55" s="15">
        <f>'التشغيل والمحطات'!O17</f>
        <v/>
      </c>
      <c r="I55" s="40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35">
        <f>'التشغيل والمحطات'!N18</f>
        <v/>
      </c>
      <c r="H56" s="15">
        <f>'التشغيل والمحطات'!O18</f>
        <v/>
      </c>
      <c r="I56" s="40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35">
        <f>'التشغيل والمحطات'!N19</f>
        <v/>
      </c>
      <c r="H57" s="15">
        <f>'التشغيل والمحطات'!O19</f>
        <v/>
      </c>
      <c r="I57" s="40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35">
        <f>'الاستثمار'!N4</f>
        <v/>
      </c>
      <c r="H58" s="15">
        <f>'الاستثمار'!O4</f>
        <v/>
      </c>
      <c r="I58" s="40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35">
        <f>'الاستثمار'!N5</f>
        <v/>
      </c>
      <c r="H59" s="15">
        <f>'الاستثمار'!O5</f>
        <v/>
      </c>
      <c r="I59" s="40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35">
        <f>'الاستثمار'!N6</f>
        <v/>
      </c>
      <c r="H60" s="15">
        <f>'الاستثمار'!O6</f>
        <v/>
      </c>
      <c r="I60" s="40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35">
        <f>'الاستثمار'!N7</f>
        <v/>
      </c>
      <c r="H61" s="15">
        <f>'الاستثمار'!O7</f>
        <v/>
      </c>
      <c r="I61" s="40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35">
        <f>'الاستثمار'!N8</f>
        <v/>
      </c>
      <c r="H62" s="15">
        <f>'الاستثمار'!O8</f>
        <v/>
      </c>
      <c r="I62" s="40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35">
        <f>'الاستثمار'!N9</f>
        <v/>
      </c>
      <c r="H63" s="15">
        <f>'الاستثمار'!O9</f>
        <v/>
      </c>
      <c r="I63" s="40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35">
        <f>'الاستثمار'!N10</f>
        <v/>
      </c>
      <c r="H64" s="15">
        <f>'الاستثمار'!O10</f>
        <v/>
      </c>
      <c r="I64" s="40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35">
        <f>'الاستثمار'!N11</f>
        <v/>
      </c>
      <c r="H65" s="15">
        <f>'الاستثمار'!O11</f>
        <v/>
      </c>
      <c r="I65" s="40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35">
        <f>'الاستثمار'!N12</f>
        <v/>
      </c>
      <c r="H66" s="15">
        <f>'الاستثمار'!O12</f>
        <v/>
      </c>
      <c r="I66" s="40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35">
        <f>'الاستثمار'!N13</f>
        <v/>
      </c>
      <c r="H67" s="15">
        <f>'الاستثمار'!O13</f>
        <v/>
      </c>
      <c r="I67" s="40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35">
        <f>'الاستثمار'!N14</f>
        <v/>
      </c>
      <c r="H68" s="15">
        <f>'الاستثمار'!O14</f>
        <v/>
      </c>
      <c r="I68" s="40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35">
        <f>'الاستثمار'!N15</f>
        <v/>
      </c>
      <c r="H69" s="15">
        <f>'الاستثمار'!O15</f>
        <v/>
      </c>
      <c r="I69" s="40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35">
        <f>'الاستثمار'!N16</f>
        <v/>
      </c>
      <c r="H70" s="15">
        <f>'الاستثمار'!O16</f>
        <v/>
      </c>
      <c r="I70" s="40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35">
        <f>'الاستثمار'!N17</f>
        <v/>
      </c>
      <c r="H71" s="15">
        <f>'الاستثمار'!O17</f>
        <v/>
      </c>
      <c r="I71" s="40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35">
        <f>'الاستثمار'!N18</f>
        <v/>
      </c>
      <c r="H72" s="15">
        <f>'الاستثمار'!O18</f>
        <v/>
      </c>
      <c r="I72" s="40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35">
        <f>'الاستثمار'!N19</f>
        <v/>
      </c>
      <c r="H73" s="15">
        <f>'الاستثمار'!O19</f>
        <v/>
      </c>
      <c r="I73" s="40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35">
        <f>'الاستثمار'!N20</f>
        <v/>
      </c>
      <c r="H74" s="15">
        <f>'الاستثمار'!O20</f>
        <v/>
      </c>
      <c r="I74" s="40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35">
        <f>'الاستثمار'!N21</f>
        <v/>
      </c>
      <c r="H75" s="15">
        <f>'الاستثمار'!O21</f>
        <v/>
      </c>
      <c r="I75" s="40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35">
        <f>'الاستثمار'!N22</f>
        <v/>
      </c>
      <c r="H76" s="15">
        <f>'الاستثمار'!O22</f>
        <v/>
      </c>
      <c r="I76" s="40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35">
        <f>'الاستثمار'!N23</f>
        <v/>
      </c>
      <c r="H77" s="15">
        <f>'الاستثمار'!O23</f>
        <v/>
      </c>
      <c r="I77" s="40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35">
        <f>'الاستثمار'!N24</f>
        <v/>
      </c>
      <c r="H78" s="15">
        <f>'الاستثمار'!O24</f>
        <v/>
      </c>
      <c r="I78" s="40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35">
        <f>'الاستثمار'!N25</f>
        <v/>
      </c>
      <c r="H79" s="15">
        <f>'الاستثمار'!O25</f>
        <v/>
      </c>
      <c r="I79" s="40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35">
        <f>'الاستثمار'!N26</f>
        <v/>
      </c>
      <c r="H80" s="15">
        <f>'الاستثمار'!O26</f>
        <v/>
      </c>
      <c r="I80" s="40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35">
        <f>'الاستثمار'!N27</f>
        <v/>
      </c>
      <c r="H81" s="15">
        <f>'الاستثمار'!O27</f>
        <v/>
      </c>
      <c r="I81" s="40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35">
        <f>'العقار'!N4</f>
        <v/>
      </c>
      <c r="H82" s="15">
        <f>'العقار'!O4</f>
        <v/>
      </c>
      <c r="I82" s="40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35">
        <f>'العقار'!N5</f>
        <v/>
      </c>
      <c r="H83" s="15">
        <f>'العقار'!O5</f>
        <v/>
      </c>
      <c r="I83" s="40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35">
        <f>'العقار'!N6</f>
        <v/>
      </c>
      <c r="H84" s="15">
        <f>'العقار'!O6</f>
        <v/>
      </c>
      <c r="I84" s="40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35">
        <f>'العقار'!N7</f>
        <v/>
      </c>
      <c r="H85" s="15">
        <f>'العقار'!O7</f>
        <v/>
      </c>
      <c r="I85" s="40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35">
        <f>'العقار'!N8</f>
        <v/>
      </c>
      <c r="H86" s="15">
        <f>'العقار'!O8</f>
        <v/>
      </c>
      <c r="I86" s="40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35">
        <f>'العقار'!N9</f>
        <v/>
      </c>
      <c r="H87" s="15">
        <f>'العقار'!O9</f>
        <v/>
      </c>
      <c r="I87" s="40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35">
        <f>'العقار'!N10</f>
        <v/>
      </c>
      <c r="H88" s="15">
        <f>'العقار'!O10</f>
        <v/>
      </c>
      <c r="I88" s="40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35">
        <f>'العقار'!N11</f>
        <v/>
      </c>
      <c r="H89" s="15">
        <f>'العقار'!O11</f>
        <v/>
      </c>
      <c r="I89" s="40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35">
        <f>'العقار'!N12</f>
        <v/>
      </c>
      <c r="H90" s="15">
        <f>'العقار'!O12</f>
        <v/>
      </c>
      <c r="I90" s="40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35">
        <f>'العقار'!N13</f>
        <v/>
      </c>
      <c r="H91" s="15">
        <f>'العقار'!O13</f>
        <v/>
      </c>
      <c r="I91" s="40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35">
        <f>'العقار'!N14</f>
        <v/>
      </c>
      <c r="H92" s="15">
        <f>'العقار'!O14</f>
        <v/>
      </c>
      <c r="I92" s="40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35">
        <f>'العقار'!N15</f>
        <v/>
      </c>
      <c r="H93" s="15">
        <f>'العقار'!O15</f>
        <v/>
      </c>
      <c r="I93" s="40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35">
        <f>'العقار'!N16</f>
        <v/>
      </c>
      <c r="H94" s="15">
        <f>'العقار'!O16</f>
        <v/>
      </c>
      <c r="I94" s="40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35">
        <f>'العقار'!N17</f>
        <v/>
      </c>
      <c r="H95" s="15">
        <f>'العقار'!O17</f>
        <v/>
      </c>
      <c r="I95" s="40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35">
        <f>'العقار'!N18</f>
        <v/>
      </c>
      <c r="H96" s="15">
        <f>'العقار'!O18</f>
        <v/>
      </c>
      <c r="I96" s="40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35">
        <f>'العقار'!N19</f>
        <v/>
      </c>
      <c r="H97" s="15">
        <f>'العقار'!O19</f>
        <v/>
      </c>
      <c r="I97" s="40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التقنية الرقمية</t>
        </is>
      </c>
      <c r="C98" s="13">
        <f>'التقنية الرقمية'!C4</f>
        <v/>
      </c>
      <c r="D98" s="15">
        <f>'التقنية الرقمية'!J4</f>
        <v/>
      </c>
      <c r="E98" s="13">
        <f>'التقنية الرقمية'!K4</f>
        <v/>
      </c>
      <c r="F98" s="15">
        <f>'التقنية الرقمية'!L4</f>
        <v/>
      </c>
      <c r="G98" s="35">
        <f>'التقنية الرقمية'!N4</f>
        <v/>
      </c>
      <c r="H98" s="15">
        <f>'التقنية الرقمية'!O4</f>
        <v/>
      </c>
      <c r="I98" s="40">
        <f>'التقنية الرقمية'!G4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التقنية الرقمية</t>
        </is>
      </c>
      <c r="C99" s="13">
        <f>'التقنية الرقمية'!C5</f>
        <v/>
      </c>
      <c r="D99" s="15">
        <f>'التقنية الرقمية'!J5</f>
        <v/>
      </c>
      <c r="E99" s="13">
        <f>'التقنية الرقمية'!K5</f>
        <v/>
      </c>
      <c r="F99" s="15">
        <f>'التقنية الرقمية'!L5</f>
        <v/>
      </c>
      <c r="G99" s="35">
        <f>'التقنية الرقمية'!N5</f>
        <v/>
      </c>
      <c r="H99" s="15">
        <f>'التقنية الرقمية'!O5</f>
        <v/>
      </c>
      <c r="I99" s="40">
        <f>'التقنية الرقمية'!G5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التقنية الرقمية</t>
        </is>
      </c>
      <c r="C100" s="13">
        <f>'التقنية الرقمية'!C6</f>
        <v/>
      </c>
      <c r="D100" s="15">
        <f>'التقنية الرقمية'!J6</f>
        <v/>
      </c>
      <c r="E100" s="13">
        <f>'التقنية الرقمية'!K6</f>
        <v/>
      </c>
      <c r="F100" s="15">
        <f>'التقنية الرقمية'!L6</f>
        <v/>
      </c>
      <c r="G100" s="35">
        <f>'التقنية الرقمية'!N6</f>
        <v/>
      </c>
      <c r="H100" s="15">
        <f>'التقنية الرقمية'!O6</f>
        <v/>
      </c>
      <c r="I100" s="40">
        <f>'التقنية الرقمية'!G6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التقنية الرقمية</t>
        </is>
      </c>
      <c r="C101" s="13">
        <f>'التقنية الرقمية'!C7</f>
        <v/>
      </c>
      <c r="D101" s="15">
        <f>'التقنية الرقمية'!J7</f>
        <v/>
      </c>
      <c r="E101" s="13">
        <f>'التقنية الرقمية'!K7</f>
        <v/>
      </c>
      <c r="F101" s="15">
        <f>'التقنية الرقمية'!L7</f>
        <v/>
      </c>
      <c r="G101" s="35">
        <f>'التقنية الرقمية'!N7</f>
        <v/>
      </c>
      <c r="H101" s="15">
        <f>'التقنية الرقمية'!O7</f>
        <v/>
      </c>
      <c r="I101" s="40">
        <f>'التقنية الرقمية'!G7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التقنية الرقمية</t>
        </is>
      </c>
      <c r="C102" s="13">
        <f>'التقنية الرقمية'!C8</f>
        <v/>
      </c>
      <c r="D102" s="15">
        <f>'التقنية الرقمية'!J8</f>
        <v/>
      </c>
      <c r="E102" s="13">
        <f>'التقنية الرقمية'!K8</f>
        <v/>
      </c>
      <c r="F102" s="15">
        <f>'التقنية الرقمية'!L8</f>
        <v/>
      </c>
      <c r="G102" s="35">
        <f>'التقنية الرقمية'!N8</f>
        <v/>
      </c>
      <c r="H102" s="15">
        <f>'التقنية الرقمية'!O8</f>
        <v/>
      </c>
      <c r="I102" s="40">
        <f>'التقنية الرقمية'!G8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التقنية الرقمية</t>
        </is>
      </c>
      <c r="C103" s="13">
        <f>'التقنية الرقمية'!C9</f>
        <v/>
      </c>
      <c r="D103" s="15">
        <f>'التقنية الرقمية'!J9</f>
        <v/>
      </c>
      <c r="E103" s="13">
        <f>'التقنية الرقمية'!K9</f>
        <v/>
      </c>
      <c r="F103" s="15">
        <f>'التقنية الرقمية'!L9</f>
        <v/>
      </c>
      <c r="G103" s="35">
        <f>'التقنية الرقمية'!N9</f>
        <v/>
      </c>
      <c r="H103" s="15">
        <f>'التقنية الرقمية'!O9</f>
        <v/>
      </c>
      <c r="I103" s="40">
        <f>'التقنية الرقمية'!G9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التقنية الرقمية</t>
        </is>
      </c>
      <c r="C104" s="13">
        <f>'التقنية الرقمية'!C10</f>
        <v/>
      </c>
      <c r="D104" s="15">
        <f>'التقنية الرقمية'!J10</f>
        <v/>
      </c>
      <c r="E104" s="13">
        <f>'التقنية الرقمية'!K10</f>
        <v/>
      </c>
      <c r="F104" s="15">
        <f>'التقنية الرقمية'!L10</f>
        <v/>
      </c>
      <c r="G104" s="35">
        <f>'التقنية الرقمية'!N10</f>
        <v/>
      </c>
      <c r="H104" s="15">
        <f>'التقنية الرقمية'!O10</f>
        <v/>
      </c>
      <c r="I104" s="40">
        <f>'التقنية الرقمية'!G10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التقنية الرقمية</t>
        </is>
      </c>
      <c r="C105" s="13">
        <f>'التقنية الرقمية'!C11</f>
        <v/>
      </c>
      <c r="D105" s="15">
        <f>'التقنية الرقمية'!J11</f>
        <v/>
      </c>
      <c r="E105" s="13">
        <f>'التقنية الرقمية'!K11</f>
        <v/>
      </c>
      <c r="F105" s="15">
        <f>'التقنية الرقمية'!L11</f>
        <v/>
      </c>
      <c r="G105" s="35">
        <f>'التقنية الرقمية'!N11</f>
        <v/>
      </c>
      <c r="H105" s="15">
        <f>'التقنية الرقمية'!O11</f>
        <v/>
      </c>
      <c r="I105" s="40">
        <f>'التقنية الرقمية'!G11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التقنية الرقمية</t>
        </is>
      </c>
      <c r="C106" s="13">
        <f>'التقنية الرقمية'!C12</f>
        <v/>
      </c>
      <c r="D106" s="15">
        <f>'التقنية الرقمية'!J12</f>
        <v/>
      </c>
      <c r="E106" s="13">
        <f>'التقنية الرقمية'!K12</f>
        <v/>
      </c>
      <c r="F106" s="15">
        <f>'التقنية الرقمية'!L12</f>
        <v/>
      </c>
      <c r="G106" s="35">
        <f>'التقنية الرقمية'!N12</f>
        <v/>
      </c>
      <c r="H106" s="15">
        <f>'التقنية الرقمية'!O12</f>
        <v/>
      </c>
      <c r="I106" s="40">
        <f>'التقنية الرقمية'!G12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الموارد البشرية</t>
        </is>
      </c>
      <c r="C107" s="13">
        <f>'الموارد البشرية'!C4</f>
        <v/>
      </c>
      <c r="D107" s="15">
        <f>'الموارد البشرية'!J4</f>
        <v/>
      </c>
      <c r="E107" s="13">
        <f>'الموارد البشرية'!K4</f>
        <v/>
      </c>
      <c r="F107" s="15">
        <f>'الموارد البشرية'!L4</f>
        <v/>
      </c>
      <c r="G107" s="35">
        <f>'الموارد البشرية'!N4</f>
        <v/>
      </c>
      <c r="H107" s="15">
        <f>'الموارد البشرية'!O4</f>
        <v/>
      </c>
      <c r="I107" s="40">
        <f>'الموارد البشرية'!G4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الموارد البشرية</t>
        </is>
      </c>
      <c r="C108" s="13">
        <f>'الموارد البشرية'!C5</f>
        <v/>
      </c>
      <c r="D108" s="15">
        <f>'الموارد البشرية'!J5</f>
        <v/>
      </c>
      <c r="E108" s="13">
        <f>'الموارد البشرية'!K5</f>
        <v/>
      </c>
      <c r="F108" s="15">
        <f>'الموارد البشرية'!L5</f>
        <v/>
      </c>
      <c r="G108" s="35">
        <f>'الموارد البشرية'!N5</f>
        <v/>
      </c>
      <c r="H108" s="15">
        <f>'الموارد البشرية'!O5</f>
        <v/>
      </c>
      <c r="I108" s="40">
        <f>'الموارد البشرية'!G5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الموارد البشرية</t>
        </is>
      </c>
      <c r="C109" s="13">
        <f>'الموارد البشرية'!C6</f>
        <v/>
      </c>
      <c r="D109" s="15">
        <f>'الموارد البشرية'!J6</f>
        <v/>
      </c>
      <c r="E109" s="13">
        <f>'الموارد البشرية'!K6</f>
        <v/>
      </c>
      <c r="F109" s="15">
        <f>'الموارد البشرية'!L6</f>
        <v/>
      </c>
      <c r="G109" s="35">
        <f>'الموارد البشرية'!N6</f>
        <v/>
      </c>
      <c r="H109" s="15">
        <f>'الموارد البشرية'!O6</f>
        <v/>
      </c>
      <c r="I109" s="40">
        <f>'الموارد البشرية'!G6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الموارد البشرية</t>
        </is>
      </c>
      <c r="C110" s="13">
        <f>'الموارد البشرية'!C7</f>
        <v/>
      </c>
      <c r="D110" s="15">
        <f>'الموارد البشرية'!J7</f>
        <v/>
      </c>
      <c r="E110" s="13">
        <f>'الموارد البشرية'!K7</f>
        <v/>
      </c>
      <c r="F110" s="15">
        <f>'الموارد البشرية'!L7</f>
        <v/>
      </c>
      <c r="G110" s="35">
        <f>'الموارد البشرية'!N7</f>
        <v/>
      </c>
      <c r="H110" s="15">
        <f>'الموارد البشرية'!O7</f>
        <v/>
      </c>
      <c r="I110" s="40">
        <f>'الموارد البشرية'!G7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الموارد البشرية</t>
        </is>
      </c>
      <c r="C111" s="13">
        <f>'الموارد البشرية'!C8</f>
        <v/>
      </c>
      <c r="D111" s="15">
        <f>'الموارد البشرية'!J8</f>
        <v/>
      </c>
      <c r="E111" s="13">
        <f>'الموارد البشرية'!K8</f>
        <v/>
      </c>
      <c r="F111" s="15">
        <f>'الموارد البشرية'!L8</f>
        <v/>
      </c>
      <c r="G111" s="35">
        <f>'الموارد البشرية'!N8</f>
        <v/>
      </c>
      <c r="H111" s="15">
        <f>'الموارد البشرية'!O8</f>
        <v/>
      </c>
      <c r="I111" s="40">
        <f>'الموارد البشرية'!G8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الموارد البشرية</t>
        </is>
      </c>
      <c r="C112" s="13">
        <f>'الموارد البشرية'!C9</f>
        <v/>
      </c>
      <c r="D112" s="15">
        <f>'الموارد البشرية'!J9</f>
        <v/>
      </c>
      <c r="E112" s="13">
        <f>'الموارد البشرية'!K9</f>
        <v/>
      </c>
      <c r="F112" s="15">
        <f>'الموارد البشرية'!L9</f>
        <v/>
      </c>
      <c r="G112" s="35">
        <f>'الموارد البشرية'!N9</f>
        <v/>
      </c>
      <c r="H112" s="15">
        <f>'الموارد البشرية'!O9</f>
        <v/>
      </c>
      <c r="I112" s="40">
        <f>'الموارد البشرية'!G9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الموارد البشرية</t>
        </is>
      </c>
      <c r="C113" s="13">
        <f>'الموارد البشرية'!C10</f>
        <v/>
      </c>
      <c r="D113" s="15">
        <f>'الموارد البشرية'!J10</f>
        <v/>
      </c>
      <c r="E113" s="13">
        <f>'الموارد البشرية'!K10</f>
        <v/>
      </c>
      <c r="F113" s="15">
        <f>'الموارد البشرية'!L10</f>
        <v/>
      </c>
      <c r="G113" s="35">
        <f>'الموارد البشرية'!N10</f>
        <v/>
      </c>
      <c r="H113" s="15">
        <f>'الموارد البشرية'!O10</f>
        <v/>
      </c>
      <c r="I113" s="40">
        <f>'الموارد البشرية'!G10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الموارد البشرية</t>
        </is>
      </c>
      <c r="C114" s="13">
        <f>'الموارد البشرية'!C11</f>
        <v/>
      </c>
      <c r="D114" s="15">
        <f>'الموارد البشرية'!J11</f>
        <v/>
      </c>
      <c r="E114" s="13">
        <f>'الموارد البشرية'!K11</f>
        <v/>
      </c>
      <c r="F114" s="15">
        <f>'الموارد البشرية'!L11</f>
        <v/>
      </c>
      <c r="G114" s="35">
        <f>'الموارد البشرية'!N11</f>
        <v/>
      </c>
      <c r="H114" s="15">
        <f>'الموارد البشرية'!O11</f>
        <v/>
      </c>
      <c r="I114" s="40">
        <f>'الموارد البشرية'!G11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الموارد البشرية</t>
        </is>
      </c>
      <c r="C115" s="13">
        <f>'الموارد البشرية'!C12</f>
        <v/>
      </c>
      <c r="D115" s="15">
        <f>'الموارد البشرية'!J12</f>
        <v/>
      </c>
      <c r="E115" s="13">
        <f>'الموارد البشرية'!K12</f>
        <v/>
      </c>
      <c r="F115" s="15">
        <f>'الموارد البشرية'!L12</f>
        <v/>
      </c>
      <c r="G115" s="35">
        <f>'الموارد البشرية'!N12</f>
        <v/>
      </c>
      <c r="H115" s="15">
        <f>'الموارد البشرية'!O12</f>
        <v/>
      </c>
      <c r="I115" s="40">
        <f>'الموارد البشرية'!G12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الموارد البشرية</t>
        </is>
      </c>
      <c r="C116" s="13">
        <f>'الموارد البشرية'!C13</f>
        <v/>
      </c>
      <c r="D116" s="15">
        <f>'الموارد البشرية'!J13</f>
        <v/>
      </c>
      <c r="E116" s="13">
        <f>'الموارد البشرية'!K13</f>
        <v/>
      </c>
      <c r="F116" s="15">
        <f>'الموارد البشرية'!L13</f>
        <v/>
      </c>
      <c r="G116" s="35">
        <f>'الموارد البشرية'!N13</f>
        <v/>
      </c>
      <c r="H116" s="15">
        <f>'الموارد البشرية'!O13</f>
        <v/>
      </c>
      <c r="I116" s="40">
        <f>'الموارد البشرية'!G13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الموارد البشرية</t>
        </is>
      </c>
      <c r="C117" s="13">
        <f>'الموارد البشرية'!C14</f>
        <v/>
      </c>
      <c r="D117" s="15">
        <f>'الموارد البشرية'!J14</f>
        <v/>
      </c>
      <c r="E117" s="13">
        <f>'الموارد البشرية'!K14</f>
        <v/>
      </c>
      <c r="F117" s="15">
        <f>'الموارد البشرية'!L14</f>
        <v/>
      </c>
      <c r="G117" s="35">
        <f>'الموارد البشرية'!N14</f>
        <v/>
      </c>
      <c r="H117" s="15">
        <f>'الموارد البشرية'!O14</f>
        <v/>
      </c>
      <c r="I117" s="40">
        <f>'الموارد البشرية'!G14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الموارد البشرية</t>
        </is>
      </c>
      <c r="C118" s="13">
        <f>'الموارد البشرية'!C15</f>
        <v/>
      </c>
      <c r="D118" s="15">
        <f>'الموارد البشرية'!J15</f>
        <v/>
      </c>
      <c r="E118" s="13">
        <f>'الموارد البشرية'!K15</f>
        <v/>
      </c>
      <c r="F118" s="15">
        <f>'الموارد البشرية'!L15</f>
        <v/>
      </c>
      <c r="G118" s="35">
        <f>'الموارد البشرية'!N15</f>
        <v/>
      </c>
      <c r="H118" s="15">
        <f>'الموارد البشرية'!O15</f>
        <v/>
      </c>
      <c r="I118" s="40">
        <f>'الموارد البشرية'!G15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الموارد البشرية</t>
        </is>
      </c>
      <c r="C119" s="13">
        <f>'الموارد البشرية'!C16</f>
        <v/>
      </c>
      <c r="D119" s="15">
        <f>'الموارد البشرية'!J16</f>
        <v/>
      </c>
      <c r="E119" s="13">
        <f>'الموارد البشرية'!K16</f>
        <v/>
      </c>
      <c r="F119" s="15">
        <f>'الموارد البشرية'!L16</f>
        <v/>
      </c>
      <c r="G119" s="35">
        <f>'الموارد البشرية'!N16</f>
        <v/>
      </c>
      <c r="H119" s="15">
        <f>'الموارد البشرية'!O16</f>
        <v/>
      </c>
      <c r="I119" s="40">
        <f>'الموارد البشرية'!G16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الموارد البشرية</t>
        </is>
      </c>
      <c r="C120" s="13">
        <f>'الموارد البشرية'!C17</f>
        <v/>
      </c>
      <c r="D120" s="15">
        <f>'الموارد البشرية'!J17</f>
        <v/>
      </c>
      <c r="E120" s="13">
        <f>'الموارد البشرية'!K17</f>
        <v/>
      </c>
      <c r="F120" s="15">
        <f>'الموارد البشرية'!L17</f>
        <v/>
      </c>
      <c r="G120" s="35">
        <f>'الموارد البشرية'!N17</f>
        <v/>
      </c>
      <c r="H120" s="15">
        <f>'الموارد البشرية'!O17</f>
        <v/>
      </c>
      <c r="I120" s="40">
        <f>'الموارد البشرية'!G17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الموارد البشرية</t>
        </is>
      </c>
      <c r="C121" s="13">
        <f>'الموارد البشرية'!C18</f>
        <v/>
      </c>
      <c r="D121" s="15">
        <f>'الموارد البشرية'!J18</f>
        <v/>
      </c>
      <c r="E121" s="13">
        <f>'الموارد البشرية'!K18</f>
        <v/>
      </c>
      <c r="F121" s="15">
        <f>'الموارد البشرية'!L18</f>
        <v/>
      </c>
      <c r="G121" s="35">
        <f>'الموارد البشرية'!N18</f>
        <v/>
      </c>
      <c r="H121" s="15">
        <f>'الموارد البشرية'!O18</f>
        <v/>
      </c>
      <c r="I121" s="40">
        <f>'الموارد البشرية'!G18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الموارد البشرية</t>
        </is>
      </c>
      <c r="C122" s="13">
        <f>'الموارد البشرية'!C19</f>
        <v/>
      </c>
      <c r="D122" s="15">
        <f>'الموارد البشرية'!J19</f>
        <v/>
      </c>
      <c r="E122" s="13">
        <f>'الموارد البشرية'!K19</f>
        <v/>
      </c>
      <c r="F122" s="15">
        <f>'الموارد البشرية'!L19</f>
        <v/>
      </c>
      <c r="G122" s="35">
        <f>'الموارد البشرية'!N19</f>
        <v/>
      </c>
      <c r="H122" s="15">
        <f>'الموارد البشرية'!O19</f>
        <v/>
      </c>
      <c r="I122" s="40">
        <f>'الموارد البشرية'!G19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الموارد البشرية</t>
        </is>
      </c>
      <c r="C123" s="13">
        <f>'الموارد البشرية'!C20</f>
        <v/>
      </c>
      <c r="D123" s="15">
        <f>'الموارد البشرية'!J20</f>
        <v/>
      </c>
      <c r="E123" s="13">
        <f>'الموارد البشرية'!K20</f>
        <v/>
      </c>
      <c r="F123" s="15">
        <f>'الموارد البشرية'!L20</f>
        <v/>
      </c>
      <c r="G123" s="35">
        <f>'الموارد البشرية'!N20</f>
        <v/>
      </c>
      <c r="H123" s="15">
        <f>'الموارد البشرية'!O20</f>
        <v/>
      </c>
      <c r="I123" s="40">
        <f>'الموارد البشرية'!G20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التسويق</t>
        </is>
      </c>
      <c r="C124" s="13">
        <f>'التسويق'!C4</f>
        <v/>
      </c>
      <c r="D124" s="15">
        <f>'التسويق'!J4</f>
        <v/>
      </c>
      <c r="E124" s="13">
        <f>'التسويق'!K4</f>
        <v/>
      </c>
      <c r="F124" s="15">
        <f>'التسويق'!L4</f>
        <v/>
      </c>
      <c r="G124" s="35">
        <f>'التسويق'!N4</f>
        <v/>
      </c>
      <c r="H124" s="15">
        <f>'التسويق'!O4</f>
        <v/>
      </c>
      <c r="I124" s="40">
        <f>'التسويق'!G4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التسويق</t>
        </is>
      </c>
      <c r="C125" s="13">
        <f>'التسويق'!C5</f>
        <v/>
      </c>
      <c r="D125" s="15">
        <f>'التسويق'!J5</f>
        <v/>
      </c>
      <c r="E125" s="13">
        <f>'التسويق'!K5</f>
        <v/>
      </c>
      <c r="F125" s="15">
        <f>'التسويق'!L5</f>
        <v/>
      </c>
      <c r="G125" s="35">
        <f>'التسويق'!N5</f>
        <v/>
      </c>
      <c r="H125" s="15">
        <f>'التسويق'!O5</f>
        <v/>
      </c>
      <c r="I125" s="40">
        <f>'التسويق'!G5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التسويق</t>
        </is>
      </c>
      <c r="C126" s="13">
        <f>'التسويق'!C6</f>
        <v/>
      </c>
      <c r="D126" s="15">
        <f>'التسويق'!J6</f>
        <v/>
      </c>
      <c r="E126" s="13">
        <f>'التسويق'!K6</f>
        <v/>
      </c>
      <c r="F126" s="15">
        <f>'التسويق'!L6</f>
        <v/>
      </c>
      <c r="G126" s="35">
        <f>'التسويق'!N6</f>
        <v/>
      </c>
      <c r="H126" s="15">
        <f>'التسويق'!O6</f>
        <v/>
      </c>
      <c r="I126" s="40">
        <f>'التسويق'!G6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التسويق</t>
        </is>
      </c>
      <c r="C127" s="13">
        <f>'التسويق'!C7</f>
        <v/>
      </c>
      <c r="D127" s="15">
        <f>'التسويق'!J7</f>
        <v/>
      </c>
      <c r="E127" s="13">
        <f>'التسويق'!K7</f>
        <v/>
      </c>
      <c r="F127" s="15">
        <f>'التسويق'!L7</f>
        <v/>
      </c>
      <c r="G127" s="35">
        <f>'التسويق'!N7</f>
        <v/>
      </c>
      <c r="H127" s="15">
        <f>'التسويق'!O7</f>
        <v/>
      </c>
      <c r="I127" s="40">
        <f>'التسويق'!G7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التسويق</t>
        </is>
      </c>
      <c r="C128" s="13">
        <f>'التسويق'!C8</f>
        <v/>
      </c>
      <c r="D128" s="15">
        <f>'التسويق'!J8</f>
        <v/>
      </c>
      <c r="E128" s="13">
        <f>'التسويق'!K8</f>
        <v/>
      </c>
      <c r="F128" s="15">
        <f>'التسويق'!L8</f>
        <v/>
      </c>
      <c r="G128" s="35">
        <f>'التسويق'!N8</f>
        <v/>
      </c>
      <c r="H128" s="15">
        <f>'التسويق'!O8</f>
        <v/>
      </c>
      <c r="I128" s="40">
        <f>'التسويق'!G8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التسويق</t>
        </is>
      </c>
      <c r="C129" s="13">
        <f>'التسويق'!C9</f>
        <v/>
      </c>
      <c r="D129" s="15">
        <f>'التسويق'!J9</f>
        <v/>
      </c>
      <c r="E129" s="13">
        <f>'التسويق'!K9</f>
        <v/>
      </c>
      <c r="F129" s="15">
        <f>'التسويق'!L9</f>
        <v/>
      </c>
      <c r="G129" s="35">
        <f>'التسويق'!N9</f>
        <v/>
      </c>
      <c r="H129" s="15">
        <f>'التسويق'!O9</f>
        <v/>
      </c>
      <c r="I129" s="40">
        <f>'التسويق'!G9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التسويق</t>
        </is>
      </c>
      <c r="C130" s="13">
        <f>'التسويق'!C10</f>
        <v/>
      </c>
      <c r="D130" s="15">
        <f>'التسويق'!J10</f>
        <v/>
      </c>
      <c r="E130" s="13">
        <f>'التسويق'!K10</f>
        <v/>
      </c>
      <c r="F130" s="15">
        <f>'التسويق'!L10</f>
        <v/>
      </c>
      <c r="G130" s="35">
        <f>'التسويق'!N10</f>
        <v/>
      </c>
      <c r="H130" s="15">
        <f>'التسويق'!O10</f>
        <v/>
      </c>
      <c r="I130" s="40">
        <f>'التسويق'!G10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التسويق</t>
        </is>
      </c>
      <c r="C131" s="13">
        <f>'التسويق'!C11</f>
        <v/>
      </c>
      <c r="D131" s="15">
        <f>'التسويق'!J11</f>
        <v/>
      </c>
      <c r="E131" s="13">
        <f>'التسويق'!K11</f>
        <v/>
      </c>
      <c r="F131" s="15">
        <f>'التسويق'!L11</f>
        <v/>
      </c>
      <c r="G131" s="35">
        <f>'التسويق'!N11</f>
        <v/>
      </c>
      <c r="H131" s="15">
        <f>'التسويق'!O11</f>
        <v/>
      </c>
      <c r="I131" s="40">
        <f>'التسويق'!G11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التسويق</t>
        </is>
      </c>
      <c r="C132" s="13">
        <f>'التسويق'!C12</f>
        <v/>
      </c>
      <c r="D132" s="15">
        <f>'التسويق'!J12</f>
        <v/>
      </c>
      <c r="E132" s="13">
        <f>'التسويق'!K12</f>
        <v/>
      </c>
      <c r="F132" s="15">
        <f>'التسويق'!L12</f>
        <v/>
      </c>
      <c r="G132" s="35">
        <f>'التسويق'!N12</f>
        <v/>
      </c>
      <c r="H132" s="15">
        <f>'التسويق'!O12</f>
        <v/>
      </c>
      <c r="I132" s="40">
        <f>'التسويق'!G12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التسويق</t>
        </is>
      </c>
      <c r="C133" s="13">
        <f>'التسويق'!C13</f>
        <v/>
      </c>
      <c r="D133" s="15">
        <f>'التسويق'!J13</f>
        <v/>
      </c>
      <c r="E133" s="13">
        <f>'التسويق'!K13</f>
        <v/>
      </c>
      <c r="F133" s="15">
        <f>'التسويق'!L13</f>
        <v/>
      </c>
      <c r="G133" s="35">
        <f>'التسويق'!N13</f>
        <v/>
      </c>
      <c r="H133" s="15">
        <f>'التسويق'!O13</f>
        <v/>
      </c>
      <c r="I133" s="40">
        <f>'التسويق'!G13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التسويق</t>
        </is>
      </c>
      <c r="C134" s="13">
        <f>'التسويق'!C14</f>
        <v/>
      </c>
      <c r="D134" s="15">
        <f>'التسويق'!J14</f>
        <v/>
      </c>
      <c r="E134" s="13">
        <f>'التسويق'!K14</f>
        <v/>
      </c>
      <c r="F134" s="15">
        <f>'التسويق'!L14</f>
        <v/>
      </c>
      <c r="G134" s="35">
        <f>'التسويق'!N14</f>
        <v/>
      </c>
      <c r="H134" s="15">
        <f>'التسويق'!O14</f>
        <v/>
      </c>
      <c r="I134" s="40">
        <f>'التسويق'!G14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التسويق</t>
        </is>
      </c>
      <c r="C135" s="13">
        <f>'التسويق'!C15</f>
        <v/>
      </c>
      <c r="D135" s="15">
        <f>'التسويق'!J15</f>
        <v/>
      </c>
      <c r="E135" s="13">
        <f>'التسويق'!K15</f>
        <v/>
      </c>
      <c r="F135" s="15">
        <f>'التسويق'!L15</f>
        <v/>
      </c>
      <c r="G135" s="35">
        <f>'التسويق'!N15</f>
        <v/>
      </c>
      <c r="H135" s="15">
        <f>'التسويق'!O15</f>
        <v/>
      </c>
      <c r="I135" s="40">
        <f>'التسويق'!G15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التسويق</t>
        </is>
      </c>
      <c r="C136" s="13">
        <f>'التسويق'!C16</f>
        <v/>
      </c>
      <c r="D136" s="15">
        <f>'التسويق'!J16</f>
        <v/>
      </c>
      <c r="E136" s="13">
        <f>'التسويق'!K16</f>
        <v/>
      </c>
      <c r="F136" s="15">
        <f>'التسويق'!L16</f>
        <v/>
      </c>
      <c r="G136" s="35">
        <f>'التسويق'!N16</f>
        <v/>
      </c>
      <c r="H136" s="15">
        <f>'التسويق'!O16</f>
        <v/>
      </c>
      <c r="I136" s="40">
        <f>'التسويق'!G16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التسويق</t>
        </is>
      </c>
      <c r="C137" s="13">
        <f>'التسويق'!C17</f>
        <v/>
      </c>
      <c r="D137" s="15">
        <f>'التسويق'!J17</f>
        <v/>
      </c>
      <c r="E137" s="13">
        <f>'التسويق'!K17</f>
        <v/>
      </c>
      <c r="F137" s="15">
        <f>'التسويق'!L17</f>
        <v/>
      </c>
      <c r="G137" s="35">
        <f>'التسويق'!N17</f>
        <v/>
      </c>
      <c r="H137" s="15">
        <f>'التسويق'!O17</f>
        <v/>
      </c>
      <c r="I137" s="40">
        <f>'التسويق'!G17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'التسويق'!C18</f>
        <v/>
      </c>
      <c r="D138" s="15">
        <f>'التسويق'!J18</f>
        <v/>
      </c>
      <c r="E138" s="13">
        <f>'التسويق'!K18</f>
        <v/>
      </c>
      <c r="F138" s="15">
        <f>'التسويق'!L18</f>
        <v/>
      </c>
      <c r="G138" s="35">
        <f>'التسويق'!N18</f>
        <v/>
      </c>
      <c r="H138" s="15">
        <f>'التسويق'!O18</f>
        <v/>
      </c>
      <c r="I138" s="40">
        <f>'التسويق'!G18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الجودة</t>
        </is>
      </c>
      <c r="C139" s="13">
        <f>'الجودة'!C4</f>
        <v/>
      </c>
      <c r="D139" s="15">
        <f>'الجودة'!J4</f>
        <v/>
      </c>
      <c r="E139" s="13">
        <f>'الجودة'!K4</f>
        <v/>
      </c>
      <c r="F139" s="15">
        <f>'الجودة'!L4</f>
        <v/>
      </c>
      <c r="G139" s="35">
        <f>'الجودة'!N4</f>
        <v/>
      </c>
      <c r="H139" s="15">
        <f>'الجودة'!O4</f>
        <v/>
      </c>
      <c r="I139" s="40">
        <f>'الجودة'!G4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الجودة</t>
        </is>
      </c>
      <c r="C140" s="13">
        <f>'الجودة'!C5</f>
        <v/>
      </c>
      <c r="D140" s="15">
        <f>'الجودة'!J5</f>
        <v/>
      </c>
      <c r="E140" s="13">
        <f>'الجودة'!K5</f>
        <v/>
      </c>
      <c r="F140" s="15">
        <f>'الجودة'!L5</f>
        <v/>
      </c>
      <c r="G140" s="35">
        <f>'الجودة'!N5</f>
        <v/>
      </c>
      <c r="H140" s="15">
        <f>'الجودة'!O5</f>
        <v/>
      </c>
      <c r="I140" s="40">
        <f>'الجودة'!G5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الجودة</t>
        </is>
      </c>
      <c r="C141" s="13">
        <f>'الجودة'!C6</f>
        <v/>
      </c>
      <c r="D141" s="15">
        <f>'الجودة'!J6</f>
        <v/>
      </c>
      <c r="E141" s="13">
        <f>'الجودة'!K6</f>
        <v/>
      </c>
      <c r="F141" s="15">
        <f>'الجودة'!L6</f>
        <v/>
      </c>
      <c r="G141" s="35">
        <f>'الجودة'!N6</f>
        <v/>
      </c>
      <c r="H141" s="15">
        <f>'الجودة'!O6</f>
        <v/>
      </c>
      <c r="I141" s="40">
        <f>'الجودة'!G6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الجودة</t>
        </is>
      </c>
      <c r="C142" s="13">
        <f>'الجودة'!C7</f>
        <v/>
      </c>
      <c r="D142" s="15">
        <f>'الجودة'!J7</f>
        <v/>
      </c>
      <c r="E142" s="13">
        <f>'الجودة'!K7</f>
        <v/>
      </c>
      <c r="F142" s="15">
        <f>'الجودة'!L7</f>
        <v/>
      </c>
      <c r="G142" s="35">
        <f>'الجودة'!N7</f>
        <v/>
      </c>
      <c r="H142" s="15">
        <f>'الجودة'!O7</f>
        <v/>
      </c>
      <c r="I142" s="40">
        <f>'الجودة'!G7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الجودة</t>
        </is>
      </c>
      <c r="C143" s="13">
        <f>'الجودة'!C8</f>
        <v/>
      </c>
      <c r="D143" s="15">
        <f>'الجودة'!J8</f>
        <v/>
      </c>
      <c r="E143" s="13">
        <f>'الجودة'!K8</f>
        <v/>
      </c>
      <c r="F143" s="15">
        <f>'الجودة'!L8</f>
        <v/>
      </c>
      <c r="G143" s="35">
        <f>'الجودة'!N8</f>
        <v/>
      </c>
      <c r="H143" s="15">
        <f>'الجودة'!O8</f>
        <v/>
      </c>
      <c r="I143" s="40">
        <f>'الجودة'!G8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الجودة</t>
        </is>
      </c>
      <c r="C144" s="13">
        <f>'الجودة'!C9</f>
        <v/>
      </c>
      <c r="D144" s="15">
        <f>'الجودة'!J9</f>
        <v/>
      </c>
      <c r="E144" s="13">
        <f>'الجودة'!K9</f>
        <v/>
      </c>
      <c r="F144" s="15">
        <f>'الجودة'!L9</f>
        <v/>
      </c>
      <c r="G144" s="35">
        <f>'الجودة'!N9</f>
        <v/>
      </c>
      <c r="H144" s="15">
        <f>'الجودة'!O9</f>
        <v/>
      </c>
      <c r="I144" s="40">
        <f>'الجودة'!G9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الجودة</t>
        </is>
      </c>
      <c r="C145" s="13">
        <f>'الجودة'!C10</f>
        <v/>
      </c>
      <c r="D145" s="15">
        <f>'الجودة'!J10</f>
        <v/>
      </c>
      <c r="E145" s="13">
        <f>'الجودة'!K10</f>
        <v/>
      </c>
      <c r="F145" s="15">
        <f>'الجودة'!L10</f>
        <v/>
      </c>
      <c r="G145" s="35">
        <f>'الجودة'!N10</f>
        <v/>
      </c>
      <c r="H145" s="15">
        <f>'الجودة'!O10</f>
        <v/>
      </c>
      <c r="I145" s="40">
        <f>'الجودة'!G10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الجودة</t>
        </is>
      </c>
      <c r="C146" s="13">
        <f>'الجودة'!C11</f>
        <v/>
      </c>
      <c r="D146" s="15">
        <f>'الجودة'!J11</f>
        <v/>
      </c>
      <c r="E146" s="13">
        <f>'الجودة'!K11</f>
        <v/>
      </c>
      <c r="F146" s="15">
        <f>'الجودة'!L11</f>
        <v/>
      </c>
      <c r="G146" s="35">
        <f>'الجودة'!N11</f>
        <v/>
      </c>
      <c r="H146" s="15">
        <f>'الجودة'!O11</f>
        <v/>
      </c>
      <c r="I146" s="40">
        <f>'الجودة'!G11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الجودة</t>
        </is>
      </c>
      <c r="C147" s="13">
        <f>'الجودة'!C12</f>
        <v/>
      </c>
      <c r="D147" s="15">
        <f>'الجودة'!J12</f>
        <v/>
      </c>
      <c r="E147" s="13">
        <f>'الجودة'!K12</f>
        <v/>
      </c>
      <c r="F147" s="15">
        <f>'الجودة'!L12</f>
        <v/>
      </c>
      <c r="G147" s="35">
        <f>'الجودة'!N12</f>
        <v/>
      </c>
      <c r="H147" s="15">
        <f>'الجودة'!O12</f>
        <v/>
      </c>
      <c r="I147" s="40">
        <f>'الجودة'!G12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الجودة</t>
        </is>
      </c>
      <c r="C148" s="13">
        <f>'الجودة'!C13</f>
        <v/>
      </c>
      <c r="D148" s="15">
        <f>'الجودة'!J13</f>
        <v/>
      </c>
      <c r="E148" s="13">
        <f>'الجودة'!K13</f>
        <v/>
      </c>
      <c r="F148" s="15">
        <f>'الجودة'!L13</f>
        <v/>
      </c>
      <c r="G148" s="35">
        <f>'الجودة'!N13</f>
        <v/>
      </c>
      <c r="H148" s="15">
        <f>'الجودة'!O13</f>
        <v/>
      </c>
      <c r="I148" s="40">
        <f>'الجودة'!G13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الجودة</t>
        </is>
      </c>
      <c r="C149" s="13">
        <f>'الجودة'!C14</f>
        <v/>
      </c>
      <c r="D149" s="15">
        <f>'الجودة'!J14</f>
        <v/>
      </c>
      <c r="E149" s="13">
        <f>'الجودة'!K14</f>
        <v/>
      </c>
      <c r="F149" s="15">
        <f>'الجودة'!L14</f>
        <v/>
      </c>
      <c r="G149" s="35">
        <f>'الجودة'!N14</f>
        <v/>
      </c>
      <c r="H149" s="15">
        <f>'الجودة'!O14</f>
        <v/>
      </c>
      <c r="I149" s="40">
        <f>'الجودة'!G14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'الجودة'!C15</f>
        <v/>
      </c>
      <c r="D150" s="15">
        <f>'الجودة'!J15</f>
        <v/>
      </c>
      <c r="E150" s="13">
        <f>'الجودة'!K15</f>
        <v/>
      </c>
      <c r="F150" s="15">
        <f>'الجودة'!L15</f>
        <v/>
      </c>
      <c r="G150" s="35">
        <f>'الجودة'!N15</f>
        <v/>
      </c>
      <c r="H150" s="15">
        <f>'الجودة'!O15</f>
        <v/>
      </c>
      <c r="I150" s="40">
        <f>'الجودة'!G15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'الجودة'!C16</f>
        <v/>
      </c>
      <c r="D151" s="15">
        <f>'الجودة'!J16</f>
        <v/>
      </c>
      <c r="E151" s="13">
        <f>'الجودة'!K16</f>
        <v/>
      </c>
      <c r="F151" s="15">
        <f>'الجودة'!L16</f>
        <v/>
      </c>
      <c r="G151" s="35">
        <f>'الجودة'!N16</f>
        <v/>
      </c>
      <c r="H151" s="15">
        <f>'الجودة'!O16</f>
        <v/>
      </c>
      <c r="I151" s="40">
        <f>'الجودة'!G16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'الجودة'!C17</f>
        <v/>
      </c>
      <c r="D152" s="15">
        <f>'الجودة'!J17</f>
        <v/>
      </c>
      <c r="E152" s="13">
        <f>'الجودة'!K17</f>
        <v/>
      </c>
      <c r="F152" s="15">
        <f>'الجودة'!L17</f>
        <v/>
      </c>
      <c r="G152" s="35">
        <f>'الجودة'!N17</f>
        <v/>
      </c>
      <c r="H152" s="15">
        <f>'الجودة'!O17</f>
        <v/>
      </c>
      <c r="I152" s="40">
        <f>'الجودة'!G17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القانونية</t>
        </is>
      </c>
      <c r="C153" s="13">
        <f>'الإدارة القانونية'!C4</f>
        <v/>
      </c>
      <c r="D153" s="15">
        <f>'الإدارة القانونية'!J4</f>
        <v/>
      </c>
      <c r="E153" s="13">
        <f>'الإدارة القانونية'!K4</f>
        <v/>
      </c>
      <c r="F153" s="15">
        <f>'الإدارة القانونية'!L4</f>
        <v/>
      </c>
      <c r="G153" s="35">
        <f>'الإدارة القانونية'!N4</f>
        <v/>
      </c>
      <c r="H153" s="15">
        <f>'الإدارة القانونية'!O4</f>
        <v/>
      </c>
      <c r="I153" s="40">
        <f>'الإدارة القانونية'!G4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القانونية</t>
        </is>
      </c>
      <c r="C154" s="13">
        <f>'الإدارة القانونية'!C5</f>
        <v/>
      </c>
      <c r="D154" s="15">
        <f>'الإدارة القانونية'!J5</f>
        <v/>
      </c>
      <c r="E154" s="13">
        <f>'الإدارة القانونية'!K5</f>
        <v/>
      </c>
      <c r="F154" s="15">
        <f>'الإدارة القانونية'!L5</f>
        <v/>
      </c>
      <c r="G154" s="35">
        <f>'الإدارة القانونية'!N5</f>
        <v/>
      </c>
      <c r="H154" s="15">
        <f>'الإدارة القانونية'!O5</f>
        <v/>
      </c>
      <c r="I154" s="40">
        <f>'الإدارة القانونية'!G5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القانونية</t>
        </is>
      </c>
      <c r="C155" s="13">
        <f>'الإدارة القانونية'!C6</f>
        <v/>
      </c>
      <c r="D155" s="15">
        <f>'الإدارة القانونية'!J6</f>
        <v/>
      </c>
      <c r="E155" s="13">
        <f>'الإدارة القانونية'!K6</f>
        <v/>
      </c>
      <c r="F155" s="15">
        <f>'الإدارة القانونية'!L6</f>
        <v/>
      </c>
      <c r="G155" s="35">
        <f>'الإدارة القانونية'!N6</f>
        <v/>
      </c>
      <c r="H155" s="15">
        <f>'الإدارة القانونية'!O6</f>
        <v/>
      </c>
      <c r="I155" s="40">
        <f>'الإدارة القانونية'!G6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القانونية</t>
        </is>
      </c>
      <c r="C156" s="13">
        <f>'الإدارة القانونية'!C7</f>
        <v/>
      </c>
      <c r="D156" s="15">
        <f>'الإدارة القانونية'!J7</f>
        <v/>
      </c>
      <c r="E156" s="13">
        <f>'الإدارة القانونية'!K7</f>
        <v/>
      </c>
      <c r="F156" s="15">
        <f>'الإدارة القانونية'!L7</f>
        <v/>
      </c>
      <c r="G156" s="35">
        <f>'الإدارة القانونية'!N7</f>
        <v/>
      </c>
      <c r="H156" s="15">
        <f>'الإدارة القانونية'!O7</f>
        <v/>
      </c>
      <c r="I156" s="40">
        <f>'الإدارة القانونية'!G7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القانونية</t>
        </is>
      </c>
      <c r="C157" s="13">
        <f>'الإدارة القانونية'!C8</f>
        <v/>
      </c>
      <c r="D157" s="15">
        <f>'الإدارة القانونية'!J8</f>
        <v/>
      </c>
      <c r="E157" s="13">
        <f>'الإدارة القانونية'!K8</f>
        <v/>
      </c>
      <c r="F157" s="15">
        <f>'الإدارة القانونية'!L8</f>
        <v/>
      </c>
      <c r="G157" s="35">
        <f>'الإدارة القانونية'!N8</f>
        <v/>
      </c>
      <c r="H157" s="15">
        <f>'الإدارة القانونية'!O8</f>
        <v/>
      </c>
      <c r="I157" s="40">
        <f>'الإدارة القانونية'!G8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القانونية</t>
        </is>
      </c>
      <c r="C158" s="13">
        <f>'الإدارة القانونية'!C9</f>
        <v/>
      </c>
      <c r="D158" s="15">
        <f>'الإدارة القانونية'!J9</f>
        <v/>
      </c>
      <c r="E158" s="13">
        <f>'الإدارة القانونية'!K9</f>
        <v/>
      </c>
      <c r="F158" s="15">
        <f>'الإدارة القانونية'!L9</f>
        <v/>
      </c>
      <c r="G158" s="35">
        <f>'الإدارة القانونية'!N9</f>
        <v/>
      </c>
      <c r="H158" s="15">
        <f>'الإدارة القانونية'!O9</f>
        <v/>
      </c>
      <c r="I158" s="40">
        <f>'الإدارة القانونية'!G9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القانونية</t>
        </is>
      </c>
      <c r="C159" s="13">
        <f>'الإدارة القانونية'!C10</f>
        <v/>
      </c>
      <c r="D159" s="15">
        <f>'الإدارة القانونية'!J10</f>
        <v/>
      </c>
      <c r="E159" s="13">
        <f>'الإدارة القانونية'!K10</f>
        <v/>
      </c>
      <c r="F159" s="15">
        <f>'الإدارة القانونية'!L10</f>
        <v/>
      </c>
      <c r="G159" s="35">
        <f>'الإدارة القانونية'!N10</f>
        <v/>
      </c>
      <c r="H159" s="15">
        <f>'الإدارة القانونية'!O10</f>
        <v/>
      </c>
      <c r="I159" s="40">
        <f>'الإدارة القانونية'!G10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القانونية</t>
        </is>
      </c>
      <c r="C160" s="13">
        <f>'الإدارة القانونية'!C11</f>
        <v/>
      </c>
      <c r="D160" s="15">
        <f>'الإدارة القانونية'!J11</f>
        <v/>
      </c>
      <c r="E160" s="13">
        <f>'الإدارة القانونية'!K11</f>
        <v/>
      </c>
      <c r="F160" s="15">
        <f>'الإدارة القانونية'!L11</f>
        <v/>
      </c>
      <c r="G160" s="35">
        <f>'الإدارة القانونية'!N11</f>
        <v/>
      </c>
      <c r="H160" s="15">
        <f>'الإدارة القانونية'!O11</f>
        <v/>
      </c>
      <c r="I160" s="40">
        <f>'الإدارة القانونية'!G11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المالية</t>
        </is>
      </c>
      <c r="C161" s="13">
        <f>'الإدارة المالية'!C4</f>
        <v/>
      </c>
      <c r="D161" s="15">
        <f>'الإدارة المالية'!J4</f>
        <v/>
      </c>
      <c r="E161" s="13">
        <f>'الإدارة المالية'!K4</f>
        <v/>
      </c>
      <c r="F161" s="15">
        <f>'الإدارة المالية'!L4</f>
        <v/>
      </c>
      <c r="G161" s="35">
        <f>'الإدارة المالية'!N4</f>
        <v/>
      </c>
      <c r="H161" s="15">
        <f>'الإدارة المالية'!O4</f>
        <v/>
      </c>
      <c r="I161" s="40">
        <f>'الإدارة المالية'!G4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المالية</t>
        </is>
      </c>
      <c r="C162" s="13">
        <f>'الإدارة المالية'!C5</f>
        <v/>
      </c>
      <c r="D162" s="15">
        <f>'الإدارة المالية'!J5</f>
        <v/>
      </c>
      <c r="E162" s="13">
        <f>'الإدارة المالية'!K5</f>
        <v/>
      </c>
      <c r="F162" s="15">
        <f>'الإدارة المالية'!L5</f>
        <v/>
      </c>
      <c r="G162" s="35">
        <f>'الإدارة المالية'!N5</f>
        <v/>
      </c>
      <c r="H162" s="15">
        <f>'الإدارة المالية'!O5</f>
        <v/>
      </c>
      <c r="I162" s="40">
        <f>'الإدارة المالية'!G5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المالية</t>
        </is>
      </c>
      <c r="C163" s="13">
        <f>'الإدارة المالية'!C6</f>
        <v/>
      </c>
      <c r="D163" s="15">
        <f>'الإدارة المالية'!J6</f>
        <v/>
      </c>
      <c r="E163" s="13">
        <f>'الإدارة المالية'!K6</f>
        <v/>
      </c>
      <c r="F163" s="15">
        <f>'الإدارة المالية'!L6</f>
        <v/>
      </c>
      <c r="G163" s="35">
        <f>'الإدارة المالية'!N6</f>
        <v/>
      </c>
      <c r="H163" s="15">
        <f>'الإدارة المالية'!O6</f>
        <v/>
      </c>
      <c r="I163" s="40">
        <f>'الإدارة المالية'!G6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المالية</t>
        </is>
      </c>
      <c r="C164" s="13">
        <f>'الإدارة المالية'!C7</f>
        <v/>
      </c>
      <c r="D164" s="15">
        <f>'الإدارة المالية'!J7</f>
        <v/>
      </c>
      <c r="E164" s="13">
        <f>'الإدارة المالية'!K7</f>
        <v/>
      </c>
      <c r="F164" s="15">
        <f>'الإدارة المالية'!L7</f>
        <v/>
      </c>
      <c r="G164" s="35">
        <f>'الإدارة المالية'!N7</f>
        <v/>
      </c>
      <c r="H164" s="15">
        <f>'الإدارة المالية'!O7</f>
        <v/>
      </c>
      <c r="I164" s="40">
        <f>'الإدارة المالية'!G7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المالية</t>
        </is>
      </c>
      <c r="C165" s="13">
        <f>'الإدارة المالية'!C8</f>
        <v/>
      </c>
      <c r="D165" s="15">
        <f>'الإدارة المالية'!J8</f>
        <v/>
      </c>
      <c r="E165" s="13">
        <f>'الإدارة المالية'!K8</f>
        <v/>
      </c>
      <c r="F165" s="15">
        <f>'الإدارة المالية'!L8</f>
        <v/>
      </c>
      <c r="G165" s="35">
        <f>'الإدارة المالية'!N8</f>
        <v/>
      </c>
      <c r="H165" s="15">
        <f>'الإدارة المالية'!O8</f>
        <v/>
      </c>
      <c r="I165" s="40">
        <f>'الإدارة المالية'!G8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المالية</t>
        </is>
      </c>
      <c r="C166" s="13">
        <f>'الإدارة المالية'!C9</f>
        <v/>
      </c>
      <c r="D166" s="15">
        <f>'الإدارة المالية'!J9</f>
        <v/>
      </c>
      <c r="E166" s="13">
        <f>'الإدارة المالية'!K9</f>
        <v/>
      </c>
      <c r="F166" s="15">
        <f>'الإدارة المالية'!L9</f>
        <v/>
      </c>
      <c r="G166" s="35">
        <f>'الإدارة المالية'!N9</f>
        <v/>
      </c>
      <c r="H166" s="15">
        <f>'الإدارة المالية'!O9</f>
        <v/>
      </c>
      <c r="I166" s="40">
        <f>'الإدارة المالية'!G9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المالية</t>
        </is>
      </c>
      <c r="C167" s="13">
        <f>'الإدارة المالية'!C10</f>
        <v/>
      </c>
      <c r="D167" s="15">
        <f>'الإدارة المالية'!J10</f>
        <v/>
      </c>
      <c r="E167" s="13">
        <f>'الإدارة المالية'!K10</f>
        <v/>
      </c>
      <c r="F167" s="15">
        <f>'الإدارة المالية'!L10</f>
        <v/>
      </c>
      <c r="G167" s="35">
        <f>'الإدارة المالية'!N10</f>
        <v/>
      </c>
      <c r="H167" s="15">
        <f>'الإدارة المالية'!O10</f>
        <v/>
      </c>
      <c r="I167" s="40">
        <f>'الإدارة المالية'!G10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المالية</t>
        </is>
      </c>
      <c r="C168" s="13">
        <f>'الإدارة المالية'!C11</f>
        <v/>
      </c>
      <c r="D168" s="15">
        <f>'الإدارة المالية'!J11</f>
        <v/>
      </c>
      <c r="E168" s="13">
        <f>'الإدارة المالية'!K11</f>
        <v/>
      </c>
      <c r="F168" s="15">
        <f>'الإدارة المالية'!L11</f>
        <v/>
      </c>
      <c r="G168" s="35">
        <f>'الإدارة المالية'!N11</f>
        <v/>
      </c>
      <c r="H168" s="15">
        <f>'الإدارة المالية'!O11</f>
        <v/>
      </c>
      <c r="I168" s="40">
        <f>'الإدارة المالية'!G11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الإدارة المالية</t>
        </is>
      </c>
      <c r="C169" s="13">
        <f>'الإدارة المالية'!C12</f>
        <v/>
      </c>
      <c r="D169" s="15">
        <f>'الإدارة المالية'!J12</f>
        <v/>
      </c>
      <c r="E169" s="13">
        <f>'الإدارة المالية'!K12</f>
        <v/>
      </c>
      <c r="F169" s="15">
        <f>'الإدارة المالية'!L12</f>
        <v/>
      </c>
      <c r="G169" s="35">
        <f>'الإدارة المالية'!N12</f>
        <v/>
      </c>
      <c r="H169" s="15">
        <f>'الإدارة المالية'!O12</f>
        <v/>
      </c>
      <c r="I169" s="40">
        <f>'الإدارة المالية'!G12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الإدارة المالية</t>
        </is>
      </c>
      <c r="C170" s="13">
        <f>'الإدارة المالية'!C13</f>
        <v/>
      </c>
      <c r="D170" s="15">
        <f>'الإدارة المالية'!J13</f>
        <v/>
      </c>
      <c r="E170" s="13">
        <f>'الإدارة المالية'!K13</f>
        <v/>
      </c>
      <c r="F170" s="15">
        <f>'الإدارة المالية'!L13</f>
        <v/>
      </c>
      <c r="G170" s="35">
        <f>'الإدارة المالية'!N13</f>
        <v/>
      </c>
      <c r="H170" s="15">
        <f>'الإدارة المالية'!O13</f>
        <v/>
      </c>
      <c r="I170" s="40">
        <f>'الإدارة المالية'!G13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الإدارة المالية</t>
        </is>
      </c>
      <c r="C171" s="13">
        <f>'الإدارة المالية'!C14</f>
        <v/>
      </c>
      <c r="D171" s="15">
        <f>'الإدارة المالية'!J14</f>
        <v/>
      </c>
      <c r="E171" s="13">
        <f>'الإدارة المالية'!K14</f>
        <v/>
      </c>
      <c r="F171" s="15">
        <f>'الإدارة المالية'!L14</f>
        <v/>
      </c>
      <c r="G171" s="35">
        <f>'الإدارة المالية'!N14</f>
        <v/>
      </c>
      <c r="H171" s="15">
        <f>'الإدارة المالية'!O14</f>
        <v/>
      </c>
      <c r="I171" s="40">
        <f>'الإدارة المالية'!G14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الإدارة المالية</t>
        </is>
      </c>
      <c r="C172" s="13">
        <f>'الإدارة المالية'!C15</f>
        <v/>
      </c>
      <c r="D172" s="15">
        <f>'الإدارة المالية'!J15</f>
        <v/>
      </c>
      <c r="E172" s="13">
        <f>'الإدارة المالية'!K15</f>
        <v/>
      </c>
      <c r="F172" s="15">
        <f>'الإدارة المالية'!L15</f>
        <v/>
      </c>
      <c r="G172" s="35">
        <f>'الإدارة المالية'!N15</f>
        <v/>
      </c>
      <c r="H172" s="15">
        <f>'الإدارة المالية'!O15</f>
        <v/>
      </c>
      <c r="I172" s="40">
        <f>'الإدارة المالية'!G15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الإدارة المالية</t>
        </is>
      </c>
      <c r="C173" s="13">
        <f>'الإدارة المالية'!C16</f>
        <v/>
      </c>
      <c r="D173" s="15">
        <f>'الإدارة المالية'!J16</f>
        <v/>
      </c>
      <c r="E173" s="13">
        <f>'الإدارة المالية'!K16</f>
        <v/>
      </c>
      <c r="F173" s="15">
        <f>'الإدارة المالية'!L16</f>
        <v/>
      </c>
      <c r="G173" s="35">
        <f>'الإدارة المالية'!N16</f>
        <v/>
      </c>
      <c r="H173" s="15">
        <f>'الإدارة المالية'!O16</f>
        <v/>
      </c>
      <c r="I173" s="40">
        <f>'الإدارة المالية'!G16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الإدارة المالية</t>
        </is>
      </c>
      <c r="C174" s="13">
        <f>'الإدارة المالية'!C17</f>
        <v/>
      </c>
      <c r="D174" s="15">
        <f>'الإدارة المالية'!J17</f>
        <v/>
      </c>
      <c r="E174" s="13">
        <f>'الإدارة المالية'!K17</f>
        <v/>
      </c>
      <c r="F174" s="15">
        <f>'الإدارة المالية'!L17</f>
        <v/>
      </c>
      <c r="G174" s="35">
        <f>'الإدارة المالية'!N17</f>
        <v/>
      </c>
      <c r="H174" s="15">
        <f>'الإدارة المالية'!O17</f>
        <v/>
      </c>
      <c r="I174" s="40">
        <f>'الإدارة المالية'!G17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المالية</t>
        </is>
      </c>
      <c r="C175" s="13">
        <f>'الإدارة المالية'!C18</f>
        <v/>
      </c>
      <c r="D175" s="15">
        <f>'الإدارة المالية'!J18</f>
        <v/>
      </c>
      <c r="E175" s="13">
        <f>'الإدارة المالية'!K18</f>
        <v/>
      </c>
      <c r="F175" s="15">
        <f>'الإدارة المالية'!L18</f>
        <v/>
      </c>
      <c r="G175" s="35">
        <f>'الإدارة المالية'!N18</f>
        <v/>
      </c>
      <c r="H175" s="15">
        <f>'الإدارة المالية'!O18</f>
        <v/>
      </c>
      <c r="I175" s="40">
        <f>'الإدارة المالية'!G18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المالية</t>
        </is>
      </c>
      <c r="C176" s="13">
        <f>'الإدارة المالية'!C19</f>
        <v/>
      </c>
      <c r="D176" s="15">
        <f>'الإدارة المالية'!J19</f>
        <v/>
      </c>
      <c r="E176" s="13">
        <f>'الإدارة المالية'!K19</f>
        <v/>
      </c>
      <c r="F176" s="15">
        <f>'الإدارة المالية'!L19</f>
        <v/>
      </c>
      <c r="G176" s="35">
        <f>'الإدارة المالية'!N19</f>
        <v/>
      </c>
      <c r="H176" s="15">
        <f>'الإدارة المالية'!O19</f>
        <v/>
      </c>
      <c r="I176" s="40">
        <f>'الإدارة المالية'!G19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المالية</t>
        </is>
      </c>
      <c r="C177" s="13">
        <f>'الإدارة المالية'!C20</f>
        <v/>
      </c>
      <c r="D177" s="15">
        <f>'الإدارة المالية'!J20</f>
        <v/>
      </c>
      <c r="E177" s="13">
        <f>'الإدارة المالية'!K20</f>
        <v/>
      </c>
      <c r="F177" s="15">
        <f>'الإدارة المالية'!L20</f>
        <v/>
      </c>
      <c r="G177" s="35">
        <f>'الإدارة المالية'!N20</f>
        <v/>
      </c>
      <c r="H177" s="15">
        <f>'الإدارة المالية'!O20</f>
        <v/>
      </c>
      <c r="I177" s="40">
        <f>'الإدارة المالية'!G20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المالية'!C21</f>
        <v/>
      </c>
      <c r="D178" s="15">
        <f>'الإدارة المالية'!J21</f>
        <v/>
      </c>
      <c r="E178" s="13">
        <f>'الإدارة المالية'!K21</f>
        <v/>
      </c>
      <c r="F178" s="15">
        <f>'الإدارة المالية'!L21</f>
        <v/>
      </c>
      <c r="G178" s="35">
        <f>'الإدارة المالية'!N21</f>
        <v/>
      </c>
      <c r="H178" s="15">
        <f>'الإدارة المالية'!O21</f>
        <v/>
      </c>
      <c r="I178" s="40">
        <f>'الإدارة المالية'!G21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المالية'!C22</f>
        <v/>
      </c>
      <c r="D179" s="15">
        <f>'الإدارة المالية'!J22</f>
        <v/>
      </c>
      <c r="E179" s="13">
        <f>'الإدارة المالية'!K22</f>
        <v/>
      </c>
      <c r="F179" s="15">
        <f>'الإدارة المالية'!L22</f>
        <v/>
      </c>
      <c r="G179" s="35">
        <f>'الإدارة المالية'!N22</f>
        <v/>
      </c>
      <c r="H179" s="15">
        <f>'الإدارة المالية'!O22</f>
        <v/>
      </c>
      <c r="I179" s="40">
        <f>'الإدارة المالية'!G22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المالية'!C23</f>
        <v/>
      </c>
      <c r="D180" s="15">
        <f>'الإدارة المالية'!J23</f>
        <v/>
      </c>
      <c r="E180" s="13">
        <f>'الإدارة المالية'!K23</f>
        <v/>
      </c>
      <c r="F180" s="15">
        <f>'الإدارة المالية'!L23</f>
        <v/>
      </c>
      <c r="G180" s="35">
        <f>'الإدارة المالية'!N23</f>
        <v/>
      </c>
      <c r="H180" s="15">
        <f>'الإدارة المالية'!O23</f>
        <v/>
      </c>
      <c r="I180" s="40">
        <f>'الإدارة المالية'!G23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المالية'!C24</f>
        <v/>
      </c>
      <c r="D181" s="15">
        <f>'الإدارة المالية'!J24</f>
        <v/>
      </c>
      <c r="E181" s="13">
        <f>'الإدارة المالية'!K24</f>
        <v/>
      </c>
      <c r="F181" s="15">
        <f>'الإدارة المالية'!L24</f>
        <v/>
      </c>
      <c r="G181" s="35">
        <f>'الإدارة المالية'!N24</f>
        <v/>
      </c>
      <c r="H181" s="15">
        <f>'الإدارة المالية'!O24</f>
        <v/>
      </c>
      <c r="I181" s="40">
        <f>'الإدارة المالية'!G24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المالية'!C25</f>
        <v/>
      </c>
      <c r="D182" s="15">
        <f>'الإدارة المالية'!J25</f>
        <v/>
      </c>
      <c r="E182" s="13">
        <f>'الإدارة المالية'!K25</f>
        <v/>
      </c>
      <c r="F182" s="15">
        <f>'الإدارة المالية'!L25</f>
        <v/>
      </c>
      <c r="G182" s="35">
        <f>'الإدارة المالية'!N25</f>
        <v/>
      </c>
      <c r="H182" s="15">
        <f>'الإدارة المالية'!O25</f>
        <v/>
      </c>
      <c r="I182" s="40">
        <f>'الإدارة المالية'!G25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المالية'!C26</f>
        <v/>
      </c>
      <c r="D183" s="15">
        <f>'الإدارة المالية'!J26</f>
        <v/>
      </c>
      <c r="E183" s="13">
        <f>'الإدارة المالية'!K26</f>
        <v/>
      </c>
      <c r="F183" s="15">
        <f>'الإدارة المالية'!L26</f>
        <v/>
      </c>
      <c r="G183" s="35">
        <f>'الإدارة المالية'!N26</f>
        <v/>
      </c>
      <c r="H183" s="15">
        <f>'الإدارة المالية'!O26</f>
        <v/>
      </c>
      <c r="I183" s="40">
        <f>'الإدارة المالية'!G26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المالية'!C27</f>
        <v/>
      </c>
      <c r="D184" s="15">
        <f>'الإدارة المالية'!J27</f>
        <v/>
      </c>
      <c r="E184" s="13">
        <f>'الإدارة المالية'!K27</f>
        <v/>
      </c>
      <c r="F184" s="15">
        <f>'الإدارة المالية'!L27</f>
        <v/>
      </c>
      <c r="G184" s="35">
        <f>'الإدارة المالية'!N27</f>
        <v/>
      </c>
      <c r="H184" s="15">
        <f>'الإدارة المالية'!O27</f>
        <v/>
      </c>
      <c r="I184" s="40">
        <f>'الإدارة المالية'!G27</f>
        <v/>
      </c>
      <c r="J184" s="15">
        <f>IF($G184="",0,$G184*$I184)</f>
        <v/>
      </c>
      <c r="K184" s="15">
        <f>IF($G184="",0,$I184)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2026-06-25T09:28:50Z</dcterms:created>
  <dcterms:modified xmlns:dcterms="http://purl.org/dc/terms/" xmlns:xsi="http://www.w3.org/2001/XMLSchema-instance" xsi:type="dcterms:W3CDTF">2026-06-25T09:28:51Z</dcterms:modified>
</cp:coreProperties>
</file>